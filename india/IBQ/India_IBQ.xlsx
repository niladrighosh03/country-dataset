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baddi" sheetId="1" r:id="rId4"/>
    <sheet state="visible" name="Chess" sheetId="2" r:id="rId5"/>
    <sheet state="visible" name="Kho kho" sheetId="3" r:id="rId6"/>
    <sheet state="visible" name="Musti Yuddha" sheetId="4" r:id="rId7"/>
    <sheet state="visible" name="Lagori" sheetId="5" r:id="rId8"/>
    <sheet state="visible" name="Pambaram" sheetId="6" r:id="rId9"/>
    <sheet state="visible" name="Dhop Khel" sheetId="7" r:id="rId10"/>
    <sheet state="visible" name="Kanche" sheetId="8" r:id="rId11"/>
    <sheet state="visible" name="Carrom" sheetId="9" r:id="rId12"/>
    <sheet state="visible" name="Kalaripayattu" sheetId="10" r:id="rId13"/>
    <sheet state="visible" name="Silambam" sheetId="11" r:id="rId14"/>
    <sheet state="visible" name="Malakhamb" sheetId="12" r:id="rId15"/>
    <sheet state="visible" name="Gilli Danda" sheetId="13" r:id="rId16"/>
    <sheet state="visible" name="Thang Ta" sheetId="14" r:id="rId17"/>
    <sheet state="visible" name="Mukna" sheetId="15" r:id="rId18"/>
  </sheets>
  <definedNames/>
  <calcPr/>
</workbook>
</file>

<file path=xl/sharedStrings.xml><?xml version="1.0" encoding="utf-8"?>
<sst xmlns="http://schemas.openxmlformats.org/spreadsheetml/2006/main" count="7954" uniqueCount="5746">
  <si>
    <t>Question No.</t>
  </si>
  <si>
    <t>Image No.</t>
  </si>
  <si>
    <t>Question</t>
  </si>
  <si>
    <t>Options</t>
  </si>
  <si>
    <t>Answer</t>
  </si>
  <si>
    <t>प्रश्न सं.</t>
  </si>
  <si>
    <t>छवि सं.</t>
  </si>
  <si>
    <t>सवाल</t>
  </si>
  <si>
    <t>विकल्प</t>
  </si>
  <si>
    <t>उत्तर</t>
  </si>
  <si>
    <t>kabaddi_1</t>
  </si>
  <si>
    <t>Which sport is depicted in the image?</t>
  </si>
  <si>
    <t>A) Cricket, B) Kabaddi, C) Football, D) Basketball</t>
  </si>
  <si>
    <t>B) Kabaddi</t>
  </si>
  <si>
    <t>What type of court is shown in the image?</t>
  </si>
  <si>
    <t>A) Tennis Court, B) Volleyball Court, C) Kabaddi Court, D) Basketball Court</t>
  </si>
  <si>
    <t>C) Kabaddi Court</t>
  </si>
  <si>
    <t>What is the key skill used in the sport shown in the image?</t>
  </si>
  <si>
    <t>A) Dribbling, B) Raiding and tackling, C) Passing, D) Serving</t>
  </si>
  <si>
    <t>B) Raiding and tackling</t>
  </si>
  <si>
    <t>In which country is the sport shown in the image most popular?</t>
  </si>
  <si>
    <t>A) USA, B) India, C) Australia, D) China</t>
  </si>
  <si>
    <t>B) India</t>
  </si>
  <si>
    <t>kabaddi_2</t>
  </si>
  <si>
    <t>What is the defensive action being performed by the players in the image?</t>
  </si>
  <si>
    <t>A) Blocking the raider, B) Passing, C) Dribbling, D) Shooting</t>
  </si>
  <si>
    <t>A) Blocking the raider</t>
  </si>
  <si>
    <t>Which line are the defending players trying to prevent the raider from crossing?</t>
  </si>
  <si>
    <t>A) The goal line, B) The center line, C) The touchline, D) The end line</t>
  </si>
  <si>
    <t>B) The center line</t>
  </si>
  <si>
    <t>What is the primary objective of the defending team in the image?</t>
  </si>
  <si>
    <t>A) To score points by attacking, B) To prevent the raider from escaping, C) To pass the ball, D) To dribble past opponents</t>
  </si>
  <si>
    <t>B) To prevent the raider from escaping</t>
  </si>
  <si>
    <t>What term describes the defensive strategy shown in the image?</t>
  </si>
  <si>
    <t>A) Tackle, B) Raid, C) Pass, D) Dribble</t>
  </si>
  <si>
    <t>A) Tackle</t>
  </si>
  <si>
    <t>kabaddi_3</t>
  </si>
  <si>
    <t>How many main lines are there on the kabaddi court?</t>
  </si>
  <si>
    <t>A) 2, B) 4, C) 6, D) 8</t>
  </si>
  <si>
    <t>B) 4</t>
  </si>
  <si>
    <t>What are the two primary areas marked on the kabaddi court?</t>
  </si>
  <si>
    <t>A) Attack and Defense Zones, B) Raid and Defense Zones, C) Serving and Receiving Areas, D) Goal and Penalty Areas</t>
  </si>
  <si>
    <t>B) Raid and Defense Zones</t>
  </si>
  <si>
    <t>What is the length of each half of the kabaddi court in this?</t>
  </si>
  <si>
    <t>A) 5 meters, B) 7 meters, C) 9 meters, D) 10 meters</t>
  </si>
  <si>
    <t>D) 10 meters</t>
  </si>
  <si>
    <t>What is the purpose of the central line ?</t>
  </si>
  <si>
    <t>A) To divide the court into attack and defense zones, B) To mark the serving area, C) To define the goal area, D) To indicate the boundary lines</t>
  </si>
  <si>
    <t>A) To divide the court into attack and defense zones</t>
  </si>
  <si>
    <t>kabaddi_4</t>
  </si>
  <si>
    <t>How many raid lines are typically marked in this court?</t>
  </si>
  <si>
    <t>A) 1, B) 2, C) 3, D) 4</t>
  </si>
  <si>
    <t>B) 2</t>
  </si>
  <si>
    <t>What color are the boundary lines of the kabaddi court typically marked in?</t>
  </si>
  <si>
    <t>A) Red, B) Blue, C) Yellow, D) White</t>
  </si>
  <si>
    <t>D) White</t>
  </si>
  <si>
    <t>what does the dashed line near the center indicate?</t>
  </si>
  <si>
    <t>A) The boundary for the defensive area, B) The line where raiders must cross, C) The line for substituting players, D) The area where the referee stands</t>
  </si>
  <si>
    <t>B) The line where raiders must cross</t>
  </si>
  <si>
    <t>Which of the following features is not visible in the image?</t>
  </si>
  <si>
    <t>A) The central line, B) The boundary lines, C) The scoring zones, D) The raid lines</t>
  </si>
  <si>
    <t>C) The scoring zones</t>
  </si>
  <si>
    <t>kabaddi_5</t>
  </si>
  <si>
    <t>What type of surface is visible on the kabaddi court shown in the image?</t>
  </si>
  <si>
    <t>A) Grass, B) Concrete, C) Synthetic flooring, D) Sand</t>
  </si>
  <si>
    <t>C) Synthetic flooring</t>
  </si>
  <si>
    <t>How are the boundary lines of the kabaddi court marked in the image?</t>
  </si>
  <si>
    <t>A) Paint, B) Tape, C) Raised barriers, D) Conspicuous lines on the surface</t>
  </si>
  <si>
    <t>D) Conspicuous lines on the surface</t>
  </si>
  <si>
    <t>What is a notable feature of the court design in the image that helps with player safety?</t>
  </si>
  <si>
    <t>A) Soft padding on the floor, B) Elevated edges, C) Anti-slip surface, D) Reinforced corners</t>
  </si>
  <si>
    <t>C) Anti-slip surface</t>
  </si>
  <si>
    <t>What is the primary function of the distinctive pattern on the court's surface?</t>
  </si>
  <si>
    <t>A) To indicate the scoring zones, B) To enhance grip and traction, C) To separate different teams' areas D) To mark the substitution zones</t>
  </si>
  <si>
    <t>B) To enhance grip and traction</t>
  </si>
  <si>
    <t>kabaddi_6</t>
  </si>
  <si>
    <t>What type of kabaddi event is shown in the image?</t>
  </si>
  <si>
    <t>A) Men’s kabaddi league, B) Women’s kabaddi challenge, C) Youth kabaddi tournament, D) International kabaddi championship</t>
  </si>
  <si>
    <t>B) Women’s kabaddi challenge</t>
  </si>
  <si>
    <t>What is the primary role of the player in red who is making a move in the image?</t>
  </si>
  <si>
    <t>A) Raider, B) Defender, C) Goalkeeper, D) Forward</t>
  </si>
  <si>
    <t>A) Raider</t>
  </si>
  <si>
    <t>What are the defensive players in blue attempting to do in the image?</t>
  </si>
  <si>
    <t>A) Score a point, B) Block the raider, C) Pass the ball, D) Perform a serve</t>
  </si>
  <si>
    <t>B) Block the raider</t>
  </si>
  <si>
    <t>What is the key tactic used by the raider to score points in kabaddi, as demonstrated in the image?</t>
  </si>
  <si>
    <t>A) Running past the defenders, B) Tagging opponents and returning to their side, C) Passing the ball to teammates, D) Dribbling around the court</t>
  </si>
  <si>
    <t>B) Tagging opponents and returning to their side</t>
  </si>
  <si>
    <t>kabaddi_7</t>
  </si>
  <si>
    <t>What equipment or attire is commonly used by players in this kabaddi match?</t>
  </si>
  <si>
    <t>A) Helmets and knee pads, B) Jerseys and shorts, C) Protective gloves and masks, D) Track suits and sneakers</t>
  </si>
  <si>
    <t>B) Jerseys and shorts</t>
  </si>
  <si>
    <t>What tactic is the raider using to avoid being tagged in the image?</t>
  </si>
  <si>
    <t>A) Performing a quick run, B) Using a spin move, C) Passing the ball, D) Jumping</t>
  </si>
  <si>
    <t>B) Using a spin move</t>
  </si>
  <si>
    <t>What defensive formation is the blue team using in response to the raider’s moves?</t>
  </si>
  <si>
    <t>A) A single line across the court, B) A loose formation spread across the court, C) A close-knit group to cut off escape routes, D) Alternating between offensive and defensive positions</t>
  </si>
  <si>
    <t>C) A close-knit group to cut off escape routes</t>
  </si>
  <si>
    <t>How are the defensive players coordinating their movements in the image?</t>
  </si>
  <si>
    <t>A) By moving independently and reacting individually, B) By communicating and shifting their positions to trap the raider, C) By focusing only on blocking the raider’s direct path, D) By staying stationary to minimize movement</t>
  </si>
  <si>
    <t>B) By communicating and shifting their positions to trap the raider</t>
  </si>
  <si>
    <t>kabaddi_8</t>
  </si>
  <si>
    <t>What is the defensive team doing to prevent the raider from scoring?</t>
  </si>
  <si>
    <t>A) Forming a tight formation around the raider, B) Spreading out to cover more ground, C) Chasing the raider from a distance, D) Allowing the raider to cross into their side</t>
  </si>
  <si>
    <t>A) Forming a tight formation around the raider</t>
  </si>
  <si>
    <t>What is a potential challenge of playing on a sand ground for the players?</t>
  </si>
  <si>
    <t>A) Limited traction and stability, B) Increased speed of play, C) Enhanced grip and control, D) Reduced physical exertion</t>
  </si>
  <si>
    <t>A) Limited traction and stability</t>
  </si>
  <si>
    <t>What defensive tactic might be used to counter a fast-moving raider?</t>
  </si>
  <si>
    <t>A) Engaging in physical tackles, B) Maintaining a tight, coordinated defense, C) Allowing the raider to move freely, D) Switching between offensive and defensive roles</t>
  </si>
  <si>
    <t>B) Maintaining a tight, coordinated defense</t>
  </si>
  <si>
    <t>What surface is the kabaddi match being played on in the image?</t>
  </si>
  <si>
    <t>A) Grass, B) Sand, C) Concrete, D) Synthetic flooring</t>
  </si>
  <si>
    <t>B) Sand</t>
  </si>
  <si>
    <t>kabaddi_9</t>
  </si>
  <si>
    <t>Which kabaddi team is Pardeep Narwal associated with in the image?</t>
  </si>
  <si>
    <t>A) Bengaluru Bulls, B) Patna Pirates, C) U Mumba, D) Jaipur Pink Panthers</t>
  </si>
  <si>
    <t>B) Patna Pirates</t>
  </si>
  <si>
    <t>What position does he primarily play in kabaddi?</t>
  </si>
  <si>
    <t>A) Defender, B) Raider, C) All-Rounder, D) Goalkeeper</t>
  </si>
  <si>
    <t>B) Raider</t>
  </si>
  <si>
    <t>What is one of his notable achievements in the Pro Kabaddi League?</t>
  </si>
  <si>
    <t>A) Most points scored in a single season, B) Best defender award, C) Highest number of tackles, D) Best all-rounder award</t>
  </si>
  <si>
    <t>A) Most points scored in a single season</t>
  </si>
  <si>
    <t>What is his playing style known for in kabaddi?</t>
  </si>
  <si>
    <t>A) Aggressive defense, B) Quick and agile raiding, C) Long-range shooting, D) Strategic blocking</t>
  </si>
  <si>
    <t>B) Quick and agile raiding</t>
  </si>
  <si>
    <t>kabaddi_10</t>
  </si>
  <si>
    <t>What is the primary event depicted in the image?</t>
  </si>
  <si>
    <t>A) Pro Kabaddi League, B) Kabaddi World Cup, C) Asian Kabaddi Championship, D) Kabaddi Masters Dubai</t>
  </si>
  <si>
    <t>B) Kabaddi World Cup</t>
  </si>
  <si>
    <t>Which type of match is commonly associated with the Kabaddi World Cup, as depicted in the image?</t>
  </si>
  <si>
    <t>A) Knockout tournament, B) Round-robin league, C) Friendly exhibition match, D) Mixed-gender tournament</t>
  </si>
  <si>
    <t>A) Knockout tournament</t>
  </si>
  <si>
    <t>Which country won the 2016 Kabaddi World Cup?</t>
  </si>
  <si>
    <t>A) Pakistan, B) India, C) Bangladesh, D) Iran</t>
  </si>
  <si>
    <t>In which city was the 2016 Kabaddi World Cup final held?</t>
  </si>
  <si>
    <t>A) Mumbai, B) New Delhi, C) Bengaluru, D) Ahmedabad</t>
  </si>
  <si>
    <t>D) Ahmedabad</t>
  </si>
  <si>
    <t>kabaddi_11</t>
  </si>
  <si>
    <t>What position does this person primarily play in kabaddi?</t>
  </si>
  <si>
    <t>Which season of the Pro Kabaddi League (PKL) is this player most notably recognized for his performance?</t>
  </si>
  <si>
    <t>A) Season 5, B) Season 6, C) Season 7, D) Season 8</t>
  </si>
  <si>
    <t>C) Season 7</t>
  </si>
  <si>
    <t>What is one of notable achievements of this player in the Pro Kabaddi League?</t>
  </si>
  <si>
    <t>A) Highest raid points in a single season, B) Best defender award, C) Most successful tackles, D) Highest number of assists</t>
  </si>
  <si>
    <t>A) Highest raid points in a single season</t>
  </si>
  <si>
    <t>A) Defensive blocking, B) Aggressive raiding, C) Strategic passing, D) Goalkeeping</t>
  </si>
  <si>
    <t>B) Aggressive raiding</t>
  </si>
  <si>
    <t>kabaddi_12</t>
  </si>
  <si>
    <t>In which year did Naveen Kumar make his debut in the Pro Kabaddi League?</t>
  </si>
  <si>
    <t>A) 2016, B) 2017, C) 2018, D) 2019</t>
  </si>
  <si>
    <t>C) 2018</t>
  </si>
  <si>
    <t>What is Naveen Kumar’s playing style known for in kabaddi?</t>
  </si>
  <si>
    <t>What is one of Naveen Kumar's notable achievements in the Pro Kabaddi League?</t>
  </si>
  <si>
    <t>A) Highest raid points in a single season, B) Best defender award, C) Most successful tackles,D) Best all-rounder award</t>
  </si>
  <si>
    <t>Which season of the Pro Kabaddi League (PKL) is Naveen Kumar most notably recognized for his performance?</t>
  </si>
  <si>
    <t>A) Season 6, B) Season 7, C) Season 8, D) Season 9</t>
  </si>
  <si>
    <t>D) Season 9</t>
  </si>
  <si>
    <t>kabaddi_13</t>
  </si>
  <si>
    <t>Which team has he been a captain of in the Pro Kabaddi League (PKL)?</t>
  </si>
  <si>
    <t>A) Jaipur Pink Panthers, B) Bengaluru Bulls, C) U Mumba, D) Tamil Thalaivas</t>
  </si>
  <si>
    <t>A) Jaipur Pink Panthers</t>
  </si>
  <si>
    <t>C) All-Rounder</t>
  </si>
  <si>
    <t>Which major kabaddi title has he won as part of the Indian national team?</t>
  </si>
  <si>
    <t>A) Kabaddi World Cup, B) Asian Games Gold Medal, C) Pro Kabaddi League, D) Kabaddi Masters Dubai</t>
  </si>
  <si>
    <t>B) Asian Games Gold Medal</t>
  </si>
  <si>
    <t>A) Best Defender Award, B) MVP Award, C) Most Raid Points in a Season, D) Best All-Rounder Award</t>
  </si>
  <si>
    <t>D) Best All-Rounder Award</t>
  </si>
  <si>
    <t>kabaddi_14</t>
  </si>
  <si>
    <t>Who is the player in the image?</t>
  </si>
  <si>
    <t>A) Mohit Goyat, B) Pardeep Narwal, C) Rahul Chaudhari, D) Anup Kumar</t>
  </si>
  <si>
    <t>A) Mohit Goyat</t>
  </si>
  <si>
    <t>Which position does the player in the image primarily play?</t>
  </si>
  <si>
    <t>A) Defender, B) Raider, C) All-rounder, D) Corner</t>
  </si>
  <si>
    <t>What is the maximum duration a Raider can spend in the opponent's half during a raid?</t>
  </si>
  <si>
    <t>A) 10 seconds, B) 20 seconds, C) 30 seconds, D) 40 seconds</t>
  </si>
  <si>
    <t>C) 30 seconds</t>
  </si>
  <si>
    <t>Which country does the player in the image represent?</t>
  </si>
  <si>
    <t>A) Iran, B) India, C) South Korea, D) Bangladesh</t>
  </si>
  <si>
    <t>kabaddi_15</t>
  </si>
  <si>
    <t>What defensive formation are the players using?</t>
  </si>
  <si>
    <t>A) Chain Formation, B) Scattered, C) Semi-circle, D) Line</t>
  </si>
  <si>
    <t>C) Semi-circle</t>
  </si>
  <si>
    <t>How many players are in the defensive half?</t>
  </si>
  <si>
    <t>A) 2, B) 3, C) 4, D) 5</t>
  </si>
  <si>
    <t>B) 3</t>
  </si>
  <si>
    <t>What is the raider's position in the image?</t>
  </si>
  <si>
    <t>A) Near the midline, B) Close to the defense, C) In the opponent’s half, D) In his own half</t>
  </si>
  <si>
    <r>
      <rPr>
        <rFont val="Arial"/>
        <color rgb="FF000000"/>
      </rPr>
      <t>B) Close to the defense</t>
    </r>
  </si>
  <si>
    <t>What is the referee doing in the image?</t>
  </si>
  <si>
    <t>A) Signaling a raid, B) Awarding a point, C) Stopping the game, D) Watching the game</t>
  </si>
  <si>
    <r>
      <rPr>
        <rFont val="Arial"/>
        <color rgb="FF000000"/>
      </rPr>
      <t>D) Watching the game</t>
    </r>
  </si>
  <si>
    <t>kabaddi_16</t>
  </si>
  <si>
    <t>Which technique is the player using in the image?</t>
  </si>
  <si>
    <t>A) Chain Raid, B) Single Raid, C) Running Hand Touch, D) Do-or-Die Raid</t>
  </si>
  <si>
    <t>B) Single Raid</t>
  </si>
  <si>
    <t>What is the player’s position on the field?</t>
  </si>
  <si>
    <t>A) Left Corner, B) Right Corner, C) Left Raider, D) Right Raider</t>
  </si>
  <si>
    <t>D) Right Raider</t>
  </si>
  <si>
    <t>Which team is the player in the image representing?</t>
  </si>
  <si>
    <t>A) India, B) Pakistan, C) Bangladesh, D) Sri Lanka</t>
  </si>
  <si>
    <t>A) India</t>
  </si>
  <si>
    <t>What is the primary role of the player shown in the image?</t>
  </si>
  <si>
    <t>A) Raider, B) Defender, C) All-Rounder, D) Coach</t>
  </si>
  <si>
    <t>kabaddi_17</t>
  </si>
  <si>
    <t>Who is featured in the image?</t>
  </si>
  <si>
    <t>A) Anup Kumar, B) Pardeep Narwal, C) Rahul Chaudhari, D) Ajay Thakur</t>
  </si>
  <si>
    <t>A) Anup Kumar</t>
  </si>
  <si>
    <t>What event is Anup Kumar associated with in the image?</t>
  </si>
  <si>
    <t>A) Retirement, B) Debut, C) Injury, D) Coaching</t>
  </si>
  <si>
    <t>A) Retirement</t>
  </si>
  <si>
    <t>Which position is Anup Kumar known for playing?</t>
  </si>
  <si>
    <t>A) Defender, B) Raider, C) Goalkeeper, D) Coach</t>
  </si>
  <si>
    <t>What is a notable achievement of Anup Kumar's career?</t>
  </si>
  <si>
    <t>A) World Cup win, B) Highest scorer in a season, C) Most tackles in a match, D) Best coach award</t>
  </si>
  <si>
    <t>B) Highest scorer in a season</t>
  </si>
  <si>
    <t>kabaddi_18</t>
  </si>
  <si>
    <t>A) Manjeet Chhillar, B) Rahul Chaudhari, C) Pardeep Narwal, D) Ajay Thakur</t>
  </si>
  <si>
    <t>A) Manjeet Chhillar</t>
  </si>
  <si>
    <t>What is Manjeet Chhillar's primary role in kabaddi?</t>
  </si>
  <si>
    <t>Which kabaddi league does Manjeet Chhillar play in?</t>
  </si>
  <si>
    <t>A) Pro Kabaddi League, B) Kabaddi World Cup, C) Asian Kabaddi Championship, D) International Kabaddi League</t>
  </si>
  <si>
    <t>A) Pro Kabaddi League</t>
  </si>
  <si>
    <t>Which position is crucial for both offense and defense in kabaddi?</t>
  </si>
  <si>
    <t>A) Raider, B) Defender, C) All-Rounder, D) Goalkeeper</t>
  </si>
  <si>
    <t>What is the primary color of Manjeet Chhillar's jersey in the image?</t>
  </si>
  <si>
    <t>A) Red, B) Blue, C) Green, D) Yellow</t>
  </si>
  <si>
    <t>B) Blue</t>
  </si>
  <si>
    <t>Which kabaddi team is Manjeet Chhillar associated with in the image?</t>
  </si>
  <si>
    <t>A) Jaipur Pink Panthers, B) Patna Pirates, C) Dabang Delhi, D) Bengaluru Bulls</t>
  </si>
  <si>
    <t>kabaddi_19</t>
  </si>
  <si>
    <t>A) Fazel Atrachali, B) Pardeep Narwal, C) Rahul Chaudhari, D) Maninder Singh</t>
  </si>
  <si>
    <t>A) Fazel Atrachali</t>
  </si>
  <si>
    <t>What action is the player performing in the image?</t>
  </si>
  <si>
    <t>A) Attacking, B) Defending, C) Celebrating, D) Resting</t>
  </si>
  <si>
    <t>B) Defending</t>
  </si>
  <si>
    <t>What team is the player from?</t>
  </si>
  <si>
    <t>A) U Mumba, B) Patna Pirates, C) Bengal Warriors, D) Gujarat Giants</t>
  </si>
  <si>
    <t>C) Bengal Warriors</t>
  </si>
  <si>
    <t>A) Raider, B) Defender, C) Coach, D) Manager</t>
  </si>
  <si>
    <t>B) Defender</t>
  </si>
  <si>
    <t>kabaddi_20</t>
  </si>
  <si>
    <t>Who is the player shown in the image?</t>
  </si>
  <si>
    <t>A) Ajay Thakur, B) Pardeep Narwal, C) Rahul Chaudhari, D) Manjeet Chhillar</t>
  </si>
  <si>
    <t>A) Ajay Thakur</t>
  </si>
  <si>
    <t>Which team is Ajay Thakur playing for in this image?</t>
  </si>
  <si>
    <t>A) Tamil Thalaivas, B) Gujarat Fortunegiants, C) Dabang Delhi, D) Bengal Warriors</t>
  </si>
  <si>
    <t>A) Tamil Thalaivas</t>
  </si>
  <si>
    <t>What action is Ajay Thakur performing in the image?</t>
  </si>
  <si>
    <t>A) Raid, B) Tackle, C) Block, D) Catch</t>
  </si>
  <si>
    <t>A) Raid</t>
  </si>
  <si>
    <t>Against which team is the match being played?</t>
  </si>
  <si>
    <t>A) Gujarat Fortunegiants, B) Dabang Delhi, C) U Mumba, D) Bengaluru Bulls</t>
  </si>
  <si>
    <t>A) Gujarat Fortunegiants</t>
  </si>
  <si>
    <t>What is the significance of Ajay Thakur’s performance in this image?</t>
  </si>
  <si>
    <t>A) He scored a decisive raid, B) He performed a critical tackle, C) He is celebrating a victory, D) He is strategizing with the coach</t>
  </si>
  <si>
    <t>A) He scored a decisive raid</t>
  </si>
  <si>
    <t>kabaddi_21</t>
  </si>
  <si>
    <t>A) Defender, B) Raider, C) All-Rounder, D) Coach</t>
  </si>
  <si>
    <t>Which team color is primarily worn by the player in the image?</t>
  </si>
  <si>
    <t>A) Red</t>
  </si>
  <si>
    <t>What is the main equipment the player in the image is using?</t>
  </si>
  <si>
    <t>A) Knee Pads, B) Helmet, C) Hand Gloves, D) Mouth Guard</t>
  </si>
  <si>
    <t>A) Knee Pads</t>
  </si>
  <si>
    <t>What action is the player in the image performing?</t>
  </si>
  <si>
    <t>A) Defending, B) Raiding, C) Coaching, D) Spectating</t>
  </si>
  <si>
    <t>B) Raiding</t>
  </si>
  <si>
    <t>Which of the following strategies is most likely employed by the player in the image?</t>
  </si>
  <si>
    <t>A) Blocking the raider, B) Escaping the tackle, C) Supporting the team leader, D) Observing the opponent</t>
  </si>
  <si>
    <t>B) Escaping the tackle</t>
  </si>
  <si>
    <t>How is the player's stance in the image best described?</t>
  </si>
  <si>
    <t>A) Offensive, B) Defensive, C) Neutral, D) Retreating</t>
  </si>
  <si>
    <t>A) Offensive</t>
  </si>
  <si>
    <t>kabaddi_22</t>
  </si>
  <si>
    <t>What action is being performed by the player in the image?</t>
  </si>
  <si>
    <t>A) Raiding, B) Defending, C) Jumping, D) Passing</t>
  </si>
  <si>
    <t>A) Raiding</t>
  </si>
  <si>
    <t>What is the primary objective of the player shown in the image?</t>
  </si>
  <si>
    <t>A) To tag opponents, B) To evade opponents, C) To score points, D) To defend the goal</t>
  </si>
  <si>
    <t>A) To tag opponents</t>
  </si>
  <si>
    <t>How many players are involved in the kabaddi match from each team?</t>
  </si>
  <si>
    <t>A) 5, B) 7, C) 6, D) 8</t>
  </si>
  <si>
    <t>B) 7</t>
  </si>
  <si>
    <t>Which part of the kabaddi field is the player shown in the image likely to be focused on?</t>
  </si>
  <si>
    <t>A) Attack area, B) Defense area, C) Bench area, D) Midfield area</t>
  </si>
  <si>
    <t>A) Attack area</t>
  </si>
  <si>
    <t>What is the primary equipment used in kabaddi as shown in the image?</t>
  </si>
  <si>
    <t>A) Ball, B) Bat, C) None, D) Racket</t>
  </si>
  <si>
    <t>C) None</t>
  </si>
  <si>
    <t>kabaddi_23</t>
  </si>
  <si>
    <t>A) Mohammadreza, B) Ali, C) Ahmed, D) Reza</t>
  </si>
  <si>
    <t>A) Mohammadreza</t>
  </si>
  <si>
    <t>What position is Mohammadreza playing in this image?</t>
  </si>
  <si>
    <t>Which team is Mohammadreza likely to be a part of?</t>
  </si>
  <si>
    <t>A) Blue Team, B) Red Team, C) Green Team, D) Yellow Team</t>
  </si>
  <si>
    <t>B) Red Team</t>
  </si>
  <si>
    <t>What is the likely action Mohammadreza is performing?</t>
  </si>
  <si>
    <t>A) Attacking, B) Defending, C) Taking a break, D) Scoring</t>
  </si>
  <si>
    <t>A) Attacking</t>
  </si>
  <si>
    <t>kabaddi_24</t>
  </si>
  <si>
    <t>Which country is hosting the event shown in the image?</t>
  </si>
  <si>
    <t>What kind of competition is depicted in the image?</t>
  </si>
  <si>
    <t>A) National Championship, B) International Tournament, C) Friendly Match, D) Local League</t>
  </si>
  <si>
    <t>B) International Tournament</t>
  </si>
  <si>
    <t>kabaddi_25</t>
  </si>
  <si>
    <t>For the sport shown in the image, what is the maximum time a player can spend outside the court after being tackled?</t>
  </si>
  <si>
    <t>A) 30 seconds, B) 1 minute, C) 3 minutes, D) Until the next raid is completed</t>
  </si>
  <si>
    <t>D) Until the next raid is completed</t>
  </si>
  <si>
    <t>For the sport shown in the image, what is the primary responsibility of a 'corner' defender?</t>
  </si>
  <si>
    <t>A) To block the raider from entering, B) To execute chain tackles, C) To attack the raider's legs, D) To monitor the bonus line</t>
  </si>
  <si>
    <t>C) To attack the raider's legs</t>
  </si>
  <si>
    <t>For the sport shown in the image, if all defenders are out and only one raider remains, what is the term used for this situation?</t>
  </si>
  <si>
    <t>A) Super Raid, B) Super Tackle, C) All-Out, D) Bonus Raid</t>
  </si>
  <si>
    <t>C) All-Out</t>
  </si>
  <si>
    <t>For the sport shown in the image, what is the significance of the 'Super Tackle' rule?</t>
  </si>
  <si>
    <t>A) 1 point awarded to the defending team for tackling, B) 2 points awarded for tackling a raider with 4 or fewer defenders, C) 2 points awarded to the raider, D) 1 bonus point to the raider</t>
  </si>
  <si>
    <t>B) 2 points awarded for tackling a raider with 4 or fewer defenders</t>
  </si>
  <si>
    <t>kabaddi_26</t>
  </si>
  <si>
    <t>For the sport shown in the image, what does the referee signal when the raider steps over the bonus line successfully?</t>
  </si>
  <si>
    <t>A) Raises both arms above their head, B) Blows the whistle and points to the raider, C) Waves a red flag, D) Signals to the scorekeeper</t>
  </si>
  <si>
    <t>B) Blows the whistle and points to the raider</t>
  </si>
  <si>
    <t>For the sport shown in the image, what is the term used when a raider returns to their half without being tackled but fails to touch any defender?</t>
  </si>
  <si>
    <t>A) Empty Raid, B) Successful Raid, C) All-Out, D) Bonus Raid</t>
  </si>
  <si>
    <t>A) Empty Raid</t>
  </si>
  <si>
    <t>For the sport shown in the image, what action results in a 'Lona'?</t>
  </si>
  <si>
    <t>A) The raider touches the bonus line, B) The defending team is all out, C) The raider performs a super tackle, D) The raid is unsuccessful</t>
  </si>
  <si>
    <t>B) The defending team is all out</t>
  </si>
  <si>
    <t>For the sport shown in the image, what happens if the raider steps out of bounds during a raid?</t>
  </si>
  <si>
    <t>A) The raid is void, B) The raider is out, C) The defending team earns 1 point, D) The raider earns 1 point</t>
  </si>
  <si>
    <t>B) The raider is out</t>
  </si>
  <si>
    <t>kabaddi_27</t>
  </si>
  <si>
    <t>For the sport in the image, how many players are on the field from each team?</t>
  </si>
  <si>
    <t>A) 5, B) 7, C) 9, D) 11</t>
  </si>
  <si>
    <t>In the sport shown in the image, what is the objective of a raider?</t>
  </si>
  <si>
    <t>A) To tackle defenders, B) To touch defenders and return safely, C) To cross the center line, D) To stay in the opponent's half</t>
  </si>
  <si>
    <t>B) To touch defenders and return safely</t>
  </si>
  <si>
    <t>For the sport in the image, what is the role of the defenders?</t>
  </si>
  <si>
    <t>A) To avoid the raider, B) To tackle the raider, C) To touch the raider, D) To cross the center line</t>
  </si>
  <si>
    <t>B) To tackle the raider</t>
  </si>
  <si>
    <t>For the sport in the image, what happens if a raider steps outside the boundary line?</t>
  </si>
  <si>
    <t>A) They lose a point, B) They are out, C) They gain a point, D) The raid continues</t>
  </si>
  <si>
    <t>B) They are out</t>
  </si>
  <si>
    <t>kabaddi_28</t>
  </si>
  <si>
    <t>For the sport in the image, how many points does a team earn for a successful raid?</t>
  </si>
  <si>
    <t>A) 1 point, B) 2 points, C) 3 points, D) 4 points</t>
  </si>
  <si>
    <t>A) 1 point</t>
  </si>
  <si>
    <t>For the sport in the image, what is the bonus line?</t>
  </si>
  <si>
    <t>A) A line that awards extra points, B) A line that must be crossed for a bonus, C) A line that separates the teams, D) A line for defenders</t>
  </si>
  <si>
    <t>B) A line that must be crossed for a bonus</t>
  </si>
  <si>
    <t>In the sport shown in the image, how many points are awarded for a 'Super Tackle'?</t>
  </si>
  <si>
    <t>B) 2 points</t>
  </si>
  <si>
    <t>For the sport in the image, what is the maximum time a raider can spend in the opponent's half?</t>
  </si>
  <si>
    <t>A) 20 seconds, B) 30 seconds, C) 40 seconds, D) 60 seconds</t>
  </si>
  <si>
    <t>B) 30 seconds</t>
  </si>
  <si>
    <t>kabaddi_29</t>
  </si>
  <si>
    <t>In the sport shown in the image, what is the standard length of a kabaddi court?</t>
  </si>
  <si>
    <t>A) 10 meters, B) 12.5 meters, C) 13 meters, D) 15 meters</t>
  </si>
  <si>
    <t>C) 13 meters</t>
  </si>
  <si>
    <t>For the sport in the image, how many players need to be involved in a Super Tackle?</t>
  </si>
  <si>
    <t>In the sport shown in the image, how long does each half of a match last?</t>
  </si>
  <si>
    <t>A) 15 minutes, B) 20 minutes, C) 25 minutes, D) 30 minutes</t>
  </si>
  <si>
    <t>B) 20 minutes</t>
  </si>
  <si>
    <t>For the sport in the image, what is the term for when a team is all out?</t>
  </si>
  <si>
    <t>A) Bonus, B) Lona, C) Super Tackle, D) Takedown</t>
  </si>
  <si>
    <t>B) Lona</t>
  </si>
  <si>
    <t>kabaddi_30</t>
  </si>
  <si>
    <t>In the sport shown in the image, what color are the boundary lines typically marked?</t>
  </si>
  <si>
    <t>A) Red, B) Yellow, C) Blue, D) White</t>
  </si>
  <si>
    <t>For the sport in the image, what happens if a raider successfully crosses the bonus line?</t>
  </si>
  <si>
    <t>A) They earn a bonus point, B) They lose a point, C) The raid ends, D) They are out</t>
  </si>
  <si>
    <t>A) They earn a bonus point</t>
  </si>
  <si>
    <t>For the sport in the image, how many points are awarded for a successful raid that touches multiple defenders?</t>
  </si>
  <si>
    <t>A) 1 point per touch, B) 2 points per touch, C) 1 point for all touches, D) 2 points for all touches</t>
  </si>
  <si>
    <t>A) 1 point per touch</t>
  </si>
  <si>
    <t>In the sport shown in the image, what is the purpose of the central line?</t>
  </si>
  <si>
    <t>A) To divide the teams, B) To mark the raider's start, C) To show the end of a raid, D) To mark the bonus zone</t>
  </si>
  <si>
    <t>A) To divide the teams</t>
  </si>
  <si>
    <t>kabaddi_31</t>
  </si>
  <si>
    <t>For the sport in the image, what is the role of the player closest to the raider?</t>
  </si>
  <si>
    <t>A) To tackle the raider, B) To support other defenders, C) To lead the defense, D) To evade the raider</t>
  </si>
  <si>
    <t>A) To tackle the raider</t>
  </si>
  <si>
    <t>For the sport in the image, what surface is the kabaddi match typically played on?</t>
  </si>
  <si>
    <t>A) Grass, B) Sand, C) Mat, D) Concrete</t>
  </si>
  <si>
    <t>C) Mat</t>
  </si>
  <si>
    <t>In the sport shown in the image, what does the referee do when the raider is caught?</t>
  </si>
  <si>
    <t>A) Signals a point for defenders, B) Signals a point for raider, C) Signals the end of the match, D) Stops the raid</t>
  </si>
  <si>
    <t>A) Signals a point for defenders</t>
  </si>
  <si>
    <t>For the sport in the image, how many defenders must be present for a Super Tackle?</t>
  </si>
  <si>
    <t>A) 2</t>
  </si>
  <si>
    <t>kabaddi_32</t>
  </si>
  <si>
    <t>For the sport in the image, what is the purpose of the dash line?</t>
  </si>
  <si>
    <t>A) To mark the bonus line, B) To separate defenders, C) To divide the raid area, D) To mark the safe zone</t>
  </si>
  <si>
    <t>A) To mark the bonus line</t>
  </si>
  <si>
    <t>In the sport shown in the image, what color are the jerseys typically worn by defenders?</t>
  </si>
  <si>
    <t>A) Red, B) Blue, C) Yellow, D) Green</t>
  </si>
  <si>
    <t>For the sport in the image, how many points are awarded for a successful Lona?</t>
  </si>
  <si>
    <t>In the sport shown in the image, how many halves are there in a standard match?</t>
  </si>
  <si>
    <t>kabaddi_33</t>
  </si>
  <si>
    <t>For the sport in the image, what action results in a point for the raider?</t>
  </si>
  <si>
    <t>A) Touching the defender, B) Crossing the center line, C) Evading the defenders, D) Staying in the opponent's half</t>
  </si>
  <si>
    <t>A) Touching the defender</t>
  </si>
  <si>
    <t>For the sport in the image, what is the penalty for stepping out of bounds during a raid?</t>
  </si>
  <si>
    <t>A) The raider earns a point, B) The raider is out, C) The raid continues, D) The defenders lose a point</t>
  </si>
  <si>
    <t>In the sport shown in the image, what term is used when a raider is tackled by two or more defenders?</t>
  </si>
  <si>
    <t>A) Super Raid, B) Super Tackle, C) All-Out, D) Lona</t>
  </si>
  <si>
    <t>B) Super Tackle</t>
  </si>
  <si>
    <t>For the sport in the image, what is the main role of the corner defender?</t>
  </si>
  <si>
    <t>A) To tackle the raider, B) To assist other defenders, C) To lead the defense, D) To evade the raider</t>
  </si>
  <si>
    <t>kabaddi_34</t>
  </si>
  <si>
    <t>In the sport shown in the image, what is the duration of a typical kabaddi raid?</t>
  </si>
  <si>
    <t>For the sport in the image, what is a successful raid known as?</t>
  </si>
  <si>
    <t>A) Tackle, B) Bonus, C) Touch, D) Capture</t>
  </si>
  <si>
    <t>C) Touch</t>
  </si>
  <si>
    <t>In the sport shown in the image, what action must a raider do to confirm a touch on a defender?</t>
  </si>
  <si>
    <t>A) Return to their half, B) Stay in the opponent’s half, C) Signal to the referee, D) Cross the bonus line</t>
  </si>
  <si>
    <t>A) Return to their half</t>
  </si>
  <si>
    <t>For the sport in the image, what happens if the raider touches multiple defenders?</t>
  </si>
  <si>
    <t>A) 1 point per defender, B) 2 points, C) The raid ends, D) The defender scores</t>
  </si>
  <si>
    <t>A) 1 point per defender</t>
  </si>
  <si>
    <t>kabaddi_35</t>
  </si>
  <si>
    <t>For the sport in the image, what is a 'Do or Die' raid?</t>
  </si>
  <si>
    <t>A) A raid where the raider must score, B) A raid where the raider must tackle, C) A raid with extra points, D) A raid that ends the match</t>
  </si>
  <si>
    <t>A) A raid where the raider must score</t>
  </si>
  <si>
    <t>In the sport shown in the image, what happens when a team earns a 'Super Raid'?</t>
  </si>
  <si>
    <t>C) 3 points</t>
  </si>
  <si>
    <t>For the sport in the image, how is the raider's entry into the opponent's half determined?</t>
  </si>
  <si>
    <t>A) Crossing the bonus line, B) Saying ‘Kabaddi’, C) Touching the opponent, D) Crossing the central line</t>
  </si>
  <si>
    <t>D) Crossing the central line</t>
  </si>
  <si>
    <t>For the sport in the image, what must the raider continuously chant while raiding?</t>
  </si>
  <si>
    <t>A) 'Touch', B) 'Out', C) 'Kabaddi', D) 'Bonus'</t>
  </si>
  <si>
    <t>C) 'Kabaddi'</t>
  </si>
  <si>
    <t>kabaddi_36</t>
  </si>
  <si>
    <t>In the sport shown in the image, what is the minimum number of defenders needed to attempt a Super Tackle?</t>
  </si>
  <si>
    <t>For the sport in the image, what does the raider need to cross for a valid bonus point?</t>
  </si>
  <si>
    <t>A) Central line, B) Bonus line, C) End line, D) Tackle line</t>
  </si>
  <si>
    <t>B) Bonus line</t>
  </si>
  <si>
    <t>In the sport shown in the image, what must a defender do to avoid being declared out?</t>
  </si>
  <si>
    <t>A) Touch the raider, B) Stay in bounds, C) Cross the central line, D) Avoid the raider’s touch</t>
  </si>
  <si>
    <t>D) Avoid the raider’s touch</t>
  </si>
  <si>
    <t>For the sport in the image, how many players must a team have to be declared 'All Out'?</t>
  </si>
  <si>
    <t>A) 1 player, B) 2 players, C) No players, D) 3 players</t>
  </si>
  <si>
    <t>C) No players</t>
  </si>
  <si>
    <t>kabaddi_37</t>
  </si>
  <si>
    <t>In the sport shown in the image, what is the significance of the 'Lobby' area?</t>
  </si>
  <si>
    <t>A) A scoring zone, B) A safety zone, C) A penalty zone, D) A zone that can only be used after a touch</t>
  </si>
  <si>
    <t>D) A zone that can only be used after a touch</t>
  </si>
  <si>
    <t>For the sport in the image, what is the maximum number of raiders a team can send at once?</t>
  </si>
  <si>
    <t>A) 1 raider, B) 2 raiders, C) 3 raiders, D) 4 raiders</t>
  </si>
  <si>
    <t>A) 1 raider</t>
  </si>
  <si>
    <t>For the sport in the image, what is the referee's role during a raid?</t>
  </si>
  <si>
    <t>A) To count points, B) To monitor the time, C) To track the raider’s chant, D) To control the defenders</t>
  </si>
  <si>
    <t>C) To track the raider’s chant</t>
  </si>
  <si>
    <t>In the sport shown in the image, how many bonus points can a raider earn in a single raid?</t>
  </si>
  <si>
    <t>kabaddi_38</t>
  </si>
  <si>
    <t>For the sport in the image, how many times can a player raid consecutively?</t>
  </si>
  <si>
    <t>A) Once per turn, B) Twice per turn, C) Until tackled, D) Unlimited</t>
  </si>
  <si>
    <t>A) Once per turn</t>
  </si>
  <si>
    <t>In the sport shown in the image, what happens to the defenders if a raider successfully returns after touching them?</t>
  </si>
  <si>
    <t>A) They remain in the game, B) They are declared out, C) They gain a point, D) The raid is nullified</t>
  </si>
  <si>
    <t>B) They are declared out</t>
  </si>
  <si>
    <t>For the sport in the image, what is the maximum number of points a team can score from a single raid?</t>
  </si>
  <si>
    <t>A) 1 point, B) 2 points, C) 3 points, D) Unlimited</t>
  </si>
  <si>
    <t>D) Unlimited</t>
  </si>
  <si>
    <t>In the sport shown in the image, what does a raider need to do if they touch multiple defenders?</t>
  </si>
  <si>
    <t>A) Touch more defenders, B) Cross the bonus line, C) Return to their half, D) Continue the raid</t>
  </si>
  <si>
    <t>C) Return to their half</t>
  </si>
  <si>
    <t>chess_1</t>
  </si>
  <si>
    <t>Which game is played in the given image?</t>
  </si>
  <si>
    <t xml:space="preserve">A) Kabaddi, B) Kho-kho, C) Chess, D) Cricket </t>
  </si>
  <si>
    <t>C) Chess</t>
  </si>
  <si>
    <t>Approximately how old is the game shown in the picture?</t>
  </si>
  <si>
    <t>A) 1500 years, B) 300 years, C) 500 years, D) 900 years</t>
  </si>
  <si>
    <t>A) 1500 years</t>
  </si>
  <si>
    <t>How many squares does a chessboard have?</t>
  </si>
  <si>
    <t>A) 65, B) 32, C) 64, D) 99</t>
  </si>
  <si>
    <t>C) 64</t>
  </si>
  <si>
    <t>How many players can play this game?</t>
  </si>
  <si>
    <t>A) 1, B) 2, C) 4, D) 6</t>
  </si>
  <si>
    <t>chess_2</t>
  </si>
  <si>
    <t>Who is the player shown in the photo?</t>
  </si>
  <si>
    <t>A) Vladimir Kramnik, B) Viswanathan Anand, C) Magnus Carlsen, D) Ding Liren</t>
  </si>
  <si>
    <t>C) Magnus Carlsen</t>
  </si>
  <si>
    <t>How long is the record for the longest unbeaten streak at the elite level in classical chess of the given player?</t>
  </si>
  <si>
    <t>A) 102 games, B) 125 games, C) 130 games, D) 99 games</t>
  </si>
  <si>
    <t>B) 125 games</t>
  </si>
  <si>
    <t>Which year did he become a grandmaster?</t>
  </si>
  <si>
    <t>A) 2000, B) 2015, C) 2003, D) 2004</t>
  </si>
  <si>
    <t>D) 2004</t>
  </si>
  <si>
    <t>When did he become the world champion?</t>
  </si>
  <si>
    <t>A) 2012, B) 2010, C) 2018, D) 2013</t>
  </si>
  <si>
    <t>D) 2013</t>
  </si>
  <si>
    <t>chess_3</t>
  </si>
  <si>
    <t>B) Viswanathan Anand</t>
  </si>
  <si>
    <t>How many times has Viswanathan Anand won the World Chess Championship?</t>
  </si>
  <si>
    <t>A) 3, B) 4, C) 5, D) 6</t>
  </si>
  <si>
    <t>C) 5</t>
  </si>
  <si>
    <t>Viswanathan Anand was the first recipient of which prestigious Indian sports honor?</t>
  </si>
  <si>
    <t>A) Arjuna Award, B) Rajiv Gandhi Khel Ratna, C) Padma Bhushan, D) Dronacharya Award</t>
  </si>
  <si>
    <t>B) Rajiv Gandhi Khel Ratna</t>
  </si>
  <si>
    <t>Which prestigious chess tournament did Viswanathan Anand win in 1987, marking the beginning of his rise in the international chess scene?</t>
  </si>
  <si>
    <t>A) Tata Steel Chess Tournament, B) World Junior Chess Championship, C) Candidates Tournament, D) Chess Olympiad</t>
  </si>
  <si>
    <t>B) World Junior Chess Championship</t>
  </si>
  <si>
    <t>chess_4</t>
  </si>
  <si>
    <t>What is the initial move option for this in chess?</t>
  </si>
  <si>
    <t>A) One square forward, B) Two squares forward, C) One or two squares forward, D) Three squares forward</t>
  </si>
  <si>
    <t>C) One or two squares forward</t>
  </si>
  <si>
    <t>What happens when this piece reaches the opposite end of the chessboard?</t>
  </si>
  <si>
    <t>A) It gets promoted to a queen, B) It gets promoted to any piece except a king, C) It gets captured, D) It cannot move any further</t>
  </si>
  <si>
    <t>B) It gets promoted to any piece except a king</t>
  </si>
  <si>
    <t>How does this piece capture another piece?</t>
  </si>
  <si>
    <t>A) By moving straight forward, B) By moving two squares forward, C) By moving one square diagonally forward, D) By moving backward</t>
  </si>
  <si>
    <t>C) By moving one square diagonally forward</t>
  </si>
  <si>
    <t>How many of this piece does each player start with?</t>
  </si>
  <si>
    <t>A) 6, B) 8, C) 10, D) 12</t>
  </si>
  <si>
    <t>B) 8</t>
  </si>
  <si>
    <t>chess_5</t>
  </si>
  <si>
    <t>Which of the following statements is true about the given piece ability to move when castling?</t>
  </si>
  <si>
    <t>A) The king can move through a square that is under attack by an opponent's piece, B) The king can castle if it has moved back to its original square earlier in the game, C) The king can only castle with a rook that has not moved previously in the game, D) The king can castle even if it is currently in check.</t>
  </si>
  <si>
    <t>C) The king can only castle with a rook that has not moved previously in the game</t>
  </si>
  <si>
    <t>If this piece is the only piece remaining on the board for a player, under what condition can that player avoid losing the game?</t>
  </si>
  <si>
    <t>A) If the opposing player does not have a sufficient material to checkmate, B) If the player can still castle, C) If the player can promote a pawn on their next move, D) If the king reaches the center of the board</t>
  </si>
  <si>
    <t>A) If the opposing player does not have sufficient material to checkmate</t>
  </si>
  <si>
    <t>When can a this capture an opponent’s piece?</t>
  </si>
  <si>
    <t>A) When the opponent’s piece is undefended, B) When capturing the piece does not place this in check, C) When the this is already in check, D) When the this captures, it must also be protected by a pawn</t>
  </si>
  <si>
    <t>B) When capturing the piece does not place this in check.</t>
  </si>
  <si>
    <t>What is the rule regarding this and stalemate?</t>
  </si>
  <si>
    <t>A) Stalemate occurs when this is in check with no legal moves, B) Stalemate occurs when the king has no legal moves but is not in check, C) Stalemate can only happen in the endgame with kings and pawns, D) Stalemate requires both players to have an equal number of pieces</t>
  </si>
  <si>
    <t>B) Stalemate occurs when the king has no legal moves but is not in check</t>
  </si>
  <si>
    <t>chess_6</t>
  </si>
  <si>
    <t>How does this move in chess?</t>
  </si>
  <si>
    <t>A) One square in any direction, B) Any number of squares horizontally, vertically, or diagonally, C) Only one square diagonally, D) Like a rook, but only two squares at a time</t>
  </si>
  <si>
    <t>B) Any number of squares horizontally, vertically, or diagonally</t>
  </si>
  <si>
    <t>What is the maximum number of squares this can move in a single turn?</t>
  </si>
  <si>
    <t>A) 1, B) 2, C) 8, D) 27</t>
  </si>
  <si>
    <t>D) 27</t>
  </si>
  <si>
    <t>Which of the following statements about this is true?</t>
  </si>
  <si>
    <t>A) This can only move if it is not blocked by other pieces, B) This can move through other pieces as long as they are of the same color, C) This can capture pieces only along the diagonal lines, D) This movement is restricted by the color of the square it starts on</t>
  </si>
  <si>
    <t>A) The queen can only move if it is not blocked by other pieces</t>
  </si>
  <si>
    <t>What happens when this is captured?</t>
  </si>
  <si>
    <t>A) The game continues with the opponent's queen, B) The queen is removed from the board, and the player must adapt their strategy, C) The queen can be replaced by any other piece of the player's choice, D) The queen is returned to its original position</t>
  </si>
  <si>
    <t>B) The queen is removed from the board, and the player must adapt their strategy</t>
  </si>
  <si>
    <t>chess_7</t>
  </si>
  <si>
    <t>How many squares does this control from a central position on the board?</t>
  </si>
  <si>
    <t>A) 8, B) 4, C) 12, D) 16</t>
  </si>
  <si>
    <t>A) 8</t>
  </si>
  <si>
    <t>What is maximum number of legal moves from a central position on an empty board for this piece?</t>
  </si>
  <si>
    <t>A) 4, B) 6, C) 8, D) 12</t>
  </si>
  <si>
    <t>C) 8</t>
  </si>
  <si>
    <t>Which of the following pieces does this have the same number of possible initial moves as?</t>
  </si>
  <si>
    <t>A) Rook, B) Queen, C) Bishop, D) Pawn</t>
  </si>
  <si>
    <t>D) Pawn</t>
  </si>
  <si>
    <t>What is a common strategy involving this in the endgame?</t>
  </si>
  <si>
    <t>A) Placing knights in positions where they control key squares and create forks, B) Keeping knights in the back rank to defend pawns, C) Using knights primarily for pawn promotion, D) Moving knights to the edges of the board to limit their movement</t>
  </si>
  <si>
    <t>A) Placing knights in positions where they control key squares and create forks</t>
  </si>
  <si>
    <t>chess_8</t>
  </si>
  <si>
    <t>A) One square in any direction, B) Any number of squares horizontally or vertically, C) Two squares in any direction, D) Diagonally only</t>
  </si>
  <si>
    <t>B) Any number of squares horizontally or vertically</t>
  </si>
  <si>
    <t>What is a key feature of this movement compared to the queen?</t>
  </si>
  <si>
    <t>A) This can move diagonally like the queen, B) This can only move horizontally or vertically, while the queen can move in both directions, C) This can jump over other pieces, D) This can move only one square at a time</t>
  </si>
  <si>
    <t>B) The rook can only move horizontally or vertically, while the queen can move in both directions</t>
  </si>
  <si>
    <t>Which of the following statements about its power is correct?</t>
  </si>
  <si>
    <t>A) It is the most powerful piece in terms of range of movement, B) It is the least powerful piece and can only move one square at a time, C) It power is equal to that of a bishop, D) This and queen have equal power in terms of movement</t>
  </si>
  <si>
    <t>D) This and queen have equal power in terms of movement</t>
  </si>
  <si>
    <t>What happens when this is placed on the edge of the board?</t>
  </si>
  <si>
    <t>A) This can only move to squares within its rank or file that are still on the board, B) This gains additional movement options, C) This can move diagonally more effectively, D) This is unable to move at all</t>
  </si>
  <si>
    <t>A) The rook can only move to squares within its rank or file that are still on the board</t>
  </si>
  <si>
    <t>chess_9</t>
  </si>
  <si>
    <t>A) Any number of squares horizontally or vertically, B) Any number of squares diagonally, C) One square in any direction, D) Two squares in any direction</t>
  </si>
  <si>
    <t>B) Any number of squares diagonally</t>
  </si>
  <si>
    <t>Which of the following statements is true?</t>
  </si>
  <si>
    <t>A) The bishop can move only on squares of one color throughout the game, B) The bishop can move horizontally and vertically, C) The bishop can jump over other pieces, D) The bishop can only move to squares of the opposite color</t>
  </si>
  <si>
    <t>A) The bishop can move only on squares of one color throughout the game</t>
  </si>
  <si>
    <t>How many of these does each player start with in a standard chess game?</t>
  </si>
  <si>
    <t>What is the role of this in a middle game strategy?</t>
  </si>
  <si>
    <t>A) To control long diagonals and support attacking plans, B) To stay in the corner of the board, C) To assist in castling and maintaining a defensive position, D) To move directly towards the opponent's king</t>
  </si>
  <si>
    <t>A) To control long diagonals and support attacking plans</t>
  </si>
  <si>
    <t>chess_10</t>
  </si>
  <si>
    <t>Which White piece is in a position to launch a direct attack on the Black king with a potential checkmate threat?</t>
  </si>
  <si>
    <t>A) The Queen on c2, B) The Bishop on f4, C) The Knight on c3, D) The Rook on d1</t>
  </si>
  <si>
    <t>A) The Queen on c2</t>
  </si>
  <si>
    <t>What is the best immediate move for White to create a checkmate threat?</t>
  </si>
  <si>
    <t>A) O-O (Castling Kingside), B) Bxe6 (Bishop captures on e6), C) Qxh7+ (Queen captures h7 with check), D) Nb5 (Knight to b5)</t>
  </si>
  <si>
    <t>C) Qxh7+ (Queen captures h7 with check)</t>
  </si>
  <si>
    <t>Which Black piece is currently undefended and vulnerable to an attack?</t>
  </si>
  <si>
    <t>A) The Knight on h5, B) The Bishop on e7, C) The Rook on f8, D) The Queen on a5</t>
  </si>
  <si>
    <t>A) The Knight on h5</t>
  </si>
  <si>
    <t>Which White piece can the Black knight on h5 capture in the current position?</t>
  </si>
  <si>
    <t>A) The Queen on c2, B) The Bishop on c4, C) The Knight on f3, D) The Rook on d1</t>
  </si>
  <si>
    <t>C) The Knight on f3</t>
  </si>
  <si>
    <t>chess_11</t>
  </si>
  <si>
    <t>Which piece can White move to give a check to the Black King?</t>
  </si>
  <si>
    <t>A) Rook on d1, B) Knight on g3, C) Queen on c2, D) Bishop on b1</t>
  </si>
  <si>
    <t>A) Rook on d1</t>
  </si>
  <si>
    <t>What is the best move for White to capture the Black Knight on c6?</t>
  </si>
  <si>
    <t>A) Move the Knight from f3 to e5, B) Move the Bishop from b1 to a2, C) Move the Queen from c2 to c3, D) Move the Rook from d1 to d7</t>
  </si>
  <si>
    <t>A) Move the Knight from f3 to e5</t>
  </si>
  <si>
    <t>Which of the following moves allows White to potentially win a piece?</t>
  </si>
  <si>
    <t>A) Queen c2 to c3, B) Knight f3 to e5, C) Bishop b1 to e4, D) Rook d1 to d7</t>
  </si>
  <si>
    <t>B) Knight f3 to e5</t>
  </si>
  <si>
    <t>Which piece is currently under attack by the White Knight on g3?</t>
  </si>
  <si>
    <t>A) Bishop on e7, B) Rook on a8, C) Pawn on h6, D) Knight on c6</t>
  </si>
  <si>
    <t>C) Pawn on h6</t>
  </si>
  <si>
    <t>chess_12</t>
  </si>
  <si>
    <t>How many squares are there on this 4-player chess board?</t>
  </si>
  <si>
    <t>A) 64, B) 96, C) 128, D) 144</t>
  </si>
  <si>
    <t>C) 128</t>
  </si>
  <si>
    <t>Which piece typically starts on the corner squares of this chess board?</t>
  </si>
  <si>
    <t>A) King, B) Queen, C) Rook, D) Knight</t>
  </si>
  <si>
    <t>C) Rook</t>
  </si>
  <si>
    <t>What is the primary difference in capturing pieces in this compared to traditional 2-player chess?</t>
  </si>
  <si>
    <t>A) Captured pieces are removed from the board, B) Captured pieces can be passed to an ally, C) Captured pieces change color and join the capturing player, D) Captured pieces are frozen and cannot move for one turn</t>
  </si>
  <si>
    <t>C) Captured pieces change color and join the capturing player</t>
  </si>
  <si>
    <t>What is the color of the pieces for the fourth player?</t>
  </si>
  <si>
    <t>A) Green, B) Yellow, C) Red, D) Blue</t>
  </si>
  <si>
    <t>B) Yellow</t>
  </si>
  <si>
    <t>chess_13</t>
  </si>
  <si>
    <t>What organization is responsible for the chessboard design shown in the image?</t>
  </si>
  <si>
    <t>A) Fédération Internationale des Échecs (FIDE), B) Local Chess, C) United States Chess Federation (USCF), D) National Chess Federation (NCF)</t>
  </si>
  <si>
    <t>C) United States Chess Federation (USCF)</t>
  </si>
  <si>
    <t>What is the typical material used for this chessboards in official tournaments?</t>
  </si>
  <si>
    <t>A) Plastic, B) Wood, C) Cardboard, D) Metal</t>
  </si>
  <si>
    <t>B) Wood</t>
  </si>
  <si>
    <t>Which side of this chessboard should be facing the players for a standard game setup?</t>
  </si>
  <si>
    <t>A) The side with algebraic notation, B) The side without notation, C) The side with a unique USCF pattern, D) The side with a decorative border</t>
  </si>
  <si>
    <t>A) The side with algebraic notation</t>
  </si>
  <si>
    <t>What is the purpose of the algebraic notation on this chessboard?</t>
  </si>
  <si>
    <t>A) To record the moves of the game, B) To assist in setup and orientation, C) To display the USCF logo, D) To help in teaching chess</t>
  </si>
  <si>
    <t>B) To assist in setup and orientation</t>
  </si>
  <si>
    <t>chess_14</t>
  </si>
  <si>
    <t>What is depicted in the image?</t>
  </si>
  <si>
    <t>A) A famous chess opening, B) Anastasia’s Mate, C) A chessboard setup for castling, D) A standard pawn endgame</t>
  </si>
  <si>
    <t>B) Anastasia’s Mate</t>
  </si>
  <si>
    <t>In this, which two pieces are typically involved in delivering checkmate?</t>
  </si>
  <si>
    <t>A) Queen and knight, B) Rook and bishop, C) Bishop and knight, D) Queen and rook</t>
  </si>
  <si>
    <t>C) Bishop and knight</t>
  </si>
  <si>
    <t>Which position is typically exploited in this?</t>
  </si>
  <si>
    <t>A) The king is on the back rank and is unable to escape due to the pawn structure, B) The king is trapped on the edge of the board with limited mobility due to the knight and bishop's position, C) The king is in the center of the board with all pieces actively defending it, D) The king is surrounded by its own pieces and cannot move to any legal squares</t>
  </si>
  <si>
    <t>B) The king is trapped on the edge of the board with limited mobility due to the knight and bishop's position</t>
  </si>
  <si>
    <t>This typically occurs in which phase of the game?</t>
  </si>
  <si>
    <t>A) Opening, B) Middle game, C) Endgame, D) All phases equally</t>
  </si>
  <si>
    <t>B) Middle game</t>
  </si>
  <si>
    <t>chess_15</t>
  </si>
  <si>
    <t>Which pieces are involved in delivering Anderssen’s Mate?</t>
  </si>
  <si>
    <t>A) Rook and Knight, B) Queen and Knight, C) Rook and Queen, D) Bishop and Queen</t>
  </si>
  <si>
    <r>
      <rPr>
        <rFont val="Arial"/>
        <color rgb="FF000000"/>
      </rPr>
      <t>C) Rook and Queen</t>
    </r>
  </si>
  <si>
    <t>How does the White Pawn contribute ?</t>
  </si>
  <si>
    <t>A) By blocking escape squares for the Black King, B) By delivering the checkmate directly, C) By supporting the Rook in delivering the mate, D) By capturing an opponent’s piece</t>
  </si>
  <si>
    <t>A) By blocking escape squares for the Black King</t>
  </si>
  <si>
    <t>What is the position of the Black King in the image?</t>
  </si>
  <si>
    <t>A) Center of the board, B) Edge of the board, C) Corner of the board, D) Surrounded by its own pieces</t>
  </si>
  <si>
    <t>C) Corner of the board</t>
  </si>
  <si>
    <t>Which piece delivers the checkmate?</t>
  </si>
  <si>
    <t>A) White King, B) White Pawn, C) White Rook, D) Black King</t>
  </si>
  <si>
    <t>C) White Rook</t>
  </si>
  <si>
    <t>chess_16</t>
  </si>
  <si>
    <t>Which game is this person associated with?</t>
  </si>
  <si>
    <t>A) Football, B) Chess, C) Tennis, D) Cricket</t>
  </si>
  <si>
    <t>B) Chess</t>
  </si>
  <si>
    <t>Which event is he participating in as shown in the image?</t>
  </si>
  <si>
    <t>A) FIDE Grand Swiss, B) World Chess Championship, C) Chess Olympiad, D) Candidates Tournament</t>
  </si>
  <si>
    <t>A) FIDE Grand Swiss</t>
  </si>
  <si>
    <t>Which strategy is he known for in chess?</t>
  </si>
  <si>
    <t>A) Aggressive play, B) Defensive play, C) Balanced play, D) Rapid play</t>
  </si>
  <si>
    <t>C) Balanced play</t>
  </si>
  <si>
    <t>In which year did he become a Grandmaster?</t>
  </si>
  <si>
    <t>A) 2013, B) 2015, C) 2017, D) 2019</t>
  </si>
  <si>
    <t>B) 2015</t>
  </si>
  <si>
    <t>chess_17</t>
  </si>
  <si>
    <t>Who is her famous sibling also associated with chess?</t>
  </si>
  <si>
    <t>A) Arjun Erigaisi, B) Nihal Sarin, C) Praggnanandhaa R, D) Gukesh D</t>
  </si>
  <si>
    <t>C) Praggnanandhaa R</t>
  </si>
  <si>
    <t>What tournament might she have recently participated in?</t>
  </si>
  <si>
    <t>A) World Chess Championship, B) Wimbledon, C) Olympic Games, D) FIFA World Cup</t>
  </si>
  <si>
    <t>A) World Chess Championship</t>
  </si>
  <si>
    <t>What significant chess tournament might she have won?</t>
  </si>
  <si>
    <t>A) Tata Steel Chess Tournament, B) Wimbledon, C) Tour de France, D) US Open</t>
  </si>
  <si>
    <t>A) Tata Steel Chess Tournament</t>
  </si>
  <si>
    <t>Which notable achievement is associated with her?</t>
  </si>
  <si>
    <t>A) Youngest Chess Grandmaster, B) Olympic Gold Medalist, C) Fastest Runner, D) Nobel Prize Winner</t>
  </si>
  <si>
    <t>A) Youngest Chess Grandmaster</t>
  </si>
  <si>
    <t>chess_18</t>
  </si>
  <si>
    <t>Which checkmate pattern is shown in the image?</t>
  </si>
  <si>
    <t>A) Fool's Mate, B) Scholar's Mate, C) Back Rank Mate, D) Stalemate</t>
  </si>
  <si>
    <t>A) Fool's Mate</t>
  </si>
  <si>
    <t>How many moves does it take to achieve Fool's Mate?</t>
  </si>
  <si>
    <t>A) 2 moves, B) 3 moves, C) 4 moves, D) 5 moves</t>
  </si>
  <si>
    <t>A) 2 moves</t>
  </si>
  <si>
    <t>Which piece delivers the checkmate in Fool's Mate?</t>
  </si>
  <si>
    <t>A) Queen, B) Rook, C) Bishop, D) Knight</t>
  </si>
  <si>
    <t>A) Queen</t>
  </si>
  <si>
    <t>What is the main reason Fool's Mate can occur?</t>
  </si>
  <si>
    <t>A) Inadequate piece development, B) Weak opening play, C) Lack of castling, D) Opponent's blunder</t>
  </si>
  <si>
    <t>B) Weak opening play</t>
  </si>
  <si>
    <t>chess_19</t>
  </si>
  <si>
    <t>What is the name of the checkmate pattern shown in the image?</t>
  </si>
  <si>
    <t>A) Scholar's Mate, B) Greco's Checkmate, C) Fool's Mate, D) Back Rank Mate</t>
  </si>
  <si>
    <t>B) Greco's Checkmate</t>
  </si>
  <si>
    <t>Which piece delivers the checkmate in the Greco's Checkmate pattern?</t>
  </si>
  <si>
    <t>B) Rook</t>
  </si>
  <si>
    <t>Which piece supports the rook in delivering the Greco's Checkmate?</t>
  </si>
  <si>
    <t>A) Bishop, B) Queen, C) Pawn, D) Knight</t>
  </si>
  <si>
    <t>A) Bishop</t>
  </si>
  <si>
    <t>Which move would typically lead to the setup for Greco's Checkmate?</t>
  </si>
  <si>
    <t>A) Moving the queen to the d4 square, B) Advancing a pawn to the d5 square, C) Developing the bishop to c4, D) Castling kingside</t>
  </si>
  <si>
    <t>C) Developing the bishop to c4</t>
  </si>
  <si>
    <t>chess_20</t>
  </si>
  <si>
    <t>What chess tactic is depicted in this image?</t>
  </si>
  <si>
    <t>A) Pin, B) Fork, C) Skewer, D) Discovered Attack</t>
  </si>
  <si>
    <t>B) Fork</t>
  </si>
  <si>
    <t>Which piece is being forked by the pawn in the image?</t>
  </si>
  <si>
    <t>A) Rook and Knight, B) Bishop and Queen, C) Queen and Rook, D) Knight and Bishop</t>
  </si>
  <si>
    <t>D) Knight and Bishop</t>
  </si>
  <si>
    <t>What is the primary strategic goal of executing a pawn fork in this scenario?</t>
  </si>
  <si>
    <t>A) Checkmate, B) Material Gain, C) Opening Control, D) Piece Development</t>
  </si>
  <si>
    <t>B) Material Gain</t>
  </si>
  <si>
    <t>How can the opponent best respond to the pawn fork in this image?</t>
  </si>
  <si>
    <t>A) Move the forked pieces, B) Move the king, C) Capture the pawn, D) Ignore the fork</t>
  </si>
  <si>
    <t>A) Move the forked pieces</t>
  </si>
  <si>
    <t>chess_21</t>
  </si>
  <si>
    <t>Which chess tactic is illustrated in the image?</t>
  </si>
  <si>
    <t>A) Fork, B) Pin, C) Skewer, D) Discovered Attack</t>
  </si>
  <si>
    <t>B) Pin</t>
  </si>
  <si>
    <t>Which piece is pinning the rook in the image?</t>
  </si>
  <si>
    <t>A) Knight, B) Queen, C) Bishop, D) Pawn</t>
  </si>
  <si>
    <t>B) Queen</t>
  </si>
  <si>
    <t>How can the pinned rook be effectively defended against the pin?</t>
  </si>
  <si>
    <t>A) Moving the rook, B) Blocking the pin with another piece, C) Capturing the pinning piece, D) Promoting a pawn</t>
  </si>
  <si>
    <t>B) Blocking the pin with another piece</t>
  </si>
  <si>
    <t>What is the consequence of the pin tactic for the pinned piece?</t>
  </si>
  <si>
    <t>A) It can move freely, B) It must stay put, C) It can capture the pinning piece, D) It is immune to attacks</t>
  </si>
  <si>
    <t>B) It must stay put</t>
  </si>
  <si>
    <t>chess_22</t>
  </si>
  <si>
    <t>What is the primary tactic being demonstrated in the image?</t>
  </si>
  <si>
    <t>A) Pin, B) Fork, C) Double Check, D) Discovery</t>
  </si>
  <si>
    <t>C) Double Check</t>
  </si>
  <si>
    <t>Which pieces are delivering the double check in the image?</t>
  </si>
  <si>
    <t>A) Queen and Bishop, B) Rook and Queen, C) Knight and Rook, D) Queen and Knight</t>
  </si>
  <si>
    <t>D) Queen and Knight</t>
  </si>
  <si>
    <t>How many checks are being given to the opponent's king in the image?</t>
  </si>
  <si>
    <t>A) One, B) Two, C) Three, D) Four</t>
  </si>
  <si>
    <t>B) Two</t>
  </si>
  <si>
    <t>What is the immediate result of a double check in this scenario?</t>
  </si>
  <si>
    <t>A) Checkmate, B) Forced move, C) Draw, D) Promotion</t>
  </si>
  <si>
    <t>B) Forced move</t>
  </si>
  <si>
    <t>chess_23</t>
  </si>
  <si>
    <t>What is the primary tactic being illustrated in the image?</t>
  </si>
  <si>
    <t>A) Checkmate, B) Perpetual Attack, C) Pin, D) Fork</t>
  </si>
  <si>
    <t>B) Perpetual Attack</t>
  </si>
  <si>
    <t>Which piece is being used to deliver a perpetual attack in the image?</t>
  </si>
  <si>
    <t>What is the key objective of the perpetual attack shown in the image?</t>
  </si>
  <si>
    <t>A) To achieve a checkmate, B) To force a draw, C) To capture a piece, D) To check the king</t>
  </si>
  <si>
    <t>B) To force a draw</t>
  </si>
  <si>
    <t>What is the role of the white rook in the image?</t>
  </si>
  <si>
    <t>A) It is attacking the black king, B) It is defending the white king, C) It is blocking the black king's escape, D) It is capturing a piece</t>
  </si>
  <si>
    <t>A) It is attacking the black king</t>
  </si>
  <si>
    <t>chess_24</t>
  </si>
  <si>
    <t>What is the key tactic being used in this position?</t>
  </si>
  <si>
    <t>A) Fork, B) Pin, C) Skewer, D) Checkmate</t>
  </si>
  <si>
    <t>D) Checkmate</t>
  </si>
  <si>
    <t>Which piece is blocking the escape route for the black king?</t>
  </si>
  <si>
    <t>A) White Pawn, B) White Queen, C) White Rook, D) White King</t>
  </si>
  <si>
    <t>A) White Pawn</t>
  </si>
  <si>
    <t>What is the position of the black king in this endgame scenario?</t>
  </si>
  <si>
    <t>A) On the edge of the board, B) In the center, C) In the corner, D) Near the white king</t>
  </si>
  <si>
    <t>C) In the corner</t>
  </si>
  <si>
    <t>How many pieces are involved in delivering checkmate in this position?</t>
  </si>
  <si>
    <t>chess_25</t>
  </si>
  <si>
    <t>What are the two pieces being attacked by the knight fork?</t>
  </si>
  <si>
    <t>A) Queen and Rook, B) Bishop and Pawn, C) King and Rook, D) Queen and Bishop</t>
  </si>
  <si>
    <t>A) Queen and Rook</t>
  </si>
  <si>
    <t>What is the primary objective of using a knight fork in chess?</t>
  </si>
  <si>
    <t>A) Checkmate, B) Attack two pieces simultaneously, C) Defend a piece, D) Control a key square</t>
  </si>
  <si>
    <t>B) Attack two pieces simultaneously</t>
  </si>
  <si>
    <t>Which piece is currently forking two other pieces?</t>
  </si>
  <si>
    <t>A) Rook, B) Bishop, C) Knight, D) Queen</t>
  </si>
  <si>
    <t>C) Knight</t>
  </si>
  <si>
    <t>In the image, how many pieces are under attack by the knight?</t>
  </si>
  <si>
    <t>chess_26</t>
  </si>
  <si>
    <t>For the sport in the image, how many pawns does each player start with?</t>
  </si>
  <si>
    <t>A) 6, B) 7, C) 8, D) 9</t>
  </si>
  <si>
    <t>For the sport in the image, which piece can move diagonally across the board?</t>
  </si>
  <si>
    <t>A) Rook, B) Knight, C) Bishop, D) King</t>
  </si>
  <si>
    <t>C) Bishop</t>
  </si>
  <si>
    <t>For the sport in the image, how many squares does a chessboard have?</t>
  </si>
  <si>
    <t>A) 64, B) 72, C) 81, D) 100</t>
  </si>
  <si>
    <t>A) 64</t>
  </si>
  <si>
    <t>For the sport in the image, which piece is involved in castling?</t>
  </si>
  <si>
    <t>A) Knight and Queen, B) King and Rook, C) Bishop and Pawn, D) Queen and Rook</t>
  </si>
  <si>
    <t>B) King and Rook</t>
  </si>
  <si>
    <t>chess_27</t>
  </si>
  <si>
    <t>For the sport in the image, what happens when a pawn reaches the opposite end of the board?</t>
  </si>
  <si>
    <t>A) It becomes a king, B) It is removed from the game, C) It can be promoted to any other piece, D) It stays a pawn</t>
  </si>
  <si>
    <t>C) It can be promoted to any other piece</t>
  </si>
  <si>
    <t>For the sport in the image, which piece can only move in an 'L' shape?</t>
  </si>
  <si>
    <t>A) Queen, B) Rook, C) Knight, D) King</t>
  </si>
  <si>
    <t>For the sport in the image, what is the objective of the game?</t>
  </si>
  <si>
    <t>A) Capture all opponent's pieces, B) Checkmate the opponent's king, C) Protect your queen, D) Reach the opposite end of the board</t>
  </si>
  <si>
    <t>B) Checkmate the opponent's king</t>
  </si>
  <si>
    <t>For the sport in the image, how many pieces does each player start with?</t>
  </si>
  <si>
    <t>A) 12, B) 16, C) 18, D) 20</t>
  </si>
  <si>
    <t>B) 16</t>
  </si>
  <si>
    <t>chess_28</t>
  </si>
  <si>
    <t>For the sport in the image, which piece can move horizontally, vertically, and diagonally?</t>
  </si>
  <si>
    <t>A) King, B) Bishop, C) Queen, D) Knight</t>
  </si>
  <si>
    <t>C) Queen</t>
  </si>
  <si>
    <t>For the sport in the image, which piece can only move one square in any direction?</t>
  </si>
  <si>
    <t>A) King, B) Queen, C) Bishop, D) Rook</t>
  </si>
  <si>
    <t>A) King</t>
  </si>
  <si>
    <t>For the sport in the image, what is it called when the king is in a position to be captured?</t>
  </si>
  <si>
    <t>A) Stalemate, B) Check, C) Promotion, D) Castling</t>
  </si>
  <si>
    <t>B) Check</t>
  </si>
  <si>
    <t>For the sport in the image, what is the term used when a player's king cannot escape capture?</t>
  </si>
  <si>
    <t>A) Stalemate, B) Checkmate, C) Check, D) Draw</t>
  </si>
  <si>
    <t>B) Checkmate</t>
  </si>
  <si>
    <t>chess_29</t>
  </si>
  <si>
    <t>For the sport in the image, which piece starts on the a1 square for White?</t>
  </si>
  <si>
    <t>A) Rook, B) Knight, C) Bishop, D) Queen</t>
  </si>
  <si>
    <t>A) Rook</t>
  </si>
  <si>
    <t>For the sport in the image, how does a pawn capture another piece?</t>
  </si>
  <si>
    <t>A) Moves diagonally, B) Moves forward, C) Moves sideways, D) Moves backward</t>
  </si>
  <si>
    <t>A) Moves diagonally</t>
  </si>
  <si>
    <t>For the sport in the image, what is it called when a pawn moves two squares forward from its starting position?</t>
  </si>
  <si>
    <t>A) En passant, B) Promotion, C) Opening move, D) Double step</t>
  </si>
  <si>
    <t>D) Double step</t>
  </si>
  <si>
    <t>For the sport in the image, how many rooks does each player start with?</t>
  </si>
  <si>
    <t>chess_30</t>
  </si>
  <si>
    <t>For the sport in the image, which piece can perform 'en passant' capture?</t>
  </si>
  <si>
    <t>A) Pawn, B) Knight, C) Queen, D) Bishop</t>
  </si>
  <si>
    <t>A) Pawn</t>
  </si>
  <si>
    <t>For the sport in the image, what is the term for a tie game?</t>
  </si>
  <si>
    <t>A) Checkmate, B) Draw, C) Check, D) Stalemate</t>
  </si>
  <si>
    <t>B) Draw</t>
  </si>
  <si>
    <t>For the sport in the image, which piece has the most value according to the standard piece value system?</t>
  </si>
  <si>
    <t>A) Rook, B) Queen, C) Bishop, D) Knight</t>
  </si>
  <si>
    <t>For the sport in the image, which piece must remain on its starting square's color (light or dark)?</t>
  </si>
  <si>
    <t>A) Knight, B) Rook, C) Bishop, D) Queen</t>
  </si>
  <si>
    <t>chess_31</t>
  </si>
  <si>
    <t>For the sport in the image, what is the minimum number of moves required for a checkmate?</t>
  </si>
  <si>
    <t>For the sport in the image, how many bishops does each player start with?</t>
  </si>
  <si>
    <t>For the sport in the image, which piece is known as the most powerful piece on the board?</t>
  </si>
  <si>
    <t>A) King, B) Queen, C) Rook, D) Bishop</t>
  </si>
  <si>
    <t>For the sport in the image, how many knights does each player start with?</t>
  </si>
  <si>
    <t>chess_32</t>
  </si>
  <si>
    <t>For the sport in the image, what is the term for a situation where a player has no legal moves, but their king is not in check?</t>
  </si>
  <si>
    <t>A) Stalemate, B) Checkmate, C) Resignation, D) Draw</t>
  </si>
  <si>
    <t>A) Stalemate</t>
  </si>
  <si>
    <t>For the sport in the image, what happens if a player’s pawn reaches the last rank?</t>
  </si>
  <si>
    <t>A) It is removed from the game, B) It promotes to another piece, C) It moves backward, D) It remains a pawn</t>
  </si>
  <si>
    <t>B) It promotes to another piece</t>
  </si>
  <si>
    <t>For the sport in the image, what is it called when two pieces attack the same square?</t>
  </si>
  <si>
    <t>A) Fork, B) Pin, C) Skewer, D) Double attack</t>
  </si>
  <si>
    <t>D) Double attack</t>
  </si>
  <si>
    <t>For the sport in the image, which piece is restricted from moving diagonally?</t>
  </si>
  <si>
    <t>A) Queen, B) Rook, C) Bishop, D) King</t>
  </si>
  <si>
    <t>chess_33</t>
  </si>
  <si>
    <t>For the sport in the image, what is the term for moving the king two squares towards a rook and moving the rook next to the king?</t>
  </si>
  <si>
    <t>A) Promotion, B) En passant, C) Castling, D) Fork</t>
  </si>
  <si>
    <t>C) Castling</t>
  </si>
  <si>
    <t>For the sport in the image, which piece delivers checkmate in Fool’s Mate?</t>
  </si>
  <si>
    <t>A) Queen, B) Rook, C) Pawn, D) Knight</t>
  </si>
  <si>
    <t>For the sport in the image, which piece has the ability to jump over other pieces?</t>
  </si>
  <si>
    <t>A) Knight, B) Bishop, C) Rook, D) Queen</t>
  </si>
  <si>
    <t>A) Knight</t>
  </si>
  <si>
    <t>For the sport in the image, what is the term for a king and rook being in the same line during the castling process?</t>
  </si>
  <si>
    <t>A) Rank, B) File, C) Line, D) Column</t>
  </si>
  <si>
    <t>B) File</t>
  </si>
  <si>
    <t>chess_34</t>
  </si>
  <si>
    <t>For the sport in the image, what happens when a pawn captures an opponent’s piece using the en passant rule?</t>
  </si>
  <si>
    <t>A) The pawn moves forward, B) The pawn moves diagonally, C) The pawn moves horizontally, D) The pawn moves two squares</t>
  </si>
  <si>
    <t>B) The pawn moves diagonally</t>
  </si>
  <si>
    <t>For the sport in the image, what is the term for attacking two pieces at the same time with one piece?</t>
  </si>
  <si>
    <t>A) Pin, B) Fork, C) Skewer, D) Double attack</t>
  </si>
  <si>
    <t>For the sport in the image, what is the maximum number of squares a rook can move in one turn?</t>
  </si>
  <si>
    <t>A) 7, B) 8, C) 9, D) Unlimited</t>
  </si>
  <si>
    <t>A) 7</t>
  </si>
  <si>
    <t>For the sport in the image, which piece can move only diagonally?</t>
  </si>
  <si>
    <t>A) Knight, B) Queen, C) Bishop, D) Rook</t>
  </si>
  <si>
    <t>chess_35</t>
  </si>
  <si>
    <t>For the sport in the image, which piece is involved in 'castling'?</t>
  </si>
  <si>
    <t>A) Queen, B) Bishop, C) Knight, D) King</t>
  </si>
  <si>
    <t>D) King</t>
  </si>
  <si>
    <t>For the sport in the image, what is the value of a pawn in standard chess piece values?</t>
  </si>
  <si>
    <t>A) 1, B) 3, C) 5, D) 9</t>
  </si>
  <si>
    <t>A) 1</t>
  </si>
  <si>
    <t>For the sport in the image, which piece cannot move in straight lines?</t>
  </si>
  <si>
    <t>A) Bishop, B) Knight, C) Queen, D) Rook</t>
  </si>
  <si>
    <t>B) Knight</t>
  </si>
  <si>
    <t>chess_36</t>
  </si>
  <si>
    <t>For the sport in the image, what is the notation for a knight move in algebraic notation?</t>
  </si>
  <si>
    <t>A) N, B) K, C) R, D) Q</t>
  </si>
  <si>
    <t>A) N</t>
  </si>
  <si>
    <t>For the sport in the image, which piece can control the most squares from the center of the board?</t>
  </si>
  <si>
    <t>A) Bishop, B) Queen, C) Knight, D) Rook</t>
  </si>
  <si>
    <t>For the sport in the image, what is it called when a player sacrifices a piece for positional advantage?</t>
  </si>
  <si>
    <t>A) Gambit, B) Pin, C) Skewer, D) Check</t>
  </si>
  <si>
    <t>A) Gambit</t>
  </si>
  <si>
    <t>For the sport in the image, how many total squares are there on a chessboard?</t>
  </si>
  <si>
    <t>A) 64, B) 72, C) 80, D) 100</t>
  </si>
  <si>
    <t>chess_37</t>
  </si>
  <si>
    <t>For the sport in the image, what is the term for a pawn being promoted to another piece?</t>
  </si>
  <si>
    <t>A) Checkmate, B) Promotion, C) Stalemate, D) En passant</t>
  </si>
  <si>
    <t>B) Promotion</t>
  </si>
  <si>
    <t>For the sport in the image, which piece is the most common one used for opening strategies?</t>
  </si>
  <si>
    <t>A) Bishop, B) Knight, C) Queen, D) King</t>
  </si>
  <si>
    <t>For the sport in the image, what happens when a pawn reaches the 8th rank?</t>
  </si>
  <si>
    <t>A) It becomes a queen, B) It is removed from the game, C) It stays as a pawn, D) It moves backward</t>
  </si>
  <si>
    <t>A) It becomes a queen</t>
  </si>
  <si>
    <t>For the sport in the image, which square is a white square?</t>
  </si>
  <si>
    <t>A) a1, B) h1, C) h8, D) e5</t>
  </si>
  <si>
    <t>B) h1</t>
  </si>
  <si>
    <t>chess_38</t>
  </si>
  <si>
    <t>For the sport in the image, what is the notation for a castling move?</t>
  </si>
  <si>
    <t>A) 0-0, B) 0-0-0, C) Q-Q8, D) B-N5</t>
  </si>
  <si>
    <t>A) 0-0</t>
  </si>
  <si>
    <t>For the sport in the image, what is it called when one piece protects another piece?</t>
  </si>
  <si>
    <t>A) Fork, B) Pin, C) Protection, D) Guard</t>
  </si>
  <si>
    <t>D) Guard</t>
  </si>
  <si>
    <t>For the sport in the image, which move allows the king to switch sides with a rook?</t>
  </si>
  <si>
    <t>A) Castling, B) En passant, C) Promotion, D) Fork</t>
  </si>
  <si>
    <t>A) Castling</t>
  </si>
  <si>
    <t>For the sport in the image, what is the objective of the opening phase in chess?</t>
  </si>
  <si>
    <t>A) To capture the king, B) To develop pieces and control the center, C) To protect the pawns, D) To castle early</t>
  </si>
  <si>
    <t>B) To develop pieces and control the center</t>
  </si>
  <si>
    <t>kho_kho_1</t>
  </si>
  <si>
    <t>What traditional Indian sport is depicted in the image?</t>
  </si>
  <si>
    <t>A) Kabaddi, B) Kho-Kho, C) Wrestling, D) Cricket</t>
  </si>
  <si>
    <t>B) Kho-Kho</t>
  </si>
  <si>
    <t>In Kho-Kho, how many players from one team are on the field at a time?</t>
  </si>
  <si>
    <t>D) 9</t>
  </si>
  <si>
    <t>Which part of the Kho-Kho game involves running and chasing opponents?</t>
  </si>
  <si>
    <t>A) Defense, B) Offense, C) Chasing, D) Tagging</t>
  </si>
  <si>
    <t>C) Chasing</t>
  </si>
  <si>
    <t>What is the objective of the chasing team in Kho-Kho?</t>
  </si>
  <si>
    <t>A) Score goals, B) Tag the runners, C) Avoid being tagged, D) Hit a ball with a bat</t>
  </si>
  <si>
    <t>B) Tag the runners</t>
  </si>
  <si>
    <t>kho_kho_2</t>
  </si>
  <si>
    <t>Which city's stadium hosted the second season of the Ultimate Kho-Kho League, as depicted in the image?</t>
  </si>
  <si>
    <t>A) Mumbai, B) Chennai, C) Bhubaneswar, D) Delhi</t>
  </si>
  <si>
    <t>C) Bhubaneswar</t>
  </si>
  <si>
    <t>What is the name of the league featured in the image?</t>
  </si>
  <si>
    <t>A) Pro Kabaddi League, B) Ultimate Kho-Kho League, C) Indian Super League, D) Pro Wrestling League</t>
  </si>
  <si>
    <t>B) Ultimate Kho-Kho League</t>
  </si>
  <si>
    <t>How many seasons of the Ultimate Kho-Kho League had been held up to the event shown in the image?</t>
  </si>
  <si>
    <t>In which sport is the Ultimate Kho-Kho League based?</t>
  </si>
  <si>
    <t>A) Kabaddi, B) Kho-Kho, C) Football, D) Badminton</t>
  </si>
  <si>
    <t>kho_kho_3</t>
  </si>
  <si>
    <t>In Kho-Kho, what is the role of the players who are sitting in the image?</t>
  </si>
  <si>
    <t>A) Runners, B) Chasers, C) Defenders, D) Substitutes</t>
  </si>
  <si>
    <t>B) Chasers</t>
  </si>
  <si>
    <t>Which skill is primarily required for success in Kho-Kho as seen in the image?</t>
  </si>
  <si>
    <t>A) Strength, B) Agility, C) Endurance, D) Flexibility</t>
  </si>
  <si>
    <t>B) Agility</t>
  </si>
  <si>
    <t>What formation are the chasers sitting in, as seen in the image?</t>
  </si>
  <si>
    <t>A) Circle, B) Straight Line, C) Zig-Zag, D) Square</t>
  </si>
  <si>
    <t>B) Straight Line</t>
  </si>
  <si>
    <t>In Kho-Kho, as shown in the image, what is the primary objective of the runners?</t>
  </si>
  <si>
    <t>A) To score points, B) To avoid being tagged, C) To tackle opponents, D) To pass the ball</t>
  </si>
  <si>
    <t>B) To avoid being tagged</t>
  </si>
  <si>
    <t>kho_kho_4</t>
  </si>
  <si>
    <t>What unique aspect of the Kho-Kho game is depicted in the image?</t>
  </si>
  <si>
    <t>A) Runners holding a ball, B) Players passing a baton, C) Players sitting in a line, D) Chasers tagging runners</t>
  </si>
  <si>
    <t>C) Players sitting in a line</t>
  </si>
  <si>
    <t>Which traditional feature of Kho-Kho is highlighted in the image?</t>
  </si>
  <si>
    <t>A) Players switching roles rapidly, B) Chasers sitting and waiting, C) Use of equipment, D) Runners defending a goal</t>
  </si>
  <si>
    <t>B) Chasers sitting and waiting</t>
  </si>
  <si>
    <t>What action are the players in the image preparing for?</t>
  </si>
  <si>
    <t>A) Running, B) Jumping, C) Tagging, D) Passing a ball</t>
  </si>
  <si>
    <t>C) Tagging</t>
  </si>
  <si>
    <t>What is the primary strategy for the players sitting in the image?</t>
  </si>
  <si>
    <t>A) To block the runners, B) To quickly chase and tag, C) To score goals, D) To pass the ball</t>
  </si>
  <si>
    <t>B) To quickly chase and tag</t>
  </si>
  <si>
    <t>kho_kho_5</t>
  </si>
  <si>
    <t>What is the primary focus of the players seen running in the image?</t>
  </si>
  <si>
    <t>A) To score a point, B) To tag the runner, C) To reach the finish line, D) To catch a ball</t>
  </si>
  <si>
    <t>B) To tag the runner</t>
  </si>
  <si>
    <t>Which skill is being emphasized by the player in the image who is bending and reaching out?</t>
  </si>
  <si>
    <t>A) Flexibility, B) Strength, C) Speed, D) Teamwork</t>
  </si>
  <si>
    <t>A) Flexibility</t>
  </si>
  <si>
    <t>What role do the players sitting in a line play in Kho-Kho as shown in the image?</t>
  </si>
  <si>
    <t>A) Runners, B) Chasers, C) Referees, D) Defenders</t>
  </si>
  <si>
    <t>What is the objective of the runner in the image?</t>
  </si>
  <si>
    <t>A) To avoid being tagged, B) To score a point, C) To reach a finish line, D) To pass a baton</t>
  </si>
  <si>
    <t>A) To avoid being tagged</t>
  </si>
  <si>
    <t>kho_kho_6</t>
  </si>
  <si>
    <t>What event is depicted in the image related to Kho-Kho?</t>
  </si>
  <si>
    <t>A) National Championship, B) KKFI Super League Championship, C) State-Level Tournament, D) International Kho-Kho Cup</t>
  </si>
  <si>
    <t>B) KKFI Super League Championship</t>
  </si>
  <si>
    <t>Which team is recognized as the champion in the image?</t>
  </si>
  <si>
    <t>A) Mountain Warriors, B) Valley Kings, C) Pahadi Billas, D) Desert Lions</t>
  </si>
  <si>
    <t>C) Pahadi Billas</t>
  </si>
  <si>
    <t>What is the likely reason for the celebration shown in the image?</t>
  </si>
  <si>
    <t>A) Winning a match, B) Securing a sponsorship, C) Winning the championship, D) Completing a tournament</t>
  </si>
  <si>
    <t>C) Winning the championship</t>
  </si>
  <si>
    <t>Which year did the event shown in the image take place?</t>
  </si>
  <si>
    <t>A) 2019, B) 2020, C) 2021, D) 2022</t>
  </si>
  <si>
    <t>C) 2021</t>
  </si>
  <si>
    <t>kho_kho_7</t>
  </si>
  <si>
    <t>Which event is the image related to?</t>
  </si>
  <si>
    <t>A) Ultimate Kho-Kho 2022, B) Kho-Kho World Championship, C) National Kho-Kho League, D) State Kho-Kho Tournament</t>
  </si>
  <si>
    <t>A) Ultimate Kho-Kho 2022</t>
  </si>
  <si>
    <t>Which team is mentioned as the runner-up in the Ultimate Kho-Kho 2022?</t>
  </si>
  <si>
    <t>A) Telugu Yoddhas, B) Mumbai Khiladis, C) Delhi Dynamos, D) Chennai Warriors</t>
  </si>
  <si>
    <t>A) Telugu Yoddhas</t>
  </si>
  <si>
    <t>What position did the Telugu Yoddhas achieve in the Ultimate Kho-Kho 2022?</t>
  </si>
  <si>
    <t>A) Winner, B) Runner-Up, C) Semi-Finalist, D) Quarter-Finalist</t>
  </si>
  <si>
    <t>B) Runner-Up</t>
  </si>
  <si>
    <t>In which year did the Ultimate Kho-Kho event, featuring the Telugu Yoddhas, take place?</t>
  </si>
  <si>
    <t>A) 2020, B) 2021, C) 2022, D) 2023</t>
  </si>
  <si>
    <t>C) 2022</t>
  </si>
  <si>
    <t>kho_kho_8</t>
  </si>
  <si>
    <t>Which teams are competing in the first match of the Ultimate Kho-Kho event as shown in the image?</t>
  </si>
  <si>
    <t>A) Mumbai Khiladis vs Chennai Quick Guns, B) Gujarat Giants vs Telugu Yoddhas, C) Mumbai Khiladis vs Gujarat Giants, D) Chennai Quick Guns vs Gujarat Giants</t>
  </si>
  <si>
    <t>C) Mumbai Khiladis vs Gujarat Giants</t>
  </si>
  <si>
    <t>Which teams are set to play in the second match of the Ultimate Kho-Kho event according to the image?</t>
  </si>
  <si>
    <t>A) Mumbai Khiladis vs Gujarat Giants, B) Chennai Quick Guns vs Telugu Yoddhas, C) Mumbai Khiladis vs Telugu Yoddhas, D) Chennai Quick Guns vs Gujarat Giants</t>
  </si>
  <si>
    <t>B) Chennai Quick Guns vs Telugu Yoddhas</t>
  </si>
  <si>
    <t>How many teams are debuting in the Ultimate Kho-Kho event as mentioned in the image?</t>
  </si>
  <si>
    <t>A) Three, B) Four, C) Five, D) Six</t>
  </si>
  <si>
    <t>B) Four</t>
  </si>
  <si>
    <t>What is the primary focus of the image related to the Ultimate Kho-Kho event?</t>
  </si>
  <si>
    <t>A) Team Rosters, B) Match Schedules, C) Player Statistics, D) Venue Layout</t>
  </si>
  <si>
    <t>B) Match Schedules</t>
  </si>
  <si>
    <t>kho_kho_9</t>
  </si>
  <si>
    <t>Which season of Ultimate Kho-Kho is set to begin on December 24 as shown in the image?</t>
  </si>
  <si>
    <t>A) Season 1, B) Season 2, C) Season 3, D) Season 4</t>
  </si>
  <si>
    <t>B) Season 2</t>
  </si>
  <si>
    <t>How many teams are participating in Ultimate Kho-Kho 2023-24?</t>
  </si>
  <si>
    <t>A) Four, B) Five, C) Six, D) Seven</t>
  </si>
  <si>
    <t>C) Six</t>
  </si>
  <si>
    <t>In which state will the Ultimate Kho-Kho 2023-24 season begin?</t>
  </si>
  <si>
    <t>A) Maharashtra, B) Karnataka, C) Odisha, D) Gujarat</t>
  </si>
  <si>
    <t>C) Odisha</t>
  </si>
  <si>
    <t>When does the Ultimate Kho-Kho 2023-24 season start?</t>
  </si>
  <si>
    <t>A) November 24, B) December 24, C) January 24, D) February 24</t>
  </si>
  <si>
    <t>B) December 24</t>
  </si>
  <si>
    <t>kho_kho_10</t>
  </si>
  <si>
    <t>What type of event is highlighted in the image?</t>
  </si>
  <si>
    <t>A) Pre-season training, B) Team announcements, C) Season kickoff, D) Championship final</t>
  </si>
  <si>
    <t>C) Season kickoff</t>
  </si>
  <si>
    <t>What is the primary focus of the image related to Ultimate Kho-Kho?</t>
  </si>
  <si>
    <t>A) Player statistics, B) Match schedules, C) Team uniforms, D) Season opening</t>
  </si>
  <si>
    <t>D) Season opening</t>
  </si>
  <si>
    <t>Which sport is featured in the image related to the Ultimate Kho-Kho event?</t>
  </si>
  <si>
    <t>A) Cricket, B) Volleyball, C) Kho-Kho, D) Kabaddi</t>
  </si>
  <si>
    <t>C) Kho-Kho</t>
  </si>
  <si>
    <t>What is the significance of December 24 in the context of the Ultimate Kho-Kho 2023-24 season?</t>
  </si>
  <si>
    <t>A) Team selection date, B) Season start date, C) Championship date, D) Player draft date</t>
  </si>
  <si>
    <t>B) Season start date</t>
  </si>
  <si>
    <t>kho_kho_11</t>
  </si>
  <si>
    <t>Which team won the Ultimate Kho-Kho League Trophy as shown in the image?</t>
  </si>
  <si>
    <t>A) Mumbai Khiladis, B) Gujarat Giants, C) Chennai Quick Guns, D) Telugu Yoddhas</t>
  </si>
  <si>
    <t>B) Gujarat Giants</t>
  </si>
  <si>
    <t>What is the primary focus of the image related to Kho-Kho?</t>
  </si>
  <si>
    <t>A) Team training, B) Match schedule, C) Trophy presentation, D) Player draft</t>
  </si>
  <si>
    <t>C) Trophy presentation</t>
  </si>
  <si>
    <t>What type of event is depicted in the image?</t>
  </si>
  <si>
    <t>A) Pre-season match, B) League final, C) Team practice, D) Championship opening</t>
  </si>
  <si>
    <t>B) League final</t>
  </si>
  <si>
    <t>Which sport is associated with the trophy being presented in the image?</t>
  </si>
  <si>
    <t>A) Kabaddi, B) Cricket, C) Kho-Kho, D) Volleyball</t>
  </si>
  <si>
    <t>kho_kho_12</t>
  </si>
  <si>
    <t>Which two teams registered wins in the Ultimate Kho-Kho match shown in the image?</t>
  </si>
  <si>
    <t>A) Gujarat Giants and Rajasthan Warriors, B) Gujarat Giants and Telugu Yoddhas, C) Telugu Yoddhas and Rajasthan Warriors, D) Gujarat Giants and Odisha</t>
  </si>
  <si>
    <t>B) Gujarat Giants and Telugu Yoddhas</t>
  </si>
  <si>
    <t>What was the result of the match between Gujarat Giants and Odisha in the Ultimate Kho-Kho league?</t>
  </si>
  <si>
    <t>A) Gujarat Giants won by 5 points, B) Gujarat Giants won by 21 points, C) Odisha won by 5 points, D) Odisha won by 21 points</t>
  </si>
  <si>
    <t>A) Gujarat Giants won by 5 points</t>
  </si>
  <si>
    <t>How did the Telugu Yoddhas win their match against the Rajasthan Warriors?</t>
  </si>
  <si>
    <t>A) By a close five-point win, B) By a narrow one-point win, C) By 21 points, D) By 10 points</t>
  </si>
  <si>
    <t>C) By 21 points</t>
  </si>
  <si>
    <t>What is the date and location of the Ultimate Kho-Kho match depicted in the image?</t>
  </si>
  <si>
    <t>A) August 16, 2022, Pune, B) August 16, 2022, Gujarat, C) August 16, 2023, Mumbai, D) August 16, 2022, Chennai</t>
  </si>
  <si>
    <t>A) August 16, 2022, Pune</t>
  </si>
  <si>
    <t>kho_kho_13</t>
  </si>
  <si>
    <t>What is the main theme depicted in the image related to the Ultimate Kho-Kho League?</t>
  </si>
  <si>
    <t>A) Player training, B) Franchise unification, C) Match highlights, D) Team drafts</t>
  </si>
  <si>
    <t>B) Franchise unification</t>
  </si>
  <si>
    <t>Which event or league is being highlighted in the image?</t>
  </si>
  <si>
    <t>A) Ultimate Kho-Kho League, B) Kho-Kho World Cup, C) National Kho-Kho Championship, D) State Kho-Kho Tournament</t>
  </si>
  <si>
    <t>A) Ultimate Kho-Kho League</t>
  </si>
  <si>
    <t>What is the likely purpose of the gathering shown in the image?</t>
  </si>
  <si>
    <t>A) Team strategy meeting, B) Franchise collaboration, C) Season opening ceremony, D) Player selection</t>
  </si>
  <si>
    <t>B) Franchise collaboration</t>
  </si>
  <si>
    <t>Which type of event does the image represent in relation to the Ultimate Kho-Kho League?</t>
  </si>
  <si>
    <t>A) Tournament, B) Franchise meeting, C) Player training session, D) Award ceremony</t>
  </si>
  <si>
    <t>B) Franchise meeting</t>
  </si>
  <si>
    <t>kho_kho_14</t>
  </si>
  <si>
    <t>Who is featured in the image as an Indian Kho-Kho player?</t>
  </si>
  <si>
    <t>A) Supriya Kale, B) Sarika Kale, C) Priya Sharma, D) Anjali Patel</t>
  </si>
  <si>
    <t>B) Sarika Kale</t>
  </si>
  <si>
    <t>What sport is Sarika Kale associated with in the image?</t>
  </si>
  <si>
    <t>A) Kabaddi, B) Volleyball, C) Kho-Kho, D) Cricket</t>
  </si>
  <si>
    <t>What type of event or context is Sarika Kale likely involved in based on the image?</t>
  </si>
  <si>
    <t>A) Training session, B) Match day, C) Award ceremony, D) Team meeting</t>
  </si>
  <si>
    <t>A) Training session</t>
  </si>
  <si>
    <t>What is Sarika Kale's role in the sport shown in the image?</t>
  </si>
  <si>
    <t>A) Coach, B) Player, C) Referee, D) Team manager</t>
  </si>
  <si>
    <t>B) Player</t>
  </si>
  <si>
    <t>kho_kho_15</t>
  </si>
  <si>
    <t>Which sport is Praveen Kumar associated with according to the image?</t>
  </si>
  <si>
    <t>A) Kabaddi, B) Kho-Kho, C) Volleyball, D) Cricket</t>
  </si>
  <si>
    <t>What is Praveen Kumar known for in the context of the image?</t>
  </si>
  <si>
    <t>A) Coaching, B) Playing, C) Refereeing, D) Managing</t>
  </si>
  <si>
    <t>B) Playing</t>
  </si>
  <si>
    <t>Which city and state is Praveen Kumar associated with as mentioned in the image?</t>
  </si>
  <si>
    <t>A) Mysore, Karnataka, B) Bangalore, Karnataka, C) Chennai, Tamil Nadu, D) Mumbai, Maharashtra</t>
  </si>
  <si>
    <t>A) Mysore, Karnataka</t>
  </si>
  <si>
    <t>What notable quality is highlighted about Praveen Kumar in the image?</t>
  </si>
  <si>
    <t>A) His coaching skills, B) His management skills, C) His talent and fame as a player, D) His refereeing experience</t>
  </si>
  <si>
    <t>C) His talent and fame as a player</t>
  </si>
  <si>
    <t>kho_kho_16</t>
  </si>
  <si>
    <t>Who is the captain of the India women's Kho-Kho team featured in the image?</t>
  </si>
  <si>
    <t>A) Priya Sharma, B) Anjali Patel, C) Nasreen Shaikh, D) Meera Kumar</t>
  </si>
  <si>
    <t>C) Nasreen Shaikh</t>
  </si>
  <si>
    <t>What role does Nasreen Shaikh hold in the India women's Kho-Kho team as mentioned in the image?</t>
  </si>
  <si>
    <t>A) Coach, B) Player, C) Captain, D) Manager</t>
  </si>
  <si>
    <t>C) Captain</t>
  </si>
  <si>
    <t>What is the primary focus of the image related to Nasreen Shaikh?</t>
  </si>
  <si>
    <t>A) Team practice, B) Captain's leadership, C) Championship win, D) Team selection</t>
  </si>
  <si>
    <t>B) Captain's leadership</t>
  </si>
  <si>
    <t>In which sport is Nasreen Shaikh serving as captain according to the image?</t>
  </si>
  <si>
    <t>A) Volleyball, B) Kabaddi, C) Kho-Kho, D) Cricket</t>
  </si>
  <si>
    <t>kho_kho_17</t>
  </si>
  <si>
    <t>What is the primary sport associated with Pankaj Malhotra based on the image?</t>
  </si>
  <si>
    <t>A) Cricket, B) Volleyball, C) Kho-Kho, D) Football</t>
  </si>
  <si>
    <t>What role or title might Pankaj Malhotra hold in the context of Kho-Kho as suggested by the image?</t>
  </si>
  <si>
    <t>A) Player, B) Coach, C) Referee, D) Manager</t>
  </si>
  <si>
    <t>B) Coach</t>
  </si>
  <si>
    <t>What is the primary focus of the image featuring Pankaj Malhotra?</t>
  </si>
  <si>
    <t>A) Training session, B) Player achievements, C) Coaching role, D) Team management</t>
  </si>
  <si>
    <t>C) Coaching role</t>
  </si>
  <si>
    <t>Which aspect of Kho-Kho is Pankaj Malhotra likely involved in, according to the image?</t>
  </si>
  <si>
    <t>A) Team selection, B) Tournament organization, C) Player development, D) Refereeing</t>
  </si>
  <si>
    <t>C) Player development</t>
  </si>
  <si>
    <t>kho_kho_18</t>
  </si>
  <si>
    <t>Who is featured in the image as related to the sport of Kho-Kho?</t>
  </si>
  <si>
    <t>A) Mandakini Majhi, B) Priya Sharma, C) Anjali Patel, D) Meera Kumar</t>
  </si>
  <si>
    <t>A) Mandakini Majhi</t>
  </si>
  <si>
    <t>What role is Mandakini Majhi likely associated with in Kho-Kho based on the image?</t>
  </si>
  <si>
    <t>A) Player</t>
  </si>
  <si>
    <t>Which sport is Mandakini Majhi involved in as shown in the image?</t>
  </si>
  <si>
    <t>What is the significance of Mandakini Majhi in the context of Kho-Kho, as suggested by the image?</t>
  </si>
  <si>
    <t>A) National champion, B) Prominent coach, C) Top player, D) Tournament organizer</t>
  </si>
  <si>
    <t>C) Top player</t>
  </si>
  <si>
    <t>kho_kho_19</t>
  </si>
  <si>
    <t>Who is the individual featured in the image with respect to Kho-Kho?</t>
  </si>
  <si>
    <t>A) Pankaj Malhotra, B) Mandakini Majhi, C) Anjali Patel, D) Meera Kumar</t>
  </si>
  <si>
    <t>A) Pankaj Malhotra</t>
  </si>
  <si>
    <t>What is Pankaj Malhotra's likely role in Kho-Kho as suggested by the image?</t>
  </si>
  <si>
    <t>A) Player, B) Coach, C) Referee, D) Team manager</t>
  </si>
  <si>
    <t>Which sport is Pankaj Malhotra associated with according to the image?</t>
  </si>
  <si>
    <t>What aspect of Kho-Kho is Pankaj Malhotra likely involved in based on the image?</t>
  </si>
  <si>
    <t>A) Training and development, B) Match officiating, C) Tournament organization, D) Team recruitment</t>
  </si>
  <si>
    <t>A) Training and development</t>
  </si>
  <si>
    <t>kho_kho_20</t>
  </si>
  <si>
    <t>A) Satish Rai, B) Pankaj Malhotra, C) Mandakini Majhi, D) Anjali Patel</t>
  </si>
  <si>
    <t>A) Satish Rai</t>
  </si>
  <si>
    <t>What role has Satish Rai played in Kho-Kho according to the image?</t>
  </si>
  <si>
    <t>A) National team player, B) Referee, C) Coach, D) Tournament organizer</t>
  </si>
  <si>
    <t>A) National team player</t>
  </si>
  <si>
    <t>Which levels of competitions has Satish Rai been involved in, as mentioned in the image?</t>
  </si>
  <si>
    <t>A) State and National, B) Local and Regional, C) National and International, D) Regional and International</t>
  </si>
  <si>
    <t>A) State and National</t>
  </si>
  <si>
    <t>What is the main focus of the image featuring Satish Rai?</t>
  </si>
  <si>
    <t>A) State and National competition involvement, B) Coaching achievements, C) Refereeing career, D) Team management</t>
  </si>
  <si>
    <t>A) State and National competition involvement</t>
  </si>
  <si>
    <t>kho_kho_21</t>
  </si>
  <si>
    <t>Which event is depicted in the image featuring the Indian men's Kho-Kho team?</t>
  </si>
  <si>
    <t>A) National Championship, B) 4th Asian Kho-Kho Championship, C) World Kho-Kho Cup, D) Regional Tournament</t>
  </si>
  <si>
    <t>B) 4th Asian Kho-Kho Championship</t>
  </si>
  <si>
    <t>Where did the 4th Asian Kho-Kho Championship conclude, as mentioned in the image?</t>
  </si>
  <si>
    <t>A) Delhi, B) Mumbai, C) Tamulpur, D) Bangalore</t>
  </si>
  <si>
    <t>C) Tamulpur</t>
  </si>
  <si>
    <t>On what date did the 4th Asian Kho-Kho Championship conclude, according to the image?</t>
  </si>
  <si>
    <t>A) March 15, B) March 20, C) March 23, D) March 25</t>
  </si>
  <si>
    <t>C) March 23</t>
  </si>
  <si>
    <t>What achievement is highlighted for the Indian menâ€™s Kho-Kho team in the image?</t>
  </si>
  <si>
    <t>A) Winning the championship, B) Qualifying for the finals, C) Hosting the event, D) Sponsoring the tournament</t>
  </si>
  <si>
    <t>A) Winning the championship</t>
  </si>
  <si>
    <t>kho_kho_22</t>
  </si>
  <si>
    <t>Which team is featured in the image as participating in the Asian Kho-Kho Championship?</t>
  </si>
  <si>
    <t>A) Indian Menâ€™s Team, B) Indian Womenâ€™s Team, C) Pakistan Menâ€™s Team, D) Sri Lanka Womenâ€™s Team</t>
  </si>
  <si>
    <t>B) Indian Womenâ€™s Team</t>
  </si>
  <si>
    <t>What type of championship is depicted in the image involving the Indian women's team?</t>
  </si>
  <si>
    <t>A) National Championship, B) Asian Kho-Kho Championship, C) World Kho-Kho Cup, D) Regional Tournament</t>
  </si>
  <si>
    <t>B) Asian Kho-Kho Championship</t>
  </si>
  <si>
    <t>What is the context of the image featuring the Indian women's Kho-Kho team?</t>
  </si>
  <si>
    <t>A) Pre-match preparation, B) Winning celebration, C) Training session, D) Post-match analysis</t>
  </si>
  <si>
    <t>B) Winning celebration</t>
  </si>
  <si>
    <t>What achievement is highlighted for the Indian women's Kho-Kho team in the image?</t>
  </si>
  <si>
    <t>A) Qualifying for the finals, B) Winning the championship, C) Hosting the event, D) Receiving awards</t>
  </si>
  <si>
    <t>B) Winning the championship</t>
  </si>
  <si>
    <t>kho_kho_23</t>
  </si>
  <si>
    <t>What type of sports activity is depicted in the image?</t>
  </si>
  <si>
    <t>A) Kho-Kho, B) Kabaddi, C) Cricket, D) Volleyball</t>
  </si>
  <si>
    <t>A) Kho-Kho</t>
  </si>
  <si>
    <t>What is the primary action taking place in the image related to the game?</t>
  </si>
  <si>
    <t>A) Running and chasing, B) Passing a ball, C) Batting, D) Setting up a net</t>
  </si>
  <si>
    <t>A) Running and chasing</t>
  </si>
  <si>
    <t>What is the playing field characteristic shown in the image?</t>
  </si>
  <si>
    <t>A) Circular, B) Rectangular with marked lanes, C) Square, D) Triangular</t>
  </si>
  <si>
    <t>B) Rectangular with marked lanes</t>
  </si>
  <si>
    <t>Which element is most visible in the image related to the Kho-Kho game?</t>
  </si>
  <si>
    <t>A) Players in action, B) Spectators, C) Scoring board, D) Team uniforms</t>
  </si>
  <si>
    <t>A) Players in action</t>
  </si>
  <si>
    <t>kho_kho_24</t>
  </si>
  <si>
    <t>What is depicted in the image related to Kho-Kho?</t>
  </si>
  <si>
    <t>A) Player training, B) Ground measurement &amp; dimensions, C) Team celebration, D) Tournament schedule</t>
  </si>
  <si>
    <t>B) Ground measurement &amp; dimensions</t>
  </si>
  <si>
    <t>What is the main focus of the image related to Kho-Kho?</t>
  </si>
  <si>
    <t>A) Team lineup, B) Equipment used, C) Field layout, D) Player statistics</t>
  </si>
  <si>
    <t>C) Field layout</t>
  </si>
  <si>
    <t>Which element of Kho-Kho is illustrated in the image?</t>
  </si>
  <si>
    <t>A) Rules of the game, B) Field markings and dimensions, C) Player positions, D) Match highlights</t>
  </si>
  <si>
    <t>B) Field markings and dimensions</t>
  </si>
  <si>
    <t>What specific aspect of the Kho-Kho game is shown in the image?</t>
  </si>
  <si>
    <t>A) Scoring system, B) Game strategy, C) Court dimensions, D) Player roles</t>
  </si>
  <si>
    <t>C) Court dimensions</t>
  </si>
  <si>
    <t>kho_kho_25</t>
  </si>
  <si>
    <t>Which teams competed in the final match of the 4th Asian Kho-Kho Championship 2023?</t>
  </si>
  <si>
    <t>A) India vs Pakistan, B) India vs Nepal, C) India vs Bangladesh, D) India vs Sri Lanka</t>
  </si>
  <si>
    <t>B) India vs Nepal</t>
  </si>
  <si>
    <t>Which team won the 4th Asian Kho-Kho Championship 2023 in the women's category?</t>
  </si>
  <si>
    <t>A) Nepal, B) India, C) Pakistan, D) Bangladesh</t>
  </si>
  <si>
    <t>What type of event is depicted in the image involving the India women's team?</t>
  </si>
  <si>
    <t>A) National Championship, B) Regional Tournament, C) Asian Kho-Kho Championship, D) World Kho-Kho Cup</t>
  </si>
  <si>
    <t>C) Asian Kho-Kho Championship</t>
  </si>
  <si>
    <t>What is the focus of the image related to the 4th Asian Kho-Kho Championship 2023?</t>
  </si>
  <si>
    <t>A) Celebration of victory, B) Match analysis, C) Team training, D) Pre-match preparation</t>
  </si>
  <si>
    <t>A) Celebration of victory</t>
  </si>
  <si>
    <t>kho_kho_26</t>
  </si>
  <si>
    <t>For the sport in the image, what is the maximum number of players allowed on the field from one team at a time?</t>
  </si>
  <si>
    <t>For the sport in the image, how many total chasers are on the field during gameplay?</t>
  </si>
  <si>
    <t>A) 9, B) 6, C) 8, D) 7</t>
  </si>
  <si>
    <t>A) 9</t>
  </si>
  <si>
    <t>For the sport in the image, which position involves sitting on the court while the game progresses?</t>
  </si>
  <si>
    <t>A) Runner, B) Defender, C) Chaser, D) Referee</t>
  </si>
  <si>
    <t>C) Chaser</t>
  </si>
  <si>
    <t>For the sport in the image, how long does a standard match last?</t>
  </si>
  <si>
    <t>A) 30 minutes, B) 40 minutes, C) 45 minutes, D) 50 minutes</t>
  </si>
  <si>
    <t>B) 40 minutes</t>
  </si>
  <si>
    <t>kho_kho_27</t>
  </si>
  <si>
    <t>For the sport in the image, how many innings are played in one match?</t>
  </si>
  <si>
    <t>For the sport in the image, what is the primary objective of the runners?</t>
  </si>
  <si>
    <t>A) To tag opponents, B) To avoid being tagged, C) To score goals, D) To defend their zone</t>
  </si>
  <si>
    <t>For the sport in the image, what is the responsibility of the chasers?</t>
  </si>
  <si>
    <t>A) To defend their position, B) To score points, C) To tag the runners, D) To pass the ball</t>
  </si>
  <si>
    <t>C) To tag the runners</t>
  </si>
  <si>
    <t>For the sport in the image, what is the duration of each turn in the game?</t>
  </si>
  <si>
    <t>A) 5 minutes, B) 9 minutes, C) 7 minutes, D) 8 minutes</t>
  </si>
  <si>
    <t>B) 9 minutes</t>
  </si>
  <si>
    <t>kho_kho_28</t>
  </si>
  <si>
    <t>For the sport in the image, how many players are allowed to run from one team during their turn?</t>
  </si>
  <si>
    <t>C) 3</t>
  </si>
  <si>
    <t>For the sport in the image, how many points are awarded for tagging all three runners?</t>
  </si>
  <si>
    <t>A) 1, B) 2, C) 3, D) 5</t>
  </si>
  <si>
    <t>For the sport in the image, what does the term 'Kho' refer to?</t>
  </si>
  <si>
    <t>A) A shout given to a runner, B) A point scored, C) A position on the field, D) A penalty signal</t>
  </si>
  <si>
    <t>A) A shout given to a runner</t>
  </si>
  <si>
    <t>For the sport in the image, how many players from each team take part in the match?</t>
  </si>
  <si>
    <t>A) 9, B) 12, C) 7, D) 6</t>
  </si>
  <si>
    <t>kho_kho_29</t>
  </si>
  <si>
    <t>For the sport in the image, how are the chasers aligned on the field?</t>
  </si>
  <si>
    <t>A) In a straight line, B) In a zigzag pattern, C) In a circle, D) In two rows facing opposite directions</t>
  </si>
  <si>
    <t>D) In two rows facing opposite directions</t>
  </si>
  <si>
    <t>For the sport in the image, which action results in disqualification?</t>
  </si>
  <si>
    <t>A) Runner touching the chaser, B) Chaser stepping out of the court, C) Runner taking two turns, D) Chaser not calling 'Kho'</t>
  </si>
  <si>
    <t>B) Chaser stepping out of the court</t>
  </si>
  <si>
    <t>For the sport in the image, what is the standard size of the court?</t>
  </si>
  <si>
    <t>A) 16m x 30m, B) 20m x 40m, C) 18m x 40m, D) 12m x 25m</t>
  </si>
  <si>
    <t>C) 18m x 40m</t>
  </si>
  <si>
    <t>For the sport in the image, how does a team earn points?</t>
  </si>
  <si>
    <t>A) By completing a turn, B) By avoiding tags, C) By tagging runners, D) By stepping outside the court</t>
  </si>
  <si>
    <t>C) By tagging runners</t>
  </si>
  <si>
    <t>kho_kho_30</t>
  </si>
  <si>
    <t>For the sport in the image, how many substitutions are allowed per match?</t>
  </si>
  <si>
    <t>For the sport in the image, how many defenders are on the field during their turn?</t>
  </si>
  <si>
    <t>A) 2, B) 3, C) 5, D) 6</t>
  </si>
  <si>
    <t>For the sport in the image, what is the minimum number of players required for a team to start the match?</t>
  </si>
  <si>
    <t>A) 9, B) 6, C) 7, D) 8</t>
  </si>
  <si>
    <t>C) 7</t>
  </si>
  <si>
    <t>For the sport in the image, which team role switches during each inning?</t>
  </si>
  <si>
    <t>A) Umpire and runner, B) Runner and chaser, C) Defender and referee, D) Attacker and runner</t>
  </si>
  <si>
    <t>B) Runner and chaser</t>
  </si>
  <si>
    <t>musti_yuddha_1</t>
  </si>
  <si>
    <t>From the sport shown in the image, which body part is primarily targeted during pad training?</t>
  </si>
  <si>
    <t>a) Hands, b) Legs, c) Head, d) Chest</t>
  </si>
  <si>
    <t>a) Hands</t>
  </si>
  <si>
    <t>From the sport shown in the image, what is the purpose of wrapping the hands before practice?</t>
  </si>
  <si>
    <t>a) To increase punching power, b) To protect the knuckles, c) To improve wrist stability, d) To prevent sweating</t>
  </si>
  <si>
    <t>b) To protect the knuckles, c) To improve wrist stability</t>
  </si>
  <si>
    <t>From the sport shown in the image, which stance is most commonly adopted by practitioners?</t>
  </si>
  <si>
    <t>a) Southpaw, b) Orthodox, c) Square, d) Side-on</t>
  </si>
  <si>
    <t>b) Orthodox</t>
  </si>
  <si>
    <t>From the sport shown in the image, what is the significance of shadowboxing?</t>
  </si>
  <si>
    <t>a) To practice form, b) To improve speed, c) To enhance footwork, d) To build endurance</t>
  </si>
  <si>
    <t>a) To practice form, b) To improve speed, c) To enhance footwork</t>
  </si>
  <si>
    <t>musti_yuddha_2</t>
  </si>
  <si>
    <t>From the sport shown in the image, which traditional training tool is used to improve hand-eye coordination?</t>
  </si>
  <si>
    <t>a) Speed bag, b) Focus mitts, c) Double-end bag, d) Heavy bag</t>
  </si>
  <si>
    <t>c) Double-end bag</t>
  </si>
  <si>
    <t>From the sport shown in the image, which type of punch is commonly used to surprise the opponent?</t>
  </si>
  <si>
    <t>a) Jab, b) Uppercut, c) Hook, d) Cross</t>
  </si>
  <si>
    <t>c) Hook</t>
  </si>
  <si>
    <t>From the sport shown in the image, what is the primary focus during sparring sessions?</t>
  </si>
  <si>
    <t>a) Technique refinement, b) Power development, c) Speed enhancement, d) Endurance building</t>
  </si>
  <si>
    <t>a) Technique refinement</t>
  </si>
  <si>
    <t>From the sport shown in the image, which muscle group is most engaged during a punch?</t>
  </si>
  <si>
    <t>a) Legs, b) Core, c) Shoulders, d) Back</t>
  </si>
  <si>
    <t>b) Core</t>
  </si>
  <si>
    <t>musti_yuddha_3</t>
  </si>
  <si>
    <t>From the sport shown in the image, what is the purpose of footwork drills?</t>
  </si>
  <si>
    <t>a) To increase agility, b) To improve balance, c) To enhance speed, d) To develop power</t>
  </si>
  <si>
    <t>a) To increase agility, b) To improve balance, c) To enhance speed</t>
  </si>
  <si>
    <t>From the sport shown in the image, what is the main objective of using the heavy bag?</t>
  </si>
  <si>
    <t>a) Power development, b) Endurance building, c) Technique practice, d) Speed training</t>
  </si>
  <si>
    <t>a) Power development</t>
  </si>
  <si>
    <t>From the sport shown in the image, which defense technique is commonly used to avoid a punch?</t>
  </si>
  <si>
    <t>a) Bobbing, b) Weaving, c) Parrying, d) Blocking</t>
  </si>
  <si>
    <t>b) Weaving</t>
  </si>
  <si>
    <t>From the sport shown in the image, what is the key benefit of using focus mitts during training?</t>
  </si>
  <si>
    <t>a) Accuracy improvement, b) Speed enhancement, c) Power development, d) Endurance building</t>
  </si>
  <si>
    <t>a) Accuracy improvement, b) Speed enhancement</t>
  </si>
  <si>
    <t>musti_yuddha_4</t>
  </si>
  <si>
    <t>From the sport shown in the image, which of the following is a common warm-up exercise?</t>
  </si>
  <si>
    <t>a) Jump rope, b) Running, c) Push-ups, d) Shadowboxing</t>
  </si>
  <si>
    <t>a) Jump rope, d) Shadowboxing</t>
  </si>
  <si>
    <t>From the sport shown in the image, what is the primary purpose of conditioning drills?</t>
  </si>
  <si>
    <t>a) Building endurance, b) Developing power, c) Enhancing speed, d) Improving flexibility</t>
  </si>
  <si>
    <t>a) Building endurance</t>
  </si>
  <si>
    <t>From the sport shown in the image, which punch is typically thrown with the lead hand?</t>
  </si>
  <si>
    <t>a) Jab, b) Cross, c) Hook, d) Uppercut</t>
  </si>
  <si>
    <t>a) Jab</t>
  </si>
  <si>
    <t>From the sport shown in the image, what is the role of the corner man during a bout?</t>
  </si>
  <si>
    <t>a) Provide tactical advice, b) Assist with injuries, c) Offer encouragement, d) Call the fight</t>
  </si>
  <si>
    <t>a) Provide tactical advice, b) Assist with injuries, c) Offer encouragement</t>
  </si>
  <si>
    <t>musti_yuddha_5</t>
  </si>
  <si>
    <t>From the sport shown in the image, which of the following is crucial for maintaining balance during a fight?</t>
  </si>
  <si>
    <t>a) Stance, b) Foot placement, c) Guard position, d) Head movement</t>
  </si>
  <si>
    <t>a) Stance, b) Foot placement</t>
  </si>
  <si>
    <t>From the sport shown in the image, what is the primary function of the guard?</t>
  </si>
  <si>
    <t>a) Blocking punches, b) Maintaining balance, c) Setting up counters, d) Controlling distance</t>
  </si>
  <si>
    <t>a) Blocking punches</t>
  </si>
  <si>
    <t>From the sport shown in the image, which breathing technique is most effective during a match?</t>
  </si>
  <si>
    <t>a) Inhaling through the nose, b) Exhaling through the mouth, c) Deep belly breathing, d) Rapid shallow breathing</t>
  </si>
  <si>
    <t>a) Inhaling through the nose, b) Exhaling through the mouth</t>
  </si>
  <si>
    <t>From the sport shown in the image, which type of training is essential for improving reaction time?</t>
  </si>
  <si>
    <t>a) Reflex drills, b) Speed bag, c) Shadowboxing, d) Sparring</t>
  </si>
  <si>
    <t>a) Reflex drills, b) Speed bag</t>
  </si>
  <si>
    <t>musti_yuddha_6</t>
  </si>
  <si>
    <t>From the sport shown in the image, what is the importance of maintaining eye contact during a bout?</t>
  </si>
  <si>
    <t>a) To read the opponent's moves, b) To intimidate the opponent, c) To stay focused, d) To track the opponent's hands</t>
  </si>
  <si>
    <t>a) To read the opponent's moves, c) To stay focused</t>
  </si>
  <si>
    <t>From the sport shown in the image, which of the following is a common injury prevention technique?</t>
  </si>
  <si>
    <t>a) Stretching, b) Strengthening exercises, c) Wearing protective gear, d) Proper technique</t>
  </si>
  <si>
    <t>a) Stretching, c) Wearing protective gear, d) Proper technique</t>
  </si>
  <si>
    <t>From the sport shown in the image, which of the following is a key aspect of mental preparation before a match?</t>
  </si>
  <si>
    <t>a) Visualization, b) Breathing exercises, c) Strategy planning, d) Physical conditioning</t>
  </si>
  <si>
    <t>a) Visualization, b) Breathing exercises, c) Strategy planning</t>
  </si>
  <si>
    <t>From the sport shown in the image, what is the primary focus during mitt work?</t>
  </si>
  <si>
    <t>a) Precision, b) Speed, c) Power, d) Endurance</t>
  </si>
  <si>
    <t>a) Precision</t>
  </si>
  <si>
    <t>musti_yuddha_7</t>
  </si>
  <si>
    <t>From the sport shown in the image, which technique is commonly used to counter a jab?</t>
  </si>
  <si>
    <t>a) Slip and counter, b) Parry and punch, c) Duck and uppercut, d) Step back and cross</t>
  </si>
  <si>
    <t>a) Slip and counter, b) Parry and punch</t>
  </si>
  <si>
    <t>From the sport shown in the image, which of the following is an essential aspect of recovery after training?</t>
  </si>
  <si>
    <t>a) Stretching, b) Hydration, c) Nutrition, d) Rest</t>
  </si>
  <si>
    <t>a) Stretching, b) Hydration, d) Rest</t>
  </si>
  <si>
    <t>From the sport shown in the image, what is the primary goal of using a speed bag?</t>
  </si>
  <si>
    <t>a) Enhancing timing, b) Improving hand speed, c) Developing rhythm, d) Building endurance</t>
  </si>
  <si>
    <t>a) Enhancing timing, b) Improving hand speed, c) Developing rhythm</t>
  </si>
  <si>
    <t>From the sport shown in the image, what is the key benefit of using resistance bands in training?</t>
  </si>
  <si>
    <t>a) Strengthening muscles, b) Increasing flexibility, c) Enhancing speed, d) Improving balance</t>
  </si>
  <si>
    <t>a) Strengthening muscles, c) Enhancing speed</t>
  </si>
  <si>
    <t>musti_yuddha_8</t>
  </si>
  <si>
    <t>From the sport shown in the image, which type of conditioning exercise is commonly used to build endurance?</t>
  </si>
  <si>
    <t>a) Running, b) Cycling, c) Jumping rope, d) Circuit training</t>
  </si>
  <si>
    <t>a) Running, c) Jumping rope, d) Circuit training</t>
  </si>
  <si>
    <t>From the sport shown in the image, which of the following is emphasized to maintain proper form during striking?</t>
  </si>
  <si>
    <t>a) Elbow positioning, b) Hip rotation, c) Foot placement, d) Head movement</t>
  </si>
  <si>
    <t>b) Hip rotation, c) Foot placement</t>
  </si>
  <si>
    <t>From the sport shown in the image, what is the primary purpose of maintaining a strong guard?</t>
  </si>
  <si>
    <t>a) Blocking incoming strikes, b) Setting up counters, c) Maintaining balance, d) Controlling distance</t>
  </si>
  <si>
    <t>a) Blocking incoming strikes, b) Setting up counters</t>
  </si>
  <si>
    <t>From the sport shown in the image, which traditional stance provides the most stability?</t>
  </si>
  <si>
    <t>a) Wide stance, b) Narrow stance, c) Side stance, d) Balanced stance</t>
  </si>
  <si>
    <t>a) Wide stance</t>
  </si>
  <si>
    <t>musti_yuddha_9</t>
  </si>
  <si>
    <t>From the sport shown in the image, what is the key benefit of practicing feints?</t>
  </si>
  <si>
    <t>a) Distracting the opponent, b) Creating openings, c) Conserving energy, d) Testing the opponentâ€™s reaction</t>
  </si>
  <si>
    <t>a) Distracting the opponent, b) Creating openings, d) Testing the opponentâ€™s reaction</t>
  </si>
  <si>
    <t>From the sport shown in the image, which of the following techniques is used to deflect an opponentâ€™s strike?</t>
  </si>
  <si>
    <t>a) Parry, b) Block, c) Slip, d) Weave</t>
  </si>
  <si>
    <t>a) Parry</t>
  </si>
  <si>
    <t>From the sport shown in the image, what is the purpose of clinching in a match?</t>
  </si>
  <si>
    <t>a) To control the opponent, b) To prevent strikes, c) To conserve energy, d) To set up a counterattack</t>
  </si>
  <si>
    <t>a) To control the opponent, b) To prevent strikes, c) To conserve energy</t>
  </si>
  <si>
    <t>From the sport shown in the image, which of the following strategies is used to close the distance with an opponent?</t>
  </si>
  <si>
    <t>a) Stepping in, b) Lunging, c) Shuffling forward, d) Sidestepping</t>
  </si>
  <si>
    <t>a) Stepping in, b) Lunging</t>
  </si>
  <si>
    <t>musti_yuddha_10</t>
  </si>
  <si>
    <t>From the sport shown in the image, what is the role of breathing techniques during intense physical exertion?</t>
  </si>
  <si>
    <t>a) Regulating heart rate, b) Improving stamina, c) Reducing fatigue, d) Enhancing focus</t>
  </si>
  <si>
    <t>a) Regulating heart rate, b) Improving stamina, c) Reducing fatigue</t>
  </si>
  <si>
    <t>From the sport shown in the image, which of the following is a common way to initiate an attack?</t>
  </si>
  <si>
    <t>a) Jab, b) Feint, c) Hook, d) Uppercut</t>
  </si>
  <si>
    <t>From the sport shown in the image, what is the primary focus during defensive training?</t>
  </si>
  <si>
    <t>a) Avoiding strikes, b) Countering effectively, c) Maintaining balance, d) Staying composed</t>
  </si>
  <si>
    <t>a) Avoiding strikes, b) Countering effectively</t>
  </si>
  <si>
    <t>From the sport shown in the image, which of the following is crucial for generating power in a strike?</t>
  </si>
  <si>
    <t>a) Hip rotation, b) Core strength, c) Leg drive, d) Arm extension</t>
  </si>
  <si>
    <t>a) Hip rotation, b) Core strength, c) Leg drive</t>
  </si>
  <si>
    <t>musti_yuddha_11</t>
  </si>
  <si>
    <t>From the sport shown in the image, what is the significance of timing in a match?</t>
  </si>
  <si>
    <t>a) To land effective strikes, b) To avoid counters, c) To maintain rhythm, d) To read the opponent</t>
  </si>
  <si>
    <t>a) To land effective strikes, b) To avoid counters</t>
  </si>
  <si>
    <t>From the sport shown in the image, which type of movement is emphasized to create angles?</t>
  </si>
  <si>
    <t>a) Pivoting, b) Sidestepping, c) Circling, d) Lunging</t>
  </si>
  <si>
    <t>a) Pivoting, b) Sidestepping, c) Circling</t>
  </si>
  <si>
    <t>From the sport shown in the image, what is the primary objective of practicing combinations?</t>
  </si>
  <si>
    <t>a) Overwhelming the opponent, b) Confusing the opponent, c) Creating openings, d) Building rhythm</t>
  </si>
  <si>
    <t>a) Overwhelming the opponent, b) Creating openings</t>
  </si>
  <si>
    <t>From the sport shown in the image, which technique is commonly used to counter a hook?</t>
  </si>
  <si>
    <t>a) Slip, b) Duck, c) Block, d) Parry</t>
  </si>
  <si>
    <t>b) Duck, c) Block</t>
  </si>
  <si>
    <t>musti_yuddha_12</t>
  </si>
  <si>
    <t>a) Enhancing mobility, b) Improving balance, c) Building speed, d) Increasing power</t>
  </si>
  <si>
    <t>a) Enhancing mobility, b) Improving balance</t>
  </si>
  <si>
    <t>From the sport shown in the image, which traditional drill is used to build endurance?</t>
  </si>
  <si>
    <t>a) Jump rope, b) Bag work, c) Pad work, d) Shadowboxing</t>
  </si>
  <si>
    <t>From the sport shown in the image, which aspect of training is essential for developing striking accuracy?</t>
  </si>
  <si>
    <t>a) Focus mitt work, b) Bag work, c) Shadowboxing, d) Sparring</t>
  </si>
  <si>
    <t>a) Focus mitt work</t>
  </si>
  <si>
    <t>From the sport shown in the image, what is the primary benefit of cross-training in this sport?</t>
  </si>
  <si>
    <t>a) Improving overall fitness, b) Enhancing specific skills, c) Reducing the risk of injury, d) Increasing mental toughness</t>
  </si>
  <si>
    <t>a) Improving overall fitness, b) Enhancing specific skills, c) Reducing the risk of injury</t>
  </si>
  <si>
    <t>musti_yuddha_13</t>
  </si>
  <si>
    <t>From the sport shown in the image, which type of strike is often used as a finishing move?</t>
  </si>
  <si>
    <t>a) Hook, b) Uppercut, c) Cross, d) Jab</t>
  </si>
  <si>
    <t>b) Uppercut</t>
  </si>
  <si>
    <t>From the sport shown in the image, which of the following is a key factor in maintaining defensive posture?</t>
  </si>
  <si>
    <t>a) Guard position, b) Foot placement, c) Head movement, d) Arm extension</t>
  </si>
  <si>
    <t>a) Guard position, b) Foot placement</t>
  </si>
  <si>
    <t>From the sport shown in the image, which of the following drills is most effective for improving reaction time?</t>
  </si>
  <si>
    <t>a) Focus mitt work, b) Reflex drills, c) Speed bag, d) Sparring</t>
  </si>
  <si>
    <t>b) Reflex drills, c) Speed bag</t>
  </si>
  <si>
    <t>From the sport shown in the image, what is the importance of maintaining eye contact with the opponent?</t>
  </si>
  <si>
    <t>a) Reading the opponentâ€™s intentions, b) Intimidating the opponent, c) Staying focused, d) Tracking the opponentâ€™s movements</t>
  </si>
  <si>
    <t>a) Reading the opponentâ€™s intentions, c) Staying focused</t>
  </si>
  <si>
    <t>musti_yuddha_14</t>
  </si>
  <si>
    <t>From the sport shown in the image, which technique is commonly used to slip past an opponentâ€™s jab?</t>
  </si>
  <si>
    <t>a) Sidestep, b) Pivot, c) Duck, d) Parry</t>
  </si>
  <si>
    <t>a) Sidestep, b) Pivot</t>
  </si>
  <si>
    <t>From the sport shown in the image, which of the following is an effective strategy for countering aggressive opponents?</t>
  </si>
  <si>
    <t>a) Timing counters, b) Using angles, c) Clinching, d) Feinting</t>
  </si>
  <si>
    <t>a) Timing counters, b) Using angles</t>
  </si>
  <si>
    <t>From the sport shown in the image, which of the following is a key principle in traditional training?</t>
  </si>
  <si>
    <t>a) Discipline, b) Respect, c) Humility, d) Aggressiveness</t>
  </si>
  <si>
    <t>a) Discipline, b) Respect, c) Humility</t>
  </si>
  <si>
    <t>From the sport shown in the image, which of the following techniques is essential for recovering quickly after a missed strike?</t>
  </si>
  <si>
    <t>a) Maintaining balance, b) Quick footwork, c) Guard recovery, d) Countering immediately</t>
  </si>
  <si>
    <t>a) Maintaining balance, b) Quick footwork</t>
  </si>
  <si>
    <t>musti_yuddha_15</t>
  </si>
  <si>
    <t>From the sport shown in the image, which of the following is emphasized during strength training?</t>
  </si>
  <si>
    <t>a) Core stability, b) Leg strength, c) Shoulder endurance, d) Wrist flexibility</t>
  </si>
  <si>
    <t>a) Core stability, b) Leg strength</t>
  </si>
  <si>
    <t>From the sport shown in the image, what is the key benefit of shadowboxing?</t>
  </si>
  <si>
    <t>a) Improving technique, b) Building endurance, c) Enhancing speed, d) Increasing mental focus</t>
  </si>
  <si>
    <t>a) Improving technique, c) Enhancing speed</t>
  </si>
  <si>
    <t>From the sport shown in the image, which of the following is a common strategy for setting up a knockout punch?</t>
  </si>
  <si>
    <t>a) Feinting, b) Body shots, c) Angling out, d) Using combinations</t>
  </si>
  <si>
    <t>a) Feinting, b) Body shots, d) Using combinations</t>
  </si>
  <si>
    <t>From the sport shown in the image, which of the following is a traditional method for building hand strength?</t>
  </si>
  <si>
    <t>a) Grip exercises, b) Finger push-ups, c) Wrist curls, d) Sledgehammer training</t>
  </si>
  <si>
    <t>a) Grip exercises, b) Finger push-ups, d) Sledgehammer training</t>
  </si>
  <si>
    <t>musti_yuddha_16</t>
  </si>
  <si>
    <t>From the sport shown in the image, which of the following is critical for maintaining rhythm during a match?</t>
  </si>
  <si>
    <t>a) Footwork, b) Breathing, c) Timing, d) Composure</t>
  </si>
  <si>
    <t>a) Footwork, b) Timing</t>
  </si>
  <si>
    <t>From the sport shown in the image, what is the purpose of practicing defensive drills?</t>
  </si>
  <si>
    <t>a) Improving reaction time, b) Learning to counter effectively, c) Building confidence, d) Reducing the impact of strikes</t>
  </si>
  <si>
    <t>a) Improving reaction time, b) Learning to counter effectively</t>
  </si>
  <si>
    <t>From the sport shown in the image, which technique is primarily used to disrupt the opponentâ€™s rhythm?</t>
  </si>
  <si>
    <t>a) Feinting, b) Clinching, c) Countering, d) Changing levels</t>
  </si>
  <si>
    <t>a) Feinting, d) Changing levels</t>
  </si>
  <si>
    <t>From the sport shown in the image, which of the following is a traditional way to condition the body for impact?</t>
  </si>
  <si>
    <t>a) Bag work, b) Sparring, c) Medicine ball throws, d) Body conditioning drills</t>
  </si>
  <si>
    <t>c) Medicine ball throws, d) Body conditioning drills</t>
  </si>
  <si>
    <t>musti_yuddha_17</t>
  </si>
  <si>
    <t>From the sport shown in the image, what is the importance of proper foot placement during striking?</t>
  </si>
  <si>
    <t>a) Generating power, b) Maintaining balance, c) Creating angles, d) Reducing the risk of injury</t>
  </si>
  <si>
    <t>a) Generating power, b) Maintaining balance, d) Reducing the risk of injury</t>
  </si>
  <si>
    <t>From the sport shown in the image, which of the following drills is best for improving hand speed?</t>
  </si>
  <si>
    <t>a) Speed bag, b) Focus mitt work, c) Shadowboxing, d) Reflex drills</t>
  </si>
  <si>
    <t>a) Speed bag, c) Shadowboxing</t>
  </si>
  <si>
    <t>From the sport shown in the image, what is the primary objective of maintaining a low stance?</t>
  </si>
  <si>
    <t>a) Increasing balance, b) Enhancing mobility, c) Improving power generation, d) Reducing the opponent's striking angles</t>
  </si>
  <si>
    <t>a) Increasing balance, c) Improving power generation</t>
  </si>
  <si>
    <t>From the sport shown in the image, which of the following is most effective for evading a straight punch?</t>
  </si>
  <si>
    <t>a) Slipping, b) Bobbing, c) Weaving, d) Ducking</t>
  </si>
  <si>
    <t>a) Slipping, c) Weaving</t>
  </si>
  <si>
    <t>musti_yuddha_18</t>
  </si>
  <si>
    <t>From the sport shown in the image, what is the role of visualization techniques in training?</t>
  </si>
  <si>
    <t>a) Enhancing focus, b) Preparing for different scenarios, c) Reducing anxiety, d) Improving technique</t>
  </si>
  <si>
    <t>a) Enhancing focus, b) Preparing for different scenarios</t>
  </si>
  <si>
    <t>From the sport shown in the image, which of the following is a key benefit of pad work?</t>
  </si>
  <si>
    <t>a) Precision, b) Timing, c) Power, d) Endurance</t>
  </si>
  <si>
    <t>a) Precision, b) Timing</t>
  </si>
  <si>
    <t>From the sport shown in the image, what is the purpose of incorporating head movement into training?</t>
  </si>
  <si>
    <t>a) Avoiding strikes, b) Creating counterattack opportunities, c) Disorienting the opponent, d) Maintaining rhythm</t>
  </si>
  <si>
    <t>a) Avoiding strikes, b) Creating counterattack opportunities</t>
  </si>
  <si>
    <t>From the sport shown in the image, which of the following drills is used to improve foot speed?</t>
  </si>
  <si>
    <t>a) Ladder drills, b) Cone drills, c) Jump rope, d) Plyometrics</t>
  </si>
  <si>
    <t>a) Ladder drills, c) Jump rope</t>
  </si>
  <si>
    <t>musti_yuddha_19</t>
  </si>
  <si>
    <t>From the sport shown in the image, which of the following is critical for delivering effective counterstrikes?</t>
  </si>
  <si>
    <t>a) Timing, b) Speed, c) Power, d) Precision</t>
  </si>
  <si>
    <t>a) Timing, b) Precision</t>
  </si>
  <si>
    <t>From the sport shown in the image, what is the primary purpose of shadowboxing?</t>
  </si>
  <si>
    <t>a) Practicing combinations, b) Improving footwork, c) Enhancing conditioning, d) Developing rhythm</t>
  </si>
  <si>
    <t>a) Practicing combinations, b) Developing rhythm</t>
  </si>
  <si>
    <t>From the sport shown in the image, which technique is commonly used to disrupt an opponentâ€™s balance?</t>
  </si>
  <si>
    <t>a) Leg sweep, b) Push, c) Clinch, d) Trip</t>
  </si>
  <si>
    <t>a) Leg sweep, d) Trip</t>
  </si>
  <si>
    <t>From the sport shown in the image, what is the significance of hand positioning during a match?</t>
  </si>
  <si>
    <t>a) Protecting the face, b) Setting up counters, c) Maintaining balance, d) Controlling distance</t>
  </si>
  <si>
    <t>a) Protecting the face, b) Setting up counters</t>
  </si>
  <si>
    <t>musti_yuddha_20</t>
  </si>
  <si>
    <t>From the sport shown in the image, which type of strike is typically used to target the body?</t>
  </si>
  <si>
    <t>a) Hook, c) Cross</t>
  </si>
  <si>
    <t>From the sport shown in the image, what is the role of feints in a match?</t>
  </si>
  <si>
    <t>a) Creating openings, b) Confusing the opponent, c) Disrupting rhythm, d) Setting up power shots</t>
  </si>
  <si>
    <t>a) Creating openings, b) Confusing the opponent</t>
  </si>
  <si>
    <t>From the sport shown in the image, what is the purpose of maintaining a strong core during strikes?</t>
  </si>
  <si>
    <t>a) Generating power, b) Maintaining balance, c) Protecting against counterstrikes, d) Enhancing endurance</t>
  </si>
  <si>
    <t>a) Generating power, b) Maintaining balance</t>
  </si>
  <si>
    <t>From the sport shown in the image, which of the following drills is essential for improving defensive reflexes?</t>
  </si>
  <si>
    <t>a) Sparring, b) Mitt work, c) Reflex ball training, d) Speed bag</t>
  </si>
  <si>
    <t>a) Sparring, c) Reflex ball training</t>
  </si>
  <si>
    <t>musti_yuddha_21</t>
  </si>
  <si>
    <t>From the sport shown in the image, which technique is often used to set up a body strike?</t>
  </si>
  <si>
    <t>a) Jab, b) Feint, c) Hook, d) Cross</t>
  </si>
  <si>
    <t>b) Feint, a) Jab</t>
  </si>
  <si>
    <t>From the sport shown in the image, which of the following is crucial for avoiding an opponentâ€™s strike?</t>
  </si>
  <si>
    <t>a) Head movement, b) Footwork, c) Guarding, d) Countering</t>
  </si>
  <si>
    <t>a) Head movement, b) Footwork</t>
  </si>
  <si>
    <t>From the sport shown in the image, what is the benefit of using circular footwork?</t>
  </si>
  <si>
    <t>a) Creating angles, b) Evading attacks, c) Setting up counters, d) Maintaining rhythm</t>
  </si>
  <si>
    <t>a) Creating angles, b) Evading attacks</t>
  </si>
  <si>
    <t>From the sport shown in the image, which of the following is a traditional method for toughening the fists?</t>
  </si>
  <si>
    <t>a) Bag work, b) Knuckle push-ups, c) Sandbag striking, d) Rock striking</t>
  </si>
  <si>
    <t>b) Knuckle push-ups, c) Sandbag striking</t>
  </si>
  <si>
    <t>musti_yuddha_22</t>
  </si>
  <si>
    <t>From the sport shown in the image, what is the purpose of practicing striking combinations?</t>
  </si>
  <si>
    <t>a) Overwhelming the opponent, b) Creating openings, c) Building speed, d) Improving timing</t>
  </si>
  <si>
    <t>From the sport shown in the image, which of the following is a key focus when training for endurance?</t>
  </si>
  <si>
    <t>a) Long sparring sessions, b) High-repetition drills, c) Interval training, d) Continuous bag work</t>
  </si>
  <si>
    <t>a) Long sparring sessions, b) Interval training</t>
  </si>
  <si>
    <t>From the sport shown in the image, what is the significance of distance management during a match?</t>
  </si>
  <si>
    <t>a) Controlling the pace, b) Setting up attacks, c) Avoiding counters, d) Maintaining balance</t>
  </si>
  <si>
    <t>a) Controlling the pace, b) Setting up attacks</t>
  </si>
  <si>
    <t>From the sport shown in the image, which of the following is a common way to close the distance with an opponent?</t>
  </si>
  <si>
    <t>a) Stepping in, b) Lunging forward, c) Sliding in, d) Circling</t>
  </si>
  <si>
    <t>a) Stepping in, b) Sliding in</t>
  </si>
  <si>
    <t>musti_yuddha_23</t>
  </si>
  <si>
    <t>From the sport shown in the image, which traditional exercise is used to build leg strength?</t>
  </si>
  <si>
    <t>a) Squats, b) Lunges, c) Leg presses, d) Calf raises</t>
  </si>
  <si>
    <t>a) Squats, b) Lunges</t>
  </si>
  <si>
    <t>From the sport shown in the image, which technique is effective for neutralizing an opponentâ€™s power?</t>
  </si>
  <si>
    <t>a) Clinching, b) Blocking, c) Parrying, d) Slipping</t>
  </si>
  <si>
    <t>a) Clinching, b) Parrying</t>
  </si>
  <si>
    <t>From the sport shown in the image, which of the following is emphasized during defensive training?</t>
  </si>
  <si>
    <t>a) Blocking, b) Parrying, c) Countering, d) Footwork</t>
  </si>
  <si>
    <t>a) Blocking, b) Parrying</t>
  </si>
  <si>
    <t>From the sport shown in the image, what is the purpose of practicing defensive maneuvers?</t>
  </si>
  <si>
    <t>a) Avoiding strikes, b) Setting up counters, c) Reducing damage, d) Conserving energy</t>
  </si>
  <si>
    <t>a) Avoiding strikes, b) Setting up counters</t>
  </si>
  <si>
    <t>musti_yuddha_24</t>
  </si>
  <si>
    <t>From the sport shown in the image, which of the following strategies is used to tire out an opponent?</t>
  </si>
  <si>
    <t>a) Clinching, b) Body shots, c) Circling, d) High-volume punching</t>
  </si>
  <si>
    <t>b) Body shots, d) High-volume punching</t>
  </si>
  <si>
    <t>From the sport shown in the image, which of the following is a key principle of traditional training?</t>
  </si>
  <si>
    <t>a) Respect, b) Discipline, c) Patience, d) Aggressiveness</t>
  </si>
  <si>
    <t>a) Respect, b) Discipline, c) Patience</t>
  </si>
  <si>
    <t>From the sport shown in the image, what is the main purpose of using a double-end bag in training?</t>
  </si>
  <si>
    <t>a) Improving accuracy, b) Enhancing speed, c) Developing rhythm, d) Building power</t>
  </si>
  <si>
    <t>a) Improving accuracy, b) Enhancing speed</t>
  </si>
  <si>
    <t>From the sport shown in the image, which technique is commonly used to defend against high strikes?</t>
  </si>
  <si>
    <t>a) High guard, b) Ducking, c) Parrying, d) Covering</t>
  </si>
  <si>
    <t>a) High guard, b) Ducking</t>
  </si>
  <si>
    <t>musti_yuddha_25</t>
  </si>
  <si>
    <t>From the sport shown in the image, which training tool is effective for improving coordination between hands and feet?</t>
  </si>
  <si>
    <t>a) Speed bag, b) Focus mitts, c) Agility ladder, d) Heavy bag</t>
  </si>
  <si>
    <t>a) Speed bag, c) Agility ladder</t>
  </si>
  <si>
    <t>From the sport shown in the image, what is the benefit of practicing footwork drills on a slippery surface?</t>
  </si>
  <si>
    <t>a) Improving balance, b) Enhancing speed, c) Strengthening leg muscles, d) Increasing agility</t>
  </si>
  <si>
    <t>a) Improving balance, d) Increasing agility</t>
  </si>
  <si>
    <t>From the sport shown in the image, which technique is essential for effective clinching?</t>
  </si>
  <si>
    <t>a) Wrist control, b) Head positioning, c) Arm trapping, d) Foot placement</t>
  </si>
  <si>
    <t>a) Wrist control, b) Head positioning</t>
  </si>
  <si>
    <t>From the sport shown in the image, which aspect of training focuses on improving mental toughness?</t>
  </si>
  <si>
    <t>a) Visualization, b) Sparring, c) Meditation, d) Endurance training</t>
  </si>
  <si>
    <t>a) Visualization, c) Meditation</t>
  </si>
  <si>
    <t>lagori_1</t>
  </si>
  <si>
    <t>What is the primary objective of the attacking team in Lagori?</t>
  </si>
  <si>
    <t>A) Break the pyramid, B) Defend the pyramid, C) Capture the flag, D) Tag all opponents</t>
  </si>
  <si>
    <t>A) Break the pyramid</t>
  </si>
  <si>
    <t>In Lagori, what is the traditional material used to make the stack?</t>
  </si>
  <si>
    <t>A) Stones, B) Wood, C) Plastic, D) Metal</t>
  </si>
  <si>
    <t>A) Stones</t>
  </si>
  <si>
    <t>How many stones are typically stacked in a standard game of Lagori?</t>
  </si>
  <si>
    <t>A) 3, B) 5, C) 7, D) 9</t>
  </si>
  <si>
    <t>Which piece of equipment is essential for playing Lagori?</t>
  </si>
  <si>
    <t>A) Bat, B) Ball, C) Net, D) Frisbee</t>
  </si>
  <si>
    <t>B) Ball</t>
  </si>
  <si>
    <t>lagori_2</t>
  </si>
  <si>
    <t>What is the main role of the defensive team in Lagori?</t>
  </si>
  <si>
    <t>A) Rebuild the pyramid, B) Break the pyramid, C) Avoid being hit by the ball, D) Score points</t>
  </si>
  <si>
    <t>C) Avoid being hit by the ball</t>
  </si>
  <si>
    <t>What happens if a player from the defensive team is hit by the ball?</t>
  </si>
  <si>
    <t>A) They are out of the game, B) They switch teams, C) They gain a point, D) The game restarts</t>
  </si>
  <si>
    <t>A) They are out of the game</t>
  </si>
  <si>
    <t>In Lagori, what is the term used when all the stones are knocked down?</t>
  </si>
  <si>
    <t>A) Lagori, B) Full down, C) Strike, D) Over</t>
  </si>
  <si>
    <t>A) Lagori</t>
  </si>
  <si>
    <t>What is the consequence if the attacking team fails to knock down the stones in Lagori?</t>
  </si>
  <si>
    <t>A) They lose a point, B) The turn passes to the other team, C) They must try again, D) They gain a penalty</t>
  </si>
  <si>
    <t>B) The turn passes to the other team</t>
  </si>
  <si>
    <t>lagori_3</t>
  </si>
  <si>
    <t>Which skill is most critical for success in Lagori?</t>
  </si>
  <si>
    <t>A) Jumping, B) Running, C) Throwing accuracy, D) Catching</t>
  </si>
  <si>
    <t>C) Throwing accuracy</t>
  </si>
  <si>
    <t>In Lagori, how does a team win the game?</t>
  </si>
  <si>
    <t>A) By knocking down all stones in one attempt, B) By eliminating all opponents, C) By rebuilding the pyramid, D) By scoring the most points</t>
  </si>
  <si>
    <t>C) By rebuilding the pyramid</t>
  </si>
  <si>
    <t>How many players are usually on each team in a game of Lagori?</t>
  </si>
  <si>
    <t>What happens if the defensive team successfully rebuilds the pyramid in Lagori?</t>
  </si>
  <si>
    <t>A) They win the game, B) The game continues, C) The game ends in a draw, D) They switch sides</t>
  </si>
  <si>
    <t>B) The game continues</t>
  </si>
  <si>
    <t>lagori_4</t>
  </si>
  <si>
    <t>Which of the following actions is illegal in Lagori?</t>
  </si>
  <si>
    <t>A) Throwing the ball underarm, B) Throwing the ball overhand, C) Blocking the ball with hands, D) Kicking the ball</t>
  </si>
  <si>
    <t>D) Kicking the ball</t>
  </si>
  <si>
    <t>What does the attacking team do after knocking down the stones?</t>
  </si>
  <si>
    <t>A) Run and hide, B) Rebuild the pyramid, C) Throw the ball at opponents, D) Defend the area</t>
  </si>
  <si>
    <t>C) Throw the ball at opponents</t>
  </si>
  <si>
    <t>In Lagori, what is the role of the last player standing in the defensive team?</t>
  </si>
  <si>
    <t>A) Knock down the pyramid, B) Rebuild the pyramid, C) Defend the pyramid, D) Catch the ball</t>
  </si>
  <si>
    <t>B) Rebuild the pyramid</t>
  </si>
  <si>
    <t>Which type of ball is typically used in Lagori?</t>
  </si>
  <si>
    <t>A) Tennis ball, B) Basketball, C) Cricket ball, D) Football</t>
  </si>
  <si>
    <t>A) Tennis ball</t>
  </si>
  <si>
    <t>lagori_5</t>
  </si>
  <si>
    <t>In Lagori, what does the attacking team do when the stones are rebuilt?</t>
  </si>
  <si>
    <t>A) Continue attacking, B) Switch roles, C) Defend the rebuilt stones, D) End the game</t>
  </si>
  <si>
    <t>B) Switch roles</t>
  </si>
  <si>
    <t>What is the traditional term for Lagori in South India?</t>
  </si>
  <si>
    <t>A) Satoliya, B) Lingorcha, C) Pittu, D) Chenda</t>
  </si>
  <si>
    <t>B) Lingorcha</t>
  </si>
  <si>
    <t>Which part of the body is typically used to throw the ball in Lagori?</t>
  </si>
  <si>
    <t>A) Foot, B) Hand, C) Head, D) Elbow</t>
  </si>
  <si>
    <t>B) Hand</t>
  </si>
  <si>
    <t>What happens if a player catches the ball in Lagori?</t>
  </si>
  <si>
    <t>A) The game resets, B) The catcher gains a point, C) The throwing team loses a turn, D) The catching team gets the ball</t>
  </si>
  <si>
    <t>D) The catching team gets the ball</t>
  </si>
  <si>
    <t>lagori_6</t>
  </si>
  <si>
    <t>What is the term used for the area where the stones are stacked in Lagori?</t>
  </si>
  <si>
    <t>A) Base, B) Pitch, C) Center, D) Stack zone</t>
  </si>
  <si>
    <t>C) Center</t>
  </si>
  <si>
    <t>In which phase of the game does the Lagori team rebuild the pyramid?</t>
  </si>
  <si>
    <t>A) Before the game starts, B) During the game, C) After knocking down the stones, D) After the game ends</t>
  </si>
  <si>
    <t>B) During the game</t>
  </si>
  <si>
    <t>What happens when a defensive player is hit while rebuilding the pyramid in Lagori?</t>
  </si>
  <si>
    <t>A) They continue rebuilding, B) They are out, C) They switch teams, D) They gain a point</t>
  </si>
  <si>
    <t>What should the attacking team do immediately after knocking down the stones?</t>
  </si>
  <si>
    <t>A) Run away, B) Hide the stones, C) Rebuild the stones, D) Defend their area</t>
  </si>
  <si>
    <t>A) Run away</t>
  </si>
  <si>
    <t>lagori_7</t>
  </si>
  <si>
    <t>Which of the following is a common strategy in Lagori?</t>
  </si>
  <si>
    <t>A) Throwing the ball high, B) Throwing the ball low, C) Passing the ball among teammates, D) Blocking the center</t>
  </si>
  <si>
    <t>C) Passing the ball among teammates</t>
  </si>
  <si>
    <t>How can the defensive team prevent the attacking team from scoring in Lagori?</t>
  </si>
  <si>
    <t>A) Rebuild the pyramid quickly, B) Throw the ball at attackers, C) Hide the stones, D) Run away</t>
  </si>
  <si>
    <t>A) Rebuild the pyramid quickly</t>
  </si>
  <si>
    <t>What is the main skill required for the defensive team in Lagori?</t>
  </si>
  <si>
    <t>A) Speed, B) Strength, C) Strategy, D) Coordination</t>
  </si>
  <si>
    <t>D) Coordination</t>
  </si>
  <si>
    <t>In Lagori, what is the consequence if the attacking team misses the stack while throwing?</t>
  </si>
  <si>
    <t>A) They lose a turn, B) They gain a point, C) The defensive team gets the ball, D) The game ends</t>
  </si>
  <si>
    <t>A) They lose a turn</t>
  </si>
  <si>
    <t>lagori_8</t>
  </si>
  <si>
    <t>What is the primary objective of the attackers in Lagori?</t>
  </si>
  <si>
    <t>A) Rebuild the pyramid, B) Knock down the pyramid, C) Defend the stones, D) Avoid being hit by the ball</t>
  </si>
  <si>
    <t>B) Knock down the pyramid</t>
  </si>
  <si>
    <t>What must defenders do to win after the attackers have knocked down the stones in Lagori?</t>
  </si>
  <si>
    <t>A) Hit the attackers with the ball, B) Rebuild the pyramid, C) Knock down the pyramid again, D) Run away from the attackers</t>
  </si>
  <si>
    <t>What strategy can attackers use to succeed in Lagori?</t>
  </si>
  <si>
    <t>A) Distract the defenders, B) Rebuild the pyramid faster, C) Throw the ball to each other, D) Knock down the pyramid and quickly defend it</t>
  </si>
  <si>
    <t>D) Knock down the pyramid and quickly defend it</t>
  </si>
  <si>
    <t>How can defenders avoid getting out in Lagori?</t>
  </si>
  <si>
    <t>A) By hiding behind obstacles, B) By running away quickly, C) By dodging the ball thrown by attackers, D) By breaking the pyramid</t>
  </si>
  <si>
    <t>C) By dodging the ball thrown by attackers</t>
  </si>
  <si>
    <t>lagori_9</t>
  </si>
  <si>
    <t>Which team won the gold medal in Lagori at the 37th National Games Goa 2023?</t>
  </si>
  <si>
    <t>A) Kerala, B) Goa, C) Maharashtra, D) Karnataka</t>
  </si>
  <si>
    <t>B) Goa</t>
  </si>
  <si>
    <t>In which year did the Goa Lagori team clinch the gold medal at the National Games?</t>
  </si>
  <si>
    <t>A) 2019, B) 2021, C) 2023, D) 2025</t>
  </si>
  <si>
    <t>C) 2023</t>
  </si>
  <si>
    <t>What achievement is highlighted in the image related to the 37th National Games Goa 2023?</t>
  </si>
  <si>
    <t>A) Winning a cricket match, B) Winning a kabaddi match, C) Winning a Lagori tournament, D) Winning a football match</t>
  </si>
  <si>
    <t>C) Winning a Lagori tournament</t>
  </si>
  <si>
    <t>Who among the following topped the Yogasana event at the 37th National Games Goa 2023?</t>
  </si>
  <si>
    <t>A) Shubham Debnath, B) Rohit Sharma, C) Virat Kohli, D) Ramesh Singh</t>
  </si>
  <si>
    <t>A) Shubham Debnath</t>
  </si>
  <si>
    <t>lagori_10</t>
  </si>
  <si>
    <t>Which player topped the standings in the event with 63.67 points, as depicted in the image?</t>
  </si>
  <si>
    <t>A) Abhishek Singh, B) Mohammad Shiek, C) Shubham Debnath, D) Rohit Sharma</t>
  </si>
  <si>
    <t>C) Shubham Debnath</t>
  </si>
  <si>
    <t>In which National Games event did Shubham Debnath, shown in the image, represent Goa?</t>
  </si>
  <si>
    <t>A) Football, B) Kabaddi, C) Lagori, D) Yogasana</t>
  </si>
  <si>
    <t>D) Yogasana</t>
  </si>
  <si>
    <t>From which state did Shubham Debnath, featured in the image, move to Goa to participate in the National Games?</t>
  </si>
  <si>
    <t>A) Maharashtra, B) West Bengal, C) Haryana, D) Karnataka</t>
  </si>
  <si>
    <t>B) West Bengal</t>
  </si>
  <si>
    <t>Which medal did Shubham Debnath win in the event depicted in the image?</t>
  </si>
  <si>
    <t>A) Gold, B) Silver, C) Bronze, D) None</t>
  </si>
  <si>
    <t>A) Gold</t>
  </si>
  <si>
    <t>lagori_11</t>
  </si>
  <si>
    <t>What is the primary activity depicted in the image related to Lagori?</t>
  </si>
  <si>
    <t>A) Players stacking stones, B) Players throwing a ball, C) Players running, D) Players defending the pyramid</t>
  </si>
  <si>
    <t>A) Players stacking stones</t>
  </si>
  <si>
    <t>Which state is represented in the image associated with the Lagori game?</t>
  </si>
  <si>
    <t>A) Maharashtra, B) Karnataka, C) Haryana, D) Tamil Nadu</t>
  </si>
  <si>
    <t>C) Haryana</t>
  </si>
  <si>
    <t>What is the likely objective of the team shown in the image during a Lagori game?</t>
  </si>
  <si>
    <t>A) To break the pyramid, B) To rebuild the pyramid, C) To defend the pyramid, D) To catch the ball</t>
  </si>
  <si>
    <t>B) To rebuild the pyramid</t>
  </si>
  <si>
    <t>What kind of event is the Lagori game depicted in the image likely part of?</t>
  </si>
  <si>
    <t>A) Local tournament, B) National Championship, C) Friendly match, D) Training session</t>
  </si>
  <si>
    <t>B) National Championship</t>
  </si>
  <si>
    <t>lagori_12</t>
  </si>
  <si>
    <t>What event is depicted in the image related to Lagori?</t>
  </si>
  <si>
    <t>A) School Sports Day, B) Local Festival, C) National Championship, D) Practice Session</t>
  </si>
  <si>
    <t>C) National Championship</t>
  </si>
  <si>
    <t>What is the main activity of the players in the image during the Lagori game?</t>
  </si>
  <si>
    <t>A) Throwing the ball, B) Stacking the stones, C) Running away, D) Rebuilding the pyramid</t>
  </si>
  <si>
    <t>B) Stacking the stones</t>
  </si>
  <si>
    <t>What is the color of the jersey worn by the team in the image?</t>
  </si>
  <si>
    <t>What is the main objective of the players in the Lagori game as seen in the image?</t>
  </si>
  <si>
    <t>A) To hit the pyramid with the ball, B) To defend the pyramid, C) To rebuild the stones, D) To catch the ball</t>
  </si>
  <si>
    <t>C) To rebuild the stones</t>
  </si>
  <si>
    <t>lagori_13</t>
  </si>
  <si>
    <t>What is Lagori commonly known as in the state of Maharashtra?</t>
  </si>
  <si>
    <t>A) Satoliya, B) Dabba Kali, C) Pittu, D) Lingorcha</t>
  </si>
  <si>
    <t>D) Lingorcha</t>
  </si>
  <si>
    <t>In North India, particularly in regions like Punjab and Haryana, what is Lagori called?</t>
  </si>
  <si>
    <t>A) Satoliya, B) Lingorcha, C) Pittu, D) Dabba Kali</t>
  </si>
  <si>
    <t>C) Pittu</t>
  </si>
  <si>
    <t>What is the name given to Lagori in the state of Karnataka?</t>
  </si>
  <si>
    <t>A) Pittu, B) Lingorcha, C) Dabba Kali, D) Kitti Pul</t>
  </si>
  <si>
    <t>C) Dabba Kali</t>
  </si>
  <si>
    <t>Which of the following is another name for Lagori in Tamil Nadu?</t>
  </si>
  <si>
    <t>A) Seven Stones, B) Satoliya, C) Dabba Kali, D) Lingorcha</t>
  </si>
  <si>
    <t>A) Seven Stones</t>
  </si>
  <si>
    <t>lagori_14</t>
  </si>
  <si>
    <t>What is Lagori known as in the state of Gujarat?</t>
  </si>
  <si>
    <t>A) Pittu, B) Satoliya, C) Dabba Kali, D) Lingorcha</t>
  </si>
  <si>
    <t>B) Satoliya</t>
  </si>
  <si>
    <t>In Andhra Pradesh and Telangana, what is Lagori referred to as?</t>
  </si>
  <si>
    <t>A) Pittu, B) Yedu Penkulu, C) Dabba Kali, D) Lingorcha</t>
  </si>
  <si>
    <t>B) Yedu Penkulu</t>
  </si>
  <si>
    <t>What is the name of Lagori in Pakistan?</t>
  </si>
  <si>
    <t>A) Satoliya, B) Pittu Garam, C) Lingorcha, D) Dabba Kali</t>
  </si>
  <si>
    <t>B) Pittu Garam</t>
  </si>
  <si>
    <t>Which name is used for Lagori in Bangladesh?</t>
  </si>
  <si>
    <t>A) Satoliya, B) Pittu, C) Seven Stones, D) Lingorcha</t>
  </si>
  <si>
    <t>B) Pittu</t>
  </si>
  <si>
    <t>lagori_15</t>
  </si>
  <si>
    <t>What is Lagori called in the Indian state of West Bengal?</t>
  </si>
  <si>
    <t>A) Satoliya, B) Pittu, C) Lattu, D) Lingorcha</t>
  </si>
  <si>
    <t>C) Lattu</t>
  </si>
  <si>
    <t>In the state of Odisha, which name is given to the game of Lagori?</t>
  </si>
  <si>
    <t>A) Pittu, B) Satoliya, C) Dabba Kali, D) Goli</t>
  </si>
  <si>
    <t>D) Goli</t>
  </si>
  <si>
    <t>What name is used for Lagori in the state of Kerala?</t>
  </si>
  <si>
    <t>A) Dabba Kali, B) Satoliya, C) Lingorcha, D) Pittu</t>
  </si>
  <si>
    <t>A) Dabba Kali</t>
  </si>
  <si>
    <t>In the Philippines, what is Lagori known as?</t>
  </si>
  <si>
    <t>A) Luksong Tinik, B) Tumbang Preso, C) Patintero, D) Pittu Garam</t>
  </si>
  <si>
    <t>B) Tumbang Preso</t>
  </si>
  <si>
    <t>lagori_16</t>
  </si>
  <si>
    <t>What is Lagori traditionally known as in the state of Maharashtra?</t>
  </si>
  <si>
    <t>In which state is Lagori commonly referred to as 'Pittu'?</t>
  </si>
  <si>
    <t>A) Punjab, B) Gujarat, C) Karnataka, D) Tamil Nadu</t>
  </si>
  <si>
    <t>A) Punjab</t>
  </si>
  <si>
    <t>Which traditional material is used to create the stack in Lagori?</t>
  </si>
  <si>
    <t>lagori_17</t>
  </si>
  <si>
    <t>lagori_18</t>
  </si>
  <si>
    <t>What term is used when all the stones are knocked down in Lagori?</t>
  </si>
  <si>
    <t>What happens if the attacking team fails to knock down the stones in Lagori?</t>
  </si>
  <si>
    <t>How does a team win the game in Lagori?</t>
  </si>
  <si>
    <t>lagori_19</t>
  </si>
  <si>
    <t>Which action is illegal in Lagori?</t>
  </si>
  <si>
    <t>What does the attacking team do after knocking down the stones in Lagori?</t>
  </si>
  <si>
    <t>lagori_20</t>
  </si>
  <si>
    <t>What is the role of the last player standing in the defensive team during Lagori?</t>
  </si>
  <si>
    <t>Which skill is crucial for the defensive team to avoid being hit in Lagori?</t>
  </si>
  <si>
    <t>lagori_21</t>
  </si>
  <si>
    <t>In Lagori, what is the term used for the area where the stones are stacked?</t>
  </si>
  <si>
    <t>What is Lagori also known as in Tamil Nadu?</t>
  </si>
  <si>
    <t>What name is given to Lagori in Andhra Pradesh and Telangana?</t>
  </si>
  <si>
    <t>What is Lagori called in Gujarat?</t>
  </si>
  <si>
    <t>lagori_22</t>
  </si>
  <si>
    <t>What is the name for Lagori in the Indian state of West Bengal?</t>
  </si>
  <si>
    <t>Which name is used for Lagori in the state of Karnataka?</t>
  </si>
  <si>
    <t>In which region is Lagori known as 'Pittu Garam'?</t>
  </si>
  <si>
    <t>A) India, B) Pakistan, C) Nepal, D) Bangladesh</t>
  </si>
  <si>
    <t>B) Pakistan</t>
  </si>
  <si>
    <t>What is the traditional term for Lagori in North India?</t>
  </si>
  <si>
    <t>A) Pittu, B) Lingorcha, C) Satoliya, D) Seven Stones</t>
  </si>
  <si>
    <t>A) Pittu</t>
  </si>
  <si>
    <t>lagori_23</t>
  </si>
  <si>
    <t>What is Lagori commonly known as in Sri Lanka?</t>
  </si>
  <si>
    <t>A) Satoliya, B) Lingorcha, C) Seven Tiles, D) Pittu</t>
  </si>
  <si>
    <t>C) Seven Tiles</t>
  </si>
  <si>
    <t>What is the main objective of the defensive team in Lagori?</t>
  </si>
  <si>
    <t>A) Rebuild the pyramid, B) Break the pyramid, C) Avoid being hit, D) Score points</t>
  </si>
  <si>
    <t>A) Rebuild the pyramid</t>
  </si>
  <si>
    <t>Which country refers to Lagori as 'Seven Stones'?</t>
  </si>
  <si>
    <t>A) India, B) Pakistan, C) Nepal, D) Sri Lanka</t>
  </si>
  <si>
    <t>D) Sri Lanka</t>
  </si>
  <si>
    <t>lagori_24</t>
  </si>
  <si>
    <t>In which state is Lagori known as 'Satoliya'?</t>
  </si>
  <si>
    <t>A) Gujarat, B) Tamil Nadu, C) Maharashtra, D) Karnataka</t>
  </si>
  <si>
    <t>C) Maharashtra</t>
  </si>
  <si>
    <t>Which state refers to Lagori as 'Lattu'?</t>
  </si>
  <si>
    <t>A) West Bengal, B) Punjab, C) Haryana, D) Himachal Pradesh</t>
  </si>
  <si>
    <t>A) West Bengal</t>
  </si>
  <si>
    <t>How does the attacking team score points in Lagori?</t>
  </si>
  <si>
    <t>A) By hitting the opponents, B) By rebuilding the pyramid, C) By avoiding being hit, D) By breaking the pyramid</t>
  </si>
  <si>
    <t>D) By breaking the pyramid</t>
  </si>
  <si>
    <t>What is a common name for Lagori in Tamil Nadu and Karnataka?</t>
  </si>
  <si>
    <t>A) Seven Stones, B) Dabba Kali, C) Satoliya, D) Lingorcha</t>
  </si>
  <si>
    <t>B) Dabba Kali</t>
  </si>
  <si>
    <t>lagori_25</t>
  </si>
  <si>
    <t>In which state is Lagori referred to as 'Lingorcha'?</t>
  </si>
  <si>
    <t>A) Gujarat, B) Karnataka, C) Andhra Pradesh, D) Telangana</t>
  </si>
  <si>
    <t>B) Karnataka</t>
  </si>
  <si>
    <t>What does the attacking team use to knock down the pyramid in Lagori?</t>
  </si>
  <si>
    <t>A) A bat, B) A ball, C) A stick, D) A disc</t>
  </si>
  <si>
    <t>B) A ball</t>
  </si>
  <si>
    <t>What happens when the attacking team fails to break the pyramid in Lagori?</t>
  </si>
  <si>
    <t>A) They lose their turn, B) The game ends, C) The defending team gets a point, D) The attacking team gets another attempt</t>
  </si>
  <si>
    <t>A) They lose their turn</t>
  </si>
  <si>
    <t>What is a key rule for the defensive team in Lagori?</t>
  </si>
  <si>
    <t>A) Rebuild the pyramid without being hit, B) Knock down the pyramid, C) Avoid hitting the ball, D) Score points by running</t>
  </si>
  <si>
    <t>A) Rebuild the pyramid without being hit</t>
  </si>
  <si>
    <t>lagori_26</t>
  </si>
  <si>
    <t>For the sport in the image, how many participants are there in a standard match?</t>
  </si>
  <si>
    <t>For the sport in the image, what is the main weapon used?</t>
  </si>
  <si>
    <t>A) Sword, B) Spear, C) Bow, D) Dagger</t>
  </si>
  <si>
    <t>A) Sword</t>
  </si>
  <si>
    <t>A) 3 minutes, B) 5 minutes, C) 10 minutes, D) 15 minutes</t>
  </si>
  <si>
    <t>B) 5 minutes</t>
  </si>
  <si>
    <t>In the sport shown in the image, which part of the body is mainly targeted?</t>
  </si>
  <si>
    <t>A) Legs, B) Arms, C) Head, D) Torso</t>
  </si>
  <si>
    <t>D) Torso</t>
  </si>
  <si>
    <t>lagori_27</t>
  </si>
  <si>
    <t>For the sport in the image, what protective gear is essential?</t>
  </si>
  <si>
    <t>A) Helmet, B) Arm Guards, C) Chest Guard, D) All of the above</t>
  </si>
  <si>
    <t>D) All of the above</t>
  </si>
  <si>
    <t>In the sport shown in the image, what is the primary stance called?</t>
  </si>
  <si>
    <t>A) Neutral stance, B) Offensive stance, C) Defensive stance, D) Aggressive stance</t>
  </si>
  <si>
    <t>C) Defensive stance</t>
  </si>
  <si>
    <t>For the sport in the image, which region is this martial art traditionally from?</t>
  </si>
  <si>
    <t>A) Manipur, B) Assam, C) Kerala, D) Punjab</t>
  </si>
  <si>
    <t>A) Manipur</t>
  </si>
  <si>
    <t>For the sport in the image, which of the following is NOT a traditional weapon used?</t>
  </si>
  <si>
    <t>A) Spear, B) Shield, C) Bow and Arrow, D) Nunchaku</t>
  </si>
  <si>
    <t>D) Nunchaku</t>
  </si>
  <si>
    <t>lagori_28</t>
  </si>
  <si>
    <t>For the sport in the image, what is the minimum age required to compete?</t>
  </si>
  <si>
    <t>A) 12 years, B) 14 years, C) 16 years, D) 18 years</t>
  </si>
  <si>
    <t>C) 16 years</t>
  </si>
  <si>
    <t>In the sport shown in the image, which of the following is a key attribute for success?</t>
  </si>
  <si>
    <t>A) Speed, B) Strength, C) Flexibility, D) All of the above</t>
  </si>
  <si>
    <t>For the sport in the image, what is the scoring method?</t>
  </si>
  <si>
    <t>A) Points system, B) Knockout, C) Submission, D) Time-based</t>
  </si>
  <si>
    <t>A) Points system</t>
  </si>
  <si>
    <t>For the sport in the image, which season is it commonly played?</t>
  </si>
  <si>
    <t>A) Winter, B) Summer, C) Monsoon, D) All seasons</t>
  </si>
  <si>
    <t>D) All seasons</t>
  </si>
  <si>
    <t>lagori_29</t>
  </si>
  <si>
    <t>For the sport in the image, what is the primary goal?</t>
  </si>
  <si>
    <t>A) Defend the area, B) Knock down the opponent, C) Hit the target, D) Block strikes</t>
  </si>
  <si>
    <t>B) Knock down the opponent</t>
  </si>
  <si>
    <t>In the sport shown in the image, which aspect of physical fitness is most important?</t>
  </si>
  <si>
    <t>A) Endurance, B) Agility, C) Strength, D) Balance</t>
  </si>
  <si>
    <t>For the sport in the image, what is the traditional attire called?</t>
  </si>
  <si>
    <t>A) Dobok, B) Gi, C) Phanek, D) Lungis</t>
  </si>
  <si>
    <t>C) Phanek</t>
  </si>
  <si>
    <t>For the sport in the image, how is the winner determined?</t>
  </si>
  <si>
    <t>A) First to score 10 points, B) Knockout, C) Judges’ decision, D) Opponent withdraws</t>
  </si>
  <si>
    <t>C) Judges’ decision</t>
  </si>
  <si>
    <t>lagori_30</t>
  </si>
  <si>
    <t>In the sport shown in the image, which of the following is used to defend?</t>
  </si>
  <si>
    <t>A) Sword, B) Spear, C) Shield, D) None</t>
  </si>
  <si>
    <t>C) Shield</t>
  </si>
  <si>
    <t>For the sport in the image, which skill is vital for defense?</t>
  </si>
  <si>
    <t>A) Timing, B) Strength, C) Endurance, D) Power</t>
  </si>
  <si>
    <t>A) Timing</t>
  </si>
  <si>
    <t>In the sport shown in the image, which of the following is a prohibited move?</t>
  </si>
  <si>
    <t>A) Striking the head, B) Grabbing the sword, C) Kicking, D) All of the above</t>
  </si>
  <si>
    <t>B) Grabbing the sword</t>
  </si>
  <si>
    <t>For the sport in the image, how many rounds does a standard match have?</t>
  </si>
  <si>
    <t>A) 1 round, B) 2 rounds, C) 3 rounds, D) 5 rounds</t>
  </si>
  <si>
    <t>C) 3 rounds</t>
  </si>
  <si>
    <t>lagori_31</t>
  </si>
  <si>
    <t>In the sport shown in the image, what is the term for a successful attack?</t>
  </si>
  <si>
    <t>A) Strike, B) Hit, C) Point, D) Slash</t>
  </si>
  <si>
    <t>C) Point</t>
  </si>
  <si>
    <t>For the sport in the image, what is the primary objective of each fighter?</t>
  </si>
  <si>
    <t>A) Survive the rounds, B) Score the most points, C) Protect the arena, D) Attack without injury</t>
  </si>
  <si>
    <t>B) Score the most points</t>
  </si>
  <si>
    <t>In the sport shown in the image, which of the following is a valid strategy?</t>
  </si>
  <si>
    <t>A) Retreating frequently, B) Offensive strikes, C) Defensive blocking, D) Both B and C</t>
  </si>
  <si>
    <t>D) Both B and C</t>
  </si>
  <si>
    <t>For the sport in the image, what kind of surface is the match typically played on?</t>
  </si>
  <si>
    <t>A) Grass, B) Sand, C) Wooden floor, D) Dirt</t>
  </si>
  <si>
    <t>C) Wooden floor</t>
  </si>
  <si>
    <t>lagori_32</t>
  </si>
  <si>
    <t>For the sport in the image, what is the role of the referee?</t>
  </si>
  <si>
    <t>A) Scorekeeper, B) Timekeeper, C) Enforce rules, D) All of the above</t>
  </si>
  <si>
    <t>In the sport shown in the image, what is the importance of footwork?</t>
  </si>
  <si>
    <t>A) Maintain balance, B) Increase agility, C) Avoid attacks, D) All of the above</t>
  </si>
  <si>
    <t>For the sport in the image, what happens if a player violates the rules?</t>
  </si>
  <si>
    <t>A) Warning, B) Disqualification, C) Point deduction, D) Any of the above</t>
  </si>
  <si>
    <t>D) Any of the above</t>
  </si>
  <si>
    <t>In the sport shown in the image, how is a tied match resolved?</t>
  </si>
  <si>
    <t>A) Extra time, B) Sudden death, C) Referee decision, D) Coin toss</t>
  </si>
  <si>
    <t>B) Sudden death</t>
  </si>
  <si>
    <t>lagori_33</t>
  </si>
  <si>
    <t>For the sport in the image, what happens if a player’s weapon breaks?</t>
  </si>
  <si>
    <t>A) Immediate loss, B) Referee pauses match, C) Opponent wins, D) Disqualification</t>
  </si>
  <si>
    <t>B) Referee pauses match</t>
  </si>
  <si>
    <t>For the sport in the image, what is the purpose of the shield?</t>
  </si>
  <si>
    <t>A) Attack the opponent, B) Deflect strikes, C) Taunt the opponent, D) Protect the head</t>
  </si>
  <si>
    <t>B) Deflect strikes</t>
  </si>
  <si>
    <t>For the sport in the image, which of the following can result in a point?</t>
  </si>
  <si>
    <t>A) Hitting the opponent’s torso, B) Striking the legs, C) Landing a head strike, D) All of the above</t>
  </si>
  <si>
    <t>For the sport in the image, how many judges typically score the match?</t>
  </si>
  <si>
    <t>pambaram_1</t>
  </si>
  <si>
    <t>From the sport shown in the image, what is the primary material used to make the spinning top?</t>
  </si>
  <si>
    <t>a) Wood, b) Metal, c) Plastic, d) Clay</t>
  </si>
  <si>
    <t>a) Wood</t>
  </si>
  <si>
    <t>From the sport shown in the image, how is the spinning motion initiated?</t>
  </si>
  <si>
    <t>a) By hand twisting, b) By pulling a string, c) By blowing, d) By pressing a button</t>
  </si>
  <si>
    <t>b) By pulling a string</t>
  </si>
  <si>
    <t>From the sport shown in the image, which of the following is a common surface for playing the game?</t>
  </si>
  <si>
    <t>a) Grass, b) Sand, c) Concrete, d) Mud</t>
  </si>
  <si>
    <t>c) Concrete</t>
  </si>
  <si>
    <t>From the sport shown in the image, what skill is primarily tested?</t>
  </si>
  <si>
    <t>a) Strength, b) Balance, c) Agility, d) Precision</t>
  </si>
  <si>
    <t>d) Precision</t>
  </si>
  <si>
    <t>pambaram_2</t>
  </si>
  <si>
    <t>From the sport shown in the image, what is the goal of hitting another player's top?</t>
  </si>
  <si>
    <t>a) To stop it from spinning, b) To break it, c) To knock it out of the play area, d) To make it spin faster</t>
  </si>
  <si>
    <t>a) To stop it from spinning</t>
  </si>
  <si>
    <t>From the sport shown in the image, how do players determine who goes first?</t>
  </si>
  <si>
    <t>a) By age, b) By strength, c) By a coin toss, d) By the longest initial spin</t>
  </si>
  <si>
    <t>d) By the longest initial spin</t>
  </si>
  <si>
    <t>From the sport shown in the image, what is the typical shape of the spinning top?</t>
  </si>
  <si>
    <t>a) Cubical, b) Cylindrical, c) Conical, d) Spherical</t>
  </si>
  <si>
    <t>c) Conical</t>
  </si>
  <si>
    <t>From the sport shown in the image, what is commonly wrapped around the top before launching it?</t>
  </si>
  <si>
    <t>a) A piece of cloth, b) A rubber band, c) A metal wire, d) A string</t>
  </si>
  <si>
    <t>d) A string</t>
  </si>
  <si>
    <t>pambaram_3</t>
  </si>
  <si>
    <t>From the sport shown in the image, what type of surface is least ideal for spinning the top?</t>
  </si>
  <si>
    <t>a) Grass, b) Concrete, c) Marble, d) Wooden floor</t>
  </si>
  <si>
    <t>a) Grass</t>
  </si>
  <si>
    <t>From the sport shown in the image, which of these is a traditional method to spin the top longer?</t>
  </si>
  <si>
    <t>a) Shorter string, b) Stronger pull, c) Vertical drop, d) Lighter top</t>
  </si>
  <si>
    <t>b) Stronger pull</t>
  </si>
  <si>
    <t>From the sport shown in the image, what is a common goal in competitive play?</t>
  </si>
  <si>
    <t>a) Spin the longest, b) Break other tops, c) Keep it stationary, d) Make the loudest sound</t>
  </si>
  <si>
    <t>a) Spin the longest</t>
  </si>
  <si>
    <t>From the sport shown in the image, which of the following is an advanced skill in the game?</t>
  </si>
  <si>
    <t>a) Throwing multiple tops, b) Controlling the spin speed, c) Spinning on one foot, d) Spinning without a string</t>
  </si>
  <si>
    <t>b) Controlling the spin speed</t>
  </si>
  <si>
    <t>pambaram_4</t>
  </si>
  <si>
    <t>From the sport shown in the image, which factor does NOT affect the spin duration?</t>
  </si>
  <si>
    <t>a) Top's weight, b) Surface roughness, c) Player's age, d) String length</t>
  </si>
  <si>
    <t>c) Player's age</t>
  </si>
  <si>
    <t>From the sport shown in the image, what is often used to make the top more durable?</t>
  </si>
  <si>
    <t>a) A metal tip, b) A thicker string, c) A wooden base, d) A rubber coating</t>
  </si>
  <si>
    <t>a) A metal tip</t>
  </si>
  <si>
    <t>From the sport shown in the image, how do players ensure a fair game?</t>
  </si>
  <si>
    <t>a) By measuring tops, b) By standardizing string length, c) By using the same surface, d) By blindfolding players</t>
  </si>
  <si>
    <t>b) By standardizing string length</t>
  </si>
  <si>
    <t>From the sport shown in the image, which technique is used to increase spinning speed?</t>
  </si>
  <si>
    <t>a) Using a heavier top, b) Pulling the string faster, c) Throwing from a higher height, d) Using a longer string</t>
  </si>
  <si>
    <t>b) Pulling the string faster</t>
  </si>
  <si>
    <t>pambaram_5</t>
  </si>
  <si>
    <t>From the sport shown in the image, what is a common challenge in the game?</t>
  </si>
  <si>
    <t>a) Balancing on one foot, b) Spinning the top on different surfaces, c) Making the top spin in reverse, d) Spinning with a broken string</t>
  </si>
  <si>
    <t>b) Spinning the top on different surfaces</t>
  </si>
  <si>
    <t>From the sport shown in the image, which part of the top is most crucial for a good spin?</t>
  </si>
  <si>
    <t>a) The base, b) The string, c) The tip, d) The top</t>
  </si>
  <si>
    <t>c) The tip</t>
  </si>
  <si>
    <t>From the sport shown in the image, how do players typically retrieve their tops after spinning?</t>
  </si>
  <si>
    <t>a) By letting it stop, b) By catching it mid-spin, c) By pulling it back with the string, d) By using a stick</t>
  </si>
  <si>
    <t>b) By catching it mid-spin</t>
  </si>
  <si>
    <t>From the sport shown in the image, what is a traditional way to decorate the top?</t>
  </si>
  <si>
    <t>a) Painting it, b) Adding stickers, c) Carving patterns, d) Wrapping it in cloth</t>
  </si>
  <si>
    <t>a) Painting it</t>
  </si>
  <si>
    <t>pambaram_6</t>
  </si>
  <si>
    <t>From the sport shown in the image, what is the cultural significance of this game in many communities?</t>
  </si>
  <si>
    <t>a) Symbolizes strength, b) Represents childhood memories, c) Linked to festivals, d) Used in rituals</t>
  </si>
  <si>
    <t>b) Represents childhood memories</t>
  </si>
  <si>
    <t>From the sport shown in the image, which of the following is NOT a variation of the game?</t>
  </si>
  <si>
    <t>a) Team-based competition, b) Spin for distance, c) Spin for noise, d) Spin for speed</t>
  </si>
  <si>
    <t>c) Spin for noise</t>
  </si>
  <si>
    <t>From the sport shown in the image, how is the top typically launched?</t>
  </si>
  <si>
    <t>a) Horizontally, b) Vertically, c) Diagonally, d) Sideways</t>
  </si>
  <si>
    <t>b) Vertically</t>
  </si>
  <si>
    <t>From the sport shown in the image, which factor can cause the top to wobble and lose spin?</t>
  </si>
  <si>
    <t>a) Uneven surface, b) Wrong string length, c) Incorrect weight distribution, d) Excessive speed</t>
  </si>
  <si>
    <t>c) Incorrect weight distribution</t>
  </si>
  <si>
    <t>pambaram_7</t>
  </si>
  <si>
    <t>From the sport shown in the image, what is a common feature of professional tops?</t>
  </si>
  <si>
    <t>a) Longer tips, b) Heavier weight, c) Streamlined design, d) Vibrant colors</t>
  </si>
  <si>
    <t>c) Streamlined design</t>
  </si>
  <si>
    <t>From the sport shown in the image, what is the consequence of using a damaged string?</t>
  </si>
  <si>
    <t>a) Reduced spin time, b) Increased top speed, c) Better control, d) Louder noise</t>
  </si>
  <si>
    <t>a) Reduced spin time</t>
  </si>
  <si>
    <t>From the sport shown in the image, what is often the deciding factor in a close competition?</t>
  </si>
  <si>
    <t>a) Top design, b) Spin speed, c) Spin duration, d) Surface type</t>
  </si>
  <si>
    <t>c) Spin duration</t>
  </si>
  <si>
    <t>From the sport shown in the image, how can players increase their top's spin duration?</t>
  </si>
  <si>
    <t>a) By using a thinner string, b) By reducing the top's weight, c) By optimizing the tip shape, d) By spinning on grass</t>
  </si>
  <si>
    <t>c) By optimizing the tip shape</t>
  </si>
  <si>
    <t>pambaram_8</t>
  </si>
  <si>
    <t>From the sport shown in the image, which of these is a popular modification for enhanced performance?</t>
  </si>
  <si>
    <t>a) Adding weights to the top, b) Shortening the string, c) Using a wooden tip, d) Sanding the surface</t>
  </si>
  <si>
    <t>a) Adding weights to the top</t>
  </si>
  <si>
    <t>From the sport shown in the image, what is the importance of string length?</t>
  </si>
  <si>
    <t>a) Affects the top's weight, b) Determines the spin direction, c) Influences spin speed, d) Changes the top's color</t>
  </si>
  <si>
    <t>c) Influences spin speed</t>
  </si>
  <si>
    <t>From the sport shown in the image, what is one way to reduce the wear and tear of the top?</t>
  </si>
  <si>
    <t>a) Avoid rough surfaces, b) Use a thicker string, c) Spin it slower, d) Store in a cool place</t>
  </si>
  <si>
    <t>a) Avoid rough surfaces</t>
  </si>
  <si>
    <t>From the sport shown in the image, which of the following is NOT a factor in achieving a perfect spin?</t>
  </si>
  <si>
    <t>a) Top's balance, b) String's tension, c) Throw angle, d) Player's height</t>
  </si>
  <si>
    <t>d) Player's height</t>
  </si>
  <si>
    <t>pambaram_9</t>
  </si>
  <si>
    <t>From the sport shown in the image, what is the effect of a heavy top?</t>
  </si>
  <si>
    <t>a) Spins slower, b) Spins longer, c) Easier to control, d) Makes more noise</t>
  </si>
  <si>
    <t>b) Spins longer</t>
  </si>
  <si>
    <t>From the sport shown in the image, what strategy is used to win a knockout round?</t>
  </si>
  <si>
    <t>a) Spinning the longest, b) Hitting the opponent's top, c) Spinning the fastest, d) Avoiding other tops</t>
  </si>
  <si>
    <t>b) Hitting the opponent's top</t>
  </si>
  <si>
    <t>From the sport shown in the image, which type of string provides the best spin?</t>
  </si>
  <si>
    <t>a) Thick and short, b) Thin and long, c) Medium and elastic, d) Rough and sturdy</t>
  </si>
  <si>
    <t>b) Thin and long</t>
  </si>
  <si>
    <t>From the sport shown in the image, what is the key to mastering the game?</t>
  </si>
  <si>
    <t>a) Raw strength, b) Consistent practice, c) Expensive equipment, d) Playing on the right surface</t>
  </si>
  <si>
    <t>b) Consistent practice</t>
  </si>
  <si>
    <t>pambaram_10</t>
  </si>
  <si>
    <t>From the sport shown in the image, which is a common mistake made by beginners?</t>
  </si>
  <si>
    <t>a) Using too much string, b) Not pulling hard enough, c) Holding the top incorrectly, d) Spinning on an uneven surface</t>
  </si>
  <si>
    <t>c) Holding the top incorrectly</t>
  </si>
  <si>
    <t>From the sport shown in the image, what is the traditional length of the string used to spin the top?</t>
  </si>
  <si>
    <t>a) 30 cm, b) 60 cm, c) 90 cm, d) 120 cm</t>
  </si>
  <si>
    <t>b) 60 cm</t>
  </si>
  <si>
    <t>From the sport shown in the image, what is a common way to start a game?</t>
  </si>
  <si>
    <t>a) All players spin simultaneously, b) Players take turns, c) Players spin in pairs, d) A referee spins first</t>
  </si>
  <si>
    <t>a) All players spin simultaneously</t>
  </si>
  <si>
    <t>From the sport shown in the image, what is the significance of the top's color?</t>
  </si>
  <si>
    <t>a) Indicates player ownership, b) Shows skill level, c) Affects spin speed, d) Just for aesthetics</t>
  </si>
  <si>
    <t>a) Indicates player ownership</t>
  </si>
  <si>
    <t>pambaram_11</t>
  </si>
  <si>
    <t>From the sport shown in the image, what does a player's stance affect during the game?</t>
  </si>
  <si>
    <t>a) Spin speed, b) Spin direction, c) Spin duration, d) Top's balance</t>
  </si>
  <si>
    <t>b) Spin direction</t>
  </si>
  <si>
    <t>From the sport shown in the image, what role does gravity play in the game?</t>
  </si>
  <si>
    <t>a) Helps in initial spin, b) Reduces spin time, c) Increases top speed, d) Balances the top</t>
  </si>
  <si>
    <t>a) Helps in initial spin</t>
  </si>
  <si>
    <t>From the sport shown in the image, what is the impact of a well-polished tip?</t>
  </si>
  <si>
    <t>a) Shorter spin time, b) More accurate spins, c) Higher top speed, d) Easier to control</t>
  </si>
  <si>
    <t>b) More accurate spins</t>
  </si>
  <si>
    <t>From the sport shown in the image, which cultural festivals often feature this game?</t>
  </si>
  <si>
    <t>a) Diwali, b) Pongal, c) Holi, d) Makar Sankranti</t>
  </si>
  <si>
    <t>d) Makar Sankranti</t>
  </si>
  <si>
    <t>pambaram_12</t>
  </si>
  <si>
    <t>From the sport shown in the image, what does the spinning top symbolize in many cultures?</t>
  </si>
  <si>
    <t>a) Balance of life, b) Strength, c) Agility, d) Wealth</t>
  </si>
  <si>
    <t>a) Balance of life</t>
  </si>
  <si>
    <t>From the sport shown in the image, what material is traditionally avoided when making the top?</t>
  </si>
  <si>
    <t>a) Bamboo, b) Teakwood, c) Iron, d) Plastic</t>
  </si>
  <si>
    <t>c) Iron</t>
  </si>
  <si>
    <t>From the sport shown in the image, what does the speed of the spin depend on?</t>
  </si>
  <si>
    <t>a) The weight of the top, b) The player's skill, c) The length of the string, d) The height of the drop</t>
  </si>
  <si>
    <t>b) The player's skill</t>
  </si>
  <si>
    <t>From the sport shown in the image, what type of game is this considered?</t>
  </si>
  <si>
    <t>a) Strategy-based, b) Skill-based, c) Luck-based, d) Endurance-based</t>
  </si>
  <si>
    <t>b) Skill-based</t>
  </si>
  <si>
    <t>pambaram_13</t>
  </si>
  <si>
    <t>From the sport shown in the image, which of these is a common method to stop the top?</t>
  </si>
  <si>
    <t>a) Throwing sand on it, b) Tapping it gently, c) Catching it with a cloth, d) Letting it naturally stop</t>
  </si>
  <si>
    <t>d) Letting it naturally stop</t>
  </si>
  <si>
    <t>From the sport shown in the image, what is a common way to customize the top?</t>
  </si>
  <si>
    <t>a) Adding stickers, b) Painting with vibrant colors, c) Carving designs, d) Attaching a metal ring</t>
  </si>
  <si>
    <t>b) Painting with vibrant colors</t>
  </si>
  <si>
    <t>From the sport shown in the image, how does temperature affect the game?</t>
  </si>
  <si>
    <t>a) Makes the top spin faster, b) Affects the string's elasticity, c) Influences surface friction, d) Alters the top's balance</t>
  </si>
  <si>
    <t>c) Influences surface friction</t>
  </si>
  <si>
    <t>From the sport shown in the image, what is a primary objective in a friendly match?</t>
  </si>
  <si>
    <t>a) Spinning the longest, b) Hitting a target, c) Spinning the fastest, d) Making the top bounce</t>
  </si>
  <si>
    <t>a) Spinning the longest</t>
  </si>
  <si>
    <t>pambaram_14</t>
  </si>
  <si>
    <t>From the sport shown in the image, what is a common rule violation?</t>
  </si>
  <si>
    <t>a) Using a longer string, b) Spinning on an incline, c) Modifying the top's weight, d) Starting before the signal</t>
  </si>
  <si>
    <t>c) Modifying the top's weight</t>
  </si>
  <si>
    <t>From the sport shown in the image, how does the type of wood affect the game?</t>
  </si>
  <si>
    <t>a) Alters spin speed, b) Changes the top's weight, c) Affects durability, d) Influences color</t>
  </si>
  <si>
    <t>c) Affects durability</t>
  </si>
  <si>
    <t>From the sport shown in the image, what is the importance of the top's tip shape?</t>
  </si>
  <si>
    <t>a) Determines spin direction, b) Affects speed, c) Influences balance, d) Impacts spin time</t>
  </si>
  <si>
    <t>d) Impacts spin time</t>
  </si>
  <si>
    <t>From the sport shown in the image, what is a strategic move in competitive play?</t>
  </si>
  <si>
    <t>a) Spinning at an angle, b) Throwing the top higher, c) Spinning on a rough surface, d) Using a heavier top</t>
  </si>
  <si>
    <t>a) Spinning at an angle</t>
  </si>
  <si>
    <t>pambaram_15</t>
  </si>
  <si>
    <t>From the sport shown in the image, which of these would be considered an advanced technique?</t>
  </si>
  <si>
    <t>a) Balancing the top on one finger, b) Spinning without a string, c) Changing spin direction mid-game, d) Making the top jump</t>
  </si>
  <si>
    <t>c) Changing spin direction mid-game</t>
  </si>
  <si>
    <t>From the sport shown in the image, what is a common mistake when launching the top?</t>
  </si>
  <si>
    <t>a) Wrapping the string too tightly, b) Pulling the string too hard, c) Not aligning the top properly, d) Using too much force</t>
  </si>
  <si>
    <t>c) Not aligning the top properly</t>
  </si>
  <si>
    <t>From the sport shown in the image, what kind of maintenance does the top require?</t>
  </si>
  <si>
    <t>a) Regular cleaning, b) Polishing the tip, c) Replacing the string, d) All of the above</t>
  </si>
  <si>
    <t>d) All of the above</t>
  </si>
  <si>
    <t>From the sport shown in the image, what is the purpose of the grooves on the top?</t>
  </si>
  <si>
    <t>a) Aesthetic appeal, b) Improving grip, c) Reducing air resistance, d) Balancing weight</t>
  </si>
  <si>
    <t>b) Improving grip</t>
  </si>
  <si>
    <t>pambaram_16</t>
  </si>
  <si>
    <t>From the sport shown in the image, what is a unique feature of tops used in colder regions?</t>
  </si>
  <si>
    <t>a) Heavier weight, b) Thicker tips, c) Insulated strings, d) Shorter height</t>
  </si>
  <si>
    <t>b) Thicker tips</t>
  </si>
  <si>
    <t>From the sport shown in the image, how does wind affect the game?</t>
  </si>
  <si>
    <t>a) Changes spin direction, b) Increases spin speed, c) Reduces spin time, d) Enhances spin stability</t>
  </si>
  <si>
    <t>c) Reduces spin time</t>
  </si>
  <si>
    <t>From the sport shown in the image, what is the purpose of adding weight to the top?</t>
  </si>
  <si>
    <t>a) Increase spin duration, b) Reduce top speed, c) Improve stability, d) Make it easier to catch</t>
  </si>
  <si>
    <t>a) Increase spin duration</t>
  </si>
  <si>
    <t>From the sport shown in the image, what is a typical consequence of a cracked top?</t>
  </si>
  <si>
    <t>a) Spins faster, b) Spins shorter, c) Becomes more balanced, d) Increases noise</t>
  </si>
  <si>
    <t>b) Spins shorter</t>
  </si>
  <si>
    <t>pambaram_17</t>
  </si>
  <si>
    <t>From the sport shown in the image, what is the effect of using a shorter string?</t>
  </si>
  <si>
    <t>a) Easier control, b) Faster spins, c) Reduced spin time, d) Stronger launch</t>
  </si>
  <si>
    <t>c) Reduced spin time</t>
  </si>
  <si>
    <t>From the sport shown in the image, what is the purpose of practicing with different surfaces?</t>
  </si>
  <si>
    <t>a) Increase skill level, b) Improve speed, c) Enhance durability, d) Learn to adapt</t>
  </si>
  <si>
    <t>d) Learn to adapt</t>
  </si>
  <si>
    <t>From the sport shown in the image, how does a player's experience influence the game?</t>
  </si>
  <si>
    <t>a) Longer spins, b) Better balance, c) Quicker starts, d) All of the above</t>
  </si>
  <si>
    <t>From the sport shown in the image, which of these is a common finishing move?</t>
  </si>
  <si>
    <t>a) Catching the top mid-spin, b) Tapping the opponent's top, c) Spinning at maximum speed, d) Letting the top bounce</t>
  </si>
  <si>
    <t>a) Catching the top mid-spin</t>
  </si>
  <si>
    <t>pambaram_18</t>
  </si>
  <si>
    <t>From the sport shown in the image, what is an advanced player's focus during a match?</t>
  </si>
  <si>
    <t>a) Maintaining balance, b) Maximizing spin time, c) Outlasting opponents, d) All of the above</t>
  </si>
  <si>
    <t>From the sport shown in the image, how do players usually compete in tournaments?</t>
  </si>
  <si>
    <t>a) By number of spins, b) By duration of spins, c) By top design, d) By string length</t>
  </si>
  <si>
    <t>b) By duration of spins</t>
  </si>
  <si>
    <t>From the sport shown in the image, what does a successful throw depend on?</t>
  </si>
  <si>
    <t>a) Correct string wrap, b) Perfect angle, c) Balanced top, d) All of the above</t>
  </si>
  <si>
    <t>From the sport shown in the image, what does a top symbolize in traditional games?</t>
  </si>
  <si>
    <t>a) Childhood joy, b) Precision and skill, c) Cultural heritage, d) All of the above</t>
  </si>
  <si>
    <t>pambaram_19</t>
  </si>
  <si>
    <t>From the sport shown in the image, what is the result of a poorly executed spin?</t>
  </si>
  <si>
    <t>a) The top wobbles, b) The top spins faster, c) The top bounces, d) The top stops early</t>
  </si>
  <si>
    <t>a) The top wobbles</t>
  </si>
  <si>
    <t>From the sport shown in the image, what is the typical lifespan of a well-maintained top?</t>
  </si>
  <si>
    <t>a) A few months, b) A few years, c) Several decades, d) A lifetime</t>
  </si>
  <si>
    <t>b) A few years</t>
  </si>
  <si>
    <t>From the sport shown in the image, what is the primary material used for making the top?</t>
  </si>
  <si>
    <t>a) Plastic, b) Wood, c) Metal, d) Rubber</t>
  </si>
  <si>
    <t>b) Wood</t>
  </si>
  <si>
    <t>From the sport shown in the image, what is the function of the pointed tip of the top?</t>
  </si>
  <si>
    <t>a) To maintain balance, b) To increase spin speed, c) To prevent wear, d) To reduce friction</t>
  </si>
  <si>
    <t>a) To maintain balance</t>
  </si>
  <si>
    <t>pambaram_20</t>
  </si>
  <si>
    <t>From the sport shown in the image, how is the winner typically determined in a game?</t>
  </si>
  <si>
    <t>a) By the duration of the spin, b) By the number of spins, c) By the top's design, d) By the length of the string used</t>
  </si>
  <si>
    <t>a) By the duration of the spin</t>
  </si>
  <si>
    <t>From the sport shown in the image, what kind of surface is ideal for playing?</t>
  </si>
  <si>
    <t>a) Smooth and flat, b) Rough and uneven, c) Soft and grassy, d) Slippery and wet</t>
  </si>
  <si>
    <t>a) Smooth and flat</t>
  </si>
  <si>
    <t>From the sport shown in the image, what role does the string play in the game?</t>
  </si>
  <si>
    <t>a) Controls spin speed, b) Determines spin duration, c) Affects spin direction, d) All of the above</t>
  </si>
  <si>
    <t>From the sport shown in the image, what is a common technique to achieve a faster spin?</t>
  </si>
  <si>
    <t>a) Using a longer string, b) Pulling the string quickly, c) Wrapping the string tightly, d) Throwing the top harder</t>
  </si>
  <si>
    <t>b) Pulling the string quickly</t>
  </si>
  <si>
    <t>pambaram_21</t>
  </si>
  <si>
    <t>From the sport shown in the image, which of these is a traditional variation of the game?</t>
  </si>
  <si>
    <t>a) Team-based spinning, b) Target-based spinning, c) Relay-style spinning, d) Timed spinning</t>
  </si>
  <si>
    <t>b) Target-based spinning</t>
  </si>
  <si>
    <t>From the sport shown in the image, what happens if the top does not spin properly?</t>
  </si>
  <si>
    <t>a) It wobbles and stops quickly, b) It spins faster, c) It moves in a straight line, d) It makes a loud noise</t>
  </si>
  <si>
    <t>a) It wobbles and stops quickly</t>
  </si>
  <si>
    <t>From the sport shown in the image, what does the thickness of the string influence?</t>
  </si>
  <si>
    <t>a) Spin speed, b) Spin control, c) Ease of use, d) Spin duration</t>
  </si>
  <si>
    <t>a) Spin speed</t>
  </si>
  <si>
    <t>From the sport shown in the image, how does playing on a sandy surface affect the game?</t>
  </si>
  <si>
    <t>a) Slows down the spin, b) Speeds up the spin, c) Increases wear on the top, d) Enhances control</t>
  </si>
  <si>
    <t>a) Slows down the spin</t>
  </si>
  <si>
    <t>pambaram_22</t>
  </si>
  <si>
    <t>From the sport shown in the image, which of these is a common rule in competitive play?</t>
  </si>
  <si>
    <t>a) No touching the top after it spins, b) Using only a specific length of string, c) Spinning from a marked spot, d) All of the above</t>
  </si>
  <si>
    <t>From the sport shown in the image, what is the purpose of winding the string tightly?</t>
  </si>
  <si>
    <t>a) To increase spin speed, b) To reduce air resistance, c) To improve balance, d) To protect the string</t>
  </si>
  <si>
    <t>a) To increase spin speed</t>
  </si>
  <si>
    <t>From the sport shown in the image, what is the effect of a loose string?</t>
  </si>
  <si>
    <t>a) Slower spin, b) Faster spin, c) Longer spin duration, d) Better control</t>
  </si>
  <si>
    <t>a) Slower spin</t>
  </si>
  <si>
    <t>From the sport shown in the image, which of these factors is crucial for a perfect launch?</t>
  </si>
  <si>
    <t>a) The angle of the throw, b) The length of the string, c) The weight of the top, d) The design of the top</t>
  </si>
  <si>
    <t>a) The angle of the throw</t>
  </si>
  <si>
    <t>pambaram_23</t>
  </si>
  <si>
    <t>From the sport shown in the image, what does a successful game depend on?</t>
  </si>
  <si>
    <t>a) Consistency, b) Strength, c) Luck, d) Teamwork</t>
  </si>
  <si>
    <t>a) Consistency</t>
  </si>
  <si>
    <t>From the sport shown in the image, what is a strategy to outlast opponents in a match?</t>
  </si>
  <si>
    <t>a) Spin the top at an angle, b) Use a heavier top, c) Spin with more force, d) Spin the top close to the ground</t>
  </si>
  <si>
    <t>b) Use a heavier top</t>
  </si>
  <si>
    <t>From the sport shown in the image, what is a common technique for experienced players?</t>
  </si>
  <si>
    <t>a) Changing the spin direction, b) Spinning on rough surfaces, c) Using multiple tops, d) Throwing the top with a flick</t>
  </si>
  <si>
    <t>d) Throwing the top with a flick</t>
  </si>
  <si>
    <t>From the sport shown in the image, what is a beginner's mistake?</t>
  </si>
  <si>
    <t>a) Not pulling the string hard enough, b) Using a short string, c) Holding the top loosely, d) Spinning on an uneven surface</t>
  </si>
  <si>
    <t>c) Holding the top loosely</t>
  </si>
  <si>
    <t>pambaram_24</t>
  </si>
  <si>
    <t>From the sport shown in the image, how is the top traditionally decorated?</t>
  </si>
  <si>
    <t>a) With bright colors, b) With metal rings, c) With carved patterns, d) All of the above</t>
  </si>
  <si>
    <t>From the sport shown in the image, what is the impact of using a rough string?</t>
  </si>
  <si>
    <t>a) Increases friction, b) Reduces spin time, c) Enhances control, d) Makes it harder to wind</t>
  </si>
  <si>
    <t>a) Increases friction</t>
  </si>
  <si>
    <t>From the sport shown in the image, what is the purpose of balancing the top before spinning?</t>
  </si>
  <si>
    <t>a) To ensure a straight spin, b) To make it spin faster, c) To reduce noise, d) To prevent wobbling</t>
  </si>
  <si>
    <t>d) To prevent wobbling</t>
  </si>
  <si>
    <t>From the sport shown in the image, what is a challenge faced by players during windy conditions?</t>
  </si>
  <si>
    <t>a) Difficulty in maintaining balance, b) Reduced spin duration, c) Difficulty in launching the top, d) All of the above</t>
  </si>
  <si>
    <t>pambaram_25</t>
  </si>
  <si>
    <t>From the sport shown in the image, what is the purpose of practicing with different top weights?</t>
  </si>
  <si>
    <t>a) To understand how weight affects spin, b) To improve strength, c) To enhance accuracy, d) To increase endurance</t>
  </si>
  <si>
    <t>a) To understand how weight affects spin</t>
  </si>
  <si>
    <t>From the sport shown in the image, what is an indicator of a well-made top?</t>
  </si>
  <si>
    <t>a) Smooth surface, b) Balanced weight, c) Sharp tip, d) All of the above</t>
  </si>
  <si>
    <t>From the sport shown in the image, what is a common way to test the quality of the string?</t>
  </si>
  <si>
    <t>a) Checking its elasticity, b) Measuring its length, c) Weighing it, d) Wrapping it around the top</t>
  </si>
  <si>
    <t>a) Checking its elasticity</t>
  </si>
  <si>
    <t>From the sport shown in the image, what does the duration of the spin depend on?</t>
  </si>
  <si>
    <t>a) The top's design, b) The string's length, c) The force of the spin, d) All of the above</t>
  </si>
  <si>
    <t>pambaram_26</t>
  </si>
  <si>
    <t>pambaram_27</t>
  </si>
  <si>
    <t>pambaram_28</t>
  </si>
  <si>
    <t>pambaram_29</t>
  </si>
  <si>
    <t>pambaram_30</t>
  </si>
  <si>
    <t>pambaram_31</t>
  </si>
  <si>
    <t>pambaram_32</t>
  </si>
  <si>
    <t>pambaram_33</t>
  </si>
  <si>
    <t>pambaram_34</t>
  </si>
  <si>
    <t>For the sport in the image, how are disputes resolved?</t>
  </si>
  <si>
    <t>A) Coin toss, B) Head referee decision, C) Player decision, D) Replay the round</t>
  </si>
  <si>
    <t>B) Head referee decision</t>
  </si>
  <si>
    <t>In the sport shown in the image, which of the following is not part of the scoring system?</t>
  </si>
  <si>
    <t>A) Precision, B) Power, C) Form, D) Sportsmanship</t>
  </si>
  <si>
    <t>D) Sportsmanship</t>
  </si>
  <si>
    <t>For the sport in the image, what is the term for a defensive block?</t>
  </si>
  <si>
    <t>A) Parry, B) Guard, C) Deflect, D) Shield</t>
  </si>
  <si>
    <t>A) Parry</t>
  </si>
  <si>
    <t>For the sport in the image, how are draws handled?</t>
  </si>
  <si>
    <t>A) Replay the match, B) Award both players, C) Sudden death, D) Judges’ decision</t>
  </si>
  <si>
    <t>C) Sudden death</t>
  </si>
  <si>
    <t>dhop_khel_1</t>
  </si>
  <si>
    <t>From the sport shown in the image, what is the primary objective of the game?</t>
  </si>
  <si>
    <t>a) Scoring by running, b) Hitting the opponent, c) Passing the ball, d) Capturing the flag</t>
  </si>
  <si>
    <t>a) Scoring by running</t>
  </si>
  <si>
    <t>From the sport shown in the image, what is used to initiate the game?</t>
  </si>
  <si>
    <t>a) A coin toss, b) A whistle, c) A ball throw, d) A starting horn</t>
  </si>
  <si>
    <t>c) A ball throw</t>
  </si>
  <si>
    <t>From the sport shown in the image, how many players are typically on each team?</t>
  </si>
  <si>
    <t>a) 5 players, b) 7 players, c) 9 players, d) 11 players</t>
  </si>
  <si>
    <t>b) 7 players</t>
  </si>
  <si>
    <t>From the sport shown in the image, what is the significance of the central line?</t>
  </si>
  <si>
    <t>a) Divides the field, b) Marks the scoring area, c) Indicates the foul line, d) Marks the team's boundary</t>
  </si>
  <si>
    <t>a) Divides the field</t>
  </si>
  <si>
    <t>dhop_khel_2</t>
  </si>
  <si>
    <t>From the sport shown in the image, what type of ball is commonly used?</t>
  </si>
  <si>
    <t>a) Leather ball, b) Rubber ball, c) Wooden ball, d) Plastic ball</t>
  </si>
  <si>
    <t>b) Rubber ball</t>
  </si>
  <si>
    <t>From the sport shown in the image, what is the main strategy for scoring?</t>
  </si>
  <si>
    <t>a) Passing the ball quickly, b) Avoiding the opponent's touches, c) Running through the opponent's zone, d) Hitting the opponent's goalpost</t>
  </si>
  <si>
    <t>c) Running through the opponent's zone</t>
  </si>
  <si>
    <t>From the sport shown in the image, which skill is most crucial for dodging the opponents?</t>
  </si>
  <si>
    <t>a) Agility, b) Strength, c) Endurance, d) Flexibility</t>
  </si>
  <si>
    <t>a) Agility</t>
  </si>
  <si>
    <t>From the sport shown in the image, what is the typical duration of a match?</t>
  </si>
  <si>
    <t>a) 20 minutes, b) 30 minutes, c) 40 minutes, d) 60 minutes</t>
  </si>
  <si>
    <t>b) 30 minutes</t>
  </si>
  <si>
    <t>dhop_khel_3</t>
  </si>
  <si>
    <t>From the sport shown in the image, what happens when a player steps out of bounds?</t>
  </si>
  <si>
    <t>a) The team loses a point, b) The player is disqualified, c) The ball is given to the opponent, d) A foul is called</t>
  </si>
  <si>
    <t>c) The ball is given to the opponent</t>
  </si>
  <si>
    <t>From the sport shown in the image, how is a winner determined?</t>
  </si>
  <si>
    <t>a) By the number of runs scored, b) By points scored, c) By number of opponents tagged, d) By time left</t>
  </si>
  <si>
    <t>b) By points scored</t>
  </si>
  <si>
    <t>From the sport shown in the image, what is the role of the defending team?</t>
  </si>
  <si>
    <t>a) To tag the runners, b) To score points, c) To pass the ball, d) To block the goal</t>
  </si>
  <si>
    <t>a) To tag the runners</t>
  </si>
  <si>
    <t>From the sport shown in the image, what happens when the ball is caught by an opponent?</t>
  </si>
  <si>
    <t>a) The game restarts, b) The catcher scores a point, c) The player who threw the ball is out, d) The team gains possession</t>
  </si>
  <si>
    <t>d) The team gains possession</t>
  </si>
  <si>
    <t>dhop_khel_4</t>
  </si>
  <si>
    <t>From the sport shown in the image, how does a team transition from defense to offense?</t>
  </si>
  <si>
    <t>a) By catching the ball, b) By tagging an opponent, c) By scoring a point, d) By a referee's call</t>
  </si>
  <si>
    <t>a) By catching the ball</t>
  </si>
  <si>
    <t>From the sport shown in the image, what action is not allowed during the game?</t>
  </si>
  <si>
    <t>a) Running with the ball, b) Passing the ball, c) Tagging the opponent, d) Stepping out of bounds</t>
  </si>
  <si>
    <t>a) Running with the ball</t>
  </si>
  <si>
    <t>From the sport shown in the image, how is a foul committed?</t>
  </si>
  <si>
    <t>a) By hitting an opponent, b) By crossing the central line, c) By holding the ball too long, d) By stepping out of bounds</t>
  </si>
  <si>
    <t>b) By crossing the central line</t>
  </si>
  <si>
    <t>From the sport shown in the image, what is the primary defensive strategy?</t>
  </si>
  <si>
    <t>a) Blocking the ball, b) Tagging the opponent, c) Passing the ball quickly, d) Covering the goal</t>
  </si>
  <si>
    <t>b) Tagging the opponent</t>
  </si>
  <si>
    <t>dhop_khel_5</t>
  </si>
  <si>
    <t>From the sport shown in the image, what is the purpose of the ball being thrown to the defending team?</t>
  </si>
  <si>
    <t>a) To restart the game, b) To give possession, c) To initiate defense, d) To end the game</t>
  </si>
  <si>
    <t>c) To initiate defense</t>
  </si>
  <si>
    <t>From the sport shown in the image, what equipment is essential for the game?</t>
  </si>
  <si>
    <t>a) A helmet, b) A bat, c) A ball, d) Gloves</t>
  </si>
  <si>
    <t>c) A ball</t>
  </si>
  <si>
    <t>From the sport shown in the image, what is the main method of scoring?</t>
  </si>
  <si>
    <t>a) Hitting the ball, b) Running between the bases, c) Passing the ball across the field, d) Scoring by running</t>
  </si>
  <si>
    <t>d) Scoring by running</t>
  </si>
  <si>
    <t>From the sport shown in the image, how does a player avoid being tagged?</t>
  </si>
  <si>
    <t>a) By running faster, b) By dodging, c) By hiding, d) By throwing the ball</t>
  </si>
  <si>
    <t>b) By dodging</t>
  </si>
  <si>
    <t>dhop_khel_6</t>
  </si>
  <si>
    <t>From the sport shown in the image, what is the significance of the boundary lines?</t>
  </si>
  <si>
    <t>a) Marks the scoring area, b) Indicates where players can move, c) Divides the teams, d) Marks the goal area</t>
  </si>
  <si>
    <t>b) Indicates where players can move</t>
  </si>
  <si>
    <t>From the sport shown in the image, what role does the central circle play?</t>
  </si>
  <si>
    <t>a) It's where the game starts, b) It's a scoring zone, c) It's where players rest, d) It's a defense area</t>
  </si>
  <si>
    <t>a) It's where the game starts</t>
  </si>
  <si>
    <t>From the sport shown in the image, what action is performed after scoring?</t>
  </si>
  <si>
    <t>a) The game pauses, b) The opposing team takes possession, c) The team celebrates, d) The game ends</t>
  </si>
  <si>
    <t>b) The opposing team takes possession</t>
  </si>
  <si>
    <t>From the sport shown in the image, what is a common way to prevent scoring?</t>
  </si>
  <si>
    <t>a) Blocking the runner, b) Catching the ball, c) Stepping out of bounds, d) Passing the ball</t>
  </si>
  <si>
    <t>a) Blocking the runner</t>
  </si>
  <si>
    <t>dhop_khel_7</t>
  </si>
  <si>
    <t>From the sport shown in the image, what is the outcome of a successful tag?</t>
  </si>
  <si>
    <t>a) The tagged player is out, b) The team scores, c) The game restarts, d) The team loses points</t>
  </si>
  <si>
    <t>a) The tagged player is out</t>
  </si>
  <si>
    <t>From the sport shown in the image, how is teamwork important?</t>
  </si>
  <si>
    <t>a) For passing the ball, b) For defending the goal, c) For creating strategies, d) For tagging opponents</t>
  </si>
  <si>
    <t>c) For creating strategies</t>
  </si>
  <si>
    <t>From the sport shown in the image, what physical attribute is most beneficial?</t>
  </si>
  <si>
    <t>a) Speed, b) Strength, c) Endurance, d) Agility</t>
  </si>
  <si>
    <t>a) Speed</t>
  </si>
  <si>
    <t>From the sport shown in the image, what happens if a team scores multiple points?</t>
  </si>
  <si>
    <t>a) The game ends, b) The team wins immediately, c) The game continues, d) The team loses possession</t>
  </si>
  <si>
    <t>c) The game continues</t>
  </si>
  <si>
    <t>dhop_khel_8</t>
  </si>
  <si>
    <t>From the sport shown in the image, what is the significance of the referee's whistle?</t>
  </si>
  <si>
    <t>a) Starts the game, b) Ends the game, c) Indicates a foul, d) Signals a time-out</t>
  </si>
  <si>
    <t>c) Indicates a foul</t>
  </si>
  <si>
    <t>From the sport shown in the image, what is the penalty for stepping out of bounds?</t>
  </si>
  <si>
    <t>a) The team loses a point, b) The player is disqualified, c) The team gains possession, d) The game pauses</t>
  </si>
  <si>
    <t>b) The player is disqualified</t>
  </si>
  <si>
    <t>From the sport shown in the image, what is the role of the captain?</t>
  </si>
  <si>
    <t>a) Leading the team, b) Deciding strategies, c) Communicating with referees, d) All of the above</t>
  </si>
  <si>
    <t>From the sport shown in the image, what is the common way to restart the game?</t>
  </si>
  <si>
    <t>a) A throw-in, b) A kick-off, c) A ball drop, d) A whistle blow</t>
  </si>
  <si>
    <t>a) A throw-in</t>
  </si>
  <si>
    <t>dhop_khel_9</t>
  </si>
  <si>
    <t>From the sport shown in the image, what is the importance of speed?</t>
  </si>
  <si>
    <t>a) For quick scoring, b) For escaping tags, c) For running between zones, d) All of the above</t>
  </si>
  <si>
    <t>From the sport shown in the image, how does the team gain an advantage?</t>
  </si>
  <si>
    <t>a) By scoring points, b) By tagging the opponents, c) By catching the ball, d) All of the above</t>
  </si>
  <si>
    <t>From the sport shown in the image, what is the role of physical endurance?</t>
  </si>
  <si>
    <t>a) For running long distances, b) For lasting the entire match, c) For defending effectively, d) For maintaining speed</t>
  </si>
  <si>
    <t>b) For lasting the entire match</t>
  </si>
  <si>
    <t>From the sport shown in the image, what happens when a player scores?</t>
  </si>
  <si>
    <t>a) The team gains points, b) The team loses possession, c) The game ends, d) The opponent takes the ball</t>
  </si>
  <si>
    <t>a) The team gains points</t>
  </si>
  <si>
    <t>dhop_khel_10</t>
  </si>
  <si>
    <t>From the sport shown in the image, how does communication help the team?</t>
  </si>
  <si>
    <t>a) By creating strategies, b) By coordinating moves, c) By alerting teammates, d) All of the above</t>
  </si>
  <si>
    <t>From the sport shown in the image, what is the main objective of the defenders?</t>
  </si>
  <si>
    <t>a) To prevent scoring, b) To pass the ball, c) To score points, d) To block the opponents</t>
  </si>
  <si>
    <t>a) To prevent scoring</t>
  </si>
  <si>
    <t>From the sport shown in the image, what is the outcome of a foul?</t>
  </si>
  <si>
    <t>a) The team loses a point, b) The game restarts, c) The opponent gains possession, d) The game pauses</t>
  </si>
  <si>
    <t>c) The opponent gains possession</t>
  </si>
  <si>
    <t>From the sport shown in the image, what is a common way to evade an opponent?</t>
  </si>
  <si>
    <t>a) Quick changes in direction, b) Long jumps, c) High kicks, d) Fast running</t>
  </si>
  <si>
    <t>a) Quick changes in direction</t>
  </si>
  <si>
    <t>dhop_khel_11</t>
  </si>
  <si>
    <t>From the sport shown in the image, what equipment is essential for players?</t>
  </si>
  <si>
    <t>a) Protective gear, b) A ball, c) Uniforms, d) All of the above</t>
  </si>
  <si>
    <t>b) A ball</t>
  </si>
  <si>
    <t>From the sport shown in the image, what does a successful tag require?</t>
  </si>
  <si>
    <t>a) Accuracy and timing, b) Speed and strength, c) Agility and coordination, d) All of the above</t>
  </si>
  <si>
    <t>a) Accuracy and timing</t>
  </si>
  <si>
    <t>From the sport shown in the image, what is the role of the sidelines?</t>
  </si>
  <si>
    <t>a) To mark boundaries, b) To designate scoring areas, c) To indicate safe zones, d) To separate teams</t>
  </si>
  <si>
    <t>a) To mark boundaries</t>
  </si>
  <si>
    <t>From the sport shown in the image, what is one of the key skills for a player?</t>
  </si>
  <si>
    <t>a) Quick reflexes, b) Long-range vision, c) High stamina, d) Strong tackling</t>
  </si>
  <si>
    <t>a) Quick reflexes</t>
  </si>
  <si>
    <t>dhop_khel_12</t>
  </si>
  <si>
    <t>From the sport shown in the image, what strategy can be used to outmaneuver an opponent?</t>
  </si>
  <si>
    <t>a) Feints and fakes, b) Long passes, c) Defensive positioning, d) Aggressive running</t>
  </si>
  <si>
    <t>a) Feints and fakes</t>
  </si>
  <si>
    <t>From the sport shown in the image, how is the end of a game typically signaled?</t>
  </si>
  <si>
    <t>a) Whistle blow, b) Final score announcement, c) Handshake, d) Player huddle</t>
  </si>
  <si>
    <t>a) Whistle blow</t>
  </si>
  <si>
    <t>From the sport shown in the image, what is the primary function of the goal area?</t>
  </si>
  <si>
    <t>a) Scoring, b) Defense, c) Substitution, d) Resting</t>
  </si>
  <si>
    <t>a) Scoring</t>
  </si>
  <si>
    <t>From the sport shown in the image, what role do coaches play during the match?</t>
  </si>
  <si>
    <t>a) Observing and advising, b) Playing alongside the team, c) Officiating the game, d) Scoring</t>
  </si>
  <si>
    <t>a) Observing and advising</t>
  </si>
  <si>
    <t>dhop_khel_13</t>
  </si>
  <si>
    <t>From the sport shown in the image, what is the typical penalty for unsportsmanlike conduct?</t>
  </si>
  <si>
    <t>a) Suspension, b) Point deduction, c) Free throw to the opponent, d) Team disqualification</t>
  </si>
  <si>
    <t>a) Suspension</t>
  </si>
  <si>
    <t>From the sport shown in the image, how can players enhance their teamwork?</t>
  </si>
  <si>
    <t>a) Regular practice, b) Effective communication, c) Shared strategies, d) All of the above</t>
  </si>
  <si>
    <t>From the sport shown in the image, what is the impact of quick decision-making?</t>
  </si>
  <si>
    <t>a) It leads to better gameplay, b) It increases player speed, c) It reduces game time, d) It decreases mistakes</t>
  </si>
  <si>
    <t>a) It leads to better gameplay</t>
  </si>
  <si>
    <t>From the sport shown in the image, what is a common method to gain an advantage?</t>
  </si>
  <si>
    <t>a) Fast movement, b) Accurate passes, c) Strategic positioning, d) All of the above</t>
  </si>
  <si>
    <t>dhop_khel_14</t>
  </si>
  <si>
    <t>From the sport shown in the image, what should players focus on during a timeout?</t>
  </si>
  <si>
    <t>a) Reviewing tactics, b) Resting, c) Motivating each other, d) All of the above</t>
  </si>
  <si>
    <t>From the sport shown in the image, what is the importance of defensive skills?</t>
  </si>
  <si>
    <t>a) To prevent scoring, b) To control the ball, c) To support teammates, d) To strategize</t>
  </si>
  <si>
    <t>From the sport shown in the image, what is a common challenge faced by new players?</t>
  </si>
  <si>
    <t>a) Understanding game rules, b) Developing speed, c) Learning techniques, d) Maintaining stamina</t>
  </si>
  <si>
    <t>a) Understanding game rules</t>
  </si>
  <si>
    <t>From the sport shown in the image, what is the role of physical conditioning in a player's performance?</t>
  </si>
  <si>
    <t>a) To improve endurance and strength, b) To enhance speed, c) To support agility, d) All of the above</t>
  </si>
  <si>
    <t>dhop_khel_15</t>
  </si>
  <si>
    <t>From the sport shown in the image, how does effective communication benefit the team?</t>
  </si>
  <si>
    <t>a) By coordinating movements, b) By clarifying strategies, c) By improving morale, d) All of the above</t>
  </si>
  <si>
    <t>From the sport shown in the image, what is the function of the referee?</t>
  </si>
  <si>
    <t>a) To enforce rules, b) To coach players, c) To score the game, d) To train players</t>
  </si>
  <si>
    <t>a) To enforce rules</t>
  </si>
  <si>
    <t>From the sport shown in the image, what is the impact of proper footwear?</t>
  </si>
  <si>
    <t>a) It enhances grip and stability, b) It improves speed, c) It prevents injuries, d) All of the above</t>
  </si>
  <si>
    <t>From the sport shown in the image, what is one method to improve a player's agility?</t>
  </si>
  <si>
    <t>a) Drills and exercises, b) Watching gameplay videos, c) Studying tactics, d) Eating a balanced diet</t>
  </si>
  <si>
    <t>a) Drills and exercises</t>
  </si>
  <si>
    <t>dhop_khel_16</t>
  </si>
  <si>
    <t>From the sport shown in the image, what is the role of the goal keeper?</t>
  </si>
  <si>
    <t>a) To prevent goals, b) To score points, c) To manage team strategy, d) To officiate the game</t>
  </si>
  <si>
    <t>a) To prevent goals</t>
  </si>
  <si>
    <t>From the sport shown in the image, how are players typically positioned?</t>
  </si>
  <si>
    <t>a) Based on their skills, b) By height, c) By age, d) By experience</t>
  </si>
  <si>
    <t>a) Based on their skills</t>
  </si>
  <si>
    <t>From the sport shown in the image, what is a common tactic for defense?</t>
  </si>
  <si>
    <t>a) Blocking opponents, b) Passing quickly, c) Attacking aggressively, d) Running fast</t>
  </si>
  <si>
    <t>a) Blocking opponents</t>
  </si>
  <si>
    <t>From the sport shown in the image, what is the significance of the center circle?</t>
  </si>
  <si>
    <t>a) It is where the game starts, b) It is a scoring zone, c) It marks the middle of the field, d) It is a substitution area</t>
  </si>
  <si>
    <t>a) It is where the game starts</t>
  </si>
  <si>
    <t>dhop_khel_17</t>
  </si>
  <si>
    <t>From the sport shown in the image, what is a typical way to practice passing skills?</t>
  </si>
  <si>
    <t>a) Target drills, b) Long-distance throws, c) Fast dribbling, d) Jumping exercises</t>
  </si>
  <si>
    <t>a) Target drills</t>
  </si>
  <si>
    <t>From the sport shown in the image, what is a common reason for a timeout?</t>
  </si>
  <si>
    <t>a) To address injuries, b) To strategize, c) To rest players, d) All of the above</t>
  </si>
  <si>
    <t>From the sport shown in the image, how is a game typically divided?</t>
  </si>
  <si>
    <t>a) Into halves, b) Into quarters, c) Into periods, d) Into rounds</t>
  </si>
  <si>
    <t>a) Into halves</t>
  </si>
  <si>
    <t>From the sport shown in the image, what is the role of a team captain?</t>
  </si>
  <si>
    <t>a) To lead the team, b) To make strategic decisions, c) To communicate with referees, d) All of the above</t>
  </si>
  <si>
    <t>dhop_khel_18</t>
  </si>
  <si>
    <t>From the sport shown in the image, what is one key aspect of effective scoring?</t>
  </si>
  <si>
    <t>a) Precision, b) Timing, c) Strength, d) Speed</t>
  </si>
  <si>
    <t>b) Timing</t>
  </si>
  <si>
    <t>From the sport shown in the image, which surface is most suitable for playing?</t>
  </si>
  <si>
    <t>a) Grass field, b) Clay ground, c) Wooden floor, d) Concrete pavement</t>
  </si>
  <si>
    <t>b) Clay ground</t>
  </si>
  <si>
    <t>a) To score goals, b) To tag opponents, c) To cross a finish line, d) To collect objects</t>
  </si>
  <si>
    <t>b) To tag opponents</t>
  </si>
  <si>
    <t>From the sport shown in the image, how many players typically participate in one team?</t>
  </si>
  <si>
    <t>a) 2-4 players, b) 5-7 players, c) 8-10 players, d) 11-13 players</t>
  </si>
  <si>
    <t>b) 5-7 players</t>
  </si>
  <si>
    <t>dhop_khel_19</t>
  </si>
  <si>
    <t>From the sport shown in the image, what is the traditional attire worn by participants?</t>
  </si>
  <si>
    <t>a) Shorts and T-shirt, b) Traditional dhoti and turban, c) Tracksuit, d) Jersey and shorts</t>
  </si>
  <si>
    <t>b) Traditional dhoti and turban</t>
  </si>
  <si>
    <t>From the sport shown in the image, what is the most crucial skill required?</t>
  </si>
  <si>
    <t>a) Speed, b) Strength, c) Strategy, d) Endurance</t>
  </si>
  <si>
    <t>From the sport shown in the image, what is the role of the 'mohori'?</t>
  </si>
  <si>
    <t>a) Offensive player, b) Defensive player, c) Referee, d) Coach</t>
  </si>
  <si>
    <t>a) Offensive player</t>
  </si>
  <si>
    <t>From the sport shown in the image, which of the following is NOT allowed?</t>
  </si>
  <si>
    <t>a) Running, b) Jumping, c) Tagging opponents, d) Using equipment</t>
  </si>
  <si>
    <t>d) Using equipment</t>
  </si>
  <si>
    <t>dhop_khel_20</t>
  </si>
  <si>
    <t>From the sport shown in the image, what determines the end of a round?</t>
  </si>
  <si>
    <t>a) A fixed time limit, b) All players tagged out, c) Scoring a specific number of points, d) Crossing a line</t>
  </si>
  <si>
    <t>b) All players tagged out</t>
  </si>
  <si>
    <t>From the sport shown in the image, which season is the game traditionally played?</t>
  </si>
  <si>
    <t>a) Summer, b) Monsoon, c) Winter, d) Spring</t>
  </si>
  <si>
    <t>a) Summer</t>
  </si>
  <si>
    <t>From the sport shown in the image, what type of footwear is commonly worn by players?</t>
  </si>
  <si>
    <t>a) Barefoot, b) Sandals, c) Sneakers, d) Boots</t>
  </si>
  <si>
    <t>a) Barefoot</t>
  </si>
  <si>
    <t>From the sport shown in the image, what is the primary physical benefit of playing?</t>
  </si>
  <si>
    <t>a) Improved cardiovascular fitness, b) Increased muscle mass, c) Enhanced flexibility, d) Better balance</t>
  </si>
  <si>
    <t>a) Improved cardiovascular fitness</t>
  </si>
  <si>
    <t>dhop_khel_21</t>
  </si>
  <si>
    <t>From the sport shown in the image, which cultural or regional festival is the game often associated with?</t>
  </si>
  <si>
    <t>a) Diwali, b) Baisakhi, c) Bihu, d) Pongal</t>
  </si>
  <si>
    <t>c) Bihu</t>
  </si>
  <si>
    <t>From the sport shown in the image, how is a winner typically determined?</t>
  </si>
  <si>
    <t>a) By scoring the most points, b) By tagging all opponents, c) By crossing a finish line first, d) By outlasting the opponents</t>
  </si>
  <si>
    <t>b) By tagging all opponents</t>
  </si>
  <si>
    <t>From the sport shown in the image, what is the primary defensive technique used?</t>
  </si>
  <si>
    <t>a) Dodging, b) Blocking, c) Grabbing, d) Pushing</t>
  </si>
  <si>
    <t>a) Dodging</t>
  </si>
  <si>
    <t>From the sport shown in the image, which body part is most involved in the gameplay?</t>
  </si>
  <si>
    <t>a) Hands, b) Feet, c) Head, d) Shoulders</t>
  </si>
  <si>
    <t>b) Feet</t>
  </si>
  <si>
    <t>dhop_khel_22</t>
  </si>
  <si>
    <t>From the sport shown in the image, what is the typical duration of a game?</t>
  </si>
  <si>
    <t>a) 10-20 minutes, b) 30-40 minutes, c) 50-60 minutes, d) 70-80 minutes</t>
  </si>
  <si>
    <t>b) 30-40 minutes</t>
  </si>
  <si>
    <t>From the sport shown in the image, what is the purpose of the 'ghera'?</t>
  </si>
  <si>
    <t>a) To define the play area, b) To serve as a scoring zone, c) To designate a safe zone, d) To mark the boundary</t>
  </si>
  <si>
    <t>a) To define the play area</t>
  </si>
  <si>
    <t>From the sport shown in the image, what is the significance of the team's formation at the start?</t>
  </si>
  <si>
    <t>a) To confuse opponents, b) To strategize the attack, c) To display team spirit, d) To mark positions</t>
  </si>
  <si>
    <t>b) To strategize the attack</t>
  </si>
  <si>
    <t>From the sport shown in the image, what should a player avoid to stay in the game?</t>
  </si>
  <si>
    <t>a) Touching the ground with hands, b) Stepping outside the boundary, c) Colliding with teammates, d) Moving too slowly</t>
  </si>
  <si>
    <t>b) Stepping outside the boundary</t>
  </si>
  <si>
    <t>dhop_khel_23</t>
  </si>
  <si>
    <t>From the sport shown in the image, what kind of terrain is considered ideal for this sport?</t>
  </si>
  <si>
    <t>a) Flat and smooth, b) Hilly and uneven, c) Wet and muddy, d) Sandy and dry</t>
  </si>
  <si>
    <t>a) Flat and smooth</t>
  </si>
  <si>
    <t>From the sport shown in the image, which of the following is a common team strategy?</t>
  </si>
  <si>
    <t>a) Forming a human chain, b) Surrounding the opponents, c) Taking turns to attack, d) Playing defensively</t>
  </si>
  <si>
    <t>c) Taking turns to attack</t>
  </si>
  <si>
    <t>From the sport shown in the image, what is the common age group of participants?</t>
  </si>
  <si>
    <t>a) Children, b) Teenagers, c) Adults, d) All ages</t>
  </si>
  <si>
    <t>d) All ages</t>
  </si>
  <si>
    <t>From the sport shown in the image, what is a common way to settle disputes during the game?</t>
  </si>
  <si>
    <t>a) Replay the round, b) Refer to a judge, c) Argue until resolved, d) Flip a coin</t>
  </si>
  <si>
    <t>b) Refer to a judge</t>
  </si>
  <si>
    <t>dhop_khel_24</t>
  </si>
  <si>
    <t>From the sport shown in the image, which of these is a common pre-game ritual?</t>
  </si>
  <si>
    <t>a) Stretching, b) Chanting slogans, c) Meditation, d) Team huddle</t>
  </si>
  <si>
    <t>d) Team huddle</t>
  </si>
  <si>
    <t>From the sport shown in the image, what is the role of the 'pali'?</t>
  </si>
  <si>
    <t>a) To lead the attack, b) To defend the base, c) To keep time, d) To score points</t>
  </si>
  <si>
    <t>a) To lead the attack</t>
  </si>
  <si>
    <t>From the sport shown in the image, which is a typical method of scoring?</t>
  </si>
  <si>
    <t>a) Touching an opponent, b) Crossing a line, c) Throwing a ball, d) Kicking a goal</t>
  </si>
  <si>
    <t>a) Touching an opponent</t>
  </si>
  <si>
    <t>From the sport shown in the image, how is fair play ensured?</t>
  </si>
  <si>
    <t>a) Strict rules enforcement, b) Random inspections, c) Peer review, d) Self-regulation</t>
  </si>
  <si>
    <t>a) Strict rules enforcement</t>
  </si>
  <si>
    <t>dhop_khel_25</t>
  </si>
  <si>
    <t>From the sport shown in the image, what is the primary reason for resting between rounds?</t>
  </si>
  <si>
    <t>a) To strategize, b) To hydrate, c) To recover energy, d) To discuss rules</t>
  </si>
  <si>
    <t>c) To recover energy</t>
  </si>
  <si>
    <t>From the sport shown in the image, which of the following actions is discouraged?</t>
  </si>
  <si>
    <t>a) Teamwork, b) Individual brilliance, c) Aggressive play, d) Cheating</t>
  </si>
  <si>
    <t>d) Cheating</t>
  </si>
  <si>
    <t>From the sport shown in the image, what does a player typically do after tagging an opponent?</t>
  </si>
  <si>
    <t>a) Runs back to the base, b) Stands still, c) Takes a rest, d) Celebrates with the team</t>
  </si>
  <si>
    <t>a) Runs back to the base</t>
  </si>
  <si>
    <t>From the sport shown in the image, which quality is most admired in a player?</t>
  </si>
  <si>
    <t>a) Bravery, b) Intelligence, c) Speed, d) Sportsmanship</t>
  </si>
  <si>
    <t>d) Sportsmanship</t>
  </si>
  <si>
    <t>kanche_1</t>
  </si>
  <si>
    <t>From the sport shown in the image, what material are the playing objects typically made of?</t>
  </si>
  <si>
    <t>a) Glass, b) Wood, c) Metal, d) Plastic</t>
  </si>
  <si>
    <t>a) Glass</t>
  </si>
  <si>
    <t>From the sport shown in the image, what is the primary objective?</t>
  </si>
  <si>
    <t>a) Hitting other objects, b) Scoring points, c) Collecting more objects, d) Protecting a goal</t>
  </si>
  <si>
    <t>c) Collecting more objects</t>
  </si>
  <si>
    <t>From the sport shown in the image, what is the standard number of players required?</t>
  </si>
  <si>
    <t>a) 2, b) 4, c) 6, d) 8</t>
  </si>
  <si>
    <t>a) 2</t>
  </si>
  <si>
    <t>From the sport shown in the image, what is the commonly used term for the small circles drawn on the ground?</t>
  </si>
  <si>
    <t>a) Kanche, b) Circle, c) Dabba, d) Pit</t>
  </si>
  <si>
    <t>c) Dabba</t>
  </si>
  <si>
    <t>kanche_2</t>
  </si>
  <si>
    <t>From the sport shown in the image, what skill is primarily required to excel?</t>
  </si>
  <si>
    <t>a) Accuracy, b) Speed, c) Strength, d) Endurance</t>
  </si>
  <si>
    <t>a) Accuracy</t>
  </si>
  <si>
    <t>From the sport shown in the image, which body part is most commonly used to play?</t>
  </si>
  <si>
    <t>a) Hand, b) Foot, c) Elbow, d) Knee</t>
  </si>
  <si>
    <t>a) Hand</t>
  </si>
  <si>
    <t>From the sport shown in the image, which strategy would increase a player's chances of winning?</t>
  </si>
  <si>
    <t>a) Hitting the target with precision, b) Distracting the opponent, c) Moving quickly, d) Defending the area</t>
  </si>
  <si>
    <t>a) Hitting the target with precision</t>
  </si>
  <si>
    <t>From the sport shown in the image, what is the typical distance from which players shoot?</t>
  </si>
  <si>
    <t>a) Close range, b) Medium range, c) Long range, d) Varies by game</t>
  </si>
  <si>
    <t>d) Varies by game</t>
  </si>
  <si>
    <t>kanche_3</t>
  </si>
  <si>
    <t>From the sport shown in the image, how are turns usually determined?</t>
  </si>
  <si>
    <t>a) By lot, b) By a judge, c) By agreement, d) By winning the previous round</t>
  </si>
  <si>
    <t>c) By agreement</t>
  </si>
  <si>
    <t>From the sport shown in the image, what happens when a player successfully hits another object?</t>
  </si>
  <si>
    <t>a) They get another turn, b) They win the game, c) The game ends, d) They lose their turn</t>
  </si>
  <si>
    <t>a) They get another turn</t>
  </si>
  <si>
    <t>From the sport shown in the image, what kind of surface is most suitable for playing?</t>
  </si>
  <si>
    <t>a) Smooth and hard, b) Rough and uneven, c) Wet and soft, d) Grassy and soft</t>
  </si>
  <si>
    <t>a) Smooth and hard</t>
  </si>
  <si>
    <t>From the sport shown in the image, what is the consequence of missing a shot?</t>
  </si>
  <si>
    <t>a) Losing a turn, b) Losing points, c) Ending the game, d) Starting over</t>
  </si>
  <si>
    <t>a) Losing a turn</t>
  </si>
  <si>
    <t>kanche_4</t>
  </si>
  <si>
    <t>From the sport shown in the image, what technique is most commonly used to launch the object?</t>
  </si>
  <si>
    <t>a) Flicking with the thumb, b) Throwing with the hand, c) Kicking with the foot, d) Pushing with the palm</t>
  </si>
  <si>
    <t>a) Flicking with the thumb</t>
  </si>
  <si>
    <t>From the sport shown in the image, which factor is most likely to affect the trajectory of the shot?</t>
  </si>
  <si>
    <t>a) Force applied, b) Color of the object, c) Time of day, d) Number of players</t>
  </si>
  <si>
    <t>a) Force applied</t>
  </si>
  <si>
    <t>From the sport shown in the image, what is the goal of a player when it's their turn?</t>
  </si>
  <si>
    <t>a) To hit and collect the objects, b) To move all objects away, c) To balance the objects, d) To hide the objects</t>
  </si>
  <si>
    <t>a) To hit and collect the objects</t>
  </si>
  <si>
    <t>From the sport shown in the image, how is the winner typically decided?</t>
  </si>
  <si>
    <t>a) By collecting the most objects, b) By reaching a specific score, c) By completing the game first, d) By eliminating all opponents</t>
  </si>
  <si>
    <t>a) By collecting the most objects</t>
  </si>
  <si>
    <t>kanche_5</t>
  </si>
  <si>
    <t>From the sport shown in the image, which type of shot would be considered the most difficult?</t>
  </si>
  <si>
    <t>a) Long distance shot, b) Close range shot, c) Sideways shot, d) Underhand shot</t>
  </si>
  <si>
    <t>a) Long distance shot</t>
  </si>
  <si>
    <t>From the sport shown in the image, how does the environment impact the gameplay?</t>
  </si>
  <si>
    <t>a) It can affect the movement of objects, b) It has no impact, c) It determines the number of players, d) It changes the rules</t>
  </si>
  <si>
    <t>a) It can affect the movement of objects</t>
  </si>
  <si>
    <t>From the sport shown in the image, which of the following is a common variation in gameplay?</t>
  </si>
  <si>
    <t>a) Playing with larger objects, b) Using different colored objects, c) Changing the size of the playing area, d) Changing the rules mid-game</t>
  </si>
  <si>
    <t>c) Changing the size of the playing area</t>
  </si>
  <si>
    <t>From the sport shown in the image, what is a critical aspect of defensive play?</t>
  </si>
  <si>
    <t>a) Positioning objects strategically, b) Attacking aggressively, c) Moving quickly, d) Avoiding eye contact</t>
  </si>
  <si>
    <t>a) Positioning objects strategically</t>
  </si>
  <si>
    <t>kanche_6</t>
  </si>
  <si>
    <t>From the sport shown in the image, how can a player increase their accuracy?</t>
  </si>
  <si>
    <t>a) Practicing regularly, b) Changing the object size, c) Using both hands, d) Standing closer</t>
  </si>
  <si>
    <t>a) Practicing regularly</t>
  </si>
  <si>
    <t>From the sport shown in the image, what happens when a player successfully hits the target but misses the collection?</t>
  </si>
  <si>
    <t>a) They lose their turn, b) They earn half points, c) They get another chance, d) The turn goes to the next player</t>
  </si>
  <si>
    <t>d) The turn goes to the next player</t>
  </si>
  <si>
    <t>From the sport shown in the image, what does the term 'lagging' refer to?</t>
  </si>
  <si>
    <t>a) The initial shot to decide the turn order, b) Missing a shot, c) Winning the game, d) Collecting more objects</t>
  </si>
  <si>
    <t>a) The initial shot to decide the turn order</t>
  </si>
  <si>
    <t>From the sport shown in the image, how are disputes typically resolved?</t>
  </si>
  <si>
    <t>a) By a consensus among players, b) By a judge, c) By replaying the turn, d) By consulting the rule book</t>
  </si>
  <si>
    <t>a) By a consensus among players</t>
  </si>
  <si>
    <t>kanche_7</t>
  </si>
  <si>
    <t>From the sport shown in the image, what is the most common method to break a tie?</t>
  </si>
  <si>
    <t>a) Sudden death round, b) Counting collected objects, c) Replay the game, d) Calling it a draw</t>
  </si>
  <si>
    <t>a) Sudden death round</t>
  </si>
  <si>
    <t>a) Precision, b) Speed, c) Strength, d) Endurance</t>
  </si>
  <si>
    <t>From the sport shown in the image, what is the typical shape of the objects used?</t>
  </si>
  <si>
    <t>a) Round, b) Square, c) Rectangular, d) Triangular</t>
  </si>
  <si>
    <t>a) Round</t>
  </si>
  <si>
    <t>From the sport shown in the image, how can a player recover after losing a turn?</t>
  </si>
  <si>
    <t>a) By waiting for the next round, b) By challenging the ruling, c) By making a side bet, d) By quitting the game</t>
  </si>
  <si>
    <t>a) By waiting for the next round</t>
  </si>
  <si>
    <t>kanche_8</t>
  </si>
  <si>
    <t>From the sport shown in the image, what factor can significantly change the difficulty level?</t>
  </si>
  <si>
    <t>a) Size of the objects, b) Weather conditions, c) Number of players, d) Surface type</t>
  </si>
  <si>
    <t>d) Surface type</t>
  </si>
  <si>
    <t>From the sport shown in the image, what is the common term for missing the shot entirely?</t>
  </si>
  <si>
    <t>a) Blank, b) Miss, c) Void, d) Fault</t>
  </si>
  <si>
    <t>b) Miss</t>
  </si>
  <si>
    <t>From the sport shown in the image, how are the objects typically arranged at the start of the game?</t>
  </si>
  <si>
    <t>a) In a cluster, b) In a line, c) Scattered randomly, d) In a circle</t>
  </si>
  <si>
    <t>a) In a cluster</t>
  </si>
  <si>
    <t>From the sport shown in the image, what is the impact of using larger objects?</t>
  </si>
  <si>
    <t>a) It makes the game easier, b) It makes the game harder, c) It has no impact, d) It speeds up the game</t>
  </si>
  <si>
    <t>b) It makes the game harder</t>
  </si>
  <si>
    <t>kanche_9</t>
  </si>
  <si>
    <t>From the sport shown in the image, which action would result in a penalty?</t>
  </si>
  <si>
    <t>a) Interfering with another player's turn, b) Taking too long to shoot, c) Talking during the game, d) Using a different technique</t>
  </si>
  <si>
    <t>a) Interfering with another player's turn</t>
  </si>
  <si>
    <t>From the sport shown in the image, what is a common technique to distract opponents?</t>
  </si>
  <si>
    <t>a) Talking loudly, b) Moving around, c) Fake shots, d) None, distractions are not allowed</t>
  </si>
  <si>
    <t>c) Fake shots</t>
  </si>
  <si>
    <t>From the sport shown in the image, how is the playing area typically marked?</t>
  </si>
  <si>
    <t>a) With chalk, b) With paint, c) With ropes, d) With stones</t>
  </si>
  <si>
    <t>a) With chalk</t>
  </si>
  <si>
    <t>From the sport shown in the image, what happens if the playing objects leave the designated area?</t>
  </si>
  <si>
    <t>a) The turn is forfeited, b) The objects are returned, c) The player is penalized, d) The game is restarted</t>
  </si>
  <si>
    <t>a) The turn is forfeited</t>
  </si>
  <si>
    <t>kanche_10</t>
  </si>
  <si>
    <t>From the sport shown in the image, what is the primary reason players use a particular hand technique?</t>
  </si>
  <si>
    <t>a) For better control, b) For speed, c) For style, d) For tradition</t>
  </si>
  <si>
    <t>a) For better control</t>
  </si>
  <si>
    <t>From the sport shown in the image, how is the winner recognized at the end of the game?</t>
  </si>
  <si>
    <t>a) By the number of objects collected, b) By the number of turns taken, c) By the number of misses, d) By the loudest cheer</t>
  </si>
  <si>
    <t>a) By the number of objects collected</t>
  </si>
  <si>
    <t>From the sport shown in the image, what is the primary objective when aiming at an opponent's marble?</t>
  </si>
  <si>
    <t>a) Knocking it out of the circle, b) Hitting it to change its position, c) Avoiding it, d) Making it jump over another marble</t>
  </si>
  <si>
    <t>a) Knocking it out of the circle</t>
  </si>
  <si>
    <t>From the sport shown in the image, which technique is commonly used to flick the marble?</t>
  </si>
  <si>
    <t>a) Thumb flick, b) Finger push, c) Wrist snap, d) Palm roll</t>
  </si>
  <si>
    <t>a) Thumb flick</t>
  </si>
  <si>
    <t>kanche_11</t>
  </si>
  <si>
    <t>From the sport shown in the image, how is the starting circle typically drawn on the ground?</t>
  </si>
  <si>
    <t>a) With a stick, b) Using a rope, c) By tracing a shoe, d) With chalk or a marker</t>
  </si>
  <si>
    <t>d) With chalk or a marker</t>
  </si>
  <si>
    <t>From the sport shown in the image, which of the following surfaces is ideal for playing?</t>
  </si>
  <si>
    <t>a) Hard-packed earth, b) Grass, c) Gravel, d) Sand</t>
  </si>
  <si>
    <t>a) Hard-packed earth</t>
  </si>
  <si>
    <t>From the sport shown in the image, what happens if a player's marble lands outside the circle after a shot?</t>
  </si>
  <si>
    <t>a) The player gets another turn, b) The shot is forfeited, c) The player wins, d) The marble is returned to the circle</t>
  </si>
  <si>
    <t>b) The shot is forfeited</t>
  </si>
  <si>
    <t>From the sport shown in the image, what is the significance of the larger marble, also known as the 'king' marble?</t>
  </si>
  <si>
    <t>a) It is used to strike other marbles, b) It is the last marble to be knocked out, c) It has no special role, d) It determines the winner</t>
  </si>
  <si>
    <t>a) It is used to strike other marbles</t>
  </si>
  <si>
    <t>kanche_12</t>
  </si>
  <si>
    <t>From the sport shown in the image, how many marbles are typically placed inside the circle at the start of the game?</t>
  </si>
  <si>
    <t>a) 1, b) 5, c) 10, d) 20</t>
  </si>
  <si>
    <t>b) 5</t>
  </si>
  <si>
    <t>From the sport shown in the image, which skill is most crucial for a successful strike?</t>
  </si>
  <si>
    <t>a) Accuracy, b) Speed, c) Strength, d) Timing</t>
  </si>
  <si>
    <t>From the sport shown in the image, what is the main strategy when multiple marbles are close together?</t>
  </si>
  <si>
    <t>a) Hit the center marble, b) Knock out as many as possible, c) Avoid hitting any marble, d) Flick the marble with the least force</t>
  </si>
  <si>
    <t>b) Knock out as many as possible</t>
  </si>
  <si>
    <t>From the sport shown in the image, which of the following is considered a foul?</t>
  </si>
  <si>
    <t>a) Crossing the line before flicking, b) Missing all marbles, c) Hitting multiple marbles, d) Striking the marble too lightly</t>
  </si>
  <si>
    <t>a) Crossing the line before flicking</t>
  </si>
  <si>
    <t>kanche_13</t>
  </si>
  <si>
    <t>From the sport shown in the image, what happens when a player's marble remains inside the circle after a strike?</t>
  </si>
  <si>
    <t>a) The player loses a turn, b) The player gets another chance, c) The marble is removed from play, d) The marble stays in play</t>
  </si>
  <si>
    <t>d) The marble stays in play</t>
  </si>
  <si>
    <t>From the sport shown in the image, what is the best way to hold the marble before flicking?</t>
  </si>
  <si>
    <t>a) Between the thumb and index finger, b) In the palm of the hand, c) Between the index and middle fingers, d) Between the thumb and middle finger</t>
  </si>
  <si>
    <t>a) Between the thumb and index finger</t>
  </si>
  <si>
    <t>From the sport shown in the image, which of the following factors affects the outcome of a marble strike?</t>
  </si>
  <si>
    <t>a) Angle of flick, b) Color of the marble, c) Size of the circle, d) Number of players</t>
  </si>
  <si>
    <t>a) Angle of flick</t>
  </si>
  <si>
    <t>From the sport shown in the image, which player gets the first turn?</t>
  </si>
  <si>
    <t>a) The youngest player, b) The player with the largest marble, c) The player who draws the shortest stick, d) The player who wins the coin toss</t>
  </si>
  <si>
    <t>d) The player who wins the coin toss</t>
  </si>
  <si>
    <t>kanche_14</t>
  </si>
  <si>
    <t>From the sport shown in the image, what happens when a player successfully knocks out all marbles from the circle?</t>
  </si>
  <si>
    <t>a) The game resets, b) The player wins the game, c) The player gets an extra turn, d) The player loses a turn</t>
  </si>
  <si>
    <t>b) The player wins the game</t>
  </si>
  <si>
    <t>From the sport shown in the image, what is the typical size of the playing circle?</t>
  </si>
  <si>
    <t>a) 1 foot in diameter, b) 2 feet in diameter, c) 3 feet in diameter, d) 4 feet in diameter</t>
  </si>
  <si>
    <t>c) 3 feet in diameter</t>
  </si>
  <si>
    <t>From the sport shown in the image, what is the consequence of a player's marble being knocked out by another player?</t>
  </si>
  <si>
    <t>a) The player loses the marble, b) The player gets an extra turn, c) The marble is returned to the player, d) The marble is placed back in the circle</t>
  </si>
  <si>
    <t>a) The player loses the marble</t>
  </si>
  <si>
    <t>From the sport shown in the image, what is the role of the 'shooter' marble?</t>
  </si>
  <si>
    <t>a) To initiate the game, b) To knock other marbles out of the circle, c) To mark the boundary, d) To be used as a target</t>
  </si>
  <si>
    <t>b) To knock other marbles out of the circle</t>
  </si>
  <si>
    <t>kanche_15</t>
  </si>
  <si>
    <t>From the sport shown in the image, what material are traditional marbles typically made from?</t>
  </si>
  <si>
    <t>a) Glass, b) Plastic, c) Metal, d) Clay</t>
  </si>
  <si>
    <t>From the sport shown in the image, which factor is least important when choosing a marble for shooting?</t>
  </si>
  <si>
    <t>a) Color, b) Weight, c) Size, d) Shape</t>
  </si>
  <si>
    <t>a) Color</t>
  </si>
  <si>
    <t>a) By the number of marbles collected, b) By the distance the marble travels, c) By the number of turns taken, d) By the accuracy of the shots</t>
  </si>
  <si>
    <t>a) By the number of marbles collected</t>
  </si>
  <si>
    <t>From the sport shown in the image, which of the following strategies is most effective when multiple marbles are close to the edge?</t>
  </si>
  <si>
    <t>a) Aim for the nearest marble, b) Flick with maximum force, c) Use a gentle flick to avoid moving the other marbles, d) Hit the marble at an angle to avoid knocking out others</t>
  </si>
  <si>
    <t>d) Hit the marble at an angle to avoid knocking out others</t>
  </si>
  <si>
    <t>kanche_16</t>
  </si>
  <si>
    <t>From the sport shown in the image, what should a player do if their marble is at risk of being knocked out?</t>
  </si>
  <si>
    <t>a) Defend the marble, b) Move the marble closer to the center, c) Avoid hitting other marbles, d) Position the marble strategically for the next turn</t>
  </si>
  <si>
    <t>d) Position the marble strategically for the next turn</t>
  </si>
  <si>
    <t>From the sport shown in the image, what is the most common way to resolve disputes in the game?</t>
  </si>
  <si>
    <t>a) Use a referee, b) Replay the round, c) Agree on a mutual decision, d) Refer to the rule book</t>
  </si>
  <si>
    <t>c) Agree on a mutual decision</t>
  </si>
  <si>
    <t>From the sport shown in the image, which factor can impact the accuracy of a shot?</t>
  </si>
  <si>
    <t>a) Wind, b) Marble color, c) Player's stance, d) Number of players</t>
  </si>
  <si>
    <t>c) Player's stance</t>
  </si>
  <si>
    <t>From the sport shown in the image, what should a player consider when choosing their shooting marble?</t>
  </si>
  <si>
    <t>a) Weight and size, b) Color and design, c) Brand and material, d) Cost and rarity</t>
  </si>
  <si>
    <t>a) Weight and size</t>
  </si>
  <si>
    <t>kanche_17</t>
  </si>
  <si>
    <t>From the sport shown in the image, what is typically used to determine the winner if all marbles are knocked out?</t>
  </si>
  <si>
    <t>a) A final round, b) The number of marbles collected, c) The distance of the last shot, d) The accuracy of the shots</t>
  </si>
  <si>
    <t>b) The number of marbles collected</t>
  </si>
  <si>
    <t>From the sport shown in the image, what is the purpose of having different sizes of marbles in the game?</t>
  </si>
  <si>
    <t>a) To create a challenge, b) To differentiate players, c) To determine the order of play, d) To mark boundaries</t>
  </si>
  <si>
    <t>a) To create a challenge</t>
  </si>
  <si>
    <t>From the sport shown in the image, how should a player position their hand for the most effective flick?</t>
  </si>
  <si>
    <t>a) With fingers spread wide, b) With the thumb and index finger gripping the marble, c) With the palm facing down, d) With the wrist locked</t>
  </si>
  <si>
    <t>b) With the thumb and index finger gripping the marble</t>
  </si>
  <si>
    <t>From the sport shown in the image, what action is considered a foul during gameplay?</t>
  </si>
  <si>
    <t>a) Touching the line while flicking, b) Missing the target marble, c) Using different colors of marbles, d) Flicking too hard</t>
  </si>
  <si>
    <t>a) Touching the line while flicking</t>
  </si>
  <si>
    <t>kanche_18</t>
  </si>
  <si>
    <t>From the sport shown in the image, how is the playing circle commonly marked?</t>
  </si>
  <si>
    <t>a) Using a stencil, b) With a string or rope, c) By drawing with chalk or a marker, d) By placing objects around the perimeter</t>
  </si>
  <si>
    <t>c) By drawing with chalk or a marker</t>
  </si>
  <si>
    <t>From the sport shown in the image, what is an effective technique to increase control over the marble?</t>
  </si>
  <si>
    <t>a) Practice on various surfaces, b) Use marbles of different weights, c) Flick with a consistent force, d) Change the marble color</t>
  </si>
  <si>
    <t>c) Flick with a consistent force</t>
  </si>
  <si>
    <t>From the sport shown in the image, what type of marble is often used for the initial shot?</t>
  </si>
  <si>
    <t>a) The largest marble, b) The smallest marble, c) A marble with a unique color, d) A marble with a special design</t>
  </si>
  <si>
    <t>a) The largest marble</t>
  </si>
  <si>
    <t>From the sport shown in the image, what should players do if they cannot agree on whether a marble was knocked out?</t>
  </si>
  <si>
    <t>a) Replay the round, b) Use a referee, c) Decide by mutual agreement, d) Count the marbles knocked out</t>
  </si>
  <si>
    <t>c) Decide by mutual agreement</t>
  </si>
  <si>
    <t>kanche_19</t>
  </si>
  <si>
    <t>From the sport shown in the image, what is the purpose of a practice round?</t>
  </si>
  <si>
    <t>a) To warm up, b) To determine the starting order, c) To select marbles, d) To mark the circle</t>
  </si>
  <si>
    <t>a) To warm up</t>
  </si>
  <si>
    <t>From the sport shown in the image, what happens if a player's marble lands inside the circle but does not hit any other marbles?</t>
  </si>
  <si>
    <t>a) The player loses their turn, b) The marble is removed, c) The player gets another chance, d) The marble is placed outside the circle</t>
  </si>
  <si>
    <t>a) The player loses their turn</t>
  </si>
  <si>
    <t>From the sport shown in the image, which feature is most important for a shooting marble?</t>
  </si>
  <si>
    <t>a) Weight, b) Color, c) Texture, d) Design</t>
  </si>
  <si>
    <t>a) Weight</t>
  </si>
  <si>
    <t>From the sport shown in the image, what should a player do to ensure fair play?</t>
  </si>
  <si>
    <t>a) Follow the official rules, b) Use identical marbles, c) Play on a level surface, d) Agree on the rules beforehand</t>
  </si>
  <si>
    <t>d) Agree on the rules beforehand</t>
  </si>
  <si>
    <t>kanche_20</t>
  </si>
  <si>
    <t>From the sport shown in the image, how can players determine the size of the circle for a fair game?</t>
  </si>
  <si>
    <t>a) By consensus, b) Using a standard measurement tool, c) By the number of players, d) By the size of the marbles</t>
  </si>
  <si>
    <t>a) By consensus</t>
  </si>
  <si>
    <t>From the sport shown in the image, how does the number of marbles affect the gameplay?</t>
  </si>
  <si>
    <t>a) More marbles increase the difficulty, b) Fewer marbles speed up the game, c) More marbles make the game easier, d) Fewer marbles make the game harder</t>
  </si>
  <si>
    <t>a) More marbles increase the difficulty</t>
  </si>
  <si>
    <t>From the sport shown in the image, what is a common way to practice marble flicking accuracy?</t>
  </si>
  <si>
    <t>a) Set up targets at various distances, b) Use different marble sizes, c) Practice with a larger circle, d) Flick marbles from different angles</t>
  </si>
  <si>
    <t>a) Set up targets at various distances</t>
  </si>
  <si>
    <t>From the sport shown in the image, what is a common rule regarding marble handling during play?</t>
  </si>
  <si>
    <t>a) Only one marble can be handled at a time, b) Marbles can be handled by any part of the hand, c) Players must wear gloves, d) Marbles must be placed in a specific order</t>
  </si>
  <si>
    <t>a) Only one marble can be handled at a time</t>
  </si>
  <si>
    <t>kanche_21</t>
  </si>
  <si>
    <t>From the sport shown in the image, how should players decide who goes first in a game?</t>
  </si>
  <si>
    <t>a) By drawing lots, b) By age, c) By marble size, d) By random selection</t>
  </si>
  <si>
    <t>a) By drawing lots</t>
  </si>
  <si>
    <t>From the sport shown in the image, what is a common strategy when aiming at a group of marbles?</t>
  </si>
  <si>
    <t>a) Aim for the center marble, b) Hit the marble closest to the edge, c) Use a gentle flick to avoid scattering, d) Aim for the marble with the most color</t>
  </si>
  <si>
    <t>a) Aim for the center marble</t>
  </si>
  <si>
    <t>From the sport shown in the image, what should players do if they notice a defect in the playing surface?</t>
  </si>
  <si>
    <t>a) Adjust the rules, b) Fix the defect, c) Ignore it, d) Change the playing area</t>
  </si>
  <si>
    <t>b) Fix the defect</t>
  </si>
  <si>
    <t>From the sport shown in the image, which action is allowed when a marble is knocked out of the circle?</t>
  </si>
  <si>
    <t>a) The player retrieves it, b) The marble is given to the opponent, c) The marble is left outside, d) The marble is returned to the circle</t>
  </si>
  <si>
    <t>c) The marble is left outside</t>
  </si>
  <si>
    <t>kanche_22</t>
  </si>
  <si>
    <t>From the sport shown in the image, what is the role of a 'challenge' round?</t>
  </si>
  <si>
    <t>a) To resolve disputes, b) To practice skills, c) To determine the winner, d) To warm up players</t>
  </si>
  <si>
    <t>a) To resolve disputes</t>
  </si>
  <si>
    <t>From the sport shown in the image, how is the winning player usually celebrated?</t>
  </si>
  <si>
    <t>a) By a handshake, b) With a prize, c) By applause, d) By a ceremonial game</t>
  </si>
  <si>
    <t>b) With a prize</t>
  </si>
  <si>
    <t>From the sport shown in the image, what should a player do if they accidentally flick their marble out of the circle?</t>
  </si>
  <si>
    <t>a) Forfeit their turn, b) Try again, c) Replace the marble, d) Retrieve it and continue</t>
  </si>
  <si>
    <t>a) Forfeit their turn</t>
  </si>
  <si>
    <t>a) Use a practice board with targets, b) Play with different marble sizes, c) Practice on various surfaces, d) Adjust the playing circle size</t>
  </si>
  <si>
    <t>a) Use a practice board with targets</t>
  </si>
  <si>
    <t>kanche_23</t>
  </si>
  <si>
    <t>From the sport shown in the image, what is a common rule for handling marbles during gameplay?</t>
  </si>
  <si>
    <t>a) Players must not touch the marbles with their hands, b) Marbles must be flicked from within the circle, c) Players must use only one hand, d) Marbles must be kept in a bag</t>
  </si>
  <si>
    <t>b) Marbles must be flicked from within the circle</t>
  </si>
  <si>
    <t>From the sport shown in the image, how can players improve their chances of knocking out marbles?</t>
  </si>
  <si>
    <t>a) By practicing with different marbles, b) By using a larger circle, c) By playing in a team, d) By practicing their flicking technique</t>
  </si>
  <si>
    <t>d) By practicing their flicking technique</t>
  </si>
  <si>
    <t>From the sport shown in the image, what is the purpose of a 'marker' marble?</t>
  </si>
  <si>
    <t>a) To indicate the starting position, b) To serve as a target, c) To represent the winner, d) To keep score</t>
  </si>
  <si>
    <t>b) To serve as a target</t>
  </si>
  <si>
    <t>From the sport shown in the image, what is a common feature of marbles used in professional play?</t>
  </si>
  <si>
    <t>a) Uniform size and weight, b) Unique colors and designs, c) Glow-in-the-dark properties, d) Varying textures</t>
  </si>
  <si>
    <t>a) Uniform size and weight</t>
  </si>
  <si>
    <t>kanche_24</t>
  </si>
  <si>
    <t>From the sport shown in the image, how can players ensure their marbles are in good condition?</t>
  </si>
  <si>
    <t>a) Regularly clean them, b) Store them in a specific order, c) Replace damaged marbles, d) Use marbles of the same color</t>
  </si>
  <si>
    <t>a) Regularly clean them</t>
  </si>
  <si>
    <t>From the sport shown in the image, what is a key factor in deciding the size of the playing circle?</t>
  </si>
  <si>
    <t>a) The number of players, b) The size of the marbles, c) The surface type, d) The available space</t>
  </si>
  <si>
    <t>d) The available space</t>
  </si>
  <si>
    <t>From the sport shown in the image, what is a common reason for adjusting the rules during a game?</t>
  </si>
  <si>
    <t>a) To accommodate different skill levels, b) To make the game shorter, c) To include more players, d) To change the gameâ€™s objective</t>
  </si>
  <si>
    <t>a) To accommodate different skill levels</t>
  </si>
  <si>
    <t>From the sport shown in the image, what is the most common way to start a game?</t>
  </si>
  <si>
    <t>a) By drawing lots, b) By a coin toss, c) By having the oldest player go first, d) By having the player with the most marbles start</t>
  </si>
  <si>
    <t>b) By a coin toss</t>
  </si>
  <si>
    <t>kanche_25</t>
  </si>
  <si>
    <t>From the sport shown in the image, what is a good way to practice controlling the distance of a flick?</t>
  </si>
  <si>
    <t>a) Practice with different flick strengths, b) Use a marble with varying weights, c) Play with a smaller circle, d) Practice on different surfaces</t>
  </si>
  <si>
    <t>a) Practice with different flick strengths</t>
  </si>
  <si>
    <t>From the sport shown in the image, what is a common rule for playing with marbles of different sizes?</t>
  </si>
  <si>
    <t>a) Only use marbles of the same size, b) Allow any size marble, c) Use smaller marbles for beginners, d) Use larger marbles for experienced players</t>
  </si>
  <si>
    <t>a) Only use marbles of the same size</t>
  </si>
  <si>
    <t>From the sport shown in the image, how is a player's skill typically judged during the game?</t>
  </si>
  <si>
    <t>a) By the number of marbles knocked out, b) By the accuracy of flicks, c) By the speed of play, d) By the number of practice rounds</t>
  </si>
  <si>
    <t>b) By the accuracy of flicks</t>
  </si>
  <si>
    <t>From the sport shown in the image, what should a player do if their marble hits the edge of the circle but does not go out?</t>
  </si>
  <si>
    <t>a) Continue playing, b) Adjust the circle size, c) Retry the shot, d) Move the marble to the center</t>
  </si>
  <si>
    <t>a) Continue playing</t>
  </si>
  <si>
    <t>kanche_26</t>
  </si>
  <si>
    <t>For the sport in the image, what is the primary objective?</t>
  </si>
  <si>
    <t>A) Hit the most marbles, B) Collect all marbles, C) Avoid hitting marbles, D) Stack the marbles</t>
  </si>
  <si>
    <t>B) Collect all marbles</t>
  </si>
  <si>
    <t>For the sport in the image, what material are traditional marbles typically made from?</t>
  </si>
  <si>
    <t>A) Glass, B) Plastic, C) Wood, D) Stone</t>
  </si>
  <si>
    <t>A) Glass</t>
  </si>
  <si>
    <t>For the sport in the image, how are turns typically determined?</t>
  </si>
  <si>
    <t>A) By age, B) By coin toss, C) By a lagging shot, D) Random selection</t>
  </si>
  <si>
    <t>C) By a lagging shot</t>
  </si>
  <si>
    <t>For the sport in the image, what skill is most important for winning?</t>
  </si>
  <si>
    <t>A) Speed, B) Precision, C) Strength, D) Stamina</t>
  </si>
  <si>
    <t>B) Precision</t>
  </si>
  <si>
    <t>kanche_27</t>
  </si>
  <si>
    <t>For the sport in the image, what happens when a player knocks out all marbles from the circle?</t>
  </si>
  <si>
    <t>A) Wins the game, B) Loses a turn, C) Gains points, D) Penalty is applied</t>
  </si>
  <si>
    <t>A) Wins the game</t>
  </si>
  <si>
    <t>For the sport in the image, what is the consequence of missing a shot?</t>
  </si>
  <si>
    <t>A) Lose points, B) Lose a turn, C) Gain a penalty, D) Play again</t>
  </si>
  <si>
    <t>B) Lose a turn</t>
  </si>
  <si>
    <t>For the sport in the image, how is the playing area typically marked?</t>
  </si>
  <si>
    <t>A) Chalk circle, B) Wooden fence, C) Rope boundary, D) Stone markers</t>
  </si>
  <si>
    <t>A) Chalk circle</t>
  </si>
  <si>
    <t>For the sport in the image, what technique is commonly used to flick the marble?</t>
  </si>
  <si>
    <t>A) Thumb flick, B) Palm roll, C) Backhand flick, D) Finger snap</t>
  </si>
  <si>
    <t>A) Thumb flick</t>
  </si>
  <si>
    <t>kanche_28</t>
  </si>
  <si>
    <t>For the sport in the image, which body part is primarily used to play?</t>
  </si>
  <si>
    <t>A) Hand, B) Foot, C) Elbow, D) Knee</t>
  </si>
  <si>
    <t>A) Hand</t>
  </si>
  <si>
    <t>For the sport in the image, what happens if a marble leaves the playing area?</t>
  </si>
  <si>
    <t>A) The marble is eliminated, B) The player gets a penalty, C) The turn is repeated, D) The marble is repositioned</t>
  </si>
  <si>
    <t>A) The marble is eliminated</t>
  </si>
  <si>
    <t>For the sport in the image, how do players determine the first turn?</t>
  </si>
  <si>
    <t>A) Drawing lots, B) A starting shot, C) Rock-paper-scissors, D) Random selection</t>
  </si>
  <si>
    <t>B) A starting shot</t>
  </si>
  <si>
    <t>For the sport in the image, what is the significance of hitting an opponent's marble?</t>
  </si>
  <si>
    <t>A) Gain points, B) Steal their turn, C) Remove their marble, D) Lose a point</t>
  </si>
  <si>
    <t>C) Remove their marble</t>
  </si>
  <si>
    <t>kanche_29</t>
  </si>
  <si>
    <t>For the sport in the image, how can a player increase their chances of hitting marbles?</t>
  </si>
  <si>
    <t>A) Using a larger marble, B) Aiming for the edge, C) Flicking with more force, D) Aiming for the center</t>
  </si>
  <si>
    <t>D) Aiming for the center</t>
  </si>
  <si>
    <t>For the sport in the image, what is a critical aspect of defensive play?</t>
  </si>
  <si>
    <t>A) Avoiding marbles, B) Placing marbles strategically, C) Hitting as many marbles as possible, D) Moving marbles out of bounds</t>
  </si>
  <si>
    <t>B) Placing marbles strategically</t>
  </si>
  <si>
    <t>For the sport in the image, what surface is most suitable for play?</t>
  </si>
  <si>
    <t>A) Concrete, B) Grass, C) Sand, D) Wooden floor</t>
  </si>
  <si>
    <t>C) Sand</t>
  </si>
  <si>
    <t>For the sport in the image, what is the ideal size of the playing circle?</t>
  </si>
  <si>
    <t>A) 1 meter, B) 2 meters, C) 3 meters, D) 4 meters</t>
  </si>
  <si>
    <t>B) 2 meters</t>
  </si>
  <si>
    <t>kanche_30</t>
  </si>
  <si>
    <t>For the sport in the image, what happens when a player's marble lands outside the circle?</t>
  </si>
  <si>
    <t>A) The marble is out of play, B) The player gets another turn, C) The marble is placed back, D) The game restarts</t>
  </si>
  <si>
    <t>A) The marble is out of play</t>
  </si>
  <si>
    <t>For the sport in the image, how do players recover after losing a turn?</t>
  </si>
  <si>
    <t>A) They wait for the next round, B) They take another shot, C) They hit a penalty shot, D) They switch to defense</t>
  </si>
  <si>
    <t>A) They wait for the next round</t>
  </si>
  <si>
    <t>For the sport in the image, what is the typical number of players in a game?</t>
  </si>
  <si>
    <t>C) 4</t>
  </si>
  <si>
    <t>For the sport in the image, what is a common strategy when marbles are grouped together?</t>
  </si>
  <si>
    <t>A) Avoid the group, B) Flick gently, C) Hit with full force, D) Aim at the center marble</t>
  </si>
  <si>
    <t>D) Aim at the center marble</t>
  </si>
  <si>
    <t>kanche_31</t>
  </si>
  <si>
    <t>For the sport in the image, how are disputes typically resolved?</t>
  </si>
  <si>
    <t>A) By majority vote, B) By referee, C) By a coin toss, D) By a replay of the shot</t>
  </si>
  <si>
    <t>D) By a replay of the shot</t>
  </si>
  <si>
    <t>For the sport in the image, what happens when a player hits another player’s marble?</t>
  </si>
  <si>
    <t>A) The opponent loses the marble, B) Both players lose a turn, C) The game restarts, D) The player gains points</t>
  </si>
  <si>
    <t>A) The opponent loses the marble</t>
  </si>
  <si>
    <t>For the sport in the image, what is the most admired quality in a player?</t>
  </si>
  <si>
    <t>A) Speed, B) Accuracy, C) Strength, D) Endurance</t>
  </si>
  <si>
    <t>B) Accuracy</t>
  </si>
  <si>
    <t>For the sport in the image, how can a player improve their accuracy?</t>
  </si>
  <si>
    <t>A) Flick with more force, B) Practice flicking, C) Use larger marbles, D) Use smaller marbles</t>
  </si>
  <si>
    <t>B) Practice flicking</t>
  </si>
  <si>
    <t>kanche_32</t>
  </si>
  <si>
    <t>For the sport in the image, what happens if a player’s marble stays inside the circle?</t>
  </si>
  <si>
    <t>A) The marble is out of play, B) The player wins, C) The player gains another turn, D) The marble stays in for the next round</t>
  </si>
  <si>
    <t>D) The marble stays in for the next round</t>
  </si>
  <si>
    <t>For the sport in the image, how are marbles typically arranged at the start of the game?</t>
  </si>
  <si>
    <t>A) In a line, B) In a triangle, C) In a circle, D) In a square</t>
  </si>
  <si>
    <t>C) In a circle</t>
  </si>
  <si>
    <t>For the sport in the image, what factor is most important when choosing a marble?</t>
  </si>
  <si>
    <t>A) Color, B) Size, C) Shape, D) Texture</t>
  </si>
  <si>
    <t>B) Size</t>
  </si>
  <si>
    <t>For the sport in the image, what is the significance of a ‘shooter’ marble?</t>
  </si>
  <si>
    <t>A) It is the largest marble, B) It decides the game’s outcome, C) It is used for aiming, D) It is used to hit other marbles</t>
  </si>
  <si>
    <t>D) It is used to hit other marbles</t>
  </si>
  <si>
    <t>kanche_33</t>
  </si>
  <si>
    <t>For the sport in the image, what is a common rule about marble sizes?</t>
  </si>
  <si>
    <t>A) All marbles must be the same size, B) The shooter must be the smallest, C) Larger marbles are not allowed, D) Players can only use one marble size</t>
  </si>
  <si>
    <t>A) All marbles must be the same size</t>
  </si>
  <si>
    <t>For the sport in the image, what is the maximum number of players allowed in a standard game?</t>
  </si>
  <si>
    <t>C) 6</t>
  </si>
  <si>
    <t>For the sport in the image, what is the typical diameter of a standard marble?</t>
  </si>
  <si>
    <t>A) 1 cm, B) 2 cm, C) 3 cm, D) 5 cm</t>
  </si>
  <si>
    <t>B) 2 cm</t>
  </si>
  <si>
    <t>For the sport in the image, what is considered a ‘winning shot’?</t>
  </si>
  <si>
    <t>A) Knocking all marbles out, B) Keeping your marble inside the circle, C) Hitting the largest marble, D) Aiming at the center</t>
  </si>
  <si>
    <t>A) Knocking all marbles out</t>
  </si>
  <si>
    <t>kanche_34</t>
  </si>
  <si>
    <t>For the sport in the image, what is the main material used for making high-quality marbles?</t>
  </si>
  <si>
    <t>A) Glass, B) Steel, C) Clay, D) Plastic</t>
  </si>
  <si>
    <t>For the sport in the image, what action is not allowed during a turn?</t>
  </si>
  <si>
    <t>A) Changing marbles, B) Re-positioning marbles, C) Aiming before flicking, D) Using the hand for defense</t>
  </si>
  <si>
    <t>B) Re-positioning marbles</t>
  </si>
  <si>
    <t>For the sport in the image, what happens if a player’s marble hits a boundary?</t>
  </si>
  <si>
    <t>A) They gain an extra turn, B) The marble is eliminated, C) The marble is repositioned, D) The opponent gains a turn</t>
  </si>
  <si>
    <t>B) The marble is eliminated</t>
  </si>
  <si>
    <t>For the sport in the image, what is the correct stance while flicking a marble?</t>
  </si>
  <si>
    <t>A) Standing, B) Squatting, C) Sitting, D) Kneeling</t>
  </si>
  <si>
    <t>B) Squatting</t>
  </si>
  <si>
    <t>kanche_35</t>
  </si>
  <si>
    <t>For the sport in the image, which hand movement is used to flick the marble?</t>
  </si>
  <si>
    <t>A) Thumb flick, B) Finger roll, C) Backhand snap, D) Wrist twist</t>
  </si>
  <si>
    <t>For the sport in the image, what is the outcome if a player’s marble is the last one in the circle?</t>
  </si>
  <si>
    <t>A) They lose the game, B) They win the game, C) They get an extra point, D) The game continues</t>
  </si>
  <si>
    <t>A) They lose the game</t>
  </si>
  <si>
    <t>For the sport in the image, how does a player determine the number of marbles they have won?</t>
  </si>
  <si>
    <t>A) By counting how many marbles they knocked out, B) By the number of marbles left in the circle, C) By scoring system, D) By player consensus</t>
  </si>
  <si>
    <t>A) By counting how many marbles they knocked out</t>
  </si>
  <si>
    <t>For the sport in the image, what is the common size of the playing area?</t>
  </si>
  <si>
    <t>A) 1 meter, B) 2 meters, C) 3 meters, D) 5 meters</t>
  </si>
  <si>
    <t>C) 3 meters</t>
  </si>
  <si>
    <t>carrom_1</t>
  </si>
  <si>
    <t>A) To pocket all the black pieces, B) To pocket the queen, C) To pocket all your assigned pieces, D) To pocket the striker</t>
  </si>
  <si>
    <t>C) To pocket all your assigned pieces</t>
  </si>
  <si>
    <t>In the sport shown in the image, what is the color of the queen piece?</t>
  </si>
  <si>
    <t>A) Black, B) White, C) Red, D) Blue</t>
  </si>
  <si>
    <t>C) Red</t>
  </si>
  <si>
    <t>For the sport in the image, how many striker pieces are used by each player?</t>
  </si>
  <si>
    <t>In the sport shown in the image, what is the standard size of a Carrom board?</t>
  </si>
  <si>
    <t>A) 1 meter, B) 60 cm, C) 74 cm, D) 80 cm</t>
  </si>
  <si>
    <t>C) 74 cm</t>
  </si>
  <si>
    <t>carrom_2</t>
  </si>
  <si>
    <t>For the sport in the image, what is the minimum number of players required?</t>
  </si>
  <si>
    <t>In the sport shown in the image, what happens if the striker is pocketed?</t>
  </si>
  <si>
    <t>A) Player gets another turn, B) Player loses their turn, C) Player loses a point, D) Player must return one pocketed piece</t>
  </si>
  <si>
    <t>D) Player must return one pocketed piece</t>
  </si>
  <si>
    <t>For the sport in the image, which piece must be pocketed last?</t>
  </si>
  <si>
    <t>A) The black piece, B) The white piece, C) The striker, D) The queen</t>
  </si>
  <si>
    <t>D) The queen</t>
  </si>
  <si>
    <t>In the sport shown in the image, how many points is pocketing the queen worth?</t>
  </si>
  <si>
    <t>A) 1, B) 3, C) 5, D) 10</t>
  </si>
  <si>
    <t>carrom_3</t>
  </si>
  <si>
    <t>For the sport in the image, what is the maximum number of points needed to win a standard match?</t>
  </si>
  <si>
    <t>A) 21, B) 25, C) 29, D) 31</t>
  </si>
  <si>
    <t>D) 31</t>
  </si>
  <si>
    <t>In the sport shown in the image, what happens if the queen is pocketed before all of a player's pieces?</t>
  </si>
  <si>
    <t>A) Player gets a bonus turn, B) Player loses the queen, C) Player wins the game, D) No penalty</t>
  </si>
  <si>
    <t>B) Player loses the queen</t>
  </si>
  <si>
    <t>For the sport in the image, which powder is commonly used to reduce friction on the board?</t>
  </si>
  <si>
    <t>A) Talcum powder, B) Baby powder, C) Cornstarch, D) Carrom powder</t>
  </si>
  <si>
    <t>D) Carrom powder</t>
  </si>
  <si>
    <t>In the sport shown in the image, how many total pieces are used, excluding the striker?</t>
  </si>
  <si>
    <t>A) 9, B) 12, C) 18, D) 19</t>
  </si>
  <si>
    <t>D) 19</t>
  </si>
  <si>
    <t>carrom_4</t>
  </si>
  <si>
    <t>For the sport in the image, what is the diameter of a standard Carrom piece?</t>
  </si>
  <si>
    <t>A) 1 cm, B) 2.9 cm, C) 3.2 cm, D) 4 cm</t>
  </si>
  <si>
    <t>B) 2.9 cm</t>
  </si>
  <si>
    <t>In the sport shown in the image, what is the maximum time allowed for a player to take their shot?</t>
  </si>
  <si>
    <t>A) 10 seconds, B) 15 seconds, C) 20 seconds, D) 30 seconds</t>
  </si>
  <si>
    <t>C) 20 seconds</t>
  </si>
  <si>
    <t>For the sport in the image, how is the winner of a match determined?</t>
  </si>
  <si>
    <t>A) Most pieces pocketed, B) First to pocket the queen, C) Most points at the end of the game, D) Fewest fouls committed</t>
  </si>
  <si>
    <t>C) Most points at the end of the game</t>
  </si>
  <si>
    <t>In the sport shown in the image, which part of the hand is used to strike the striker?</t>
  </si>
  <si>
    <t>A) Palm, B) Thumb, C) Middle finger, D) Forefinger</t>
  </si>
  <si>
    <t>C) Middle finger</t>
  </si>
  <si>
    <t>carrom_5</t>
  </si>
  <si>
    <t>For the sport in the image, what happens if a player pockets an opponent’s piece?</t>
  </si>
  <si>
    <t>A) Opponent gets a bonus turn, B) Player loses a point, C) Player must forfeit the game, D) Player gets another turn</t>
  </si>
  <si>
    <t>B) Player loses a point</t>
  </si>
  <si>
    <t>In the sport shown in the image, what is the penalty for committing a foul?</t>
  </si>
  <si>
    <t>A) Loss of one point, B) Loss of turn, C) Return of one pocketed piece, D) Loss of two points</t>
  </si>
  <si>
    <t>C) Return of one pocketed piece</t>
  </si>
  <si>
    <t>For the sport in the image, how many players can participate in a doubles match?</t>
  </si>
  <si>
    <t>In the sport shown in the image, what material is commonly used to make Carrom pieces?</t>
  </si>
  <si>
    <t>A) Wood, B) Plastic, C) Metal, D) Rubber</t>
  </si>
  <si>
    <t>A) Wood</t>
  </si>
  <si>
    <t>carrom_6</t>
  </si>
  <si>
    <t>For the sport in the image, what is the function of the center circle?</t>
  </si>
  <si>
    <t>A) To place the striker, B) To pocket the queen, C) To hold all pieces, D) To serve as a foul zone</t>
  </si>
  <si>
    <t>A) To place the striker</t>
  </si>
  <si>
    <t>In the sport shown in the image, what is the maximum number of pieces allowed in a pocket at one time?</t>
  </si>
  <si>
    <t>A) 1, B) 2, C) 3, D) No limit</t>
  </si>
  <si>
    <t>D) No limit</t>
  </si>
  <si>
    <t>For the sport in the image, what is the minimum distance a striker must travel on each shot?</t>
  </si>
  <si>
    <t>A) 5 cm, B) 10 cm, C) 15 cm, D) No minimum</t>
  </si>
  <si>
    <t>C) 15 cm</t>
  </si>
  <si>
    <t>In the sport shown in the image, how many pieces does each player start with?</t>
  </si>
  <si>
    <t>A) 6, B) 8, C) 9, D) 10</t>
  </si>
  <si>
    <t>C) 9</t>
  </si>
  <si>
    <t>carrom_7</t>
  </si>
  <si>
    <t>For the sport in the image, what is the diameter of the striker?</t>
  </si>
  <si>
    <t>A) 3.5 cm, B) 4.1 cm, C) 4.5 cm, D) 5 cm</t>
  </si>
  <si>
    <t>C) 4.5 cm</t>
  </si>
  <si>
    <t>In the sport shown in the image, what is the penalty for pocketing the queen without covering it?</t>
  </si>
  <si>
    <t>A) Loss of points, B) Forfeiture of the queen, C) Return of all pocketed pieces, D) No penalty</t>
  </si>
  <si>
    <t>B) Forfeiture of the queen</t>
  </si>
  <si>
    <t>For the sport in the image, how many pockets are there on a standard Carrom board?</t>
  </si>
  <si>
    <t>In the sport shown in the image, how long does a standard Carrom match last?</t>
  </si>
  <si>
    <t>A) 10 minutes, B) 15 minutes, C) 20 minutes, D) No time limit</t>
  </si>
  <si>
    <t>D) No time limit</t>
  </si>
  <si>
    <t>carrom_8</t>
  </si>
  <si>
    <t>For the sport in the image, which country is credited with originating Carrom?</t>
  </si>
  <si>
    <t>A) India, B) Pakistan, C) Sri Lanka, D) Bangladesh</t>
  </si>
  <si>
    <t>In the sport shown in the image, what is the maximum points value for pocketing the queen?</t>
  </si>
  <si>
    <t>For the sport in the image, how many white pieces are used?</t>
  </si>
  <si>
    <t>A) 5, B) 6, C) 7, D) 9</t>
  </si>
  <si>
    <t>In the sport shown in the image, what is the ideal thickness of a Carrom board?</t>
  </si>
  <si>
    <t>A) 2 mm, B) 4 mm, C) 6 mm, D) 8 mm</t>
  </si>
  <si>
    <t>C) 6 mm</t>
  </si>
  <si>
    <t>carrom_9</t>
  </si>
  <si>
    <t>For the sport in the image, how many fouls result in a loss of the game?</t>
  </si>
  <si>
    <t>A) 2, B) 3, C) 5, D) 7</t>
  </si>
  <si>
    <t>In the sport shown in the image, what is the shape of the Carrom striker?</t>
  </si>
  <si>
    <t>A) Circular, B) Square, C) Hexagonal, D) Oval</t>
  </si>
  <si>
    <t>A) Circular</t>
  </si>
  <si>
    <t>For the sport in the image, which player starts the game?</t>
  </si>
  <si>
    <t>A) The youngest player, B) The player with the black pieces, C) The player with the white pieces, D) A player chosen by a coin toss</t>
  </si>
  <si>
    <t>D) A player chosen by a coin toss</t>
  </si>
  <si>
    <t>In the sport shown in the image, what is the penalty for pocketing the striker?</t>
  </si>
  <si>
    <t>A) Loss of turn, B) Deduction of one point, C) Return of one piece to the center, D) No penalty</t>
  </si>
  <si>
    <t>C) Return of one piece to the center</t>
  </si>
  <si>
    <t>carrom_10</t>
  </si>
  <si>
    <t>For the sport in the image, what is the standard point value for each black or white piece pocketed?</t>
  </si>
  <si>
    <t>In the sport shown in the image, how is a queen 'covered'?</t>
  </si>
  <si>
    <t>A) By pocketing a black piece after the queen, B) By pocketing any piece after the queen, C) By pocketing a white piece after the queen, D) By winning the game</t>
  </si>
  <si>
    <t>B) By pocketing any piece after the queen</t>
  </si>
  <si>
    <t>For the sport in the image, what is the role of the diagonal lines on the Carrom board?</t>
  </si>
  <si>
    <t>A) Marking the player's area, B) Guiding the striker's placement, C) Indicating foul zones, D) Dividing the board into quadrants</t>
  </si>
  <si>
    <t>B) Guiding the striker's placement</t>
  </si>
  <si>
    <t>In the sport shown in the image, what is the highest governing body for Carrom?</t>
  </si>
  <si>
    <t>A) World Carrom Federation, B) International Carrom Council, C) Carrom World Committee, D) Global Carrom Organization</t>
  </si>
  <si>
    <t>A) World Carrom Federation</t>
  </si>
  <si>
    <t>carrom_11</t>
  </si>
  <si>
    <t>For the sport in the image, what is the Carrom piece used to strike other pieces called?</t>
  </si>
  <si>
    <t>A) Coin, B) Striker, C) Cue, D) Stick</t>
  </si>
  <si>
    <t>B) Striker</t>
  </si>
  <si>
    <t>In the sport shown in the image, which part of the board is considered the 'base circle'?</t>
  </si>
  <si>
    <t>A) The central circle, B) The striker's starting point, C) The perimeter, D) The pockets</t>
  </si>
  <si>
    <t>B) The striker's starting point</t>
  </si>
  <si>
    <t>For the sport in the image, how many times can a player miss their shot consecutively without penalty?</t>
  </si>
  <si>
    <t>A) Once, B) Twice, C) Three times, D) No limit</t>
  </si>
  <si>
    <t>B) Twice</t>
  </si>
  <si>
    <t>In the sport shown in the image, how many black pieces are placed on the Carrom board at the start of the game?</t>
  </si>
  <si>
    <t>carrom_12</t>
  </si>
  <si>
    <t>For the sport in the image, what happens if a player pockets the last piece of the opponent’s color before pocketing the queen?</t>
  </si>
  <si>
    <t>A) Opponent wins, B) Player loses the game, C) Player forfeits the queen, D) Player must place the queen back</t>
  </si>
  <si>
    <t>C) Player forfeits the queen</t>
  </si>
  <si>
    <t>In the sport shown in the image, how many players can participate in a singles match?</t>
  </si>
  <si>
    <t>For the sport in the image, what is the consequence of breaking the 'base circle' rule?</t>
  </si>
  <si>
    <t>A) Loss of turn, B) Deduction of 2 points, C) Return of striker, D) Foul</t>
  </si>
  <si>
    <t>D) Foul</t>
  </si>
  <si>
    <t>In the sport shown in the image, what material is often used to create Carrom boards?</t>
  </si>
  <si>
    <t>A) Metal, B) Plastic, C) Wood, D) Glass</t>
  </si>
  <si>
    <t>C) Wood</t>
  </si>
  <si>
    <t>carrom_13</t>
  </si>
  <si>
    <t>For the sport in the image, which shot must be played first in a Carrom game?</t>
  </si>
  <si>
    <t>A) The center break, B) The side break, C) The base break, D) The diagonal shot</t>
  </si>
  <si>
    <t>A) The center break</t>
  </si>
  <si>
    <t>In the sport shown in the image, what is the name of the technique where the striker bounces off the board edges?</t>
  </si>
  <si>
    <t>A) Bank shot, B) Reverse shot, C) Carrom rebound, D) Cushion shot</t>
  </si>
  <si>
    <t>D) Cushion shot</t>
  </si>
  <si>
    <t>For the sport in the image, what happens if a player pockets the queen but fails to cover it?</t>
  </si>
  <si>
    <t>A) The player wins, B) The queen is returned to the center, C) The player forfeits the game, D) No penalty</t>
  </si>
  <si>
    <t>B) The queen is returned to the center</t>
  </si>
  <si>
    <t>In the sport shown in the image, what is the term used for pocketing both the queen and the striker in one shot?</t>
  </si>
  <si>
    <t>A) Double foul, B) Queen cover, C) Queen's crown, D) Loss of queen</t>
  </si>
  <si>
    <t>A) Double foul</t>
  </si>
  <si>
    <t>carrom_14</t>
  </si>
  <si>
    <t>For the sport in the image, how many coins must be pocketed before the queen can be attempted?</t>
  </si>
  <si>
    <t>A) 0, B) 1, C) 2, D) 3</t>
  </si>
  <si>
    <t>A) 0</t>
  </si>
  <si>
    <t>In the sport shown in the image, what is the term used for pocketing the striker on two consecutive turns?</t>
  </si>
  <si>
    <t>A) Foul, B) Double fault, C) Striker foul, D) Double pocket</t>
  </si>
  <si>
    <t>C) Striker foul</t>
  </si>
  <si>
    <t>For the sport in the image, which Carrom piece has the highest point value?</t>
  </si>
  <si>
    <t>In the sport shown in the image, what happens if the striker touches the boundary line during a shot?</t>
  </si>
  <si>
    <t>A) The player loses a point, B) The shot is considered a foul, C) The player wins, D) The player gets an extra turn</t>
  </si>
  <si>
    <t>B) The shot is considered a foul</t>
  </si>
  <si>
    <t>carrom_15</t>
  </si>
  <si>
    <t>For the sport in the image, what is the primary strategy to win a Carrom match?</t>
  </si>
  <si>
    <t>A) Blocking the opponent’s pieces, B) Pocketing all your pieces first, C) Keeping the striker in play, D) Avoiding fouls</t>
  </si>
  <si>
    <t>B) Pocketing all your pieces first</t>
  </si>
  <si>
    <t>In the sport shown in the image, how many foul points result in a loss of game?</t>
  </si>
  <si>
    <t>A) 3, B) 5, C) 7, D) 10</t>
  </si>
  <si>
    <t>For the sport in the image, which piece is traditionally used to hit other pieces?</t>
  </si>
  <si>
    <t>A) Cue, B) Striker, C) Ball, D) Marker</t>
  </si>
  <si>
    <t>In the sport shown in the image, what is the primary objective of pocketing the queen?</t>
  </si>
  <si>
    <t>A) To win instantly, B) To earn extra points, C) To end the game, D) To gain a strategic advantage</t>
  </si>
  <si>
    <t>D) To gain a strategic advantage</t>
  </si>
  <si>
    <t>carrom_16</t>
  </si>
  <si>
    <t>For the sport in the image, what is the rule if a player pockets the queen but fails to pocket a piece of their own color?</t>
  </si>
  <si>
    <t>A) The player loses their turn, B) The queen is returned, C) The player wins, D) The game continues</t>
  </si>
  <si>
    <t>B) The queen is returned</t>
  </si>
  <si>
    <t>In the sport shown in the image, how many pockets are there on a standard Carrom board?</t>
  </si>
  <si>
    <t>For the sport in the image, what is the term for a shot where the striker is used to hit multiple pieces at once?</t>
  </si>
  <si>
    <t>A) Combo shot, B) Double shot, C) Multi-shot, D) Bank shot</t>
  </si>
  <si>
    <t>A) Combo shot</t>
  </si>
  <si>
    <t>In the sport shown in the image, what is the standard size of a Carrom piece?</t>
  </si>
  <si>
    <t>A) 2 cm diameter, B) 3 cm diameter, C) 4 cm diameter, D) 5 cm diameter</t>
  </si>
  <si>
    <t>B) 3 cm diameter</t>
  </si>
  <si>
    <t>carrom_17</t>
  </si>
  <si>
    <t>For the sport in the image, what is the main purpose of Carrom powder?</t>
  </si>
  <si>
    <t>A) To clean the board, B) To enhance board color, C) To reduce friction, D) To improve grip</t>
  </si>
  <si>
    <t>C) To reduce friction</t>
  </si>
  <si>
    <t>In the sport shown in the image, what is the consequence of pocketing the striker?</t>
  </si>
  <si>
    <t>A) The player loses their turn, B) The opponent gets a free shot, C) The player must place a piece back on the board, D) The game is reset</t>
  </si>
  <si>
    <t>B) The opponent gets a free shot</t>
  </si>
  <si>
    <t>For the sport in the image, what is the typical color of the Carrom queen piece?</t>
  </si>
  <si>
    <t>A) Red, B) White, C) Black, D) Yellow</t>
  </si>
  <si>
    <t>In the sport shown in the image, how is the Carrom board typically maintained to ensure a smooth playing surface?</t>
  </si>
  <si>
    <t>A) Regular cleaning with a damp cloth, B) Applying Carrom powder, C) Polishing with wax, D) Using a vacuum cleaner</t>
  </si>
  <si>
    <t>B) Applying Carrom powder</t>
  </si>
  <si>
    <t>carrom_18</t>
  </si>
  <si>
    <t>For the sport in the image, what is the rule if a player pockets both the queen and a piece of their own color in one shot?</t>
  </si>
  <si>
    <t>A) The player wins, B) The queen is returned, C) The player loses their turn, D) The game continues as normal</t>
  </si>
  <si>
    <t>D) The game continues as normal</t>
  </si>
  <si>
    <t>In the sport shown in the image, what is the standard Carrom board material?</t>
  </si>
  <si>
    <t>A) Plastic, B) Wood, C) Glass, D) Metal</t>
  </si>
  <si>
    <t>For the sport in the image, what is the term for a successful shot where the striker hits the intended piece directly?</t>
  </si>
  <si>
    <t>A) Direct shot, B) Straight shot, C) Target shot, D) Precision shot</t>
  </si>
  <si>
    <t>B) Straight shot</t>
  </si>
  <si>
    <t>In the sport shown in the image, which type of shot involves hitting the Carrom pieces using the edges of the board?</t>
  </si>
  <si>
    <t>A) Bank shot, B) Rebound shot, C) Spin shot, D) Curve shot</t>
  </si>
  <si>
    <t>A) Bank shot</t>
  </si>
  <si>
    <t>carrom_19</t>
  </si>
  <si>
    <t>For the sport in the image, what feature of the Carrom board helps players line up their shots?</t>
  </si>
  <si>
    <t>A) Diagonal lines, B) Center circle, C) Edge markings, D) Border design</t>
  </si>
  <si>
    <t>B) Center circle</t>
  </si>
  <si>
    <t>In the sport shown in the image, what is the correct placement of pieces at the start of the game?</t>
  </si>
  <si>
    <t>A) Random placement, B) Circular arrangement, C) Straight line arrangement, D) Clustered in one corner</t>
  </si>
  <si>
    <t>B) Circular arrangement</t>
  </si>
  <si>
    <t>For the sport in the image, what is the common practice to ensure the Carrom striker remains effective?</t>
  </si>
  <si>
    <t>A) Regularly cleaning it, B) Applying a layer of wax, C) Using it with a specific grip, D) Storing it in a protective case</t>
  </si>
  <si>
    <t>A) Regularly cleaning it</t>
  </si>
  <si>
    <t>In the sport shown in the image, which of the following is a common foul in Carrom?</t>
  </si>
  <si>
    <t>A) Pocketing the queen before other pieces, B) Missing the target piece, C) Touching the board with hands, D) Pocketing multiple pieces at once</t>
  </si>
  <si>
    <t>A) Pocketing the queen before other pieces</t>
  </si>
  <si>
    <t>carrom_20</t>
  </si>
  <si>
    <t>For the sport in the image, what is the recommended way to practice Carrom shots for accuracy?</t>
  </si>
  <si>
    <t>A) Using a practice board, B) Playing with different opponents, C) Watching instructional videos, D) All of the above</t>
  </si>
  <si>
    <t>In the sport shown in the image, what is the primary function of the corner pockets on the Carrom board?</t>
  </si>
  <si>
    <t>A) To store Carrom pieces, B) To act as targets for shots, C) To provide extra points, D) To hold the striker</t>
  </si>
  <si>
    <t>B) To act as targets for shots</t>
  </si>
  <si>
    <t>For the sport in the image, which is a common way to practice Carrom techniques?</t>
  </si>
  <si>
    <t>A) Solo drills, B) Partner practice, C) Competitive matches, D) All of the above</t>
  </si>
  <si>
    <t>In the sport shown in the image, what is the ideal placement of the queen piece during the game setup?</t>
  </si>
  <si>
    <t>A) In the center of the board, B) In one of the corner pockets, C) Near the edge of the board, D) Anywhere randomly</t>
  </si>
  <si>
    <t>A) In the center of the board</t>
  </si>
  <si>
    <t>carrom_21</t>
  </si>
  <si>
    <t>For the sport in the image, how is the Carrom board typically protected during non-play periods?</t>
  </si>
  <si>
    <t>A) Using a cover, B) Storing it in a case, C) Keeping it in a dry place, D) All of the above</t>
  </si>
  <si>
    <t>In the sport shown in the image, what material is commonly used for Carrom pieces to ensure a smooth game?</t>
  </si>
  <si>
    <t>A) Metal, B) Wood, C) Plastic, D) Glass</t>
  </si>
  <si>
    <t>C) Plastic</t>
  </si>
  <si>
    <t>For the sport in the image, what is the effect of using too much Carrom powder on the board?</t>
  </si>
  <si>
    <t>A) Reduces friction excessively, B) Enhances the board's appearance, C) Improves piece movement, D) Creates a slippery surface</t>
  </si>
  <si>
    <t>D) Creates a slippery surface</t>
  </si>
  <si>
    <t>In the sport shown in the image, what is the consequence of striking the Carrom board with excessive force?</t>
  </si>
  <si>
    <t>A) The board gets damaged, B) Pieces get displaced, C) The game becomes harder, D) The striker gets damaged</t>
  </si>
  <si>
    <t>B) Pieces get displaced</t>
  </si>
  <si>
    <t>carrom_22</t>
  </si>
  <si>
    <t>For the sport in the image, which type of shot is typically used to pocket a piece that is close to a pocket?</t>
  </si>
  <si>
    <t>A) Direct shot, B) Spin shot, C) Rebound shot, D) Bank shot</t>
  </si>
  <si>
    <t>A) Direct shot</t>
  </si>
  <si>
    <t>In the sport shown in the image, what feature of the Carrom board assists players in aiming their shots?</t>
  </si>
  <si>
    <t>A) Diagonal lines, B) Circular markings, C) Border design, D) Center circle</t>
  </si>
  <si>
    <t>D) Center circle</t>
  </si>
  <si>
    <t>For the sport in the image, what is a common practice to maintain the striker's performance?</t>
  </si>
  <si>
    <t>A) Regularly cleaning it, B) Avoiding excessive force, C) Using it only on clean boards, D) All of the above</t>
  </si>
  <si>
    <t>In the sport shown in the image, what should be done if a player accidentally pockets the striker?</t>
  </si>
  <si>
    <t>A) The player loses their turn, B) The opponent gets a free shot, C) The striker is replaced, D) The game is restarted</t>
  </si>
  <si>
    <t>carrom_23</t>
  </si>
  <si>
    <t>For the sport in the image, how is a Carrom board typically set up before starting a game?</t>
  </si>
  <si>
    <t>A) With a random arrangement of pieces, B) With a specific arrangement of pieces, C) With only the queen in place, D) By cleaning the board thoroughly</t>
  </si>
  <si>
    <t>B) With a specific arrangement of pieces</t>
  </si>
  <si>
    <t>In the sport shown in the image, what is the main objective of using the Carrom powder?</t>
  </si>
  <si>
    <t>A) To reduce friction, B) To enhance color, C) To clean the board, D) To improve grip</t>
  </si>
  <si>
    <t>A) To reduce friction</t>
  </si>
  <si>
    <t>For the sport in the image, what is the term used for a shot that hits the Carrom pieces off the board?</t>
  </si>
  <si>
    <t>A) Foul shot, B) Missed shot, C) Off-target shot, D) Lost shot</t>
  </si>
  <si>
    <t>A) Foul shot</t>
  </si>
  <si>
    <t>In the sport shown in the image, what is the primary goal when practicing Carrom techniques?</t>
  </si>
  <si>
    <t>A) To improve accuracy, B) To learn new strategies, C) To enhance speed, D) All of the above</t>
  </si>
  <si>
    <t>carrom_24</t>
  </si>
  <si>
    <t>For the sport in the image, which type of Carrom piece is usually the target in advanced play?</t>
  </si>
  <si>
    <t>A) The queen, B) The white pieces, C) The black pieces, D) The striker</t>
  </si>
  <si>
    <t>A) The queen</t>
  </si>
  <si>
    <t>In the sport shown in the image, what is the best practice to avoid fouling during a shot?</t>
  </si>
  <si>
    <t>A) Using the right technique, B) Ensuring the striker does not leave the board, C) Aiming precisely, D) All of the above</t>
  </si>
  <si>
    <t>For the sport in the image, what is the recommended distance for standing while taking a Carrom shot?</t>
  </si>
  <si>
    <t>A) Close to the board, B) At a moderate distance, C) Far from the board, D) Depends on player preference</t>
  </si>
  <si>
    <t>B) At a moderate distance</t>
  </si>
  <si>
    <t>In the sport shown in the image, what is the typical number of pieces each player starts with?</t>
  </si>
  <si>
    <t>A) 8, B) 9, C) 10, D) 12</t>
  </si>
  <si>
    <t>B) 9</t>
  </si>
  <si>
    <t>carrom_25</t>
  </si>
  <si>
    <t>For the sport in the image, what is the term used for a successful Carrom shot that involves the queen and a piece of the player's color?</t>
  </si>
  <si>
    <t>A) Combo shot, B) Double pocket, C) Queen shot, D) Full shot</t>
  </si>
  <si>
    <t>C) Queen shot</t>
  </si>
  <si>
    <t>In the sport shown in the image, what material is commonly used for the Carrom striker to ensure effective play?</t>
  </si>
  <si>
    <t>For the sport in the image, what is the recommended method for practicing Carrom spin shots?</t>
  </si>
  <si>
    <t>A) Using spin trainers, B) Playing with experienced players, C) Observing professional matches, D) All of the above</t>
  </si>
  <si>
    <t>In the sport shown in the image, what is a common technique to improve the accuracy of Carrom shots?</t>
  </si>
  <si>
    <t>A) Practicing regularly, B) Using precise aiming techniques, C) Adjusting the angle of the striker, D) All of the above</t>
  </si>
  <si>
    <t>carrom_26</t>
  </si>
  <si>
    <t>For the sport in the image, what is a common mistake players make while taking a Carrom shot?</t>
  </si>
  <si>
    <t>A) Overusing Carrom powder, B) Incorrectly positioning the striker, C) Applying excessive force, D) Ignoring the center circle</t>
  </si>
  <si>
    <t>B) Incorrectly positioning the striker</t>
  </si>
  <si>
    <t>In the sport shown in the image, what is the best way to practice Carrom strategies effectively?</t>
  </si>
  <si>
    <t>A) Playing against varied opponents, B) Watching tutorials, C) Reading strategy guides, D) All of the above</t>
  </si>
  <si>
    <t>For the sport in the image, what is the effect of using a worn-out Carrom striker?</t>
  </si>
  <si>
    <t>A) Decreased performance, B) Increased accuracy, C) Improved grip, D) Enhanced spin control</t>
  </si>
  <si>
    <t>A) Decreased performance</t>
  </si>
  <si>
    <t>In the sport shown in the image, what is the most effective way to clean a Carrom board?</t>
  </si>
  <si>
    <t>A) Using a damp cloth, B) Applying cleaning solutions, C) Using a vacuum cleaner, D) Wiping with a dry cloth</t>
  </si>
  <si>
    <t>A) Using a damp cloth</t>
  </si>
  <si>
    <t>carrom_27</t>
  </si>
  <si>
    <t>For the sport in the image, what is the primary reason for adjusting the Carrom striker's grip?</t>
  </si>
  <si>
    <t>A) To control shot power, B) To improve accuracy, C) To enhance spin, D) All of the above</t>
  </si>
  <si>
    <t>In the sport shown in the image, how often should Carrom pieces be replaced?</t>
  </si>
  <si>
    <t>A) Only when damaged, B) After every game, C) Annually, D) Every six months</t>
  </si>
  <si>
    <t>A) Only when damaged</t>
  </si>
  <si>
    <t>For the sport in the image, what is a common way to practice Carrom shots in a small space?</t>
  </si>
  <si>
    <t>A) Using a mini Carrom board, B) Practicing on a table, C) Playing against a wall, D) Using a virtual simulator</t>
  </si>
  <si>
    <t>A) Using a mini Carrom board</t>
  </si>
  <si>
    <t>In the sport shown in the image, what is the typical size of a Carrom board for competitive play?</t>
  </si>
  <si>
    <t>A) 70 cm x 70 cm, B) 75 cm x 75 cm, C) 80 cm x 80 cm, D) 85 cm x 85 cm</t>
  </si>
  <si>
    <t>B) 75 cm x 75 cm</t>
  </si>
  <si>
    <t>carrom_28</t>
  </si>
  <si>
    <t>For the sport in the image, what is a standard practice to avoid fouling during Carrom play?</t>
  </si>
  <si>
    <t>A) Properly positioning the striker, B) Following the rules, C) Avoiding excessive force, D) All of the above</t>
  </si>
  <si>
    <t>In the sport shown in the image, what is a common accessory used to enhance Carrom play?</t>
  </si>
  <si>
    <t>A) Striker cover, B) Board protector, C) Piece cleaner, D) All of the above</t>
  </si>
  <si>
    <t>For the sport in the image, what is the typical way to set up Carrom pieces for a new game?</t>
  </si>
  <si>
    <t>A) Random placement, B) Circular arrangement with queen in center, C) Line-up at edges, D) Clustered in corners</t>
  </si>
  <si>
    <t>B) Circular arrangement with queen in center</t>
  </si>
  <si>
    <t>In the sport shown in the image, what is the recommended technique for executing a Carrom spin shot?</t>
  </si>
  <si>
    <t>A) Using precise wrist movements, B) Adjusting striker angle, C) Applying consistent force, D) All of the above</t>
  </si>
  <si>
    <t>carrom_29</t>
  </si>
  <si>
    <t>For the sport in the image, what is the primary reason for using Carrom powder on the board?</t>
  </si>
  <si>
    <t>A) To improve piece movement, B) To enhance board design, C) To clean the board, D) To adjust color</t>
  </si>
  <si>
    <t>A) To improve piece movement</t>
  </si>
  <si>
    <t>In the sport shown in the image, what is a common technique to achieve a Carrom break?</t>
  </si>
  <si>
    <t>A) Hitting the center, B) Striking the queen first, C) Pocketing a piece on the initial shot, D) Aiming at the board edges</t>
  </si>
  <si>
    <t>C) Pocketing a piece on the initial shot</t>
  </si>
  <si>
    <t>For the sport in the image, what is a recommended method to improve Carrom shot precision?</t>
  </si>
  <si>
    <t>A) Practicing regularly, B) Using specialized equipment, C) Analyzing past games, D) All of the above</t>
  </si>
  <si>
    <t>In the sport shown in the image, what is a common reason for using a Carrom board cover?</t>
  </si>
  <si>
    <t>A) To protect from dust, B) To enhance appearance, C) To prevent scratches, D) All of the above</t>
  </si>
  <si>
    <t>carrom_30</t>
  </si>
  <si>
    <t>For the sport in the image, what is the typical way to deal with Carrom fouls?</t>
  </si>
  <si>
    <t>A) Awarding penalty points, B) Giving the opponent an extra turn, C) Replaying the shot, D) Ignoring the foul</t>
  </si>
  <si>
    <t>B) Giving the opponent an extra turn</t>
  </si>
  <si>
    <t>In the sport shown in the image, what is a recommended way to practice Carrom defense strategies?</t>
  </si>
  <si>
    <t>A) Playing against strong opponents, B) Watching defensive play tutorials, C) Practicing block shots, D) All of the above</t>
  </si>
  <si>
    <t>For the sport in the image, what is a common technique to improve Carrom shot power?</t>
  </si>
  <si>
    <t>A) Increasing the force applied, B) Practicing with heavier strikers, C) Adjusting striker grip, D) All of the above</t>
  </si>
  <si>
    <t>In the sport shown in the image, what is a common maintenance task for Carrom pieces?</t>
  </si>
  <si>
    <t>A) Polishing regularly, B) Replacing worn-out pieces, C) Cleaning with a damp cloth, D) All of the above</t>
  </si>
  <si>
    <t>B) Replacing worn-out pieces</t>
  </si>
  <si>
    <t>carrom_31</t>
  </si>
  <si>
    <t>For the sport in the image, what is a recommended way to learn advanced Carrom techniques?</t>
  </si>
  <si>
    <t>A) Joining a Carrom club, B) Attending workshops, C) Watching online tutorials, D) All of the above</t>
  </si>
  <si>
    <t>In the sport shown in the image, what is a common method to enhance Carrom shot control?</t>
  </si>
  <si>
    <t>A) Practicing with different strikers, B) Using Carrom practice boards, C) Focusing on hand-eye coordination, D) All of the above</t>
  </si>
  <si>
    <t>For the sport in the image, what is a common reason for using a Carrom piece cleaner?</t>
  </si>
  <si>
    <t>A) To maintain smooth movement, B) To enhance color, C) To prevent damage, D) To increase grip</t>
  </si>
  <si>
    <t>A) To maintain smooth movement</t>
  </si>
  <si>
    <t>In the sport shown in the image, what is the ideal frequency for replacing the Carrom board?</t>
  </si>
  <si>
    <t>A) Every year, B) Every five years, C) Only when damaged, D) Every two years</t>
  </si>
  <si>
    <t>C) Only when damaged</t>
  </si>
  <si>
    <t>carrom_32</t>
  </si>
  <si>
    <t>For the sport in the image, what is the recommended way to set up the Carrom board for practice?</t>
  </si>
  <si>
    <t>A) Using the same arrangement as in tournaments, B) Creating random piece arrangements, C) Practicing with different setups, D) Following specific training patterns</t>
  </si>
  <si>
    <t>C) Practicing with different setups</t>
  </si>
  <si>
    <t>In the sport shown in the image, what is a common method to improve Carrom shot consistency?</t>
  </si>
  <si>
    <t>A) Practicing with a set routine, B) Changing strikers frequently, C) Playing under different conditions, D) All of the above</t>
  </si>
  <si>
    <t>A) Practicing with a set routine</t>
  </si>
  <si>
    <t>For the sport in the image, what is a common technique to learn Carrom strategies effectively?</t>
  </si>
  <si>
    <t>A) Playing with experienced players, B) Reading strategy guides, C) Participating in workshops, D) All of the above</t>
  </si>
  <si>
    <t>In the sport shown in the image, what is a common reason for using a Carrom board stand?</t>
  </si>
  <si>
    <t>A) To improve board stability, B) To adjust board height, C) To enhance visibility, D) All of the above</t>
  </si>
  <si>
    <t>carrom_33</t>
  </si>
  <si>
    <t>For the sport in the image, what is a recommended method for practicing Carrom aiming techniques?</t>
  </si>
  <si>
    <t>A) Using target markers, B) Practicing with a coach, C) Analyzing professional games, D) All of the above</t>
  </si>
  <si>
    <t>For the sport in the image, what is a typical strategy to improve precision in Carrom shots?</t>
  </si>
  <si>
    <t>A) Adjusting the board angle, B) Using a consistent shot technique, C) Varying the shot power, D) Changing the board surface</t>
  </si>
  <si>
    <t>B) Using a consistent shot technique</t>
  </si>
  <si>
    <t>In the sport shown in the image, what is a common practice to ensure the Carrom board remains level?</t>
  </si>
  <si>
    <t>A) Using a leveling tool, B) Placing the board on a stable surface, C) Adjusting the board legs, D) All of the above</t>
  </si>
  <si>
    <t>For the sport in the image, what is a recommended technique for executing a Carrom shot with spin?</t>
  </si>
  <si>
    <t>A) Applying spin with the edge of the striker, B) Using a higher shot force, C) Changing the striker material, D) Focusing on the striker's speed</t>
  </si>
  <si>
    <t>A) Applying spin with the edge of the striker</t>
  </si>
  <si>
    <t>Kalaripayattu_1</t>
  </si>
  <si>
    <t>For the sport in the image, what is the primary weapon used during training?</t>
  </si>
  <si>
    <t>A) Sword, B) Spear, C) Mace, D) Shield</t>
  </si>
  <si>
    <t>B) Spear</t>
  </si>
  <si>
    <t>In the image, what type of training is depicted for Kalaripayattu?</t>
  </si>
  <si>
    <t>A) Footwork drills, B) Weapon techniques, C) Grappling, D) Breathing exercises</t>
  </si>
  <si>
    <t>B) Weapon techniques</t>
  </si>
  <si>
    <t>The sport shown in the image involves what kind of traditional attire?</t>
  </si>
  <si>
    <t>A) Kimono, B) Dhoti, C) Uniform, D) Tracksuit</t>
  </si>
  <si>
    <t>B) Dhoti</t>
  </si>
  <si>
    <t>For the sport in the image, what is the primary focus of the practice shown?</t>
  </si>
  <si>
    <t>A) Flexibility, B) Strength, C) Speed, D) Precision</t>
  </si>
  <si>
    <t>Kalaripayattu_2</t>
  </si>
  <si>
    <t>In the image, which of the following is a typical posture or stance in Kalaripayattu?</t>
  </si>
  <si>
    <t>A) Horse stance, B) Crane stance, C) Tiger stance, D) Dragon stance</t>
  </si>
  <si>
    <t>C) Tiger stance</t>
  </si>
  <si>
    <t>What is the primary use of the stick shown in the image for Kalaripayattu?</t>
  </si>
  <si>
    <t>A) Meditation, B) Defense, C) Attack, D) Training</t>
  </si>
  <si>
    <t>D) Training</t>
  </si>
  <si>
    <t>In the image, what type of movement or technique is being demonstrated?</t>
  </si>
  <si>
    <t>A) Jumping, B) Dodging, C) Striking, D) Blocking</t>
  </si>
  <si>
    <t>C) Striking</t>
  </si>
  <si>
    <t>The sport in the image involves which of the following aspects?</t>
  </si>
  <si>
    <t>A) Mental focus, B) Physical agility, C) Team coordination, D) All of the above</t>
  </si>
  <si>
    <t>Kalaripayattu_3</t>
  </si>
  <si>
    <t>For the sport in the image, what is the significance of the wooden practice weapons shown?</t>
  </si>
  <si>
    <t>A) They are used for decoration, B) They are used for practice, C) They are used for ceremonies, D) They are used for performance</t>
  </si>
  <si>
    <t>B) They are used for practice</t>
  </si>
  <si>
    <t>In the image, what kind of surface is typically used for practicing Kalaripayattu?</t>
  </si>
  <si>
    <t>A) Concrete, B) Sand, C) Wooden floor, D) Grass</t>
  </si>
  <si>
    <t>The image shows a practitioner performing a technique. What is the purpose of this technique in Kalaripayattu?</t>
  </si>
  <si>
    <t>A) To enhance speed, B) To improve balance, C) To develop power, D) To build stamina</t>
  </si>
  <si>
    <t>C) To develop power</t>
  </si>
  <si>
    <t>For the sport in the image, what is the main benefit of practicing Kalaripayattu regularly?</t>
  </si>
  <si>
    <t>A) Improved mental focus, B) Enhanced physical fitness, C) Better coordination, D) All of the above</t>
  </si>
  <si>
    <t>Kalaripayattu_4</t>
  </si>
  <si>
    <t>The image depicts a form of Kalaripayattu. What is the purpose of this form?</t>
  </si>
  <si>
    <t>A) Meditation, B) Combat training, C) Ritual performance, D) Dance</t>
  </si>
  <si>
    <t>B) Combat training</t>
  </si>
  <si>
    <t>In the image, what is the role of the instructor in Kalaripayattu training?</t>
  </si>
  <si>
    <t>A) To demonstrate techniques, B) To supervise practice, C) To provide feedback, D) All of the above</t>
  </si>
  <si>
    <t>The sport in the image involves which type of physical conditioning?</t>
  </si>
  <si>
    <t>A) Cardiovascular, B) Strength, C) Flexibility, D) All of the above</t>
  </si>
  <si>
    <t>In the image, what type of movement is the practitioner executing?</t>
  </si>
  <si>
    <t>A) Linear, B) Circular, C) Diagonal, D) Spiral</t>
  </si>
  <si>
    <t>B) Circular</t>
  </si>
  <si>
    <t>Kalaripayattu_5</t>
  </si>
  <si>
    <t>The image shows a traditional Kalaripayattu practice. What is the primary focus of this practice?</t>
  </si>
  <si>
    <t>A) Agility, B) Technique, C) Speed, D) Strength</t>
  </si>
  <si>
    <t>B) Technique</t>
  </si>
  <si>
    <t>For the sport in the image, what type of weapon is typically used for defense techniques?</t>
  </si>
  <si>
    <t>A) Sword, B) Shield, C) Spear, D) Mace</t>
  </si>
  <si>
    <t>B) Shield</t>
  </si>
  <si>
    <t>In the image, what aspect of Kalaripayattu is being emphasized through the shown exercise?</t>
  </si>
  <si>
    <t>A) Power, B) Precision, C) Speed, D) Coordination</t>
  </si>
  <si>
    <t>The sport depicted in the image includes which traditional component?</t>
  </si>
  <si>
    <t>A) Musical accompaniment, B) Team competitions, C) Formal uniforms, D) Structured choreography</t>
  </si>
  <si>
    <t>A) Musical accompaniment</t>
  </si>
  <si>
    <t>Kalaripayattu_6</t>
  </si>
  <si>
    <t>For the sport in the image, what is the primary benefit of using the specific weapon shown?</t>
  </si>
  <si>
    <t>A) Improved grip, B) Enhanced reach, C) Increased speed, D) Better balance</t>
  </si>
  <si>
    <t>B) Enhanced reach</t>
  </si>
  <si>
    <t>In the image, what type of stance is the practitioner in?</t>
  </si>
  <si>
    <t>A) Low stance, B) High stance, C) Neutral stance, D) Side stance</t>
  </si>
  <si>
    <t>A) Low stance</t>
  </si>
  <si>
    <t>The sport shown in the image requires what kind of physical attribute for success?</t>
  </si>
  <si>
    <t>A) Endurance, B) Flexibility, C) Strength, D) All of the above</t>
  </si>
  <si>
    <t>In the image, what is the role of the posture being demonstrated?</t>
  </si>
  <si>
    <t>A) To improve agility, B) To develop strength, C) To enhance coordination, D) To execute a specific technique</t>
  </si>
  <si>
    <t>D) To execute a specific technique</t>
  </si>
  <si>
    <t>Kalaripayattu_7</t>
  </si>
  <si>
    <t>For the sport in the image, what type of practice environment is typically used?</t>
  </si>
  <si>
    <t>A) Indoor, B) Outdoor, C) Both indoor and outdoor, D) Virtual</t>
  </si>
  <si>
    <t>C) Both indoor and outdoor</t>
  </si>
  <si>
    <t>In the image, what type of technique is being demonstrated for Kalaripayattu?</t>
  </si>
  <si>
    <t>A) Offensive, B) Defensive, C) Grappling, D) Striking</t>
  </si>
  <si>
    <t>D) Striking</t>
  </si>
  <si>
    <t>The sport in the image often involves which type of footwork?</t>
  </si>
  <si>
    <t>A) Stationary, B) Forward and backward, C) Lateral, D) Rotational</t>
  </si>
  <si>
    <t>B) Forward and backward</t>
  </si>
  <si>
    <t>In the image, what is the primary focus of the movement being performed?</t>
  </si>
  <si>
    <t>A) Speed, B) Balance, C) Precision, D) Flexibility</t>
  </si>
  <si>
    <t>C) Precision</t>
  </si>
  <si>
    <t>Kalaripayattu_8</t>
  </si>
  <si>
    <t>For the sport shown in the image, what is the main purpose of the training depicted?</t>
  </si>
  <si>
    <t>A) Conditioning, B) Technique improvement, C) Performance enhancement, D) Mental focus</t>
  </si>
  <si>
    <t>B) Technique improvement</t>
  </si>
  <si>
    <t>The sport in the image utilizes what kind of traditional equipment?</t>
  </si>
  <si>
    <t>A) Armor, B) Shields, C) Swords, D) All of the above</t>
  </si>
  <si>
    <t>In the image, what is the purpose of the specific drill or exercise shown?</t>
  </si>
  <si>
    <t>A) To enhance technique, B) To build endurance, C) To develop speed, D) To improve coordination</t>
  </si>
  <si>
    <t>A) To enhance technique</t>
  </si>
  <si>
    <t>For the sport in the image, what aspect of training is emphasized through the shown exercise?</t>
  </si>
  <si>
    <t>A) Power, B) Accuracy, C) Stamina, D) Agility</t>
  </si>
  <si>
    <t>Kalaripayattu_9</t>
  </si>
  <si>
    <t>The image shows a Kalaripayattu form. What is the primary objective of this form?</t>
  </si>
  <si>
    <t>A) Attack, B) Defense, C) Balance, D) Speed</t>
  </si>
  <si>
    <t>B) Defense</t>
  </si>
  <si>
    <t>In the image, what type of technique is being practiced with the shown weapon?</t>
  </si>
  <si>
    <t>A) Blocking, B) Striking, C) Grabbing, D) Dodging</t>
  </si>
  <si>
    <t>B) Striking</t>
  </si>
  <si>
    <t>The sport in the image is traditionally associated with which region?</t>
  </si>
  <si>
    <t>A) South India, B) North India, C) East India, D) West India</t>
  </si>
  <si>
    <t>A) South India</t>
  </si>
  <si>
    <t>For the sport in the image, what is a common practice or ritual before training?</t>
  </si>
  <si>
    <t>A) Meditation, B) Chanting, C) Stretching, D) Breathing exercises</t>
  </si>
  <si>
    <t>B) Chanting</t>
  </si>
  <si>
    <t>Kalaripayattu_10</t>
  </si>
  <si>
    <t>In the image, what is the primary focus of the practitioner's body position?</t>
  </si>
  <si>
    <t>A) Stability, B) Agility, C) Strength, D) Flexibility</t>
  </si>
  <si>
    <t>A) Stability</t>
  </si>
  <si>
    <t>The sport shown in the image includes which type of movement?</t>
  </si>
  <si>
    <t>A) Fast-paced, B) Slow and deliberate, C) Random, D) High-impact</t>
  </si>
  <si>
    <t>B) Slow and deliberate</t>
  </si>
  <si>
    <t>In the image, what kind of traditional training method is being demonstrated?</t>
  </si>
  <si>
    <t>A) Shadow fighting, B) Partner drills, C) Solo practice, D) Group training</t>
  </si>
  <si>
    <t>B) Partner drills</t>
  </si>
  <si>
    <t>For the sport in the image, what is the role of the specific stance shown?</t>
  </si>
  <si>
    <t>A) To enhance speed, B) To provide balance, C) To prepare for an attack, D) To facilitate defense</t>
  </si>
  <si>
    <t>B) To provide balance</t>
  </si>
  <si>
    <t>Kalaripayattu_11</t>
  </si>
  <si>
    <t>In the image, what type of Kalaripayattu practice is being highlighted?</t>
  </si>
  <si>
    <t>A) Meditation, B) Weapon handling, C) Combat simulation, D) Physical conditioning</t>
  </si>
  <si>
    <t>B) Weapon handling</t>
  </si>
  <si>
    <t>The sport depicted in the image often requires what kind of training equipment?</t>
  </si>
  <si>
    <t>A) Protective gear, B) Weighted belts, C) Practice weapons, D) Mats</t>
  </si>
  <si>
    <t>C) Practice weapons</t>
  </si>
  <si>
    <t>In the image, what aspect of Kalaripayattu is being focused on with the shown technique?</t>
  </si>
  <si>
    <t>A) Attack patterns, B) Defensive skills, C) Grappling techniques, D) Breathing techniques</t>
  </si>
  <si>
    <t>B) Defensive skills</t>
  </si>
  <si>
    <t>For the sport in the image, what is the typical duration of a training session?</t>
  </si>
  <si>
    <t>A) 30 minutes, B) 1 hour, C) 1.5 hours, D) 2 hours</t>
  </si>
  <si>
    <t>B) 1 hour</t>
  </si>
  <si>
    <t>Kalaripayattu_12</t>
  </si>
  <si>
    <t>In the image, what is the focus of the drill being performed?</t>
  </si>
  <si>
    <t>A) Endurance, B) Flexibility, C) Technique, D) Speed</t>
  </si>
  <si>
    <t>C) Technique</t>
  </si>
  <si>
    <t>The sport in the image requires what kind of practice area?</t>
  </si>
  <si>
    <t>A) Indoor arena, B) Outdoor field, C) Gymnasium, D) Specialized dojo</t>
  </si>
  <si>
    <t>D) Specialized dojo</t>
  </si>
  <si>
    <t>In the image, what traditional aspect is highlighted through the practice shown?</t>
  </si>
  <si>
    <t>A) Ritual significance, B) Weapon mastery, C) Flexibility drills, D) Meditation techniques</t>
  </si>
  <si>
    <t>B) Weapon mastery</t>
  </si>
  <si>
    <t>For the sport in the image, what is a typical feature of the training gear used?</t>
  </si>
  <si>
    <t>A) Light and flexible, B) Heavy and durable, C) Decorative and ornate, D) Simple and practical</t>
  </si>
  <si>
    <t>B) Heavy and durable</t>
  </si>
  <si>
    <t>Kalaripayattu_13</t>
  </si>
  <si>
    <t>In the image, what kind of posture is the practitioner demonstrating?</t>
  </si>
  <si>
    <t>A) Defensive, B) Offensive, C) Neutral, D) Meditative</t>
  </si>
  <si>
    <t>A) Defensive</t>
  </si>
  <si>
    <t>The sport shown in the image involves what kind of foot movements?</t>
  </si>
  <si>
    <t>A) Fast footwork, B) Steady and controlled, C) Random and erratic, D) Jumping and spinning</t>
  </si>
  <si>
    <t>B) Steady and controlled</t>
  </si>
  <si>
    <t>In the image, what is the primary benefit of the technique being shown?</t>
  </si>
  <si>
    <t>A) Increased strength, B) Enhanced precision, C) Better flexibility, D) Improved agility</t>
  </si>
  <si>
    <t>B) Enhanced precision</t>
  </si>
  <si>
    <t>For the sport in the image, what is a common element of the training routine?</t>
  </si>
  <si>
    <t>A) Solo drills, B) Partner exercises, C) Group formations, D) All of the above</t>
  </si>
  <si>
    <t>Kalaripayattu_14</t>
  </si>
  <si>
    <t>In the image, what is the purpose of the specific move being demonstrated?</t>
  </si>
  <si>
    <t>A) To execute a defense, B) To perform an attack, C) To transition between stances, D) To perform a warm-up</t>
  </si>
  <si>
    <t>A) To execute a defense</t>
  </si>
  <si>
    <t>The sport depicted in the image is traditionally known for its focus on which of the following?</t>
  </si>
  <si>
    <t>A) Self-discipline, B) Competitive success, C) Artistic performance, D) Physical endurance</t>
  </si>
  <si>
    <t>A) Self-discipline</t>
  </si>
  <si>
    <t>In the image, what is the significance of the specific technique being practiced?</t>
  </si>
  <si>
    <t>A) It's a foundational skill, B) It enhances stamina, C) It improves coordination, D) It is used in performance</t>
  </si>
  <si>
    <t>A) It's a foundational skill</t>
  </si>
  <si>
    <t>For the sport in the image, what is a typical outcome of mastering the shown technique?</t>
  </si>
  <si>
    <t>A) Improved flexibility, B) Enhanced combat skills, C) Better mental focus, D) Increased strength</t>
  </si>
  <si>
    <t>B) Enhanced combat skills</t>
  </si>
  <si>
    <t>Kalaripayattu_15</t>
  </si>
  <si>
    <t>In the image, what kind of training does the shown exercise represent?</t>
  </si>
  <si>
    <t>A) Strength training, B) Technique refinement, C) Speed drills, D) Endurance building</t>
  </si>
  <si>
    <t>B) Technique refinement</t>
  </si>
  <si>
    <t>The sport in the image is associated with which aspect of traditional Indian martial arts?</t>
  </si>
  <si>
    <t>A) Spiritual practice, B) Combat effectiveness, C) Performance art, D) Historical recreation</t>
  </si>
  <si>
    <t>B) Combat effectiveness</t>
  </si>
  <si>
    <t>In the image, what kind of posture or position is the practitioner demonstrating?</t>
  </si>
  <si>
    <t>A) Attack stance, B) Defensive stance, C) Resting position, D) Meditation pose</t>
  </si>
  <si>
    <t>B) Defensive stance</t>
  </si>
  <si>
    <t>For the sport in the image, what is the primary purpose of the shown exercise?</t>
  </si>
  <si>
    <t>A) To build strength, B) To practice techniques, C) To increase speed, D) To develop coordination</t>
  </si>
  <si>
    <t>B) To practice techniques</t>
  </si>
  <si>
    <t>Kalaripayattu_16</t>
  </si>
  <si>
    <t>In the image, what is the primary tool or weapon used for the practice shown?</t>
  </si>
  <si>
    <t>A) Sword, B) Spear, C) Mace, D) Staff</t>
  </si>
  <si>
    <t>D) Staff</t>
  </si>
  <si>
    <t>The sport shown in the image involves what type of movement?</t>
  </si>
  <si>
    <t>A) Linear and direct, B) Circular and fluid, C) Random and variable, D) Slow and deliberate</t>
  </si>
  <si>
    <t>B) Circular and fluid</t>
  </si>
  <si>
    <t>In the image, what traditional aspect is being emphasized through the practice?</t>
  </si>
  <si>
    <t>A) Historical accuracy, B) Ritual significance, C) Combat readiness, D) Physical endurance</t>
  </si>
  <si>
    <t>C) Combat readiness</t>
  </si>
  <si>
    <t>For the sport in the image, what is the typical focus of the exercise being performed?</t>
  </si>
  <si>
    <t>A) Flexibility, B) Strength, C) Technique, D) Endurance</t>
  </si>
  <si>
    <t>Kalaripayattu_17</t>
  </si>
  <si>
    <t>In the image, what kind of practice is being shown for Kalaripayattu?</t>
  </si>
  <si>
    <t>A) Solo routine, B) Partner drill, C) Group practice, D) Competitive match</t>
  </si>
  <si>
    <t>B) Partner drill</t>
  </si>
  <si>
    <t>The sport depicted in the image requires what kind of mental approach?</t>
  </si>
  <si>
    <t>A) Focus and concentration, B) Aggression, C) Strategic thinking, D) Creativity</t>
  </si>
  <si>
    <t>A) Focus and concentration</t>
  </si>
  <si>
    <t>In the image, what aspect of Kalaripayattu is being demonstrated with the specific technique?</t>
  </si>
  <si>
    <t>A) Defense strategy, B) Offensive technique, C) Flexibility training, D) Balance improvement</t>
  </si>
  <si>
    <t>A) Defense strategy</t>
  </si>
  <si>
    <t>For the sport in the image, what is a common element in the traditional training regimen?</t>
  </si>
  <si>
    <t>A) Breathing exercises, B) Strength conditioning, C) Meditation, D) All of the above</t>
  </si>
  <si>
    <t>Kalaripayattu_18</t>
  </si>
  <si>
    <t>In the image, what type of stance or position is the practitioner using?</t>
  </si>
  <si>
    <t>A) Offensive stance, B) Defensive posture, C) Neutral position, D) Meditative stance</t>
  </si>
  <si>
    <t>B) Defensive posture</t>
  </si>
  <si>
    <t>The sport shown in the image is known for which characteristic?</t>
  </si>
  <si>
    <t>A) Fast movements, B) Fluid transitions, C) Aggressive strikes, D) Quick attacks</t>
  </si>
  <si>
    <t>B) Fluid transitions</t>
  </si>
  <si>
    <t>In the image, what is the primary objective of the technique being performed?</t>
  </si>
  <si>
    <t>A) To enhance speed, B) To practice precision, C) To build strength, D) To develop agility</t>
  </si>
  <si>
    <t>B) To practice precision</t>
  </si>
  <si>
    <t>For the sport in the image, what is the primary type of attack being demonstrated?</t>
  </si>
  <si>
    <t>A) Punch, B) Kick, C) Strike with weapon, D) Grapple</t>
  </si>
  <si>
    <t>C) Strike with weapon</t>
  </si>
  <si>
    <t>Kalaripayattu_19</t>
  </si>
  <si>
    <t>In the image, what is the main focus of the practitioner's stance?</t>
  </si>
  <si>
    <t>A) Flexibility, B) Strength, C) Balance, D) Speed</t>
  </si>
  <si>
    <t>C) Balance</t>
  </si>
  <si>
    <t>The sport in the image typically uses which of the following for practice?</t>
  </si>
  <si>
    <t>A) Traditional weapons, B) Modern equipment, C) Weighted gear, D) No equipment</t>
  </si>
  <si>
    <t>A) Traditional weapons</t>
  </si>
  <si>
    <t>In the image, what is the purpose of the specific technique shown?</t>
  </si>
  <si>
    <t>A) Offensive strike, B) Defensive block, C) Counter attack, D) Movement transition</t>
  </si>
  <si>
    <t>B) Defensive block</t>
  </si>
  <si>
    <t>The sport depicted in the image is known for its emphasis on which aspect?</t>
  </si>
  <si>
    <t>A) Mental discipline, B) Physical strength, C) Speed of execution, D) Artistic expression</t>
  </si>
  <si>
    <t>A) Mental discipline</t>
  </si>
  <si>
    <t>Kalaripayattu_20</t>
  </si>
  <si>
    <t>In the image, what kind of practice is the practitioner engaged in?</t>
  </si>
  <si>
    <t>A) Solo drill, B) Partner combat, C) Group demonstration, D) Performance art</t>
  </si>
  <si>
    <t>B) Partner combat</t>
  </si>
  <si>
    <t>For the sport in the image, what type of movement is being utilized?</t>
  </si>
  <si>
    <t>A) Quick and explosive, B) Slow and deliberate, C) Random and varied, D) Steady and consistent</t>
  </si>
  <si>
    <t>In the image, what kind of attire is the practitioner wearing?</t>
  </si>
  <si>
    <t>A) Traditional garb, B) Modern sportswear, C) Protective gear, D) Casual clothing</t>
  </si>
  <si>
    <t>A) Traditional garb</t>
  </si>
  <si>
    <t>The sport shown in the image involves what kind of stances?</t>
  </si>
  <si>
    <t>A) Fixed, B) Dynamic, C) Changing, D) Variable</t>
  </si>
  <si>
    <t>B) Dynamic</t>
  </si>
  <si>
    <t>Kalaripayattu_21</t>
  </si>
  <si>
    <t>In the image, what is the primary goal of the exercise being performed?</t>
  </si>
  <si>
    <t>A) To enhance flexibility, B) To develop combat skills, C) To improve endurance, D) To practice footwork</t>
  </si>
  <si>
    <t>B) To develop combat skills</t>
  </si>
  <si>
    <t>For the sport in the image, what is a common practice before starting training?</t>
  </si>
  <si>
    <t>A) Ritual prayer, B) Warm-up exercises, C) Stretching, D) Breathing techniques</t>
  </si>
  <si>
    <t>A) Ritual prayer</t>
  </si>
  <si>
    <t>In the image, what aspect of Kalaripayattu is being demonstrated?</t>
  </si>
  <si>
    <t>A) Speed drills, B) Weapon techniques, C) Meditation, D) Endurance training</t>
  </si>
  <si>
    <t>The sport depicted in the image often requires practitioners to perform which of the following?</t>
  </si>
  <si>
    <t>A) Solo routines, B) Partner drills, C) Competitive matches, D) Group performances</t>
  </si>
  <si>
    <t>Kalaripayattu_22</t>
  </si>
  <si>
    <t>In the image, what is the practitioner focusing on with the specific technique shown?</t>
  </si>
  <si>
    <t>A) Agility, B) Precision, C) Power, D) Balance</t>
  </si>
  <si>
    <t>D) Balance</t>
  </si>
  <si>
    <t>For the sport in the image, what is a typical feature of the training environment?</t>
  </si>
  <si>
    <t>A) Indoor gym, B) Outdoor field, C) Traditional training area, D) Modern dojo</t>
  </si>
  <si>
    <t>C) Traditional training area</t>
  </si>
  <si>
    <t>A) Offensive posture, B) Defensive stance, C) Neutral stance, D) Relaxed position</t>
  </si>
  <si>
    <t>The sport shown in the image is known for its emphasis on which of the following techniques?</t>
  </si>
  <si>
    <t>A) Striking, B) Grappling, C) Kicking, D) Throwing</t>
  </si>
  <si>
    <t>A) Striking</t>
  </si>
  <si>
    <t>Kalaripayattu_23</t>
  </si>
  <si>
    <t>In the image, what is the purpose of the specific movement being practiced?</t>
  </si>
  <si>
    <t>A) To perform an attack, B) To execute a defense, C) To transition between stances, D) To build strength</t>
  </si>
  <si>
    <t>B) To execute a defense</t>
  </si>
  <si>
    <t>For the sport in the image, what type of drills are commonly used during practice?</t>
  </si>
  <si>
    <t>A) Shadow fighting, B) Partner drills, C) Conditioning exercises, D) All of the above</t>
  </si>
  <si>
    <t>In the image, what kind of technique is the practitioner using with the shown weapon?</t>
  </si>
  <si>
    <t>A) Cutting, B) Thrusting, C) Blocking, D) Parrying</t>
  </si>
  <si>
    <t>C) Blocking</t>
  </si>
  <si>
    <t>The sport depicted in the image is traditionally practiced in which setting?</t>
  </si>
  <si>
    <t>A) Open field, B) Indoor dojo, C) Temple grounds, D) Outdoor arena</t>
  </si>
  <si>
    <t>C) Temple grounds</t>
  </si>
  <si>
    <t>Kalaripayattu_24</t>
  </si>
  <si>
    <t>In the image, what is the key benefit of the technique being shown?</t>
  </si>
  <si>
    <t>A) Improved endurance, B) Enhanced precision, C) Increased strength, D) Better flexibility</t>
  </si>
  <si>
    <t>For the sport in the image, what is a common training tool used?</t>
  </si>
  <si>
    <t>A) Wooden staff, B) Metal shield, C) Leather gloves, D) Practice swords</t>
  </si>
  <si>
    <t>A) Wooden staff</t>
  </si>
  <si>
    <t>In the image, what is the primary focus of the practitioner's stance or posture?</t>
  </si>
  <si>
    <t>A) Offensive capability, B) Defensive readiness, C) Speed, D) Strength</t>
  </si>
  <si>
    <t>B) Defensive readiness</t>
  </si>
  <si>
    <t>The sport shown in the image often incorporates which type of movement?</t>
  </si>
  <si>
    <t>A) Quick and agile, B) Slow and controlled, C) Random and erratic, D) Linear and direct</t>
  </si>
  <si>
    <t>B) Slow and controlled</t>
  </si>
  <si>
    <t>Kalaripayattu_25</t>
  </si>
  <si>
    <t>In the image, what is the main focus of the specific exercise being performed?</t>
  </si>
  <si>
    <t>A) Combat readiness, B) Flexibility, C) Strength building, D) Speed</t>
  </si>
  <si>
    <t>A) Combat readiness</t>
  </si>
  <si>
    <t>For the sport in the image, what kind of physical conditioning is emphasized?</t>
  </si>
  <si>
    <t>A) Endurance, B) Strength, C) Flexibility, D) All of the above</t>
  </si>
  <si>
    <t>In the image, what type of attack or movement is the practitioner demonstrating?</t>
  </si>
  <si>
    <t>A) Direct strike, B) Defensive maneuver, C) Grappling technique, D) Counter strike</t>
  </si>
  <si>
    <t>A) Direct strike</t>
  </si>
  <si>
    <t>The sport depicted in the image often involves practicing which type of technique?</t>
  </si>
  <si>
    <t>A) Weapon techniques, B) Grappling, C) Kicking, D) Throwing</t>
  </si>
  <si>
    <t>A) Weapon techniques</t>
  </si>
  <si>
    <t>Kalaripayattu_26</t>
  </si>
  <si>
    <t>In the image, what aspect of Kalaripayattu is highlighted by the specific move being performed?</t>
  </si>
  <si>
    <t>A) Combat strategy, B) Physical conditioning, C) Flexibility, D) Speed</t>
  </si>
  <si>
    <t>A) Combat strategy</t>
  </si>
  <si>
    <t>For the sport in the image, what is a typical aspect of the practitioner's training?</t>
  </si>
  <si>
    <t>A) Combat drills, B) Meditation, C) Physical conditioning, D) All of the above</t>
  </si>
  <si>
    <t>In the image, what type of weapon is being used in the practice shown?</t>
  </si>
  <si>
    <t>A) Sword, B) Spear, C) Staff, D) Mace</t>
  </si>
  <si>
    <t>C) Staff</t>
  </si>
  <si>
    <t>The sport shown in the image is known for its focus on which of the following?</t>
  </si>
  <si>
    <t>A) Speed and agility, B) Precision and technique, C) Strength and power, D) Artistic expression</t>
  </si>
  <si>
    <t>B) Precision and technique</t>
  </si>
  <si>
    <t>Kalaripayattu_27</t>
  </si>
  <si>
    <t>In the image, what is the primary goal of the stance or posture being demonstrated?</t>
  </si>
  <si>
    <t>A) To prepare for an attack, B) To execute a defense, C) To transition between movements, D) To maintain balance</t>
  </si>
  <si>
    <t>D) To maintain balance</t>
  </si>
  <si>
    <t>For the sport in the image, what is a common feature of the training environment?</t>
  </si>
  <si>
    <t>A) Traditional setting, B) Modern gym, C) Open field, D) Indoor arena</t>
  </si>
  <si>
    <t>A) Traditional setting</t>
  </si>
  <si>
    <t>In the image, what type of movement or technique is being demonstrated with the weapon?</t>
  </si>
  <si>
    <t>A) Defensive block, B) Offensive strike, C) Grappling move, D) Throwing technique</t>
  </si>
  <si>
    <t>A) Defensive block</t>
  </si>
  <si>
    <t>The sport depicted in the image often includes what kind of drills?</t>
  </si>
  <si>
    <t>A) Partner drills, B) Solo routines, C) Conditioning exercises, D) All of the above</t>
  </si>
  <si>
    <t>Kalaripayattu_28</t>
  </si>
  <si>
    <t>In the image, what is the primary benefit of the technique being practiced?</t>
  </si>
  <si>
    <t>A) Increased strength, B) Improved speed, C) Enhanced balance, D) Better flexibility</t>
  </si>
  <si>
    <t>C) Enhanced balance</t>
  </si>
  <si>
    <t>For the sport in the image, what is a common type of training equipment used?</t>
  </si>
  <si>
    <t>A) Wooden staff, B) Heavy bag, C) Training swords, D) Metal shields</t>
  </si>
  <si>
    <t>In the image, what aspect of the sport is the practitioner focusing on with the shown technique?</t>
  </si>
  <si>
    <t>A) Speed of execution, B) Precision of movement, C) Power of strike, D) Flexibility</t>
  </si>
  <si>
    <t>B) Precision of movement</t>
  </si>
  <si>
    <t>The sport shown in the image is traditionally performed in which kind of environment?</t>
  </si>
  <si>
    <t>A) Outdoor arena, B) Indoor dojo, C) Temple grounds, D) Open field</t>
  </si>
  <si>
    <t>Kalaripayattu_29</t>
  </si>
  <si>
    <t>In the image, what kind of stance or position is the practitioner using for the technique shown?</t>
  </si>
  <si>
    <t>A) Offensive stance, B) Defensive stance, C) Neutral position, D) Relaxed stance</t>
  </si>
  <si>
    <t>For the sport in the image, what is a common practice before engaging in combat training?</t>
  </si>
  <si>
    <t>A) Ritual prayer, B) Warm-up exercises, C) Stretching, D) Meditation</t>
  </si>
  <si>
    <t>In the image, what is the practitioner demonstrating with the specific technique shown?</t>
  </si>
  <si>
    <t>A) Weapon strike, B) Grappling maneuver, C) Defensive block, D) Kicking technique</t>
  </si>
  <si>
    <t>C) Defensive block</t>
  </si>
  <si>
    <t>The sport depicted in the image is known for which characteristic of its training?</t>
  </si>
  <si>
    <t>A) Speed and agility, B) Precision and control, C) Strength and endurance, D) Artistic expression</t>
  </si>
  <si>
    <t>B) Precision and control</t>
  </si>
  <si>
    <t>Kalaripayattu_30</t>
  </si>
  <si>
    <t>In the image, what is the primary objective of the movement or stance being shown?</t>
  </si>
  <si>
    <t>A) To enhance power, B) To improve balance, C) To develop speed, D) To practice flexibility</t>
  </si>
  <si>
    <t>B) To improve balance</t>
  </si>
  <si>
    <t>For the sport in the image, what type of training method is commonly used?</t>
  </si>
  <si>
    <t>A) Partner drills, B) Solo practice, C) Group demonstrations, D) All of the above</t>
  </si>
  <si>
    <t>In the image, what kind of equipment is the practitioner using?</t>
  </si>
  <si>
    <t>A) Wooden staff, B) Training sword, C) Shield, D) Heavy bag</t>
  </si>
  <si>
    <t>The sport shown in the image involves what type of movements?</t>
  </si>
  <si>
    <t>A) Quick and agile, B) Slow and deliberate, C) Random and varied, D) Steady and consistent</t>
  </si>
  <si>
    <t>Kalaripayattu_31</t>
  </si>
  <si>
    <t>In the image, what is the primary benefit of the technique or posture being demonstrated?</t>
  </si>
  <si>
    <t>A) Improved strength, B) Enhanced flexibility, C) Better balance, D) Increased speed</t>
  </si>
  <si>
    <t>C) Better balance</t>
  </si>
  <si>
    <t>For the sport in the image, what type of environment is preferred for training?</t>
  </si>
  <si>
    <t>A) Traditional training area, B) Modern gym, C) Outdoor field, D) Indoor dojo</t>
  </si>
  <si>
    <t>A) Traditional training area</t>
  </si>
  <si>
    <t>In the image, what aspect of the technique is the practitioner focusing on?</t>
  </si>
  <si>
    <t>A) Power, B) Speed, C) Precision, D) Flexibility</t>
  </si>
  <si>
    <t>The sport depicted in the image is known for its use of which type of techniques?</t>
  </si>
  <si>
    <t>A) Striking techniques, B) Grappling techniques, C) Kicking techniques, D) Throwing techniques</t>
  </si>
  <si>
    <t>A) Striking techniques</t>
  </si>
  <si>
    <t>Kalaripayattu_32</t>
  </si>
  <si>
    <t>A) Offensive stance, B) Defensive posture, C) Neutral stance, D) Relaxed position</t>
  </si>
  <si>
    <t>For the sport in the image, what type of drills are typically performed during training?</t>
  </si>
  <si>
    <t>A) Solo routines, B) Partner drills, C) Group drills, D) All of the above</t>
  </si>
  <si>
    <t>In the image, what is the primary objective of the specific movement being practiced?</t>
  </si>
  <si>
    <t>The sport shown in the image often includes which type of physical conditioning?</t>
  </si>
  <si>
    <t>A) Endurance training, B) Strength training, C) Flexibility exercises, D) All of the above</t>
  </si>
  <si>
    <t>Kalaripayattu_33</t>
  </si>
  <si>
    <t>For the sport in the image, what type of equipment is typically used during training?</t>
  </si>
  <si>
    <t>In the image, what is the primary benefit of the technique being performed?</t>
  </si>
  <si>
    <t>The sport depicted in the image is traditionally practiced in what kind of setting?</t>
  </si>
  <si>
    <t>A) Outdoor field, B) Indoor dojo, C) Temple grounds, D) Modern gym</t>
  </si>
  <si>
    <t>Silambam_1</t>
  </si>
  <si>
    <t>For the sport in the image, what is the primary weapon used?</t>
  </si>
  <si>
    <t>A) Sword, B) Stick, C) Spear, D) Shield</t>
  </si>
  <si>
    <t>B) Stick</t>
  </si>
  <si>
    <t>In the sport shown in the image, what is the length of a traditional Silambam stick?</t>
  </si>
  <si>
    <t>A) 5 feet, B) 6 feet, C) 7 feet, D) 8 feet</t>
  </si>
  <si>
    <t>A) 5 feet</t>
  </si>
  <si>
    <t>For the sport in the image, what is the key stance called?</t>
  </si>
  <si>
    <t>A) Warrior Stance, B) Horse Stance, C) Crane Stance, D) Tiger Stance</t>
  </si>
  <si>
    <t>B) Horse Stance</t>
  </si>
  <si>
    <t>In the sport shown in the image, what material is commonly used for making Silambam sticks?</t>
  </si>
  <si>
    <t>A) Bamboo, B) Steel, C) Wood, D) Plastic</t>
  </si>
  <si>
    <t>A) Bamboo</t>
  </si>
  <si>
    <t>Silambam_2</t>
  </si>
  <si>
    <t>For the sport in the image, Silambam originated from which Indian state?</t>
  </si>
  <si>
    <t>A) Kerala, B) Tamil Nadu, C) Karnataka, D) Andhra Pradesh</t>
  </si>
  <si>
    <t>B) Tamil Nadu</t>
  </si>
  <si>
    <t>In the sport shown in the image, what is the objective of Silambam?</t>
  </si>
  <si>
    <t>A) To disarm the opponent, B) To score points with strikes, C) To control the stick movements, D) To maintain balance</t>
  </si>
  <si>
    <t>C) To control the stick movements</t>
  </si>
  <si>
    <t>For the sport in the image, what is the traditional attire worn by Silambam practitioners?</t>
  </si>
  <si>
    <t>A) Dhoti, B) Track pants, C) Armor, D) Gi</t>
  </si>
  <si>
    <t>A) Dhoti</t>
  </si>
  <si>
    <t>In the sport shown in the image, how many rounds are there in a standard Silambam match?</t>
  </si>
  <si>
    <t>Silambam_3</t>
  </si>
  <si>
    <t>For the sport in the image, which of the following is a basic technique used in Silambam?</t>
  </si>
  <si>
    <t>A) Swirl, B) Thrust, C) Spin, D) Strike</t>
  </si>
  <si>
    <t>B) Thrust</t>
  </si>
  <si>
    <t>In the sport shown in the image, which body part is most targeted during a match?</t>
  </si>
  <si>
    <t>A) Head, B) Legs, C) Arms, D) Chest</t>
  </si>
  <si>
    <t>B) Legs</t>
  </si>
  <si>
    <t>For the sport in the image, which ancient Tamil text mentions Silambam?</t>
  </si>
  <si>
    <t>A) Thirukkural, B) Silappatikaram, C) Sangam literature, D) Kambaramayanam</t>
  </si>
  <si>
    <t>B) Silappatikaram</t>
  </si>
  <si>
    <t>In the sport shown in the image, how is a match typically won?</t>
  </si>
  <si>
    <t>A) By knockout, B) By points, C) By submission, D) By disarmament</t>
  </si>
  <si>
    <t>B) By points</t>
  </si>
  <si>
    <t>Silambam_4</t>
  </si>
  <si>
    <t>For the sport in the image, what is the primary purpose of Silambam training?</t>
  </si>
  <si>
    <t>A) Self-defense, B) Physical fitness, C) Tradition, D) All of the above</t>
  </si>
  <si>
    <t>In the sport shown in the image, which grip is commonly used to hold the Silambam stick?</t>
  </si>
  <si>
    <t>A) Overhand grip, B) Underhand grip, C) Two-handed grip, D) Cross-grip</t>
  </si>
  <si>
    <t>A) Overhand grip</t>
  </si>
  <si>
    <t>For the sport in the image, which of the following is a key element of Silambam practice?</t>
  </si>
  <si>
    <t>A) Flexibility, B) Endurance, C) Speed, D) Coordination</t>
  </si>
  <si>
    <t>In the sport shown in the image, how long does a standard Silambam match last?</t>
  </si>
  <si>
    <t>A) 5 minutes, B) 10 minutes, C) 15 minutes, D) 20 minutes</t>
  </si>
  <si>
    <t>C) 15 minutes</t>
  </si>
  <si>
    <t>Silambam_5</t>
  </si>
  <si>
    <t>For the sport in the image, what is the distance maintained between opponents during a match?</t>
  </si>
  <si>
    <t>A) 3 feet, B) 5 feet, C) 7 feet, D) 10 feet</t>
  </si>
  <si>
    <t>B) 5 feet</t>
  </si>
  <si>
    <t>In the sport shown in the image, which type of footwork is emphasized?</t>
  </si>
  <si>
    <t>A) Circular, B) Linear, C) Diagonal, D) Zigzag</t>
  </si>
  <si>
    <t>For the sport in the image, what is the purpose of spinning the stick?</t>
  </si>
  <si>
    <t>A) For defense, B) To confuse the opponent, C) To build momentum, D) All of the above</t>
  </si>
  <si>
    <t>In the sport shown in the image, which form of Silambam focuses on combat with multiple opponents?</t>
  </si>
  <si>
    <t>A) Kuthu Varisai, B) Veera Silambam, C) Thang Ta, D) Varma Kalai</t>
  </si>
  <si>
    <t>B) Veera Silambam</t>
  </si>
  <si>
    <t>Silambam_6</t>
  </si>
  <si>
    <t>For the sport in the image, what kind of protective gear is used in modern Silambam competitions?</t>
  </si>
  <si>
    <t>A) Helmets, B) Gloves, C) Knee pads, D) All of the above</t>
  </si>
  <si>
    <t>In the sport shown in the image, what is the role of 'Gurukkal'?</t>
  </si>
  <si>
    <t>A) Opponent, B) Coach, C) Referee, D) Timekeeper</t>
  </si>
  <si>
    <t>For the sport in the image, what is the significance of foot movements?</t>
  </si>
  <si>
    <t>A) Speed, B) Precision, C) Flexibility, D) Balance</t>
  </si>
  <si>
    <t>In the sport shown in the image, Silambam is often performed to the rhythm of which musical instrument?</t>
  </si>
  <si>
    <t>A) Mridangam, B) Urumi, C) Nadaswaram, D) Dhol</t>
  </si>
  <si>
    <t>B) Urumi</t>
  </si>
  <si>
    <t>Silambam_7</t>
  </si>
  <si>
    <t>For the sport in the image, which martial art shares similarities with Silambam?</t>
  </si>
  <si>
    <t>A) Kalari, B) Karate, C) Taekwondo, D) Boxing</t>
  </si>
  <si>
    <t>A) Kalari</t>
  </si>
  <si>
    <t>In the sport shown in the image, which part of the stick is typically used to strike?</t>
  </si>
  <si>
    <t>A) Middle, B) End, C) Handle, D) Entire stick</t>
  </si>
  <si>
    <t>B) End</t>
  </si>
  <si>
    <t>For the sport in the image, what is the primary focus of Silambam training?</t>
  </si>
  <si>
    <t>A) Mental focus, B) Speed, C) Power, D) Accuracy</t>
  </si>
  <si>
    <t>D) Accuracy</t>
  </si>
  <si>
    <t>In the sport shown in the image, how is a draw determined in Silambam?</t>
  </si>
  <si>
    <t>A) Equal points, B) No strikes, C) Both players knocked out, D) Referee decision</t>
  </si>
  <si>
    <t>A) Equal points</t>
  </si>
  <si>
    <t>Silambam_8</t>
  </si>
  <si>
    <t>For the sport in the image, Silambam was traditionally practiced by which group?</t>
  </si>
  <si>
    <t>A) Soldiers, B) Monks, C) Farmers, D) Royalty</t>
  </si>
  <si>
    <t>A) Soldiers</t>
  </si>
  <si>
    <t>In the sport shown in the image, which of the following is a defense technique used in Silambam?</t>
  </si>
  <si>
    <t>A) Dodging, B) Parrying, C) Blocking, D) All of the above</t>
  </si>
  <si>
    <t>For the sport in the image, what is the name of the Silambam practitioner?</t>
  </si>
  <si>
    <t>A) Silambakkar, B) Guru, C) Shifu, D) Kalari</t>
  </si>
  <si>
    <t>A) Silambakkar</t>
  </si>
  <si>
    <t>In the sport shown in the image, what is the advantage of using a bamboo stick in Silambam?</t>
  </si>
  <si>
    <t>A) Flexibility, B) Durability, C) Lightweight, D) All of the above</t>
  </si>
  <si>
    <t>Silambam_9</t>
  </si>
  <si>
    <t>For the sport in the image, which is an advanced movement in Silambam?</t>
  </si>
  <si>
    <t>A) Spinning, B) Thrusting, C) Leaping, D) All of the above</t>
  </si>
  <si>
    <t>C) Leaping</t>
  </si>
  <si>
    <t>In the sport shown in the image, what is the historical significance of Silambam in Tamil culture?</t>
  </si>
  <si>
    <t>A) Royal entertainment, B) Military training, C) Spiritual practice, D) Festival performance</t>
  </si>
  <si>
    <t>B) Military training</t>
  </si>
  <si>
    <t>For the sport in the image, Silambam is often performed in combination with which other art?</t>
  </si>
  <si>
    <t>A) Yoga, B) Dance, C) Music, D) Painting</t>
  </si>
  <si>
    <t>B) Dance</t>
  </si>
  <si>
    <t>In the sport shown in the image, which of the following is not part of Silambam?</t>
  </si>
  <si>
    <t>A) Sticks, B) Shields, C) Chains, D) Knives</t>
  </si>
  <si>
    <t>D) Knives</t>
  </si>
  <si>
    <t>Silambam_10</t>
  </si>
  <si>
    <t>For the sport in the image, how does one earn points in a competitive Silambam match?</t>
  </si>
  <si>
    <t>A) By hitting the opponent’s stick, B) By striking the opponent's body, C) By blocking, D) By controlling the match</t>
  </si>
  <si>
    <t>B) By striking the opponent's body</t>
  </si>
  <si>
    <t>In the sport shown in the image, what is a key focus of Silambam footwork?</t>
  </si>
  <si>
    <t>A) Speed, B) Balance, C) Power, D) Agility</t>
  </si>
  <si>
    <t>B) Balance</t>
  </si>
  <si>
    <t>For the sport in the image, what is an essential attribute for a successful Silambam practitioner?</t>
  </si>
  <si>
    <t>A) Strength, B) Reflexes, C) Strategy, D) Stamina</t>
  </si>
  <si>
    <t>B) Reflexes</t>
  </si>
  <si>
    <t>In the sport shown in the image, how is a Silambam bout started?</t>
  </si>
  <si>
    <t>A) Bowing, B) Saluting, C) Touching sticks, D) Referee signal</t>
  </si>
  <si>
    <t>C) Touching sticks</t>
  </si>
  <si>
    <t>Silambam_11</t>
  </si>
  <si>
    <t>For the sport in the image, what is the importance of rhythm in Silambam?</t>
  </si>
  <si>
    <t>A) Timing strikes, B) Coordination with footwork, C) Fluidity of movement, D) All of the above</t>
  </si>
  <si>
    <t>In the sport shown in the image, which hand position is common in Silambam?</t>
  </si>
  <si>
    <t>A) Single hand, B) Double hand, C) Alternate hand, D) Cross hand</t>
  </si>
  <si>
    <t>B) Double hand</t>
  </si>
  <si>
    <t>For the sport in the image, what is a common target area for Silambam strikes?</t>
  </si>
  <si>
    <t>A) Head, B) Chest, C) Legs, D) Arms</t>
  </si>
  <si>
    <t>C) Legs</t>
  </si>
  <si>
    <t>In the sport shown in the image, what is the Silambam technique for blocking a strike?</t>
  </si>
  <si>
    <t>A) Parry, B) Counterstrike, C) Deflect, D) Absorb</t>
  </si>
  <si>
    <t>Silambam_12</t>
  </si>
  <si>
    <t>For the sport in the image, what is the main focus of Silambam practice?</t>
  </si>
  <si>
    <t>A) Precision, B) Speed, C) Power, D) Flexibility</t>
  </si>
  <si>
    <t>A) Precision</t>
  </si>
  <si>
    <t>In the sport shown in the image, which is a key movement in Silambam's offensive techniques?</t>
  </si>
  <si>
    <t>A) Overhead strike, B) Side swipe, C) Circular thrust, D) Diagonal slash</t>
  </si>
  <si>
    <t>A) Overhead strike</t>
  </si>
  <si>
    <t>For the sport in the image, Silambam's primary weapon is traditionally made from which material?</t>
  </si>
  <si>
    <t>A) Steel, B) Bamboo, C) Iron, D) Bronze</t>
  </si>
  <si>
    <t>B) Bamboo</t>
  </si>
  <si>
    <t>In the sport shown in the image, which of the following is essential for proper Silambam defense?</t>
  </si>
  <si>
    <t>A) Arm strength, B) Flexibility, C) Timing, D) Footwork</t>
  </si>
  <si>
    <t>D) Footwork</t>
  </si>
  <si>
    <t>Silambam_13</t>
  </si>
  <si>
    <t>For the sport in the image, Silambam involves which type of stances?</t>
  </si>
  <si>
    <t>A) High stances, B) Low stances, C) Neutral stances, D) Shifting stances</t>
  </si>
  <si>
    <t>B) Low stances</t>
  </si>
  <si>
    <t>In the sport shown in the image, what is a common method for disarming an opponent in Silambam?</t>
  </si>
  <si>
    <t>A) Hooking the stick, B) Striking the wrist, C) Blocking the strike, D) Tripping the opponent</t>
  </si>
  <si>
    <t>B) Striking the wrist</t>
  </si>
  <si>
    <t>For the sport in the image, which part of the body is typically targeted in Silambam's long-range strikes?</t>
  </si>
  <si>
    <t>A) Head, B) Arms, C) Legs, D) Chest</t>
  </si>
  <si>
    <t>In the sport shown in the image, Silambam is known for its ______ footwork that allows swift attacks and defense.</t>
  </si>
  <si>
    <t>A) Linear, B) Circular, C) Diagonal, D) Zig-zag</t>
  </si>
  <si>
    <t>Silambam_14</t>
  </si>
  <si>
    <t>For the sport in the image, which of the following is an advanced Silambam technique?</t>
  </si>
  <si>
    <t>A) Spinning the stick behind the back, B) Double strike in one motion, C) Stepping back to dodge, D) Switching hands mid-strike</t>
  </si>
  <si>
    <t>A) Spinning the stick behind the back</t>
  </si>
  <si>
    <t>In the sport shown in the image, what does Silambam emphasize for a balanced performance?</t>
  </si>
  <si>
    <t>A) Strength, B) Speed, C) Precision, D) Stamina</t>
  </si>
  <si>
    <t>For the sport in the image, Silambam practitioners often practice with which type of equipment?</t>
  </si>
  <si>
    <t>A) Wooden swords, B) Metal shields, C) Bamboo poles, D) Rubber sticks</t>
  </si>
  <si>
    <t>C) Bamboo poles</t>
  </si>
  <si>
    <t>In the sport shown in the image, how is power generated in a Silambam strike?</t>
  </si>
  <si>
    <t>A) By rotating the shoulders, B) By twisting the hips, C) By gripping the stick tightly, D) By using wrist motion</t>
  </si>
  <si>
    <t>B) By twisting the hips</t>
  </si>
  <si>
    <t>Silambam_15</t>
  </si>
  <si>
    <t>For the sport in the image, Silambam traditionally was taught by which of the following?</t>
  </si>
  <si>
    <t>A) Family elders, B) Martial arts schools, C) Tribal leaders, D) Priests</t>
  </si>
  <si>
    <t>C) Tribal leaders</t>
  </si>
  <si>
    <t>In the sport shown in the image, which defensive strategy is common in Silambam?</t>
  </si>
  <si>
    <t>A) Evading strikes, B) Blocking with arms, C) Absorbing blows, D) Parrying with the stick</t>
  </si>
  <si>
    <t>D) Parrying with the stick</t>
  </si>
  <si>
    <t>For the sport in the image, Silambam practitioners aim for which of the following in combat?</t>
  </si>
  <si>
    <t>A) Knockout, B) Submission, C) Disarming the opponent, D) Scoring points</t>
  </si>
  <si>
    <t>C) Disarming the opponent</t>
  </si>
  <si>
    <t>In the sport shown in the image, what is the significance of Silambam in Tamil Nadu's history?</t>
  </si>
  <si>
    <t>A) It was a form of entertainment, B) It was used in military training, C) It was a religious practice, D) It was a form of protest</t>
  </si>
  <si>
    <t>B) It was used in military training</t>
  </si>
  <si>
    <t>Silambam_16</t>
  </si>
  <si>
    <t>For the sport in the image, what is the term used for the spinning technique in Silambam?</t>
  </si>
  <si>
    <t>A) Pirouette, B) Mazhuvudhal, C) Vilayattu, D) Theervu</t>
  </si>
  <si>
    <t>B) Mazhuvudhal</t>
  </si>
  <si>
    <t>In the sport shown in the image, Silambam practitioners often engage in which supplementary exercise?</t>
  </si>
  <si>
    <t>A) Yoga, B) Weightlifting, C) Swimming, D) Running</t>
  </si>
  <si>
    <t>A) Yoga</t>
  </si>
  <si>
    <t>For the sport in the image, which of the following is a commonly used Silambam drill?</t>
  </si>
  <si>
    <t>A) Partner sparring, B) Shadow striking, C) Stick balancing, D) Stick spinning</t>
  </si>
  <si>
    <t>B) Shadow striking</t>
  </si>
  <si>
    <t>In the sport shown in the image, Silambam uses which type of attack to catch opponents off guard?</t>
  </si>
  <si>
    <t>A) Feinting, B) Direct strike, C) Counterattack, D) Surprise thrust</t>
  </si>
  <si>
    <t>A) Feinting</t>
  </si>
  <si>
    <t>Silambam_17</t>
  </si>
  <si>
    <t>For the sport in the image, which of the following elements is crucial for Silambam training?</t>
  </si>
  <si>
    <t>A) Precision, B) Flexibility, C) Speed, D) Strength</t>
  </si>
  <si>
    <t>In the sport shown in the image, what is the focus of Silambam's circular footwork?</t>
  </si>
  <si>
    <t>A) Creating angles for attack, B) Avoiding incoming strikes, C) Moving closer to the opponent, D) Confusing the opponent</t>
  </si>
  <si>
    <t>A) Creating angles for attack</t>
  </si>
  <si>
    <t>For the sport in the image, which of the following body parts is most vulnerable in Silambam combat?</t>
  </si>
  <si>
    <t>A) Head, B) Legs, C) Arms, D) Torso</t>
  </si>
  <si>
    <t>In the sport shown in the image, which stance is used to maintain balance in Silambam?</t>
  </si>
  <si>
    <t>A) Neutral stance, B) High stance, C) Defensive stance, D) Wide stance</t>
  </si>
  <si>
    <t>D) Wide stance</t>
  </si>
  <si>
    <t>Silambam_18</t>
  </si>
  <si>
    <t>For the sport in the image, Silambam training often emphasizes which of the following?</t>
  </si>
  <si>
    <t>A) Flexibility of the wrists, B) Speed of the legs, C) Coordination between hands and feet, D) Strength of the shoulders</t>
  </si>
  <si>
    <t>C) Coordination between hands and feet</t>
  </si>
  <si>
    <t>In the sport shown in the image, which part of Silambam training helps practitioners improve their balance?</t>
  </si>
  <si>
    <t>A) Pole spinning, B) Stick twirling, C) Stance drills, D) Speed striking</t>
  </si>
  <si>
    <t>C) Stance drills</t>
  </si>
  <si>
    <t>For the sport in the image, Silambam was traditionally used in combination with which form of combat?</t>
  </si>
  <si>
    <t>A) Sword fighting, B) Wrestling, C) Archery, D) Boxing</t>
  </si>
  <si>
    <t>A) Sword fighting</t>
  </si>
  <si>
    <t>In the sport shown in the image, which of the following is a key factor in Silambam's effectiveness?</t>
  </si>
  <si>
    <t>A) Distance management, B) Strength, C) Endurance, D) Weight of the stick</t>
  </si>
  <si>
    <t>A) Distance management</t>
  </si>
  <si>
    <t>Silambam_19</t>
  </si>
  <si>
    <t>For the sport in the image, which type of environment is ideal for practicing Silambam?</t>
  </si>
  <si>
    <t>A) Open field, B) Forest area, C) Indoor arena, D) Mountainside</t>
  </si>
  <si>
    <t>A) Open field</t>
  </si>
  <si>
    <t>In the sport shown in the image, which component is essential for practicing Silambam stances?</t>
  </si>
  <si>
    <t>A) Flexibility, B) Strength, C) Speed, D) Balance</t>
  </si>
  <si>
    <t>For the sport in the image, which of the following movements is integral to a Silambam sparring session?</t>
  </si>
  <si>
    <t>A) High kicks, B) Rolling, C) Stick thrusts, D) Jumping strikes</t>
  </si>
  <si>
    <t>C) Stick thrusts</t>
  </si>
  <si>
    <t>In the sport shown in the image, Silambam practitioners often wear which of the following for protection?</t>
  </si>
  <si>
    <t>A) Headgear, B) Chest guard, C) Gloves, D) Arm guards</t>
  </si>
  <si>
    <t>B) Chest guard</t>
  </si>
  <si>
    <t>Silambam_20</t>
  </si>
  <si>
    <t>For the sport in the image, which motion is commonly used to evade a strike in Silambam?</t>
  </si>
  <si>
    <t>A) Sidestepping, B) Ducking, C) Jumping, D) Leaning back</t>
  </si>
  <si>
    <t>A) Sidestepping</t>
  </si>
  <si>
    <t>In the sport shown in the image, how does Silambam emphasize control during practice?</t>
  </si>
  <si>
    <t>A) By minimizing force, B) By increasing speed, C) By focusing on accuracy, D) By limiting movements</t>
  </si>
  <si>
    <t>C) By focusing on accuracy</t>
  </si>
  <si>
    <t>For the sport in the image, which skill is essential to deflect an opponent's strike?</t>
  </si>
  <si>
    <t>A) Strength, B) Agility, C) Speed, D) Flexibility</t>
  </si>
  <si>
    <t>In the sport shown in the image, which of the following is a traditional form of Silambam defense?</t>
  </si>
  <si>
    <t>A) Stick blocking, B) Stick grabbing, C) Hand-to-hand defense, D) Sidestepping</t>
  </si>
  <si>
    <t>A) Stick blocking</t>
  </si>
  <si>
    <t>Silambam_21</t>
  </si>
  <si>
    <t>For the sport in the image, what does the term 'Veechu adi' refer to in Silambam?</t>
  </si>
  <si>
    <t>A) Circular footwork, B) Overhead strike, C) Sweeping strike, D) Defensive posture</t>
  </si>
  <si>
    <t>C) Sweeping strike</t>
  </si>
  <si>
    <t>In the sport shown in the image, what type of Silambam weapon is commonly used besides bamboo sticks?</t>
  </si>
  <si>
    <t>A) Swords, B) Spears, C) Shields, D) Clubs</t>
  </si>
  <si>
    <t>B) Spears</t>
  </si>
  <si>
    <t>For the sport in the image, which of the following is used for improving coordination in Silambam?</t>
  </si>
  <si>
    <t>A) Hand-eye drills, B) Speed runs, C) Strength training, D) Meditation</t>
  </si>
  <si>
    <t>A) Hand-eye drills</t>
  </si>
  <si>
    <t>In the sport shown in the image, how is footwork integrated into Silambam?</t>
  </si>
  <si>
    <t>A) Moving in straight lines, B) Creating complex patterns, C) Matching the rhythm of strikes, D) Circling the opponent</t>
  </si>
  <si>
    <t>C) Matching the rhythm of strikes</t>
  </si>
  <si>
    <t>Silambam_22</t>
  </si>
  <si>
    <t>For the sport in the image, Silambam teaches what kind of awareness during practice?</t>
  </si>
  <si>
    <t>A) Spatial, B) Environmental, C) Mental, D) Physical</t>
  </si>
  <si>
    <t>A) Spatial</t>
  </si>
  <si>
    <t>In the sport shown in the image, which movement is essential for attacking high targets?</t>
  </si>
  <si>
    <t>A) High strike, B) Forward thrust, C) Circular motion, D) Backhand swipe</t>
  </si>
  <si>
    <t>A) High strike</t>
  </si>
  <si>
    <t>For the sport in the image, how do Silambam practitioners improve reaction time?</t>
  </si>
  <si>
    <t>A) Meditation, B) Sparring, C) Reflex training, D) Stick spinning drills</t>
  </si>
  <si>
    <t>C) Reflex training</t>
  </si>
  <si>
    <t>In the sport shown in the image, which of these movements is common for evading lower strikes?</t>
  </si>
  <si>
    <t>A) Jumping, B) Twisting, C) Stepping back, D) Leaning forward</t>
  </si>
  <si>
    <t>A) Jumping</t>
  </si>
  <si>
    <t>Silambam_23</t>
  </si>
  <si>
    <t>For the sport in the image, what type of Silambam exercise focuses on flexibility?</t>
  </si>
  <si>
    <t>A) Stick drills, B) Stretching, C) Sparring, D) Endurance drills</t>
  </si>
  <si>
    <t>B) Stretching</t>
  </si>
  <si>
    <t>In the sport shown in the image, which of the following techniques is common when fighting multiple opponents?</t>
  </si>
  <si>
    <t>A) Quick strikes, B) Dodging, C) Long-range strikes, D) Spinning strikes</t>
  </si>
  <si>
    <t>D) Spinning strikes</t>
  </si>
  <si>
    <t>For the sport in the image, what kind of practice does Silambam encourage for improving mental clarity?</t>
  </si>
  <si>
    <t>A) Sparring, B) Meditation, C) Breathing exercises, D) Speed drills</t>
  </si>
  <si>
    <t>B) Meditation</t>
  </si>
  <si>
    <t>In the sport shown in the image, what is a core aspect of Silambam stances?</t>
  </si>
  <si>
    <t>A) Low stance, B) High stance, C) Neutral stance, D) Balanced stance</t>
  </si>
  <si>
    <t>Silambam_24</t>
  </si>
  <si>
    <t>For the sport in the image, how does Silambam balance defense with offense?</t>
  </si>
  <si>
    <t>A) By using feints, B) By blocking and striking simultaneously, C) By focusing on precision, D) By maintaining distance</t>
  </si>
  <si>
    <t>B) By blocking and striking simultaneously</t>
  </si>
  <si>
    <t>In the sport shown in the image, which strike is used to target the opponent’s midsection?</t>
  </si>
  <si>
    <t>A) Uppercut strike, B) Side thrust, C) Overhead strike, D) Low jab</t>
  </si>
  <si>
    <t>B) Side thrust</t>
  </si>
  <si>
    <t>For the sport in the image, which of the following components is vital for a successful Silambam attack?</t>
  </si>
  <si>
    <t>A) Speed, B) Strength, C) Timing, D) Agility</t>
  </si>
  <si>
    <t>C) Timing</t>
  </si>
  <si>
    <t>In the sport shown in the image, which defensive technique is employed to avoid direct impact?</t>
  </si>
  <si>
    <t>A) Parrying, B) Dodging, C) Deflecting, D) Countering</t>
  </si>
  <si>
    <t>A) Parrying</t>
  </si>
  <si>
    <t>Silambam_25</t>
  </si>
  <si>
    <t>For the sport in the image, which position helps Silambam practitioners maintain balance during sparring?</t>
  </si>
  <si>
    <t>A) Narrow stance, B) Wide stance, C) Mid-level stance, D) Defensive stance</t>
  </si>
  <si>
    <t>B) Wide stance</t>
  </si>
  <si>
    <t>In the sport shown in the image, what is the purpose of spinning the stick in Silambam?</t>
  </si>
  <si>
    <t>A) To confuse the opponent, B) To gain momentum, C) To increase defense, D) To show skill</t>
  </si>
  <si>
    <t>B) To gain momentum</t>
  </si>
  <si>
    <t>For the sport in the image, what type of drill is used to enhance hand-eye coordination in Silambam?</t>
  </si>
  <si>
    <t>A) Reflex drills, B) Stick tapping, C) Partner sparring, D) Target practice</t>
  </si>
  <si>
    <t>B) Stick tapping</t>
  </si>
  <si>
    <t>In the sport shown in the image, which part of the body does Silambam primarily focus on protecting?</t>
  </si>
  <si>
    <t>Silambam_26</t>
  </si>
  <si>
    <t>For the sport in the image, which of the following is an example of a Silambam combination technique?</t>
  </si>
  <si>
    <t>A) Jab and parry, B) High and low strike, C) Block and thrust, D) Spin and strike</t>
  </si>
  <si>
    <t>D) Spin and strike</t>
  </si>
  <si>
    <t>In the sport shown in the image, which movement is used to close the distance with an opponent in Silambam?</t>
  </si>
  <si>
    <t>A) Lunging, B) Stepping forward, C) Leaping, D) Twisting</t>
  </si>
  <si>
    <t>A) Lunging</t>
  </si>
  <si>
    <t>For the sport in the image, how does Silambam improve endurance?</t>
  </si>
  <si>
    <t>A) Through continuous strikes, B) Through sparring drills, C) Through defensive exercises, D) Through stance practice</t>
  </si>
  <si>
    <t>B) Through sparring drills</t>
  </si>
  <si>
    <t>In the sport shown in the image, which element is crucial for mastering Silambam footwork?</t>
  </si>
  <si>
    <t>A) Flexibility, B) Speed, C) Rhythm, D) Strength</t>
  </si>
  <si>
    <t>C) Rhythm</t>
  </si>
  <si>
    <t>Silambam_27</t>
  </si>
  <si>
    <t>For the sport in the image, which body part generates the most power in a Silambam strike?</t>
  </si>
  <si>
    <t>A) Shoulders, B) Wrists, C) Legs, D) Hips</t>
  </si>
  <si>
    <t>D) Hips</t>
  </si>
  <si>
    <t>In the sport shown in the image, what does the term 'Kuttu' refer to in Silambam?</t>
  </si>
  <si>
    <t>A) A form of footwork, B) A defensive block, C) A thrusting attack, D) A low jab</t>
  </si>
  <si>
    <t>C) A thrusting attack</t>
  </si>
  <si>
    <t>For the sport in the image, what is the significance of breathing techniques in Silambam?</t>
  </si>
  <si>
    <t>A) To increase focus, B) To boost speed, C) To enhance endurance, D) To control strikes</t>
  </si>
  <si>
    <t>C) To enhance endurance</t>
  </si>
  <si>
    <t>In the sport shown in the image, what type of footwork is typically used to dodge a high strike?</t>
  </si>
  <si>
    <t>A) Side step, B) Back step, C) Forward lunge, D) Pivot</t>
  </si>
  <si>
    <t>A) Side step</t>
  </si>
  <si>
    <t>Silambam_28</t>
  </si>
  <si>
    <t>For the sport in the image, which of the following is an essential part of Silambam sparring etiquette?</t>
  </si>
  <si>
    <t>A) Bowing before the match, B) Handshake after the match, C) Using light strikes, D) Avoiding head strikes</t>
  </si>
  <si>
    <t>A) Bowing before the match</t>
  </si>
  <si>
    <t>In the sport shown in the image, how does Silambam train practitioners for real-life combat scenarios?</t>
  </si>
  <si>
    <t>A) Through endurance training, B) By practicing full-contact sparring, C) By using controlled sparring, D) Through mental conditioning</t>
  </si>
  <si>
    <t>C) By using controlled sparring</t>
  </si>
  <si>
    <t>For the sport in the image, which of these is a key advantage of practicing Silambam?</t>
  </si>
  <si>
    <t>A) Improving body coordination, B) Strengthening the upper body, C) Boosting mental alertness, D) Increasing lower body strength</t>
  </si>
  <si>
    <t>A) Improving body coordination</t>
  </si>
  <si>
    <t>In the sport shown in the image, which of the following strategies is common in competitive Silambam?</t>
  </si>
  <si>
    <t>A) Aggressive attacks, B) Defensive counters, C) Evasive movements, D) Quick jabs</t>
  </si>
  <si>
    <t>B) Defensive counters</t>
  </si>
  <si>
    <t>malkhamb_1</t>
  </si>
  <si>
    <t>What sport is depicted in the image?</t>
  </si>
  <si>
    <t>A) Kabaddi, B) Mallakhamb, C) Wrestling, D) Gymnastics</t>
  </si>
  <si>
    <t>B) Mallakhamb</t>
  </si>
  <si>
    <t>Which equipment is essential in the sport shown in the image?</t>
  </si>
  <si>
    <t>A) Rope, B) Pole, C) Mat, D) Ball</t>
  </si>
  <si>
    <t>B) Pole</t>
  </si>
  <si>
    <t>In which country did the sport in the image originate?</t>
  </si>
  <si>
    <t>A) China, B) Japan, C) India, D) Nepal</t>
  </si>
  <si>
    <t>C) India</t>
  </si>
  <si>
    <t>What is the primary focus of the sport shown in the image?</t>
  </si>
  <si>
    <t>A) Strength and agility, B) Speed and endurance, C) Flexibility and balance, D) Coordination and timing</t>
  </si>
  <si>
    <t>C) Flexibility and balance</t>
  </si>
  <si>
    <t>malkhamb_2</t>
  </si>
  <si>
    <t>Which region in India is known as the origin of this sport?</t>
  </si>
  <si>
    <t>A) Punjab, B) Maharashtra, C) Kerala, D) Tamil Nadu</t>
  </si>
  <si>
    <t>B) Maharashtra</t>
  </si>
  <si>
    <t>Which age group commonly practices this sport?</t>
  </si>
  <si>
    <t>A) Children, B) Teenagers, C) Adults, D) All of the above</t>
  </si>
  <si>
    <t>What kind of movements are primarily involved in this sport?</t>
  </si>
  <si>
    <t>A) Swinging and balancing, B) Running and jumping, C) Punching and kicking, D) Swimming strokes</t>
  </si>
  <si>
    <t>A) Swinging and balancing</t>
  </si>
  <si>
    <t>What is the main apparatus used in this sport?</t>
  </si>
  <si>
    <t>A) Ropes, B) Poles, C) Mats, D) Rings</t>
  </si>
  <si>
    <t>B) Poles</t>
  </si>
  <si>
    <t>malkhamb_3</t>
  </si>
  <si>
    <t>What type of Mallakhamb is depicted in the image?</t>
  </si>
  <si>
    <t>A) Rope Mallakhamb, B) Hanging Mallakhamb, C) Fixed Pole Mallakhamb, D) Cane Mallakhamb</t>
  </si>
  <si>
    <t>C) Fixed Pole Mallakhamb</t>
  </si>
  <si>
    <t>What is the main purpose of the sport Mallakhamb?</t>
  </si>
  <si>
    <t>A) Wrestling, B) Acrobatics, C) Yoga and Gymnastics, D) Martial Arts</t>
  </si>
  <si>
    <t>C) Yoga and Gymnastics</t>
  </si>
  <si>
    <t>What is the primary skill demonstrated in Fixed Pole Mallakhamb?</t>
  </si>
  <si>
    <t>A) Strength, B) Balance, C) Flexibility, D) All of the above</t>
  </si>
  <si>
    <t>What poster is being performed in the image?</t>
  </si>
  <si>
    <t>A) Padmasana, B) Chakrasana, C) Sarvangasana, D) Niralamba Sarvangasana</t>
  </si>
  <si>
    <t>D) Niralamba Sarvangasana</t>
  </si>
  <si>
    <t>malkhamb_4</t>
  </si>
  <si>
    <t>Which sport is being performed in the image?</t>
  </si>
  <si>
    <t>A) Rope Mallakhamb, B) Pole Vault, C) Gymnastics, D) Aerial Silk</t>
  </si>
  <si>
    <t>A) Rope Mallakhamb</t>
  </si>
  <si>
    <t>What is the primary equipment used in this sport?</t>
  </si>
  <si>
    <t>A) Wooden Pole, B) Rope, C) Rings, D) Beam</t>
  </si>
  <si>
    <t>B) Rope</t>
  </si>
  <si>
    <t>What is the purpose of the rope in Rope Mallakhamb?</t>
  </si>
  <si>
    <t>A) To climb and perform poses, B) To swing, C) To balance, D) To jump over</t>
  </si>
  <si>
    <t>A) To climb and perform poses</t>
  </si>
  <si>
    <t>What kind of training is essential for performing Rope Mallakhamb?</t>
  </si>
  <si>
    <t>A) Gymnastics training, B) Martial arts training, C) Dance training, D) Weightlifting training</t>
  </si>
  <si>
    <t>A) Gymnastics training</t>
  </si>
  <si>
    <t>malkhamb_5</t>
  </si>
  <si>
    <t>Who is the individual shown in the image?</t>
  </si>
  <si>
    <t>A) Deepak Shinde, B) Anil Kumar, C) Rajesh Patel, D) Sandeep Singh</t>
  </si>
  <si>
    <t>A) Deepak Shinde</t>
  </si>
  <si>
    <t>What is the primary equipment used in Mallakhamb?</t>
  </si>
  <si>
    <t>A) A wooden pole, B) A rope, C) A mat, D) Dumbbells</t>
  </si>
  <si>
    <t>A) A wooden pole</t>
  </si>
  <si>
    <t>Which region of India is known for practicing Mallakhamb?</t>
  </si>
  <si>
    <t>A) Maharashtra, B) Punjab, C) Tamil Nadu, D) Uttar Pradesh</t>
  </si>
  <si>
    <t>A) Maharashtra</t>
  </si>
  <si>
    <t>What is the primary focus of Mallakhamb training?</t>
  </si>
  <si>
    <t>A) Flexibility and strength, B) Speed and endurance, C) Balance and coordination, D) Agility and power</t>
  </si>
  <si>
    <t>A) Flexibility and strength</t>
  </si>
  <si>
    <t>malkhamb_6</t>
  </si>
  <si>
    <t>What is the primary object used in Mallakhamb?</t>
  </si>
  <si>
    <t>A) A rope, B) A pole, C) A mat, D) A ball</t>
  </si>
  <si>
    <t>B) A pole</t>
  </si>
  <si>
    <t>What type of exercises are commonly performed in Mallakhamb?</t>
  </si>
  <si>
    <t>A) Strength training, B) Cardio exercises, C) Flexibility and balance exercises, D) Endurance training</t>
  </si>
  <si>
    <t>C) Flexibility and balance exercises</t>
  </si>
  <si>
    <t>Which part of the body is primarily used to perform Mallakhamb moves?</t>
  </si>
  <si>
    <t>A) Legs, B) Hands and feet, C) Core muscles, D) Arms and shoulders</t>
  </si>
  <si>
    <t>B) Hands and feet</t>
  </si>
  <si>
    <t>In which country is this sport famous?</t>
  </si>
  <si>
    <t>A) India, B) China, C) Japan, D) Thailand</t>
  </si>
  <si>
    <t>malkhamb_7</t>
  </si>
  <si>
    <t>Which organization or group is featured performing Rope Mallakhamb in the image?</t>
  </si>
  <si>
    <t>A) Samarth Vyayam Mandir, B) Shree Mallakhamb Mandal, C) Mumbai Gymkhana, D) Pune Sports Club</t>
  </si>
  <si>
    <t>A) Samarth Vyayam Mandir</t>
  </si>
  <si>
    <t>What is one of the primary expectations for performers of Rope Mallakhamb?</t>
  </si>
  <si>
    <t>A) To knot the rope, B) To perform without knotting the rope, C) To use a wooden stick, D) To wear special attire</t>
  </si>
  <si>
    <t>B) To perform without knotting the rope</t>
  </si>
  <si>
    <t>What is the primary skill demonstrated by performers in Rope Mallakhamb?</t>
  </si>
  <si>
    <t>A) Flexibility, B) Strength, C) Agility, D) Balance</t>
  </si>
  <si>
    <t>Which feature is essential for Rope Mallakhamb practice?</t>
  </si>
  <si>
    <t>A) A fixed structure, B) A stable rope, C) A padded floor, D) Special footwear</t>
  </si>
  <si>
    <t>B) A stable rope</t>
  </si>
  <si>
    <t>malkhamb_8</t>
  </si>
  <si>
    <t>Which event is featured in the image?</t>
  </si>
  <si>
    <t>A) National Mallakhamb Championship, B) Mallakhamb World Championship, C) State Mallakhamb Tournament, D) Mallakhamb Exhibition Match</t>
  </si>
  <si>
    <t>B) Mallakhamb World Championship</t>
  </si>
  <si>
    <t>Which organization organized the Mallakhamb World Championship?</t>
  </si>
  <si>
    <t>A) Vishwa Malkhamb Federation, B) International Mallakhamb Association, C) Mallakhamb Sports Council, D) Indian Gymnastics Federation</t>
  </si>
  <si>
    <t>A) Vishwa Malkhamb Federation</t>
  </si>
  <si>
    <t>What type of performances are showcased in Mallakhamb?</t>
  </si>
  <si>
    <t>A) Aerial yoga and wrestling grips, B) Martial arts and acrobatics, C) Dance and gymnastics, D) Strength training and endurance</t>
  </si>
  <si>
    <t>A) Aerial yoga and wrestling grips</t>
  </si>
  <si>
    <t>malkhamb_9</t>
  </si>
  <si>
    <t>In which region of India is Mallakhamb traditionally practiced?</t>
  </si>
  <si>
    <t>A) North India, B) South India, C) West India, D) East India</t>
  </si>
  <si>
    <t>C) West India</t>
  </si>
  <si>
    <t>What type of attire are the athletes wearing in the image?</t>
  </si>
  <si>
    <t>A) Traditional Indian dress, B) Gymwear, C) Wrestling attire, D) Martial arts uniform</t>
  </si>
  <si>
    <t>A) Traditional Indian dress</t>
  </si>
  <si>
    <t>What is the significance of Mallakhamb in Indian culture?</t>
  </si>
  <si>
    <t>A) It is a form of meditation, B) It is a traditional competitive sport, C) It is a form of dance, D) It is a form of storytelling</t>
  </si>
  <si>
    <t>B) It is a traditional competitive sport</t>
  </si>
  <si>
    <t>What is the common physical requirement for performing Mallakhamb?</t>
  </si>
  <si>
    <t>A) High endurance, B) Flexibility and strength, C) Speed, D) Agility</t>
  </si>
  <si>
    <t>B) Flexibility and strength</t>
  </si>
  <si>
    <t>malkhamb_10</t>
  </si>
  <si>
    <t>What is the sport being depicted in the image?</t>
  </si>
  <si>
    <t>A) Mallakhamb, B) Gymnastics, C) Pole Vaulting, D) Aerial Silks</t>
  </si>
  <si>
    <t>A) Mallakhamb</t>
  </si>
  <si>
    <t>What equipment is used in the sport shown in the image?</t>
  </si>
  <si>
    <t>A) Rope, B) Pole, C) Mat, D) Hoop</t>
  </si>
  <si>
    <t>How old is the sport of Mallakhamb?</t>
  </si>
  <si>
    <t>A) Over 1000 years, B) Over 500 years, C) Over 200 years, D) Over 50 years</t>
  </si>
  <si>
    <t>A) Over 1000 years</t>
  </si>
  <si>
    <t>Who typically performs Mallakhamb?</t>
  </si>
  <si>
    <t>A) Men, B) Women, C) Both Men and Women, D) Children only</t>
  </si>
  <si>
    <t>C) Both Men and Women</t>
  </si>
  <si>
    <t>malkhamb_11</t>
  </si>
  <si>
    <t>How are Mallakhamb tournaments typically organized?</t>
  </si>
  <si>
    <t>A) Nationally and internationally, B) Only locally, C) Only in schools, D) Online</t>
  </si>
  <si>
    <t>A) Nationally and internationally</t>
  </si>
  <si>
    <t>What is a common attire worn by participants in Mallakhamb?</t>
  </si>
  <si>
    <t>A) Tracksuits, B) Traditional Indian attire, C) Gym wear, D) Casual clothing</t>
  </si>
  <si>
    <t>B) Traditional Indian attire</t>
  </si>
  <si>
    <t>What are the benefits of practicing Mallakhamb for athletes?</t>
  </si>
  <si>
    <t>A) Improves mental concentration, B) Enhances muscle endurance, C) Boosts cardiovascular health, D) Increases flexibility and balance</t>
  </si>
  <si>
    <t>D) Increases flexibility and balance</t>
  </si>
  <si>
    <t>A) Rope Mallakhamb, B) Pole Mallakhamb, C) Cloth Mallakhamb, D) Wooden Mallakhamb</t>
  </si>
  <si>
    <t>B) Pole Mallakhamb</t>
  </si>
  <si>
    <t>malkhamb_12</t>
  </si>
  <si>
    <t>What position is the athlete performing in this Mallakhamb image?</t>
  </si>
  <si>
    <t>A) Handstand, B) Split, C) Backbend, D) Forward roll</t>
  </si>
  <si>
    <t>C) Backbend</t>
  </si>
  <si>
    <t>Which type of Mallakhamb is being demonstrated in the image (e.g., pole, rope, or hanging)?</t>
  </si>
  <si>
    <t>A) Pole Mallakhamb, B) Rope Mallakhamb, C) Hanging Mallakhamb, D) None of the above</t>
  </si>
  <si>
    <t>A) Pole Mallakhamb</t>
  </si>
  <si>
    <t>What skill or move is the athlete performing in this Mallakhamb image?</t>
  </si>
  <si>
    <t>A) Lotus pose, B) Eagle pose, C) Plank pose, D) Cobra pose</t>
  </si>
  <si>
    <t>B) Eagle pose</t>
  </si>
  <si>
    <t>How is the performance in this Mallakhamb pose typically judged?</t>
  </si>
  <si>
    <t>A) Based on accuracy and form, B) Based on speed and agility, C) Based on audience applause, D) Based on complexity of the pose</t>
  </si>
  <si>
    <t>A) Based on accuracy and form</t>
  </si>
  <si>
    <t>malkhamb_13</t>
  </si>
  <si>
    <t>A) Pole Mallakhamb, B) Rope Mallakhamb, C) Hanging Mallakhamb, D) Ground Mallakhamb</t>
  </si>
  <si>
    <t>What are the common techniques used to achieve the pose shown in the image?</t>
  </si>
  <si>
    <t>A) Balance and strength, B) Flexibility and grip, C) Speed and agility, D) Endurance and precision</t>
  </si>
  <si>
    <t>B) Flexibility and grip</t>
  </si>
  <si>
    <t>What is the historical significance of the pose shown in this Mallakhamb image?</t>
  </si>
  <si>
    <t>A) It represents the evolution of Mallakhamb, B) It was used for physical training by wrestlers, C) It is a traditional dance pose, D) It signifies spiritual practice</t>
  </si>
  <si>
    <t>B) It was used for physical training by wrestlers</t>
  </si>
  <si>
    <t>What are the rules for executing the move shown in this Mallakhamb image?</t>
  </si>
  <si>
    <t>A) Maintain balance and control, B) Use only one hand, C) Complete within 30 seconds, D) Perform with a partner</t>
  </si>
  <si>
    <t>A) Maintain balance and control</t>
  </si>
  <si>
    <t>malkhamb_14</t>
  </si>
  <si>
    <t>A) It is a traditional pose used in ancient training, B) It is a modern competitive move, C) It represents a religious symbol, D) It is a recent innovation in Mallakhamb</t>
  </si>
  <si>
    <t>A) It is a traditional pose used in ancient training</t>
  </si>
  <si>
    <t>A) Must maintain balance for 10 seconds, B) Hands must not touch the pole, C) Must start and end with the same pose, D) No specific rules</t>
  </si>
  <si>
    <t>A) Must maintain balance for 10 seconds</t>
  </si>
  <si>
    <t>Based on the pose in this image, what can be inferred about the athlete's skill level?</t>
  </si>
  <si>
    <t>A) Advanced skill level, B) Beginner skill level, C) Intermediate skill level, D) Expert skill level</t>
  </si>
  <si>
    <t>A) Advanced skill level</t>
  </si>
  <si>
    <t>What common mistakes should be avoided when performing the move shown in this Mallakhamb image?</t>
  </si>
  <si>
    <t>A) Loss of balance and improper grip, B) Incorrect equipment use, C) Lack of flexibility, D) Inadequate warm-up</t>
  </si>
  <si>
    <t>A) Loss of balance and improper grip</t>
  </si>
  <si>
    <t>Which common injuries are associated with Mallakhamb practice?</t>
  </si>
  <si>
    <t>A) Strains and sprains, B) Fractures, C) Dislocations, D) Head injuries</t>
  </si>
  <si>
    <t>A) Strains and sprains</t>
  </si>
  <si>
    <t>malkhamb_15</t>
  </si>
  <si>
    <t>Identify the key equipment used in this Mallakhamb pose.</t>
  </si>
  <si>
    <t>A) A pole, B) A rope, C) A mat, D) A hoop</t>
  </si>
  <si>
    <t>A) A pole</t>
  </si>
  <si>
    <t>A) Handstand, B) Splits, C) Crane pose, D) Backbend</t>
  </si>
  <si>
    <t>C) Crane pose</t>
  </si>
  <si>
    <t>A) Balance and grip strength, B) Flexibility and endurance, C) Jumping and landing, D) Speed and agility</t>
  </si>
  <si>
    <t>A) Balance and grip strength</t>
  </si>
  <si>
    <t>What are the safety measures necessary for performing the pose shown in this Mallakhamb image?</t>
  </si>
  <si>
    <t>A) Use of a safety mat and proper training, B) Use of a harness and spotter, C) Performing the pose in a padded room, D) Wearing protective gear</t>
  </si>
  <si>
    <t>A) Use of a safety mat and proper training</t>
  </si>
  <si>
    <t>malkhamb_16</t>
  </si>
  <si>
    <t>What type of grip is essential for performing the move shown in this Mallakhamb image?</t>
  </si>
  <si>
    <t>A) Overhand grip, B) Underhand grip, C) Mixed grip, D) No grip required</t>
  </si>
  <si>
    <t>How does the athlete’s body position contribute to the effectiveness of the pose shown in this Mallakhamb image?</t>
  </si>
  <si>
    <t>A) Maintaining a straight line, B) Using a wide stance, C) Keeping the head up, D) Flexing the knees</t>
  </si>
  <si>
    <t>A) Maintaining a straight line</t>
  </si>
  <si>
    <t>What are the primary muscles engaged in performing the pose shown in this Mallakhamb image?</t>
  </si>
  <si>
    <t>A) Core muscles, B) Leg muscles, C) Arm muscles, D) All of the above</t>
  </si>
  <si>
    <t>Which of the following is a common training exercise to improve performance in Mallakhamb?</t>
  </si>
  <si>
    <t>A) Climbing ropes, B) Push-ups, C) Balance beam exercises, D) All of the above</t>
  </si>
  <si>
    <t>malkhamb_17</t>
  </si>
  <si>
    <t>A) Loss of balance, B) Incorrect hand positioning, C) Insufficient warm-up, D) All of the above</t>
  </si>
  <si>
    <t>What type of breathing technique is recommended while performing the Mallakhamb pose shown in the image?</t>
  </si>
  <si>
    <t>A) Deep, controlled breaths, B) Rapid shallow breaths, C) Holding breath, D) Irregular breathing</t>
  </si>
  <si>
    <t>A) Deep, controlled breaths</t>
  </si>
  <si>
    <t>How can practicing the pose shown in this Mallakhamb image benefit an athlete’s performance in other sports?</t>
  </si>
  <si>
    <t>A) By enhancing overall body strength, B) By improving speed, C) By increasing cardiovascular capacity, D) By refining agility</t>
  </si>
  <si>
    <t>A) By enhancing overall body strength</t>
  </si>
  <si>
    <t>What is a common preparatory exercise for mastering the pose shown in the Mallakhamb image?</t>
  </si>
  <si>
    <t>A) Planks, B) Squats, C) Lunges, D) Pull-ups</t>
  </si>
  <si>
    <t>A) Planks</t>
  </si>
  <si>
    <t>malkhamb_18</t>
  </si>
  <si>
    <t>What is the primary muscle group targeted by the pose in this Mallakhamb image?</t>
  </si>
  <si>
    <t>A) Core, B) Legs, C) Arms, D) Back</t>
  </si>
  <si>
    <t>A) Core</t>
  </si>
  <si>
    <t>What common warm-up exercises are recommended before performing the pose shown in the image?</t>
  </si>
  <si>
    <t>A) Stretching, B) Cardio, C) Strength Training, D) Flexibility Drills</t>
  </si>
  <si>
    <t>A) Stretching</t>
  </si>
  <si>
    <t>How does the pose in this image contribute to the overall performance in Mallakhamb?</t>
  </si>
  <si>
    <t>A) Enhances Flexibility, B) Improves Balance, C) Builds Strength, D) All of the Above</t>
  </si>
  <si>
    <t>D) All of the Above</t>
  </si>
  <si>
    <t>What is the best way to gradually increase difficulty while practicing the pose shown in the image?</t>
  </si>
  <si>
    <t>A) Increase Duration, B) Add Variations, C) Use Weights, D) Increase Speed</t>
  </si>
  <si>
    <t>B) Add Variations</t>
  </si>
  <si>
    <t>malkhamb_19</t>
  </si>
  <si>
    <t>A) Pole Mallakhamb, B) Rope Mallakhamb, C) Hanging Mallakhamb, D) None of the Above</t>
  </si>
  <si>
    <t>A) Gymnastic Rings, B) Horizontal Bar, C) Mallakhamb Pole, D) Exercise Mat</t>
  </si>
  <si>
    <t>C) Mallakhamb Pole</t>
  </si>
  <si>
    <t>In which state of India did Mallakhamb originate?</t>
  </si>
  <si>
    <t>A) Maharashtra, B) Karnataka, C) Tamil Nadu, D) Gujarat</t>
  </si>
  <si>
    <t>A) It symbolizes agility and strength, B) It is a traditional dance pose, C) It represents a historical battle stance, D) It is part of a yoga practice</t>
  </si>
  <si>
    <t>A) It symbolizes agility and strength</t>
  </si>
  <si>
    <t>malkhamb_20</t>
  </si>
  <si>
    <t>Which type of Mallakhamb is being demonstrated in the image?</t>
  </si>
  <si>
    <t>A) Pole, B) Rope, C) Hanging, D) Floor</t>
  </si>
  <si>
    <t>A) Pole, B) Rope, C) Floor Mat, D) Bar</t>
  </si>
  <si>
    <t>A) Spinning, B) Balancing, C) Climbing, D) Jumping</t>
  </si>
  <si>
    <t>B) Balancing</t>
  </si>
  <si>
    <t>A) Flexibility and Strength, B) Speed and Agility, C) Jumping and Twisting, D) Swinging and Spinning</t>
  </si>
  <si>
    <t>A) Flexibility and Strength</t>
  </si>
  <si>
    <t>malkhamb_21</t>
  </si>
  <si>
    <t>A) Core strength and balance, B) Flexibility and agility, C) Speed and strength, D) Endurance and coordination</t>
  </si>
  <si>
    <t>A) Core strength and balance</t>
  </si>
  <si>
    <t>A) Maintain proper alignment and balance, B) Perform with maximum speed, C) Use minimal equipment, D) Execute with minimal movement</t>
  </si>
  <si>
    <t>A) Maintain proper alignment and balance</t>
  </si>
  <si>
    <t>A) Beginner, B) Intermediate, C) Advanced, D) Expert</t>
  </si>
  <si>
    <t>C) Advanced</t>
  </si>
  <si>
    <t>A) Incorrect hand placement, B) Lack of core engagement, C) Poor alignment, D) All of the above</t>
  </si>
  <si>
    <t>malkhamb_22</t>
  </si>
  <si>
    <t>What is the role of castor oil in this sport?</t>
  </si>
  <si>
    <t>A) To reduce friction, B) To enhance grip, C) To prevent injury, D) To improve flexibility</t>
  </si>
  <si>
    <t>B) To enhance grip</t>
  </si>
  <si>
    <t>What is the primary purpose of practicing this sport?</t>
  </si>
  <si>
    <t>A) To improve physical strength, B) To enhance artistic skills, C) For spiritual growth, D) To prepare for competitive sports</t>
  </si>
  <si>
    <t>A) To improve physical strength</t>
  </si>
  <si>
    <t>Which historical figure is known for promoting this sport internationally?</t>
  </si>
  <si>
    <t>A) Mahatma Gandhi, B) Jawaharlal Nehru, C) Adolf Hitler, D) Sardar Patel</t>
  </si>
  <si>
    <t>C) Adolf Hitler</t>
  </si>
  <si>
    <t>malkhamb_23</t>
  </si>
  <si>
    <t>From the image, what is the athlete performing on?</t>
  </si>
  <si>
    <t>A) A horizontal bar, B) A vertical pole, C) A balance beam, D) A trapeze</t>
  </si>
  <si>
    <t>B) A vertical pole</t>
  </si>
  <si>
    <t>From the image, what is the main focus of the athlete's position?</t>
  </si>
  <si>
    <t>From the image, what kind of surface is the Mallakhamb pole likely placed on?</t>
  </si>
  <si>
    <t>A) Grass, B) Sand, C) Wood, D) Concrete</t>
  </si>
  <si>
    <t>From the image, how is the athlete's position best described?</t>
  </si>
  <si>
    <t>A) Standing, B) Hanging, C) Sitting, D) Lying</t>
  </si>
  <si>
    <t>B) Hanging</t>
  </si>
  <si>
    <t>malkhamb_24</t>
  </si>
  <si>
    <t>From the image, what feature of the rope prevents the athlete from falling?</t>
  </si>
  <si>
    <t>A) A knot, B) A loop, C) A clamp, D) A hook</t>
  </si>
  <si>
    <t>B) A loop</t>
  </si>
  <si>
    <t>From the image, what aspect of Mallakhamb is highlighted through the athlete’s performance?</t>
  </si>
  <si>
    <t>A) Flexibility, B) Strength, C) Balance, D) Agility</t>
  </si>
  <si>
    <t>B) Strength</t>
  </si>
  <si>
    <t>From the image, what can be inferred about the difficulty level of the move being performed?</t>
  </si>
  <si>
    <t>A) Easy, B) Moderate, C) Challenging, D) Simple</t>
  </si>
  <si>
    <t>C) Challenging</t>
  </si>
  <si>
    <t>From the image, what is the likely reason for the coach’s detailed observation?</t>
  </si>
  <si>
    <t>A) To ensure proper technique, B) To motivate the athlete, C) To document progress, D) To assess safety</t>
  </si>
  <si>
    <t>A) To ensure proper technique</t>
  </si>
  <si>
    <t>From the image, what does the athlete's ability to climb back up the rope indicate?</t>
  </si>
  <si>
    <t>A) Physical strength, B) Endurance, C) Agility, D) Flexibility</t>
  </si>
  <si>
    <t>A) Physical strength</t>
  </si>
  <si>
    <t>From the image, how does the coach's approach to training compare to typical coaching methods?</t>
  </si>
  <si>
    <t>A) Very traditional, B) Very modern, C) Similar to ballet, D) Casual and relaxed</t>
  </si>
  <si>
    <t>C) Similar to ballet</t>
  </si>
  <si>
    <t>From the image, what is the coach doing while the athlete performs?</t>
  </si>
  <si>
    <t>A) Taking notes, B) Making adjustments, C) Cheering, D) Watching passively</t>
  </si>
  <si>
    <t>B) Making adjustments</t>
  </si>
  <si>
    <t>From the image, what is the condition of the athlete’s grip on the rope?</t>
  </si>
  <si>
    <t>A) Loose, B) Tight, C) Slippery, D) Uncertain</t>
  </si>
  <si>
    <t>B) Tight</t>
  </si>
  <si>
    <t>malkhamb_25</t>
  </si>
  <si>
    <t>For the sport in the image, what is the primary focus of the athlete's training?</t>
  </si>
  <si>
    <t>A) Strength, B) Speed, C) Endurance, D) Flexibility</t>
  </si>
  <si>
    <t>A) Strength</t>
  </si>
  <si>
    <t>In the sport shown in the image, which equipment is the athlete using?</t>
  </si>
  <si>
    <t>A) Fixed Pole, B) Rope, C) Hanging Pole, D) Parallel Bars</t>
  </si>
  <si>
    <t>What is the main apparatus used in the sport depicted in the image?</t>
  </si>
  <si>
    <t>A) Pole, B) Rope, C) Rings, D) Beam</t>
  </si>
  <si>
    <t>A) Pole</t>
  </si>
  <si>
    <t>For the sport in the image, what kind of movements are primarily involved?</t>
  </si>
  <si>
    <t>A) Static, B) Dynamic, C) Rhythmic, D) Aerobic</t>
  </si>
  <si>
    <t>malkhamb_26</t>
  </si>
  <si>
    <t>A) Strength, B) Balance, C) Flexibility, D) Endurance</t>
  </si>
  <si>
    <t>For the sport in the image, which age group commonly practices this sport?</t>
  </si>
  <si>
    <t>A) Children, B) Adults, C) Seniors, D) All age groups</t>
  </si>
  <si>
    <t>D) All age groups</t>
  </si>
  <si>
    <t>What is the main purpose of the sport Mallakhamb depicted in the image?</t>
  </si>
  <si>
    <t>A) Competition, B) Fitness, C) Meditation, D) Self-defense</t>
  </si>
  <si>
    <t>B) Fitness</t>
  </si>
  <si>
    <t>malkhamb_27</t>
  </si>
  <si>
    <t>Which type of Mallakhamb is being performed in the image?</t>
  </si>
  <si>
    <t>A) Fixed Pole, B) Hanging Pole, C) Rope, D) Water-based</t>
  </si>
  <si>
    <t>C) Rope</t>
  </si>
  <si>
    <t>For the sport in the image, what is the purpose of the rope?</t>
  </si>
  <si>
    <t>A) Support balance, B) Assist in climbing, C) Provide flexibility, D) Help with speed</t>
  </si>
  <si>
    <t>B) Assist in climbing</t>
  </si>
  <si>
    <t>What kind of training is essential for the athlete in the image?</t>
  </si>
  <si>
    <t>A) Speed training, B) Strength training, C) Endurance training, D) Flexibility training</t>
  </si>
  <si>
    <t>C) Endurance training</t>
  </si>
  <si>
    <t>What position is the athlete performing in the image?</t>
  </si>
  <si>
    <t>A) Handstand, B) Backbend, C) Split, D) Climbing pose</t>
  </si>
  <si>
    <t>D) Climbing pose</t>
  </si>
  <si>
    <t>malkhamb_28</t>
  </si>
  <si>
    <t>Which region of India is traditionally known for practicing the sport in the image?</t>
  </si>
  <si>
    <t>A) Maharashtra, B) Punjab, C) Kerala, D) Gujarat</t>
  </si>
  <si>
    <t>What is the common attire worn by participants in the sport in the image?</t>
  </si>
  <si>
    <t>A) Traditional Indian clothes, B) Gymnastics leotard, C) Shorts and tank top, D) Karate Gi</t>
  </si>
  <si>
    <t>C) Shorts and tank top</t>
  </si>
  <si>
    <t>For the sport in the image, which part of the body is primarily used?</t>
  </si>
  <si>
    <t>A) Arms, B) Legs, C) Core, D) Hands and feet</t>
  </si>
  <si>
    <t>D) Hands and feet</t>
  </si>
  <si>
    <t>In the sport in the image, what is the main skill demonstrated?</t>
  </si>
  <si>
    <t>A) Flexibility, B) Balance, C) Agility, D) Endurance</t>
  </si>
  <si>
    <t>malkhamb_29</t>
  </si>
  <si>
    <t>For the sport in the image, what is the main apparatus made from?</t>
  </si>
  <si>
    <t>A) Metal, B) Wood, C) Plastic, D) Steel</t>
  </si>
  <si>
    <t>Which physical skill is enhanced by practicing the sport in the image?</t>
  </si>
  <si>
    <t>A) Cardio, B) Flexibility, C) Strength, D) Speed</t>
  </si>
  <si>
    <t>C) Strength</t>
  </si>
  <si>
    <t>Which historical figure is known for promoting the sport in the image?</t>
  </si>
  <si>
    <t>A) Balambhatt Deodhar, B) Mahatma Gandhi, C) Akshay Kumar, D) Sardar Patel</t>
  </si>
  <si>
    <t>A) Balambhatt Deodhar</t>
  </si>
  <si>
    <t>What is the surface on which the pole in the image is likely placed?</t>
  </si>
  <si>
    <t>A) Wooden platform, B) Grass, C) Sand, D) Rubber mat</t>
  </si>
  <si>
    <t>A) Wooden platform</t>
  </si>
  <si>
    <t>malkhamb_30</t>
  </si>
  <si>
    <t>For the sport in the image, how is the athlete's position judged?</t>
  </si>
  <si>
    <t>A) Speed, B) Precision, C) Creativity, D) Time taken</t>
  </si>
  <si>
    <t>A) Fixed Pole, B) Rope, C) Hanging Pole, D) Water-based</t>
  </si>
  <si>
    <t>A) Fixed Pole</t>
  </si>
  <si>
    <t>A) Indian Olympic Association, B) International Mallakhamb Federation, C) World Gymnastics Federation, D) Indian Sports Authority</t>
  </si>
  <si>
    <t>B) International Mallakhamb Federation</t>
  </si>
  <si>
    <t>In the sport in the image, what is the main feature of the rope?</t>
  </si>
  <si>
    <t>A) Its length, B) Its flexibility, C) Its strength, D) Its texture</t>
  </si>
  <si>
    <t>C) Its strength</t>
  </si>
  <si>
    <t>malkhamb_31</t>
  </si>
  <si>
    <t>What is the primary purpose of practicing the sport in the image?</t>
  </si>
  <si>
    <t>A) Health benefits, B) Defense skills, C) Entertainment, D) Meditation</t>
  </si>
  <si>
    <t>A) Health benefits</t>
  </si>
  <si>
    <t>For the sport in the image, which muscle group is primarily engaged?</t>
  </si>
  <si>
    <t>A) Legs, B) Core, C) Arms, D) Shoulders</t>
  </si>
  <si>
    <t>B) Core</t>
  </si>
  <si>
    <t>What kind of grip is essential for the athlete in the image?</t>
  </si>
  <si>
    <t>A) Firm grip, B) Loose grip, C) Soft grip, D) Rotational grip</t>
  </si>
  <si>
    <t>A) Firm grip</t>
  </si>
  <si>
    <t>In the sport in the image, what is the purpose of using castor oil?</t>
  </si>
  <si>
    <t>A) To reduce friction, B) To enhance grip, C) To polish equipment, D) To prevent injuries</t>
  </si>
  <si>
    <t>malkhamb_32</t>
  </si>
  <si>
    <t>Which region of India is considered the origin of the sport depicted in the image?</t>
  </si>
  <si>
    <t>A) Maharashtra, B) Tamil Nadu, C) Kerala, D) Karnataka</t>
  </si>
  <si>
    <t>What type of breathing technique is recommended during Mallakhamb practice?</t>
  </si>
  <si>
    <t>A) Deep breathing, B) Shallow breathing, C) Controlled exhalation, D) Rapid breathing</t>
  </si>
  <si>
    <t>A) Deep breathing</t>
  </si>
  <si>
    <t>What type of warm-up is recommended before practicing the sport in the image?</t>
  </si>
  <si>
    <t>A) Cardio, B) Static stretching, C) Dynamic stretching, D) Weight lifting</t>
  </si>
  <si>
    <t>C) Dynamic stretching</t>
  </si>
  <si>
    <t>Which age group primarily practices the sport in the image?</t>
  </si>
  <si>
    <t>A) 5-10 years, B) 10-20 years, C) 20-40 years, D) All age groups</t>
  </si>
  <si>
    <t>malkhamb_33</t>
  </si>
  <si>
    <t>Which of the following is a key feature of Fixed Pole Mallakhamb?</t>
  </si>
  <si>
    <t>What type of grip is essential for performing Rope Mallakhamb?</t>
  </si>
  <si>
    <t>A) Light grip, B) Rotational grip, C) Firm grip, D) Slippery grip</t>
  </si>
  <si>
    <t>C) Firm grip</t>
  </si>
  <si>
    <t>For the sport in the image, what is a common preparatory exercise?</t>
  </si>
  <si>
    <t>A) Push-ups, B) Squats, C) Hanging exercises, D) Running</t>
  </si>
  <si>
    <t>C) Hanging exercises</t>
  </si>
  <si>
    <t>What is the historical significance of the pose shown in the image?</t>
  </si>
  <si>
    <t>A) Ancient martial art, B) Traditional gymnastics, C) Cultural performance, D) Modern sport</t>
  </si>
  <si>
    <t>C) Cultural performance</t>
  </si>
  <si>
    <t>gilli_danda_1</t>
  </si>
  <si>
    <t>From the sport shown in the image, what is the primary tool used to strike the target?</t>
  </si>
  <si>
    <t>a) A wooden stick, b) A metal rod, c) A plastic bat, d) A rubber mallet</t>
  </si>
  <si>
    <t>a) A wooden stick</t>
  </si>
  <si>
    <t>From the sport shown in the image, what action must the striker perform after hitting the small piece?</t>
  </si>
  <si>
    <t>a) Run to a safe spot, b) Catch the piece, c) Spin around, d) Score a goal</t>
  </si>
  <si>
    <t>a) Run to a safe spot</t>
  </si>
  <si>
    <t>From the sport shown in the image, what is the small cylindrical object called?</t>
  </si>
  <si>
    <t>a) Gilli, b) Danda, c) Kitti, d) Chhota</t>
  </si>
  <si>
    <t>a) Gilli</t>
  </si>
  <si>
    <t>From the sport shown in the image, how is a point scored?</t>
  </si>
  <si>
    <t>a) By hitting the target as far as possible, b) By running to a base, c) By catching the object, d) By striking the target with accuracy</t>
  </si>
  <si>
    <t>a) By hitting the target as far as possible</t>
  </si>
  <si>
    <t>gilli_danda_2</t>
  </si>
  <si>
    <t>From the sport shown in the image, which area does the striker need to avoid hitting with the stick?</t>
  </si>
  <si>
    <t>a) The ground, b) The opponent, c) The base, d) The boundary line</t>
  </si>
  <si>
    <t>b) The opponent</t>
  </si>
  <si>
    <t>From the sport shown in the image, what happens if the striker misses hitting the target?</t>
  </si>
  <si>
    <t>a) The turn is lost, b) A point is deducted, c) The game is reset, d) The striker tries again</t>
  </si>
  <si>
    <t>a) The turn is lost</t>
  </si>
  <si>
    <t>From the sport shown in the image, what is the purpose of the smaller stick?</t>
  </si>
  <si>
    <t>a) To be struck by the larger stick, b) To measure distance, c) To mark boundaries, d) To throw at opponents</t>
  </si>
  <si>
    <t>a) To be struck by the larger stick</t>
  </si>
  <si>
    <t>From the sport shown in the image, how is the winner determined?</t>
  </si>
  <si>
    <t>a) By the player who hits the farthest, b) By the player who runs the most, c) By the player who catches the most, d) By the player who strikes the most targets</t>
  </si>
  <si>
    <t>a) By the player who hits the farthest</t>
  </si>
  <si>
    <t>gilli_danda_3</t>
  </si>
  <si>
    <t>From the sport shown in the image, what is the typical playing area?</t>
  </si>
  <si>
    <t>a) An open field, b) A court, c) A grassy lawn, d) A sandy area</t>
  </si>
  <si>
    <t>a) An open field</t>
  </si>
  <si>
    <t>From the sport shown in the image, which hand is usually used to hold the larger stick?</t>
  </si>
  <si>
    <t>a) Dominant hand, b) Non-dominant hand, c) Both hands, d) Any hand</t>
  </si>
  <si>
    <t>a) Dominant hand</t>
  </si>
  <si>
    <t>From the sport shown in the image, what is the consequence of hitting the target into a restricted area?</t>
  </si>
  <si>
    <t>a) The turn is forfeited, b) Extra points are awarded, c) The opponent gains a point, d) The target is reset</t>
  </si>
  <si>
    <t>From the sport shown in the image, how is the game started?</t>
  </si>
  <si>
    <t>a) By striking the target with the larger stick, b) By throwing the target into the air, c) By running to a base, d) By flipping a coin</t>
  </si>
  <si>
    <t>b) By throwing the target into the air</t>
  </si>
  <si>
    <t>gilli_danda_4</t>
  </si>
  <si>
    <t>From the sport shown in the image, what happens when the target is caught by the opponent?</t>
  </si>
  <si>
    <t>a) The striker's turn ends, b) The game is paused, c) Points are exchanged, d) The target is re-struck</t>
  </si>
  <si>
    <t>a) The striker's turn ends</t>
  </si>
  <si>
    <t>From the sport shown in the image, how does the striker choose the distance to hit the target?</t>
  </si>
  <si>
    <t>a) Based on skill level, b) Based on opponent's position, c) Randomly, d) By measuring with the stick</t>
  </si>
  <si>
    <t>b) Based on opponent's position</t>
  </si>
  <si>
    <t>From the sport shown in the image, what is the role of the larger stick?</t>
  </si>
  <si>
    <t>a) To hit the smaller stick, b) To defend against opponents, c) To measure distance, d) To mark the playing area</t>
  </si>
  <si>
    <t>a) To hit the smaller stick</t>
  </si>
  <si>
    <t>From the sport shown in the image, what determines the end of a player's turn?</t>
  </si>
  <si>
    <t>a) Missing the target, b) Hitting the target into the ground, c) Opponent catching the target, d) Crossing a boundary line</t>
  </si>
  <si>
    <t>c) Opponent catching the target</t>
  </si>
  <si>
    <t>gilli_danda_5</t>
  </si>
  <si>
    <t>From the sport shown in the image, which skill is most crucial for the striker?</t>
  </si>
  <si>
    <t>a) Precision, b) Strength, c) Speed, d) Stamina</t>
  </si>
  <si>
    <t>From the sport shown in the image, what happens if the striker hits the target beyond the boundary?</t>
  </si>
  <si>
    <t>a) Points are awarded, b) The turn is forfeited, c) The target is retrieved, d) A penalty is imposed</t>
  </si>
  <si>
    <t>a) Points are awarded</t>
  </si>
  <si>
    <t>From the sport shown in the image, what is a common strategy to win?</t>
  </si>
  <si>
    <t>a) Hitting the target far, b) Keeping the target low, c) Aiming at opponents, d) Swinging with full force</t>
  </si>
  <si>
    <t>a) Hitting the target far</t>
  </si>
  <si>
    <t>a) Until all players have had their turn, b) Until a set score is reached, c) Until the target is broken, d) Until a timer runs out</t>
  </si>
  <si>
    <t>a) Until all players have had their turn</t>
  </si>
  <si>
    <t>gilli_danda_6</t>
  </si>
  <si>
    <t>From the sport shown in the image, which part of the target is aimed at?</t>
  </si>
  <si>
    <t>a) The middle, b) The end, c) The tip, d) The side</t>
  </si>
  <si>
    <t>b) The end</t>
  </si>
  <si>
    <t>From the sport shown in the image, what is the typical material of the target?</t>
  </si>
  <si>
    <t>a) Wood, b) Metal, c) Plastic, d) Stone</t>
  </si>
  <si>
    <t>From the sport shown in the image, which group often plays this sport?</t>
  </si>
  <si>
    <t>a) Children, b) Adults, c) Elderly, d) Professionals</t>
  </si>
  <si>
    <t>a) Children</t>
  </si>
  <si>
    <t>From the sport shown in the image, how is the target initially positioned?</t>
  </si>
  <si>
    <t>a) On the ground, b) In the air, c) On a stand, d) In a player's hand</t>
  </si>
  <si>
    <t>a) On the ground</t>
  </si>
  <si>
    <t>gilli_danda_7</t>
  </si>
  <si>
    <t>From the sport shown in the image, what is the purpose of the target being cylindrical?</t>
  </si>
  <si>
    <t>a) To be struck easily, b) To roll further, c) To spin in the air, d) To be balanced</t>
  </si>
  <si>
    <t>c) To spin in the air</t>
  </si>
  <si>
    <t>From the sport shown in the image, what happens if the target is not struck properly?</t>
  </si>
  <si>
    <t>a) The striker loses their turn, b) The striker tries again, c) The target is reset, d) The opponent scores points</t>
  </si>
  <si>
    <t>a) The striker loses their turn</t>
  </si>
  <si>
    <t>From the sport shown in the image, what is a common defensive strategy for the opponent?</t>
  </si>
  <si>
    <t>a) Catching the target, b) Blocking the striker, c) Running to the base, d) Hiding the target</t>
  </si>
  <si>
    <t>a) Catching the target</t>
  </si>
  <si>
    <t>From the sport shown in the image, what is a common way to determine who starts the game?</t>
  </si>
  <si>
    <t>a) Flipping a coin, b) Drawing lots, c) By age, d) Rock-paper-scissors</t>
  </si>
  <si>
    <t>a) Flipping a coin</t>
  </si>
  <si>
    <t>gilli_danda_8</t>
  </si>
  <si>
    <t>From the sport shown in the image, what is a typical penalty for breaking a rule?</t>
  </si>
  <si>
    <t>a) Loss of turn, b) Deduction of points, c) Time-out, d) Disqualification</t>
  </si>
  <si>
    <t>a) Loss of turn</t>
  </si>
  <si>
    <t>From the sport shown in the image, how many players are usually involved?</t>
  </si>
  <si>
    <t>From the sport shown in the image, what is the main goal for the striker?</t>
  </si>
  <si>
    <t>a) To hit the target as far as possible, b) To catch the target, c) To defend the target, d) To block the opponent</t>
  </si>
  <si>
    <t>a) To hit the target as far as possible</t>
  </si>
  <si>
    <t>From the sport shown in the image, what is the primary physical skill needed?</t>
  </si>
  <si>
    <t>a) Hand-eye coordination, b) Strength, c) Endurance, d) Flexibility</t>
  </si>
  <si>
    <t>a) Hand-eye coordination</t>
  </si>
  <si>
    <t>gilli_danda_9</t>
  </si>
  <si>
    <t>From the sport shown in the image, what should the striker avoid during the game?</t>
  </si>
  <si>
    <t>a) Hitting the target into the ground, b) Swinging too hard, c) Running too fast, d) Catching the target</t>
  </si>
  <si>
    <t>a) Hitting the target into the ground</t>
  </si>
  <si>
    <t>From the sport shown in the image, what is a possible outcome if the opponent fails to catch the target?</t>
  </si>
  <si>
    <t>a) The striker scores more points, b) The game resets, c) The opponent loses points, d) The striker gains another turn</t>
  </si>
  <si>
    <t>a) The striker scores more points</t>
  </si>
  <si>
    <t>From the sport shown in the image, what type of terrain is ideal for playing?</t>
  </si>
  <si>
    <t>a) Flat and open, b) Rocky and uneven, c) Grassy and soft, d) Sandy and loose</t>
  </si>
  <si>
    <t>a) Flat and open</t>
  </si>
  <si>
    <t>From the sport shown in the image, what is one way to end a game?</t>
  </si>
  <si>
    <t>a) When a set number of points is reached, b) When the target is lost, c) When all players have had their turn, d) When it gets dark</t>
  </si>
  <si>
    <t>c) When all players have had their turn</t>
  </si>
  <si>
    <t>gilli_danda_10</t>
  </si>
  <si>
    <t>From the sport shown in the image, which hand technique is often used to strike the target?</t>
  </si>
  <si>
    <t>a) Overhand, b) Underhand, c) Sidearm, d) Backhand</t>
  </si>
  <si>
    <t>a) Overhand</t>
  </si>
  <si>
    <t>From the sport shown in the image, what is the role of the non-striking hand?</t>
  </si>
  <si>
    <t>a) To balance the stick, b) To hold the target, c) To defend against the opponent, d) To measure distance</t>
  </si>
  <si>
    <t>b) To hold the target</t>
  </si>
  <si>
    <t>From the sport shown in the image, what is the purpose of marking the ground?</t>
  </si>
  <si>
    <t>a) To indicate boundaries, b) To show where to stand, c) To measure distance, d) To mark scoring zones</t>
  </si>
  <si>
    <t>b) To show where to stand</t>
  </si>
  <si>
    <t>From the sport shown in the image, what is a common sign of success in the game?</t>
  </si>
  <si>
    <t>a) Hitting the target far, b) Keeping the target low, c) Avoiding opponents, d) Maintaining balance</t>
  </si>
  <si>
    <t>gilli_danda_11</t>
  </si>
  <si>
    <t>From the sport shown in the image, what is the primary objective of the non-striking player?</t>
  </si>
  <si>
    <t>a) To catch the target, b) To block the striker, c) To score points, d) To run to a safe area</t>
  </si>
  <si>
    <t>a) To catch the target</t>
  </si>
  <si>
    <t>From the sport shown in the image, what happens if the target is hit into a high area?</t>
  </si>
  <si>
    <t>a) Extra points are awarded, b) The turn is lost, c) The game is paused, d) The opponent gains an advantage</t>
  </si>
  <si>
    <t>a) Extra points are awarded</t>
  </si>
  <si>
    <t>From the sport shown in the image, what skill is required to hit the target accurately?</t>
  </si>
  <si>
    <t>a) Hand-eye coordination, b) Endurance, c) Agility, d) Flexibility</t>
  </si>
  <si>
    <t>From the sport shown in the image, what is the significance of the striker's stance?</t>
  </si>
  <si>
    <t>a) To maintain balance, b) To confuse the opponent, c) To show strength, d) To gain momentum</t>
  </si>
  <si>
    <t>gilli_danda_12</t>
  </si>
  <si>
    <t>From the sport shown in the image, what happens if the target lands outside the playing area?</t>
  </si>
  <si>
    <t>a) The striker scores more points, b) The turn is forfeited, c) The target is reset, d) The opponent wins the round</t>
  </si>
  <si>
    <t>b) The turn is forfeited</t>
  </si>
  <si>
    <t>From the sport shown in the image, what should the striker focus on while preparing to hit the target?</t>
  </si>
  <si>
    <t>a) The position of the opponent, b) The distance to the boundary, c) The height of the target, d) The strength of the swing</t>
  </si>
  <si>
    <t>c) The height of the target</t>
  </si>
  <si>
    <t>From the sport shown in the image, how does the striker determine the force needed to hit the target?</t>
  </si>
  <si>
    <t>a) By judging the distance, b) By observing the opponent, c) By measuring the target, d) By swinging with full force</t>
  </si>
  <si>
    <t>a) By judging the distance</t>
  </si>
  <si>
    <t>From the sport shown in the image, what is the consequence of hitting the target too softly?</t>
  </si>
  <si>
    <t>a) The target doesn't go far, b) The opponent gains points, c) The target breaks, d) The game resets</t>
  </si>
  <si>
    <t>a) The target doesn't go far</t>
  </si>
  <si>
    <t>gilli_danda_13</t>
  </si>
  <si>
    <t>From the sport shown in the image, what should the striker avoid during their swing?</t>
  </si>
  <si>
    <t>a) Over-rotating the body, b) Underestimating the target, c) Focusing on the opponent, d) Looking at the ground</t>
  </si>
  <si>
    <t>a) Over-rotating the body</t>
  </si>
  <si>
    <t>From the sport shown in the image, what is a common technique used to strike the target?</t>
  </si>
  <si>
    <t>a) Flicking with the wrist, b) Swinging with the whole arm, c) Using the non-dominant hand, d) Jumping while swinging</t>
  </si>
  <si>
    <t>a) Flicking with the wrist</t>
  </si>
  <si>
    <t>From the sport shown in the image, what is the main challenge for the striker?</t>
  </si>
  <si>
    <t>a) Hitting the target accurately, b) Avoiding the opponent, c) Balancing the stick, d) Running to the base</t>
  </si>
  <si>
    <t>a) Hitting the target accurately</t>
  </si>
  <si>
    <t>From the sport shown in the image, what happens if the striker hits the target directly towards the opponent?</t>
  </si>
  <si>
    <t>a) The opponent tries to catch it, b) The game resets, c) The striker loses points, d) The target is removed</t>
  </si>
  <si>
    <t>a) The opponent tries to catch it</t>
  </si>
  <si>
    <t>gilli_danda_14</t>
  </si>
  <si>
    <t>From the sport shown in the image, what role does the smaller stick play in the game?</t>
  </si>
  <si>
    <t>a) It acts as the target, b) It marks the boundaries, c) It is used for measuring, d) It signals the start</t>
  </si>
  <si>
    <t>a) It acts as the target</t>
  </si>
  <si>
    <t>From the sport shown in the image, how can the striker maximize the distance the target travels?</t>
  </si>
  <si>
    <t>a) By striking at an angle, b) By hitting it with full force, c) By using a longer stick, d) By aiming at the ground</t>
  </si>
  <si>
    <t>a) By striking at an angle</t>
  </si>
  <si>
    <t>From the sport shown in the image, what is a common strategy for the opponent?</t>
  </si>
  <si>
    <t>a) Positioning themselves in the target's path, b) Distracting the striker, c) Running to the base, d) Holding the target</t>
  </si>
  <si>
    <t>a) Positioning themselves in the target's path</t>
  </si>
  <si>
    <t>From the sport shown in the image, what happens if the target breaks during the game?</t>
  </si>
  <si>
    <t>a) The game is paused, b) The target is replaced, c) The striker loses points, d) The opponent wins the round</t>
  </si>
  <si>
    <t>b) The target is replaced</t>
  </si>
  <si>
    <t>gilli_danda_15</t>
  </si>
  <si>
    <t>From the sport shown in the image, how is the winner of the game determined?</t>
  </si>
  <si>
    <t>a) By the total distance the target is hit, b) By the number of successful hits, c) By the number of catches, d) By the number of turns taken</t>
  </si>
  <si>
    <t>a) By the total distance the target is hit</t>
  </si>
  <si>
    <t>From the sport shown in the image, what is the typical position of the opponent when the striker is preparing to hit?</t>
  </si>
  <si>
    <t>a) At a distance from the striker, b) Close to the striker, c) Behind the striker, d) On the boundary line</t>
  </si>
  <si>
    <t>a) At a distance from the striker</t>
  </si>
  <si>
    <t>From the sport shown in the image, what should the striker do immediately after hitting the target?</t>
  </si>
  <si>
    <t>a) Observe the target's flight, b) Prepare for the next hit, c) Run to a safe spot, d) Wait for the opponent's reaction</t>
  </si>
  <si>
    <t>a) Observe the target's flight</t>
  </si>
  <si>
    <t>From the sport shown in the image, what is a common mistake made by beginners?</t>
  </si>
  <si>
    <t>a) Hitting the target too hard, b) Missing the target entirely, c) Not positioning correctly, d) Focusing too much on the opponent</t>
  </si>
  <si>
    <t>b) Missing the target entirely</t>
  </si>
  <si>
    <t>gilli_danda_16</t>
  </si>
  <si>
    <t>From the sport shown in the image, what is the primary material used for the sticks?</t>
  </si>
  <si>
    <t>a) Wood, b) Metal, c) Plastic, d) Bamboo</t>
  </si>
  <si>
    <t>From the sport shown in the image, what is a typical defensive move by the opponent?</t>
  </si>
  <si>
    <t>a) Catching the target mid-air, b) Blocking the striker, c) Hitting the target back, d) Distracting the striker</t>
  </si>
  <si>
    <t>a) Catching the target mid-air</t>
  </si>
  <si>
    <t>From the sport shown in the image, how does the striker decide where to aim the target?</t>
  </si>
  <si>
    <t>a) By assessing the field, b) By watching the opponent's position, c) By calculating the distance, d) By guessing</t>
  </si>
  <si>
    <t>b) By watching the opponent's position</t>
  </si>
  <si>
    <t>From the sport shown in the image, what is the purpose of swinging with controlled force?</t>
  </si>
  <si>
    <t>a) To ensure accuracy, b) To conserve energy, c) To surprise the opponent, d) To avoid breaking the target</t>
  </si>
  <si>
    <t>a) To ensure accuracy</t>
  </si>
  <si>
    <t>gilli_danda_17</t>
  </si>
  <si>
    <t>From the sport shown in the image, what happens if the striker hits the target into an obstacle?</t>
  </si>
  <si>
    <t>a) The target is retrieved, b) The turn is forfeited, c) The obstacle is removed, d) The opponent scores points</t>
  </si>
  <si>
    <t>From the sport shown in the image, what is the benefit of a well-timed swing?</t>
  </si>
  <si>
    <t>a) Maximizing the distance, b) Confusing the opponent, c) Hitting the target at the right angle, d) Avoiding penalties</t>
  </si>
  <si>
    <t>a) Maximizing the distance</t>
  </si>
  <si>
    <t>From the sport shown in the image, what should the striker focus on while the target is in the air?</t>
  </si>
  <si>
    <t>a) The direction of the target, b) The opponent's movements, c) The ground conditions, d) The force of the wind</t>
  </si>
  <si>
    <t>a) The direction of the target</t>
  </si>
  <si>
    <t>From the sport shown in the image, what is a good tactic for the striker to use?</t>
  </si>
  <si>
    <t>a) Varying the strength of swings, b) Always hitting with full force, c) Aiming directly at the opponent, d) Keeping the target low</t>
  </si>
  <si>
    <t>a) Varying the strength of swings</t>
  </si>
  <si>
    <t>gilli_danda_18</t>
  </si>
  <si>
    <t>From the sport shown in the image, what is the significance of the position of the target before it is hit?</t>
  </si>
  <si>
    <t>a) It affects the accuracy of the strike, b) It determines the opponent's strategy, c) It signals the end of the turn, d) It marks the start of the game</t>
  </si>
  <si>
    <t>a) It affects the accuracy of the strike</t>
  </si>
  <si>
    <t>From the sport shown in the image, what is a common reason for a striker to lose a turn?</t>
  </si>
  <si>
    <t>a) Missing the target, b) Hitting the target too far, c) Not swinging hard enough, d) Taking too long to swing</t>
  </si>
  <si>
    <t>a) Missing the target</t>
  </si>
  <si>
    <t>From the sport shown in the image, what is the advantage of hitting the target in a particular direction?</t>
  </si>
  <si>
    <t>a) To avoid the opponent, b) To gain extra points, c) To confuse the opponent, d) To break the target</t>
  </si>
  <si>
    <t>a) To avoid the opponent</t>
  </si>
  <si>
    <t>From the sport shown in the image, what is the main risk of an overly aggressive swing?</t>
  </si>
  <si>
    <t>a) Losing control of the target, b) Breaking the stick, c) Hitting an opponent, d) Losing balance</t>
  </si>
  <si>
    <t>a) Losing control of the target</t>
  </si>
  <si>
    <t>gilli_danda_19</t>
  </si>
  <si>
    <t>From the sport shown in the image, how does the striker know when to stop swinging?</t>
  </si>
  <si>
    <t>a) When the target is hit, b) When the opponent signals, c) When they feel tired, d) When the game ends</t>
  </si>
  <si>
    <t>a) When the target is hit</t>
  </si>
  <si>
    <t>From the sport shown in the image, what is a strategic advantage of hitting the target high in the air?</t>
  </si>
  <si>
    <t>a) It gives the opponent less time to react, b) It increases the distance covered, c) It confuses the opponent, d) It helps in gaining points</t>
  </si>
  <si>
    <t>b) It increases the distance covered</t>
  </si>
  <si>
    <t>From the sport shown in the image, what is the role of the opponent after the target is hit?</t>
  </si>
  <si>
    <t>a) To try and catch the target, b) To run towards the striker, c) To retrieve the target, d) To score points</t>
  </si>
  <si>
    <t>a) To try and catch the target</t>
  </si>
  <si>
    <t>From the sport shown in the image, what is the significance of the length of the stick?</t>
  </si>
  <si>
    <t>a) It affects the power of the swing, b) It determines the height of the target, c) It is a measure of the player's skill, d) It is used to mark boundaries</t>
  </si>
  <si>
    <t>a) It affects the power of the swing</t>
  </si>
  <si>
    <t>gilli_danda_20</t>
  </si>
  <si>
    <t>From the sport shown in the image, what should the striker avoid doing after hitting the target?</t>
  </si>
  <si>
    <t>a) Watching the target, b) Moving too quickly, c) Running after the target, d) Looking at the opponent</t>
  </si>
  <si>
    <t>c) Running after the target</t>
  </si>
  <si>
    <t>From the sport shown in the image, what is a key factor in deciding the direction of the hit?</t>
  </si>
  <si>
    <t>a) The opponent's position, b) The weather conditions, c) The target's shape, d) The size of the playing field</t>
  </si>
  <si>
    <t>a) The opponent's position</t>
  </si>
  <si>
    <t>From the sport shown in the image, what should the striker do if the opponent catches the target?</t>
  </si>
  <si>
    <t>a) Take another turn, b) Switch roles, c) Lose points, d) Continue playing</t>
  </si>
  <si>
    <t>b) Switch roles</t>
  </si>
  <si>
    <t>From the sport shown in the image, what is the role of the smaller stick before it is struck?</t>
  </si>
  <si>
    <t>a) To be balanced on the ground, b) To be thrown in the air, c) To be placed in a hole, d) To be held by the opponent</t>
  </si>
  <si>
    <t>c) To be placed in a hole</t>
  </si>
  <si>
    <t>gilli_danda_21</t>
  </si>
  <si>
    <t>From the sport shown in the image, what is the significance of the size of the playing area?</t>
  </si>
  <si>
    <t>a) It determines the difficulty, b) It affects the scoring, c) It limits the number of players, d) It influences the length of the game</t>
  </si>
  <si>
    <t>a) It determines the difficulty</t>
  </si>
  <si>
    <t>From the sport shown in the image, what is a common strategy for avoiding the opponent?</t>
  </si>
  <si>
    <t>a) Hitting the target in an unexpected direction, b) Swinging the stick with full force, c) Running away quickly, d) Distracting the opponent</t>
  </si>
  <si>
    <t>a) Hitting the target in an unexpected direction</t>
  </si>
  <si>
    <t>From the sport shown in the image, how does the striker decide the best time to swing?</t>
  </si>
  <si>
    <t>a) By watching the target's position, b) By gauging the opponent's readiness, c) By feeling the wind direction, d) By counting to three</t>
  </si>
  <si>
    <t>a) By watching the target's position</t>
  </si>
  <si>
    <t>From the sport shown in the image, what is a critical factor in achieving a long hit?</t>
  </si>
  <si>
    <t>a) Timing the swing perfectly, b) Using a heavier stick, c) Keeping the target low, d) Aiming towards the ground</t>
  </si>
  <si>
    <t>a) Timing the swing perfectly</t>
  </si>
  <si>
    <t>gilli_danda_22</t>
  </si>
  <si>
    <t>From the sport shown in the image, what should the opponent focus on while the target is in the air?</t>
  </si>
  <si>
    <t>a) The target's trajectory, b) The striker's next move, c) The surrounding environment, d) The distance to the boundary</t>
  </si>
  <si>
    <t>a) The target's trajectory</t>
  </si>
  <si>
    <t>From the sport shown in the image, what happens if the striker fails to hit the target?</t>
  </si>
  <si>
    <t>a) The turn ends, b) The opponent takes over, c) The striker tries again, d) The target is reset</t>
  </si>
  <si>
    <t>a) The turn ends</t>
  </si>
  <si>
    <t>From the sport shown in the image, what is the purpose of positioning the target at a specific angle before hitting?</t>
  </si>
  <si>
    <t>a) To control the direction, b) To increase the power, c) To confuse the opponent, d) To reduce the risk of breaking</t>
  </si>
  <si>
    <t>a) To control the direction</t>
  </si>
  <si>
    <t>From the sport shown in the image, how does the striker prepare for a successful hit?</t>
  </si>
  <si>
    <t>a) By focusing on the target, b) By analyzing the opponent, c) By practicing swings, d) By measuring the distance</t>
  </si>
  <si>
    <t>a) By focusing on the target</t>
  </si>
  <si>
    <t>gilli_danda_23</t>
  </si>
  <si>
    <t>From the sport shown in the image, what is the significance of the target's shape?</t>
  </si>
  <si>
    <t>a) It affects the flight path, b) It influences the scoring, c) It determines the swing technique, d) It signals the end of the turn</t>
  </si>
  <si>
    <t>a) It affects the flight path</t>
  </si>
  <si>
    <t>From the sport shown in the image, what should the opponent do after the target is hit?</t>
  </si>
  <si>
    <t>a) Attempt to catch it, b) Run to the base, c) Block the striker, d) Wait for the next turn</t>
  </si>
  <si>
    <t>a) Attempt to catch it</t>
  </si>
  <si>
    <t>From the sport shown in the image, what is a common error made by the striker?</t>
  </si>
  <si>
    <t>a) Over-swinging, b) Underestimating the distance, c) Focusing too much on the opponent, d) Forgetting to position the target</t>
  </si>
  <si>
    <t>a) Over-swinging</t>
  </si>
  <si>
    <t>From the sport shown in the image, what determines the number of turns each player gets?</t>
  </si>
  <si>
    <t>a) The agreed-upon rules, b) The distance the target travels, c) The skill level of the players, d) The size of the playing area</t>
  </si>
  <si>
    <t>a) The agreed-upon rules</t>
  </si>
  <si>
    <t>gilli_danda_24</t>
  </si>
  <si>
    <t>From the sport shown in the image, what is the impact of a strong wind during the game?</t>
  </si>
  <si>
    <t>a) It alters the target's trajectory, b) It speeds up the game, c) It makes scoring easier, d) It helps the striker aim</t>
  </si>
  <si>
    <t>a) It alters the target's trajectory</t>
  </si>
  <si>
    <t>From the sport shown in the image, what is the purpose of marking a starting point for the striker?</t>
  </si>
  <si>
    <t>a) To ensure fairness, b) To indicate the end of the turn, c) To signal the opponent, d) To help with aiming</t>
  </si>
  <si>
    <t>a) To ensure fairness</t>
  </si>
  <si>
    <t>From the sport shown in the image, how does the striker know if they've made a successful hit?</t>
  </si>
  <si>
    <t>a) By the distance the target travels, b) By the opponent's reaction, c) By the sound of the impact, d) By the position of the stick</t>
  </si>
  <si>
    <t>a) By the distance the target travels</t>
  </si>
  <si>
    <t>From the sport shown in the image, what is the significance of the target's position before the hit?</t>
  </si>
  <si>
    <t>a) It affects the angle of the hit, b) It determines the score, c) It signals the start of the turn, d) It influences the game's duration</t>
  </si>
  <si>
    <t>a) It affects the angle of the hit</t>
  </si>
  <si>
    <t>gilli_danda_25</t>
  </si>
  <si>
    <t>From the sport shown in the image, what is a recommended technique for improving accuracy?</t>
  </si>
  <si>
    <t>a) Practicing regularly, b) Using a lighter stick, c) Hitting with full force, d) Watching the opponent closely</t>
  </si>
  <si>
    <t>From the sport shown in the image, what happens if the striker hits the target too far?</t>
  </si>
  <si>
    <t>a) The opponent gains an advantage, b) The turn ends, c) The game is paused, d) The target is replaced</t>
  </si>
  <si>
    <t>b) The turn ends</t>
  </si>
  <si>
    <t>From the sport shown in the image, what is a good strategy for the opponent to prevent the striker from scoring?</t>
  </si>
  <si>
    <t>a) Catching the target quickly, b) Distracting the striker, c) Blocking the target's path, d) Running towards the striker</t>
  </si>
  <si>
    <t>a) Catching the target quickly</t>
  </si>
  <si>
    <t>From the sport shown in the image, what is the impact of the terrain on the game?</t>
  </si>
  <si>
    <t>a) It influences the target's bounce, b) It determines the scoring, c) It affects the stick's durability, d) It dictates the number of players</t>
  </si>
  <si>
    <t>a) It influences the target's bounce</t>
  </si>
  <si>
    <t>gilli_danda_26</t>
  </si>
  <si>
    <t>How can the striker avoid being out in the sport shown in the image?</t>
  </si>
  <si>
    <t>A) By hitting the target lightly, B) By standing close to the opponent, C) By ensuring the target doesn’t fly high, D) By hitting the target accurately</t>
  </si>
  <si>
    <t>D) By hitting the target accurately</t>
  </si>
  <si>
    <t>What happens if the target lands within the opponent's area in the sport shown in the image?</t>
  </si>
  <si>
    <t>A) The striker earns extra points, B) The opponent gets another chance, C) The game pauses, D) The turn is passed</t>
  </si>
  <si>
    <t>B) The opponent gets another chance</t>
  </si>
  <si>
    <t>In the sport shown in the image, how does the striker know if the target has been successfully hit?</t>
  </si>
  <si>
    <t>A) By the sound, B) By the opponent's reaction, C) By the target flying in the air, D) By the ground's vibration</t>
  </si>
  <si>
    <t>C) By the target flying in the air</t>
  </si>
  <si>
    <t>What is the purpose of marking a line before hitting the target in the sport shown in the image?</t>
  </si>
  <si>
    <t>A) To determine the boundary, B) To help the striker position themselves, C) To score extra points, D) To confuse the opponent</t>
  </si>
  <si>
    <t>B) To help the striker position themselves</t>
  </si>
  <si>
    <t>gilli_danda_27</t>
  </si>
  <si>
    <t>In the sport shown in the image, how is a point awarded if the target is hit into the opponent's area?</t>
  </si>
  <si>
    <t>A) No points are given, B) The opponent earns a point, C) The striker loses a point, D) The striker earns a point</t>
  </si>
  <si>
    <t>D) The striker earns a point</t>
  </si>
  <si>
    <t>What is the significance of the striker's stance in the sport shown in the image?</t>
  </si>
  <si>
    <t>A) It affects the accuracy, B) It increases the force, C) It helps to balance, D) It is only for style</t>
  </si>
  <si>
    <t>A) It affects the accuracy</t>
  </si>
  <si>
    <t>How does the striker gauge the force needed to hit the target in the sport shown in the image?</t>
  </si>
  <si>
    <t>A) By measuring the distance, B) By analyzing the target's weight, C) By swinging randomly, D) By observing the opponent's position</t>
  </si>
  <si>
    <t>A) By measuring the distance</t>
  </si>
  <si>
    <t>What is a common penalty for breaking a rule in the sport shown in the image?</t>
  </si>
  <si>
    <t>A) Loss of points, B) Time penalty, C) Starting from the beginning, D) Passing the turn to the opponent</t>
  </si>
  <si>
    <t>D) Passing the turn to the opponent</t>
  </si>
  <si>
    <t>gilli_danda_28</t>
  </si>
  <si>
    <t>In the sport shown in the image, what is the role of the non-striking hand?</t>
  </si>
  <si>
    <t>A) To hold the target, B) To balance the striker, C) To catch the target, D) To hold the larger stick</t>
  </si>
  <si>
    <t>B) To balance the striker</t>
  </si>
  <si>
    <t>How does the opponent determine the striker's next move in the sport shown in the image?</t>
  </si>
  <si>
    <t>A) By observing the target's direction, B) By calculating the force, C) By predicting the wind, D) By analyzing the striker's stance</t>
  </si>
  <si>
    <t>A) By observing the target's direction</t>
  </si>
  <si>
    <t>In the sport shown in the image, what happens if the striker fails to hit the target after multiple attempts?</t>
  </si>
  <si>
    <t>A) The striker gets disqualified, B) The turn is given to the opponent, C) The striker is out of the game, D) The striker continues</t>
  </si>
  <si>
    <t>B) The turn is given to the opponent</t>
  </si>
  <si>
    <t>What is the best way to improve accuracy in the sport shown in the image?</t>
  </si>
  <si>
    <t>A) Using a shorter stick, B) Practicing aim, C) Changing the target's size, D) Moving closer to the target</t>
  </si>
  <si>
    <t>B) Practicing aim</t>
  </si>
  <si>
    <t>gilli_danda_29</t>
  </si>
  <si>
    <t>For the sport shown in the image, what is the typical duration of a game?</t>
  </si>
  <si>
    <t>A) 30 minutes, B) 60 minutes, C) 90 minutes, D) 120 minutes</t>
  </si>
  <si>
    <t>B) 60 minutes</t>
  </si>
  <si>
    <t>For the sport shown in the image, which part of the target is aimed at?</t>
  </si>
  <si>
    <t>A) The center, B) The edge, C) The top, D) The bottom</t>
  </si>
  <si>
    <t>A) The center</t>
  </si>
  <si>
    <t>For the sport shown in the image, what is the typical material of the target?</t>
  </si>
  <si>
    <t>A) Wood, B) Metal, C) Plastic, D) Stone</t>
  </si>
  <si>
    <t>For the sport shown in the image, which group often plays this sport?</t>
  </si>
  <si>
    <t>A) Children, B) Adults, C) Elderly, D) All of the above</t>
  </si>
  <si>
    <t>A) Children</t>
  </si>
  <si>
    <t>gilli_danda_30</t>
  </si>
  <si>
    <t>For the sport shown in the image, how is the target initially positioned?</t>
  </si>
  <si>
    <t>A) Upright, B) Flat on the ground, C) Hanging from a tree, D) On a pedestal</t>
  </si>
  <si>
    <t>B) Flat on the ground</t>
  </si>
  <si>
    <t>For the sport shown in the image, what is the purpose of the target being cylindrical?</t>
  </si>
  <si>
    <t>A) To make it easier to hit, B) To make it more challenging, C) To ensure it rolls properly, D) To provide a stable base</t>
  </si>
  <si>
    <t>A) To make it easier to hit</t>
  </si>
  <si>
    <t>For the sport shown in the image, what happens if the target is not struck properly?</t>
  </si>
  <si>
    <t>A) The target is reset, B) The turn is lost, C) The opponent scores, D) The game is paused</t>
  </si>
  <si>
    <t>B) The turn is lost</t>
  </si>
  <si>
    <t>For the sport shown in the image, what is a common defensive strategy for the opponent?</t>
  </si>
  <si>
    <t>A) Catching the Gilli, B) Blocking the Danda, C) Hiding the Gilli, D) Running after the Gilli</t>
  </si>
  <si>
    <t>A) Catching the Gilli</t>
  </si>
  <si>
    <t>Image Number</t>
  </si>
  <si>
    <t>छवि संख्या</t>
  </si>
  <si>
    <t>Thang-Ta_1</t>
  </si>
  <si>
    <t>A) Sword, B) Spear, C) Shield, D) Club</t>
  </si>
  <si>
    <t>1</t>
  </si>
  <si>
    <t>थांग-ता_1</t>
  </si>
  <si>
    <t>चित्र में दिखाए गए खेल में मुख्यतः किस हथियार का प्रयोग किया गया है?</t>
  </si>
  <si>
    <t>A) तलवार, B) भाला, C) ढाल, D) गदा</t>
  </si>
  <si>
    <t>बी) भाला</t>
  </si>
  <si>
    <t>In the sport shown in the image, which stance is commonly used for attack?</t>
  </si>
  <si>
    <t>A) Horse stance, B) Crane stance, C) Dragon stance, D) Eagle stance</t>
  </si>
  <si>
    <t>A) Horse stance</t>
  </si>
  <si>
    <t>For the sport depicted in the image, what is the main objective of the training?</t>
  </si>
  <si>
    <t>A) Strength building, B) Speed enhancement, C) Combat skills, D) Flexibility</t>
  </si>
  <si>
    <t>C) Combat skills</t>
  </si>
  <si>
    <t>In the sport shown in the image, what is a common protective gear used?</t>
  </si>
  <si>
    <t>A) Helmets, B) Gloves, C) Knee pads, D) Shin guards</t>
  </si>
  <si>
    <t>A) Helmets</t>
  </si>
  <si>
    <t>Thang-Ta_2</t>
  </si>
  <si>
    <t>For the sport in the image, which of the following techniques is frequently practiced?</t>
  </si>
  <si>
    <t>A) Grappling, B) Kicking, C) Punching, D) Dodging</t>
  </si>
  <si>
    <t>B) Kicking</t>
  </si>
  <si>
    <t>In the sport depicted in the image, which type of surface is most commonly used for practice?</t>
  </si>
  <si>
    <t>A) Grass, B) Wood, C) Sand, D) Concrete</t>
  </si>
  <si>
    <t>For the sport shown in the image, what is the typical attire worn during practice?</t>
  </si>
  <si>
    <t>A) Uniform, B) Casual clothes, C) Armor, D) Traditional dress</t>
  </si>
  <si>
    <t>D) Traditional dress</t>
  </si>
  <si>
    <t>In the sport depicted in the image, what is the term used for a skilled practitioner?</t>
  </si>
  <si>
    <t>A) Guru, B) Master, C) Sensei, D) Trainer</t>
  </si>
  <si>
    <t>B) Master</t>
  </si>
  <si>
    <t>Thang-Ta_3</t>
  </si>
  <si>
    <t>For the sport in the image, which of these is a key training component?</t>
  </si>
  <si>
    <t>A) Meditation, B) Endurance running, C) Sparring, D) Yoga</t>
  </si>
  <si>
    <t>C) Sparring</t>
  </si>
  <si>
    <t>In the sport shown in the image, what kind of weapon is primarily used for defense?</t>
  </si>
  <si>
    <t>A) Shield, B) Knife, C) Baton, D) Spear</t>
  </si>
  <si>
    <t>A) Shield</t>
  </si>
  <si>
    <t>For the sport depicted in the image, what is a common type of competition format?</t>
  </si>
  <si>
    <t>A) Team vs. Team, B) Individual bouts, C) Relay races, D) Obstacle courses</t>
  </si>
  <si>
    <t>B) Individual bouts</t>
  </si>
  <si>
    <t>In the sport shown in the image, what type of strikes are emphasized?</t>
  </si>
  <si>
    <t>A) Blunt, B) Sharp, C) Fast, D) Powerful</t>
  </si>
  <si>
    <t>D) Powerful</t>
  </si>
  <si>
    <t>For the sport in the image, which region is it most commonly associated with?</t>
  </si>
  <si>
    <t>A) Southeast Asia, B) South Asia, C) East Asia, D) Central Asia</t>
  </si>
  <si>
    <t>B) South Asia</t>
  </si>
  <si>
    <t>Thang-Ta_4</t>
  </si>
  <si>
    <t>In the sport depicted in the image, which type of training is crucial for enhancing agility?</t>
  </si>
  <si>
    <t>A) Plyometrics, B) Weightlifting, C) Running, D) Flexibility exercises</t>
  </si>
  <si>
    <t>A) Plyometrics</t>
  </si>
  <si>
    <t>For the sport shown in the image, what is a typical age to begin training?</t>
  </si>
  <si>
    <t>A) Teen years, B) Early twenties, C) Childhood, D) Adulthood</t>
  </si>
  <si>
    <t>C) Childhood</t>
  </si>
  <si>
    <t>In the sport depicted in the image, what is the primary focus of kata practice?</t>
  </si>
  <si>
    <t>A) Strength, B) Form, C) Speed, D) Technique</t>
  </si>
  <si>
    <t>B) Form</t>
  </si>
  <si>
    <t>For the sport shown in the image, what is a common event held annually?</t>
  </si>
  <si>
    <t>A) Championship, B) Festival, C) Tournament, D) Exhibition</t>
  </si>
  <si>
    <t>C) Tournament</t>
  </si>
  <si>
    <t>Thang-Ta_5</t>
  </si>
  <si>
    <t>In the sport depicted in the image, what is used to demonstrate skill and precision?</t>
  </si>
  <si>
    <t>A) Patterns, B) Free sparring, C) Demonstrations, D) Solo drills</t>
  </si>
  <si>
    <t>A) Patterns</t>
  </si>
  <si>
    <t>For the sport in the image, which of the following is a common method of scoring?</t>
  </si>
  <si>
    <t>A) Points, B) Time limits, C) Knockouts, D) Judges' decision</t>
  </si>
  <si>
    <t>A) Points</t>
  </si>
  <si>
    <t>In the sport shown in the image, what aspect is crucial for mastering techniques?</t>
  </si>
  <si>
    <t>A) Flexibility, B) Speed, C) Accuracy, D) Strength</t>
  </si>
  <si>
    <t>C) Accuracy</t>
  </si>
  <si>
    <t>For the sport depicted in the image, what is the significance of ceremonial practices?</t>
  </si>
  <si>
    <t>A) To show respect, B) To enhance skills, C) To build team spirit, D) To gain sponsorship</t>
  </si>
  <si>
    <t>A) To show respect</t>
  </si>
  <si>
    <t>Thang-Ta_6</t>
  </si>
  <si>
    <t>In the sport shown in the image, what is the purpose of warm-up exercises?</t>
  </si>
  <si>
    <t>A) To prevent injuries, B) To increase strength, C) To practice techniques, D) To improve endurance</t>
  </si>
  <si>
    <t>A) To prevent injuries</t>
  </si>
  <si>
    <t>For the sport depicted in the image, what is a common type of competition?</t>
  </si>
  <si>
    <t>A) Knockout, B) Round-robin, C) League, D) Invitational</t>
  </si>
  <si>
    <t>A) Knockout</t>
  </si>
  <si>
    <t>In the sport shown in the image, what kind of strategy is often employed during matches?</t>
  </si>
  <si>
    <t>A) Offensive, B) Defensive, C) Balanced, D) Aggressive</t>
  </si>
  <si>
    <t>B) Defensive</t>
  </si>
  <si>
    <t>For the sport in the image, which of these techniques is commonly taught to beginners?</t>
  </si>
  <si>
    <t>A) Advanced strikes, B) Basic stances, C) Complex maneuvers, D) High-level strategies</t>
  </si>
  <si>
    <t>B) Basic stances</t>
  </si>
  <si>
    <t>Thang-Ta_7</t>
  </si>
  <si>
    <t>In the sport depicted in the image, what is a common type of drill?</t>
  </si>
  <si>
    <t>A) Shadow practice, B) Partner drills, C) Endurance runs, D) Strength training</t>
  </si>
  <si>
    <t>For the sport shown in the image, what is the role of a coach?</t>
  </si>
  <si>
    <t>A) To demonstrate techniques, B) To motivate, C) To design training programs, D) All of the above</t>
  </si>
  <si>
    <t>In the sport depicted in the image, what is often used to practice precision strikes?</t>
  </si>
  <si>
    <t>A) Targets, B) Dummies, C) Heavy bags, D) Speed balls</t>
  </si>
  <si>
    <t>A) Targets</t>
  </si>
  <si>
    <t>For the sport shown in the image, which technique is used to improve footwork?</t>
  </si>
  <si>
    <t>A) Ladder drills, B) Rope skipping, C) Cone drills, D) Balance exercises</t>
  </si>
  <si>
    <t>A) Ladder drills</t>
  </si>
  <si>
    <t>Thang-Ta_8</t>
  </si>
  <si>
    <t>In the sport depicted in the image, which type of event is most likely to feature traditional performances?</t>
  </si>
  <si>
    <t>A) Local tournaments, B) National championships, C) International events, D) Demonstration events</t>
  </si>
  <si>
    <t>D) Demonstration events</t>
  </si>
  <si>
    <t>For the sport in the image, which is a key component of competitive matches?</t>
  </si>
  <si>
    <t>A) Speed, B) Agility, C) Strength, D) Strategy</t>
  </si>
  <si>
    <t>D) Strategy</t>
  </si>
  <si>
    <t>In the sport shown in the image, what type of weapon is often used for offensive maneuvers?</t>
  </si>
  <si>
    <t>A) Spear, B) Sword, C) Dagger, D) Bow</t>
  </si>
  <si>
    <t>B) Sword</t>
  </si>
  <si>
    <t>For the sport depicted in the image, what is an important factor in judging a performance?</t>
  </si>
  <si>
    <t>A) Technical execution, B) Physical strength, C) Speed, D) Flexibility</t>
  </si>
  <si>
    <t>A) Technical execution</t>
  </si>
  <si>
    <t>Thang-Ta_9</t>
  </si>
  <si>
    <t>For the sport in the image, what is the typical length of a training session?</t>
  </si>
  <si>
    <t>A) 30 minutes, B) 1 hour, C) 2 hours, D) 3 hours</t>
  </si>
  <si>
    <t>In the sport shown in the image, what is a common physical benefit of practicing regularly?</t>
  </si>
  <si>
    <t>A) Improved posture, B) Increased flexibility, C) Enhanced endurance, D) All of the above</t>
  </si>
  <si>
    <t>For the sport depicted in the image, what type of breathing technique is emphasized during practice?</t>
  </si>
  <si>
    <t>A) Deep breathing, B) Rapid breathing, C) Shallow breathing, D) Controlled breathing</t>
  </si>
  <si>
    <t>D) Controlled breathing</t>
  </si>
  <si>
    <t>In the sport shown in the image, which of the following is a common training aid?</t>
  </si>
  <si>
    <t>A) Resistance bands, B) Dumbbells, C) Kicking pads, D) Jump ropes</t>
  </si>
  <si>
    <t>C) Kicking pads</t>
  </si>
  <si>
    <t>Thang-Ta_10</t>
  </si>
  <si>
    <t>For the sport in the image, what is a key aspect of mastering weapon techniques?</t>
  </si>
  <si>
    <t>A) Precision, B) Speed, C) Strength, D) Endurance</t>
  </si>
  <si>
    <t>In the sport depicted in the image, what kind of attack is typically taught first?</t>
  </si>
  <si>
    <t>A) Basic strikes, B) Advanced maneuvers, C) Combination attacks, D) Counterattacks</t>
  </si>
  <si>
    <t>A) Basic strikes</t>
  </si>
  <si>
    <t>For the sport shown in the image, what is a common feature of competitive uniforms?</t>
  </si>
  <si>
    <t>A) Lightweight material, B) Protective padding, C) Bright colors, D) All of the above</t>
  </si>
  <si>
    <t>In the sport depicted in the image, what is the importance of balance during practice?</t>
  </si>
  <si>
    <t>A) To enhance power, B) To prevent falls, C) To improve speed, D) To increase flexibility</t>
  </si>
  <si>
    <t>B) To prevent falls</t>
  </si>
  <si>
    <t>Thang-Ta_11</t>
  </si>
  <si>
    <t>For the sport in the image, which type of event is often used to showcase advanced skills?</t>
  </si>
  <si>
    <t>A) Exhibition matches, B) Regular tournaments, C) Training camps, D) Local leagues</t>
  </si>
  <si>
    <t>A) Exhibition matches</t>
  </si>
  <si>
    <t>In the sport shown in the image, what is a fundamental skill necessary for defense?</t>
  </si>
  <si>
    <t>A) Evasion, B) Blocking, C) Counterattacking, D) Grappling</t>
  </si>
  <si>
    <t>B) Blocking</t>
  </si>
  <si>
    <t>For the sport depicted in the image, what type of footwear is generally recommended?</t>
  </si>
  <si>
    <t>A) Barefoot, B) Training shoes, C) Wrestling shoes, D) Sandals</t>
  </si>
  <si>
    <t>C) Wrestling shoes</t>
  </si>
  <si>
    <t>In the sport shown in the image, what is a common practice for improving footwork?</t>
  </si>
  <si>
    <t>A) Ladder drills, B) Treadmill running, C) Plyometric jumps, D) Flexibility exercises</t>
  </si>
  <si>
    <t>Thang-Ta_12</t>
  </si>
  <si>
    <t>For the sport in the image, what is the purpose of performing forms or patterns?</t>
  </si>
  <si>
    <t>A) To develop strength, B) To practice techniques, C) To enhance endurance, D) To build teamwork</t>
  </si>
  <si>
    <t>In the sport depicted in the image, which technique is used to increase striking power?</t>
  </si>
  <si>
    <t>A) Speed drills, B) Strength training, C) Precision exercises, D) Flexibility drills</t>
  </si>
  <si>
    <t>B) Strength training</t>
  </si>
  <si>
    <t>For the sport shown in the image, what is a common type of competition?</t>
  </si>
  <si>
    <t>A) Solo demonstrations, B) Team matches, C) Relay events, D) Group drills</t>
  </si>
  <si>
    <t>A) Solo demonstrations</t>
  </si>
  <si>
    <t>In the sport depicted in the image, what is the role of traditional ceremonies?</t>
  </si>
  <si>
    <t>A) To honor ancestors, B) To showcase skills, C) To celebrate achievements, D) To promote unity</t>
  </si>
  <si>
    <t>A) To honor ancestors</t>
  </si>
  <si>
    <t>Thang-Ta_13</t>
  </si>
  <si>
    <t>For the sport in the image, what is a typical warm-up exercise?</t>
  </si>
  <si>
    <t>A) Dynamic stretches, B) Static stretches, C) Strength training, D) Cardio workouts</t>
  </si>
  <si>
    <t>A) Dynamic stretches</t>
  </si>
  <si>
    <t>In the sport shown in the image, what is a common method for improving reaction time?</t>
  </si>
  <si>
    <t>A) Speed drills, B) Strength training, C) Technique practice, D) Endurance running</t>
  </si>
  <si>
    <t>A) Speed drills</t>
  </si>
  <si>
    <t>For the sport depicted in the image, what is the significance of practicing kata?</t>
  </si>
  <si>
    <t>A) To learn techniques, B) To improve speed, C) To develop strength, D) To enhance endurance</t>
  </si>
  <si>
    <t>A) To learn techniques</t>
  </si>
  <si>
    <t>In the sport shown in the image, what is a common type of competition format?</t>
  </si>
  <si>
    <t>A) Single elimination, B) Round robin, C) Points system, D) Team-based</t>
  </si>
  <si>
    <t>A) Single elimination</t>
  </si>
  <si>
    <t>Thang-Ta_14</t>
  </si>
  <si>
    <t>For the sport in the image, what is a key component of effective sparring?</t>
  </si>
  <si>
    <t>A) Speed, B) Power, C) Technique, D) Strategy</t>
  </si>
  <si>
    <t>In the sport depicted in the image, what is a common training method to improve flexibility?</t>
  </si>
  <si>
    <t>A) Static stretching, B) Plyometrics, C) Weightlifting, D) Endurance running</t>
  </si>
  <si>
    <t>A) Static stretching</t>
  </si>
  <si>
    <t>For the sport shown in the image, what is often practiced to develop combat skills?</t>
  </si>
  <si>
    <t>A) Shadow fighting, B) Solo drills, C) Partner drills, D) Endurance exercises</t>
  </si>
  <si>
    <t>C) Partner drills</t>
  </si>
  <si>
    <t>In the sport depicted in the image, what is a common feature of a competition venue?</t>
  </si>
  <si>
    <t>A) Mat area, B) Ring, C) Cage, D) Arena</t>
  </si>
  <si>
    <t>A) Mat area</t>
  </si>
  <si>
    <t>Thang-Ta_15</t>
  </si>
  <si>
    <t>For the sport in the image, what is the primary focus of advanced training?</t>
  </si>
  <si>
    <t>A) Refining techniques, B) Building strength, C) Increasing speed, D) Enhancing endurance</t>
  </si>
  <si>
    <t>A) Refining techniques</t>
  </si>
  <si>
    <t>In the sport shown in the image, what is a common practice to improve accuracy?</t>
  </si>
  <si>
    <t>A) Target drills, B) Speed drills, C) Strength exercises, D) Flexibility routines</t>
  </si>
  <si>
    <t>A) Target drills</t>
  </si>
  <si>
    <t>For the sport depicted in the image, what is a typical component of a competition match?</t>
  </si>
  <si>
    <t>A) Time limits, B) Round-based scoring, C) Sudden death rules, D) All of the above</t>
  </si>
  <si>
    <t>In the sport shown in the image, what type of equipment is used for sparring practice?</t>
  </si>
  <si>
    <t>A) Protective gear, B) Training dummies, C) Heavy bags, D) All of the above</t>
  </si>
  <si>
    <t>A) Protective gear</t>
  </si>
  <si>
    <t>Thang-Ta_16</t>
  </si>
  <si>
    <t>For the sport in the image, which technique is often used to break through defenses?</t>
  </si>
  <si>
    <t>A) Feints, B) Direct strikes, C) Combos, D) Throws</t>
  </si>
  <si>
    <t>B) Direct strikes</t>
  </si>
  <si>
    <t>In the sport depicted in the image, what is the typical duration of a training camp?</t>
  </si>
  <si>
    <t>A) 1 day, B) 1 week, C) 1 month, D) 3 months</t>
  </si>
  <si>
    <t>B) 1 week</t>
  </si>
  <si>
    <t>For the sport shown in the image, what is a common method to increase endurance?</t>
  </si>
  <si>
    <t>A) Long-distance running, B) Interval training, C) Strength training, D) Flexibility exercises</t>
  </si>
  <si>
    <t>B) Interval training</t>
  </si>
  <si>
    <t>In the sport depicted in the image, what role does visualization play in training?</t>
  </si>
  <si>
    <t>A) Enhances mental focus, B) Improves physical strength, C) Increases flexibility, D) Develops endurance</t>
  </si>
  <si>
    <t>A) Enhances mental focus</t>
  </si>
  <si>
    <t>Thang-Ta_17</t>
  </si>
  <si>
    <t>For the sport in the image, which of the following is a common injury prevention measure?</t>
  </si>
  <si>
    <t>A) Proper warm-up, B) Regular stretching, C) Use of protective gear, D) All of the above</t>
  </si>
  <si>
    <t>In the sport shown in the image, what is a common type of exercise to build core strength?</t>
  </si>
  <si>
    <t>A) Planks, B) Crunches, C) Leg raises, D) All of the above</t>
  </si>
  <si>
    <t>For the sport depicted in the image, what is a common feature of a training session?</t>
  </si>
  <si>
    <t>A) Warm-up, B) Technique practice, C) Sparring, D) Cool-down</t>
  </si>
  <si>
    <t>D) Cool-down</t>
  </si>
  <si>
    <t>In the sport shown in the image, what is the significance of practicing drills?</t>
  </si>
  <si>
    <t>A) To improve skills, B) To increase endurance, C) To build strength, D) To enhance flexibility</t>
  </si>
  <si>
    <t>A) To improve skills</t>
  </si>
  <si>
    <t>Thang-Ta_18</t>
  </si>
  <si>
    <t>For the sport in the image, what is the role of a mentor or coach?</t>
  </si>
  <si>
    <t>A) To provide guidance, B) To design training programs, C) To offer feedback, D) All of the above</t>
  </si>
  <si>
    <t>In the sport depicted in the image, what is a common technique for improving speed?</t>
  </si>
  <si>
    <t>A) Sprints, B) Agility drills, C) Interval training, D) All of the above</t>
  </si>
  <si>
    <t>For the sport shown in the image, what is a common component of advanced training?</t>
  </si>
  <si>
    <t>A) Combination techniques, B) Sparring with multiple partners, C) Speed and agility drills, D) All of the above</t>
  </si>
  <si>
    <t>In the sport depicted in the image, what is a key aspect of mastering advanced techniques?</t>
  </si>
  <si>
    <t>A) Consistent practice, B) Flexibility, C) Strength, D) Speed</t>
  </si>
  <si>
    <t>A) Consistent practice</t>
  </si>
  <si>
    <t>Thang-Ta_19</t>
  </si>
  <si>
    <t>For the sport in the image, what is a common reason for practicing traditional forms?</t>
  </si>
  <si>
    <t>A) To honor tradition, B) To enhance technique, C) To build endurance, D) To develop speed</t>
  </si>
  <si>
    <t>B) To enhance technique</t>
  </si>
  <si>
    <t>For the sport in the image, what is a typical practice session focus?</t>
  </si>
  <si>
    <t>A) Technique refinement, B) Physical conditioning, C) Strategy development, D) All of the above</t>
  </si>
  <si>
    <t>In the sport depicted in the image, what is a primary goal during drills?</t>
  </si>
  <si>
    <t>A) Speed, B) Accuracy, C) Power, D) Flexibility</t>
  </si>
  <si>
    <t>For the sport shown in the image, which type of stance is commonly used for defense?</t>
  </si>
  <si>
    <t>A) Forward stance, B) Side stance, C) Back stance, D) Neutral stance</t>
  </si>
  <si>
    <t>C) Back stance</t>
  </si>
  <si>
    <t>Thang-Ta_20</t>
  </si>
  <si>
    <t>In the sport depicted in the image, what is a common method for improving striking power?</t>
  </si>
  <si>
    <t>A) Heavy bag work, B) Shadow fighting, C) Speed drills, D) Flexibility training</t>
  </si>
  <si>
    <t>A) Heavy bag work</t>
  </si>
  <si>
    <t>For the sport in the image, what is a typical feature of competitive matches?</t>
  </si>
  <si>
    <t>A) Time limits, B) Weight classes, C) Round-based scoring, D) All of the above</t>
  </si>
  <si>
    <t>In the sport shown in the image, what is a common type of conditioning exercise?</t>
  </si>
  <si>
    <t>A) Interval running, B) Weightlifting, C) Swimming, D) Yoga</t>
  </si>
  <si>
    <t>A) Interval running</t>
  </si>
  <si>
    <t>For the sport depicted in the image, what is a key aspect of sparring practice?</t>
  </si>
  <si>
    <t>A) Realistic combat scenarios, B) Solo drills, C) Technique review, D) Flexibility exercises</t>
  </si>
  <si>
    <t>A) Realistic combat scenarios</t>
  </si>
  <si>
    <t>Thang-Ta_21</t>
  </si>
  <si>
    <t>In the sport shown in the image, what is the purpose of practicing footwork?</t>
  </si>
  <si>
    <t>A) To enhance speed, B) To improve balance, C) To increase power, D) To develop endurance</t>
  </si>
  <si>
    <t>For the sport in the image, what is a common type of competitive event?</t>
  </si>
  <si>
    <t>A) Solo forms competition, B) Team matches, C) Mixed martial arts, D) Relay races</t>
  </si>
  <si>
    <t>A) Solo forms competition</t>
  </si>
  <si>
    <t>In the sport depicted in the image, what is a key benefit of practicing traditional forms?</t>
  </si>
  <si>
    <t>A) Technique mastery, B) Increased endurance, C) Enhanced strength, D) Improved agility</t>
  </si>
  <si>
    <t>A) Technique mastery</t>
  </si>
  <si>
    <t>For the sport shown in the image, what type of gear is typically worn during sparring?</t>
  </si>
  <si>
    <t>A) Protective padding, B) Training shoes, C) Lightweight uniforms, D) All of the above</t>
  </si>
  <si>
    <t>A) Protective padding</t>
  </si>
  <si>
    <t>Thang-Ta_22</t>
  </si>
  <si>
    <t>In the sport depicted in the image, what is a common practice for developing speed?</t>
  </si>
  <si>
    <t>A) Sprints, B) Shadow boxing, C) Heavy bag drills, D) Flexibility training</t>
  </si>
  <si>
    <t>A) Sprints</t>
  </si>
  <si>
    <t>For the sport in the image, what is an important aspect of developing combat strategy?</t>
  </si>
  <si>
    <t>A) Reading opponents, B) Physical strength, C) Speed, D) Endurance</t>
  </si>
  <si>
    <t>A) Reading opponents</t>
  </si>
  <si>
    <t>In the sport shown in the image, what is a common exercise to improve hand-eye coordination?</t>
  </si>
  <si>
    <t>A) Target practice, B) Speed drills, C) Strength training, D) Flexibility exercises</t>
  </si>
  <si>
    <t>A) Target practice</t>
  </si>
  <si>
    <t>For the sport depicted in the image, what is a typical element of a pre-match routine?</t>
  </si>
  <si>
    <t>A) Warm-up exercises, B) Technique review, C) Mental visualization, D) All of the above</t>
  </si>
  <si>
    <t>Thang-Ta_23</t>
  </si>
  <si>
    <t>In the sport shown in the image, what is a common method for increasing flexibility?</t>
  </si>
  <si>
    <t>A) Dynamic stretching, B) Weight training, C) Endurance running, D) Plyometrics</t>
  </si>
  <si>
    <t>A) Dynamic stretching</t>
  </si>
  <si>
    <t>For the sport in the image, what is a common reason for practicing with a partner?</t>
  </si>
  <si>
    <t>A) To simulate real combat, B) To improve technique, C) To build strength, D) To increase speed</t>
  </si>
  <si>
    <t>A) To simulate real combat</t>
  </si>
  <si>
    <t>In the sport depicted in the image, what is a key focus of advanced training?</t>
  </si>
  <si>
    <t>A) Technique refinement, B) Strength building, C) Endurance, D) Flexibility</t>
  </si>
  <si>
    <t>A) Technique refinement</t>
  </si>
  <si>
    <t>For the sport shown in the image, what type of drills are often used to enhance reaction time?</t>
  </si>
  <si>
    <t>A) Speed drills, B) Agility drills, C) Technique drills, D) Endurance drills</t>
  </si>
  <si>
    <t>Thang-Ta_24</t>
  </si>
  <si>
    <t>In the sport depicted in the image, what is a typical use of a training dummy?</t>
  </si>
  <si>
    <t>A) Practicing strikes, B) Building strength, C) Enhancing flexibility, D) All of the above</t>
  </si>
  <si>
    <t>A) Practicing strikes</t>
  </si>
  <si>
    <t>For the sport in the image, what is a common type of stretching used for flexibility?</t>
  </si>
  <si>
    <t>A) Static stretching, B) Dynamic stretching, C) Ballistic stretching, D) All of the above</t>
  </si>
  <si>
    <t>B) Dynamic stretching</t>
  </si>
  <si>
    <t>In the sport shown in the image, what is a common method to improve balance?</t>
  </si>
  <si>
    <t>A) Balance drills, B) Strength training, C) Flexibility exercises, D) Endurance running</t>
  </si>
  <si>
    <t>A) Balance drills</t>
  </si>
  <si>
    <t>For the sport depicted in the image, what is a common aspect of competition rules?</t>
  </si>
  <si>
    <t>A) Point scoring, B) Time limits, C) Weight classes, D) All of the above</t>
  </si>
  <si>
    <t>Thang-Ta_25</t>
  </si>
  <si>
    <t>In the sport shown in the image, what is a key aspect of footwork practice?</t>
  </si>
  <si>
    <t>A) Agility, B) Speed, C) Precision, D) All of the above</t>
  </si>
  <si>
    <t>For the sport in the image, what is the significance of practicing kata?</t>
  </si>
  <si>
    <t>A) Technique practice, B) Endurance building, C) Strength training, D) Flexibility enhancement</t>
  </si>
  <si>
    <t>A) Technique practice</t>
  </si>
  <si>
    <t>In the sport depicted in the image, what is a common feature of competitive gear?</t>
  </si>
  <si>
    <t>A) Protective padding, B) Lightweight fabric, C) Vibrant colors, D) All of the above</t>
  </si>
  <si>
    <t>For the sport shown in the image, what is a common way to increase striking speed?</t>
  </si>
  <si>
    <t>A) Speed drills, B) Heavy bag work, C) Shadow boxing, D) Flexibility exercises</t>
  </si>
  <si>
    <t>Mukna_1</t>
  </si>
  <si>
    <t>For the sport in the image, what is the primary goal of a match?</t>
  </si>
  <si>
    <t>A) To score the most points, B) To pin down the opponent, C) To outlast the opponent, D) To perform the best technique</t>
  </si>
  <si>
    <t>B) To pin down the opponent</t>
  </si>
  <si>
    <t>In the image, which part of the body is primarily used for attacking in Mukna?</t>
  </si>
  <si>
    <t>A) Hands, B) Feet, C) Head, D) Elbows</t>
  </si>
  <si>
    <t>B) Feet</t>
  </si>
  <si>
    <t>For the sport shown in the image, what is the standard duration of a Mukna match?</t>
  </si>
  <si>
    <t>A) 15 minutes, B) 30 minutes, C) 45 minutes, D) 60 minutes</t>
  </si>
  <si>
    <t>B) 30 minutes</t>
  </si>
  <si>
    <t>In the image, what type of surface is typically used for a Mukna match?</t>
  </si>
  <si>
    <t>A) Grass, B) Sand, C) Wooden, D) Concrete</t>
  </si>
  <si>
    <t>Mukna_2</t>
  </si>
  <si>
    <t>For the sport in the image, which of the following is considered a key technique?</t>
  </si>
  <si>
    <t>A) Grappling, B) Kicking, C) Throwing, D) Dodging</t>
  </si>
  <si>
    <t>A) Grappling</t>
  </si>
  <si>
    <t>In the sport shown in the image, what is the typical attire worn by players?</t>
  </si>
  <si>
    <t>A) Shorts and T-shirt, B) Traditional dress, C) Tracksuit, D) Uniform with padding</t>
  </si>
  <si>
    <t>B) Traditional dress</t>
  </si>
  <si>
    <t>For the sport depicted in the image, how many players are typically involved in a match?</t>
  </si>
  <si>
    <t>A) Two, B) Four, C) Six, D) Eight</t>
  </si>
  <si>
    <t>A) Two</t>
  </si>
  <si>
    <t>In the image, what is the primary objective of the sport during a match?</t>
  </si>
  <si>
    <t>A) Scoring goals, B) Gaining control over the opponent, C) Completing laps, D) Performing stunts</t>
  </si>
  <si>
    <t>B) Gaining control over the opponent</t>
  </si>
  <si>
    <t>Mukna_3</t>
  </si>
  <si>
    <t>For the sport in the image, which of the following is a common strategy?</t>
  </si>
  <si>
    <t>A) Speed and agility, B) Strength and endurance, C) Technical skill, D) Precision and accuracy</t>
  </si>
  <si>
    <t>B) Strength and endurance</t>
  </si>
  <si>
    <t>In the image, what is the main characteristic of the arena where Mukna is played?</t>
  </si>
  <si>
    <t>A) It is a circular ring, B) It has a sand floor, C) It is covered with mats, D) It is an indoor gym</t>
  </si>
  <si>
    <t>B) It has a sand floor</t>
  </si>
  <si>
    <t>For the sport shown in the image, what is the role of the referee?</t>
  </si>
  <si>
    <t>A) To score points, B) To manage the game and ensure fair play, C) To train players, D) To provide medical assistance</t>
  </si>
  <si>
    <t>B) To manage the game and ensure fair play</t>
  </si>
  <si>
    <t>In the image, what type of footwear is commonly used in Mukna?</t>
  </si>
  <si>
    <t>A) Sandals, B) Sports shoes, C) Barefoot, D) Boots</t>
  </si>
  <si>
    <t>C) Barefoot</t>
  </si>
  <si>
    <t>Mukna_4</t>
  </si>
  <si>
    <t>For the sport in the image, what kind of physical conditioning is essential for players?</t>
  </si>
  <si>
    <t>A) Flexibility and balance, B) Cardio endurance, C) Upper body strength, D) Speed and reflexes</t>
  </si>
  <si>
    <t>A) Flexibility and balance</t>
  </si>
  <si>
    <t>In the image, what is a common injury concern for players in Mukna?</t>
  </si>
  <si>
    <t>A) Sprains and strains, B) Concussions, C) Fractures, D) Heatstroke</t>
  </si>
  <si>
    <t>A) Sprains and strains</t>
  </si>
  <si>
    <t>For the sport shown in the image, how is the winner determined?</t>
  </si>
  <si>
    <t>A) By scoring the most points, B) By pinning the opponent, C) By outlasting the opponent, D) By performing the best moves</t>
  </si>
  <si>
    <t>B) By pinning the opponent</t>
  </si>
  <si>
    <t>In the image, what is the typical age group of participants in Mukna?</t>
  </si>
  <si>
    <t>A) Children, B) Teenagers, C) Adults, D) Seniors</t>
  </si>
  <si>
    <t>C) Adults</t>
  </si>
  <si>
    <t>Mukna_5</t>
  </si>
  <si>
    <t>For the sport depicted in the image, what is a common tactic used during a match?</t>
  </si>
  <si>
    <t>A) Counterattacks, B) Feints and dodges, C) Long-range attacks, D) Defensive holds</t>
  </si>
  <si>
    <t>B) Feints and dodges</t>
  </si>
  <si>
    <t>In the image, what type of training is crucial for Mukna athletes?</t>
  </si>
  <si>
    <t>A) Strength training, B) Speed drills, C) Technical drills, D) Flexibility exercises</t>
  </si>
  <si>
    <t>A) Strength training</t>
  </si>
  <si>
    <t>For the sport shown in the image, what is a typical post-match ritual for players?</t>
  </si>
  <si>
    <t>A) Stretching and cooling down, B) Celebrating with fans, C) Reviewing match footage, D) Attending a press conference</t>
  </si>
  <si>
    <t>A) Stretching and cooling down</t>
  </si>
  <si>
    <t>In the image, what is the standard size of the playing area for Mukna?</t>
  </si>
  <si>
    <t>A) 10x10 meters, B) 12x12 meters, C) 15x15 meters, D) 20x20 meters</t>
  </si>
  <si>
    <t>B) 12x12 meters</t>
  </si>
  <si>
    <t>Mukna_6</t>
  </si>
  <si>
    <t>For the sport depicted in the image, what is a key component of strategy during a match?</t>
  </si>
  <si>
    <t>A) Timing of attacks, B) Endurance training, C) Agility drills, D) Nutrition management</t>
  </si>
  <si>
    <t>A) Timing of attacks</t>
  </si>
  <si>
    <t>In the image, what type of support equipment is often used by Mukna players?</t>
  </si>
  <si>
    <t>A) Knee guards, B) Headgear, C) Wristbands, D) Shin guards</t>
  </si>
  <si>
    <t>A) Knee guards</t>
  </si>
  <si>
    <t>For the sport shown in the image, which of the following is a common technique for gaining an advantage?</t>
  </si>
  <si>
    <t>A) Quick footwork, B) Strong grip, C) Aggressive stance, D) Precise strikes</t>
  </si>
  <si>
    <t>A) Quick footwork</t>
  </si>
  <si>
    <t>In the image, what is an essential skill for Mukna players to master?</t>
  </si>
  <si>
    <t>A) Grappling and wrestling techniques, B) Kicking accuracy, C) Long-distance running, D) High jumps</t>
  </si>
  <si>
    <t>A) Grappling and wrestling techniques</t>
  </si>
  <si>
    <t>Mukna_7</t>
  </si>
  <si>
    <t>For the sport depicted in the image, what type of surface is usually avoided for playing Mukna?</t>
  </si>
  <si>
    <t>A) Soft grass, B) Hard concrete, C) Sand, D) Indoor mats</t>
  </si>
  <si>
    <t>B) Hard concrete</t>
  </si>
  <si>
    <t>In the image, what is the common duration of each round in a Mukna match?</t>
  </si>
  <si>
    <t>A) 2 minutes, B) 5 minutes, C) 10 minutes, D) 15 minutes</t>
  </si>
  <si>
    <t>For the sport shown in the image, what is the most common posture during a Mukna match?</t>
  </si>
  <si>
    <t>A) Upright stance, B) Crouched position, C) Kneeling, D) Lying down</t>
  </si>
  <si>
    <t>B) Crouched position</t>
  </si>
  <si>
    <t>In the image, what type of footwear is generally not recommended for Mukna?</t>
  </si>
  <si>
    <t>A) Barefoot, B) Sports shoes, C) Sandals, D) Cleats</t>
  </si>
  <si>
    <t>D) Cleats</t>
  </si>
  <si>
    <t>Mukna_8</t>
  </si>
  <si>
    <t>For the sport depicted in the image, what is the primary focus of training sessions?</t>
  </si>
  <si>
    <t>A) Technique improvement, B) Strength building, C) Endurance, D) Flexibility</t>
  </si>
  <si>
    <t>A) Technique improvement</t>
  </si>
  <si>
    <t>In the image, what is a typical feature of Mukna competitions?</t>
  </si>
  <si>
    <t>A) Single elimination format, B) Round-robin format, C) Team-based matches, D) Individual matches</t>
  </si>
  <si>
    <t>D) Individual matches</t>
  </si>
  <si>
    <t>For the sport shown in the image, what is the most common injury treatment during a match?</t>
  </si>
  <si>
    <t>A) Ice packs, B) Bandages, C) Rest, D) Painkillers</t>
  </si>
  <si>
    <t>A) Ice packs</t>
  </si>
  <si>
    <t>In the image, what is the usual position of the referee during a Mukna match?</t>
  </si>
  <si>
    <t>A) Outside the arena, B) On the edge of the arena, C) Inside the arena, D) Elevated platform</t>
  </si>
  <si>
    <t>C) Inside the arena</t>
  </si>
  <si>
    <t>Mukna_9</t>
  </si>
  <si>
    <t>For the sport depicted in the image, what is a common pre-match ritual for players?</t>
  </si>
  <si>
    <t>A) Warm-up exercises, B) Mental preparation, C) Reviewing strategy, D) Eating a special meal</t>
  </si>
  <si>
    <t>A) Warm-up exercises</t>
  </si>
  <si>
    <t>In the image, what is the typical number of rounds in a Mukna match?</t>
  </si>
  <si>
    <t>For the sport shown in the image, what is a primary training focus for enhancing performance?</t>
  </si>
  <si>
    <t>A) Core strength, B) Agility, C) Flexibility, D) Endurance</t>
  </si>
  <si>
    <t>A) Core strength</t>
  </si>
  <si>
    <t>In the image, what is the role of the coach in Mukna?</t>
  </si>
  <si>
    <t>A) To train players and develop strategies, B) To officiate matches, C) To organize events, D) To manage team logistics</t>
  </si>
  <si>
    <t>A) To train players and develop strategies</t>
  </si>
  <si>
    <t>Mukna_10</t>
  </si>
  <si>
    <t>For the sport depicted in the image, what type of surface is ideal for Mukna?</t>
  </si>
  <si>
    <t>A) Grass, B) Sand, C) Wood, D) Rubber</t>
  </si>
  <si>
    <t>In the image, what kind of stretching is recommended before a Mukna match?</t>
  </si>
  <si>
    <t>A) Static stretching, B) Dynamic stretching, C) Ballistic stretching, D) Proprioceptive neuromuscular facilitation</t>
  </si>
  <si>
    <t>For the sport shown in the image, what is the purpose of the traditional attire?</t>
  </si>
  <si>
    <t>A) To provide comfort, B) To show team identity, C) To ensure safety, D) To enhance performance</t>
  </si>
  <si>
    <t>C) To ensure safety</t>
  </si>
  <si>
    <t>In the image, which type of maneuver is often used to gain an advantage in Mukna?</t>
  </si>
  <si>
    <t>A) Sweeps, B) Jabs, C) Uppercuts, D) Throws</t>
  </si>
  <si>
    <t>D) Throws</t>
  </si>
  <si>
    <t>Mukna_11</t>
  </si>
  <si>
    <t>For the sport depicted in the image, how do players typically train for agility?</t>
  </si>
  <si>
    <t>A) Ladder drills, B) Distance running, C) Weight lifting, D) Flexibility exercises</t>
  </si>
  <si>
    <t>In the image, what is a common feature of the Mukna arena?</t>
  </si>
  <si>
    <t>A) Elevated ring, B) Circular layout, C) Sand floor, D) Enclosed walls</t>
  </si>
  <si>
    <t>C) Sand floor</t>
  </si>
  <si>
    <t>For the sport shown in the image, what is a typical post-match activity for players?</t>
  </si>
  <si>
    <t>A) Cool down exercises, B) Analyzing match footage, C) Celebrating with fans, D) Attending a press conference</t>
  </si>
  <si>
    <t>A) Cool down exercises</t>
  </si>
  <si>
    <t>In the image, what type of grip is commonly used in Mukna?</t>
  </si>
  <si>
    <t>A) Overhand grip, B) Underhand grip, C) Neutral grip, D) Pinch grip</t>
  </si>
  <si>
    <t>B) Underhand grip</t>
  </si>
  <si>
    <t>Mukna_12</t>
  </si>
  <si>
    <t>For the sport depicted in the image, what is a critical skill for Mukna players?</t>
  </si>
  <si>
    <t>A) Balance, B) Speed, C) Strength, D) Endurance</t>
  </si>
  <si>
    <t>A) Balance</t>
  </si>
  <si>
    <t>In the image, what is a common way to improve flexibility for Mukna?</t>
  </si>
  <si>
    <t>A) Stretching exercises, B) Running drills, C) Weight training, D) Agility drills</t>
  </si>
  <si>
    <t>A) Stretching exercises</t>
  </si>
  <si>
    <t>For the sport shown in the image, what is a common training tool for strength building?</t>
  </si>
  <si>
    <t>A) Resistance bands, B) Medicine balls, C) Dumbbells, D) Kettlebells</t>
  </si>
  <si>
    <t>C) Dumbbells</t>
  </si>
  <si>
    <t>In the image, what is the purpose of practicing footwork in Mukna?</t>
  </si>
  <si>
    <t>A) To enhance speed, B) To improve balance, C) To develop strength, D) To increase agility</t>
  </si>
  <si>
    <t>Mukna_13</t>
  </si>
  <si>
    <t>For the sport depicted in the image, what is a common dietary recommendation for Mukna players?</t>
  </si>
  <si>
    <t>A) High protein diet, B) Low carbohydrate diet, C) Balanced diet, D) High fat diet</t>
  </si>
  <si>
    <t>C) Balanced diet</t>
  </si>
  <si>
    <t>In the image, what is the common use of sand in Mukna?</t>
  </si>
  <si>
    <t>A) To provide cushioning, B) To enhance grip, C) To mark boundaries, D) To cool down</t>
  </si>
  <si>
    <t>A) To provide cushioning</t>
  </si>
  <si>
    <t>For the sport shown in the image, what is a typical aspect of Mukna training camps?</t>
  </si>
  <si>
    <t>A) Technique drills, B) Tactical discussions, C) Group exercises, D) Individual sparring</t>
  </si>
  <si>
    <t>D) Individual sparring</t>
  </si>
  <si>
    <t>In the image, what is a common feature of Mukna competitions?</t>
  </si>
  <si>
    <t>A) Single-elimination format, B) Round-robin format, C) Team-based matches, D) Open weight classes</t>
  </si>
  <si>
    <t>A) Single-elimination format</t>
  </si>
  <si>
    <t>Mukna_14</t>
  </si>
  <si>
    <t>For the sport depicted in the image, what is a common post-match ritual for players?</t>
  </si>
  <si>
    <t>A) Reviewing performance, B) Hydrating, C) Socializing, D) Resting</t>
  </si>
  <si>
    <t>B) Hydrating</t>
  </si>
  <si>
    <t>In the image, what is a common challenge faced by Mukna players?</t>
  </si>
  <si>
    <t>A) Injury prevention, B) Technical skill development, C) Endurance training, D) Weight management</t>
  </si>
  <si>
    <t>A) Injury prevention</t>
  </si>
  <si>
    <t>For the sport shown in the image, what is a recommended warm-up activity?</t>
  </si>
  <si>
    <t>A) Jogging, B) Stretching, C) Shadow wrestling, D) Jumping jacks</t>
  </si>
  <si>
    <t>C) Shadow wrestling</t>
  </si>
  <si>
    <t>In the image, what is a common technique for improving grip strength in Mukna?</t>
  </si>
  <si>
    <t>A) Grip exercises, B) Wrist curls, C) Finger pull-ups, D) Hand grips</t>
  </si>
  <si>
    <t>A) Grip exercises</t>
  </si>
  <si>
    <t>Mukna_15</t>
  </si>
  <si>
    <t>For the sport depicted in the image, what is an essential safety measure during practice?</t>
  </si>
  <si>
    <t>A) Using protective gear, B) Having a coach present, C) Ensuring proper hydration, D) Performing warm-ups</t>
  </si>
  <si>
    <t>A) Using protective gear</t>
  </si>
  <si>
    <t>In the image, what is a common method for analyzing performance in Mukna?</t>
  </si>
  <si>
    <t>A) Video review, B) Coach feedback, C) Self-assessment, D) Peer review</t>
  </si>
  <si>
    <t>A) Video review</t>
  </si>
  <si>
    <t>For the sport shown in the image, what is a key factor in successful technique execution?</t>
  </si>
  <si>
    <t>A) Precision, B) Power, C) Speed, D) Timing</t>
  </si>
  <si>
    <t>D) Timing</t>
  </si>
  <si>
    <t>In the image, what type of diet is beneficial for Mukna players?</t>
  </si>
  <si>
    <t>A) High protein, low carbohydrate, B) High carbohydrate, low fat, C) Balanced, D) Low calorie</t>
  </si>
  <si>
    <t>C) Balanced</t>
  </si>
  <si>
    <t>For the sport depicted in the image, what is the typical number of players in a Mukna match?</t>
  </si>
  <si>
    <t>A) One-on-one, B) Two-on-two, C) Three-on-three, D) Four-on-four</t>
  </si>
  <si>
    <t>A) One-on-one</t>
  </si>
  <si>
    <t>In the image, what is a common training tool for improving endurance in Mukna?</t>
  </si>
  <si>
    <t>A) Treadmill, B) Rowing machine, C) Jump rope, D) Cycling</t>
  </si>
  <si>
    <t>C) Jump rope</t>
  </si>
  <si>
    <t>For the sport shown in the image, what is a common technique for defensive maneuvers?</t>
  </si>
  <si>
    <t>A) Blocking, B) Dodging, C) Counter-attacking, D) Grappling</t>
  </si>
  <si>
    <t>B) Dodging</t>
  </si>
  <si>
    <t>In the image, what is an important aspect of Mukna gear?</t>
  </si>
  <si>
    <t>A) Comfort, B) Style, C) Color, D) Brand</t>
  </si>
  <si>
    <t>A) Comfort</t>
  </si>
  <si>
    <t>For the sport depicted in the image, what is a common strategy during a match?</t>
  </si>
  <si>
    <t>A) Aggressive offense, B) Defensive positioning, C) Endurance testing, D) Quick transitions</t>
  </si>
  <si>
    <t>D) Quick transitions</t>
  </si>
  <si>
    <t>In the image, what is a primary benefit of practicing Mukna?</t>
  </si>
  <si>
    <t>A) Increased strength, B) Improved flexibility, C) Enhanced coordination, D) Greater endurance</t>
  </si>
  <si>
    <t>C) Enhanced coordination</t>
  </si>
  <si>
    <t>For the sport shown in the image, what is a common technique for scoring points?</t>
  </si>
  <si>
    <t>A) Takedowns, B) Pins, C) Submissions, D) Throws</t>
  </si>
  <si>
    <t>In the image, what is a common injury prevention method for Mukna players?</t>
  </si>
  <si>
    <t>A) Proper warm-up, B) Ice baths, C) Rest days, D) Massage therapy</t>
  </si>
  <si>
    <t>A) Proper warm-up</t>
  </si>
  <si>
    <t>For the sport depicted in the image, what is a common aspect of post-match analysis?</t>
  </si>
  <si>
    <t>A) Reviewing tactics, B) Analyzing opponent's techniques, C) Assessing personal performance, D) All of the above</t>
  </si>
  <si>
    <t>In the image, what is a common training drill for Mukna?</t>
  </si>
  <si>
    <t>A) Technique repetition, B) Endurance running, C) Strength training, D) Agility drills</t>
  </si>
  <si>
    <t>A) Technique repetition</t>
  </si>
  <si>
    <t>For the sport shown in the image, what is a key mental skill for success?</t>
  </si>
  <si>
    <t>A) Focus, B) Aggression, C) Patience, D) Confidence</t>
  </si>
  <si>
    <t>D) Confidence</t>
  </si>
  <si>
    <t>In the image, what type of footwear is recommended for Mukna?</t>
  </si>
  <si>
    <t>A) Soft-soled shoes, B) Cleats, C) Barefoot, D) Athletic shoes</t>
  </si>
  <si>
    <t>A) Soft-soled shoes</t>
  </si>
  <si>
    <t>For the sport depicted in the image, what is a common dietary supplement for athletes?</t>
  </si>
  <si>
    <t>A) Protein powder, B) Creatine, C) Vitamin supplements, D) Energy bars</t>
  </si>
  <si>
    <t>A) Protein powder</t>
  </si>
  <si>
    <t>In the image, what is a common method for improving reaction time?</t>
  </si>
  <si>
    <t>A) Speed drills, B) Reflex training, C) Strength training, D) Endurance exercises</t>
  </si>
  <si>
    <t>B) Reflex training</t>
  </si>
  <si>
    <t>For the sport shown in the image, what is a typical format for training sessions?</t>
  </si>
  <si>
    <t>A) Skill drills, B) Sparring sessions, C) Conditioning workouts, D) All of the above</t>
  </si>
  <si>
    <t>In the image, what is a common focus area in Mukna practice?</t>
  </si>
  <si>
    <t>A) Technique refinement, B) Speed enhancement, C) Endurance building, D) Strength training</t>
  </si>
  <si>
    <t>For the sport depicted in the image, what is a common pre-match meal?</t>
  </si>
  <si>
    <t>A) High-carb meal, B) High-protein meal, C) Balanced meal, D) High-fat meal</t>
  </si>
  <si>
    <t>C) Balanced meal</t>
  </si>
  <si>
    <t>In the image, what is a common injury in Mukna?</t>
  </si>
  <si>
    <t>A) Sprains, B) Fractures, C) Dislocations, D) Strains</t>
  </si>
  <si>
    <t>D) Strains</t>
  </si>
  <si>
    <t>For the sport shown in the image, what is a common strategy to gain an advantage?</t>
  </si>
  <si>
    <t>A) Physical strength, B) Technical skill, C) Speed, D) All of the above</t>
  </si>
  <si>
    <t>In the image, what is a typical feature of Mukna uniforms?</t>
  </si>
  <si>
    <t>A) Durability, B) Style, C) Color variety, D) Cost</t>
  </si>
  <si>
    <t>A) Durability</t>
  </si>
  <si>
    <t>For the sport depicted in the image, what is a common type of training?</t>
  </si>
  <si>
    <t>A) Cardio workouts, B) Technique practice, C) Strength training, D) Flexibility exercises</t>
  </si>
  <si>
    <t>B) Technique practice</t>
  </si>
  <si>
    <t>In the image, what is a common method for increasing agility?</t>
  </si>
  <si>
    <t>A) Ladder drills, B) Running drills, C) Flexibility exercises, D) Strength training</t>
  </si>
  <si>
    <t>For the sport shown in the image, what is a common psychological preparation technique?</t>
  </si>
  <si>
    <t>A) Visualization, B) Meditation, C) Affirmations, D) All of the above</t>
  </si>
  <si>
    <t>In the image, what is a common way to improve technique in Mukna?</t>
  </si>
  <si>
    <t>A) Regular practice, B) Watching videos, C) Coaching feedback, D) All of the above</t>
  </si>
  <si>
    <t>For the sport depicted in the image, what is a common practice for improving balance?</t>
  </si>
  <si>
    <t>A) Balance drills, B) Strength exercises, C) Cardio workouts, D) Flexibility training</t>
  </si>
  <si>
    <t>In the image, what is a key aspect of Mukna training?</t>
  </si>
  <si>
    <t>A) Skill development, B) Physical conditioning, C) Mental preparation, D) All of the above</t>
  </si>
  <si>
    <t>For the sport shown in the image, what is a typical challenge for beginners?</t>
  </si>
  <si>
    <t>A) Learning techniques, B) Building strength, C) Improving speed, D) Increasing flexibility</t>
  </si>
  <si>
    <t>A) Learning techniques</t>
  </si>
  <si>
    <t>In the image, what is a common tool used for technique improvement in Mukna?</t>
  </si>
  <si>
    <t>A) Training dummies, B) Resistance bands, C) Weights, D) Agility ladders</t>
  </si>
  <si>
    <t>A) Training dummies</t>
  </si>
  <si>
    <t>For the sport depicted in the image, what is a common recovery practice after intense training?</t>
  </si>
  <si>
    <t>A) Stretching, B) Ice baths, C) Massage therapy, D) All of the above</t>
  </si>
  <si>
    <t>In the image, what is a common focus of Mukna competitions?</t>
  </si>
  <si>
    <t>A) Technique, B) Strength, C) Strategy, D) All of the above</t>
  </si>
  <si>
    <t>For the sport shown in the image, what is a typical pre-match routine?</t>
  </si>
  <si>
    <t>A) Warm-up, B) Technique review, C) Strategy discussion, D) All of the above</t>
  </si>
  <si>
    <t>In the image, what is a common method for enhancing flexibility?</t>
  </si>
  <si>
    <t>A) Stretching routines, B) Yoga, C) Foam rolling, D) Strength training</t>
  </si>
  <si>
    <t>A) Stretching routines</t>
  </si>
  <si>
    <t>For the sport depicted in the image, what is an important factor for success?</t>
  </si>
  <si>
    <t>A) Discipline, B) Technique, C) Physical fitness, D) All of the above</t>
  </si>
  <si>
    <t>In the image, what is a common feature of Mukna practice sessions?</t>
  </si>
  <si>
    <t>A) Focused skill drills, B) Sparring, C) Conditioning, D) All of the above</t>
  </si>
  <si>
    <t>In Mukna, what is the primary goal during a match?</t>
  </si>
  <si>
    <t>A) To pin the opponent, B) To throw the opponent, C) To tire out the opponent, D) To force a submission</t>
  </si>
  <si>
    <t>B) To throw the opponent</t>
  </si>
  <si>
    <t>In Mukna, what is a common technique for gaining leverage?</t>
  </si>
  <si>
    <t>A) Grip control, B) Body weight shift, C) Foot placement, D) All of the above</t>
  </si>
  <si>
    <t>For Mukna, what is a recommended practice for improving endurance?</t>
  </si>
  <si>
    <t>A) Interval training, B) Long-distance running, C) Circuit training, D) High-intensity interval training</t>
  </si>
  <si>
    <t>D) High-intensity interval training</t>
  </si>
  <si>
    <t>In Mukna, what is a crucial aspect of effective footwork?</t>
  </si>
  <si>
    <t>A) Speed, B) Precision, C) Balance, D) All of the above</t>
  </si>
  <si>
    <t>In Mukna, what is a common technique to break an opponent's grip?</t>
  </si>
  <si>
    <t>A) Twisting, B) Pulling, C) Striking, D) Pressure points</t>
  </si>
  <si>
    <t>A) Twisting</t>
  </si>
  <si>
    <t>What type of surface is ideal for Mukna practice?</t>
  </si>
  <si>
    <t>A) Soft mat, B) Grass, C) Sand, D) Hard floor</t>
  </si>
  <si>
    <t>A) Soft mat</t>
  </si>
  <si>
    <t>In Mukna, what is an effective method for countering an opponent's throw?</t>
  </si>
  <si>
    <t>A) Rolling, B) Blocking, C) Redirecting, D) Escaping</t>
  </si>
  <si>
    <t>C) Redirecting</t>
  </si>
  <si>
    <t>In Mukna, what is a common way to improve grip strength?</t>
  </si>
  <si>
    <t>A) Hand exercises, B) Weightlifting, C) Resistance bands, D) All of the above</t>
  </si>
  <si>
    <t>For Mukna, what is a typical component of a warm-up routine?</t>
  </si>
  <si>
    <t>A) Dynamic stretching, B) Cardio exercises, C) Skill drills, D) All of the above</t>
  </si>
  <si>
    <t>In Mukna, what is a common method for mental preparation before a match?</t>
  </si>
  <si>
    <t>A) Visualization, B) Deep breathing, C) Positive affirmations, D) All of the above</t>
  </si>
  <si>
    <t>In Mukna, what is a primary focus during defensive maneuvers?</t>
  </si>
  <si>
    <t>A) Evading attacks, B) Counter-attacking, C) Blocking, D) All of the above</t>
  </si>
  <si>
    <t>In Mukna, what is a common type of drill for improving coordination?</t>
  </si>
  <si>
    <t>A) Partner drills, B) Solo drills, C) Speed drills, D) Flexibility drills</t>
  </si>
  <si>
    <t>A) Partner drills</t>
  </si>
  <si>
    <t>For Mukna, what is a key factor in selecting appropriate gear?</t>
  </si>
  <si>
    <t>A) Fit, B) Comfort, C) Protection, D) All of the above</t>
  </si>
  <si>
    <t>In Mukna, what is a common approach for recovering from an injury?</t>
  </si>
  <si>
    <t>A) Rest, B) Physical therapy, C) Medication, D) All of the above</t>
  </si>
  <si>
    <t>In Mukna, what is a typical element of a cooling down routine?</t>
  </si>
  <si>
    <t>A) Stretching, B) Light jogging, C) Hydration, D) All of the above</t>
  </si>
  <si>
    <t>In Mukna, what is an effective technique for scoring points?</t>
  </si>
  <si>
    <t>A) Throwing, B) Takedowns, C) Pins, D) Submissions</t>
  </si>
  <si>
    <t>A) Throwing</t>
  </si>
  <si>
    <t>For Mukna, what is a common way to enhance flexibility?</t>
  </si>
  <si>
    <t>A) Stretching exercises, B) Yoga, C) Foam rolling, D) All of the above</t>
  </si>
  <si>
    <t>In Mukna, what is a recommended practice for improving reaction time?</t>
  </si>
  <si>
    <t>A) Speed drills, B) Reflex training, C) Technique drills, D) Agility drills</t>
  </si>
  <si>
    <t>In Mukna, what is a common method for analyzing performance?</t>
  </si>
  <si>
    <t>A) Reviewing video footage, B) Coach feedback, C) Self-assessment, D) All of the above</t>
  </si>
  <si>
    <t>In Mukna, what is an essential aspect of competition strategy?</t>
  </si>
  <si>
    <t>A) Adapting to opponent's style, B) Maximizing strengths, C) Exploiting opponent's weaknesses, D) All of the above</t>
  </si>
  <si>
    <t>For Mukna, what is a typical characteristic of a high-quality training mat?</t>
  </si>
  <si>
    <t>A) Durability, B) Shock absorption, C) Non-slip surface, D) All of the above</t>
  </si>
  <si>
    <t>In Mukna, what is a common method for enhancing core strength?</t>
  </si>
  <si>
    <t>A) Core exercises, B) Pilates, C) Weightlifting, D) Cardio workouts</t>
  </si>
  <si>
    <t>A) Core exercises</t>
  </si>
  <si>
    <t>In Mukna, what is a key aspect of effective communication with a coach?</t>
  </si>
  <si>
    <t>A) Clarity, B) Honesty, C) Regular updates, D) All of the above</t>
  </si>
  <si>
    <t>In Mukna, what is a common focus during a sparring session?</t>
  </si>
  <si>
    <t>A) Technique improvement, B) Strength building, C) Strategy practice, D) All of the above</t>
  </si>
  <si>
    <t>For Mukna, what is a typical component of a pre-competition routine?</t>
  </si>
  <si>
    <t>A) Mental preparation, B) Physical warm-up, C) Technique review, D) All of the above</t>
  </si>
  <si>
    <t>In Mukna, what is a common method for developing strength?</t>
  </si>
  <si>
    <t>A) Weightlifting, B) Bodyweight exercises, C) Resistance bands, D) All of the above</t>
  </si>
  <si>
    <t>In Mukna, what is a typical aspect of a skill-focused training session?</t>
  </si>
  <si>
    <t>A) Repetition of techniques, B) Partner drills, C) Technique refinement, D) All of the above</t>
  </si>
  <si>
    <t>For Mukna, what is a common way to build mental resilience?</t>
  </si>
  <si>
    <t>A) Visualization, B) Mental conditioning exercises, C) Positive self-talk, D) All of the above</t>
  </si>
  <si>
    <t>In Mukna, what is a typical feature of high-quality practice gear?</t>
  </si>
  <si>
    <t>A) Comfort, B) Protection, C) Durability, D) All of the above</t>
  </si>
  <si>
    <t>In Mukna, what is a common technique for improving balance?</t>
  </si>
  <si>
    <t>A) Balance drills, B) Stability exercises, C) Strength training, D) Flexibility exercises</t>
  </si>
  <si>
    <t>For Mukna, what is a typical post-training recovery method?</t>
  </si>
  <si>
    <t>A) Hydration, B) Stretching, C) Nutrition, D) All of the above</t>
  </si>
  <si>
    <t>In Mukna, what is a common injury prevention strategy?</t>
  </si>
  <si>
    <t>A) Proper technique, B) Warm-up routines, C) Use of protective gear, D) All of the above</t>
  </si>
  <si>
    <t>In Mukna, what is a typical feature of an effective training program?</t>
  </si>
  <si>
    <t>A) Variety, B) Progression, C) Specificity, D) All of the above</t>
  </si>
  <si>
    <t>For Mukna, what is a common way to enhance speed?</t>
  </si>
  <si>
    <t>A) Speed drills, B) Agility training, C) Interval training, D) All of the above</t>
  </si>
  <si>
    <t>In Mukna, what is a common aspect of a technique-focused practice?</t>
  </si>
  <si>
    <t>A) Repetition, B) Precision, C) Partner drills, D) All of the above</t>
  </si>
  <si>
    <t>In Mukna, what is a recommended practice for developing flexibility?</t>
  </si>
  <si>
    <t>A) Stretching routines, B) Yoga, C) Dynamic stretching, D) All of the above</t>
  </si>
  <si>
    <t>For Mukna, what is a typical part of a daily training regimen?</t>
  </si>
  <si>
    <t>A) Technique practice, B) Physical conditioning, C) Sparring, D) All of the above</t>
  </si>
  <si>
    <t>In Mukna, what is a common focus during a competition?</t>
  </si>
  <si>
    <t>A) Technique execution, B) Strategy application, C) Adapting to opponent, D) All of the above</t>
  </si>
  <si>
    <t>In Mukna, what is a typical method for improving grip strength?</t>
  </si>
  <si>
    <t>A) Grip exercises, B) Weight training, C) Resistance bands, D) All of the above</t>
  </si>
  <si>
    <t>For Mukna, what is a common approach to injury prevention?</t>
  </si>
  <si>
    <t>A) Proper technique, B) Regular warm-ups, C) Use of protective gear, D) All of the above</t>
  </si>
  <si>
    <t>In Mukna, what is an important aspect of a match strategy?</t>
  </si>
  <si>
    <t>A) Adapting to the opponent's style, B) Utilizing strengths, C) Exploiting weaknesses, D) All of the above</t>
  </si>
  <si>
    <t>In Mukna, what is a common practice for enhancing agility?</t>
  </si>
  <si>
    <t>A) Agility drills, B) Plyometric exercises, C) Speed training, D) All of the above</t>
  </si>
  <si>
    <t>For Mukna, what is a typical way to build mental toughness?</t>
  </si>
  <si>
    <t>A) Visualization techniques, B) Positive affirmations, C) Mental conditioning exercises, D) All of the above</t>
  </si>
  <si>
    <t>In Mukna, what is a common method for developing overall strength?</t>
  </si>
  <si>
    <t>A) Weightlifting, B) Bodyweight exercises, C) Resistance training, D) All of the above</t>
  </si>
  <si>
    <t>In Mukna, what is a typical component of a match review?</t>
  </si>
  <si>
    <t>A) Video analysis, B) Coach feedback, C) Self-assessment, D) All of the above</t>
  </si>
  <si>
    <t>In Mukna, what is a common way to improve reaction time?</t>
  </si>
  <si>
    <t>A) Reflex drills, B) Speed training, C) Technique practice, D) Agility drills</t>
  </si>
  <si>
    <t>A) Reflex drills</t>
  </si>
  <si>
    <t>For Mukna, what is a typical aspect of a competition preparation routine?</t>
  </si>
  <si>
    <t>A) Technique refinement, B) Mental conditioning, C) Physical warm-up, D) All of the above</t>
  </si>
  <si>
    <t>In Mukna, what is a common way to increase stamina?</t>
  </si>
  <si>
    <t>A) Cardio workouts, B) Interval training, C) Endurance drills, D) All of the above</t>
  </si>
  <si>
    <t>In Mukna, what is a recommended practice for recovery after training?</t>
  </si>
  <si>
    <t>A) Hydration, B) Stretching, C) Proper nutrition, D) All of the above</t>
  </si>
  <si>
    <t>In Mukna, what is a key element of effective competition strategy?</t>
  </si>
  <si>
    <t>A) Adapting to the opponent's tactics, B) Maximizing strengths, C) Minimizing weaknesses, D) All of the above</t>
  </si>
  <si>
    <t>For Mukna, what is a typical feature of a high-quality training facility?</t>
  </si>
  <si>
    <t>A) Adequate space, B) Proper equipment, C) Safe environment, D) All of the above</t>
  </si>
  <si>
    <t>A) Balance drills, B) Stability exercises, C) Core training, D) Flexibility exercises</t>
  </si>
  <si>
    <t>In Mukna, what is a typical way to build explosive strength?</t>
  </si>
  <si>
    <t>A) Plyometric exercises, B) Powerlifting, C) Speed training, D) All of the above</t>
  </si>
  <si>
    <t>A) Plyometric exercises</t>
  </si>
  <si>
    <t>For Mukna, what is a common way to enhance technique execution?</t>
  </si>
  <si>
    <t>A) Drilling, B) Partner practice, C) Video analysis, D) All of the above</t>
  </si>
  <si>
    <t>In Mukna, what is an essential aspect of proper technique?</t>
  </si>
  <si>
    <t>A) Accuracy, B) Timing, C) Strength, D) All of the above</t>
  </si>
  <si>
    <t>In Mukna, what is a common practice for improving flexibility?</t>
  </si>
  <si>
    <t>In Mukna, what is a typical element of a successful match strategy?</t>
  </si>
  <si>
    <t>A) Adapting to the opponent's style, B) Utilizing strengths, C) Implementing techniques effectively, D) All of the above</t>
  </si>
  <si>
    <t>For Mukna, what is a recommended practice for injury management?</t>
  </si>
  <si>
    <t>A) Rest, B) Physical therapy, C) Medical consultation, D) All of the above</t>
  </si>
  <si>
    <t>In Mukna, what is a common approach to enhancing agility?</t>
  </si>
  <si>
    <t>In Mukna, what is a common technique for scoring points?</t>
  </si>
  <si>
    <t>A) Throws, B) Takedowns, C) Pins, D) All of the above</t>
  </si>
  <si>
    <t>For Mukna, what is a typical feature of effective training equipment?</t>
  </si>
  <si>
    <t>A) Durability, B) Comfort, C) Functionality, D) All of the above</t>
  </si>
  <si>
    <t>In Mukna, what is a common method for building mental toughness?</t>
  </si>
  <si>
    <t>In Mukna, what is a recommended practice for enhancing speed?</t>
  </si>
  <si>
    <t>A) Speed drills, B) Interval training, C) Agility training, D) All of the above</t>
  </si>
  <si>
    <t>In Mukna, what is a common approach to technique improvement?</t>
  </si>
  <si>
    <t>A) Regular practice, B) Partner drills, C) Technique analysis, D) All of the above</t>
  </si>
  <si>
    <t>In Mukna, what is a common technique for countering an opponent's move?</t>
  </si>
  <si>
    <t>A) Defensive maneuvers, B) Quick reversals, C) Counter-attacks, D) All of the above</t>
  </si>
  <si>
    <t>For Mukna, what is a typical method to improve endurance?</t>
  </si>
  <si>
    <t>A) Long-distance running, B) High-intensity interval training, C) Circuit training, D) All of the above</t>
  </si>
  <si>
    <t>In Mukna, what is a recommended practice for mastering new techniques?</t>
  </si>
  <si>
    <t>A) Repetitive drills, B) Video reviews, C) Expert guidance, D) All of the above</t>
  </si>
  <si>
    <t>In Mukna, what is an effective strategy for maintaining focus during a match?</t>
  </si>
  <si>
    <t>A) Mental conditioning, B) Breathing techniques, C) Visualization, D) All of the above</t>
  </si>
  <si>
    <t>For Mukna, what is a typical aspect of a warm-up routine?</t>
  </si>
  <si>
    <t>A) Dynamic stretches, B) Mobility exercises, C) Light sparring, D) All of the above</t>
  </si>
  <si>
    <t>In Mukna, what is a common way to enhance reaction time?</t>
  </si>
  <si>
    <t>A) Reflex exercises, B) Speed drills, C) Reaction games, D) All of the above</t>
  </si>
  <si>
    <t>In Mukna, what is a common practice for improving footwork?</t>
  </si>
  <si>
    <t>A) Footwork drills, B) Agility ladders, C) Speed training, D) All of the above</t>
  </si>
  <si>
    <t>For Mukna, what is a typical way to build core strength?</t>
  </si>
  <si>
    <t>A) Core exercises, B) Stability drills, C) Weight training, D) All of the above</t>
  </si>
  <si>
    <t>In Mukna, what is a common approach to enhance strategic thinking?</t>
  </si>
  <si>
    <t>A) Studying opponents, B) Analyzing past matches, C) Practice scenarios, D) All of the above</t>
  </si>
  <si>
    <t>In Mukna, what is a recommended practice for improving body conditioning?</t>
  </si>
  <si>
    <t>A) Cross-training, B) Strength training, C) Conditioning circuits, D) All of the above</t>
  </si>
  <si>
    <t>For Mukna, what is a typical feature of effective recovery practices?</t>
  </si>
  <si>
    <t>A) Adequate rest, B) Proper nutrition, C) Active recovery, D) All of the above</t>
  </si>
  <si>
    <t>In Mukna, what is a common method for improving grip strength?</t>
  </si>
  <si>
    <t>A) Hand exercises, B) Resistance bands, C) Weightlifting, D) All of the above</t>
  </si>
  <si>
    <t>For Mukna, what is a typical practice for enhancing agility?</t>
  </si>
  <si>
    <t>A) Ladder drills, B) Cone drills, C) Plyometrics, D) All of the above</t>
  </si>
  <si>
    <t>In Mukna, what is a common way to develop mental resilience?</t>
  </si>
  <si>
    <t>A) Mental visualization, B) Stress management techniques, C) Positive reinforcement, D) All of the above</t>
  </si>
  <si>
    <t>In Mukna, what is a recommended technique for improving accuracy in strikes?</t>
  </si>
  <si>
    <t>A) Target drills, B) Shadow wrestling, C) Focus mitt training, D) All of the above</t>
  </si>
  <si>
    <t>For Mukna, what is a common approach to improving overall flexibility?</t>
  </si>
  <si>
    <t>A) Regular stretching, B) Yoga, C) Flexibility routines, D) All of the above</t>
  </si>
  <si>
    <t>In Mukna, what is a typical aspect of a balanced training program?</t>
  </si>
  <si>
    <t>A) Technique practice, B) Physical conditioning, C) Mental preparation, D) All of the above</t>
  </si>
  <si>
    <t>In Mukna, what is a common method for increasing explosive power?</t>
  </si>
  <si>
    <t>A) Plyometric exercises, B) Weight training, C) Speed drills, D) All of the above</t>
  </si>
  <si>
    <t>For Mukna, what is a typical way to manage stress before a competition?</t>
  </si>
  <si>
    <t>A) Relaxation techniques, B) Breathing exercises, C) Visualization, D) All of the above</t>
  </si>
  <si>
    <t>In Mukna, what is a common practice for improving endurance?</t>
  </si>
  <si>
    <t>A) Long-distance running, B) Interval training, C) Circuit training, D) All of the above</t>
  </si>
  <si>
    <t>In Mukna, what is a recommended technique for developing precision?</t>
  </si>
  <si>
    <t>A) Target practice, B) Technique drills, C) Video analysis, D) All of the above</t>
  </si>
  <si>
    <t>For Mukna, what is a common method for enhancing tactical awareness?</t>
  </si>
  <si>
    <t>A) Match analysis, B) Tactical drills, C) Expert coaching, D) All of the above</t>
  </si>
  <si>
    <t>In Mukna, what is a typical approach to improving match preparation?</t>
  </si>
  <si>
    <t>A) Reviewing opponent's techniques, B) Refining personal strategies, C) Physical conditioning, D) All of the above</t>
  </si>
  <si>
    <t>In Mukna, what is a common technique for enhancing defensive skills?</t>
  </si>
  <si>
    <t>A) Defensive drills, B) Reaction training, C) Partner practice, D) All of the above</t>
  </si>
  <si>
    <t>For Mukna, what is a typical feature of effective sparring sessions?</t>
  </si>
  <si>
    <t>A) Controlled intensity, B) Technical focus, C) Feedback from coaches, D) All of the above</t>
  </si>
  <si>
    <t>In Mukna, what is a recommended practice for effective weight management?</t>
  </si>
  <si>
    <t>A) Balanced diet, B) Regular exercise, C) Hydration, D) All of the above</t>
  </si>
  <si>
    <t>In Mukna, what is a common method for developing better coordination?</t>
  </si>
  <si>
    <t>A) Coordination drills, B) Balance exercises, C) Technique practice, D) All of the above</t>
  </si>
  <si>
    <t>For Mukna, what is a typical way to improve strategic execution?</t>
  </si>
  <si>
    <t>A) Strategy drills, B) Scenario practice, C) Coaching feedback, D) All of the above</t>
  </si>
  <si>
    <t>In Mukna, what is a common technique for enhancing striking power?</t>
  </si>
  <si>
    <t>A) Strength training, B) Technique refinement, C) Speed drills, D) All of the above</t>
  </si>
  <si>
    <t>In Mukna, what is a typical approach to improving recovery times?</t>
  </si>
  <si>
    <t>A) Active recovery, B) Proper nutrition, C) Adequate rest, D) All of the above</t>
  </si>
  <si>
    <t>For Mukna, what is a common way to enhance flexibility in the legs?</t>
  </si>
  <si>
    <t>A) Leg stretches, B) Yoga, C) Dynamic leg exercises, D) All of the above</t>
  </si>
  <si>
    <t>In Mukna, what is a recommended practice for improving overall strength?</t>
  </si>
  <si>
    <t>A) Strength training, B) Bodyweight exercises, C) Resistance training, D) All of the above</t>
  </si>
  <si>
    <t>In Mukna, what is a common strategy for dealing with aggressive opponents?</t>
  </si>
  <si>
    <t>A) Counter-attacks, B) Defensive maneuvers, C) Staying calm, D) All of the above</t>
  </si>
  <si>
    <t>For Mukna, what is a typical aspect of an effective training plan?</t>
  </si>
  <si>
    <t>A) Varied workouts, B) Progressive overload, C) Regular assessments, D) All of the above</t>
  </si>
  <si>
    <t>In Mukna, what is a common method for improving reaction speed?</t>
  </si>
  <si>
    <t>A) Speed drills, B) Reflex exercises, C) Practice matches, D) All of the above</t>
  </si>
  <si>
    <t>In Mukna, what is a typical approach to enhancing mental focus?</t>
  </si>
  <si>
    <t>A) Concentration exercises, B) Meditation, C) Mental rehearsals, D) All of the above</t>
  </si>
  <si>
    <t>For Mukna, what is a recommended way to build overall athleticism?</t>
  </si>
  <si>
    <t>A) Cross-training, B) Functional exercises, C) Sport-specific drills, D) All of the above</t>
  </si>
  <si>
    <t>In Mukna, what is a common practice for improving balance?</t>
  </si>
  <si>
    <t>A) Balance drills, B) Stability exercises, C) Core strengthening, D) All of the above</t>
  </si>
  <si>
    <t>In Mukna, what is a typical aspect of a recovery plan after intense training?</t>
  </si>
  <si>
    <t>A) Rest, B) Hydration, C) Proper nutrition, D) All of the above</t>
  </si>
  <si>
    <t>For Mukna, what is a common method for improving hand-eye coordination?</t>
  </si>
  <si>
    <t>A) Coordination drills, B) Reaction exercises, C) Precision training, D) All of the above</t>
  </si>
  <si>
    <t>In Mukna, what is a recommended practice for enhancing muscle endurance?</t>
  </si>
  <si>
    <t>A) Endurance training, B) Circuit workouts, C) High-repetition exercises, D) All of the above</t>
  </si>
  <si>
    <t>In Mukna, what is a common technique for improving technique accuracy?</t>
  </si>
  <si>
    <t>A) Repetitive practice, B) Technique analysis, C) Expert feedback, D) All of the above</t>
  </si>
  <si>
    <t>For Mukna, what is a typical approach to refining match strategies?</t>
  </si>
  <si>
    <t>A) Analyzing past matches, B) Practicing various scenarios, C) Consulting with coaches, D) All of the above</t>
  </si>
  <si>
    <t>In Mukna, what is a common method for enhancing overall power?</t>
  </si>
  <si>
    <t>A) Strength training, B) Explosive drills, C) Powerlifting, D) All of the above</t>
  </si>
  <si>
    <t>In Mukna, what is a recommended practice for improving tactical decision-making?</t>
  </si>
  <si>
    <t>A) Strategy drills, B) Reviewing match footage, C) Simulation exercises, D) All of the above</t>
  </si>
  <si>
    <t>For Mukna, what is a typical aspect of a good warm-up routine?</t>
  </si>
  <si>
    <t>A) Increasing heart rate, B) Stretching major muscle groups, C) Preparing mentally, D) All of the above</t>
  </si>
  <si>
    <t>In Mukna, what is a common technique for improving precision in grappling?</t>
  </si>
  <si>
    <t>A) Precision drills, B) Partner practice, C) Technique refinement, D) All of the above</t>
  </si>
  <si>
    <t>In Mukna, what is a typical approach to enhancing speed and agility?</t>
  </si>
  <si>
    <t>A) Speed drills, B) Agility exercises, C) Plyometric training, D) All of the above</t>
  </si>
  <si>
    <t>For Mukna, what is a common practice for developing better coordination?</t>
  </si>
  <si>
    <t>A) Coordination drills, B) Partner drills, C) Skill-specific exercises, D) All of the above</t>
  </si>
  <si>
    <t>In Mukna, what is a recommended method for improving cardiovascular endurance?</t>
  </si>
  <si>
    <t>A) Interval training, B) Continuous cardio, C) Circuit training, D) All of the above</t>
  </si>
  <si>
    <t>In Mukna, what is a common way to enhance flexibility?</t>
  </si>
  <si>
    <t>A) Stretching exercises, B) Yoga, C) Mobility drills, D) All of the above</t>
  </si>
  <si>
    <t>For Mukna, what is a typical practice for improving strength?</t>
  </si>
  <si>
    <t>In Mukna, what is a common technique for improving reaction time?</t>
  </si>
  <si>
    <t>A) Reflex drills, B) Speed exercises, C) Reaction training, D) All of the above</t>
  </si>
  <si>
    <t>In Mukna, what is a typical aspect of match preparation?</t>
  </si>
  <si>
    <t>A) Reviewing opponent strategies, B) Mental conditioning, C) Physical training, D) All of the above</t>
  </si>
  <si>
    <t>For Mukna, what is a common method for improving overall game sense?</t>
  </si>
  <si>
    <t>A) Match simulations, B) Reviewing footage, C) Coaching feedback, D) All of the above</t>
  </si>
  <si>
    <t>In Mukna, what is a recommended practice for injury prevention?</t>
  </si>
  <si>
    <t>A) Proper warm-up, B) Technique refinement, C) Recovery strategies, D) All of the above</t>
  </si>
  <si>
    <t>In Mukna, what is a typical technique for improving striking accuracy?</t>
  </si>
  <si>
    <t>A) Target drills, B) Precision training, C) Technique practice, D) All of the above</t>
  </si>
  <si>
    <t>For Mukna, what is a common approach to enhancing defensive techniques?</t>
  </si>
  <si>
    <t>A) Defensive drills, B) Counter-attacks, C) Partner practice, D) All of the above</t>
  </si>
  <si>
    <t>In Mukna, what is a typical aspect of mental conditioning?</t>
  </si>
  <si>
    <t>A) Visualization, B) Relaxation techniques, C) Focus training, D) All of the above</t>
  </si>
  <si>
    <t>In Mukna, what is a common way to improve overall fitness?</t>
  </si>
  <si>
    <t>A) Cross-training, B) Strength training, C) Conditioning exercises, D) All of the above</t>
  </si>
  <si>
    <t>For Mukna, what is a typical method for improving match endurance?</t>
  </si>
  <si>
    <t>A) Endurance training, B) Interval workouts, C) Recovery strategies, D) All of the above</t>
  </si>
  <si>
    <t>In Mukna, what is a common technique for enhancing grappling skills?</t>
  </si>
  <si>
    <t>A) Drills, B) Technique practice, C) Sparring, D) All of the above</t>
  </si>
  <si>
    <t>In Mukna, what is a recommended practice for improving strategic planning?</t>
  </si>
  <si>
    <t>A) Reviewing tactics, B) Strategy drills, C) Expert feedback, D) All of the above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</si>
</sst>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sz val="9.0"/>
      <color rgb="FF1F1F1F"/>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0">
    <tableStyle count="4" pivot="0" name="Kabaddi-style">
      <tableStyleElement dxfId="1" type="headerRow"/>
      <tableStyleElement dxfId="2" type="firstRowStripe"/>
      <tableStyleElement dxfId="3" type="secondRowStripe"/>
      <tableStyleElement dxfId="4" size="0" type="wholeTable"/>
    </tableStyle>
    <tableStyle count="4" pivot="0" name="Kabaddi-style 2">
      <tableStyleElement dxfId="1" type="headerRow"/>
      <tableStyleElement dxfId="2" type="firstRowStripe"/>
      <tableStyleElement dxfId="3" type="secondRowStripe"/>
      <tableStyleElement dxfId="4" size="0" type="wholeTable"/>
    </tableStyle>
    <tableStyle count="4" pivot="0" name="Chess-style">
      <tableStyleElement dxfId="1" type="headerRow"/>
      <tableStyleElement dxfId="2" type="firstRowStripe"/>
      <tableStyleElement dxfId="3" type="secondRowStripe"/>
      <tableStyleElement dxfId="4" size="0" type="wholeTable"/>
    </tableStyle>
    <tableStyle count="4" pivot="0" name="Chess-style 2">
      <tableStyleElement dxfId="1" type="headerRow"/>
      <tableStyleElement dxfId="2" type="firstRowStripe"/>
      <tableStyleElement dxfId="3" type="secondRowStripe"/>
      <tableStyleElement dxfId="4" size="0" type="wholeTable"/>
    </tableStyle>
    <tableStyle count="4" pivot="0" name="Kho kho-style">
      <tableStyleElement dxfId="1" type="headerRow"/>
      <tableStyleElement dxfId="2" type="firstRowStripe"/>
      <tableStyleElement dxfId="3" type="secondRowStripe"/>
      <tableStyleElement dxfId="4" size="0" type="wholeTable"/>
    </tableStyle>
    <tableStyle count="4" pivot="0" name="Kho kho-style 2">
      <tableStyleElement dxfId="1" type="headerRow"/>
      <tableStyleElement dxfId="2" type="firstRowStripe"/>
      <tableStyleElement dxfId="3" type="secondRowStripe"/>
      <tableStyleElement dxfId="4" size="0" type="wholeTable"/>
    </tableStyle>
    <tableStyle count="4" pivot="0" name="Musti Yuddha-style">
      <tableStyleElement dxfId="1" type="headerRow"/>
      <tableStyleElement dxfId="2" type="firstRowStripe"/>
      <tableStyleElement dxfId="3" type="secondRowStripe"/>
      <tableStyleElement dxfId="4" size="0" type="wholeTable"/>
    </tableStyle>
    <tableStyle count="4" pivot="0" name="Musti Yuddha-style 2">
      <tableStyleElement dxfId="1" type="headerRow"/>
      <tableStyleElement dxfId="2" type="firstRowStripe"/>
      <tableStyleElement dxfId="3" type="secondRowStripe"/>
      <tableStyleElement dxfId="4" size="0" type="wholeTable"/>
    </tableStyle>
    <tableStyle count="4" pivot="0" name="Lagori-style">
      <tableStyleElement dxfId="1" type="headerRow"/>
      <tableStyleElement dxfId="2" type="firstRowStripe"/>
      <tableStyleElement dxfId="3" type="secondRowStripe"/>
      <tableStyleElement dxfId="4" size="0" type="wholeTable"/>
    </tableStyle>
    <tableStyle count="4" pivot="0" name="Lagori-style 2">
      <tableStyleElement dxfId="1" type="headerRow"/>
      <tableStyleElement dxfId="2" type="firstRowStripe"/>
      <tableStyleElement dxfId="3" type="secondRowStripe"/>
      <tableStyleElement dxfId="4" size="0" type="wholeTable"/>
    </tableStyle>
    <tableStyle count="4" pivot="0" name="Pambaram-style">
      <tableStyleElement dxfId="1" type="headerRow"/>
      <tableStyleElement dxfId="2" type="firstRowStripe"/>
      <tableStyleElement dxfId="3" type="secondRowStripe"/>
      <tableStyleElement dxfId="4" size="0" type="wholeTable"/>
    </tableStyle>
    <tableStyle count="4" pivot="0" name="Pambaram-style 2">
      <tableStyleElement dxfId="1" type="headerRow"/>
      <tableStyleElement dxfId="2" type="firstRowStripe"/>
      <tableStyleElement dxfId="3" type="secondRowStripe"/>
      <tableStyleElement dxfId="4" size="0" type="wholeTable"/>
    </tableStyle>
    <tableStyle count="4" pivot="0" name="Dhop Khel-style">
      <tableStyleElement dxfId="1" type="headerRow"/>
      <tableStyleElement dxfId="2" type="firstRowStripe"/>
      <tableStyleElement dxfId="3" type="secondRowStripe"/>
      <tableStyleElement dxfId="4" size="0" type="wholeTable"/>
    </tableStyle>
    <tableStyle count="4" pivot="0" name="Dhop Khel-style 2">
      <tableStyleElement dxfId="1" type="headerRow"/>
      <tableStyleElement dxfId="2" type="firstRowStripe"/>
      <tableStyleElement dxfId="3" type="secondRowStripe"/>
      <tableStyleElement dxfId="4" size="0" type="wholeTable"/>
    </tableStyle>
    <tableStyle count="4" pivot="0" name="Kanche-style">
      <tableStyleElement dxfId="1" type="headerRow"/>
      <tableStyleElement dxfId="2" type="firstRowStripe"/>
      <tableStyleElement dxfId="3" type="secondRowStripe"/>
      <tableStyleElement dxfId="4" size="0" type="wholeTable"/>
    </tableStyle>
    <tableStyle count="4" pivot="0" name="Kanche-style 2">
      <tableStyleElement dxfId="1" type="headerRow"/>
      <tableStyleElement dxfId="2" type="firstRowStripe"/>
      <tableStyleElement dxfId="3" type="secondRowStripe"/>
      <tableStyleElement dxfId="4" size="0" type="wholeTable"/>
    </tableStyle>
    <tableStyle count="4" pivot="0" name="Carrom-style">
      <tableStyleElement dxfId="1" type="headerRow"/>
      <tableStyleElement dxfId="2" type="firstRowStripe"/>
      <tableStyleElement dxfId="3" type="secondRowStripe"/>
      <tableStyleElement dxfId="4" size="0" type="wholeTable"/>
    </tableStyle>
    <tableStyle count="4" pivot="0" name="Carrom-style 2">
      <tableStyleElement dxfId="1" type="headerRow"/>
      <tableStyleElement dxfId="2" type="firstRowStripe"/>
      <tableStyleElement dxfId="3" type="secondRowStripe"/>
      <tableStyleElement dxfId="4" size="0" type="wholeTable"/>
    </tableStyle>
    <tableStyle count="4" pivot="0" name="Kalaripayattu-style">
      <tableStyleElement dxfId="1" type="headerRow"/>
      <tableStyleElement dxfId="2" type="firstRowStripe"/>
      <tableStyleElement dxfId="3" type="secondRowStripe"/>
      <tableStyleElement dxfId="4" size="0" type="wholeTable"/>
    </tableStyle>
    <tableStyle count="4" pivot="0" name="Kalaripayattu-style 2">
      <tableStyleElement dxfId="1" type="headerRow"/>
      <tableStyleElement dxfId="2" type="firstRowStripe"/>
      <tableStyleElement dxfId="3" type="secondRowStripe"/>
      <tableStyleElement dxfId="4" size="0" type="wholeTable"/>
    </tableStyle>
    <tableStyle count="4" pivot="0" name="Silambam-style">
      <tableStyleElement dxfId="1" type="headerRow"/>
      <tableStyleElement dxfId="2" type="firstRowStripe"/>
      <tableStyleElement dxfId="3" type="secondRowStripe"/>
      <tableStyleElement dxfId="4" size="0" type="wholeTable"/>
    </tableStyle>
    <tableStyle count="4" pivot="0" name="Silambam-style 2">
      <tableStyleElement dxfId="1" type="headerRow"/>
      <tableStyleElement dxfId="2" type="firstRowStripe"/>
      <tableStyleElement dxfId="3" type="secondRowStripe"/>
      <tableStyleElement dxfId="4" size="0" type="wholeTable"/>
    </tableStyle>
    <tableStyle count="4" pivot="0" name="Malakhamb-style">
      <tableStyleElement dxfId="1" type="headerRow"/>
      <tableStyleElement dxfId="2" type="firstRowStripe"/>
      <tableStyleElement dxfId="3" type="secondRowStripe"/>
      <tableStyleElement dxfId="4" size="0" type="wholeTable"/>
    </tableStyle>
    <tableStyle count="4" pivot="0" name="Malakhamb-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hang Ta-style">
      <tableStyleElement dxfId="1" type="headerRow"/>
      <tableStyleElement dxfId="2" type="firstRowStripe"/>
      <tableStyleElement dxfId="3" type="secondRowStripe"/>
      <tableStyleElement dxfId="4" size="0" type="wholeTable"/>
    </tableStyle>
    <tableStyle count="4" pivot="0" name="Thang Ta-style 2">
      <tableStyleElement dxfId="1" type="headerRow"/>
      <tableStyleElement dxfId="2" type="firstRowStripe"/>
      <tableStyleElement dxfId="3" type="secondRowStripe"/>
      <tableStyleElement dxfId="4" size="0" type="wholeTable"/>
    </tableStyle>
    <tableStyle count="4" pivot="0" name="Mukna-style">
      <tableStyleElement dxfId="1" type="headerRow"/>
      <tableStyleElement dxfId="2" type="firstRowStripe"/>
      <tableStyleElement dxfId="3" type="secondRowStripe"/>
      <tableStyleElement dxfId="4" size="0" type="wholeTable"/>
    </tableStyle>
    <tableStyle count="4" pivot="0" name="Mukn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7" displayName="Table1" name="Table1" id="1">
  <tableColumns count="5">
    <tableColumn name="Question No." id="1"/>
    <tableColumn name="Image No." id="2"/>
    <tableColumn name="Question" id="3"/>
    <tableColumn name="Options" id="4"/>
    <tableColumn name="Answer" id="5"/>
  </tableColumns>
  <tableStyleInfo name="Kabaddi-style" showColumnStripes="0" showFirstColumn="1" showLastColumn="1" showRowStripes="1"/>
</table>
</file>

<file path=xl/tables/table2.xml><?xml version="1.0" encoding="utf-8"?>
<table xmlns="http://schemas.openxmlformats.org/spreadsheetml/2006/main" ref="G1:K157" displayName="Table2" name="Table2" id="2">
  <tableColumns count="5">
    <tableColumn name="प्रश्न सं." id="1"/>
    <tableColumn name="छवि सं." id="2"/>
    <tableColumn name="सवाल" id="3"/>
    <tableColumn name="विकल्प" id="4"/>
    <tableColumn name="उत्तर" id="5"/>
  </tableColumns>
  <tableStyleInfo name="Kabaddi-style 2" showColumnStripes="0" showFirstColumn="1" showLastColumn="1" showRowStripes="1"/>
</table>
</file>

<file path=xl/tables/table3.xml><?xml version="1.0" encoding="utf-8"?>
<table xmlns="http://schemas.openxmlformats.org/spreadsheetml/2006/main" ref="A1:E153" displayName="Table3" name="Table3" id="3">
  <tableColumns count="5">
    <tableColumn name="Question No." id="1"/>
    <tableColumn name="Image No." id="2"/>
    <tableColumn name="Question" id="3"/>
    <tableColumn name="Options" id="4"/>
    <tableColumn name="Answer" id="5"/>
  </tableColumns>
  <tableStyleInfo name="Chess-style" showColumnStripes="0" showFirstColumn="1" showLastColumn="1" showRowStripes="1"/>
</table>
</file>

<file path=xl/tables/table4.xml><?xml version="1.0" encoding="utf-8"?>
<table xmlns="http://schemas.openxmlformats.org/spreadsheetml/2006/main" ref="G1:K153" displayName="Table4" name="Table4" id="4">
  <tableColumns count="5">
    <tableColumn name="प्रश्न सं." id="1"/>
    <tableColumn name="छवि सं." id="2"/>
    <tableColumn name="सवाल" id="3"/>
    <tableColumn name="विकल्प" id="4"/>
    <tableColumn name="उत्तर" id="5"/>
  </tableColumns>
  <tableStyleInfo name="Chess-style 2" showColumnStripes="0" showFirstColumn="1" showLastColumn="1" showRowStripes="1"/>
</table>
</file>

<file path=xl/tables/table5.xml><?xml version="1.0" encoding="utf-8"?>
<table xmlns="http://schemas.openxmlformats.org/spreadsheetml/2006/main" ref="A1:E121" displayName="Table5" name="Table5" id="5">
  <tableColumns count="5">
    <tableColumn name="Question No." id="1"/>
    <tableColumn name="Image No." id="2"/>
    <tableColumn name="Question" id="3"/>
    <tableColumn name="Options" id="4"/>
    <tableColumn name="Answer" id="5"/>
  </tableColumns>
  <tableStyleInfo name="Kho kho-style" showColumnStripes="0" showFirstColumn="1" showLastColumn="1" showRowStripes="1"/>
</table>
</file>

<file path=xl/tables/table6.xml><?xml version="1.0" encoding="utf-8"?>
<table xmlns="http://schemas.openxmlformats.org/spreadsheetml/2006/main" ref="G1:K121" displayName="Table6" name="Table6" id="6">
  <tableColumns count="5">
    <tableColumn name="प्रश्न सं." id="1"/>
    <tableColumn name="छवि सं." id="2"/>
    <tableColumn name="सवाल" id="3"/>
    <tableColumn name="विकल्प" id="4"/>
    <tableColumn name="उत्तर" id="5"/>
  </tableColumns>
  <tableStyleInfo name="Kho kho-style 2" showColumnStripes="0" showFirstColumn="1" showLastColumn="1" showRowStripes="1"/>
</table>
</file>

<file path=xl/tables/table7.xml><?xml version="1.0" encoding="utf-8"?>
<table xmlns="http://schemas.openxmlformats.org/spreadsheetml/2006/main" ref="A1:E101" displayName="Table7" name="Table7" id="7">
  <tableColumns count="5">
    <tableColumn name="Question No." id="1"/>
    <tableColumn name="Image No." id="2"/>
    <tableColumn name="Question" id="3"/>
    <tableColumn name="Options" id="4"/>
    <tableColumn name="Answer" id="5"/>
  </tableColumns>
  <tableStyleInfo name="Musti Yuddha-style" showColumnStripes="0" showFirstColumn="1" showLastColumn="1" showRowStripes="1"/>
</table>
</file>

<file path=xl/tables/table8.xml><?xml version="1.0" encoding="utf-8"?>
<table xmlns="http://schemas.openxmlformats.org/spreadsheetml/2006/main" ref="G1:K101" displayName="Table8" name="Table8" id="8">
  <tableColumns count="5">
    <tableColumn name="प्रश्न सं." id="1"/>
    <tableColumn name="छवि सं." id="2"/>
    <tableColumn name="सवाल" id="3"/>
    <tableColumn name="विकल्प" id="4"/>
    <tableColumn name="उत्तर" id="5"/>
  </tableColumns>
  <tableStyleInfo name="Musti Yuddha-style 2" showColumnStripes="0" showFirstColumn="1" showLastColumn="1" showRowStripes="1"/>
</table>
</file>

<file path=xl/tables/table9.xml><?xml version="1.0" encoding="utf-8"?>
<table xmlns="http://schemas.openxmlformats.org/spreadsheetml/2006/main" ref="A1:E133" displayName="Table9" name="Table9" id="9">
  <tableColumns count="5">
    <tableColumn name="Question No." id="1"/>
    <tableColumn name="Image No." id="2"/>
    <tableColumn name="Question" id="3"/>
    <tableColumn name="Options" id="4"/>
    <tableColumn name="Answer" id="5"/>
  </tableColumns>
  <tableStyleInfo name="Lagori-style" showColumnStripes="0" showFirstColumn="1" showLastColumn="1" showRowStripes="1"/>
</table>
</file>

<file path=xl/tables/table10.xml><?xml version="1.0" encoding="utf-8"?>
<table xmlns="http://schemas.openxmlformats.org/spreadsheetml/2006/main" ref="G1:K133" displayName="Table10" name="Table10" id="10">
  <tableColumns count="5">
    <tableColumn name="प्रश्न सं." id="1"/>
    <tableColumn name="छवि सं." id="2"/>
    <tableColumn name="सवाल" id="3"/>
    <tableColumn name="विकल्प" id="4"/>
    <tableColumn name="उत्तर" id="5"/>
  </tableColumns>
  <tableStyleInfo name="Lagori-style 2" showColumnStripes="0" showFirstColumn="1" showLastColumn="1" showRowStripes="1"/>
</table>
</file>

<file path=xl/tables/table11.xml><?xml version="1.0" encoding="utf-8"?>
<table xmlns="http://schemas.openxmlformats.org/spreadsheetml/2006/main" ref="A1:E137" displayName="Table11" name="Table11" id="11">
  <tableColumns count="5">
    <tableColumn name="Question No." id="1"/>
    <tableColumn name="Image No." id="2"/>
    <tableColumn name="Question" id="3"/>
    <tableColumn name="Options" id="4"/>
    <tableColumn name="Answer" id="5"/>
  </tableColumns>
  <tableStyleInfo name="Pambaram-style" showColumnStripes="0" showFirstColumn="1" showLastColumn="1" showRowStripes="1"/>
</table>
</file>

<file path=xl/tables/table12.xml><?xml version="1.0" encoding="utf-8"?>
<table xmlns="http://schemas.openxmlformats.org/spreadsheetml/2006/main" ref="G1:K137" displayName="Table12" name="Table12" id="12">
  <tableColumns count="5">
    <tableColumn name="प्रश्न सं." id="1"/>
    <tableColumn name="छवि सं." id="2"/>
    <tableColumn name="सवाल" id="3"/>
    <tableColumn name="विकल्प" id="4"/>
    <tableColumn name="उत्तर" id="5"/>
  </tableColumns>
  <tableStyleInfo name="Pambaram-style 2" showColumnStripes="0" showFirstColumn="1" showLastColumn="1" showRowStripes="1"/>
</table>
</file>

<file path=xl/tables/table13.xml><?xml version="1.0" encoding="utf-8"?>
<table xmlns="http://schemas.openxmlformats.org/spreadsheetml/2006/main" ref="A1:E101" displayName="Table13" name="Table13" id="13">
  <tableColumns count="5">
    <tableColumn name="Question No." id="1"/>
    <tableColumn name="Image No." id="2"/>
    <tableColumn name="Question" id="3"/>
    <tableColumn name="Options" id="4"/>
    <tableColumn name="Answer" id="5"/>
  </tableColumns>
  <tableStyleInfo name="Dhop Khel-style" showColumnStripes="0" showFirstColumn="1" showLastColumn="1" showRowStripes="1"/>
</table>
</file>

<file path=xl/tables/table14.xml><?xml version="1.0" encoding="utf-8"?>
<table xmlns="http://schemas.openxmlformats.org/spreadsheetml/2006/main" ref="G1:K101" displayName="Table14" name="Table14" id="14">
  <tableColumns count="5">
    <tableColumn name="प्रश्न सं." id="1"/>
    <tableColumn name="छवि सं." id="2"/>
    <tableColumn name="सवाल" id="3"/>
    <tableColumn name="विकल्प" id="4"/>
    <tableColumn name="उत्तर" id="5"/>
  </tableColumns>
  <tableStyleInfo name="Dhop Khel-style 2" showColumnStripes="0" showFirstColumn="1" showLastColumn="1" showRowStripes="1"/>
</table>
</file>

<file path=xl/tables/table15.xml><?xml version="1.0" encoding="utf-8"?>
<table xmlns="http://schemas.openxmlformats.org/spreadsheetml/2006/main" ref="A1:E141" displayName="Table15" name="Table15" id="15">
  <tableColumns count="5">
    <tableColumn name="Question No." id="1"/>
    <tableColumn name="Image No." id="2"/>
    <tableColumn name="Question" id="3"/>
    <tableColumn name="Options" id="4"/>
    <tableColumn name="Answer" id="5"/>
  </tableColumns>
  <tableStyleInfo name="Kanche-style" showColumnStripes="0" showFirstColumn="1" showLastColumn="1" showRowStripes="1"/>
</table>
</file>

<file path=xl/tables/table16.xml><?xml version="1.0" encoding="utf-8"?>
<table xmlns="http://schemas.openxmlformats.org/spreadsheetml/2006/main" ref="G1:K141" displayName="Table16" name="Table16" id="16">
  <tableColumns count="5">
    <tableColumn name="प्रश्न सं." id="1"/>
    <tableColumn name="छवि सं." id="2"/>
    <tableColumn name="सवाल" id="3"/>
    <tableColumn name="विकल्प" id="4"/>
    <tableColumn name="उत्तर" id="5"/>
  </tableColumns>
  <tableStyleInfo name="Kanche-style 2" showColumnStripes="0" showFirstColumn="1" showLastColumn="1" showRowStripes="1"/>
</table>
</file>

<file path=xl/tables/table17.xml><?xml version="1.0" encoding="utf-8"?>
<table xmlns="http://schemas.openxmlformats.org/spreadsheetml/2006/main" ref="A1:E133" displayName="Table17" name="Table17" id="17">
  <tableColumns count="5">
    <tableColumn name="Question No." id="1"/>
    <tableColumn name="Image No." id="2"/>
    <tableColumn name="Question" id="3"/>
    <tableColumn name="Options" id="4"/>
    <tableColumn name="Answer" id="5"/>
  </tableColumns>
  <tableStyleInfo name="Carrom-style" showColumnStripes="0" showFirstColumn="1" showLastColumn="1" showRowStripes="1"/>
</table>
</file>

<file path=xl/tables/table18.xml><?xml version="1.0" encoding="utf-8"?>
<table xmlns="http://schemas.openxmlformats.org/spreadsheetml/2006/main" ref="G1:K133" displayName="Table18" name="Table18" id="18">
  <tableColumns count="5">
    <tableColumn name="प्रश्न सं." id="1"/>
    <tableColumn name="छवि सं." id="2"/>
    <tableColumn name="सवाल" id="3"/>
    <tableColumn name="विकल्प" id="4"/>
    <tableColumn name="उत्तर" id="5"/>
  </tableColumns>
  <tableStyleInfo name="Carrom-style 2" showColumnStripes="0" showFirstColumn="1" showLastColumn="1" showRowStripes="1"/>
</table>
</file>

<file path=xl/tables/table19.xml><?xml version="1.0" encoding="utf-8"?>
<table xmlns="http://schemas.openxmlformats.org/spreadsheetml/2006/main" ref="A1:E133" displayName="Table19" name="Table19" id="19">
  <tableColumns count="5">
    <tableColumn name="Question No." id="1"/>
    <tableColumn name="Image No." id="2"/>
    <tableColumn name="Question" id="3"/>
    <tableColumn name="Options" id="4"/>
    <tableColumn name="Answer" id="5"/>
  </tableColumns>
  <tableStyleInfo name="Kalaripayattu-style" showColumnStripes="0" showFirstColumn="1" showLastColumn="1" showRowStripes="1"/>
</table>
</file>

<file path=xl/tables/table20.xml><?xml version="1.0" encoding="utf-8"?>
<table xmlns="http://schemas.openxmlformats.org/spreadsheetml/2006/main" ref="G1:K133" displayName="Table20" name="Table20" id="20">
  <tableColumns count="5">
    <tableColumn name="प्रश्न सं." id="1"/>
    <tableColumn name="छवि सं." id="2"/>
    <tableColumn name="सवाल" id="3"/>
    <tableColumn name="विकल्प" id="4"/>
    <tableColumn name="उत्तर" id="5"/>
  </tableColumns>
  <tableStyleInfo name="Kalaripayattu-style 2" showColumnStripes="0" showFirstColumn="1" showLastColumn="1" showRowStripes="1"/>
</table>
</file>

<file path=xl/tables/table21.xml><?xml version="1.0" encoding="utf-8"?>
<table xmlns="http://schemas.openxmlformats.org/spreadsheetml/2006/main" ref="A1:E113" displayName="Table21" name="Table21" id="21">
  <tableColumns count="5">
    <tableColumn name="Question No." id="1"/>
    <tableColumn name="Image No." id="2"/>
    <tableColumn name="Question" id="3"/>
    <tableColumn name="Options" id="4"/>
    <tableColumn name="Answer" id="5"/>
  </tableColumns>
  <tableStyleInfo name="Silambam-style" showColumnStripes="0" showFirstColumn="1" showLastColumn="1" showRowStripes="1"/>
</table>
</file>

<file path=xl/tables/table22.xml><?xml version="1.0" encoding="utf-8"?>
<table xmlns="http://schemas.openxmlformats.org/spreadsheetml/2006/main" ref="G1:K113" displayName="Table22" name="Table22" id="22">
  <tableColumns count="5">
    <tableColumn name="प्रश्न सं." id="1"/>
    <tableColumn name="छवि सं." id="2"/>
    <tableColumn name="सवाल" id="3"/>
    <tableColumn name="विकल्प" id="4"/>
    <tableColumn name="उत्तर" id="5"/>
  </tableColumns>
  <tableStyleInfo name="Silambam-style 2" showColumnStripes="0" showFirstColumn="1" showLastColumn="1" showRowStripes="1"/>
</table>
</file>

<file path=xl/tables/table23.xml><?xml version="1.0" encoding="utf-8"?>
<table xmlns="http://schemas.openxmlformats.org/spreadsheetml/2006/main" ref="A1:E137" displayName="Table23" name="Table23" id="23">
  <tableColumns count="5">
    <tableColumn name="Question No." id="1"/>
    <tableColumn name="Image No." id="2"/>
    <tableColumn name="Question" id="3"/>
    <tableColumn name="Options" id="4"/>
    <tableColumn name="Answer" id="5"/>
  </tableColumns>
  <tableStyleInfo name="Malakhamb-style" showColumnStripes="0" showFirstColumn="1" showLastColumn="1" showRowStripes="1"/>
</table>
</file>

<file path=xl/tables/table24.xml><?xml version="1.0" encoding="utf-8"?>
<table xmlns="http://schemas.openxmlformats.org/spreadsheetml/2006/main" ref="G1:K137" displayName="Table24" name="Table24" id="24">
  <tableColumns count="5">
    <tableColumn name="प्रश्न सं." id="1"/>
    <tableColumn name="छवि सं." id="2"/>
    <tableColumn name="सवाल" id="3"/>
    <tableColumn name="विकल्प" id="4"/>
    <tableColumn name="उत्तर" id="5"/>
  </tableColumns>
  <tableStyleInfo name="Malakhamb-style 2" showColumnStripes="0" showFirstColumn="1" showLastColumn="1" showRowStripes="1"/>
</table>
</file>

<file path=xl/tables/table25.xml><?xml version="1.0" encoding="utf-8"?>
<table xmlns="http://schemas.openxmlformats.org/spreadsheetml/2006/main" ref="A1:E121" displayName="Table25" name="Table25" id="25">
  <tableColumns count="5">
    <tableColumn name="Question No." id="1"/>
    <tableColumn name="Image No." id="2"/>
    <tableColumn name="Question" id="3"/>
    <tableColumn name="Options" id="4"/>
    <tableColumn name="Answer" id="5"/>
  </tableColumns>
  <tableStyleInfo name="Gilli Danda-style" showColumnStripes="0" showFirstColumn="1" showLastColumn="1" showRowStripes="1"/>
</table>
</file>

<file path=xl/tables/table26.xml><?xml version="1.0" encoding="utf-8"?>
<table xmlns="http://schemas.openxmlformats.org/spreadsheetml/2006/main" ref="G1:K121" displayName="Table26" name="Table26" id="26">
  <tableColumns count="5">
    <tableColumn name="प्रश्न सं." id="1"/>
    <tableColumn name="छवि सं." id="2"/>
    <tableColumn name="सवाल" id="3"/>
    <tableColumn name="विकल्प" id="4"/>
    <tableColumn name="उत्तर" id="5"/>
  </tableColumns>
  <tableStyleInfo name="Gilli Danda-style 2" showColumnStripes="0" showFirstColumn="1" showLastColumn="1" showRowStripes="1"/>
</table>
</file>

<file path=xl/tables/table27.xml><?xml version="1.0" encoding="utf-8"?>
<table xmlns="http://schemas.openxmlformats.org/spreadsheetml/2006/main" ref="A1:E102" displayName="Table27" name="Table27" id="27">
  <tableColumns count="5">
    <tableColumn name="Question No." id="1"/>
    <tableColumn name="Image Number" id="2"/>
    <tableColumn name="Question" id="3"/>
    <tableColumn name="Options" id="4"/>
    <tableColumn name="Answer" id="5"/>
  </tableColumns>
  <tableStyleInfo name="Thang Ta-style" showColumnStripes="0" showFirstColumn="1" showLastColumn="1" showRowStripes="1"/>
</table>
</file>

<file path=xl/tables/table28.xml><?xml version="1.0" encoding="utf-8"?>
<table xmlns="http://schemas.openxmlformats.org/spreadsheetml/2006/main" ref="G1:K102" displayName="Table28" name="Table28" id="28">
  <tableColumns count="5">
    <tableColumn name="प्रश्न सं." id="1"/>
    <tableColumn name="छवि संख्या" id="2"/>
    <tableColumn name="सवाल" id="3"/>
    <tableColumn name="विकल्प" id="4"/>
    <tableColumn name="उत्तर" id="5"/>
  </tableColumns>
  <tableStyleInfo name="Thang Ta-style 2" showColumnStripes="0" showFirstColumn="1" showLastColumn="1" showRowStripes="1"/>
</table>
</file>

<file path=xl/tables/table29.xml><?xml version="1.0" encoding="utf-8"?>
<table xmlns="http://schemas.openxmlformats.org/spreadsheetml/2006/main" ref="A1:E222" displayName="Table29" name="Table29" id="29">
  <tableColumns count="5">
    <tableColumn name="Question No." id="1"/>
    <tableColumn name="Image Number" id="2"/>
    <tableColumn name="Question" id="3"/>
    <tableColumn name="Options" id="4"/>
    <tableColumn name="Answer" id="5"/>
  </tableColumns>
  <tableStyleInfo name="Mukna-style" showColumnStripes="0" showFirstColumn="1" showLastColumn="1" showRowStripes="1"/>
</table>
</file>

<file path=xl/tables/table30.xml><?xml version="1.0" encoding="utf-8"?>
<table xmlns="http://schemas.openxmlformats.org/spreadsheetml/2006/main" ref="G1:K222" displayName="Table30" name="Table30" id="30">
  <tableColumns count="5">
    <tableColumn name="प्रश्न सं." id="1"/>
    <tableColumn name="छवि संख्या" id="2"/>
    <tableColumn name="सवाल" id="3"/>
    <tableColumn name="विकल्प" id="4"/>
    <tableColumn name="उत्तर" id="5"/>
  </tableColumns>
  <tableStyleInfo name="Mukn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1.xml"/><Relationship Id="rId5"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3.xml"/><Relationship Id="rId5"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5.xml"/><Relationship Id="rId5"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7.xml"/><Relationship Id="rId5"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9.xml"/><Relationship Id="rId5"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5" width="37.63"/>
    <col customWidth="1" min="9" max="10" width="37.63"/>
    <col customWidth="1" min="11" max="11" width="36.63"/>
  </cols>
  <sheetData>
    <row r="1" ht="22.5" customHeight="1">
      <c r="A1" s="1" t="s">
        <v>0</v>
      </c>
      <c r="B1" s="1" t="s">
        <v>1</v>
      </c>
      <c r="C1" s="1" t="s">
        <v>2</v>
      </c>
      <c r="D1" s="1" t="s">
        <v>3</v>
      </c>
      <c r="E1" s="1" t="s">
        <v>4</v>
      </c>
      <c r="G1" s="1" t="s">
        <v>5</v>
      </c>
      <c r="H1" s="1" t="s">
        <v>6</v>
      </c>
      <c r="I1" s="1" t="s">
        <v>7</v>
      </c>
      <c r="J1" s="1" t="s">
        <v>8</v>
      </c>
      <c r="K1" s="1" t="s">
        <v>9</v>
      </c>
    </row>
    <row r="2" ht="22.5" customHeight="1">
      <c r="A2" s="2">
        <v>1.0</v>
      </c>
      <c r="B2" s="3" t="s">
        <v>10</v>
      </c>
      <c r="C2" s="3" t="s">
        <v>11</v>
      </c>
      <c r="D2" s="3" t="s">
        <v>12</v>
      </c>
      <c r="E2" s="3" t="s">
        <v>13</v>
      </c>
      <c r="G2" s="3" t="str">
        <f>IFERROR(__xludf.DUMMYFUNCTION("GOOGLETRANSLATE(A2, ""en"", ""hi"")"),"1")</f>
        <v>1</v>
      </c>
      <c r="H2" s="4" t="str">
        <f>IFERROR(__xludf.DUMMYFUNCTION("GOOGLETRANSLATE(B2, ""en"", ""hi"")"),"कबड्डी_1")</f>
        <v>कबड्डी_1</v>
      </c>
      <c r="I2" s="3" t="str">
        <f>IFERROR(__xludf.DUMMYFUNCTION("GOOGLETRANSLATE(C2, ""en"", ""hi"")"),"चित्र में कौन सा खेल दर्शाया गया है?")</f>
        <v>चित्र में कौन सा खेल दर्शाया गया है?</v>
      </c>
      <c r="J2" s="3" t="str">
        <f>IFERROR(__xludf.DUMMYFUNCTION("GOOGLETRANSLATE(D2, ""en"", ""hi"")"),"A) क्रिकेट, B) कबड्डी, C) फुटबॉल, D) बास्केटबॉल")</f>
        <v>A) क्रिकेट, B) कबड्डी, C) फुटबॉल, D) बास्केटबॉल</v>
      </c>
      <c r="K2" s="4" t="str">
        <f>IFERROR(__xludf.DUMMYFUNCTION("GOOGLETRANSLATE(E2, ""en"", ""hi"")"),"बी) कबड्डी")</f>
        <v>बी) कबड्डी</v>
      </c>
    </row>
    <row r="3" ht="22.5" customHeight="1">
      <c r="A3" s="2">
        <v>2.0</v>
      </c>
      <c r="B3" s="3" t="s">
        <v>10</v>
      </c>
      <c r="C3" s="3" t="s">
        <v>14</v>
      </c>
      <c r="D3" s="3" t="s">
        <v>15</v>
      </c>
      <c r="E3" s="3" t="s">
        <v>16</v>
      </c>
      <c r="G3" s="3" t="str">
        <f>IFERROR(__xludf.DUMMYFUNCTION("GOOGLETRANSLATE(A3, ""en"", ""hi"")"),"2")</f>
        <v>2</v>
      </c>
      <c r="H3" s="3" t="str">
        <f>IFERROR(__xludf.DUMMYFUNCTION("GOOGLETRANSLATE(B3, ""en"", ""hi"")"),"कबड्डी_1")</f>
        <v>कबड्डी_1</v>
      </c>
      <c r="I3" s="4" t="str">
        <f>IFERROR(__xludf.DUMMYFUNCTION("GOOGLETRANSLATE(C3, ""en"", ""hi"")"),"चित्र में किस प्रकार का न्यायालय दिखाया गया है?")</f>
        <v>चित्र में किस प्रकार का न्यायालय दिखाया गया है?</v>
      </c>
      <c r="J3" s="4" t="str">
        <f>IFERROR(__xludf.DUMMYFUNCTION("GOOGLETRANSLATE(D3, ""en"", ""hi"")"),"A) टेनिस कोर्ट, B) वॉलीबॉल कोर्ट, C) कबड्डी कोर्ट, D) बास्केटबॉल कोर्ट")</f>
        <v>A) टेनिस कोर्ट, B) वॉलीबॉल कोर्ट, C) कबड्डी कोर्ट, D) बास्केटबॉल कोर्ट</v>
      </c>
      <c r="K3" s="3" t="str">
        <f>IFERROR(__xludf.DUMMYFUNCTION("GOOGLETRANSLATE(E3, ""en"", ""hi"")"),"C) कबड्डी कोर्ट")</f>
        <v>C) कबड्डी कोर्ट</v>
      </c>
    </row>
    <row r="4" ht="22.5" customHeight="1">
      <c r="A4" s="2">
        <v>3.0</v>
      </c>
      <c r="B4" s="3" t="s">
        <v>10</v>
      </c>
      <c r="C4" s="3" t="s">
        <v>17</v>
      </c>
      <c r="D4" s="3" t="s">
        <v>18</v>
      </c>
      <c r="E4" s="3" t="s">
        <v>19</v>
      </c>
      <c r="G4" s="3" t="str">
        <f>IFERROR(__xludf.DUMMYFUNCTION("GOOGLETRANSLATE(A4, ""en"", ""hi"")"),"3")</f>
        <v>3</v>
      </c>
      <c r="H4" s="4" t="str">
        <f>IFERROR(__xludf.DUMMYFUNCTION("GOOGLETRANSLATE(B4, ""en"", ""hi"")"),"कबड्डी_1")</f>
        <v>कबड्डी_1</v>
      </c>
      <c r="I4" s="4" t="str">
        <f>IFERROR(__xludf.DUMMYFUNCTION("GOOGLETRANSLATE(C4, ""en"", ""hi"")"),"चित्र में दिखाए गए खेल में प्रयुक्त मुख्य कौशल क्या है?")</f>
        <v>चित्र में दिखाए गए खेल में प्रयुक्त मुख्य कौशल क्या है?</v>
      </c>
      <c r="J4" s="4" t="str">
        <f>IFERROR(__xludf.DUMMYFUNCTION("GOOGLETRANSLATE(D4, ""en"", ""hi"")"),"A) ड्रिब्लिंग, B) रेडिंग और टैकलिंग, C) पासिंग, D) सर्विंग")</f>
        <v>A) ड्रिब्लिंग, B) रेडिंग और टैकलिंग, C) पासिंग, D) सर्विंग</v>
      </c>
      <c r="K4" s="3" t="str">
        <f>IFERROR(__xludf.DUMMYFUNCTION("GOOGLETRANSLATE(E4, ""en"", ""hi"")"),"बी) रेडिंग और टैकलिंग")</f>
        <v>बी) रेडिंग और टैकलिंग</v>
      </c>
    </row>
    <row r="5" ht="22.5" customHeight="1">
      <c r="A5" s="2">
        <v>4.0</v>
      </c>
      <c r="B5" s="3" t="s">
        <v>10</v>
      </c>
      <c r="C5" s="3" t="s">
        <v>20</v>
      </c>
      <c r="D5" s="3" t="s">
        <v>21</v>
      </c>
      <c r="E5" s="3" t="s">
        <v>22</v>
      </c>
      <c r="G5" s="3" t="str">
        <f>IFERROR(__xludf.DUMMYFUNCTION("GOOGLETRANSLATE(A5, ""en"", ""hi"")"),"4")</f>
        <v>4</v>
      </c>
      <c r="H5" s="4" t="str">
        <f>IFERROR(__xludf.DUMMYFUNCTION("GOOGLETRANSLATE(B5, ""en"", ""hi"")"),"कबड्डी_1")</f>
        <v>कबड्डी_1</v>
      </c>
      <c r="I5" s="4" t="str">
        <f>IFERROR(__xludf.DUMMYFUNCTION("GOOGLETRANSLATE(C5, ""en"", ""hi"")"),"चित्र में दिखाया गया खेल किस देश में सबसे अधिक लोकप्रिय है?")</f>
        <v>चित्र में दिखाया गया खेल किस देश में सबसे अधिक लोकप्रिय है?</v>
      </c>
      <c r="J5" s="3" t="str">
        <f>IFERROR(__xludf.DUMMYFUNCTION("GOOGLETRANSLATE(D5, ""en"", ""hi"")"),"A) यूएसए, B) भारत, C) ऑस्ट्रेलिया, D) चीन")</f>
        <v>A) यूएसए, B) भारत, C) ऑस्ट्रेलिया, D) चीन</v>
      </c>
      <c r="K5" s="4" t="str">
        <f>IFERROR(__xludf.DUMMYFUNCTION("GOOGLETRANSLATE(E5, ""en"", ""hi"")"),"बी) भारत")</f>
        <v>बी) भारत</v>
      </c>
    </row>
    <row r="6" ht="22.5" customHeight="1">
      <c r="A6" s="2">
        <v>5.0</v>
      </c>
      <c r="B6" s="3" t="s">
        <v>23</v>
      </c>
      <c r="C6" s="3" t="s">
        <v>24</v>
      </c>
      <c r="D6" s="3" t="s">
        <v>25</v>
      </c>
      <c r="E6" s="3" t="s">
        <v>26</v>
      </c>
      <c r="G6" s="3" t="str">
        <f>IFERROR(__xludf.DUMMYFUNCTION("GOOGLETRANSLATE(A6, ""en"", ""hi"")"),"5")</f>
        <v>5</v>
      </c>
      <c r="H6" s="3" t="str">
        <f>IFERROR(__xludf.DUMMYFUNCTION("GOOGLETRANSLATE(B6, ""en"", ""hi"")"),"कबड्डी_2")</f>
        <v>कबड्डी_2</v>
      </c>
      <c r="I6" s="4" t="str">
        <f>IFERROR(__xludf.DUMMYFUNCTION("GOOGLETRANSLATE(C6, ""en"", ""hi"")"),"चित्र में खिलाड़ियों द्वारा की जा रही रक्षात्मक कार्रवाई क्या है?")</f>
        <v>चित्र में खिलाड़ियों द्वारा की जा रही रक्षात्मक कार्रवाई क्या है?</v>
      </c>
      <c r="J6" s="4" t="str">
        <f>IFERROR(__xludf.DUMMYFUNCTION("GOOGLETRANSLATE(D6, ""en"", ""hi"")"),"A) रेडर को रोकना, B) पास देना, C) ड्रिब्लिंग करना, D) शूटिंग करना")</f>
        <v>A) रेडर को रोकना, B) पास देना, C) ड्रिब्लिंग करना, D) शूटिंग करना</v>
      </c>
      <c r="K6" s="4" t="str">
        <f>IFERROR(__xludf.DUMMYFUNCTION("GOOGLETRANSLATE(E6, ""en"", ""hi"")"),"A) हमलावर को रोकना")</f>
        <v>A) हमलावर को रोकना</v>
      </c>
    </row>
    <row r="7" ht="22.5" customHeight="1">
      <c r="A7" s="2">
        <v>6.0</v>
      </c>
      <c r="B7" s="3" t="s">
        <v>23</v>
      </c>
      <c r="C7" s="3" t="s">
        <v>27</v>
      </c>
      <c r="D7" s="3" t="s">
        <v>28</v>
      </c>
      <c r="E7" s="3" t="s">
        <v>29</v>
      </c>
      <c r="G7" s="3" t="str">
        <f>IFERROR(__xludf.DUMMYFUNCTION("GOOGLETRANSLATE(A7, ""en"", ""hi"")"),"6")</f>
        <v>6</v>
      </c>
      <c r="H7" s="4" t="str">
        <f>IFERROR(__xludf.DUMMYFUNCTION("GOOGLETRANSLATE(B7, ""en"", ""hi"")"),"कबड्डी_2")</f>
        <v>कबड्डी_2</v>
      </c>
      <c r="I7" s="3" t="str">
        <f>IFERROR(__xludf.DUMMYFUNCTION("GOOGLETRANSLATE(C7, ""en"", ""hi"")"),"बचाव करने वाले खिलाड़ी हमलावर को कौन सी रेखा पार करने से रोकने का प्रयास कर रहे हैं?")</f>
        <v>बचाव करने वाले खिलाड़ी हमलावर को कौन सी रेखा पार करने से रोकने का प्रयास कर रहे हैं?</v>
      </c>
      <c r="J7" s="4" t="str">
        <f>IFERROR(__xludf.DUMMYFUNCTION("GOOGLETRANSLATE(D7, ""en"", ""hi"")"),"A) गोल लाइन, B) सेंटर लाइन, C) टचलाइन, D) अंतिम लाइन")</f>
        <v>A) गोल लाइन, B) सेंटर लाइन, C) टचलाइन, D) अंतिम लाइन</v>
      </c>
      <c r="K7" s="4" t="str">
        <f>IFERROR(__xludf.DUMMYFUNCTION("GOOGLETRANSLATE(E7, ""en"", ""hi"")"),"बी) केंद्र रेखा")</f>
        <v>बी) केंद्र रेखा</v>
      </c>
    </row>
    <row r="8" ht="22.5" customHeight="1">
      <c r="A8" s="2">
        <v>7.0</v>
      </c>
      <c r="B8" s="3" t="s">
        <v>23</v>
      </c>
      <c r="C8" s="3" t="s">
        <v>30</v>
      </c>
      <c r="D8" s="3" t="s">
        <v>31</v>
      </c>
      <c r="E8" s="3" t="s">
        <v>32</v>
      </c>
      <c r="G8" s="3" t="str">
        <f>IFERROR(__xludf.DUMMYFUNCTION("GOOGLETRANSLATE(A8, ""en"", ""hi"")"),"7")</f>
        <v>7</v>
      </c>
      <c r="H8" s="4" t="str">
        <f>IFERROR(__xludf.DUMMYFUNCTION("GOOGLETRANSLATE(B8, ""en"", ""hi"")"),"कबड्डी_2")</f>
        <v>कबड्डी_2</v>
      </c>
      <c r="I8" s="3" t="str">
        <f>IFERROR(__xludf.DUMMYFUNCTION("GOOGLETRANSLATE(C8, ""en"", ""hi"")"),"चित्र में बचाव दल का प्राथमिक उद्देश्य क्या है?")</f>
        <v>चित्र में बचाव दल का प्राथमिक उद्देश्य क्या है?</v>
      </c>
      <c r="J8" s="4" t="str">
        <f>IFERROR(__xludf.DUMMYFUNCTION("GOOGLETRANSLATE(D8, ""en"", ""hi"")"),"A) आक्रमण करके अंक अर्जित करना, B) हमलावर को भागने से रोकना, C) गेंद पास करना, D) विरोधियों को ड्रिबल करके पीछे छोड़ना")</f>
        <v>A) आक्रमण करके अंक अर्जित करना, B) हमलावर को भागने से रोकना, C) गेंद पास करना, D) विरोधियों को ड्रिबल करके पीछे छोड़ना</v>
      </c>
      <c r="K8" s="3" t="str">
        <f>IFERROR(__xludf.DUMMYFUNCTION("GOOGLETRANSLATE(E8, ""en"", ""hi"")"),"बी) हमलावर को भागने से रोकने के लिए")</f>
        <v>बी) हमलावर को भागने से रोकने के लिए</v>
      </c>
    </row>
    <row r="9" ht="22.5" customHeight="1">
      <c r="A9" s="2">
        <v>8.0</v>
      </c>
      <c r="B9" s="3" t="s">
        <v>23</v>
      </c>
      <c r="C9" s="3" t="s">
        <v>33</v>
      </c>
      <c r="D9" s="3" t="s">
        <v>34</v>
      </c>
      <c r="E9" s="3" t="s">
        <v>35</v>
      </c>
      <c r="G9" s="3" t="str">
        <f>IFERROR(__xludf.DUMMYFUNCTION("GOOGLETRANSLATE(A9, ""en"", ""hi"")"),"8")</f>
        <v>8</v>
      </c>
      <c r="H9" s="3" t="str">
        <f>IFERROR(__xludf.DUMMYFUNCTION("GOOGLETRANSLATE(B9, ""en"", ""hi"")"),"कबड्डी_2")</f>
        <v>कबड्डी_2</v>
      </c>
      <c r="I9" s="4" t="str">
        <f>IFERROR(__xludf.DUMMYFUNCTION("GOOGLETRANSLATE(C9, ""en"", ""hi"")"),"चित्र में दर्शाई गई रक्षात्मक रणनीति का वर्णन किस शब्द से किया गया है?")</f>
        <v>चित्र में दर्शाई गई रक्षात्मक रणनीति का वर्णन किस शब्द से किया गया है?</v>
      </c>
      <c r="J9" s="3" t="str">
        <f>IFERROR(__xludf.DUMMYFUNCTION("GOOGLETRANSLATE(D9, ""en"", ""hi"")"),"A) टैकल, B) रेड, C) पास, D) ड्रिबल")</f>
        <v>A) टैकल, B) रेड, C) पास, D) ड्रिबल</v>
      </c>
      <c r="K9" s="4" t="str">
        <f>IFERROR(__xludf.DUMMYFUNCTION("GOOGLETRANSLATE(E9, ""en"", ""hi"")"),"ए) टैकल")</f>
        <v>ए) टैकल</v>
      </c>
    </row>
    <row r="10" ht="22.5" customHeight="1">
      <c r="A10" s="2">
        <v>9.0</v>
      </c>
      <c r="B10" s="3" t="s">
        <v>36</v>
      </c>
      <c r="C10" s="3" t="s">
        <v>37</v>
      </c>
      <c r="D10" s="3" t="s">
        <v>38</v>
      </c>
      <c r="E10" s="3" t="s">
        <v>39</v>
      </c>
      <c r="G10" s="3" t="str">
        <f>IFERROR(__xludf.DUMMYFUNCTION("GOOGLETRANSLATE(A10, ""en"", ""hi"")"),"9")</f>
        <v>9</v>
      </c>
      <c r="H10" s="3" t="str">
        <f>IFERROR(__xludf.DUMMYFUNCTION("GOOGLETRANSLATE(B10, ""en"", ""hi"")"),"कबड्डी_3")</f>
        <v>कबड्डी_3</v>
      </c>
      <c r="I10" s="3" t="str">
        <f>IFERROR(__xludf.DUMMYFUNCTION("GOOGLETRANSLATE(C10, ""en"", ""hi"")"),"कबड्डी कोर्ट पर कितनी मुख्य लाइनें होती हैं?")</f>
        <v>कबड्डी कोर्ट पर कितनी मुख्य लाइनें होती हैं?</v>
      </c>
      <c r="J10" s="3" t="str">
        <f>IFERROR(__xludf.DUMMYFUNCTION("GOOGLETRANSLATE(D10, ""en"", ""hi"")"),"ए) 2, बी) 4, सी) 6, डी) 8")</f>
        <v>ए) 2, बी) 4, सी) 6, डी) 8</v>
      </c>
      <c r="K10" s="4" t="str">
        <f>IFERROR(__xludf.DUMMYFUNCTION("GOOGLETRANSLATE(E10, ""en"", ""hi"")"),"बी) 4")</f>
        <v>बी) 4</v>
      </c>
    </row>
    <row r="11" ht="22.5" customHeight="1">
      <c r="A11" s="2">
        <v>10.0</v>
      </c>
      <c r="B11" s="3" t="s">
        <v>36</v>
      </c>
      <c r="C11" s="3" t="s">
        <v>40</v>
      </c>
      <c r="D11" s="3" t="s">
        <v>41</v>
      </c>
      <c r="E11" s="3" t="s">
        <v>42</v>
      </c>
      <c r="G11" s="3" t="str">
        <f>IFERROR(__xludf.DUMMYFUNCTION("GOOGLETRANSLATE(A11, ""en"", ""hi"")"),"10")</f>
        <v>10</v>
      </c>
      <c r="H11" s="3" t="str">
        <f>IFERROR(__xludf.DUMMYFUNCTION("GOOGLETRANSLATE(B11, ""en"", ""hi"")"),"कबड्डी_3")</f>
        <v>कबड्डी_3</v>
      </c>
      <c r="I11" s="3" t="str">
        <f>IFERROR(__xludf.DUMMYFUNCTION("GOOGLETRANSLATE(C11, ""en"", ""hi"")"),"कबड्डी कोर्ट पर चिन्हित दो प्राथमिक क्षेत्र कौन से हैं?")</f>
        <v>कबड्डी कोर्ट पर चिन्हित दो प्राथमिक क्षेत्र कौन से हैं?</v>
      </c>
      <c r="J11" s="3" t="str">
        <f>IFERROR(__xludf.DUMMYFUNCTION("GOOGLETRANSLATE(D11, ""en"", ""hi"")"),"ए) आक्रमण और रक्षा क्षेत्र, बी) छापा और रक्षा क्षेत्र, सी) सेवा और प्राप्ति क्षेत्र, डी) गोल और दंड क्षेत्र")</f>
        <v>ए) आक्रमण और रक्षा क्षेत्र, बी) छापा और रक्षा क्षेत्र, सी) सेवा और प्राप्ति क्षेत्र, डी) गोल और दंड क्षेत्र</v>
      </c>
      <c r="K11" s="3" t="str">
        <f>IFERROR(__xludf.DUMMYFUNCTION("GOOGLETRANSLATE(E11, ""en"", ""hi"")"),"बी) छापे और रक्षा क्षेत्र")</f>
        <v>बी) छापे और रक्षा क्षेत्र</v>
      </c>
    </row>
    <row r="12" ht="22.5" customHeight="1">
      <c r="A12" s="2">
        <v>11.0</v>
      </c>
      <c r="B12" s="3" t="s">
        <v>36</v>
      </c>
      <c r="C12" s="3" t="s">
        <v>43</v>
      </c>
      <c r="D12" s="3" t="s">
        <v>44</v>
      </c>
      <c r="E12" s="3" t="s">
        <v>45</v>
      </c>
      <c r="G12" s="3" t="str">
        <f>IFERROR(__xludf.DUMMYFUNCTION("GOOGLETRANSLATE(A12, ""en"", ""hi"")"),"11")</f>
        <v>11</v>
      </c>
      <c r="H12" s="4" t="str">
        <f>IFERROR(__xludf.DUMMYFUNCTION("GOOGLETRANSLATE(B12, ""en"", ""hi"")"),"कबड्डी_3")</f>
        <v>कबड्डी_3</v>
      </c>
      <c r="I12" s="4" t="str">
        <f>IFERROR(__xludf.DUMMYFUNCTION("GOOGLETRANSLATE(C12, ""en"", ""hi"")"),"इसमें कबड्डी कोर्ट के प्रत्येक आधे भाग की लंबाई कितनी है?")</f>
        <v>इसमें कबड्डी कोर्ट के प्रत्येक आधे भाग की लंबाई कितनी है?</v>
      </c>
      <c r="J12" s="4" t="str">
        <f>IFERROR(__xludf.DUMMYFUNCTION("GOOGLETRANSLATE(D12, ""en"", ""hi"")"),"A) 5 मीटर, B) 7 मीटर, C) 9 मीटर, D) 10 मीटर")</f>
        <v>A) 5 मीटर, B) 7 मीटर, C) 9 मीटर, D) 10 मीटर</v>
      </c>
      <c r="K12" s="4" t="str">
        <f>IFERROR(__xludf.DUMMYFUNCTION("GOOGLETRANSLATE(E12, ""en"", ""hi"")"),"डी) 10 मीटर")</f>
        <v>डी) 10 मीटर</v>
      </c>
    </row>
    <row r="13" ht="22.5" customHeight="1">
      <c r="A13" s="2">
        <v>12.0</v>
      </c>
      <c r="B13" s="3" t="s">
        <v>36</v>
      </c>
      <c r="C13" s="3" t="s">
        <v>46</v>
      </c>
      <c r="D13" s="3" t="s">
        <v>47</v>
      </c>
      <c r="E13" s="3" t="s">
        <v>48</v>
      </c>
      <c r="G13" s="3" t="str">
        <f>IFERROR(__xludf.DUMMYFUNCTION("GOOGLETRANSLATE(A13, ""en"", ""hi"")"),"12")</f>
        <v>12</v>
      </c>
      <c r="H13" s="4" t="str">
        <f>IFERROR(__xludf.DUMMYFUNCTION("GOOGLETRANSLATE(B13, ""en"", ""hi"")"),"कबड्डी_3")</f>
        <v>कबड्डी_3</v>
      </c>
      <c r="I13" s="3" t="str">
        <f>IFERROR(__xludf.DUMMYFUNCTION("GOOGLETRANSLATE(C13, ""en"", ""hi"")"),"सेंट्रल लाइन का उद्देश्य क्या है?")</f>
        <v>सेंट्रल लाइन का उद्देश्य क्या है?</v>
      </c>
      <c r="J13" s="4" t="str">
        <f>IFERROR(__xludf.DUMMYFUNCTION("GOOGLETRANSLATE(D13, ""en"", ""hi"")"),"A) कोर्ट को आक्रमण और रक्षा क्षेत्र में विभाजित करना, B) सर्विंग क्षेत्र को चिह्नित करना, C) गोल क्षेत्र को परिभाषित करना, D) सीमा रेखाओं को इंगित करना")</f>
        <v>A) कोर्ट को आक्रमण और रक्षा क्षेत्र में विभाजित करना, B) सर्विंग क्षेत्र को चिह्नित करना, C) गोल क्षेत्र को परिभाषित करना, D) सीमा रेखाओं को इंगित करना</v>
      </c>
      <c r="K13" s="3" t="str">
        <f>IFERROR(__xludf.DUMMYFUNCTION("GOOGLETRANSLATE(E13, ""en"", ""hi"")"),"A) कोर्ट को आक्रमण और रक्षा क्षेत्रों में विभाजित करना")</f>
        <v>A) कोर्ट को आक्रमण और रक्षा क्षेत्रों में विभाजित करना</v>
      </c>
    </row>
    <row r="14" ht="22.5" customHeight="1">
      <c r="A14" s="2">
        <v>13.0</v>
      </c>
      <c r="B14" s="3" t="s">
        <v>49</v>
      </c>
      <c r="C14" s="3" t="s">
        <v>50</v>
      </c>
      <c r="D14" s="3" t="s">
        <v>51</v>
      </c>
      <c r="E14" s="3" t="s">
        <v>52</v>
      </c>
      <c r="G14" s="3" t="str">
        <f>IFERROR(__xludf.DUMMYFUNCTION("GOOGLETRANSLATE(A14, ""en"", ""hi"")"),"13")</f>
        <v>13</v>
      </c>
      <c r="H14" s="3" t="str">
        <f>IFERROR(__xludf.DUMMYFUNCTION("GOOGLETRANSLATE(B14, ""en"", ""hi"")"),"कबड्डी_4")</f>
        <v>कबड्डी_4</v>
      </c>
      <c r="I14" s="4" t="str">
        <f>IFERROR(__xludf.DUMMYFUNCTION("GOOGLETRANSLATE(C14, ""en"", ""hi"")"),"इस कोर्ट में आमतौर पर कितनी रेड लाइनें चिह्नित हैं?")</f>
        <v>इस कोर्ट में आमतौर पर कितनी रेड लाइनें चिह्नित हैं?</v>
      </c>
      <c r="J14" s="3" t="str">
        <f>IFERROR(__xludf.DUMMYFUNCTION("GOOGLETRANSLATE(D14, ""en"", ""hi"")"),"ए) 1, बी) 2, सी) 3, डी) 4")</f>
        <v>ए) 1, बी) 2, सी) 3, डी) 4</v>
      </c>
      <c r="K14" s="4" t="str">
        <f>IFERROR(__xludf.DUMMYFUNCTION("GOOGLETRANSLATE(E14, ""en"", ""hi"")"),"बी) 2")</f>
        <v>बी) 2</v>
      </c>
    </row>
    <row r="15" ht="22.5" customHeight="1">
      <c r="A15" s="2">
        <v>14.0</v>
      </c>
      <c r="B15" s="3" t="s">
        <v>49</v>
      </c>
      <c r="C15" s="3" t="s">
        <v>53</v>
      </c>
      <c r="D15" s="3" t="s">
        <v>54</v>
      </c>
      <c r="E15" s="3" t="s">
        <v>55</v>
      </c>
      <c r="G15" s="3" t="str">
        <f>IFERROR(__xludf.DUMMYFUNCTION("GOOGLETRANSLATE(A15, ""en"", ""hi"")"),"14")</f>
        <v>14</v>
      </c>
      <c r="H15" s="4" t="str">
        <f>IFERROR(__xludf.DUMMYFUNCTION("GOOGLETRANSLATE(B15, ""en"", ""hi"")"),"कबड्डी_4")</f>
        <v>कबड्डी_4</v>
      </c>
      <c r="I15" s="4" t="str">
        <f>IFERROR(__xludf.DUMMYFUNCTION("GOOGLETRANSLATE(C15, ""en"", ""hi"")"),"कबड्डी कोर्ट की सीमा रेखाएँ आमतौर पर किस रंग से चिह्नित होती हैं?")</f>
        <v>कबड्डी कोर्ट की सीमा रेखाएँ आमतौर पर किस रंग से चिह्नित होती हैं?</v>
      </c>
      <c r="J15" s="4" t="str">
        <f>IFERROR(__xludf.DUMMYFUNCTION("GOOGLETRANSLATE(D15, ""en"", ""hi"")"),"A) लाल, B) नीला, C) पीला, D) सफेद")</f>
        <v>A) लाल, B) नीला, C) पीला, D) सफेद</v>
      </c>
      <c r="K15" s="4" t="str">
        <f>IFERROR(__xludf.DUMMYFUNCTION("GOOGLETRANSLATE(E15, ""en"", ""hi"")"),"D) सफेद")</f>
        <v>D) सफेद</v>
      </c>
    </row>
    <row r="16" ht="22.5" customHeight="1">
      <c r="A16" s="2">
        <v>15.0</v>
      </c>
      <c r="B16" s="3" t="s">
        <v>49</v>
      </c>
      <c r="C16" s="3" t="s">
        <v>56</v>
      </c>
      <c r="D16" s="3" t="s">
        <v>57</v>
      </c>
      <c r="E16" s="3" t="s">
        <v>58</v>
      </c>
      <c r="G16" s="3" t="str">
        <f>IFERROR(__xludf.DUMMYFUNCTION("GOOGLETRANSLATE(A16, ""en"", ""hi"")"),"15")</f>
        <v>15</v>
      </c>
      <c r="H16" s="3" t="str">
        <f>IFERROR(__xludf.DUMMYFUNCTION("GOOGLETRANSLATE(B16, ""en"", ""hi"")"),"कबड्डी_4")</f>
        <v>कबड्डी_4</v>
      </c>
      <c r="I16" s="4" t="str">
        <f>IFERROR(__xludf.DUMMYFUNCTION("GOOGLETRANSLATE(C16, ""en"", ""hi"")"),"केंद्र के पास धराशायी रेखा क्या दर्शाती है?")</f>
        <v>केंद्र के पास धराशायी रेखा क्या दर्शाती है?</v>
      </c>
      <c r="J16" s="4" t="str">
        <f>IFERROR(__xludf.DUMMYFUNCTION("GOOGLETRANSLATE(D16, ""en"", ""hi"")"),"A) रक्षात्मक क्षेत्र की सीमा, B) वह रेखा जहाँ हमलावरों को पार करना होता है, C) स्थानापन्न खिलाड़ियों के लिए रेखा, D) वह क्षेत्र जहाँ रेफरी खड़ा होता है")</f>
        <v>A) रक्षात्मक क्षेत्र की सीमा, B) वह रेखा जहाँ हमलावरों को पार करना होता है, C) स्थानापन्न खिलाड़ियों के लिए रेखा, D) वह क्षेत्र जहाँ रेफरी खड़ा होता है</v>
      </c>
      <c r="K16" s="4" t="str">
        <f>IFERROR(__xludf.DUMMYFUNCTION("GOOGLETRANSLATE(E16, ""en"", ""hi"")"),"बी) वह रेखा जहां हमलावरों को पार करना होगा")</f>
        <v>बी) वह रेखा जहां हमलावरों को पार करना होगा</v>
      </c>
    </row>
    <row r="17" ht="22.5" customHeight="1">
      <c r="A17" s="2">
        <v>16.0</v>
      </c>
      <c r="B17" s="3" t="s">
        <v>49</v>
      </c>
      <c r="C17" s="3" t="s">
        <v>59</v>
      </c>
      <c r="D17" s="3" t="s">
        <v>60</v>
      </c>
      <c r="E17" s="3" t="s">
        <v>61</v>
      </c>
      <c r="G17" s="3" t="str">
        <f>IFERROR(__xludf.DUMMYFUNCTION("GOOGLETRANSLATE(A17, ""en"", ""hi"")"),"16")</f>
        <v>16</v>
      </c>
      <c r="H17" s="3" t="str">
        <f>IFERROR(__xludf.DUMMYFUNCTION("GOOGLETRANSLATE(B17, ""en"", ""hi"")"),"कबड्डी_4")</f>
        <v>कबड्डी_4</v>
      </c>
      <c r="I17" s="4" t="str">
        <f>IFERROR(__xludf.DUMMYFUNCTION("GOOGLETRANSLATE(C17, ""en"", ""hi"")"),"निम्नलिखित में से कौन सी विशेषता छवि में दिखाई नहीं दे रही है?")</f>
        <v>निम्नलिखित में से कौन सी विशेषता छवि में दिखाई नहीं दे रही है?</v>
      </c>
      <c r="J17" s="4" t="str">
        <f>IFERROR(__xludf.DUMMYFUNCTION("GOOGLETRANSLATE(D17, ""en"", ""hi"")"),"A) केंद्रीय रेखा, B) सीमा रेखाएं, C) स्कोरिंग क्षेत्र, D) रेड रेखाएं")</f>
        <v>A) केंद्रीय रेखा, B) सीमा रेखाएं, C) स्कोरिंग क्षेत्र, D) रेड रेखाएं</v>
      </c>
      <c r="K17" s="3" t="str">
        <f>IFERROR(__xludf.DUMMYFUNCTION("GOOGLETRANSLATE(E17, ""en"", ""hi"")"),"C) स्कोरिंग ज़ोन")</f>
        <v>C) स्कोरिंग ज़ोन</v>
      </c>
    </row>
    <row r="18" ht="22.5" customHeight="1">
      <c r="A18" s="2">
        <v>17.0</v>
      </c>
      <c r="B18" s="3" t="s">
        <v>62</v>
      </c>
      <c r="C18" s="3" t="s">
        <v>63</v>
      </c>
      <c r="D18" s="3" t="s">
        <v>64</v>
      </c>
      <c r="E18" s="3" t="s">
        <v>65</v>
      </c>
      <c r="G18" s="3" t="str">
        <f>IFERROR(__xludf.DUMMYFUNCTION("GOOGLETRANSLATE(A18, ""en"", ""hi"")"),"17")</f>
        <v>17</v>
      </c>
      <c r="H18" s="4" t="str">
        <f>IFERROR(__xludf.DUMMYFUNCTION("GOOGLETRANSLATE(B18, ""en"", ""hi"")"),"कबड्डी_5")</f>
        <v>कबड्डी_5</v>
      </c>
      <c r="I18" s="4" t="str">
        <f>IFERROR(__xludf.DUMMYFUNCTION("GOOGLETRANSLATE(C18, ""en"", ""hi"")"),"चित्र में दिखाए गए कबड्डी कोर्ट पर किस प्रकार की सतह दिखाई दे रही है?")</f>
        <v>चित्र में दिखाए गए कबड्डी कोर्ट पर किस प्रकार की सतह दिखाई दे रही है?</v>
      </c>
      <c r="J18" s="4" t="str">
        <f>IFERROR(__xludf.DUMMYFUNCTION("GOOGLETRANSLATE(D18, ""en"", ""hi"")"),"A) घास, B) कंक्रीट, C) सिंथेटिक फर्श, D) रेत")</f>
        <v>A) घास, B) कंक्रीट, C) सिंथेटिक फर्श, D) रेत</v>
      </c>
      <c r="K18" s="4" t="str">
        <f>IFERROR(__xludf.DUMMYFUNCTION("GOOGLETRANSLATE(E18, ""en"", ""hi"")"),"सी) सिंथेटिक फर्श")</f>
        <v>सी) सिंथेटिक फर्श</v>
      </c>
    </row>
    <row r="19" ht="22.5" customHeight="1">
      <c r="A19" s="2">
        <v>18.0</v>
      </c>
      <c r="B19" s="3" t="s">
        <v>62</v>
      </c>
      <c r="C19" s="3" t="s">
        <v>66</v>
      </c>
      <c r="D19" s="3" t="s">
        <v>67</v>
      </c>
      <c r="E19" s="3" t="s">
        <v>68</v>
      </c>
      <c r="G19" s="3" t="str">
        <f>IFERROR(__xludf.DUMMYFUNCTION("GOOGLETRANSLATE(A19, ""en"", ""hi"")"),"18")</f>
        <v>18</v>
      </c>
      <c r="H19" s="4" t="str">
        <f>IFERROR(__xludf.DUMMYFUNCTION("GOOGLETRANSLATE(B19, ""en"", ""hi"")"),"कबड्डी_5")</f>
        <v>कबड्डी_5</v>
      </c>
      <c r="I19" s="4" t="str">
        <f>IFERROR(__xludf.DUMMYFUNCTION("GOOGLETRANSLATE(C19, ""en"", ""hi"")"),"चित्र में कबड्डी कोर्ट की सीमा रेखाएँ किस प्रकार अंकित की गई हैं?")</f>
        <v>चित्र में कबड्डी कोर्ट की सीमा रेखाएँ किस प्रकार अंकित की गई हैं?</v>
      </c>
      <c r="J19" s="3" t="str">
        <f>IFERROR(__xludf.DUMMYFUNCTION("GOOGLETRANSLATE(D19, ""en"", ""hi"")"),"A) पेंट, B) टेप, C) उभरे हुए अवरोध, D) सतह पर स्पष्ट रेखाएं")</f>
        <v>A) पेंट, B) टेप, C) उभरे हुए अवरोध, D) सतह पर स्पष्ट रेखाएं</v>
      </c>
      <c r="K19" s="3" t="str">
        <f>IFERROR(__xludf.DUMMYFUNCTION("GOOGLETRANSLATE(E19, ""en"", ""hi"")"),"D) सतह पर स्पष्ट रेखाएँ")</f>
        <v>D) सतह पर स्पष्ट रेखाएँ</v>
      </c>
    </row>
    <row r="20" ht="22.5" customHeight="1">
      <c r="A20" s="2">
        <v>19.0</v>
      </c>
      <c r="B20" s="3" t="s">
        <v>62</v>
      </c>
      <c r="C20" s="3" t="s">
        <v>69</v>
      </c>
      <c r="D20" s="3" t="s">
        <v>70</v>
      </c>
      <c r="E20" s="3" t="s">
        <v>71</v>
      </c>
      <c r="G20" s="3" t="str">
        <f>IFERROR(__xludf.DUMMYFUNCTION("GOOGLETRANSLATE(A20, ""en"", ""hi"")"),"19")</f>
        <v>19</v>
      </c>
      <c r="H20" s="3" t="str">
        <f>IFERROR(__xludf.DUMMYFUNCTION("GOOGLETRANSLATE(B20, ""en"", ""hi"")"),"कबड्डी_5")</f>
        <v>कबड्डी_5</v>
      </c>
      <c r="I20" s="4" t="str">
        <f>IFERROR(__xludf.DUMMYFUNCTION("GOOGLETRANSLATE(C20, ""en"", ""hi"")"),"चित्र में कोर्ट डिज़ाइन की कौन सी उल्लेखनीय विशेषता है जो खिलाड़ियों की सुरक्षा में सहायक है?")</f>
        <v>चित्र में कोर्ट डिज़ाइन की कौन सी उल्लेखनीय विशेषता है जो खिलाड़ियों की सुरक्षा में सहायक है?</v>
      </c>
      <c r="J20" s="3" t="str">
        <f>IFERROR(__xludf.DUMMYFUNCTION("GOOGLETRANSLATE(D20, ""en"", ""hi"")"),"A) फर्श पर नरम गद्दी, B) ऊँचे किनारे, C) फिसलन-रोधी सतह, D) मजबूत कोने")</f>
        <v>A) फर्श पर नरम गद्दी, B) ऊँचे किनारे, C) फिसलन-रोधी सतह, D) मजबूत कोने</v>
      </c>
      <c r="K20" s="4" t="str">
        <f>IFERROR(__xludf.DUMMYFUNCTION("GOOGLETRANSLATE(E20, ""en"", ""hi"")"),"सी) फिसलन-रोधी सतह")</f>
        <v>सी) फिसलन-रोधी सतह</v>
      </c>
    </row>
    <row r="21" ht="22.5" customHeight="1">
      <c r="A21" s="2">
        <v>20.0</v>
      </c>
      <c r="B21" s="3" t="s">
        <v>62</v>
      </c>
      <c r="C21" s="3" t="s">
        <v>72</v>
      </c>
      <c r="D21" s="3" t="s">
        <v>73</v>
      </c>
      <c r="E21" s="3" t="s">
        <v>74</v>
      </c>
      <c r="G21" s="3" t="str">
        <f>IFERROR(__xludf.DUMMYFUNCTION("GOOGLETRANSLATE(A21, ""en"", ""hi"")"),"20")</f>
        <v>20</v>
      </c>
      <c r="H21" s="4" t="str">
        <f>IFERROR(__xludf.DUMMYFUNCTION("GOOGLETRANSLATE(B21, ""en"", ""hi"")"),"कबड्डी_5")</f>
        <v>कबड्डी_5</v>
      </c>
      <c r="I21" s="4" t="str">
        <f>IFERROR(__xludf.DUMMYFUNCTION("GOOGLETRANSLATE(C21, ""en"", ""hi"")"),"कोर्ट की सतह पर विशिष्ट पैटर्न का प्राथमिक कार्य क्या है?")</f>
        <v>कोर्ट की सतह पर विशिष्ट पैटर्न का प्राथमिक कार्य क्या है?</v>
      </c>
      <c r="J21" s="3" t="str">
        <f>IFERROR(__xludf.DUMMYFUNCTION("GOOGLETRANSLATE(D21, ""en"", ""hi"")"),"A) स्कोरिंग क्षेत्रों को इंगित करने के लिए, B) पकड़ और कर्षण को बढ़ाने के लिए, C) विभिन्न टीमों के क्षेत्रों को अलग करने के लिए, D) प्रतिस्थापन क्षेत्रों को चिह्नित करने के लिए")</f>
        <v>A) स्कोरिंग क्षेत्रों को इंगित करने के लिए, B) पकड़ और कर्षण को बढ़ाने के लिए, C) विभिन्न टीमों के क्षेत्रों को अलग करने के लिए, D) प्रतिस्थापन क्षेत्रों को चिह्नित करने के लिए</v>
      </c>
      <c r="K21" s="3" t="str">
        <f>IFERROR(__xludf.DUMMYFUNCTION("GOOGLETRANSLATE(E21, ""en"", ""hi"")"),"बी) पकड़ और कर्षण बढ़ाने के लिए")</f>
        <v>बी) पकड़ और कर्षण बढ़ाने के लिए</v>
      </c>
    </row>
    <row r="22" ht="22.5" customHeight="1">
      <c r="A22" s="2">
        <v>21.0</v>
      </c>
      <c r="B22" s="3" t="s">
        <v>75</v>
      </c>
      <c r="C22" s="3" t="s">
        <v>76</v>
      </c>
      <c r="D22" s="3" t="s">
        <v>77</v>
      </c>
      <c r="E22" s="3" t="s">
        <v>78</v>
      </c>
      <c r="G22" s="3" t="str">
        <f>IFERROR(__xludf.DUMMYFUNCTION("GOOGLETRANSLATE(A22, ""en"", ""hi"")"),"21")</f>
        <v>21</v>
      </c>
      <c r="H22" s="4" t="str">
        <f>IFERROR(__xludf.DUMMYFUNCTION("GOOGLETRANSLATE(B22, ""en"", ""hi"")"),"कबड्डी_6")</f>
        <v>कबड्डी_6</v>
      </c>
      <c r="I22" s="3" t="str">
        <f>IFERROR(__xludf.DUMMYFUNCTION("GOOGLETRANSLATE(C22, ""en"", ""hi"")"),"चित्र में किस प्रकार का कबड्डी कार्यक्रम दिखाया गया है?")</f>
        <v>चित्र में किस प्रकार का कबड्डी कार्यक्रम दिखाया गया है?</v>
      </c>
      <c r="J22" s="3" t="str">
        <f>IFERROR(__xludf.DUMMYFUNCTION("GOOGLETRANSLATE(D22, ""en"", ""hi"")"),"A) पुरुष कबड्डी लीग, B) महिला कबड्डी चैलेंज, C) युवा कबड्डी टूर्नामेंट, D) अंतर्राष्ट्रीय कबड्डी चैंपियनशिप")</f>
        <v>A) पुरुष कबड्डी लीग, B) महिला कबड्डी चैलेंज, C) युवा कबड्डी टूर्नामेंट, D) अंतर्राष्ट्रीय कबड्डी चैंपियनशिप</v>
      </c>
      <c r="K22" s="3" t="str">
        <f>IFERROR(__xludf.DUMMYFUNCTION("GOOGLETRANSLATE(E22, ""en"", ""hi"")"),"बी) महिला कबड्डी चैलेंज")</f>
        <v>बी) महिला कबड्डी चैलेंज</v>
      </c>
    </row>
    <row r="23" ht="22.5" customHeight="1">
      <c r="A23" s="2">
        <v>22.0</v>
      </c>
      <c r="B23" s="3" t="s">
        <v>75</v>
      </c>
      <c r="C23" s="3" t="s">
        <v>79</v>
      </c>
      <c r="D23" s="3" t="s">
        <v>80</v>
      </c>
      <c r="E23" s="3" t="s">
        <v>81</v>
      </c>
      <c r="G23" s="3" t="str">
        <f>IFERROR(__xludf.DUMMYFUNCTION("GOOGLETRANSLATE(A23, ""en"", ""hi"")"),"22")</f>
        <v>22</v>
      </c>
      <c r="H23" s="3" t="str">
        <f>IFERROR(__xludf.DUMMYFUNCTION("GOOGLETRANSLATE(B23, ""en"", ""hi"")"),"कबड्डी_6")</f>
        <v>कबड्डी_6</v>
      </c>
      <c r="I23" s="4" t="str">
        <f>IFERROR(__xludf.DUMMYFUNCTION("GOOGLETRANSLATE(C23, ""en"", ""hi"")"),"चित्र में चाल चल रहे लाल रंग के खिलाड़ी की प्राथमिक भूमिका क्या है?")</f>
        <v>चित्र में चाल चल रहे लाल रंग के खिलाड़ी की प्राथमिक भूमिका क्या है?</v>
      </c>
      <c r="J23" s="3" t="str">
        <f>IFERROR(__xludf.DUMMYFUNCTION("GOOGLETRANSLATE(D23, ""en"", ""hi"")"),"A) रेडर, B) डिफेंडर, C) गोलकीपर, D) फॉरवर्ड")</f>
        <v>A) रेडर, B) डिफेंडर, C) गोलकीपर, D) फॉरवर्ड</v>
      </c>
      <c r="K23" s="4" t="str">
        <f>IFERROR(__xludf.DUMMYFUNCTION("GOOGLETRANSLATE(E23, ""en"", ""hi"")"),"ए) रेडर")</f>
        <v>ए) रेडर</v>
      </c>
    </row>
    <row r="24" ht="22.5" customHeight="1">
      <c r="A24" s="2">
        <v>23.0</v>
      </c>
      <c r="B24" s="3" t="s">
        <v>75</v>
      </c>
      <c r="C24" s="3" t="s">
        <v>82</v>
      </c>
      <c r="D24" s="3" t="s">
        <v>83</v>
      </c>
      <c r="E24" s="3" t="s">
        <v>84</v>
      </c>
      <c r="G24" s="3" t="str">
        <f>IFERROR(__xludf.DUMMYFUNCTION("GOOGLETRANSLATE(A24, ""en"", ""hi"")"),"23")</f>
        <v>23</v>
      </c>
      <c r="H24" s="4" t="str">
        <f>IFERROR(__xludf.DUMMYFUNCTION("GOOGLETRANSLATE(B24, ""en"", ""hi"")"),"कबड्डी_6")</f>
        <v>कबड्डी_6</v>
      </c>
      <c r="I24" s="3" t="str">
        <f>IFERROR(__xludf.DUMMYFUNCTION("GOOGLETRANSLATE(C24, ""en"", ""hi"")"),"चित्र में नीले रंग के रक्षात्मक खिलाड़ी क्या करने का प्रयास कर रहे हैं?")</f>
        <v>चित्र में नीले रंग के रक्षात्मक खिलाड़ी क्या करने का प्रयास कर रहे हैं?</v>
      </c>
      <c r="J24" s="4" t="str">
        <f>IFERROR(__xludf.DUMMYFUNCTION("GOOGLETRANSLATE(D24, ""en"", ""hi"")"),"A) एक अंक प्राप्त करें, B) रेडर को रोकें, C) गेंद पास करें, D) सर्व करें")</f>
        <v>A) एक अंक प्राप्त करें, B) रेडर को रोकें, C) गेंद पास करें, D) सर्व करें</v>
      </c>
      <c r="K24" s="4" t="str">
        <f>IFERROR(__xludf.DUMMYFUNCTION("GOOGLETRANSLATE(E24, ""en"", ""hi"")"),"बी) हमलावर को रोकें")</f>
        <v>बी) हमलावर को रोकें</v>
      </c>
    </row>
    <row r="25" ht="22.5" customHeight="1">
      <c r="A25" s="2">
        <v>24.0</v>
      </c>
      <c r="B25" s="3" t="s">
        <v>75</v>
      </c>
      <c r="C25" s="3" t="s">
        <v>85</v>
      </c>
      <c r="D25" s="3" t="s">
        <v>86</v>
      </c>
      <c r="E25" s="3" t="s">
        <v>87</v>
      </c>
      <c r="G25" s="3" t="str">
        <f>IFERROR(__xludf.DUMMYFUNCTION("GOOGLETRANSLATE(A25, ""en"", ""hi"")"),"24")</f>
        <v>24</v>
      </c>
      <c r="H25" s="4" t="str">
        <f>IFERROR(__xludf.DUMMYFUNCTION("GOOGLETRANSLATE(B25, ""en"", ""hi"")"),"कबड्डी_6")</f>
        <v>कबड्डी_6</v>
      </c>
      <c r="I25" s="4" t="str">
        <f>IFERROR(__xludf.DUMMYFUNCTION("GOOGLETRANSLATE(C25, ""en"", ""hi"")"),"कबड्डी में अंक प्राप्त करने के लिए रेडर द्वारा अपनाई जाने वाली मुख्य रणनीति क्या है, जैसा कि चित्र में दर्शाया गया है?")</f>
        <v>कबड्डी में अंक प्राप्त करने के लिए रेडर द्वारा अपनाई जाने वाली मुख्य रणनीति क्या है, जैसा कि चित्र में दर्शाया गया है?</v>
      </c>
      <c r="J25" s="3" t="str">
        <f>IFERROR(__xludf.DUMMYFUNCTION("GOOGLETRANSLATE(D25, ""en"", ""hi"")"),"A) डिफेंडरों को पीछे छोड़कर दौड़ना, B) विरोधियों को टैग करना और उनकी तरफ लौटना, C) टीम के साथियों को गेंद पास करना, D) कोर्ट के चारों ओर ड्रिब्लिंग करना")</f>
        <v>A) डिफेंडरों को पीछे छोड़कर दौड़ना, B) विरोधियों को टैग करना और उनकी तरफ लौटना, C) टीम के साथियों को गेंद पास करना, D) कोर्ट के चारों ओर ड्रिब्लिंग करना</v>
      </c>
      <c r="K25" s="3" t="str">
        <f>IFERROR(__xludf.DUMMYFUNCTION("GOOGLETRANSLATE(E25, ""en"", ""hi"")"),"बी) विरोधियों को टैग करना और उनकी तरफ लौटना")</f>
        <v>बी) विरोधियों को टैग करना और उनकी तरफ लौटना</v>
      </c>
    </row>
    <row r="26" ht="22.5" customHeight="1">
      <c r="A26" s="2">
        <v>25.0</v>
      </c>
      <c r="B26" s="3" t="s">
        <v>88</v>
      </c>
      <c r="C26" s="3" t="s">
        <v>89</v>
      </c>
      <c r="D26" s="3" t="s">
        <v>90</v>
      </c>
      <c r="E26" s="3" t="s">
        <v>91</v>
      </c>
      <c r="G26" s="3" t="str">
        <f>IFERROR(__xludf.DUMMYFUNCTION("GOOGLETRANSLATE(A26, ""en"", ""hi"")"),"25")</f>
        <v>25</v>
      </c>
      <c r="H26" s="3" t="str">
        <f>IFERROR(__xludf.DUMMYFUNCTION("GOOGLETRANSLATE(B26, ""en"", ""hi"")"),"कबड्डी_7")</f>
        <v>कबड्डी_7</v>
      </c>
      <c r="I26" s="3" t="str">
        <f>IFERROR(__xludf.DUMMYFUNCTION("GOOGLETRANSLATE(C26, ""en"", ""hi"")"),"इस कबड्डी मैच में खिलाड़ियों द्वारा आमतौर पर कौन से उपकरण या पोशाक का उपयोग किया जाता है?")</f>
        <v>इस कबड्डी मैच में खिलाड़ियों द्वारा आमतौर पर कौन से उपकरण या पोशाक का उपयोग किया जाता है?</v>
      </c>
      <c r="J26" s="4" t="str">
        <f>IFERROR(__xludf.DUMMYFUNCTION("GOOGLETRANSLATE(D26, ""en"", ""hi"")"),"ए) हेलमेट और घुटने के पैड, बी) जर्सी और शॉर्ट्स, सी) सुरक्षात्मक दस्ताने और मास्क, डी) ट्रैक सूट और स्नीकर्स")</f>
        <v>ए) हेलमेट और घुटने के पैड, बी) जर्सी और शॉर्ट्स, सी) सुरक्षात्मक दस्ताने और मास्क, डी) ट्रैक सूट और स्नीकर्स</v>
      </c>
      <c r="K26" s="3" t="str">
        <f>IFERROR(__xludf.DUMMYFUNCTION("GOOGLETRANSLATE(E26, ""en"", ""hi"")"),"बी) जर्सी और शॉर्ट्स")</f>
        <v>बी) जर्सी और शॉर्ट्स</v>
      </c>
    </row>
    <row r="27" ht="22.5" customHeight="1">
      <c r="A27" s="2">
        <v>26.0</v>
      </c>
      <c r="B27" s="3" t="s">
        <v>88</v>
      </c>
      <c r="C27" s="3" t="s">
        <v>92</v>
      </c>
      <c r="D27" s="3" t="s">
        <v>93</v>
      </c>
      <c r="E27" s="3" t="s">
        <v>94</v>
      </c>
      <c r="G27" s="3" t="str">
        <f>IFERROR(__xludf.DUMMYFUNCTION("GOOGLETRANSLATE(A27, ""en"", ""hi"")"),"26")</f>
        <v>26</v>
      </c>
      <c r="H27" s="4" t="str">
        <f>IFERROR(__xludf.DUMMYFUNCTION("GOOGLETRANSLATE(B27, ""en"", ""hi"")"),"कबड्डी_7")</f>
        <v>कबड्डी_7</v>
      </c>
      <c r="I27" s="4" t="str">
        <f>IFERROR(__xludf.DUMMYFUNCTION("GOOGLETRANSLATE(C27, ""en"", ""hi"")"),"छवि में टैग होने से बचने के लिए हमलावर कौन सी रणनीति अपना रहा है?")</f>
        <v>छवि में टैग होने से बचने के लिए हमलावर कौन सी रणनीति अपना रहा है?</v>
      </c>
      <c r="J27" s="4" t="str">
        <f>IFERROR(__xludf.DUMMYFUNCTION("GOOGLETRANSLATE(D27, ""en"", ""hi"")"),"A) तेजी से दौड़ना, B) स्पिन मूव का उपयोग करना, C) गेंद पास करना, D) कूदना")</f>
        <v>A) तेजी से दौड़ना, B) स्पिन मूव का उपयोग करना, C) गेंद पास करना, D) कूदना</v>
      </c>
      <c r="K27" s="4" t="str">
        <f>IFERROR(__xludf.DUMMYFUNCTION("GOOGLETRANSLATE(E27, ""en"", ""hi"")"),"बी) स्पिन चाल का उपयोग करना")</f>
        <v>बी) स्पिन चाल का उपयोग करना</v>
      </c>
    </row>
    <row r="28" ht="22.5" customHeight="1">
      <c r="A28" s="2">
        <v>27.0</v>
      </c>
      <c r="B28" s="3" t="s">
        <v>88</v>
      </c>
      <c r="C28" s="3" t="s">
        <v>95</v>
      </c>
      <c r="D28" s="3" t="s">
        <v>96</v>
      </c>
      <c r="E28" s="3" t="s">
        <v>97</v>
      </c>
      <c r="G28" s="3" t="str">
        <f>IFERROR(__xludf.DUMMYFUNCTION("GOOGLETRANSLATE(A28, ""en"", ""hi"")"),"27")</f>
        <v>27</v>
      </c>
      <c r="H28" s="4" t="str">
        <f>IFERROR(__xludf.DUMMYFUNCTION("GOOGLETRANSLATE(B28, ""en"", ""hi"")"),"कबड्डी_7")</f>
        <v>कबड्डी_7</v>
      </c>
      <c r="I28" s="4" t="str">
        <f>IFERROR(__xludf.DUMMYFUNCTION("GOOGLETRANSLATE(C28, ""en"", ""hi"")"),"रेडर की चालों के जवाब में नीली टीम किस रक्षात्मक संरचना का उपयोग कर रही है?")</f>
        <v>रेडर की चालों के जवाब में नीली टीम किस रक्षात्मक संरचना का उपयोग कर रही है?</v>
      </c>
      <c r="J28" s="4" t="str">
        <f>IFERROR(__xludf.DUMMYFUNCTION("GOOGLETRANSLATE(D28, ""en"", ""hi"")"),"ए) कोर्ट के आर-पार एक एकल पंक्ति, बी) कोर्ट के आर-पार फैली एक ढीली संरचना, सी) भागने के रास्तों को काटने के लिए एक घनिष्ठ समूह, डी) आक्रामक और रक्षात्मक स्थितियों के बीच बारी-बारी से स्थिति बनाना")</f>
        <v>ए) कोर्ट के आर-पार एक एकल पंक्ति, बी) कोर्ट के आर-पार फैली एक ढीली संरचना, सी) भागने के रास्तों को काटने के लिए एक घनिष्ठ समूह, डी) आक्रामक और रक्षात्मक स्थितियों के बीच बारी-बारी से स्थिति बनाना</v>
      </c>
      <c r="K28" s="3" t="str">
        <f>IFERROR(__xludf.DUMMYFUNCTION("GOOGLETRANSLATE(E28, ""en"", ""hi"")"),"C) भागने के रास्तों को बंद करने के लिए एक घनिष्ठ समूह")</f>
        <v>C) भागने के रास्तों को बंद करने के लिए एक घनिष्ठ समूह</v>
      </c>
    </row>
    <row r="29" ht="22.5" customHeight="1">
      <c r="A29" s="2">
        <v>28.0</v>
      </c>
      <c r="B29" s="3" t="s">
        <v>88</v>
      </c>
      <c r="C29" s="3" t="s">
        <v>98</v>
      </c>
      <c r="D29" s="3" t="s">
        <v>99</v>
      </c>
      <c r="E29" s="3" t="s">
        <v>100</v>
      </c>
      <c r="G29" s="3" t="str">
        <f>IFERROR(__xludf.DUMMYFUNCTION("GOOGLETRANSLATE(A29, ""en"", ""hi"")"),"28")</f>
        <v>28</v>
      </c>
      <c r="H29" s="3" t="str">
        <f>IFERROR(__xludf.DUMMYFUNCTION("GOOGLETRANSLATE(B29, ""en"", ""hi"")"),"कबड्डी_7")</f>
        <v>कबड्डी_7</v>
      </c>
      <c r="I29" s="4" t="str">
        <f>IFERROR(__xludf.DUMMYFUNCTION("GOOGLETRANSLATE(C29, ""en"", ""hi"")"),"चित्र में रक्षात्मक खिलाड़ी अपनी गतिविधियों का समन्वय किस प्रकार कर रहे हैं?")</f>
        <v>चित्र में रक्षात्मक खिलाड़ी अपनी गतिविधियों का समन्वय किस प्रकार कर रहे हैं?</v>
      </c>
      <c r="J29" s="3" t="str">
        <f>IFERROR(__xludf.DUMMYFUNCTION("GOOGLETRANSLATE(D29, ""en"", ""hi"")"),"A) स्वतंत्र रूप से आगे बढ़कर और व्यक्तिगत रूप से प्रतिक्रिया करके, B) हमलावर को फंसाने के लिए संवाद करके और अपनी स्थिति बदलकर, C) केवल हमलावर के सीधे रास्ते को अवरुद्ध करने पर ध्यान केंद्रित करके, D) गति को न्यूनतम करने के लिए स्थिर रहकर")</f>
        <v>A) स्वतंत्र रूप से आगे बढ़कर और व्यक्तिगत रूप से प्रतिक्रिया करके, B) हमलावर को फंसाने के लिए संवाद करके और अपनी स्थिति बदलकर, C) केवल हमलावर के सीधे रास्ते को अवरुद्ध करने पर ध्यान केंद्रित करके, D) गति को न्यूनतम करने के लिए स्थिर रहकर</v>
      </c>
      <c r="K29" s="3" t="str">
        <f>IFERROR(__xludf.DUMMYFUNCTION("GOOGLETRANSLATE(E29, ""en"", ""hi"")"),"बी) हमलावर को फंसाने के लिए संवाद करके और अपनी स्थिति बदलकर")</f>
        <v>बी) हमलावर को फंसाने के लिए संवाद करके और अपनी स्थिति बदलकर</v>
      </c>
    </row>
    <row r="30" ht="22.5" customHeight="1">
      <c r="A30" s="2">
        <v>29.0</v>
      </c>
      <c r="B30" s="3" t="s">
        <v>101</v>
      </c>
      <c r="C30" s="3" t="s">
        <v>102</v>
      </c>
      <c r="D30" s="3" t="s">
        <v>103</v>
      </c>
      <c r="E30" s="3" t="s">
        <v>104</v>
      </c>
      <c r="G30" s="3" t="str">
        <f>IFERROR(__xludf.DUMMYFUNCTION("GOOGLETRANSLATE(A30, ""en"", ""hi"")"),"29")</f>
        <v>29</v>
      </c>
      <c r="H30" s="4" t="str">
        <f>IFERROR(__xludf.DUMMYFUNCTION("GOOGLETRANSLATE(B30, ""en"", ""hi"")"),"कबड्डी_8")</f>
        <v>कबड्डी_8</v>
      </c>
      <c r="I30" s="3" t="str">
        <f>IFERROR(__xludf.DUMMYFUNCTION("GOOGLETRANSLATE(C30, ""en"", ""hi"")"),"रेडर को स्कोर करने से रोकने के लिए रक्षात्मक टीम क्या कर रही है?")</f>
        <v>रेडर को स्कोर करने से रोकने के लिए रक्षात्मक टीम क्या कर रही है?</v>
      </c>
      <c r="J30" s="3" t="str">
        <f>IFERROR(__xludf.DUMMYFUNCTION("GOOGLETRANSLATE(D30, ""en"", ""hi"")"),"A) हमलावर के चारों ओर एक सघन संरचना बनाना, B) अधिक क्षेत्र को कवर करने के लिए फैल जाना, C) हमलावर का दूर से पीछा करना, D) हमलावर को अपनी सीमा में आने देना")</f>
        <v>A) हमलावर के चारों ओर एक सघन संरचना बनाना, B) अधिक क्षेत्र को कवर करने के लिए फैल जाना, C) हमलावर का दूर से पीछा करना, D) हमलावर को अपनी सीमा में आने देना</v>
      </c>
      <c r="K30" s="3" t="str">
        <f>IFERROR(__xludf.DUMMYFUNCTION("GOOGLETRANSLATE(E30, ""en"", ""hi"")"),"A) हमलावर के चारों ओर एक कड़ी संरचना बनाना")</f>
        <v>A) हमलावर के चारों ओर एक कड़ी संरचना बनाना</v>
      </c>
    </row>
    <row r="31" ht="22.5" customHeight="1">
      <c r="A31" s="2">
        <v>30.0</v>
      </c>
      <c r="B31" s="3" t="s">
        <v>101</v>
      </c>
      <c r="C31" s="3" t="s">
        <v>105</v>
      </c>
      <c r="D31" s="3" t="s">
        <v>106</v>
      </c>
      <c r="E31" s="3" t="s">
        <v>107</v>
      </c>
      <c r="G31" s="3" t="str">
        <f>IFERROR(__xludf.DUMMYFUNCTION("GOOGLETRANSLATE(A31, ""en"", ""hi"")"),"30")</f>
        <v>30</v>
      </c>
      <c r="H31" s="4" t="str">
        <f>IFERROR(__xludf.DUMMYFUNCTION("GOOGLETRANSLATE(B31, ""en"", ""hi"")"),"कबड्डी_8")</f>
        <v>कबड्डी_8</v>
      </c>
      <c r="I31" s="3" t="str">
        <f>IFERROR(__xludf.DUMMYFUNCTION("GOOGLETRANSLATE(C31, ""en"", ""hi"")"),"खिलाड़ियों के लिए रेतीले मैदान पर खेलने की संभावित चुनौती क्या है?")</f>
        <v>खिलाड़ियों के लिए रेतीले मैदान पर खेलने की संभावित चुनौती क्या है?</v>
      </c>
      <c r="J31" s="4" t="str">
        <f>IFERROR(__xludf.DUMMYFUNCTION("GOOGLETRANSLATE(D31, ""en"", ""hi"")"),"A) सीमित कर्षण और स्थिरता, B) खेल की गति में वृद्धि, C) बेहतर पकड़ और नियंत्रण, D) कम शारीरिक परिश्रम")</f>
        <v>A) सीमित कर्षण और स्थिरता, B) खेल की गति में वृद्धि, C) बेहतर पकड़ और नियंत्रण, D) कम शारीरिक परिश्रम</v>
      </c>
      <c r="K31" s="3" t="str">
        <f>IFERROR(__xludf.DUMMYFUNCTION("GOOGLETRANSLATE(E31, ""en"", ""hi"")"),"A) सीमित कर्षण और स्थिरता")</f>
        <v>A) सीमित कर्षण और स्थिरता</v>
      </c>
    </row>
    <row r="32" ht="22.5" customHeight="1">
      <c r="A32" s="2">
        <v>31.0</v>
      </c>
      <c r="B32" s="3" t="s">
        <v>101</v>
      </c>
      <c r="C32" s="3" t="s">
        <v>108</v>
      </c>
      <c r="D32" s="3" t="s">
        <v>109</v>
      </c>
      <c r="E32" s="3" t="s">
        <v>110</v>
      </c>
      <c r="G32" s="3" t="str">
        <f>IFERROR(__xludf.DUMMYFUNCTION("GOOGLETRANSLATE(A32, ""en"", ""hi"")"),"31")</f>
        <v>31</v>
      </c>
      <c r="H32" s="3" t="str">
        <f>IFERROR(__xludf.DUMMYFUNCTION("GOOGLETRANSLATE(B32, ""en"", ""hi"")"),"कबड्डी_8")</f>
        <v>कबड्डी_8</v>
      </c>
      <c r="I32" s="4" t="str">
        <f>IFERROR(__xludf.DUMMYFUNCTION("GOOGLETRANSLATE(C32, ""en"", ""hi"")"),"तेज गति से आगे बढ़ते हमलावर का मुकाबला करने के लिए कौन सी रक्षात्मक रणनीति अपनाई जा सकती है?")</f>
        <v>तेज गति से आगे बढ़ते हमलावर का मुकाबला करने के लिए कौन सी रक्षात्मक रणनीति अपनाई जा सकती है?</v>
      </c>
      <c r="J32" s="4" t="str">
        <f>IFERROR(__xludf.DUMMYFUNCTION("GOOGLETRANSLATE(D32, ""en"", ""hi"")"),"A) शारीरिक टैकल में संलग्न होना, B) एक चुस्त, समन्वित रक्षा बनाए रखना, C) हमलावर को स्वतंत्र रूप से घूमने की अनुमति देना, D) आक्रामक और रक्षात्मक भूमिकाओं के बीच स्विच करना")</f>
        <v>A) शारीरिक टैकल में संलग्न होना, B) एक चुस्त, समन्वित रक्षा बनाए रखना, C) हमलावर को स्वतंत्र रूप से घूमने की अनुमति देना, D) आक्रामक और रक्षात्मक भूमिकाओं के बीच स्विच करना</v>
      </c>
      <c r="K32" s="3" t="str">
        <f>IFERROR(__xludf.DUMMYFUNCTION("GOOGLETRANSLATE(E32, ""en"", ""hi"")"),"बी) एक सख्त, समन्वित रक्षा बनाए रखना")</f>
        <v>बी) एक सख्त, समन्वित रक्षा बनाए रखना</v>
      </c>
    </row>
    <row r="33" ht="22.5" customHeight="1">
      <c r="A33" s="2">
        <v>32.0</v>
      </c>
      <c r="B33" s="3" t="s">
        <v>101</v>
      </c>
      <c r="C33" s="3" t="s">
        <v>111</v>
      </c>
      <c r="D33" s="3" t="s">
        <v>112</v>
      </c>
      <c r="E33" s="3" t="s">
        <v>113</v>
      </c>
      <c r="G33" s="3" t="str">
        <f>IFERROR(__xludf.DUMMYFUNCTION("GOOGLETRANSLATE(A33, ""en"", ""hi"")"),"32")</f>
        <v>32</v>
      </c>
      <c r="H33" s="4" t="str">
        <f>IFERROR(__xludf.DUMMYFUNCTION("GOOGLETRANSLATE(B33, ""en"", ""hi"")"),"कबड्डी_8")</f>
        <v>कबड्डी_8</v>
      </c>
      <c r="I33" s="4" t="str">
        <f>IFERROR(__xludf.DUMMYFUNCTION("GOOGLETRANSLATE(C33, ""en"", ""hi"")"),"चित्र में कबड्डी मैच किस सतह पर खेला जा रहा है?")</f>
        <v>चित्र में कबड्डी मैच किस सतह पर खेला जा रहा है?</v>
      </c>
      <c r="J33" s="4" t="str">
        <f>IFERROR(__xludf.DUMMYFUNCTION("GOOGLETRANSLATE(D33, ""en"", ""hi"")"),"A) घास, B) रेत, C) कंक्रीट, D) सिंथेटिक फर्श")</f>
        <v>A) घास, B) रेत, C) कंक्रीट, D) सिंथेटिक फर्श</v>
      </c>
      <c r="K33" s="3" t="str">
        <f>IFERROR(__xludf.DUMMYFUNCTION("GOOGLETRANSLATE(E33, ""en"", ""hi"")"),"बी) रेत")</f>
        <v>बी) रेत</v>
      </c>
    </row>
    <row r="34" ht="22.5" customHeight="1">
      <c r="A34" s="2">
        <v>33.0</v>
      </c>
      <c r="B34" s="3" t="s">
        <v>114</v>
      </c>
      <c r="C34" s="3" t="s">
        <v>115</v>
      </c>
      <c r="D34" s="3" t="s">
        <v>116</v>
      </c>
      <c r="E34" s="3" t="s">
        <v>117</v>
      </c>
      <c r="G34" s="3" t="str">
        <f>IFERROR(__xludf.DUMMYFUNCTION("GOOGLETRANSLATE(A34, ""en"", ""hi"")"),"33")</f>
        <v>33</v>
      </c>
      <c r="H34" s="3" t="str">
        <f>IFERROR(__xludf.DUMMYFUNCTION("GOOGLETRANSLATE(B34, ""en"", ""hi"")"),"कबड्डी_9")</f>
        <v>कबड्डी_9</v>
      </c>
      <c r="I34" s="4" t="str">
        <f>IFERROR(__xludf.DUMMYFUNCTION("GOOGLETRANSLATE(C34, ""en"", ""hi"")"),"चित्र में प्रदीप नरवाल किस कबड्डी टीम से जुड़े हैं?")</f>
        <v>चित्र में प्रदीप नरवाल किस कबड्डी टीम से जुड़े हैं?</v>
      </c>
      <c r="J34" s="4" t="str">
        <f>IFERROR(__xludf.DUMMYFUNCTION("GOOGLETRANSLATE(D34, ""en"", ""hi"")"),"A) बेंगलुरु बुल्स, B) पटना पाइरेट्स, C) यू मुंबा, D) जयपुर पिंक पैंथर्स")</f>
        <v>A) बेंगलुरु बुल्स, B) पटना पाइरेट्स, C) यू मुंबा, D) जयपुर पिंक पैंथर्स</v>
      </c>
      <c r="K34" s="3" t="str">
        <f>IFERROR(__xludf.DUMMYFUNCTION("GOOGLETRANSLATE(E34, ""en"", ""hi"")"),"बी) पटना पाइरेट्स")</f>
        <v>बी) पटना पाइरेट्स</v>
      </c>
    </row>
    <row r="35" ht="22.5" customHeight="1">
      <c r="A35" s="2">
        <v>34.0</v>
      </c>
      <c r="B35" s="3" t="s">
        <v>114</v>
      </c>
      <c r="C35" s="3" t="s">
        <v>118</v>
      </c>
      <c r="D35" s="3" t="s">
        <v>119</v>
      </c>
      <c r="E35" s="3" t="s">
        <v>120</v>
      </c>
      <c r="G35" s="3" t="str">
        <f>IFERROR(__xludf.DUMMYFUNCTION("GOOGLETRANSLATE(A35, ""en"", ""hi"")"),"34")</f>
        <v>34</v>
      </c>
      <c r="H35" s="3" t="str">
        <f>IFERROR(__xludf.DUMMYFUNCTION("GOOGLETRANSLATE(B35, ""en"", ""hi"")"),"कबड्डी_9")</f>
        <v>कबड्डी_9</v>
      </c>
      <c r="I35" s="3" t="str">
        <f>IFERROR(__xludf.DUMMYFUNCTION("GOOGLETRANSLATE(C35, ""en"", ""hi"")"),"वह कबड्डी में मुख्य रूप से कौन सा स्थान खेलते हैं?")</f>
        <v>वह कबड्डी में मुख्य रूप से कौन सा स्थान खेलते हैं?</v>
      </c>
      <c r="J35" s="4" t="str">
        <f>IFERROR(__xludf.DUMMYFUNCTION("GOOGLETRANSLATE(D35, ""en"", ""hi"")"),"A) डिफेंडर, B) रेडर, C) ऑलराउंडर, D) गोलकीपर")</f>
        <v>A) डिफेंडर, B) रेडर, C) ऑलराउंडर, D) गोलकीपर</v>
      </c>
      <c r="K35" s="4" t="str">
        <f>IFERROR(__xludf.DUMMYFUNCTION("GOOGLETRANSLATE(E35, ""en"", ""hi"")"),"बी) रेडर")</f>
        <v>बी) रेडर</v>
      </c>
    </row>
    <row r="36" ht="22.5" customHeight="1">
      <c r="A36" s="2">
        <v>35.0</v>
      </c>
      <c r="B36" s="3" t="s">
        <v>114</v>
      </c>
      <c r="C36" s="3" t="s">
        <v>121</v>
      </c>
      <c r="D36" s="3" t="s">
        <v>122</v>
      </c>
      <c r="E36" s="3" t="s">
        <v>123</v>
      </c>
      <c r="G36" s="3" t="str">
        <f>IFERROR(__xludf.DUMMYFUNCTION("GOOGLETRANSLATE(A36, ""en"", ""hi"")"),"35")</f>
        <v>35</v>
      </c>
      <c r="H36" s="4" t="str">
        <f>IFERROR(__xludf.DUMMYFUNCTION("GOOGLETRANSLATE(B36, ""en"", ""hi"")"),"कबड्डी_9")</f>
        <v>कबड्डी_9</v>
      </c>
      <c r="I36" s="4" t="str">
        <f>IFERROR(__xludf.DUMMYFUNCTION("GOOGLETRANSLATE(C36, ""en"", ""hi"")"),"प्रो कबड्डी लीग में उनकी उल्लेखनीय उपलब्धियों में से एक क्या है?")</f>
        <v>प्रो कबड्डी लीग में उनकी उल्लेखनीय उपलब्धियों में से एक क्या है?</v>
      </c>
      <c r="J36" s="4" t="str">
        <f>IFERROR(__xludf.DUMMYFUNCTION("GOOGLETRANSLATE(D36, ""en"", ""hi"")"),"A) एक सीज़न में सर्वाधिक अंक, B) सर्वश्रेष्ठ डिफेंडर पुरस्कार, C) सर्वाधिक टैकल, D) सर्वश्रेष्ठ ऑलराउंडर पुरस्कार")</f>
        <v>A) एक सीज़न में सर्वाधिक अंक, B) सर्वश्रेष्ठ डिफेंडर पुरस्कार, C) सर्वाधिक टैकल, D) सर्वश्रेष्ठ ऑलराउंडर पुरस्कार</v>
      </c>
      <c r="K36" s="4" t="str">
        <f>IFERROR(__xludf.DUMMYFUNCTION("GOOGLETRANSLATE(E36, ""en"", ""hi"")"),"A) एक ही सीज़न में सर्वाधिक अंक")</f>
        <v>A) एक ही सीज़न में सर्वाधिक अंक</v>
      </c>
    </row>
    <row r="37" ht="22.5" customHeight="1">
      <c r="A37" s="2">
        <v>36.0</v>
      </c>
      <c r="B37" s="3" t="s">
        <v>114</v>
      </c>
      <c r="C37" s="3" t="s">
        <v>124</v>
      </c>
      <c r="D37" s="3" t="s">
        <v>125</v>
      </c>
      <c r="E37" s="3" t="s">
        <v>126</v>
      </c>
      <c r="G37" s="3" t="str">
        <f>IFERROR(__xludf.DUMMYFUNCTION("GOOGLETRANSLATE(A37, ""en"", ""hi"")"),"36")</f>
        <v>36</v>
      </c>
      <c r="H37" s="4" t="str">
        <f>IFERROR(__xludf.DUMMYFUNCTION("GOOGLETRANSLATE(B37, ""en"", ""hi"")"),"कबड्डी_9")</f>
        <v>कबड्डी_9</v>
      </c>
      <c r="I37" s="3" t="str">
        <f>IFERROR(__xludf.DUMMYFUNCTION("GOOGLETRANSLATE(C37, ""en"", ""hi"")"),"कबड्डी में उनकी खेल शैली किस लिए जानी जाती है?")</f>
        <v>कबड्डी में उनकी खेल शैली किस लिए जानी जाती है?</v>
      </c>
      <c r="J37" s="4" t="str">
        <f>IFERROR(__xludf.DUMMYFUNCTION("GOOGLETRANSLATE(D37, ""en"", ""hi"")"),"A) आक्रामक रक्षा, B) त्वरित और चुस्त छापा मारना, C) लंबी दूरी की शूटिंग, D) रणनीतिक अवरोधन")</f>
        <v>A) आक्रामक रक्षा, B) त्वरित और चुस्त छापा मारना, C) लंबी दूरी की शूटिंग, D) रणनीतिक अवरोधन</v>
      </c>
      <c r="K37" s="4" t="str">
        <f>IFERROR(__xludf.DUMMYFUNCTION("GOOGLETRANSLATE(E37, ""en"", ""hi"")"),"बी) त्वरित और चुस्त छापेमारी")</f>
        <v>बी) त्वरित और चुस्त छापेमारी</v>
      </c>
    </row>
    <row r="38" ht="22.5" customHeight="1">
      <c r="A38" s="2">
        <v>37.0</v>
      </c>
      <c r="B38" s="3" t="s">
        <v>127</v>
      </c>
      <c r="C38" s="3" t="s">
        <v>128</v>
      </c>
      <c r="D38" s="3" t="s">
        <v>129</v>
      </c>
      <c r="E38" s="3" t="s">
        <v>130</v>
      </c>
      <c r="G38" s="3" t="str">
        <f>IFERROR(__xludf.DUMMYFUNCTION("GOOGLETRANSLATE(A38, ""en"", ""hi"")"),"37")</f>
        <v>37</v>
      </c>
      <c r="H38" s="3" t="str">
        <f>IFERROR(__xludf.DUMMYFUNCTION("GOOGLETRANSLATE(B38, ""en"", ""hi"")"),"कबड्डी_10")</f>
        <v>कबड्डी_10</v>
      </c>
      <c r="I38" s="4" t="str">
        <f>IFERROR(__xludf.DUMMYFUNCTION("GOOGLETRANSLATE(C38, ""en"", ""hi"")"),"चित्र में मुख्य घटना क्या दर्शायी गयी है?")</f>
        <v>चित्र में मुख्य घटना क्या दर्शायी गयी है?</v>
      </c>
      <c r="J38" s="4" t="str">
        <f>IFERROR(__xludf.DUMMYFUNCTION("GOOGLETRANSLATE(D38, ""en"", ""hi"")"),"A) प्रो कबड्डी लीग, B) कबड्डी विश्व कप, C) एशियाई कबड्डी चैम्पियनशिप, D) कबड्डी मास्टर्स दुबई")</f>
        <v>A) प्रो कबड्डी लीग, B) कबड्डी विश्व कप, C) एशियाई कबड्डी चैम्पियनशिप, D) कबड्डी मास्टर्स दुबई</v>
      </c>
      <c r="K38" s="4" t="str">
        <f>IFERROR(__xludf.DUMMYFUNCTION("GOOGLETRANSLATE(E38, ""en"", ""hi"")"),"बी) कबड्डी विश्व कप")</f>
        <v>बी) कबड्डी विश्व कप</v>
      </c>
    </row>
    <row r="39" ht="22.5" customHeight="1">
      <c r="A39" s="2">
        <v>38.0</v>
      </c>
      <c r="B39" s="3" t="s">
        <v>127</v>
      </c>
      <c r="C39" s="3" t="s">
        <v>131</v>
      </c>
      <c r="D39" s="3" t="s">
        <v>132</v>
      </c>
      <c r="E39" s="3" t="s">
        <v>133</v>
      </c>
      <c r="G39" s="3" t="str">
        <f>IFERROR(__xludf.DUMMYFUNCTION("GOOGLETRANSLATE(A39, ""en"", ""hi"")"),"38")</f>
        <v>38</v>
      </c>
      <c r="H39" s="4" t="str">
        <f>IFERROR(__xludf.DUMMYFUNCTION("GOOGLETRANSLATE(B39, ""en"", ""hi"")"),"कबड्डी_10")</f>
        <v>कबड्डी_10</v>
      </c>
      <c r="I39" s="4" t="str">
        <f>IFERROR(__xludf.DUMMYFUNCTION("GOOGLETRANSLATE(C39, ""en"", ""hi"")"),"चित्र में दर्शाए अनुसार, कबड्डी विश्व कप के साथ आमतौर पर किस प्रकार का मैच जुड़ा हुआ है?")</f>
        <v>चित्र में दर्शाए अनुसार, कबड्डी विश्व कप के साथ आमतौर पर किस प्रकार का मैच जुड़ा हुआ है?</v>
      </c>
      <c r="J39" s="3" t="str">
        <f>IFERROR(__xludf.DUMMYFUNCTION("GOOGLETRANSLATE(D39, ""en"", ""hi"")"),"ए) नॉकआउट टूर्नामेंट, बी) राउंड-रॉबिन लीग, सी) मैत्रीपूर्ण प्रदर्शनी मैच, डी) मिश्रित-लिंग टूर्नामेंट")</f>
        <v>ए) नॉकआउट टूर्नामेंट, बी) राउंड-रॉबिन लीग, सी) मैत्रीपूर्ण प्रदर्शनी मैच, डी) मिश्रित-लिंग टूर्नामेंट</v>
      </c>
      <c r="K39" s="4" t="str">
        <f>IFERROR(__xludf.DUMMYFUNCTION("GOOGLETRANSLATE(E39, ""en"", ""hi"")"),"ए) नॉकआउट टूर्नामेंट")</f>
        <v>ए) नॉकआउट टूर्नामेंट</v>
      </c>
    </row>
    <row r="40" ht="22.5" customHeight="1">
      <c r="A40" s="2">
        <v>39.0</v>
      </c>
      <c r="B40" s="3" t="s">
        <v>127</v>
      </c>
      <c r="C40" s="3" t="s">
        <v>134</v>
      </c>
      <c r="D40" s="3" t="s">
        <v>135</v>
      </c>
      <c r="E40" s="3" t="s">
        <v>22</v>
      </c>
      <c r="G40" s="3" t="str">
        <f>IFERROR(__xludf.DUMMYFUNCTION("GOOGLETRANSLATE(A40, ""en"", ""hi"")"),"39")</f>
        <v>39</v>
      </c>
      <c r="H40" s="4" t="str">
        <f>IFERROR(__xludf.DUMMYFUNCTION("GOOGLETRANSLATE(B40, ""en"", ""hi"")"),"कबड्डी_10")</f>
        <v>कबड्डी_10</v>
      </c>
      <c r="I40" s="3" t="str">
        <f>IFERROR(__xludf.DUMMYFUNCTION("GOOGLETRANSLATE(C40, ""en"", ""hi"")"),"2016 कबड्डी विश्व कप किस देश ने जीता?")</f>
        <v>2016 कबड्डी विश्व कप किस देश ने जीता?</v>
      </c>
      <c r="J40" s="3" t="str">
        <f>IFERROR(__xludf.DUMMYFUNCTION("GOOGLETRANSLATE(D40, ""en"", ""hi"")"),"A) पाकिस्तान, B) भारत, C) बांग्लादेश, D) ईरान")</f>
        <v>A) पाकिस्तान, B) भारत, C) बांग्लादेश, D) ईरान</v>
      </c>
      <c r="K40" s="4" t="str">
        <f>IFERROR(__xludf.DUMMYFUNCTION("GOOGLETRANSLATE(E40, ""en"", ""hi"")"),"बी) भारत")</f>
        <v>बी) भारत</v>
      </c>
    </row>
    <row r="41" ht="22.5" customHeight="1">
      <c r="A41" s="2">
        <v>40.0</v>
      </c>
      <c r="B41" s="3" t="s">
        <v>127</v>
      </c>
      <c r="C41" s="3" t="s">
        <v>136</v>
      </c>
      <c r="D41" s="3" t="s">
        <v>137</v>
      </c>
      <c r="E41" s="3" t="s">
        <v>138</v>
      </c>
      <c r="G41" s="3" t="str">
        <f>IFERROR(__xludf.DUMMYFUNCTION("GOOGLETRANSLATE(A41, ""en"", ""hi"")"),"40")</f>
        <v>40</v>
      </c>
      <c r="H41" s="3" t="str">
        <f>IFERROR(__xludf.DUMMYFUNCTION("GOOGLETRANSLATE(B41, ""en"", ""hi"")"),"कबड्डी_10")</f>
        <v>कबड्डी_10</v>
      </c>
      <c r="I41" s="4" t="str">
        <f>IFERROR(__xludf.DUMMYFUNCTION("GOOGLETRANSLATE(C41, ""en"", ""hi"")"),"2016 कबड्डी विश्व कप फाइनल किस शहर में आयोजित किया गया था?")</f>
        <v>2016 कबड्डी विश्व कप फाइनल किस शहर में आयोजित किया गया था?</v>
      </c>
      <c r="J41" s="3" t="str">
        <f>IFERROR(__xludf.DUMMYFUNCTION("GOOGLETRANSLATE(D41, ""en"", ""hi"")"),"A) मुंबई, B) नई दिल्ली, C) बेंगलुरु, D) अहमदाबाद")</f>
        <v>A) मुंबई, B) नई दिल्ली, C) बेंगलुरु, D) अहमदाबाद</v>
      </c>
      <c r="K41" s="4" t="str">
        <f>IFERROR(__xludf.DUMMYFUNCTION("GOOGLETRANSLATE(E41, ""en"", ""hi"")"),"D) अहमदाबाद")</f>
        <v>D) अहमदाबाद</v>
      </c>
    </row>
    <row r="42" ht="22.5" customHeight="1">
      <c r="A42" s="2">
        <v>41.0</v>
      </c>
      <c r="B42" s="3" t="s">
        <v>139</v>
      </c>
      <c r="C42" s="3" t="s">
        <v>140</v>
      </c>
      <c r="D42" s="3" t="s">
        <v>119</v>
      </c>
      <c r="E42" s="3" t="s">
        <v>120</v>
      </c>
      <c r="G42" s="3" t="str">
        <f>IFERROR(__xludf.DUMMYFUNCTION("GOOGLETRANSLATE(A42, ""en"", ""hi"")"),"41")</f>
        <v>41</v>
      </c>
      <c r="H42" s="4" t="str">
        <f>IFERROR(__xludf.DUMMYFUNCTION("GOOGLETRANSLATE(B42, ""en"", ""hi"")"),"कबड्डी_11")</f>
        <v>कबड्डी_11</v>
      </c>
      <c r="I42" s="3" t="str">
        <f>IFERROR(__xludf.DUMMYFUNCTION("GOOGLETRANSLATE(C42, ""en"", ""hi"")"),"यह व्यक्ति कबड्डी में मुख्यतः कौन सा खेलता है?")</f>
        <v>यह व्यक्ति कबड्डी में मुख्यतः कौन सा खेलता है?</v>
      </c>
      <c r="J42" s="4" t="str">
        <f>IFERROR(__xludf.DUMMYFUNCTION("GOOGLETRANSLATE(D42, ""en"", ""hi"")"),"A) डिफेंडर, B) रेडर, C) ऑलराउंडर, D) गोलकीपर")</f>
        <v>A) डिफेंडर, B) रेडर, C) ऑलराउंडर, D) गोलकीपर</v>
      </c>
      <c r="K42" s="3" t="str">
        <f>IFERROR(__xludf.DUMMYFUNCTION("GOOGLETRANSLATE(E42, ""en"", ""hi"")"),"बी) रेडर")</f>
        <v>बी) रेडर</v>
      </c>
    </row>
    <row r="43" ht="22.5" customHeight="1">
      <c r="A43" s="2">
        <v>42.0</v>
      </c>
      <c r="B43" s="3" t="s">
        <v>139</v>
      </c>
      <c r="C43" s="3" t="s">
        <v>141</v>
      </c>
      <c r="D43" s="3" t="s">
        <v>142</v>
      </c>
      <c r="E43" s="3" t="s">
        <v>143</v>
      </c>
      <c r="G43" s="3" t="str">
        <f>IFERROR(__xludf.DUMMYFUNCTION("GOOGLETRANSLATE(A43, ""en"", ""hi"")"),"42")</f>
        <v>42</v>
      </c>
      <c r="H43" s="4" t="str">
        <f>IFERROR(__xludf.DUMMYFUNCTION("GOOGLETRANSLATE(B43, ""en"", ""hi"")"),"कबड्डी_11")</f>
        <v>कबड्डी_11</v>
      </c>
      <c r="I43" s="4" t="str">
        <f>IFERROR(__xludf.DUMMYFUNCTION("GOOGLETRANSLATE(C43, ""en"", ""hi"")"),"प्रो कबड्डी लीग (पीकेएल) के किस सीज़न में इस खिलाड़ी को उसके प्रदर्शन के लिए सबसे अधिक जाना जाता है?")</f>
        <v>प्रो कबड्डी लीग (पीकेएल) के किस सीज़न में इस खिलाड़ी को उसके प्रदर्शन के लिए सबसे अधिक जाना जाता है?</v>
      </c>
      <c r="J43" s="3" t="str">
        <f>IFERROR(__xludf.DUMMYFUNCTION("GOOGLETRANSLATE(D43, ""en"", ""hi"")"),"ए) सीज़न 5, बी) सीज़न 6, सी) सीज़न 7, डी) सीज़न 8")</f>
        <v>ए) सीज़न 5, बी) सीज़न 6, सी) सीज़न 7, डी) सीज़न 8</v>
      </c>
      <c r="K43" s="4" t="str">
        <f>IFERROR(__xludf.DUMMYFUNCTION("GOOGLETRANSLATE(E43, ""en"", ""hi"")"),"सी) सीज़न 7")</f>
        <v>सी) सीज़न 7</v>
      </c>
    </row>
    <row r="44" ht="22.5" customHeight="1">
      <c r="A44" s="2">
        <v>43.0</v>
      </c>
      <c r="B44" s="3" t="s">
        <v>139</v>
      </c>
      <c r="C44" s="3" t="s">
        <v>144</v>
      </c>
      <c r="D44" s="3" t="s">
        <v>145</v>
      </c>
      <c r="E44" s="3" t="s">
        <v>146</v>
      </c>
      <c r="G44" s="3" t="str">
        <f>IFERROR(__xludf.DUMMYFUNCTION("GOOGLETRANSLATE(A44, ""en"", ""hi"")"),"43")</f>
        <v>43</v>
      </c>
      <c r="H44" s="3" t="str">
        <f>IFERROR(__xludf.DUMMYFUNCTION("GOOGLETRANSLATE(B44, ""en"", ""hi"")"),"कबड्डी_11")</f>
        <v>कबड्डी_11</v>
      </c>
      <c r="I44" s="3" t="str">
        <f>IFERROR(__xludf.DUMMYFUNCTION("GOOGLETRANSLATE(C44, ""en"", ""hi"")"),"प्रो कबड्डी लीग में इस खिलाड़ी की उल्लेखनीय उपलब्धियों में से एक क्या है?")</f>
        <v>प्रो कबड्डी लीग में इस खिलाड़ी की उल्लेखनीय उपलब्धियों में से एक क्या है?</v>
      </c>
      <c r="J44" s="4" t="str">
        <f>IFERROR(__xludf.DUMMYFUNCTION("GOOGLETRANSLATE(D44, ""en"", ""hi"")"),"A) एक ही सीज़न में सबसे ज़्यादा रेड पॉइंट, B) सर्वश्रेष्ठ डिफेंडर का पुरस्कार, C) सबसे ज़्यादा सफल टैकल, D) सबसे ज़्यादा असिस्ट")</f>
        <v>A) एक ही सीज़न में सबसे ज़्यादा रेड पॉइंट, B) सर्वश्रेष्ठ डिफेंडर का पुरस्कार, C) सबसे ज़्यादा सफल टैकल, D) सबसे ज़्यादा असिस्ट</v>
      </c>
      <c r="K44" s="4" t="str">
        <f>IFERROR(__xludf.DUMMYFUNCTION("GOOGLETRANSLATE(E44, ""en"", ""hi"")"),"A) एक ही सीज़न में सबसे ज़्यादा रेड पॉइंट")</f>
        <v>A) एक ही सीज़न में सबसे ज़्यादा रेड पॉइंट</v>
      </c>
    </row>
    <row r="45" ht="22.5" customHeight="1">
      <c r="A45" s="2">
        <v>44.0</v>
      </c>
      <c r="B45" s="3" t="s">
        <v>139</v>
      </c>
      <c r="C45" s="3" t="s">
        <v>124</v>
      </c>
      <c r="D45" s="3" t="s">
        <v>147</v>
      </c>
      <c r="E45" s="3" t="s">
        <v>148</v>
      </c>
      <c r="G45" s="3" t="str">
        <f>IFERROR(__xludf.DUMMYFUNCTION("GOOGLETRANSLATE(A45, ""en"", ""hi"")"),"44")</f>
        <v>44</v>
      </c>
      <c r="H45" s="4" t="str">
        <f>IFERROR(__xludf.DUMMYFUNCTION("GOOGLETRANSLATE(B45, ""en"", ""hi"")"),"कबड्डी_11")</f>
        <v>कबड्डी_11</v>
      </c>
      <c r="I45" s="4" t="str">
        <f>IFERROR(__xludf.DUMMYFUNCTION("GOOGLETRANSLATE(C45, ""en"", ""hi"")"),"कबड्डी में उनकी खेल शैली किस लिए जानी जाती है?")</f>
        <v>कबड्डी में उनकी खेल शैली किस लिए जानी जाती है?</v>
      </c>
      <c r="J45" s="4" t="str">
        <f>IFERROR(__xludf.DUMMYFUNCTION("GOOGLETRANSLATE(D45, ""en"", ""hi"")"),"A) रक्षात्मक अवरोधन, B) आक्रामक रेडिंग, C) रणनीतिक पासिंग, D) गोलकीपिंग")</f>
        <v>A) रक्षात्मक अवरोधन, B) आक्रामक रेडिंग, C) रणनीतिक पासिंग, D) गोलकीपिंग</v>
      </c>
      <c r="K45" s="4" t="str">
        <f>IFERROR(__xludf.DUMMYFUNCTION("GOOGLETRANSLATE(E45, ""en"", ""hi"")"),"बी) आक्रामक छापेमारी")</f>
        <v>बी) आक्रामक छापेमारी</v>
      </c>
    </row>
    <row r="46" ht="22.5" customHeight="1">
      <c r="A46" s="2">
        <v>45.0</v>
      </c>
      <c r="B46" s="3" t="s">
        <v>149</v>
      </c>
      <c r="C46" s="3" t="s">
        <v>150</v>
      </c>
      <c r="D46" s="3" t="s">
        <v>151</v>
      </c>
      <c r="E46" s="3" t="s">
        <v>152</v>
      </c>
      <c r="G46" s="3" t="str">
        <f>IFERROR(__xludf.DUMMYFUNCTION("GOOGLETRANSLATE(A46, ""en"", ""hi"")"),"45")</f>
        <v>45</v>
      </c>
      <c r="H46" s="4" t="str">
        <f>IFERROR(__xludf.DUMMYFUNCTION("GOOGLETRANSLATE(B46, ""en"", ""hi"")"),"कबड्डी_12")</f>
        <v>कबड्डी_12</v>
      </c>
      <c r="I46" s="4" t="str">
        <f>IFERROR(__xludf.DUMMYFUNCTION("GOOGLETRANSLATE(C46, ""en"", ""hi"")"),"नवीन कुमार ने प्रो कबड्डी लीग में किस वर्ष पदार्पण किया?")</f>
        <v>नवीन कुमार ने प्रो कबड्डी लीग में किस वर्ष पदार्पण किया?</v>
      </c>
      <c r="J46" s="4" t="str">
        <f>IFERROR(__xludf.DUMMYFUNCTION("GOOGLETRANSLATE(D46, ""en"", ""hi"")"),"ए) 2016, बी) 2017, सी) 2018, डी) 2019")</f>
        <v>ए) 2016, बी) 2017, सी) 2018, डी) 2019</v>
      </c>
      <c r="K46" s="4" t="str">
        <f>IFERROR(__xludf.DUMMYFUNCTION("GOOGLETRANSLATE(E46, ""en"", ""hi"")"),"सी) 2018")</f>
        <v>सी) 2018</v>
      </c>
    </row>
    <row r="47" ht="22.5" customHeight="1">
      <c r="A47" s="2">
        <v>46.0</v>
      </c>
      <c r="B47" s="3" t="s">
        <v>149</v>
      </c>
      <c r="C47" s="3" t="s">
        <v>153</v>
      </c>
      <c r="D47" s="3" t="s">
        <v>147</v>
      </c>
      <c r="E47" s="3" t="s">
        <v>148</v>
      </c>
      <c r="G47" s="3" t="str">
        <f>IFERROR(__xludf.DUMMYFUNCTION("GOOGLETRANSLATE(A47, ""en"", ""hi"")"),"46")</f>
        <v>46</v>
      </c>
      <c r="H47" s="3" t="str">
        <f>IFERROR(__xludf.DUMMYFUNCTION("GOOGLETRANSLATE(B47, ""en"", ""hi"")"),"कबड्डी_12")</f>
        <v>कबड्डी_12</v>
      </c>
      <c r="I47" s="3" t="str">
        <f>IFERROR(__xludf.DUMMYFUNCTION("GOOGLETRANSLATE(C47, ""en"", ""hi"")"),"कबड्डी में नवीन कुमार की खेल शैली किस लिए जानी जाती है?")</f>
        <v>कबड्डी में नवीन कुमार की खेल शैली किस लिए जानी जाती है?</v>
      </c>
      <c r="J47" s="3" t="str">
        <f>IFERROR(__xludf.DUMMYFUNCTION("GOOGLETRANSLATE(D47, ""en"", ""hi"")"),"A) रक्षात्मक अवरोधन, B) आक्रामक रेडिंग, C) रणनीतिक पासिंग, D) गोलकीपिंग")</f>
        <v>A) रक्षात्मक अवरोधन, B) आक्रामक रेडिंग, C) रणनीतिक पासिंग, D) गोलकीपिंग</v>
      </c>
      <c r="K47" s="4" t="str">
        <f>IFERROR(__xludf.DUMMYFUNCTION("GOOGLETRANSLATE(E47, ""en"", ""hi"")"),"बी) आक्रामक छापेमारी")</f>
        <v>बी) आक्रामक छापेमारी</v>
      </c>
    </row>
    <row r="48" ht="22.5" customHeight="1">
      <c r="A48" s="2">
        <v>47.0</v>
      </c>
      <c r="B48" s="3" t="s">
        <v>149</v>
      </c>
      <c r="C48" s="3" t="s">
        <v>154</v>
      </c>
      <c r="D48" s="3" t="s">
        <v>155</v>
      </c>
      <c r="E48" s="3" t="s">
        <v>146</v>
      </c>
      <c r="G48" s="3" t="str">
        <f>IFERROR(__xludf.DUMMYFUNCTION("GOOGLETRANSLATE(A48, ""en"", ""hi"")"),"47")</f>
        <v>47</v>
      </c>
      <c r="H48" s="4" t="str">
        <f>IFERROR(__xludf.DUMMYFUNCTION("GOOGLETRANSLATE(B48, ""en"", ""hi"")"),"कबड्डी_12")</f>
        <v>कबड्डी_12</v>
      </c>
      <c r="I48" s="4" t="str">
        <f>IFERROR(__xludf.DUMMYFUNCTION("GOOGLETRANSLATE(C48, ""en"", ""hi"")"),"प्रो कबड्डी लीग में नवीन कुमार की उल्लेखनीय उपलब्धियों में से एक क्या है?")</f>
        <v>प्रो कबड्डी लीग में नवीन कुमार की उल्लेखनीय उपलब्धियों में से एक क्या है?</v>
      </c>
      <c r="J48" s="3" t="str">
        <f>IFERROR(__xludf.DUMMYFUNCTION("GOOGLETRANSLATE(D48, ""en"", ""hi"")"),"A) एक ही सीज़न में सबसे ज़्यादा रेड पॉइंट, B) सर्वश्रेष्ठ डिफेंडर का पुरस्कार, C) सबसे सफल टैकल, D) सर्वश्रेष्ठ ऑलराउंडर का पुरस्कार")</f>
        <v>A) एक ही सीज़न में सबसे ज़्यादा रेड पॉइंट, B) सर्वश्रेष्ठ डिफेंडर का पुरस्कार, C) सबसे सफल टैकल, D) सर्वश्रेष्ठ ऑलराउंडर का पुरस्कार</v>
      </c>
      <c r="K48" s="3" t="str">
        <f>IFERROR(__xludf.DUMMYFUNCTION("GOOGLETRANSLATE(E48, ""en"", ""hi"")"),"A) एक ही सीज़न में सबसे ज़्यादा रेड पॉइंट")</f>
        <v>A) एक ही सीज़न में सबसे ज़्यादा रेड पॉइंट</v>
      </c>
    </row>
    <row r="49" ht="22.5" customHeight="1">
      <c r="A49" s="2">
        <v>48.0</v>
      </c>
      <c r="B49" s="3" t="s">
        <v>149</v>
      </c>
      <c r="C49" s="3" t="s">
        <v>156</v>
      </c>
      <c r="D49" s="3" t="s">
        <v>157</v>
      </c>
      <c r="E49" s="3" t="s">
        <v>158</v>
      </c>
      <c r="G49" s="3" t="str">
        <f>IFERROR(__xludf.DUMMYFUNCTION("GOOGLETRANSLATE(A49, ""en"", ""hi"")"),"48")</f>
        <v>48</v>
      </c>
      <c r="H49" s="4" t="str">
        <f>IFERROR(__xludf.DUMMYFUNCTION("GOOGLETRANSLATE(B49, ""en"", ""hi"")"),"कबड्डी_12")</f>
        <v>कबड्डी_12</v>
      </c>
      <c r="I49" s="4" t="str">
        <f>IFERROR(__xludf.DUMMYFUNCTION("GOOGLETRANSLATE(C49, ""en"", ""hi"")"),"प्रो कबड्डी लीग (पीकेएल) के किस सीज़न में नवीन कुमार को उनके प्रदर्शन के लिए सबसे अधिक जाना जाता है?")</f>
        <v>प्रो कबड्डी लीग (पीकेएल) के किस सीज़न में नवीन कुमार को उनके प्रदर्शन के लिए सबसे अधिक जाना जाता है?</v>
      </c>
      <c r="J49" s="3" t="str">
        <f>IFERROR(__xludf.DUMMYFUNCTION("GOOGLETRANSLATE(D49, ""en"", ""hi"")"),"ए) सीज़न 6, बी) सीज़न 7, सी) सीज़न 8, डी) सीज़न 9")</f>
        <v>ए) सीज़न 6, बी) सीज़न 7, सी) सीज़न 8, डी) सीज़न 9</v>
      </c>
      <c r="K49" s="4" t="str">
        <f>IFERROR(__xludf.DUMMYFUNCTION("GOOGLETRANSLATE(E49, ""en"", ""hi"")"),"डी) सीज़न 9")</f>
        <v>डी) सीज़न 9</v>
      </c>
    </row>
    <row r="50" ht="22.5" customHeight="1">
      <c r="A50" s="2">
        <v>49.0</v>
      </c>
      <c r="B50" s="3" t="s">
        <v>159</v>
      </c>
      <c r="C50" s="3" t="s">
        <v>160</v>
      </c>
      <c r="D50" s="3" t="s">
        <v>161</v>
      </c>
      <c r="E50" s="3" t="s">
        <v>162</v>
      </c>
      <c r="G50" s="3" t="str">
        <f>IFERROR(__xludf.DUMMYFUNCTION("GOOGLETRANSLATE(A50, ""en"", ""hi"")"),"49")</f>
        <v>49</v>
      </c>
      <c r="H50" s="3" t="str">
        <f>IFERROR(__xludf.DUMMYFUNCTION("GOOGLETRANSLATE(B50, ""en"", ""hi"")"),"कबड्डी_13")</f>
        <v>कबड्डी_13</v>
      </c>
      <c r="I50" s="4" t="str">
        <f>IFERROR(__xludf.DUMMYFUNCTION("GOOGLETRANSLATE(C50, ""en"", ""hi"")"),"प्रो कबड्डी लीग (पीकेएल) में वह किस टीम के कप्तान रहे हैं?")</f>
        <v>प्रो कबड्डी लीग (पीकेएल) में वह किस टीम के कप्तान रहे हैं?</v>
      </c>
      <c r="J50" s="3" t="str">
        <f>IFERROR(__xludf.DUMMYFUNCTION("GOOGLETRANSLATE(D50, ""en"", ""hi"")"),"ए) जयपुर पिंक पैंथर्स, बी) बेंगलुरु बुल्स, सी) यू मुंबा, डी) तमिल थलाइवाज")</f>
        <v>ए) जयपुर पिंक पैंथर्स, बी) बेंगलुरु बुल्स, सी) यू मुंबा, डी) तमिल थलाइवाज</v>
      </c>
      <c r="K50" s="4" t="str">
        <f>IFERROR(__xludf.DUMMYFUNCTION("GOOGLETRANSLATE(E50, ""en"", ""hi"")"),"A) जयपुर पिंक पैंथर्स")</f>
        <v>A) जयपुर पिंक पैंथर्स</v>
      </c>
    </row>
    <row r="51" ht="22.5" customHeight="1">
      <c r="A51" s="2">
        <v>50.0</v>
      </c>
      <c r="B51" s="3" t="s">
        <v>159</v>
      </c>
      <c r="C51" s="3" t="s">
        <v>118</v>
      </c>
      <c r="D51" s="3" t="s">
        <v>119</v>
      </c>
      <c r="E51" s="3" t="s">
        <v>163</v>
      </c>
      <c r="G51" s="3" t="str">
        <f>IFERROR(__xludf.DUMMYFUNCTION("GOOGLETRANSLATE(A51, ""en"", ""hi"")"),"50")</f>
        <v>50</v>
      </c>
      <c r="H51" s="3" t="str">
        <f>IFERROR(__xludf.DUMMYFUNCTION("GOOGLETRANSLATE(B51, ""en"", ""hi"")"),"कबड्डी_13")</f>
        <v>कबड्डी_13</v>
      </c>
      <c r="I51" s="3" t="str">
        <f>IFERROR(__xludf.DUMMYFUNCTION("GOOGLETRANSLATE(C51, ""en"", ""hi"")"),"वह कबड्डी में मुख्य रूप से कौन सा स्थान खेलते हैं?")</f>
        <v>वह कबड्डी में मुख्य रूप से कौन सा स्थान खेलते हैं?</v>
      </c>
      <c r="J51" s="3" t="str">
        <f>IFERROR(__xludf.DUMMYFUNCTION("GOOGLETRANSLATE(D51, ""en"", ""hi"")"),"A) डिफेंडर, B) रेडर, C) ऑलराउंडर, D) गोलकीपर")</f>
        <v>A) डिफेंडर, B) रेडर, C) ऑलराउंडर, D) गोलकीपर</v>
      </c>
      <c r="K51" s="3" t="str">
        <f>IFERROR(__xludf.DUMMYFUNCTION("GOOGLETRANSLATE(E51, ""en"", ""hi"")"),"C) ऑलराउंडर")</f>
        <v>C) ऑलराउंडर</v>
      </c>
    </row>
    <row r="52" ht="22.5" customHeight="1">
      <c r="A52" s="2">
        <v>51.0</v>
      </c>
      <c r="B52" s="3" t="s">
        <v>159</v>
      </c>
      <c r="C52" s="3" t="s">
        <v>164</v>
      </c>
      <c r="D52" s="3" t="s">
        <v>165</v>
      </c>
      <c r="E52" s="3" t="s">
        <v>166</v>
      </c>
      <c r="G52" s="3" t="str">
        <f>IFERROR(__xludf.DUMMYFUNCTION("GOOGLETRANSLATE(A52, ""en"", ""hi"")"),"51")</f>
        <v>51</v>
      </c>
      <c r="H52" s="4" t="str">
        <f>IFERROR(__xludf.DUMMYFUNCTION("GOOGLETRANSLATE(B52, ""en"", ""hi"")"),"कबड्डी_13")</f>
        <v>कबड्डी_13</v>
      </c>
      <c r="I52" s="4" t="str">
        <f>IFERROR(__xludf.DUMMYFUNCTION("GOOGLETRANSLATE(C52, ""en"", ""hi"")"),"भारतीय राष्ट्रीय टीम के सदस्य के रूप में उन्होंने कौन सा प्रमुख कबड्डी खिताब जीता है?")</f>
        <v>भारतीय राष्ट्रीय टीम के सदस्य के रूप में उन्होंने कौन सा प्रमुख कबड्डी खिताब जीता है?</v>
      </c>
      <c r="J52" s="4" t="str">
        <f>IFERROR(__xludf.DUMMYFUNCTION("GOOGLETRANSLATE(D52, ""en"", ""hi"")"),"A) कबड्डी विश्व कप, B) एशियाई खेलों में स्वर्ण पदक, C) प्रो कबड्डी लीग, D) कबड्डी मास्टर्स दुबई")</f>
        <v>A) कबड्डी विश्व कप, B) एशियाई खेलों में स्वर्ण पदक, C) प्रो कबड्डी लीग, D) कबड्डी मास्टर्स दुबई</v>
      </c>
      <c r="K52" s="4" t="str">
        <f>IFERROR(__xludf.DUMMYFUNCTION("GOOGLETRANSLATE(E52, ""en"", ""hi"")"),"बी) एशियाई खेलों का स्वर्ण पदक")</f>
        <v>बी) एशियाई खेलों का स्वर्ण पदक</v>
      </c>
    </row>
    <row r="53" ht="22.5" customHeight="1">
      <c r="A53" s="2">
        <v>52.0</v>
      </c>
      <c r="B53" s="3" t="s">
        <v>159</v>
      </c>
      <c r="C53" s="3" t="s">
        <v>121</v>
      </c>
      <c r="D53" s="3" t="s">
        <v>167</v>
      </c>
      <c r="E53" s="3" t="s">
        <v>168</v>
      </c>
      <c r="G53" s="3" t="str">
        <f>IFERROR(__xludf.DUMMYFUNCTION("GOOGLETRANSLATE(A53, ""en"", ""hi"")"),"52")</f>
        <v>52</v>
      </c>
      <c r="H53" s="3" t="str">
        <f>IFERROR(__xludf.DUMMYFUNCTION("GOOGLETRANSLATE(B53, ""en"", ""hi"")"),"कबड्डी_13")</f>
        <v>कबड्डी_13</v>
      </c>
      <c r="I53" s="3" t="str">
        <f>IFERROR(__xludf.DUMMYFUNCTION("GOOGLETRANSLATE(C53, ""en"", ""hi"")"),"प्रो कबड्डी लीग में उनकी उल्लेखनीय उपलब्धियों में से एक क्या है?")</f>
        <v>प्रो कबड्डी लीग में उनकी उल्लेखनीय उपलब्धियों में से एक क्या है?</v>
      </c>
      <c r="J53" s="3" t="str">
        <f>IFERROR(__xludf.DUMMYFUNCTION("GOOGLETRANSLATE(D53, ""en"", ""hi"")"),"A) सर्वश्रेष्ठ डिफेंडर पुरस्कार, B) एमवीपी पुरस्कार, C) एक सीज़न में सर्वाधिक रेड अंक, D) सर्वश्रेष्ठ ऑलराउंडर पुरस्कार")</f>
        <v>A) सर्वश्रेष्ठ डिफेंडर पुरस्कार, B) एमवीपी पुरस्कार, C) एक सीज़न में सर्वाधिक रेड अंक, D) सर्वश्रेष्ठ ऑलराउंडर पुरस्कार</v>
      </c>
      <c r="K53" s="4" t="str">
        <f>IFERROR(__xludf.DUMMYFUNCTION("GOOGLETRANSLATE(E53, ""en"", ""hi"")"),"D) सर्वश्रेष्ठ ऑलराउंडर पुरस्कार")</f>
        <v>D) सर्वश्रेष्ठ ऑलराउंडर पुरस्कार</v>
      </c>
    </row>
    <row r="54" ht="22.5" customHeight="1">
      <c r="A54" s="2">
        <v>53.0</v>
      </c>
      <c r="B54" s="3" t="s">
        <v>169</v>
      </c>
      <c r="C54" s="3" t="s">
        <v>170</v>
      </c>
      <c r="D54" s="3" t="s">
        <v>171</v>
      </c>
      <c r="E54" s="3" t="s">
        <v>172</v>
      </c>
      <c r="G54" s="3" t="str">
        <f>IFERROR(__xludf.DUMMYFUNCTION("GOOGLETRANSLATE(A54, ""en"", ""hi"")"),"53")</f>
        <v>53</v>
      </c>
      <c r="H54" s="4" t="str">
        <f>IFERROR(__xludf.DUMMYFUNCTION("GOOGLETRANSLATE(B54, ""en"", ""hi"")"),"कबड्डी_14")</f>
        <v>कबड्डी_14</v>
      </c>
      <c r="I54" s="4" t="str">
        <f>IFERROR(__xludf.DUMMYFUNCTION("GOOGLETRANSLATE(C54, ""en"", ""hi"")"),"चित्र में खिलाड़ी कौन है?")</f>
        <v>चित्र में खिलाड़ी कौन है?</v>
      </c>
      <c r="J54" s="4" t="str">
        <f>IFERROR(__xludf.DUMMYFUNCTION("GOOGLETRANSLATE(D54, ""en"", ""hi"")"),"ए) मोहित गोयत, बी) प्रदीप नरवाल, सी) राहुल चौधरी, डी) अनूप कुमार")</f>
        <v>ए) मोहित गोयत, बी) प्रदीप नरवाल, सी) राहुल चौधरी, डी) अनूप कुमार</v>
      </c>
      <c r="K54" s="3" t="str">
        <f>IFERROR(__xludf.DUMMYFUNCTION("GOOGLETRANSLATE(E54, ""en"", ""hi"")"),"A) मोहित गोयत")</f>
        <v>A) मोहित गोयत</v>
      </c>
    </row>
    <row r="55" ht="22.5" customHeight="1">
      <c r="A55" s="2">
        <v>54.0</v>
      </c>
      <c r="B55" s="3" t="s">
        <v>169</v>
      </c>
      <c r="C55" s="3" t="s">
        <v>173</v>
      </c>
      <c r="D55" s="3" t="s">
        <v>174</v>
      </c>
      <c r="E55" s="3" t="s">
        <v>120</v>
      </c>
      <c r="G55" s="3" t="str">
        <f>IFERROR(__xludf.DUMMYFUNCTION("GOOGLETRANSLATE(A55, ""en"", ""hi"")"),"54")</f>
        <v>54</v>
      </c>
      <c r="H55" s="4" t="str">
        <f>IFERROR(__xludf.DUMMYFUNCTION("GOOGLETRANSLATE(B55, ""en"", ""hi"")"),"कबड्डी_14")</f>
        <v>कबड्डी_14</v>
      </c>
      <c r="I55" s="4" t="str">
        <f>IFERROR(__xludf.DUMMYFUNCTION("GOOGLETRANSLATE(C55, ""en"", ""hi"")"),"चित्र में खिलाड़ी मुख्यतः किस स्थिति में खेलता है?")</f>
        <v>चित्र में खिलाड़ी मुख्यतः किस स्थिति में खेलता है?</v>
      </c>
      <c r="J55" s="3" t="str">
        <f>IFERROR(__xludf.DUMMYFUNCTION("GOOGLETRANSLATE(D55, ""en"", ""hi"")"),"A) डिफेंडर, B) रेडर, C) ऑलराउंडर, D) कॉर्नर")</f>
        <v>A) डिफेंडर, B) रेडर, C) ऑलराउंडर, D) कॉर्नर</v>
      </c>
      <c r="K55" s="4" t="str">
        <f>IFERROR(__xludf.DUMMYFUNCTION("GOOGLETRANSLATE(E55, ""en"", ""hi"")"),"बी) रेडर")</f>
        <v>बी) रेडर</v>
      </c>
    </row>
    <row r="56" ht="22.5" customHeight="1">
      <c r="A56" s="2">
        <v>55.0</v>
      </c>
      <c r="B56" s="3" t="s">
        <v>169</v>
      </c>
      <c r="C56" s="3" t="s">
        <v>175</v>
      </c>
      <c r="D56" s="3" t="s">
        <v>176</v>
      </c>
      <c r="E56" s="3" t="s">
        <v>177</v>
      </c>
      <c r="G56" s="3" t="str">
        <f>IFERROR(__xludf.DUMMYFUNCTION("GOOGLETRANSLATE(A56, ""en"", ""hi"")"),"55")</f>
        <v>55</v>
      </c>
      <c r="H56" s="3" t="str">
        <f>IFERROR(__xludf.DUMMYFUNCTION("GOOGLETRANSLATE(B56, ""en"", ""hi"")"),"कबड्डी_14")</f>
        <v>कबड्डी_14</v>
      </c>
      <c r="I56" s="4" t="str">
        <f>IFERROR(__xludf.DUMMYFUNCTION("GOOGLETRANSLATE(C56, ""en"", ""hi"")"),"एक रेडर एक रेड के दौरान प्रतिद्वंद्वी के हाफ में अधिकतम कितनी देर तक रह सकता है?")</f>
        <v>एक रेडर एक रेड के दौरान प्रतिद्वंद्वी के हाफ में अधिकतम कितनी देर तक रह सकता है?</v>
      </c>
      <c r="J56" s="3" t="str">
        <f>IFERROR(__xludf.DUMMYFUNCTION("GOOGLETRANSLATE(D56, ""en"", ""hi"")"),"A) 10 सेकंड, B) 20 सेकंड, C) 30 सेकंड, D) 40 सेकंड")</f>
        <v>A) 10 सेकंड, B) 20 सेकंड, C) 30 सेकंड, D) 40 सेकंड</v>
      </c>
      <c r="K56" s="3" t="str">
        <f>IFERROR(__xludf.DUMMYFUNCTION("GOOGLETRANSLATE(E56, ""en"", ""hi"")"),"सी) 30 सेकंड")</f>
        <v>सी) 30 सेकंड</v>
      </c>
    </row>
    <row r="57" ht="22.5" customHeight="1">
      <c r="A57" s="2">
        <v>56.0</v>
      </c>
      <c r="B57" s="3" t="s">
        <v>169</v>
      </c>
      <c r="C57" s="3" t="s">
        <v>178</v>
      </c>
      <c r="D57" s="3" t="s">
        <v>179</v>
      </c>
      <c r="E57" s="3" t="s">
        <v>22</v>
      </c>
      <c r="G57" s="3" t="str">
        <f>IFERROR(__xludf.DUMMYFUNCTION("GOOGLETRANSLATE(A57, ""en"", ""hi"")"),"56")</f>
        <v>56</v>
      </c>
      <c r="H57" s="3" t="str">
        <f>IFERROR(__xludf.DUMMYFUNCTION("GOOGLETRANSLATE(B57, ""en"", ""hi"")"),"कबड्डी_14")</f>
        <v>कबड्डी_14</v>
      </c>
      <c r="I57" s="4" t="str">
        <f>IFERROR(__xludf.DUMMYFUNCTION("GOOGLETRANSLATE(C57, ""en"", ""hi"")"),"चित्र में दिखाया गया खिलाड़ी किस देश का प्रतिनिधित्व करता है?")</f>
        <v>चित्र में दिखाया गया खिलाड़ी किस देश का प्रतिनिधित्व करता है?</v>
      </c>
      <c r="J57" s="3" t="str">
        <f>IFERROR(__xludf.DUMMYFUNCTION("GOOGLETRANSLATE(D57, ""en"", ""hi"")"),"A) ईरान, B) भारत, C) दक्षिण कोरिया, D) बांग्लादेश")</f>
        <v>A) ईरान, B) भारत, C) दक्षिण कोरिया, D) बांग्लादेश</v>
      </c>
      <c r="K57" s="3" t="str">
        <f>IFERROR(__xludf.DUMMYFUNCTION("GOOGLETRANSLATE(E57, ""en"", ""hi"")"),"बी) भारत")</f>
        <v>बी) भारत</v>
      </c>
    </row>
    <row r="58" ht="22.5" customHeight="1">
      <c r="A58" s="2">
        <v>57.0</v>
      </c>
      <c r="B58" s="3" t="s">
        <v>180</v>
      </c>
      <c r="C58" s="3" t="s">
        <v>181</v>
      </c>
      <c r="D58" s="3" t="s">
        <v>182</v>
      </c>
      <c r="E58" s="3" t="s">
        <v>183</v>
      </c>
      <c r="G58" s="3" t="str">
        <f>IFERROR(__xludf.DUMMYFUNCTION("GOOGLETRANSLATE(A58, ""en"", ""hi"")"),"57")</f>
        <v>57</v>
      </c>
      <c r="H58" s="4" t="str">
        <f>IFERROR(__xludf.DUMMYFUNCTION("GOOGLETRANSLATE(B58, ""en"", ""hi"")"),"कबड्डी_15")</f>
        <v>कबड्डी_15</v>
      </c>
      <c r="I58" s="4" t="str">
        <f>IFERROR(__xludf.DUMMYFUNCTION("GOOGLETRANSLATE(C58, ""en"", ""hi"")"),"खिलाड़ी किस रक्षात्मक संरचना का उपयोग कर रहे हैं?")</f>
        <v>खिलाड़ी किस रक्षात्मक संरचना का उपयोग कर रहे हैं?</v>
      </c>
      <c r="J58" s="3" t="str">
        <f>IFERROR(__xludf.DUMMYFUNCTION("GOOGLETRANSLATE(D58, ""en"", ""hi"")"),"A) शृंखला निर्माण, B) बिखरा हुआ, C) अर्धवृत्त, D) रेखा")</f>
        <v>A) शृंखला निर्माण, B) बिखरा हुआ, C) अर्धवृत्त, D) रेखा</v>
      </c>
      <c r="K58" s="4" t="str">
        <f>IFERROR(__xludf.DUMMYFUNCTION("GOOGLETRANSLATE(E58, ""en"", ""hi"")"),"C) अर्धवृत्त")</f>
        <v>C) अर्धवृत्त</v>
      </c>
    </row>
    <row r="59" ht="22.5" customHeight="1">
      <c r="A59" s="2">
        <v>58.0</v>
      </c>
      <c r="B59" s="3" t="s">
        <v>180</v>
      </c>
      <c r="C59" s="3" t="s">
        <v>184</v>
      </c>
      <c r="D59" s="3" t="s">
        <v>185</v>
      </c>
      <c r="E59" s="3" t="s">
        <v>186</v>
      </c>
      <c r="G59" s="3" t="str">
        <f>IFERROR(__xludf.DUMMYFUNCTION("GOOGLETRANSLATE(A59, ""en"", ""hi"")"),"58")</f>
        <v>58</v>
      </c>
      <c r="H59" s="3" t="str">
        <f>IFERROR(__xludf.DUMMYFUNCTION("GOOGLETRANSLATE(B59, ""en"", ""hi"")"),"कबड्डी_15")</f>
        <v>कबड्डी_15</v>
      </c>
      <c r="I59" s="4" t="str">
        <f>IFERROR(__xludf.DUMMYFUNCTION("GOOGLETRANSLATE(C59, ""en"", ""hi"")"),"रक्षात्मक भाग में कितने खिलाड़ी हैं?")</f>
        <v>रक्षात्मक भाग में कितने खिलाड़ी हैं?</v>
      </c>
      <c r="J59" s="4" t="str">
        <f>IFERROR(__xludf.DUMMYFUNCTION("GOOGLETRANSLATE(D59, ""en"", ""hi"")"),"ए) 2, बी) 3, सी) 4, डी) 5")</f>
        <v>ए) 2, बी) 3, सी) 4, डी) 5</v>
      </c>
      <c r="K59" s="4" t="str">
        <f>IFERROR(__xludf.DUMMYFUNCTION("GOOGLETRANSLATE(E59, ""en"", ""hi"")"),"बी) 3")</f>
        <v>बी) 3</v>
      </c>
    </row>
    <row r="60" ht="22.5" customHeight="1">
      <c r="A60" s="2">
        <v>59.0</v>
      </c>
      <c r="B60" s="3" t="s">
        <v>180</v>
      </c>
      <c r="C60" s="3" t="s">
        <v>187</v>
      </c>
      <c r="D60" s="3" t="s">
        <v>188</v>
      </c>
      <c r="E60" s="3" t="s">
        <v>189</v>
      </c>
      <c r="G60" s="3" t="str">
        <f>IFERROR(__xludf.DUMMYFUNCTION("GOOGLETRANSLATE(A60, ""en"", ""hi"")"),"59")</f>
        <v>59</v>
      </c>
      <c r="H60" s="4" t="str">
        <f>IFERROR(__xludf.DUMMYFUNCTION("GOOGLETRANSLATE(B60, ""en"", ""hi"")"),"कबड्डी_15")</f>
        <v>कबड्डी_15</v>
      </c>
      <c r="I60" s="3" t="str">
        <f>IFERROR(__xludf.DUMMYFUNCTION("GOOGLETRANSLATE(C60, ""en"", ""hi"")"),"चित्र में हमलावर की स्थिति क्या है?")</f>
        <v>चित्र में हमलावर की स्थिति क्या है?</v>
      </c>
      <c r="J60" s="4" t="str">
        <f>IFERROR(__xludf.DUMMYFUNCTION("GOOGLETRANSLATE(D60, ""en"", ""hi"")"),"A) मध्य रेखा के पास, B) रक्षा के करीब, C) प्रतिद्वंद्वी के आधे भाग में, D) अपने आधे भाग में")</f>
        <v>A) मध्य रेखा के पास, B) रक्षा के करीब, C) प्रतिद्वंद्वी के आधे भाग में, D) अपने आधे भाग में</v>
      </c>
      <c r="K60" s="4" t="str">
        <f>IFERROR(__xludf.DUMMYFUNCTION("GOOGLETRANSLATE(E60, ""en"", ""hi"")"),"बी) रक्षा के करीब")</f>
        <v>बी) रक्षा के करीब</v>
      </c>
    </row>
    <row r="61" ht="22.5" customHeight="1">
      <c r="A61" s="2">
        <v>60.0</v>
      </c>
      <c r="B61" s="3" t="s">
        <v>180</v>
      </c>
      <c r="C61" s="3" t="s">
        <v>190</v>
      </c>
      <c r="D61" s="3" t="s">
        <v>191</v>
      </c>
      <c r="E61" s="3" t="s">
        <v>192</v>
      </c>
      <c r="G61" s="3" t="str">
        <f>IFERROR(__xludf.DUMMYFUNCTION("GOOGLETRANSLATE(A61, ""en"", ""hi"")"),"60")</f>
        <v>60</v>
      </c>
      <c r="H61" s="4" t="str">
        <f>IFERROR(__xludf.DUMMYFUNCTION("GOOGLETRANSLATE(B61, ""en"", ""hi"")"),"कबड्डी_15")</f>
        <v>कबड्डी_15</v>
      </c>
      <c r="I61" s="4" t="str">
        <f>IFERROR(__xludf.DUMMYFUNCTION("GOOGLETRANSLATE(C61, ""en"", ""hi"")"),"चित्र में रेफरी क्या कर रहा है?")</f>
        <v>चित्र में रेफरी क्या कर रहा है?</v>
      </c>
      <c r="J61" s="4" t="str">
        <f>IFERROR(__xludf.DUMMYFUNCTION("GOOGLETRANSLATE(D61, ""en"", ""hi"")"),"A) रेड का संकेत देना, B) अंक देना, C) खेल रोकना, D) खेल देखना")</f>
        <v>A) रेड का संकेत देना, B) अंक देना, C) खेल रोकना, D) खेल देखना</v>
      </c>
      <c r="K61" s="3" t="str">
        <f>IFERROR(__xludf.DUMMYFUNCTION("GOOGLETRANSLATE(E61, ""en"", ""hi"")"),"D) खेल देखना")</f>
        <v>D) खेल देखना</v>
      </c>
    </row>
    <row r="62" ht="22.5" customHeight="1">
      <c r="A62" s="2">
        <v>61.0</v>
      </c>
      <c r="B62" s="3" t="s">
        <v>193</v>
      </c>
      <c r="C62" s="3" t="s">
        <v>194</v>
      </c>
      <c r="D62" s="3" t="s">
        <v>195</v>
      </c>
      <c r="E62" s="3" t="s">
        <v>196</v>
      </c>
      <c r="G62" s="3" t="str">
        <f>IFERROR(__xludf.DUMMYFUNCTION("GOOGLETRANSLATE(A62, ""en"", ""hi"")"),"61")</f>
        <v>61</v>
      </c>
      <c r="H62" s="3" t="str">
        <f>IFERROR(__xludf.DUMMYFUNCTION("GOOGLETRANSLATE(B62, ""en"", ""hi"")"),"कबड्डी_16")</f>
        <v>कबड्डी_16</v>
      </c>
      <c r="I62" s="4" t="str">
        <f>IFERROR(__xludf.DUMMYFUNCTION("GOOGLETRANSLATE(C62, ""en"", ""hi"")"),"चित्र में खिलाड़ी किस तकनीक का उपयोग कर रहा है?")</f>
        <v>चित्र में खिलाड़ी किस तकनीक का उपयोग कर रहा है?</v>
      </c>
      <c r="J62" s="4" t="str">
        <f>IFERROR(__xludf.DUMMYFUNCTION("GOOGLETRANSLATE(D62, ""en"", ""hi"")"),"ए) चेन रेड, बी) सिंगल रेड, सी) रनिंग हैंड टच, डी) डू-ऑर-डाई रेड")</f>
        <v>ए) चेन रेड, बी) सिंगल रेड, सी) रनिंग हैंड टच, डी) डू-ऑर-डाई रेड</v>
      </c>
      <c r="K62" s="4" t="str">
        <f>IFERROR(__xludf.DUMMYFUNCTION("GOOGLETRANSLATE(E62, ""en"", ""hi"")"),"बी) एकल छापा")</f>
        <v>बी) एकल छापा</v>
      </c>
    </row>
    <row r="63" ht="22.5" customHeight="1">
      <c r="A63" s="2">
        <v>62.0</v>
      </c>
      <c r="B63" s="3" t="s">
        <v>193</v>
      </c>
      <c r="C63" s="3" t="s">
        <v>197</v>
      </c>
      <c r="D63" s="3" t="s">
        <v>198</v>
      </c>
      <c r="E63" s="3" t="s">
        <v>199</v>
      </c>
      <c r="G63" s="3" t="str">
        <f>IFERROR(__xludf.DUMMYFUNCTION("GOOGLETRANSLATE(A63, ""en"", ""hi"")"),"62")</f>
        <v>62</v>
      </c>
      <c r="H63" s="4" t="str">
        <f>IFERROR(__xludf.DUMMYFUNCTION("GOOGLETRANSLATE(B63, ""en"", ""hi"")"),"कबड्डी_16")</f>
        <v>कबड्डी_16</v>
      </c>
      <c r="I63" s="4" t="str">
        <f>IFERROR(__xludf.DUMMYFUNCTION("GOOGLETRANSLATE(C63, ""en"", ""hi"")"),"मैदान पर खिलाड़ी की स्थिति क्या है?")</f>
        <v>मैदान पर खिलाड़ी की स्थिति क्या है?</v>
      </c>
      <c r="J63" s="4" t="str">
        <f>IFERROR(__xludf.DUMMYFUNCTION("GOOGLETRANSLATE(D63, ""en"", ""hi"")"),"A) बायां कोना, B) दायां कोना, C) बायां रेडर, D) दायां रेडर")</f>
        <v>A) बायां कोना, B) दायां कोना, C) बायां रेडर, D) दायां रेडर</v>
      </c>
      <c r="K63" s="4" t="str">
        <f>IFERROR(__xludf.DUMMYFUNCTION("GOOGLETRANSLATE(E63, ""en"", ""hi"")"),"D) राइट रेडर")</f>
        <v>D) राइट रेडर</v>
      </c>
    </row>
    <row r="64" ht="22.5" customHeight="1">
      <c r="A64" s="2">
        <v>63.0</v>
      </c>
      <c r="B64" s="3" t="s">
        <v>193</v>
      </c>
      <c r="C64" s="3" t="s">
        <v>200</v>
      </c>
      <c r="D64" s="3" t="s">
        <v>201</v>
      </c>
      <c r="E64" s="3" t="s">
        <v>202</v>
      </c>
      <c r="G64" s="3" t="str">
        <f>IFERROR(__xludf.DUMMYFUNCTION("GOOGLETRANSLATE(A64, ""en"", ""hi"")"),"63")</f>
        <v>63</v>
      </c>
      <c r="H64" s="4" t="str">
        <f>IFERROR(__xludf.DUMMYFUNCTION("GOOGLETRANSLATE(B64, ""en"", ""hi"")"),"कबड्डी_16")</f>
        <v>कबड्डी_16</v>
      </c>
      <c r="I64" s="3" t="str">
        <f>IFERROR(__xludf.DUMMYFUNCTION("GOOGLETRANSLATE(C64, ""en"", ""hi"")"),"चित्र में दिखाया गया खिलाड़ी किस टीम का प्रतिनिधित्व कर रहा है?")</f>
        <v>चित्र में दिखाया गया खिलाड़ी किस टीम का प्रतिनिधित्व कर रहा है?</v>
      </c>
      <c r="J64" s="4" t="str">
        <f>IFERROR(__xludf.DUMMYFUNCTION("GOOGLETRANSLATE(D64, ""en"", ""hi"")"),"A) भारत, B) पाकिस्तान, C) बांग्लादेश, D) श्रीलंका")</f>
        <v>A) भारत, B) पाकिस्तान, C) बांग्लादेश, D) श्रीलंका</v>
      </c>
      <c r="K64" s="4" t="str">
        <f>IFERROR(__xludf.DUMMYFUNCTION("GOOGLETRANSLATE(E64, ""en"", ""hi"")"),"ए) भारत")</f>
        <v>ए) भारत</v>
      </c>
    </row>
    <row r="65" ht="22.5" customHeight="1">
      <c r="A65" s="2">
        <v>64.0</v>
      </c>
      <c r="B65" s="3" t="s">
        <v>193</v>
      </c>
      <c r="C65" s="3" t="s">
        <v>203</v>
      </c>
      <c r="D65" s="3" t="s">
        <v>204</v>
      </c>
      <c r="E65" s="3" t="s">
        <v>81</v>
      </c>
      <c r="G65" s="3" t="str">
        <f>IFERROR(__xludf.DUMMYFUNCTION("GOOGLETRANSLATE(A65, ""en"", ""hi"")"),"64")</f>
        <v>64</v>
      </c>
      <c r="H65" s="3" t="str">
        <f>IFERROR(__xludf.DUMMYFUNCTION("GOOGLETRANSLATE(B65, ""en"", ""hi"")"),"कबड्डी_16")</f>
        <v>कबड्डी_16</v>
      </c>
      <c r="I65" s="4" t="str">
        <f>IFERROR(__xludf.DUMMYFUNCTION("GOOGLETRANSLATE(C65, ""en"", ""hi"")"),"चित्र में दिखाए गए खिलाड़ी की प्राथमिक भूमिका क्या है?")</f>
        <v>चित्र में दिखाए गए खिलाड़ी की प्राथमिक भूमिका क्या है?</v>
      </c>
      <c r="J65" s="4" t="str">
        <f>IFERROR(__xludf.DUMMYFUNCTION("GOOGLETRANSLATE(D65, ""en"", ""hi"")"),"A) रेडर, B) डिफेंडर, C) ऑलराउंडर, D) कोच")</f>
        <v>A) रेडर, B) डिफेंडर, C) ऑलराउंडर, D) कोच</v>
      </c>
      <c r="K65" s="4" t="str">
        <f>IFERROR(__xludf.DUMMYFUNCTION("GOOGLETRANSLATE(E65, ""en"", ""hi"")"),"ए) रेडर")</f>
        <v>ए) रेडर</v>
      </c>
    </row>
    <row r="66" ht="22.5" customHeight="1">
      <c r="A66" s="2">
        <v>65.0</v>
      </c>
      <c r="B66" s="3" t="s">
        <v>205</v>
      </c>
      <c r="C66" s="3" t="s">
        <v>206</v>
      </c>
      <c r="D66" s="3" t="s">
        <v>207</v>
      </c>
      <c r="E66" s="3" t="s">
        <v>208</v>
      </c>
      <c r="G66" s="3" t="str">
        <f>IFERROR(__xludf.DUMMYFUNCTION("GOOGLETRANSLATE(A66, ""en"", ""hi"")"),"65")</f>
        <v>65</v>
      </c>
      <c r="H66" s="3" t="str">
        <f>IFERROR(__xludf.DUMMYFUNCTION("GOOGLETRANSLATE(B66, ""en"", ""hi"")"),"कबड्डी_17")</f>
        <v>कबड्डी_17</v>
      </c>
      <c r="I66" s="3" t="str">
        <f>IFERROR(__xludf.DUMMYFUNCTION("GOOGLETRANSLATE(C66, ""en"", ""hi"")"),"चित्र में कौन दिखाया गया है?")</f>
        <v>चित्र में कौन दिखाया गया है?</v>
      </c>
      <c r="J66" s="4" t="str">
        <f>IFERROR(__xludf.DUMMYFUNCTION("GOOGLETRANSLATE(D66, ""en"", ""hi"")"),"ए) अनुप कुमार, बी) प्रदीप नरवाल, सी) राहुल चौधरी, डी) अजय ठाकुर")</f>
        <v>ए) अनुप कुमार, बी) प्रदीप नरवाल, सी) राहुल चौधरी, डी) अजय ठाकुर</v>
      </c>
      <c r="K66" s="3" t="str">
        <f>IFERROR(__xludf.DUMMYFUNCTION("GOOGLETRANSLATE(E66, ""en"", ""hi"")"),"A) अनूप कुमार")</f>
        <v>A) अनूप कुमार</v>
      </c>
    </row>
    <row r="67" ht="22.5" customHeight="1">
      <c r="A67" s="2">
        <v>66.0</v>
      </c>
      <c r="B67" s="3" t="s">
        <v>205</v>
      </c>
      <c r="C67" s="3" t="s">
        <v>209</v>
      </c>
      <c r="D67" s="3" t="s">
        <v>210</v>
      </c>
      <c r="E67" s="3" t="s">
        <v>211</v>
      </c>
      <c r="G67" s="3" t="str">
        <f>IFERROR(__xludf.DUMMYFUNCTION("GOOGLETRANSLATE(A67, ""en"", ""hi"")"),"66")</f>
        <v>66</v>
      </c>
      <c r="H67" s="4" t="str">
        <f>IFERROR(__xludf.DUMMYFUNCTION("GOOGLETRANSLATE(B67, ""en"", ""hi"")"),"कबड्डी_17")</f>
        <v>कबड्डी_17</v>
      </c>
      <c r="I67" s="3" t="str">
        <f>IFERROR(__xludf.DUMMYFUNCTION("GOOGLETRANSLATE(C67, ""en"", ""hi"")"),"चित्र में अनूप कुमार किस घटना से जुड़े हैं?")</f>
        <v>चित्र में अनूप कुमार किस घटना से जुड़े हैं?</v>
      </c>
      <c r="J67" s="4" t="str">
        <f>IFERROR(__xludf.DUMMYFUNCTION("GOOGLETRANSLATE(D67, ""en"", ""hi"")"),"ए) सेवानिवृत्ति, बी) पदार्पण, सी) चोट, डी) कोचिंग")</f>
        <v>ए) सेवानिवृत्ति, बी) पदार्पण, सी) चोट, डी) कोचिंग</v>
      </c>
      <c r="K67" s="4" t="str">
        <f>IFERROR(__xludf.DUMMYFUNCTION("GOOGLETRANSLATE(E67, ""en"", ""hi"")"),"ए) सेवानिवृत्ति")</f>
        <v>ए) सेवानिवृत्ति</v>
      </c>
    </row>
    <row r="68" ht="22.5" customHeight="1">
      <c r="A68" s="2">
        <v>67.0</v>
      </c>
      <c r="B68" s="3" t="s">
        <v>205</v>
      </c>
      <c r="C68" s="3" t="s">
        <v>212</v>
      </c>
      <c r="D68" s="3" t="s">
        <v>213</v>
      </c>
      <c r="E68" s="3" t="s">
        <v>120</v>
      </c>
      <c r="G68" s="3" t="str">
        <f>IFERROR(__xludf.DUMMYFUNCTION("GOOGLETRANSLATE(A68, ""en"", ""hi"")"),"67")</f>
        <v>67</v>
      </c>
      <c r="H68" s="3" t="str">
        <f>IFERROR(__xludf.DUMMYFUNCTION("GOOGLETRANSLATE(B68, ""en"", ""hi"")"),"कबड्डी_17")</f>
        <v>कबड्डी_17</v>
      </c>
      <c r="I68" s="3" t="str">
        <f>IFERROR(__xludf.DUMMYFUNCTION("GOOGLETRANSLATE(C68, ""en"", ""hi"")"),"अनूप कुमार किस पोजीशन पर खेलने के लिए जाने जाते हैं?")</f>
        <v>अनूप कुमार किस पोजीशन पर खेलने के लिए जाने जाते हैं?</v>
      </c>
      <c r="J68" s="4" t="str">
        <f>IFERROR(__xludf.DUMMYFUNCTION("GOOGLETRANSLATE(D68, ""en"", ""hi"")"),"A) डिफेंडर, B) रेडर, C) गोलकीपर, D) कोच")</f>
        <v>A) डिफेंडर, B) रेडर, C) गोलकीपर, D) कोच</v>
      </c>
      <c r="K68" s="3" t="str">
        <f>IFERROR(__xludf.DUMMYFUNCTION("GOOGLETRANSLATE(E68, ""en"", ""hi"")"),"बी) रेडर")</f>
        <v>बी) रेडर</v>
      </c>
    </row>
    <row r="69" ht="22.5" customHeight="1">
      <c r="A69" s="2">
        <v>68.0</v>
      </c>
      <c r="B69" s="3" t="s">
        <v>205</v>
      </c>
      <c r="C69" s="3" t="s">
        <v>214</v>
      </c>
      <c r="D69" s="3" t="s">
        <v>215</v>
      </c>
      <c r="E69" s="3" t="s">
        <v>216</v>
      </c>
      <c r="G69" s="3" t="str">
        <f>IFERROR(__xludf.DUMMYFUNCTION("GOOGLETRANSLATE(A69, ""en"", ""hi"")"),"68")</f>
        <v>68</v>
      </c>
      <c r="H69" s="4" t="str">
        <f>IFERROR(__xludf.DUMMYFUNCTION("GOOGLETRANSLATE(B69, ""en"", ""hi"")"),"कबड्डी_17")</f>
        <v>कबड्डी_17</v>
      </c>
      <c r="I69" s="4" t="str">
        <f>IFERROR(__xludf.DUMMYFUNCTION("GOOGLETRANSLATE(C69, ""en"", ""hi"")"),"अनूप कुमार के करियर की उल्लेखनीय उपलब्धि क्या है?")</f>
        <v>अनूप कुमार के करियर की उल्लेखनीय उपलब्धि क्या है?</v>
      </c>
      <c r="J69" s="3" t="str">
        <f>IFERROR(__xludf.DUMMYFUNCTION("GOOGLETRANSLATE(D69, ""en"", ""hi"")"),"A) विश्व कप जीत, B) एक सीज़न में सर्वाधिक स्कोरर, C) एक मैच में सर्वाधिक टैकल, D) सर्वश्रेष्ठ कोच पुरस्कार")</f>
        <v>A) विश्व कप जीत, B) एक सीज़न में सर्वाधिक स्कोरर, C) एक मैच में सर्वाधिक टैकल, D) सर्वश्रेष्ठ कोच पुरस्कार</v>
      </c>
      <c r="K69" s="4" t="str">
        <f>IFERROR(__xludf.DUMMYFUNCTION("GOOGLETRANSLATE(E69, ""en"", ""hi"")"),"बी) एक सीज़न में सर्वोच्च स्कोरर")</f>
        <v>बी) एक सीज़न में सर्वोच्च स्कोरर</v>
      </c>
    </row>
    <row r="70" ht="22.5" customHeight="1">
      <c r="A70" s="2">
        <v>69.0</v>
      </c>
      <c r="B70" s="3" t="s">
        <v>217</v>
      </c>
      <c r="C70" s="3" t="s">
        <v>170</v>
      </c>
      <c r="D70" s="3" t="s">
        <v>218</v>
      </c>
      <c r="E70" s="3" t="s">
        <v>219</v>
      </c>
      <c r="G70" s="3" t="str">
        <f>IFERROR(__xludf.DUMMYFUNCTION("GOOGLETRANSLATE(A70, ""en"", ""hi"")"),"69")</f>
        <v>69</v>
      </c>
      <c r="H70" s="4" t="str">
        <f>IFERROR(__xludf.DUMMYFUNCTION("GOOGLETRANSLATE(B70, ""en"", ""hi"")"),"कबड्डी_18")</f>
        <v>कबड्डी_18</v>
      </c>
      <c r="I70" s="3" t="str">
        <f>IFERROR(__xludf.DUMMYFUNCTION("GOOGLETRANSLATE(C70, ""en"", ""hi"")"),"चित्र में खिलाड़ी कौन है?")</f>
        <v>चित्र में खिलाड़ी कौन है?</v>
      </c>
      <c r="J70" s="4" t="str">
        <f>IFERROR(__xludf.DUMMYFUNCTION("GOOGLETRANSLATE(D70, ""en"", ""hi"")"),"ए) मंजीत छिल्लर, बी) राहुल चौधरी, सी) प्रदीप नरवाल, डी) अजय ठाकुर")</f>
        <v>ए) मंजीत छिल्लर, बी) राहुल चौधरी, सी) प्रदीप नरवाल, डी) अजय ठाकुर</v>
      </c>
      <c r="K70" s="3" t="str">
        <f>IFERROR(__xludf.DUMMYFUNCTION("GOOGLETRANSLATE(E70, ""en"", ""hi"")"),"A) मंजीत छिल्लर")</f>
        <v>A) मंजीत छिल्लर</v>
      </c>
    </row>
    <row r="71" ht="22.5" customHeight="1">
      <c r="A71" s="2">
        <v>70.0</v>
      </c>
      <c r="B71" s="3" t="s">
        <v>217</v>
      </c>
      <c r="C71" s="3" t="s">
        <v>220</v>
      </c>
      <c r="D71" s="3" t="s">
        <v>204</v>
      </c>
      <c r="E71" s="3" t="s">
        <v>163</v>
      </c>
      <c r="G71" s="3" t="str">
        <f>IFERROR(__xludf.DUMMYFUNCTION("GOOGLETRANSLATE(A71, ""en"", ""hi"")"),"70")</f>
        <v>70</v>
      </c>
      <c r="H71" s="3" t="str">
        <f>IFERROR(__xludf.DUMMYFUNCTION("GOOGLETRANSLATE(B71, ""en"", ""hi"")"),"कबड्डी_18")</f>
        <v>कबड्डी_18</v>
      </c>
      <c r="I71" s="4" t="str">
        <f>IFERROR(__xludf.DUMMYFUNCTION("GOOGLETRANSLATE(C71, ""en"", ""hi"")"),"कबड्डी में मंजीत छिल्लर की मुख्य भूमिका क्या है?")</f>
        <v>कबड्डी में मंजीत छिल्लर की मुख्य भूमिका क्या है?</v>
      </c>
      <c r="J71" s="4" t="str">
        <f>IFERROR(__xludf.DUMMYFUNCTION("GOOGLETRANSLATE(D71, ""en"", ""hi"")"),"A) रेडर, B) डिफेंडर, C) ऑलराउंडर, D) कोच")</f>
        <v>A) रेडर, B) डिफेंडर, C) ऑलराउंडर, D) कोच</v>
      </c>
      <c r="K71" s="3" t="str">
        <f>IFERROR(__xludf.DUMMYFUNCTION("GOOGLETRANSLATE(E71, ""en"", ""hi"")"),"C) ऑलराउंडर")</f>
        <v>C) ऑलराउंडर</v>
      </c>
    </row>
    <row r="72" ht="22.5" customHeight="1">
      <c r="A72" s="2">
        <v>71.0</v>
      </c>
      <c r="B72" s="3" t="s">
        <v>217</v>
      </c>
      <c r="C72" s="3" t="s">
        <v>221</v>
      </c>
      <c r="D72" s="3" t="s">
        <v>222</v>
      </c>
      <c r="E72" s="3" t="s">
        <v>223</v>
      </c>
      <c r="G72" s="3" t="str">
        <f>IFERROR(__xludf.DUMMYFUNCTION("GOOGLETRANSLATE(A72, ""en"", ""hi"")"),"71")</f>
        <v>71</v>
      </c>
      <c r="H72" s="4" t="str">
        <f>IFERROR(__xludf.DUMMYFUNCTION("GOOGLETRANSLATE(B72, ""en"", ""hi"")"),"कबड्डी_18")</f>
        <v>कबड्डी_18</v>
      </c>
      <c r="I72" s="3" t="str">
        <f>IFERROR(__xludf.DUMMYFUNCTION("GOOGLETRANSLATE(C72, ""en"", ""hi"")"),"मनजीत छिल्लर किस कबड्डी लीग में खेलते हैं?")</f>
        <v>मनजीत छिल्लर किस कबड्डी लीग में खेलते हैं?</v>
      </c>
      <c r="J72" s="3" t="str">
        <f>IFERROR(__xludf.DUMMYFUNCTION("GOOGLETRANSLATE(D72, ""en"", ""hi"")"),"A) प्रो कबड्डी लीग, B) कबड्डी विश्व कप, C) एशियाई कबड्डी चैम्पियनशिप, D) अंतर्राष्ट्रीय कबड्डी लीग")</f>
        <v>A) प्रो कबड्डी लीग, B) कबड्डी विश्व कप, C) एशियाई कबड्डी चैम्पियनशिप, D) अंतर्राष्ट्रीय कबड्डी लीग</v>
      </c>
      <c r="K72" s="3" t="str">
        <f>IFERROR(__xludf.DUMMYFUNCTION("GOOGLETRANSLATE(E72, ""en"", ""hi"")"),"A) प्रो कबड्डी लीग")</f>
        <v>A) प्रो कबड्डी लीग</v>
      </c>
    </row>
    <row r="73" ht="22.5" customHeight="1">
      <c r="A73" s="2">
        <v>72.0</v>
      </c>
      <c r="B73" s="3" t="s">
        <v>217</v>
      </c>
      <c r="C73" s="3" t="s">
        <v>224</v>
      </c>
      <c r="D73" s="3" t="s">
        <v>225</v>
      </c>
      <c r="E73" s="3" t="s">
        <v>163</v>
      </c>
      <c r="G73" s="3" t="str">
        <f>IFERROR(__xludf.DUMMYFUNCTION("GOOGLETRANSLATE(A73, ""en"", ""hi"")"),"72")</f>
        <v>72</v>
      </c>
      <c r="H73" s="4" t="str">
        <f>IFERROR(__xludf.DUMMYFUNCTION("GOOGLETRANSLATE(B73, ""en"", ""hi"")"),"कबड्डी_18")</f>
        <v>कबड्डी_18</v>
      </c>
      <c r="I73" s="4" t="str">
        <f>IFERROR(__xludf.DUMMYFUNCTION("GOOGLETRANSLATE(C73, ""en"", ""hi"")"),"कबड्डी में आक्रमण और बचाव दोनों के लिए कौन सी स्थिति महत्वपूर्ण है?")</f>
        <v>कबड्डी में आक्रमण और बचाव दोनों के लिए कौन सी स्थिति महत्वपूर्ण है?</v>
      </c>
      <c r="J73" s="3" t="str">
        <f>IFERROR(__xludf.DUMMYFUNCTION("GOOGLETRANSLATE(D73, ""en"", ""hi"")"),"A) रेडर, B) डिफेंडर, C) ऑलराउंडर, D) गोलकीपर")</f>
        <v>A) रेडर, B) डिफेंडर, C) ऑलराउंडर, D) गोलकीपर</v>
      </c>
      <c r="K73" s="3" t="str">
        <f>IFERROR(__xludf.DUMMYFUNCTION("GOOGLETRANSLATE(E73, ""en"", ""hi"")"),"C) ऑलराउंडर")</f>
        <v>C) ऑलराउंडर</v>
      </c>
    </row>
    <row r="74" ht="22.5" customHeight="1">
      <c r="A74" s="2">
        <v>73.0</v>
      </c>
      <c r="B74" s="3" t="s">
        <v>217</v>
      </c>
      <c r="C74" s="3" t="s">
        <v>226</v>
      </c>
      <c r="D74" s="3" t="s">
        <v>227</v>
      </c>
      <c r="E74" s="3" t="s">
        <v>228</v>
      </c>
      <c r="G74" s="3" t="str">
        <f>IFERROR(__xludf.DUMMYFUNCTION("GOOGLETRANSLATE(A74, ""en"", ""hi"")"),"73")</f>
        <v>73</v>
      </c>
      <c r="H74" s="3" t="str">
        <f>IFERROR(__xludf.DUMMYFUNCTION("GOOGLETRANSLATE(B74, ""en"", ""hi"")"),"कबड्डी_18")</f>
        <v>कबड्डी_18</v>
      </c>
      <c r="I74" s="4" t="str">
        <f>IFERROR(__xludf.DUMMYFUNCTION("GOOGLETRANSLATE(C74, ""en"", ""hi"")"),"चित्र में मंजीत छिल्लर की जर्सी का प्राथमिक रंग क्या है?")</f>
        <v>चित्र में मंजीत छिल्लर की जर्सी का प्राथमिक रंग क्या है?</v>
      </c>
      <c r="J74" s="3" t="str">
        <f>IFERROR(__xludf.DUMMYFUNCTION("GOOGLETRANSLATE(D74, ""en"", ""hi"")"),"A) लाल, B) नीला, C) हरा, D) पीला")</f>
        <v>A) लाल, B) नीला, C) हरा, D) पीला</v>
      </c>
      <c r="K74" s="3" t="str">
        <f>IFERROR(__xludf.DUMMYFUNCTION("GOOGLETRANSLATE(E74, ""en"", ""hi"")"),"बी) नीला")</f>
        <v>बी) नीला</v>
      </c>
    </row>
    <row r="75" ht="22.5" customHeight="1">
      <c r="A75" s="2">
        <v>74.0</v>
      </c>
      <c r="B75" s="3" t="s">
        <v>217</v>
      </c>
      <c r="C75" s="3" t="s">
        <v>229</v>
      </c>
      <c r="D75" s="3" t="s">
        <v>230</v>
      </c>
      <c r="E75" s="3" t="s">
        <v>162</v>
      </c>
      <c r="G75" s="3" t="str">
        <f>IFERROR(__xludf.DUMMYFUNCTION("GOOGLETRANSLATE(A75, ""en"", ""hi"")"),"74")</f>
        <v>74</v>
      </c>
      <c r="H75" s="3" t="str">
        <f>IFERROR(__xludf.DUMMYFUNCTION("GOOGLETRANSLATE(B75, ""en"", ""hi"")"),"कबड्डी_18")</f>
        <v>कबड्डी_18</v>
      </c>
      <c r="I75" s="3" t="str">
        <f>IFERROR(__xludf.DUMMYFUNCTION("GOOGLETRANSLATE(C75, ""en"", ""hi"")"),"चित्र में मंजीत छिल्लर किस कबड्डी टीम से जुड़े हैं?")</f>
        <v>चित्र में मंजीत छिल्लर किस कबड्डी टीम से जुड़े हैं?</v>
      </c>
      <c r="J75" s="3" t="str">
        <f>IFERROR(__xludf.DUMMYFUNCTION("GOOGLETRANSLATE(D75, ""en"", ""hi"")"),"ए) जयपुर पिंक पैंथर्स, बी) पटना पाइरेट्स, सी) दबंग दिल्ली, डी) बेंगलुरु बुल्स")</f>
        <v>ए) जयपुर पिंक पैंथर्स, बी) पटना पाइरेट्स, सी) दबंग दिल्ली, डी) बेंगलुरु बुल्स</v>
      </c>
      <c r="K75" s="3" t="str">
        <f>IFERROR(__xludf.DUMMYFUNCTION("GOOGLETRANSLATE(E75, ""en"", ""hi"")"),"A) जयपुर पिंक पैंथर्स")</f>
        <v>A) जयपुर पिंक पैंथर्स</v>
      </c>
    </row>
    <row r="76" ht="22.5" customHeight="1">
      <c r="A76" s="2">
        <v>75.0</v>
      </c>
      <c r="B76" s="3" t="s">
        <v>231</v>
      </c>
      <c r="C76" s="3" t="s">
        <v>170</v>
      </c>
      <c r="D76" s="3" t="s">
        <v>232</v>
      </c>
      <c r="E76" s="3" t="s">
        <v>233</v>
      </c>
      <c r="G76" s="3" t="str">
        <f>IFERROR(__xludf.DUMMYFUNCTION("GOOGLETRANSLATE(A76, ""en"", ""hi"")"),"75")</f>
        <v>75</v>
      </c>
      <c r="H76" s="4" t="str">
        <f>IFERROR(__xludf.DUMMYFUNCTION("GOOGLETRANSLATE(B76, ""en"", ""hi"")"),"कबड्डी_19")</f>
        <v>कबड्डी_19</v>
      </c>
      <c r="I76" s="4" t="str">
        <f>IFERROR(__xludf.DUMMYFUNCTION("GOOGLETRANSLATE(C76, ""en"", ""hi"")"),"चित्र में खिलाड़ी कौन है?")</f>
        <v>चित्र में खिलाड़ी कौन है?</v>
      </c>
      <c r="J76" s="3" t="str">
        <f>IFERROR(__xludf.DUMMYFUNCTION("GOOGLETRANSLATE(D76, ""en"", ""hi"")"),"ए) फज़ल अत्राचली, बी) प्रदीप नरवाल, सी) राहुल चौधरी, डी) मनिंदर सिंह")</f>
        <v>ए) फज़ल अत्राचली, बी) प्रदीप नरवाल, सी) राहुल चौधरी, डी) मनिंदर सिंह</v>
      </c>
      <c r="K76" s="4" t="str">
        <f>IFERROR(__xludf.DUMMYFUNCTION("GOOGLETRANSLATE(E76, ""en"", ""hi"")"),"A) फ़ज़ल अत्राचली")</f>
        <v>A) फ़ज़ल अत्राचली</v>
      </c>
    </row>
    <row r="77" ht="22.5" customHeight="1">
      <c r="A77" s="2">
        <v>76.0</v>
      </c>
      <c r="B77" s="3" t="s">
        <v>231</v>
      </c>
      <c r="C77" s="3" t="s">
        <v>234</v>
      </c>
      <c r="D77" s="3" t="s">
        <v>235</v>
      </c>
      <c r="E77" s="3" t="s">
        <v>236</v>
      </c>
      <c r="G77" s="3" t="str">
        <f>IFERROR(__xludf.DUMMYFUNCTION("GOOGLETRANSLATE(A77, ""en"", ""hi"")"),"76")</f>
        <v>76</v>
      </c>
      <c r="H77" s="3" t="str">
        <f>IFERROR(__xludf.DUMMYFUNCTION("GOOGLETRANSLATE(B77, ""en"", ""hi"")"),"कबड्डी_19")</f>
        <v>कबड्डी_19</v>
      </c>
      <c r="I77" s="3" t="str">
        <f>IFERROR(__xludf.DUMMYFUNCTION("GOOGLETRANSLATE(C77, ""en"", ""hi"")"),"छवि में खिलाड़ी क्या क्रिया कर रहा है?")</f>
        <v>छवि में खिलाड़ी क्या क्रिया कर रहा है?</v>
      </c>
      <c r="J77" s="3" t="str">
        <f>IFERROR(__xludf.DUMMYFUNCTION("GOOGLETRANSLATE(D77, ""en"", ""hi"")"),"A) आक्रमण करना, B) बचाव करना, C) जश्न मनाना, D) आराम करना")</f>
        <v>A) आक्रमण करना, B) बचाव करना, C) जश्न मनाना, D) आराम करना</v>
      </c>
      <c r="K77" s="4" t="str">
        <f>IFERROR(__xludf.DUMMYFUNCTION("GOOGLETRANSLATE(E77, ""en"", ""hi"")"),"बी) बचाव")</f>
        <v>बी) बचाव</v>
      </c>
    </row>
    <row r="78" ht="22.5" customHeight="1">
      <c r="A78" s="2">
        <v>77.0</v>
      </c>
      <c r="B78" s="3" t="s">
        <v>231</v>
      </c>
      <c r="C78" s="3" t="s">
        <v>237</v>
      </c>
      <c r="D78" s="3" t="s">
        <v>238</v>
      </c>
      <c r="E78" s="3" t="s">
        <v>239</v>
      </c>
      <c r="G78" s="3" t="str">
        <f>IFERROR(__xludf.DUMMYFUNCTION("GOOGLETRANSLATE(A78, ""en"", ""hi"")"),"77")</f>
        <v>77</v>
      </c>
      <c r="H78" s="4" t="str">
        <f>IFERROR(__xludf.DUMMYFUNCTION("GOOGLETRANSLATE(B78, ""en"", ""hi"")"),"कबड्डी_19")</f>
        <v>कबड्डी_19</v>
      </c>
      <c r="I78" s="4" t="str">
        <f>IFERROR(__xludf.DUMMYFUNCTION("GOOGLETRANSLATE(C78, ""en"", ""hi"")"),"वह खिलाड़ी किस टीम का है?")</f>
        <v>वह खिलाड़ी किस टीम का है?</v>
      </c>
      <c r="J78" s="3" t="str">
        <f>IFERROR(__xludf.DUMMYFUNCTION("GOOGLETRANSLATE(D78, ""en"", ""hi"")"),"A) यू मुम्बा, B) पटना पाइरेट्स, C) बंगाल वॉरियर्स, D) गुजरात जायंट्स")</f>
        <v>A) यू मुम्बा, B) पटना पाइरेट्स, C) बंगाल वॉरियर्स, D) गुजरात जायंट्स</v>
      </c>
      <c r="K78" s="3" t="str">
        <f>IFERROR(__xludf.DUMMYFUNCTION("GOOGLETRANSLATE(E78, ""en"", ""hi"")"),"C) बंगाल वॉरियर्स")</f>
        <v>C) बंगाल वॉरियर्स</v>
      </c>
    </row>
    <row r="79" ht="22.5" customHeight="1">
      <c r="A79" s="2">
        <v>78.0</v>
      </c>
      <c r="B79" s="3" t="s">
        <v>231</v>
      </c>
      <c r="C79" s="3" t="s">
        <v>203</v>
      </c>
      <c r="D79" s="3" t="s">
        <v>240</v>
      </c>
      <c r="E79" s="3" t="s">
        <v>241</v>
      </c>
      <c r="G79" s="3" t="str">
        <f>IFERROR(__xludf.DUMMYFUNCTION("GOOGLETRANSLATE(A79, ""en"", ""hi"")"),"78")</f>
        <v>78</v>
      </c>
      <c r="H79" s="4" t="str">
        <f>IFERROR(__xludf.DUMMYFUNCTION("GOOGLETRANSLATE(B79, ""en"", ""hi"")"),"कबड्डी_19")</f>
        <v>कबड्डी_19</v>
      </c>
      <c r="I79" s="4" t="str">
        <f>IFERROR(__xludf.DUMMYFUNCTION("GOOGLETRANSLATE(C79, ""en"", ""hi"")"),"चित्र में दिखाए गए खिलाड़ी की प्राथमिक भूमिका क्या है?")</f>
        <v>चित्र में दिखाए गए खिलाड़ी की प्राथमिक भूमिका क्या है?</v>
      </c>
      <c r="J79" s="4" t="str">
        <f>IFERROR(__xludf.DUMMYFUNCTION("GOOGLETRANSLATE(D79, ""en"", ""hi"")"),"A) रेडर, B) डिफेंडर, C) कोच, D) मैनेजर")</f>
        <v>A) रेडर, B) डिफेंडर, C) कोच, D) मैनेजर</v>
      </c>
      <c r="K79" s="4" t="str">
        <f>IFERROR(__xludf.DUMMYFUNCTION("GOOGLETRANSLATE(E79, ""en"", ""hi"")"),"बी) डिफेंडर")</f>
        <v>बी) डिफेंडर</v>
      </c>
    </row>
    <row r="80" ht="22.5" customHeight="1">
      <c r="A80" s="2">
        <v>79.0</v>
      </c>
      <c r="B80" s="3" t="s">
        <v>242</v>
      </c>
      <c r="C80" s="3" t="s">
        <v>243</v>
      </c>
      <c r="D80" s="3" t="s">
        <v>244</v>
      </c>
      <c r="E80" s="3" t="s">
        <v>245</v>
      </c>
      <c r="G80" s="3" t="str">
        <f>IFERROR(__xludf.DUMMYFUNCTION("GOOGLETRANSLATE(A80, ""en"", ""hi"")"),"79")</f>
        <v>79</v>
      </c>
      <c r="H80" s="3" t="str">
        <f>IFERROR(__xludf.DUMMYFUNCTION("GOOGLETRANSLATE(B80, ""en"", ""hi"")"),"कबड्डी_20")</f>
        <v>कबड्डी_20</v>
      </c>
      <c r="I80" s="4" t="str">
        <f>IFERROR(__xludf.DUMMYFUNCTION("GOOGLETRANSLATE(C80, ""en"", ""hi"")"),"चित्र में दिखाया गया खिलाड़ी कौन है?")</f>
        <v>चित्र में दिखाया गया खिलाड़ी कौन है?</v>
      </c>
      <c r="J80" s="4" t="str">
        <f>IFERROR(__xludf.DUMMYFUNCTION("GOOGLETRANSLATE(D80, ""en"", ""hi"")"),"ए) अजय ठाकुर, बी) प्रदीप नरवाल, सी) राहुल चौधरी, डी) मंजीत छिल्लर")</f>
        <v>ए) अजय ठाकुर, बी) प्रदीप नरवाल, सी) राहुल चौधरी, डी) मंजीत छिल्लर</v>
      </c>
      <c r="K80" s="4" t="str">
        <f>IFERROR(__xludf.DUMMYFUNCTION("GOOGLETRANSLATE(E80, ""en"", ""hi"")"),"A) अजय ठाकुर")</f>
        <v>A) अजय ठाकुर</v>
      </c>
    </row>
    <row r="81" ht="22.5" customHeight="1">
      <c r="A81" s="2">
        <v>80.0</v>
      </c>
      <c r="B81" s="3" t="s">
        <v>242</v>
      </c>
      <c r="C81" s="3" t="s">
        <v>246</v>
      </c>
      <c r="D81" s="3" t="s">
        <v>247</v>
      </c>
      <c r="E81" s="3" t="s">
        <v>248</v>
      </c>
      <c r="G81" s="3" t="str">
        <f>IFERROR(__xludf.DUMMYFUNCTION("GOOGLETRANSLATE(A81, ""en"", ""hi"")"),"80")</f>
        <v>80</v>
      </c>
      <c r="H81" s="4" t="str">
        <f>IFERROR(__xludf.DUMMYFUNCTION("GOOGLETRANSLATE(B81, ""en"", ""hi"")"),"कबड्डी_20")</f>
        <v>कबड्डी_20</v>
      </c>
      <c r="I81" s="4" t="str">
        <f>IFERROR(__xludf.DUMMYFUNCTION("GOOGLETRANSLATE(C81, ""en"", ""hi"")"),"इस तस्वीर में अजय ठाकुर किस टीम के लिए खेल रहे हैं?")</f>
        <v>इस तस्वीर में अजय ठाकुर किस टीम के लिए खेल रहे हैं?</v>
      </c>
      <c r="J81" s="4" t="str">
        <f>IFERROR(__xludf.DUMMYFUNCTION("GOOGLETRANSLATE(D81, ""en"", ""hi"")"),"ए) तमिल थलाइवाज, बी) गुजरात फॉर्च्यूनजायंट्स, सी) दबंग दिल्ली, डी) बंगाल वॉरियर्स")</f>
        <v>ए) तमिल थलाइवाज, बी) गुजरात फॉर्च्यूनजायंट्स, सी) दबंग दिल्ली, डी) बंगाल वॉरियर्स</v>
      </c>
      <c r="K81" s="4" t="str">
        <f>IFERROR(__xludf.DUMMYFUNCTION("GOOGLETRANSLATE(E81, ""en"", ""hi"")"),"A) तमिल थलाइवा")</f>
        <v>A) तमिल थलाइवा</v>
      </c>
    </row>
    <row r="82" ht="22.5" customHeight="1">
      <c r="A82" s="2">
        <v>81.0</v>
      </c>
      <c r="B82" s="3" t="s">
        <v>242</v>
      </c>
      <c r="C82" s="3" t="s">
        <v>249</v>
      </c>
      <c r="D82" s="3" t="s">
        <v>250</v>
      </c>
      <c r="E82" s="3" t="s">
        <v>251</v>
      </c>
      <c r="G82" s="3" t="str">
        <f>IFERROR(__xludf.DUMMYFUNCTION("GOOGLETRANSLATE(A82, ""en"", ""hi"")"),"81")</f>
        <v>81</v>
      </c>
      <c r="H82" s="4" t="str">
        <f>IFERROR(__xludf.DUMMYFUNCTION("GOOGLETRANSLATE(B82, ""en"", ""hi"")"),"कबड्डी_20")</f>
        <v>कबड्डी_20</v>
      </c>
      <c r="I82" s="3" t="str">
        <f>IFERROR(__xludf.DUMMYFUNCTION("GOOGLETRANSLATE(C82, ""en"", ""hi"")"),"चित्र में अजय ठाकुर क्या क्रिया कर रहे हैं?")</f>
        <v>चित्र में अजय ठाकुर क्या क्रिया कर रहे हैं?</v>
      </c>
      <c r="J82" s="4" t="str">
        <f>IFERROR(__xludf.DUMMYFUNCTION("GOOGLETRANSLATE(D82, ""en"", ""hi"")"),"A) रेड, B) टैकल, C) ब्लॉक, D) कैच")</f>
        <v>A) रेड, B) टैकल, C) ब्लॉक, D) कैच</v>
      </c>
      <c r="K82" s="4" t="str">
        <f>IFERROR(__xludf.DUMMYFUNCTION("GOOGLETRANSLATE(E82, ""en"", ""hi"")"),"ए) छापा")</f>
        <v>ए) छापा</v>
      </c>
    </row>
    <row r="83" ht="22.5" customHeight="1">
      <c r="A83" s="2">
        <v>82.0</v>
      </c>
      <c r="B83" s="3" t="s">
        <v>242</v>
      </c>
      <c r="C83" s="3" t="s">
        <v>252</v>
      </c>
      <c r="D83" s="3" t="s">
        <v>253</v>
      </c>
      <c r="E83" s="3" t="s">
        <v>254</v>
      </c>
      <c r="G83" s="3" t="str">
        <f>IFERROR(__xludf.DUMMYFUNCTION("GOOGLETRANSLATE(A83, ""en"", ""hi"")"),"82")</f>
        <v>82</v>
      </c>
      <c r="H83" s="3" t="str">
        <f>IFERROR(__xludf.DUMMYFUNCTION("GOOGLETRANSLATE(B83, ""en"", ""hi"")"),"कबड्डी_20")</f>
        <v>कबड्डी_20</v>
      </c>
      <c r="I83" s="3" t="str">
        <f>IFERROR(__xludf.DUMMYFUNCTION("GOOGLETRANSLATE(C83, ""en"", ""hi"")"),"यह मैच किस टीम के खिलाफ खेला जा रहा है?")</f>
        <v>यह मैच किस टीम के खिलाफ खेला जा रहा है?</v>
      </c>
      <c r="J83" s="3" t="str">
        <f>IFERROR(__xludf.DUMMYFUNCTION("GOOGLETRANSLATE(D83, ""en"", ""hi"")"),"A) गुजरात फॉर्च्यूनजायंट्स, B) दबंग दिल्ली, C) यू मुंबा, D) बेंगलुरु बुल्स")</f>
        <v>A) गुजरात फॉर्च्यूनजायंट्स, B) दबंग दिल्ली, C) यू मुंबा, D) बेंगलुरु बुल्स</v>
      </c>
      <c r="K83" s="4" t="str">
        <f>IFERROR(__xludf.DUMMYFUNCTION("GOOGLETRANSLATE(E83, ""en"", ""hi"")"),"A) गुजरात फॉर्च्यूनजायंट्स")</f>
        <v>A) गुजरात फॉर्च्यूनजायंट्स</v>
      </c>
    </row>
    <row r="84" ht="22.5" customHeight="1">
      <c r="A84" s="2">
        <v>83.0</v>
      </c>
      <c r="B84" s="3" t="s">
        <v>242</v>
      </c>
      <c r="C84" s="3" t="s">
        <v>255</v>
      </c>
      <c r="D84" s="3" t="s">
        <v>256</v>
      </c>
      <c r="E84" s="3" t="s">
        <v>257</v>
      </c>
      <c r="G84" s="3" t="str">
        <f>IFERROR(__xludf.DUMMYFUNCTION("GOOGLETRANSLATE(A84, ""en"", ""hi"")"),"83")</f>
        <v>83</v>
      </c>
      <c r="H84" s="3" t="str">
        <f>IFERROR(__xludf.DUMMYFUNCTION("GOOGLETRANSLATE(B84, ""en"", ""hi"")"),"कबड्डी_20")</f>
        <v>कबड्डी_20</v>
      </c>
      <c r="I84" s="3" t="str">
        <f>IFERROR(__xludf.DUMMYFUNCTION("GOOGLETRANSLATE(C84, ""en"", ""hi"")"),"इस चित्र में अजय ठाकुर के अभिनय का क्या महत्व है?")</f>
        <v>इस चित्र में अजय ठाकुर के अभिनय का क्या महत्व है?</v>
      </c>
      <c r="J84" s="4" t="str">
        <f>IFERROR(__xludf.DUMMYFUNCTION("GOOGLETRANSLATE(D84, ""en"", ""hi"")"),"A) उसने निर्णायक रेड की, B) उसने महत्वपूर्ण टैकल किया, C) वह जीत का जश्न मना रहा है, D) वह कोच के साथ रणनीति बना रहा है")</f>
        <v>A) उसने निर्णायक रेड की, B) उसने महत्वपूर्ण टैकल किया, C) वह जीत का जश्न मना रहा है, D) वह कोच के साथ रणनीति बना रहा है</v>
      </c>
      <c r="K84" s="3" t="str">
        <f>IFERROR(__xludf.DUMMYFUNCTION("GOOGLETRANSLATE(E84, ""en"", ""hi"")"),"A) उसने निर्णायक रेड मारी")</f>
        <v>A) उसने निर्णायक रेड मारी</v>
      </c>
    </row>
    <row r="85" ht="22.5" customHeight="1">
      <c r="A85" s="2">
        <v>84.0</v>
      </c>
      <c r="B85" s="3" t="s">
        <v>258</v>
      </c>
      <c r="C85" s="3" t="s">
        <v>203</v>
      </c>
      <c r="D85" s="3" t="s">
        <v>259</v>
      </c>
      <c r="E85" s="3" t="s">
        <v>120</v>
      </c>
      <c r="G85" s="3" t="str">
        <f>IFERROR(__xludf.DUMMYFUNCTION("GOOGLETRANSLATE(A85, ""en"", ""hi"")"),"84")</f>
        <v>84</v>
      </c>
      <c r="H85" s="4" t="str">
        <f>IFERROR(__xludf.DUMMYFUNCTION("GOOGLETRANSLATE(B85, ""en"", ""hi"")"),"कबड्डी_21")</f>
        <v>कबड्डी_21</v>
      </c>
      <c r="I85" s="3" t="str">
        <f>IFERROR(__xludf.DUMMYFUNCTION("GOOGLETRANSLATE(C85, ""en"", ""hi"")"),"चित्र में दिखाए गए खिलाड़ी की प्राथमिक भूमिका क्या है?")</f>
        <v>चित्र में दिखाए गए खिलाड़ी की प्राथमिक भूमिका क्या है?</v>
      </c>
      <c r="J85" s="3" t="str">
        <f>IFERROR(__xludf.DUMMYFUNCTION("GOOGLETRANSLATE(D85, ""en"", ""hi"")"),"A) डिफेंडर, B) रेडर, C) ऑलराउंडर, D) कोच")</f>
        <v>A) डिफेंडर, B) रेडर, C) ऑलराउंडर, D) कोच</v>
      </c>
      <c r="K85" s="4" t="str">
        <f>IFERROR(__xludf.DUMMYFUNCTION("GOOGLETRANSLATE(E85, ""en"", ""hi"")"),"बी) रेडर")</f>
        <v>बी) रेडर</v>
      </c>
    </row>
    <row r="86" ht="22.5" customHeight="1">
      <c r="A86" s="2">
        <v>85.0</v>
      </c>
      <c r="B86" s="3" t="s">
        <v>258</v>
      </c>
      <c r="C86" s="3" t="s">
        <v>260</v>
      </c>
      <c r="D86" s="3" t="s">
        <v>227</v>
      </c>
      <c r="E86" s="3" t="s">
        <v>261</v>
      </c>
      <c r="G86" s="3" t="str">
        <f>IFERROR(__xludf.DUMMYFUNCTION("GOOGLETRANSLATE(A86, ""en"", ""hi"")"),"85")</f>
        <v>85</v>
      </c>
      <c r="H86" s="3" t="str">
        <f>IFERROR(__xludf.DUMMYFUNCTION("GOOGLETRANSLATE(B86, ""en"", ""hi"")"),"कबड्डी_21")</f>
        <v>कबड्डी_21</v>
      </c>
      <c r="I86" s="3" t="str">
        <f>IFERROR(__xludf.DUMMYFUNCTION("GOOGLETRANSLATE(C86, ""en"", ""hi"")"),"चित्र में खिलाड़ी ने मुख्यतः किस टीम का रंग पहना है?")</f>
        <v>चित्र में खिलाड़ी ने मुख्यतः किस टीम का रंग पहना है?</v>
      </c>
      <c r="J86" s="4" t="str">
        <f>IFERROR(__xludf.DUMMYFUNCTION("GOOGLETRANSLATE(D86, ""en"", ""hi"")"),"A) लाल, B) नीला, C) हरा, D) पीला")</f>
        <v>A) लाल, B) नीला, C) हरा, D) पीला</v>
      </c>
      <c r="K86" s="3" t="str">
        <f>IFERROR(__xludf.DUMMYFUNCTION("GOOGLETRANSLATE(E86, ""en"", ""hi"")"),"ए) लाल")</f>
        <v>ए) लाल</v>
      </c>
    </row>
    <row r="87" ht="22.5" customHeight="1">
      <c r="A87" s="2">
        <v>86.0</v>
      </c>
      <c r="B87" s="3" t="s">
        <v>258</v>
      </c>
      <c r="C87" s="3" t="s">
        <v>262</v>
      </c>
      <c r="D87" s="3" t="s">
        <v>263</v>
      </c>
      <c r="E87" s="3" t="s">
        <v>264</v>
      </c>
      <c r="G87" s="3" t="str">
        <f>IFERROR(__xludf.DUMMYFUNCTION("GOOGLETRANSLATE(A87, ""en"", ""hi"")"),"86")</f>
        <v>86</v>
      </c>
      <c r="H87" s="4" t="str">
        <f>IFERROR(__xludf.DUMMYFUNCTION("GOOGLETRANSLATE(B87, ""en"", ""hi"")"),"कबड्डी_21")</f>
        <v>कबड्डी_21</v>
      </c>
      <c r="I87" s="4" t="str">
        <f>IFERROR(__xludf.DUMMYFUNCTION("GOOGLETRANSLATE(C87, ""en"", ""hi"")"),"चित्र में खिलाड़ी मुख्यतः किस उपकरण का उपयोग कर रहा है?")</f>
        <v>चित्र में खिलाड़ी मुख्यतः किस उपकरण का उपयोग कर रहा है?</v>
      </c>
      <c r="J87" s="4" t="str">
        <f>IFERROR(__xludf.DUMMYFUNCTION("GOOGLETRANSLATE(D87, ""en"", ""hi"")"),"A) घुटने के पैड, B) हेलमेट, C) हाथ के दस्ताने, D) माउथ गार्ड")</f>
        <v>A) घुटने के पैड, B) हेलमेट, C) हाथ के दस्ताने, D) माउथ गार्ड</v>
      </c>
      <c r="K87" s="3" t="str">
        <f>IFERROR(__xludf.DUMMYFUNCTION("GOOGLETRANSLATE(E87, ""en"", ""hi"")"),"ए) घुटने के पैड")</f>
        <v>ए) घुटने के पैड</v>
      </c>
    </row>
    <row r="88" ht="22.5" customHeight="1">
      <c r="A88" s="2">
        <v>87.0</v>
      </c>
      <c r="B88" s="3" t="s">
        <v>258</v>
      </c>
      <c r="C88" s="3" t="s">
        <v>265</v>
      </c>
      <c r="D88" s="3" t="s">
        <v>266</v>
      </c>
      <c r="E88" s="3" t="s">
        <v>267</v>
      </c>
      <c r="G88" s="3" t="str">
        <f>IFERROR(__xludf.DUMMYFUNCTION("GOOGLETRANSLATE(A88, ""en"", ""hi"")"),"87")</f>
        <v>87</v>
      </c>
      <c r="H88" s="4" t="str">
        <f>IFERROR(__xludf.DUMMYFUNCTION("GOOGLETRANSLATE(B88, ""en"", ""hi"")"),"कबड्डी_21")</f>
        <v>कबड्डी_21</v>
      </c>
      <c r="I88" s="3" t="str">
        <f>IFERROR(__xludf.DUMMYFUNCTION("GOOGLETRANSLATE(C88, ""en"", ""hi"")"),"छवि में खिलाड़ी क्या क्रिया कर रहा है?")</f>
        <v>छवि में खिलाड़ी क्या क्रिया कर रहा है?</v>
      </c>
      <c r="J88" s="3" t="str">
        <f>IFERROR(__xludf.DUMMYFUNCTION("GOOGLETRANSLATE(D88, ""en"", ""hi"")"),"A) बचाव, B) छापा मारना, C) कोचिंग, D) दर्शक")</f>
        <v>A) बचाव, B) छापा मारना, C) कोचिंग, D) दर्शक</v>
      </c>
      <c r="K88" s="3" t="str">
        <f>IFERROR(__xludf.DUMMYFUNCTION("GOOGLETRANSLATE(E88, ""en"", ""hi"")"),"बी) छापेमारी")</f>
        <v>बी) छापेमारी</v>
      </c>
    </row>
    <row r="89" ht="22.5" customHeight="1">
      <c r="A89" s="2">
        <v>88.0</v>
      </c>
      <c r="B89" s="3" t="s">
        <v>258</v>
      </c>
      <c r="C89" s="3" t="s">
        <v>268</v>
      </c>
      <c r="D89" s="3" t="s">
        <v>269</v>
      </c>
      <c r="E89" s="3" t="s">
        <v>270</v>
      </c>
      <c r="G89" s="3" t="str">
        <f>IFERROR(__xludf.DUMMYFUNCTION("GOOGLETRANSLATE(A89, ""en"", ""hi"")"),"88")</f>
        <v>88</v>
      </c>
      <c r="H89" s="3" t="str">
        <f>IFERROR(__xludf.DUMMYFUNCTION("GOOGLETRANSLATE(B89, ""en"", ""hi"")"),"कबड्डी_21")</f>
        <v>कबड्डी_21</v>
      </c>
      <c r="I89" s="4" t="str">
        <f>IFERROR(__xludf.DUMMYFUNCTION("GOOGLETRANSLATE(C89, ""en"", ""hi"")"),"चित्र में खिलाड़ी द्वारा निम्नलिखित में से कौन सी रणनीति सबसे अधिक अपनाई गई है?")</f>
        <v>चित्र में खिलाड़ी द्वारा निम्नलिखित में से कौन सी रणनीति सबसे अधिक अपनाई गई है?</v>
      </c>
      <c r="J89" s="3" t="str">
        <f>IFERROR(__xludf.DUMMYFUNCTION("GOOGLETRANSLATE(D89, ""en"", ""hi"")"),"A) रेडर को रोकना, B) टैकल से बचना, C) टीम लीडर का समर्थन करना, D) प्रतिद्वंद्वी पर नज़र रखना")</f>
        <v>A) रेडर को रोकना, B) टैकल से बचना, C) टीम लीडर का समर्थन करना, D) प्रतिद्वंद्वी पर नज़र रखना</v>
      </c>
      <c r="K89" s="3" t="str">
        <f>IFERROR(__xludf.DUMMYFUNCTION("GOOGLETRANSLATE(E89, ""en"", ""hi"")"),"बी) टैकल से बचना")</f>
        <v>बी) टैकल से बचना</v>
      </c>
    </row>
    <row r="90" ht="22.5" customHeight="1">
      <c r="A90" s="2">
        <v>89.0</v>
      </c>
      <c r="B90" s="3" t="s">
        <v>258</v>
      </c>
      <c r="C90" s="3" t="s">
        <v>271</v>
      </c>
      <c r="D90" s="3" t="s">
        <v>272</v>
      </c>
      <c r="E90" s="3" t="s">
        <v>273</v>
      </c>
      <c r="G90" s="3" t="str">
        <f>IFERROR(__xludf.DUMMYFUNCTION("GOOGLETRANSLATE(A90, ""en"", ""hi"")"),"89")</f>
        <v>89</v>
      </c>
      <c r="H90" s="3" t="str">
        <f>IFERROR(__xludf.DUMMYFUNCTION("GOOGLETRANSLATE(B90, ""en"", ""hi"")"),"कबड्डी_21")</f>
        <v>कबड्डी_21</v>
      </c>
      <c r="I90" s="4" t="str">
        <f>IFERROR(__xludf.DUMMYFUNCTION("GOOGLETRANSLATE(C90, ""en"", ""hi"")"),"चित्र में खिलाड़ी के रुख का सबसे अच्छा वर्णन किस प्रकार किया गया है?")</f>
        <v>चित्र में खिलाड़ी के रुख का सबसे अच्छा वर्णन किस प्रकार किया गया है?</v>
      </c>
      <c r="J90" s="3" t="str">
        <f>IFERROR(__xludf.DUMMYFUNCTION("GOOGLETRANSLATE(D90, ""en"", ""hi"")"),"A) आक्रामक, B) रक्षात्मक, C) तटस्थ, D) पीछे हटना")</f>
        <v>A) आक्रामक, B) रक्षात्मक, C) तटस्थ, D) पीछे हटना</v>
      </c>
      <c r="K90" s="3" t="str">
        <f>IFERROR(__xludf.DUMMYFUNCTION("GOOGLETRANSLATE(E90, ""en"", ""hi"")"),"ए) आक्रामक")</f>
        <v>ए) आक्रामक</v>
      </c>
    </row>
    <row r="91" ht="22.5" customHeight="1">
      <c r="A91" s="2">
        <v>90.0</v>
      </c>
      <c r="B91" s="3" t="s">
        <v>274</v>
      </c>
      <c r="C91" s="3" t="s">
        <v>275</v>
      </c>
      <c r="D91" s="3" t="s">
        <v>276</v>
      </c>
      <c r="E91" s="3" t="s">
        <v>277</v>
      </c>
      <c r="G91" s="3" t="str">
        <f>IFERROR(__xludf.DUMMYFUNCTION("GOOGLETRANSLATE(A91, ""en"", ""hi"")"),"90")</f>
        <v>90</v>
      </c>
      <c r="H91" s="4" t="str">
        <f>IFERROR(__xludf.DUMMYFUNCTION("GOOGLETRANSLATE(B91, ""en"", ""hi"")"),"कबड्डी_22")</f>
        <v>कबड्डी_22</v>
      </c>
      <c r="I91" s="4" t="str">
        <f>IFERROR(__xludf.DUMMYFUNCTION("GOOGLETRANSLATE(C91, ""en"", ""hi"")"),"छवि में खिलाड़ी द्वारा क्या क्रिया की जा रही है?")</f>
        <v>छवि में खिलाड़ी द्वारा क्या क्रिया की जा रही है?</v>
      </c>
      <c r="J91" s="3" t="str">
        <f>IFERROR(__xludf.DUMMYFUNCTION("GOOGLETRANSLATE(D91, ""en"", ""hi"")"),"A) रेडिंग, B) डिफेंडिंग, C) जंपिंग, D) पासिंग")</f>
        <v>A) रेडिंग, B) डिफेंडिंग, C) जंपिंग, D) पासिंग</v>
      </c>
      <c r="K91" s="4" t="str">
        <f>IFERROR(__xludf.DUMMYFUNCTION("GOOGLETRANSLATE(E91, ""en"", ""hi"")"),"ए) छापेमारी")</f>
        <v>ए) छापेमारी</v>
      </c>
    </row>
    <row r="92" ht="22.5" customHeight="1">
      <c r="A92" s="2">
        <v>91.0</v>
      </c>
      <c r="B92" s="3" t="s">
        <v>274</v>
      </c>
      <c r="C92" s="3" t="s">
        <v>278</v>
      </c>
      <c r="D92" s="3" t="s">
        <v>279</v>
      </c>
      <c r="E92" s="3" t="s">
        <v>280</v>
      </c>
      <c r="G92" s="3" t="str">
        <f>IFERROR(__xludf.DUMMYFUNCTION("GOOGLETRANSLATE(A92, ""en"", ""hi"")"),"91")</f>
        <v>91</v>
      </c>
      <c r="H92" s="3" t="str">
        <f>IFERROR(__xludf.DUMMYFUNCTION("GOOGLETRANSLATE(B92, ""en"", ""hi"")"),"कबड्डी_22")</f>
        <v>कबड्डी_22</v>
      </c>
      <c r="I92" s="4" t="str">
        <f>IFERROR(__xludf.DUMMYFUNCTION("GOOGLETRANSLATE(C92, ""en"", ""hi"")"),"चित्र में दिखाए गए खिलाड़ी का प्राथमिक उद्देश्य क्या है?")</f>
        <v>चित्र में दिखाए गए खिलाड़ी का प्राथमिक उद्देश्य क्या है?</v>
      </c>
      <c r="J92" s="4" t="str">
        <f>IFERROR(__xludf.DUMMYFUNCTION("GOOGLETRANSLATE(D92, ""en"", ""hi"")"),"A) विरोधियों को टैग करना, B) विरोधियों से बचना, C) अंक प्राप्त करना, D) गोल की रक्षा करना")</f>
        <v>A) विरोधियों को टैग करना, B) विरोधियों से बचना, C) अंक प्राप्त करना, D) गोल की रक्षा करना</v>
      </c>
      <c r="K92" s="4" t="str">
        <f>IFERROR(__xludf.DUMMYFUNCTION("GOOGLETRANSLATE(E92, ""en"", ""hi"")"),"A) विरोधियों को टैग करना")</f>
        <v>A) विरोधियों को टैग करना</v>
      </c>
    </row>
    <row r="93" ht="22.5" customHeight="1">
      <c r="A93" s="2">
        <v>92.0</v>
      </c>
      <c r="B93" s="3" t="s">
        <v>274</v>
      </c>
      <c r="C93" s="3" t="s">
        <v>281</v>
      </c>
      <c r="D93" s="3" t="s">
        <v>282</v>
      </c>
      <c r="E93" s="3" t="s">
        <v>283</v>
      </c>
      <c r="G93" s="3" t="str">
        <f>IFERROR(__xludf.DUMMYFUNCTION("GOOGLETRANSLATE(A93, ""en"", ""hi"")"),"92")</f>
        <v>92</v>
      </c>
      <c r="H93" s="4" t="str">
        <f>IFERROR(__xludf.DUMMYFUNCTION("GOOGLETRANSLATE(B93, ""en"", ""hi"")"),"कबड्डी_22")</f>
        <v>कबड्डी_22</v>
      </c>
      <c r="I93" s="3" t="str">
        <f>IFERROR(__xludf.DUMMYFUNCTION("GOOGLETRANSLATE(C93, ""en"", ""hi"")"),"कबड्डी मैच में प्रत्येक टीम से कितने खिलाड़ी शामिल होते हैं?")</f>
        <v>कबड्डी मैच में प्रत्येक टीम से कितने खिलाड़ी शामिल होते हैं?</v>
      </c>
      <c r="J93" s="4" t="str">
        <f>IFERROR(__xludf.DUMMYFUNCTION("GOOGLETRANSLATE(D93, ""en"", ""hi"")"),"ए) 5, बी) 7, सी) 6, डी) 8")</f>
        <v>ए) 5, बी) 7, सी) 6, डी) 8</v>
      </c>
      <c r="K93" s="4" t="str">
        <f>IFERROR(__xludf.DUMMYFUNCTION("GOOGLETRANSLATE(E93, ""en"", ""hi"")"),"बी) 7")</f>
        <v>बी) 7</v>
      </c>
    </row>
    <row r="94" ht="22.5" customHeight="1">
      <c r="A94" s="2">
        <v>93.0</v>
      </c>
      <c r="B94" s="3" t="s">
        <v>274</v>
      </c>
      <c r="C94" s="3" t="s">
        <v>284</v>
      </c>
      <c r="D94" s="3" t="s">
        <v>285</v>
      </c>
      <c r="E94" s="3" t="s">
        <v>286</v>
      </c>
      <c r="G94" s="3" t="str">
        <f>IFERROR(__xludf.DUMMYFUNCTION("GOOGLETRANSLATE(A94, ""en"", ""hi"")"),"93")</f>
        <v>93</v>
      </c>
      <c r="H94" s="4" t="str">
        <f>IFERROR(__xludf.DUMMYFUNCTION("GOOGLETRANSLATE(B94, ""en"", ""hi"")"),"कबड्डी_22")</f>
        <v>कबड्डी_22</v>
      </c>
      <c r="I94" s="4" t="str">
        <f>IFERROR(__xludf.DUMMYFUNCTION("GOOGLETRANSLATE(C94, ""en"", ""hi"")"),"चित्र में दिखाए गए खिलाड़ी का ध्यान कबड्डी मैदान के किस भाग पर केंद्रित होने की संभावना है?")</f>
        <v>चित्र में दिखाए गए खिलाड़ी का ध्यान कबड्डी मैदान के किस भाग पर केंद्रित होने की संभावना है?</v>
      </c>
      <c r="J94" s="4" t="str">
        <f>IFERROR(__xludf.DUMMYFUNCTION("GOOGLETRANSLATE(D94, ""en"", ""hi"")"),"A) आक्रमण क्षेत्र, B) रक्षा क्षेत्र, C) बेंच क्षेत्र, D) मिडफील्ड क्षेत्र")</f>
        <v>A) आक्रमण क्षेत्र, B) रक्षा क्षेत्र, C) बेंच क्षेत्र, D) मिडफील्ड क्षेत्र</v>
      </c>
      <c r="K94" s="3" t="str">
        <f>IFERROR(__xludf.DUMMYFUNCTION("GOOGLETRANSLATE(E94, ""en"", ""hi"")"),"ए) हमला क्षेत्र")</f>
        <v>ए) हमला क्षेत्र</v>
      </c>
    </row>
    <row r="95" ht="22.5" customHeight="1">
      <c r="A95" s="2">
        <v>94.0</v>
      </c>
      <c r="B95" s="3" t="s">
        <v>274</v>
      </c>
      <c r="C95" s="3" t="s">
        <v>287</v>
      </c>
      <c r="D95" s="3" t="s">
        <v>288</v>
      </c>
      <c r="E95" s="3" t="s">
        <v>289</v>
      </c>
      <c r="G95" s="3" t="str">
        <f>IFERROR(__xludf.DUMMYFUNCTION("GOOGLETRANSLATE(A95, ""en"", ""hi"")"),"94")</f>
        <v>94</v>
      </c>
      <c r="H95" s="3" t="str">
        <f>IFERROR(__xludf.DUMMYFUNCTION("GOOGLETRANSLATE(B95, ""en"", ""hi"")"),"कबड्डी_22")</f>
        <v>कबड्डी_22</v>
      </c>
      <c r="I95" s="3" t="str">
        <f>IFERROR(__xludf.DUMMYFUNCTION("GOOGLETRANSLATE(C95, ""en"", ""hi"")"),"चित्र में दिखाए अनुसार कबड्डी में प्रयुक्त होने वाला प्राथमिक उपकरण क्या है?")</f>
        <v>चित्र में दिखाए अनुसार कबड्डी में प्रयुक्त होने वाला प्राथमिक उपकरण क्या है?</v>
      </c>
      <c r="J95" s="3" t="str">
        <f>IFERROR(__xludf.DUMMYFUNCTION("GOOGLETRANSLATE(D95, ""en"", ""hi"")"),"A) गेंद, B) बल्ला, C) कोई नहीं, D) रैकेट")</f>
        <v>A) गेंद, B) बल्ला, C) कोई नहीं, D) रैकेट</v>
      </c>
      <c r="K95" s="4" t="str">
        <f>IFERROR(__xludf.DUMMYFUNCTION("GOOGLETRANSLATE(E95, ""en"", ""hi"")"),"सी) कोई नहीं")</f>
        <v>सी) कोई नहीं</v>
      </c>
    </row>
    <row r="96" ht="22.5" customHeight="1">
      <c r="A96" s="2">
        <v>95.0</v>
      </c>
      <c r="B96" s="3" t="s">
        <v>290</v>
      </c>
      <c r="C96" s="3" t="s">
        <v>243</v>
      </c>
      <c r="D96" s="3" t="s">
        <v>291</v>
      </c>
      <c r="E96" s="3" t="s">
        <v>292</v>
      </c>
      <c r="G96" s="3" t="str">
        <f>IFERROR(__xludf.DUMMYFUNCTION("GOOGLETRANSLATE(A96, ""en"", ""hi"")"),"95")</f>
        <v>95</v>
      </c>
      <c r="H96" s="4" t="str">
        <f>IFERROR(__xludf.DUMMYFUNCTION("GOOGLETRANSLATE(B96, ""en"", ""hi"")"),"कबड्डी_23")</f>
        <v>कबड्डी_23</v>
      </c>
      <c r="I96" s="4" t="str">
        <f>IFERROR(__xludf.DUMMYFUNCTION("GOOGLETRANSLATE(C96, ""en"", ""hi"")"),"चित्र में दिखाया गया खिलाड़ी कौन है?")</f>
        <v>चित्र में दिखाया गया खिलाड़ी कौन है?</v>
      </c>
      <c r="J96" s="3" t="str">
        <f>IFERROR(__xludf.DUMMYFUNCTION("GOOGLETRANSLATE(D96, ""en"", ""hi"")"),"ए) मोहम्मदरेज़ा, बी) अली, सी) अहमद, डी) रेज़ा")</f>
        <v>ए) मोहम्मदरेज़ा, बी) अली, सी) अहमद, डी) रेज़ा</v>
      </c>
      <c r="K96" s="4" t="str">
        <f>IFERROR(__xludf.DUMMYFUNCTION("GOOGLETRANSLATE(E96, ""en"", ""hi"")"),"A) मोहम्मदरेज़ा")</f>
        <v>A) मोहम्मदरेज़ा</v>
      </c>
    </row>
    <row r="97" ht="22.5" customHeight="1">
      <c r="A97" s="2">
        <v>96.0</v>
      </c>
      <c r="B97" s="3" t="s">
        <v>290</v>
      </c>
      <c r="C97" s="3" t="s">
        <v>293</v>
      </c>
      <c r="D97" s="3" t="s">
        <v>225</v>
      </c>
      <c r="E97" s="3" t="s">
        <v>81</v>
      </c>
      <c r="G97" s="3" t="str">
        <f>IFERROR(__xludf.DUMMYFUNCTION("GOOGLETRANSLATE(A97, ""en"", ""hi"")"),"96")</f>
        <v>96</v>
      </c>
      <c r="H97" s="4" t="str">
        <f>IFERROR(__xludf.DUMMYFUNCTION("GOOGLETRANSLATE(B97, ""en"", ""hi"")"),"कबड्डी_23")</f>
        <v>कबड्डी_23</v>
      </c>
      <c r="I97" s="3" t="str">
        <f>IFERROR(__xludf.DUMMYFUNCTION("GOOGLETRANSLATE(C97, ""en"", ""hi"")"),"इस चित्र में मोहम्मदरेज़ा किस स्थान पर खेल रहे हैं?")</f>
        <v>इस चित्र में मोहम्मदरेज़ा किस स्थान पर खेल रहे हैं?</v>
      </c>
      <c r="J97" s="3" t="str">
        <f>IFERROR(__xludf.DUMMYFUNCTION("GOOGLETRANSLATE(D97, ""en"", ""hi"")"),"A) रेडर, B) डिफेंडर, C) ऑलराउंडर, D) गोलकीपर")</f>
        <v>A) रेडर, B) डिफेंडर, C) ऑलराउंडर, D) गोलकीपर</v>
      </c>
      <c r="K97" s="3" t="str">
        <f>IFERROR(__xludf.DUMMYFUNCTION("GOOGLETRANSLATE(E97, ""en"", ""hi"")"),"ए) रेडर")</f>
        <v>ए) रेडर</v>
      </c>
    </row>
    <row r="98" ht="22.5" customHeight="1">
      <c r="A98" s="2">
        <v>97.0</v>
      </c>
      <c r="B98" s="3" t="s">
        <v>290</v>
      </c>
      <c r="C98" s="3" t="s">
        <v>294</v>
      </c>
      <c r="D98" s="3" t="s">
        <v>295</v>
      </c>
      <c r="E98" s="3" t="s">
        <v>296</v>
      </c>
      <c r="G98" s="3" t="str">
        <f>IFERROR(__xludf.DUMMYFUNCTION("GOOGLETRANSLATE(A98, ""en"", ""hi"")"),"97")</f>
        <v>97</v>
      </c>
      <c r="H98" s="3" t="str">
        <f>IFERROR(__xludf.DUMMYFUNCTION("GOOGLETRANSLATE(B98, ""en"", ""hi"")"),"कबड्डी_23")</f>
        <v>कबड्डी_23</v>
      </c>
      <c r="I98" s="3" t="str">
        <f>IFERROR(__xludf.DUMMYFUNCTION("GOOGLETRANSLATE(C98, ""en"", ""hi"")"),"मोहम्मदरेजा किस टीम का हिस्सा होंगे?")</f>
        <v>मोहम्मदरेजा किस टीम का हिस्सा होंगे?</v>
      </c>
      <c r="J98" s="3" t="str">
        <f>IFERROR(__xludf.DUMMYFUNCTION("GOOGLETRANSLATE(D98, ""en"", ""hi"")"),"A) नीली टीम, B) लाल टीम, C) हरी टीम, D) पीली टीम")</f>
        <v>A) नीली टीम, B) लाल टीम, C) हरी टीम, D) पीली टीम</v>
      </c>
      <c r="K98" s="3" t="str">
        <f>IFERROR(__xludf.DUMMYFUNCTION("GOOGLETRANSLATE(E98, ""en"", ""hi"")"),"बी) रेड टीम")</f>
        <v>बी) रेड टीम</v>
      </c>
    </row>
    <row r="99" ht="22.5" customHeight="1">
      <c r="A99" s="2">
        <v>98.0</v>
      </c>
      <c r="B99" s="3" t="s">
        <v>290</v>
      </c>
      <c r="C99" s="3" t="s">
        <v>297</v>
      </c>
      <c r="D99" s="3" t="s">
        <v>298</v>
      </c>
      <c r="E99" s="3" t="s">
        <v>299</v>
      </c>
      <c r="G99" s="3" t="str">
        <f>IFERROR(__xludf.DUMMYFUNCTION("GOOGLETRANSLATE(A99, ""en"", ""hi"")"),"98")</f>
        <v>98</v>
      </c>
      <c r="H99" s="4" t="str">
        <f>IFERROR(__xludf.DUMMYFUNCTION("GOOGLETRANSLATE(B99, ""en"", ""hi"")"),"कबड्डी_23")</f>
        <v>कबड्डी_23</v>
      </c>
      <c r="I99" s="4" t="str">
        <f>IFERROR(__xludf.DUMMYFUNCTION("GOOGLETRANSLATE(C99, ""en"", ""hi"")"),"मोहम्मदरजा क्या कार्रवाई कर रहे हैं?")</f>
        <v>मोहम्मदरजा क्या कार्रवाई कर रहे हैं?</v>
      </c>
      <c r="J99" s="3" t="str">
        <f>IFERROR(__xludf.DUMMYFUNCTION("GOOGLETRANSLATE(D99, ""en"", ""hi"")"),"A) आक्रमण करना, B) बचाव करना, C) ब्रेक लेना, D) स्कोर करना")</f>
        <v>A) आक्रमण करना, B) बचाव करना, C) ब्रेक लेना, D) स्कोर करना</v>
      </c>
      <c r="K99" s="3" t="str">
        <f>IFERROR(__xludf.DUMMYFUNCTION("GOOGLETRANSLATE(E99, ""en"", ""hi"")"),"ए) हमला करना")</f>
        <v>ए) हमला करना</v>
      </c>
    </row>
    <row r="100" ht="22.5" customHeight="1">
      <c r="A100" s="2">
        <v>99.0</v>
      </c>
      <c r="B100" s="3" t="s">
        <v>300</v>
      </c>
      <c r="C100" s="3" t="s">
        <v>301</v>
      </c>
      <c r="D100" s="3" t="s">
        <v>201</v>
      </c>
      <c r="E100" s="3" t="s">
        <v>202</v>
      </c>
      <c r="G100" s="3" t="str">
        <f>IFERROR(__xludf.DUMMYFUNCTION("GOOGLETRANSLATE(A100, ""en"", ""hi"")"),"99")</f>
        <v>99</v>
      </c>
      <c r="H100" s="4" t="str">
        <f>IFERROR(__xludf.DUMMYFUNCTION("GOOGLETRANSLATE(B100, ""en"", ""hi"")"),"कबड्डी_24")</f>
        <v>कबड्डी_24</v>
      </c>
      <c r="I100" s="4" t="str">
        <f>IFERROR(__xludf.DUMMYFUNCTION("GOOGLETRANSLATE(C100, ""en"", ""hi"")"),"चित्र में दिखाए गए कार्यक्रम की मेजबानी कौन सा देश कर रहा है?")</f>
        <v>चित्र में दिखाए गए कार्यक्रम की मेजबानी कौन सा देश कर रहा है?</v>
      </c>
      <c r="J100" s="3" t="str">
        <f>IFERROR(__xludf.DUMMYFUNCTION("GOOGLETRANSLATE(D100, ""en"", ""hi"")"),"A) भारत, B) पाकिस्तान, C) बांग्लादेश, D) श्रीलंका")</f>
        <v>A) भारत, B) पाकिस्तान, C) बांग्लादेश, D) श्रीलंका</v>
      </c>
      <c r="K100" s="3" t="str">
        <f>IFERROR(__xludf.DUMMYFUNCTION("GOOGLETRANSLATE(E100, ""en"", ""hi"")"),"ए) भारत")</f>
        <v>ए) भारत</v>
      </c>
    </row>
    <row r="101" ht="22.5" customHeight="1">
      <c r="A101" s="2">
        <v>100.0</v>
      </c>
      <c r="B101" s="3" t="s">
        <v>300</v>
      </c>
      <c r="C101" s="3" t="s">
        <v>302</v>
      </c>
      <c r="D101" s="3" t="s">
        <v>303</v>
      </c>
      <c r="E101" s="3" t="s">
        <v>304</v>
      </c>
      <c r="G101" s="3" t="str">
        <f>IFERROR(__xludf.DUMMYFUNCTION("GOOGLETRANSLATE(A101, ""en"", ""hi"")"),"100")</f>
        <v>100</v>
      </c>
      <c r="H101" s="3" t="str">
        <f>IFERROR(__xludf.DUMMYFUNCTION("GOOGLETRANSLATE(B101, ""en"", ""hi"")"),"कबड्डी_24")</f>
        <v>कबड्डी_24</v>
      </c>
      <c r="I101" s="4" t="str">
        <f>IFERROR(__xludf.DUMMYFUNCTION("GOOGLETRANSLATE(C101, ""en"", ""hi"")"),"चित्र में किस प्रकार की प्रतिस्पर्धा दर्शायी गयी है?")</f>
        <v>चित्र में किस प्रकार की प्रतिस्पर्धा दर्शायी गयी है?</v>
      </c>
      <c r="J101" s="4" t="str">
        <f>IFERROR(__xludf.DUMMYFUNCTION("GOOGLETRANSLATE(D101, ""en"", ""hi"")"),"ए) राष्ट्रीय चैम्पियनशिप, बी) अंतर्राष्ट्रीय टूर्नामेंट, सी) मैत्रीपूर्ण मैच, डी) स्थानीय लीग")</f>
        <v>ए) राष्ट्रीय चैम्पियनशिप, बी) अंतर्राष्ट्रीय टूर्नामेंट, सी) मैत्रीपूर्ण मैच, डी) स्थानीय लीग</v>
      </c>
      <c r="K101" s="4" t="str">
        <f>IFERROR(__xludf.DUMMYFUNCTION("GOOGLETRANSLATE(E101, ""en"", ""hi"")"),"बी) अंतर्राष्ट्रीय टूर्नामेंट")</f>
        <v>बी) अंतर्राष्ट्रीय टूर्नामेंट</v>
      </c>
    </row>
    <row r="102" ht="22.5" customHeight="1">
      <c r="A102" s="2">
        <v>101.0</v>
      </c>
      <c r="B102" s="3" t="s">
        <v>305</v>
      </c>
      <c r="C102" s="3" t="s">
        <v>306</v>
      </c>
      <c r="D102" s="3" t="s">
        <v>307</v>
      </c>
      <c r="E102" s="3" t="s">
        <v>308</v>
      </c>
      <c r="G102" s="3" t="str">
        <f>IFERROR(__xludf.DUMMYFUNCTION("GOOGLETRANSLATE(A102, ""en"", ""hi"")"),"101")</f>
        <v>101</v>
      </c>
      <c r="H102" s="4" t="str">
        <f>IFERROR(__xludf.DUMMYFUNCTION("GOOGLETRANSLATE(B102, ""en"", ""hi"")"),"कबड्डी_25")</f>
        <v>कबड्डी_25</v>
      </c>
      <c r="I102" s="4" t="str">
        <f>IFERROR(__xludf.DUMMYFUNCTION("GOOGLETRANSLATE(C102, ""en"", ""hi"")"),"चित्र में दिखाए गए खेल में, टैकल होने के बाद कोई खिलाड़ी अधिकतम कितना समय कोर्ट के बाहर बिता सकता है?")</f>
        <v>चित्र में दिखाए गए खेल में, टैकल होने के बाद कोई खिलाड़ी अधिकतम कितना समय कोर्ट के बाहर बिता सकता है?</v>
      </c>
      <c r="J102" s="3" t="str">
        <f>IFERROR(__xludf.DUMMYFUNCTION("GOOGLETRANSLATE(D102, ""en"", ""hi"")"),"A) 30 सेकंड, B) 1 मिनट, C) 3 मिनट, D) अगली छापेमारी पूरी होने तक")</f>
        <v>A) 30 सेकंड, B) 1 मिनट, C) 3 मिनट, D) अगली छापेमारी पूरी होने तक</v>
      </c>
      <c r="K102" s="4" t="str">
        <f>IFERROR(__xludf.DUMMYFUNCTION("GOOGLETRANSLATE(E102, ""en"", ""hi"")"),"D) जब तक अगला छापा पूरा न हो जाए")</f>
        <v>D) जब तक अगला छापा पूरा न हो जाए</v>
      </c>
    </row>
    <row r="103" ht="22.5" customHeight="1">
      <c r="A103" s="2">
        <v>102.0</v>
      </c>
      <c r="B103" s="3" t="s">
        <v>305</v>
      </c>
      <c r="C103" s="3" t="s">
        <v>309</v>
      </c>
      <c r="D103" s="3" t="s">
        <v>310</v>
      </c>
      <c r="E103" s="3" t="s">
        <v>311</v>
      </c>
      <c r="G103" s="3" t="str">
        <f>IFERROR(__xludf.DUMMYFUNCTION("GOOGLETRANSLATE(A103, ""en"", ""hi"")"),"102")</f>
        <v>102</v>
      </c>
      <c r="H103" s="4" t="str">
        <f>IFERROR(__xludf.DUMMYFUNCTION("GOOGLETRANSLATE(B103, ""en"", ""hi"")"),"कबड्डी_25")</f>
        <v>कबड्डी_25</v>
      </c>
      <c r="I103" s="4" t="str">
        <f>IFERROR(__xludf.DUMMYFUNCTION("GOOGLETRANSLATE(C103, ""en"", ""hi"")"),"चित्र में दिखाए गए खेल के लिए, 'कोने' डिफेंडर की प्राथमिक जिम्मेदारी क्या है?")</f>
        <v>चित्र में दिखाए गए खेल के लिए, 'कोने' डिफेंडर की प्राथमिक जिम्मेदारी क्या है?</v>
      </c>
      <c r="J103" s="4" t="str">
        <f>IFERROR(__xludf.DUMMYFUNCTION("GOOGLETRANSLATE(D103, ""en"", ""hi"")"),"A) रेडर को प्रवेश करने से रोकना, B) चेन टैकल करना, C) रेडर के पैरों पर हमला करना, D) बोनस लाइन पर नज़र रखना")</f>
        <v>A) रेडर को प्रवेश करने से रोकना, B) चेन टैकल करना, C) रेडर के पैरों पर हमला करना, D) बोनस लाइन पर नज़र रखना</v>
      </c>
      <c r="K103" s="4" t="str">
        <f>IFERROR(__xludf.DUMMYFUNCTION("GOOGLETRANSLATE(E103, ""en"", ""hi"")"),"C) हमलावर के पैरों पर हमला करना")</f>
        <v>C) हमलावर के पैरों पर हमला करना</v>
      </c>
    </row>
    <row r="104" ht="22.5" customHeight="1">
      <c r="A104" s="2">
        <v>103.0</v>
      </c>
      <c r="B104" s="3" t="s">
        <v>305</v>
      </c>
      <c r="C104" s="3" t="s">
        <v>312</v>
      </c>
      <c r="D104" s="3" t="s">
        <v>313</v>
      </c>
      <c r="E104" s="3" t="s">
        <v>314</v>
      </c>
      <c r="G104" s="3" t="str">
        <f>IFERROR(__xludf.DUMMYFUNCTION("GOOGLETRANSLATE(A104, ""en"", ""hi"")"),"103")</f>
        <v>103</v>
      </c>
      <c r="H104" s="3" t="str">
        <f>IFERROR(__xludf.DUMMYFUNCTION("GOOGLETRANSLATE(B104, ""en"", ""hi"")"),"कबड्डी_25")</f>
        <v>कबड्डी_25</v>
      </c>
      <c r="I104" s="4" t="str">
        <f>IFERROR(__xludf.DUMMYFUNCTION("GOOGLETRANSLATE(C104, ""en"", ""hi"")"),"चित्र में दिखाए गए खेल में, यदि सभी डिफेंडर आउट हो जाएं और केवल एक रेडर शेष रह जाए, तो इस स्थिति के लिए क्या शब्द प्रयुक्त होगा?")</f>
        <v>चित्र में दिखाए गए खेल में, यदि सभी डिफेंडर आउट हो जाएं और केवल एक रेडर शेष रह जाए, तो इस स्थिति के लिए क्या शब्द प्रयुक्त होगा?</v>
      </c>
      <c r="J104" s="4" t="str">
        <f>IFERROR(__xludf.DUMMYFUNCTION("GOOGLETRANSLATE(D104, ""en"", ""hi"")"),"ए) सुपर रेड, बी) सुपर टैकल, सी) ऑल-आउट, डी) बोनस रेड")</f>
        <v>ए) सुपर रेड, बी) सुपर टैकल, सी) ऑल-आउट, डी) बोनस रेड</v>
      </c>
      <c r="K104" s="4" t="str">
        <f>IFERROR(__xludf.DUMMYFUNCTION("GOOGLETRANSLATE(E104, ""en"", ""hi"")"),"पुकारें")</f>
        <v>पुकारें</v>
      </c>
    </row>
    <row r="105" ht="22.5" customHeight="1">
      <c r="A105" s="2">
        <v>104.0</v>
      </c>
      <c r="B105" s="3" t="s">
        <v>305</v>
      </c>
      <c r="C105" s="3" t="s">
        <v>315</v>
      </c>
      <c r="D105" s="3" t="s">
        <v>316</v>
      </c>
      <c r="E105" s="3" t="s">
        <v>317</v>
      </c>
      <c r="G105" s="3" t="str">
        <f>IFERROR(__xludf.DUMMYFUNCTION("GOOGLETRANSLATE(A105, ""en"", ""hi"")"),"104")</f>
        <v>104</v>
      </c>
      <c r="H105" s="4" t="str">
        <f>IFERROR(__xludf.DUMMYFUNCTION("GOOGLETRANSLATE(B105, ""en"", ""hi"")"),"कबड्डी_25")</f>
        <v>कबड्डी_25</v>
      </c>
      <c r="I105" s="3" t="str">
        <f>IFERROR(__xludf.DUMMYFUNCTION("GOOGLETRANSLATE(C105, ""en"", ""hi"")"),"चित्र में दिखाए गए खेल के लिए 'सुपर टैकल' नियम का क्या महत्व है?")</f>
        <v>चित्र में दिखाए गए खेल के लिए 'सुपर टैकल' नियम का क्या महत्व है?</v>
      </c>
      <c r="J105" s="3" t="str">
        <f>IFERROR(__xludf.DUMMYFUNCTION("GOOGLETRANSLATE(D105, ""en"", ""hi"")"),"ए) टैकलिंग के लिए डिफेंडिंग टीम को 1 अंक दिया जाता है, बी) 4 या उससे कम डिफेंडरों वाले रेडर को टैकल करने पर 2 अंक दिए जाते हैं, सी) रेडर को 2 अंक दिए जाते हैं, डी) रेडर को 1 बोनस अंक")</f>
        <v>ए) टैकलिंग के लिए डिफेंडिंग टीम को 1 अंक दिया जाता है, बी) 4 या उससे कम डिफेंडरों वाले रेडर को टैकल करने पर 2 अंक दिए जाते हैं, सी) रेडर को 2 अंक दिए जाते हैं, डी) रेडर को 1 बोनस अंक</v>
      </c>
      <c r="K105" s="3" t="str">
        <f>IFERROR(__xludf.DUMMYFUNCTION("GOOGLETRANSLATE(E105, ""en"", ""hi"")"),"बी) 4 या उससे कम डिफेंडरों वाले रेडर को टैकल करने पर 2 अंक दिए जाते हैं")</f>
        <v>बी) 4 या उससे कम डिफेंडरों वाले रेडर को टैकल करने पर 2 अंक दिए जाते हैं</v>
      </c>
    </row>
    <row r="106" ht="22.5" customHeight="1">
      <c r="A106" s="2">
        <v>105.0</v>
      </c>
      <c r="B106" s="3" t="s">
        <v>318</v>
      </c>
      <c r="C106" s="3" t="s">
        <v>319</v>
      </c>
      <c r="D106" s="3" t="s">
        <v>320</v>
      </c>
      <c r="E106" s="3" t="s">
        <v>321</v>
      </c>
      <c r="G106" s="3" t="str">
        <f>IFERROR(__xludf.DUMMYFUNCTION("GOOGLETRANSLATE(A106, ""en"", ""hi"")"),"105")</f>
        <v>105</v>
      </c>
      <c r="H106" s="4" t="str">
        <f>IFERROR(__xludf.DUMMYFUNCTION("GOOGLETRANSLATE(B106, ""en"", ""hi"")"),"कबड्डी_26")</f>
        <v>कबड्डी_26</v>
      </c>
      <c r="I106" s="3" t="str">
        <f>IFERROR(__xludf.DUMMYFUNCTION("GOOGLETRANSLATE(C106, ""en"", ""hi"")"),"चित्र में दिखाए गए खेल में, जब रेडर सफलतापूर्वक बोनस लाइन पार कर जाता है तो रेफरी क्या संकेत देता है?")</f>
        <v>चित्र में दिखाए गए खेल में, जब रेडर सफलतापूर्वक बोनस लाइन पार कर जाता है तो रेफरी क्या संकेत देता है?</v>
      </c>
      <c r="J106" s="3" t="str">
        <f>IFERROR(__xludf.DUMMYFUNCTION("GOOGLETRANSLATE(D106, ""en"", ""hi"")"),"A) दोनों हाथों को अपने सिर के ऊपर उठाता है, B) सीटी बजाता है और रेडर की ओर इशारा करता है, C) लाल झंडा लहराता है, D) स्कोरकीपर को संकेत देता है")</f>
        <v>A) दोनों हाथों को अपने सिर के ऊपर उठाता है, B) सीटी बजाता है और रेडर की ओर इशारा करता है, C) लाल झंडा लहराता है, D) स्कोरकीपर को संकेत देता है</v>
      </c>
      <c r="K106" s="3" t="str">
        <f>IFERROR(__xludf.DUMMYFUNCTION("GOOGLETRANSLATE(E106, ""en"", ""hi"")"),"बी) सीटी बजाता है और हमलावर की ओर इशारा करता है")</f>
        <v>बी) सीटी बजाता है और हमलावर की ओर इशारा करता है</v>
      </c>
    </row>
    <row r="107" ht="22.5" customHeight="1">
      <c r="A107" s="2">
        <v>106.0</v>
      </c>
      <c r="B107" s="3" t="s">
        <v>318</v>
      </c>
      <c r="C107" s="3" t="s">
        <v>322</v>
      </c>
      <c r="D107" s="3" t="s">
        <v>323</v>
      </c>
      <c r="E107" s="3" t="s">
        <v>324</v>
      </c>
      <c r="G107" s="3" t="str">
        <f>IFERROR(__xludf.DUMMYFUNCTION("GOOGLETRANSLATE(A107, ""en"", ""hi"")"),"106")</f>
        <v>106</v>
      </c>
      <c r="H107" s="3" t="str">
        <f>IFERROR(__xludf.DUMMYFUNCTION("GOOGLETRANSLATE(B107, ""en"", ""hi"")"),"कबड्डी_26")</f>
        <v>कबड्डी_26</v>
      </c>
      <c r="I107" s="4" t="str">
        <f>IFERROR(__xludf.DUMMYFUNCTION("GOOGLETRANSLATE(C107, ""en"", ""hi"")"),"चित्र में दिखाए गए खेल के लिए, उस समय क्या शब्द का प्रयोग किया जाता है जब कोई रेडर बिना टैकल किए अपने हाफ में लौट जाता है, लेकिन किसी डिफेंडर को छूने में विफल रहता है?")</f>
        <v>चित्र में दिखाए गए खेल के लिए, उस समय क्या शब्द का प्रयोग किया जाता है जब कोई रेडर बिना टैकल किए अपने हाफ में लौट जाता है, लेकिन किसी डिफेंडर को छूने में विफल रहता है?</v>
      </c>
      <c r="J107" s="4" t="str">
        <f>IFERROR(__xludf.DUMMYFUNCTION("GOOGLETRANSLATE(D107, ""en"", ""hi"")"),"ए) खाली रेड, बी) सफल रेड, सी) ऑल-आउट, डी) बोनस रेड")</f>
        <v>ए) खाली रेड, बी) सफल रेड, सी) ऑल-आउट, डी) बोनस रेड</v>
      </c>
      <c r="K107" s="4" t="str">
        <f>IFERROR(__xludf.DUMMYFUNCTION("GOOGLETRANSLATE(E107, ""en"", ""hi"")"),"ए) खाली छापा")</f>
        <v>ए) खाली छापा</v>
      </c>
    </row>
    <row r="108" ht="22.5" customHeight="1">
      <c r="A108" s="2">
        <v>107.0</v>
      </c>
      <c r="B108" s="3" t="s">
        <v>318</v>
      </c>
      <c r="C108" s="3" t="s">
        <v>325</v>
      </c>
      <c r="D108" s="3" t="s">
        <v>326</v>
      </c>
      <c r="E108" s="3" t="s">
        <v>327</v>
      </c>
      <c r="G108" s="3" t="str">
        <f>IFERROR(__xludf.DUMMYFUNCTION("GOOGLETRANSLATE(A108, ""en"", ""hi"")"),"107")</f>
        <v>107</v>
      </c>
      <c r="H108" s="4" t="str">
        <f>IFERROR(__xludf.DUMMYFUNCTION("GOOGLETRANSLATE(B108, ""en"", ""hi"")"),"कबड्डी_26")</f>
        <v>कबड्डी_26</v>
      </c>
      <c r="I108" s="3" t="str">
        <f>IFERROR(__xludf.DUMMYFUNCTION("GOOGLETRANSLATE(C108, ""en"", ""hi"")"),"चित्र में दिखाए गए खेल में किस क्रिया के परिणामस्वरूप 'लोना' उत्पन्न होता है?")</f>
        <v>चित्र में दिखाए गए खेल में किस क्रिया के परिणामस्वरूप 'लोना' उत्पन्न होता है?</v>
      </c>
      <c r="J108" s="4" t="str">
        <f>IFERROR(__xludf.DUMMYFUNCTION("GOOGLETRANSLATE(D108, ""en"", ""hi"")"),"A) रेडर बोनस लाइन को छूता है, B) बचाव करने वाली टीम ऑल आउट हो जाती है, C) रेडर सुपर टैकल करता है, D) रेड असफल हो जाती है")</f>
        <v>A) रेडर बोनस लाइन को छूता है, B) बचाव करने वाली टीम ऑल आउट हो जाती है, C) रेडर सुपर टैकल करता है, D) रेड असफल हो जाती है</v>
      </c>
      <c r="K108" s="4" t="str">
        <f>IFERROR(__xludf.DUMMYFUNCTION("GOOGLETRANSLATE(E108, ""en"", ""hi"")"),"B) बचाव करने वाली टीम पूरी तरह से आउट हो गई है")</f>
        <v>B) बचाव करने वाली टीम पूरी तरह से आउट हो गई है</v>
      </c>
    </row>
    <row r="109" ht="22.5" customHeight="1">
      <c r="A109" s="2">
        <v>108.0</v>
      </c>
      <c r="B109" s="3" t="s">
        <v>318</v>
      </c>
      <c r="C109" s="3" t="s">
        <v>328</v>
      </c>
      <c r="D109" s="3" t="s">
        <v>329</v>
      </c>
      <c r="E109" s="3" t="s">
        <v>330</v>
      </c>
      <c r="G109" s="3" t="str">
        <f>IFERROR(__xludf.DUMMYFUNCTION("GOOGLETRANSLATE(A109, ""en"", ""hi"")"),"108")</f>
        <v>108</v>
      </c>
      <c r="H109" s="4" t="str">
        <f>IFERROR(__xludf.DUMMYFUNCTION("GOOGLETRANSLATE(B109, ""en"", ""hi"")"),"कबड्डी_26")</f>
        <v>कबड्डी_26</v>
      </c>
      <c r="I109" s="3" t="str">
        <f>IFERROR(__xludf.DUMMYFUNCTION("GOOGLETRANSLATE(C109, ""en"", ""hi"")"),"चित्र में दिखाए गए खेल में, यदि रेडर रेड के दौरान सीमा से बाहर चला जाए तो क्या होगा?")</f>
        <v>चित्र में दिखाए गए खेल में, यदि रेडर रेड के दौरान सीमा से बाहर चला जाए तो क्या होगा?</v>
      </c>
      <c r="J109" s="4" t="str">
        <f>IFERROR(__xludf.DUMMYFUNCTION("GOOGLETRANSLATE(D109, ""en"", ""hi"")"),"A) रेड रद्द हो जाती है, B) रेडर आउट हो जाता है, C) बचाव करने वाली टीम को 1 अंक मिलता है, D) रेडर को 1 अंक मिलता है")</f>
        <v>A) रेड रद्द हो जाती है, B) रेडर आउट हो जाता है, C) बचाव करने वाली टीम को 1 अंक मिलता है, D) रेडर को 1 अंक मिलता है</v>
      </c>
      <c r="K109" s="4" t="str">
        <f>IFERROR(__xludf.DUMMYFUNCTION("GOOGLETRANSLATE(E109, ""en"", ""hi"")"),"बी) हमलावर बाहर है")</f>
        <v>बी) हमलावर बाहर है</v>
      </c>
    </row>
    <row r="110" ht="22.5" customHeight="1">
      <c r="A110" s="2">
        <v>109.0</v>
      </c>
      <c r="B110" s="3" t="s">
        <v>331</v>
      </c>
      <c r="C110" s="3" t="s">
        <v>332</v>
      </c>
      <c r="D110" s="3" t="s">
        <v>333</v>
      </c>
      <c r="E110" s="3" t="s">
        <v>283</v>
      </c>
      <c r="G110" s="3" t="str">
        <f>IFERROR(__xludf.DUMMYFUNCTION("GOOGLETRANSLATE(A110, ""en"", ""hi"")"),"109")</f>
        <v>109</v>
      </c>
      <c r="H110" s="3" t="str">
        <f>IFERROR(__xludf.DUMMYFUNCTION("GOOGLETRANSLATE(B110, ""en"", ""hi"")"),"कबड्डी_27")</f>
        <v>कबड्डी_27</v>
      </c>
      <c r="I110" s="3" t="str">
        <f>IFERROR(__xludf.DUMMYFUNCTION("GOOGLETRANSLATE(C110, ""en"", ""hi"")"),"चित्र में दिखाए गए खेल में प्रत्येक टीम के कितने खिलाड़ी मैदान पर हैं?")</f>
        <v>चित्र में दिखाए गए खेल में प्रत्येक टीम के कितने खिलाड़ी मैदान पर हैं?</v>
      </c>
      <c r="J110" s="4" t="str">
        <f>IFERROR(__xludf.DUMMYFUNCTION("GOOGLETRANSLATE(D110, ""en"", ""hi"")"),"ए) 5, बी) 7, सी) 9, डी) 11")</f>
        <v>ए) 5, बी) 7, सी) 9, डी) 11</v>
      </c>
      <c r="K110" s="3" t="str">
        <f>IFERROR(__xludf.DUMMYFUNCTION("GOOGLETRANSLATE(E110, ""en"", ""hi"")"),"बी) 7")</f>
        <v>बी) 7</v>
      </c>
    </row>
    <row r="111" ht="22.5" customHeight="1">
      <c r="A111" s="2">
        <v>110.0</v>
      </c>
      <c r="B111" s="3" t="s">
        <v>331</v>
      </c>
      <c r="C111" s="3" t="s">
        <v>334</v>
      </c>
      <c r="D111" s="3" t="s">
        <v>335</v>
      </c>
      <c r="E111" s="3" t="s">
        <v>336</v>
      </c>
      <c r="G111" s="3" t="str">
        <f>IFERROR(__xludf.DUMMYFUNCTION("GOOGLETRANSLATE(A111, ""en"", ""hi"")"),"110")</f>
        <v>110</v>
      </c>
      <c r="H111" s="4" t="str">
        <f>IFERROR(__xludf.DUMMYFUNCTION("GOOGLETRANSLATE(B111, ""en"", ""hi"")"),"कबड्डी_27")</f>
        <v>कबड्डी_27</v>
      </c>
      <c r="I111" s="4" t="str">
        <f>IFERROR(__xludf.DUMMYFUNCTION("GOOGLETRANSLATE(C111, ""en"", ""hi"")"),"चित्र में दिखाए गए खेल में रेडर का उद्देश्य क्या है?")</f>
        <v>चित्र में दिखाए गए खेल में रेडर का उद्देश्य क्या है?</v>
      </c>
      <c r="J111" s="4" t="str">
        <f>IFERROR(__xludf.DUMMYFUNCTION("GOOGLETRANSLATE(D111, ""en"", ""hi"")"),"A) डिफेंडरों से निपटना, B) डिफेंडरों को छूना और सुरक्षित वापस लौटना, C) केंद्र रेखा को पार करना, D) प्रतिद्वंद्वी के आधे हिस्से में रहना")</f>
        <v>A) डिफेंडरों से निपटना, B) डिफेंडरों को छूना और सुरक्षित वापस लौटना, C) केंद्र रेखा को पार करना, D) प्रतिद्वंद्वी के आधे हिस्से में रहना</v>
      </c>
      <c r="K111" s="4" t="str">
        <f>IFERROR(__xludf.DUMMYFUNCTION("GOOGLETRANSLATE(E111, ""en"", ""hi"")"),"बी) रक्षकों को छूना और सुरक्षित वापस लौटना")</f>
        <v>बी) रक्षकों को छूना और सुरक्षित वापस लौटना</v>
      </c>
    </row>
    <row r="112" ht="22.5" customHeight="1">
      <c r="A112" s="2">
        <v>111.0</v>
      </c>
      <c r="B112" s="3" t="s">
        <v>331</v>
      </c>
      <c r="C112" s="3" t="s">
        <v>337</v>
      </c>
      <c r="D112" s="3" t="s">
        <v>338</v>
      </c>
      <c r="E112" s="3" t="s">
        <v>339</v>
      </c>
      <c r="G112" s="3" t="str">
        <f>IFERROR(__xludf.DUMMYFUNCTION("GOOGLETRANSLATE(A112, ""en"", ""hi"")"),"111")</f>
        <v>111</v>
      </c>
      <c r="H112" s="4" t="str">
        <f>IFERROR(__xludf.DUMMYFUNCTION("GOOGLETRANSLATE(B112, ""en"", ""hi"")"),"कबड्डी_27")</f>
        <v>कबड्डी_27</v>
      </c>
      <c r="I112" s="4" t="str">
        <f>IFERROR(__xludf.DUMMYFUNCTION("GOOGLETRANSLATE(C112, ""en"", ""hi"")"),"चित्र में दिखाए गए खेल के लिए रक्षकों की क्या भूमिका है?")</f>
        <v>चित्र में दिखाए गए खेल के लिए रक्षकों की क्या भूमिका है?</v>
      </c>
      <c r="J112" s="4" t="str">
        <f>IFERROR(__xludf.DUMMYFUNCTION("GOOGLETRANSLATE(D112, ""en"", ""hi"")"),"A) हमलावर से बचने के लिए, B) हमलावर से निपटने के लिए, C) हमलावर को छूने के लिए, D) केंद्र रेखा को पार करने के लिए")</f>
        <v>A) हमलावर से बचने के लिए, B) हमलावर से निपटने के लिए, C) हमलावर को छूने के लिए, D) केंद्र रेखा को पार करने के लिए</v>
      </c>
      <c r="K112" s="4" t="str">
        <f>IFERROR(__xludf.DUMMYFUNCTION("GOOGLETRANSLATE(E112, ""en"", ""hi"")"),"बी) हमलावर से निपटने के लिए")</f>
        <v>बी) हमलावर से निपटने के लिए</v>
      </c>
    </row>
    <row r="113" ht="22.5" customHeight="1">
      <c r="A113" s="2">
        <v>112.0</v>
      </c>
      <c r="B113" s="3" t="s">
        <v>331</v>
      </c>
      <c r="C113" s="3" t="s">
        <v>340</v>
      </c>
      <c r="D113" s="3" t="s">
        <v>341</v>
      </c>
      <c r="E113" s="3" t="s">
        <v>342</v>
      </c>
      <c r="G113" s="3" t="str">
        <f>IFERROR(__xludf.DUMMYFUNCTION("GOOGLETRANSLATE(A113, ""en"", ""hi"")"),"112")</f>
        <v>112</v>
      </c>
      <c r="H113" s="4" t="str">
        <f>IFERROR(__xludf.DUMMYFUNCTION("GOOGLETRANSLATE(B113, ""en"", ""hi"")"),"कबड्डी_27")</f>
        <v>कबड्डी_27</v>
      </c>
      <c r="I113" s="4" t="str">
        <f>IFERROR(__xludf.DUMMYFUNCTION("GOOGLETRANSLATE(C113, ""en"", ""hi"")"),"चित्र में दिखाए गए खेल के लिए, यदि कोई रेडर सीमा रेखा के बाहर कदम रखता है तो क्या होता है?")</f>
        <v>चित्र में दिखाए गए खेल के लिए, यदि कोई रेडर सीमा रेखा के बाहर कदम रखता है तो क्या होता है?</v>
      </c>
      <c r="J113" s="4" t="str">
        <f>IFERROR(__xludf.DUMMYFUNCTION("GOOGLETRANSLATE(D113, ""en"", ""hi"")"),"A) वे एक अंक खो देते हैं, B) वे बाहर हो जाते हैं, C) वे एक अंक प्राप्त करते हैं, D) छापा जारी रहता है")</f>
        <v>A) वे एक अंक खो देते हैं, B) वे बाहर हो जाते हैं, C) वे एक अंक प्राप्त करते हैं, D) छापा जारी रहता है</v>
      </c>
      <c r="K113" s="3" t="str">
        <f>IFERROR(__xludf.DUMMYFUNCTION("GOOGLETRANSLATE(E113, ""en"", ""hi"")"),"बी) वे बाहर हैं")</f>
        <v>बी) वे बाहर हैं</v>
      </c>
    </row>
    <row r="114" ht="22.5" customHeight="1">
      <c r="A114" s="2">
        <v>113.0</v>
      </c>
      <c r="B114" s="3" t="s">
        <v>343</v>
      </c>
      <c r="C114" s="3" t="s">
        <v>344</v>
      </c>
      <c r="D114" s="3" t="s">
        <v>345</v>
      </c>
      <c r="E114" s="3" t="s">
        <v>346</v>
      </c>
      <c r="G114" s="3" t="str">
        <f>IFERROR(__xludf.DUMMYFUNCTION("GOOGLETRANSLATE(A114, ""en"", ""hi"")"),"113")</f>
        <v>113</v>
      </c>
      <c r="H114" s="4" t="str">
        <f>IFERROR(__xludf.DUMMYFUNCTION("GOOGLETRANSLATE(B114, ""en"", ""hi"")"),"कबड्डी_28")</f>
        <v>कबड्डी_28</v>
      </c>
      <c r="I114" s="4" t="str">
        <f>IFERROR(__xludf.DUMMYFUNCTION("GOOGLETRANSLATE(C114, ""en"", ""hi"")"),"चित्र में दिखाए गए खेल के लिए, एक सफल रेड के लिए एक टीम कितने अंक अर्जित करती है?")</f>
        <v>चित्र में दिखाए गए खेल के लिए, एक सफल रेड के लिए एक टीम कितने अंक अर्जित करती है?</v>
      </c>
      <c r="J114" s="4" t="str">
        <f>IFERROR(__xludf.DUMMYFUNCTION("GOOGLETRANSLATE(D114, ""en"", ""hi"")"),"A) 1 अंक, B) 2 अंक, C) 3 अंक, D) 4 अंक")</f>
        <v>A) 1 अंक, B) 2 अंक, C) 3 अंक, D) 4 अंक</v>
      </c>
      <c r="K114" s="3" t="str">
        <f>IFERROR(__xludf.DUMMYFUNCTION("GOOGLETRANSLATE(E114, ""en"", ""hi"")"),"ए) 1 अंक")</f>
        <v>ए) 1 अंक</v>
      </c>
    </row>
    <row r="115" ht="22.5" customHeight="1">
      <c r="A115" s="2">
        <v>114.0</v>
      </c>
      <c r="B115" s="3" t="s">
        <v>343</v>
      </c>
      <c r="C115" s="3" t="s">
        <v>347</v>
      </c>
      <c r="D115" s="3" t="s">
        <v>348</v>
      </c>
      <c r="E115" s="3" t="s">
        <v>349</v>
      </c>
      <c r="G115" s="3" t="str">
        <f>IFERROR(__xludf.DUMMYFUNCTION("GOOGLETRANSLATE(A115, ""en"", ""hi"")"),"114")</f>
        <v>114</v>
      </c>
      <c r="H115" s="4" t="str">
        <f>IFERROR(__xludf.DUMMYFUNCTION("GOOGLETRANSLATE(B115, ""en"", ""hi"")"),"कबड्डी_28")</f>
        <v>कबड्डी_28</v>
      </c>
      <c r="I115" s="4" t="str">
        <f>IFERROR(__xludf.DUMMYFUNCTION("GOOGLETRANSLATE(C115, ""en"", ""hi"")"),"चित्र में दिखाए गए खेल के लिए बोनस लाइन क्या है?")</f>
        <v>चित्र में दिखाए गए खेल के लिए बोनस लाइन क्या है?</v>
      </c>
      <c r="J115" s="4" t="str">
        <f>IFERROR(__xludf.DUMMYFUNCTION("GOOGLETRANSLATE(D115, ""en"", ""hi"")"),"A) एक रेखा जो अतिरिक्त अंक प्रदान करती है, B) एक रेखा जिसे बोनस के लिए पार करना आवश्यक है, C) एक रेखा जो टीमों को अलग करती है, D) रक्षकों के लिए एक रेखा")</f>
        <v>A) एक रेखा जो अतिरिक्त अंक प्रदान करती है, B) एक रेखा जिसे बोनस के लिए पार करना आवश्यक है, C) एक रेखा जो टीमों को अलग करती है, D) रक्षकों के लिए एक रेखा</v>
      </c>
      <c r="K115" s="3" t="str">
        <f>IFERROR(__xludf.DUMMYFUNCTION("GOOGLETRANSLATE(E115, ""en"", ""hi"")"),"बी) एक रेखा जिसे बोनस के लिए पार करना होगा")</f>
        <v>बी) एक रेखा जिसे बोनस के लिए पार करना होगा</v>
      </c>
    </row>
    <row r="116" ht="22.5" customHeight="1">
      <c r="A116" s="2">
        <v>115.0</v>
      </c>
      <c r="B116" s="3" t="s">
        <v>343</v>
      </c>
      <c r="C116" s="3" t="s">
        <v>350</v>
      </c>
      <c r="D116" s="3" t="s">
        <v>345</v>
      </c>
      <c r="E116" s="3" t="s">
        <v>351</v>
      </c>
      <c r="G116" s="3" t="str">
        <f>IFERROR(__xludf.DUMMYFUNCTION("GOOGLETRANSLATE(A116, ""en"", ""hi"")"),"115")</f>
        <v>115</v>
      </c>
      <c r="H116" s="3" t="str">
        <f>IFERROR(__xludf.DUMMYFUNCTION("GOOGLETRANSLATE(B116, ""en"", ""hi"")"),"कबड्डी_28")</f>
        <v>कबड्डी_28</v>
      </c>
      <c r="I116" s="3" t="str">
        <f>IFERROR(__xludf.DUMMYFUNCTION("GOOGLETRANSLATE(C116, ""en"", ""hi"")"),"चित्र में दिखाए गए खेल में 'सुपर टैकल' के लिए कितने अंक दिए जाते हैं?")</f>
        <v>चित्र में दिखाए गए खेल में 'सुपर टैकल' के लिए कितने अंक दिए जाते हैं?</v>
      </c>
      <c r="J116" s="4" t="str">
        <f>IFERROR(__xludf.DUMMYFUNCTION("GOOGLETRANSLATE(D116, ""en"", ""hi"")"),"A) 1 अंक, B) 2 अंक, C) 3 अंक, D) 4 अंक")</f>
        <v>A) 1 अंक, B) 2 अंक, C) 3 अंक, D) 4 अंक</v>
      </c>
      <c r="K116" s="4" t="str">
        <f>IFERROR(__xludf.DUMMYFUNCTION("GOOGLETRANSLATE(E116, ""en"", ""hi"")"),"बी) 2 अंक")</f>
        <v>बी) 2 अंक</v>
      </c>
    </row>
    <row r="117" ht="22.5" customHeight="1">
      <c r="A117" s="2">
        <v>116.0</v>
      </c>
      <c r="B117" s="3" t="s">
        <v>343</v>
      </c>
      <c r="C117" s="3" t="s">
        <v>352</v>
      </c>
      <c r="D117" s="3" t="s">
        <v>353</v>
      </c>
      <c r="E117" s="3" t="s">
        <v>354</v>
      </c>
      <c r="G117" s="3" t="str">
        <f>IFERROR(__xludf.DUMMYFUNCTION("GOOGLETRANSLATE(A117, ""en"", ""hi"")"),"116")</f>
        <v>116</v>
      </c>
      <c r="H117" s="4" t="str">
        <f>IFERROR(__xludf.DUMMYFUNCTION("GOOGLETRANSLATE(B117, ""en"", ""hi"")"),"कबड्डी_28")</f>
        <v>कबड्डी_28</v>
      </c>
      <c r="I117" s="4" t="str">
        <f>IFERROR(__xludf.DUMMYFUNCTION("GOOGLETRANSLATE(C117, ""en"", ""hi"")"),"चित्र में दिखाए गए खेल में, एक रेडर प्रतिद्वंद्वी के हाफ में अधिकतम कितना समय बिता सकता है?")</f>
        <v>चित्र में दिखाए गए खेल में, एक रेडर प्रतिद्वंद्वी के हाफ में अधिकतम कितना समय बिता सकता है?</v>
      </c>
      <c r="J117" s="4" t="str">
        <f>IFERROR(__xludf.DUMMYFUNCTION("GOOGLETRANSLATE(D117, ""en"", ""hi"")"),"A) 20 सेकंड, B) 30 सेकंड, C) 40 सेकंड, D) 60 सेकंड")</f>
        <v>A) 20 सेकंड, B) 30 सेकंड, C) 40 सेकंड, D) 60 सेकंड</v>
      </c>
      <c r="K117" s="4" t="str">
        <f>IFERROR(__xludf.DUMMYFUNCTION("GOOGLETRANSLATE(E117, ""en"", ""hi"")"),"बी) 30 सेकंड")</f>
        <v>बी) 30 सेकंड</v>
      </c>
    </row>
    <row r="118" ht="22.5" customHeight="1">
      <c r="A118" s="2">
        <v>117.0</v>
      </c>
      <c r="B118" s="3" t="s">
        <v>355</v>
      </c>
      <c r="C118" s="3" t="s">
        <v>356</v>
      </c>
      <c r="D118" s="3" t="s">
        <v>357</v>
      </c>
      <c r="E118" s="3" t="s">
        <v>358</v>
      </c>
      <c r="G118" s="3" t="str">
        <f>IFERROR(__xludf.DUMMYFUNCTION("GOOGLETRANSLATE(A118, ""en"", ""hi"")"),"117")</f>
        <v>117</v>
      </c>
      <c r="H118" s="4" t="str">
        <f>IFERROR(__xludf.DUMMYFUNCTION("GOOGLETRANSLATE(B118, ""en"", ""hi"")"),"कबड्डी_29")</f>
        <v>कबड्डी_29</v>
      </c>
      <c r="I118" s="4" t="str">
        <f>IFERROR(__xludf.DUMMYFUNCTION("GOOGLETRANSLATE(C118, ""en"", ""hi"")"),"चित्र में दिखाए गए खेल में, कबड्डी कोर्ट की मानक लंबाई कितनी है?")</f>
        <v>चित्र में दिखाए गए खेल में, कबड्डी कोर्ट की मानक लंबाई कितनी है?</v>
      </c>
      <c r="J118" s="4" t="str">
        <f>IFERROR(__xludf.DUMMYFUNCTION("GOOGLETRANSLATE(D118, ""en"", ""hi"")"),"A) 10 मीटर, B) 12.5 मीटर, C) 13 मीटर, D) 15 मीटर")</f>
        <v>A) 10 मीटर, B) 12.5 मीटर, C) 13 मीटर, D) 15 मीटर</v>
      </c>
      <c r="K118" s="4" t="str">
        <f>IFERROR(__xludf.DUMMYFUNCTION("GOOGLETRANSLATE(E118, ""en"", ""hi"")"),"सी) 13 मीटर")</f>
        <v>सी) 13 मीटर</v>
      </c>
    </row>
    <row r="119" ht="22.5" customHeight="1">
      <c r="A119" s="2">
        <v>118.0</v>
      </c>
      <c r="B119" s="3" t="s">
        <v>355</v>
      </c>
      <c r="C119" s="3" t="s">
        <v>359</v>
      </c>
      <c r="D119" s="3" t="s">
        <v>51</v>
      </c>
      <c r="E119" s="3" t="s">
        <v>52</v>
      </c>
      <c r="G119" s="3" t="str">
        <f>IFERROR(__xludf.DUMMYFUNCTION("GOOGLETRANSLATE(A119, ""en"", ""hi"")"),"118")</f>
        <v>118</v>
      </c>
      <c r="H119" s="4" t="str">
        <f>IFERROR(__xludf.DUMMYFUNCTION("GOOGLETRANSLATE(B119, ""en"", ""hi"")"),"कबड्डी_29")</f>
        <v>कबड्डी_29</v>
      </c>
      <c r="I119" s="4" t="str">
        <f>IFERROR(__xludf.DUMMYFUNCTION("GOOGLETRANSLATE(C119, ""en"", ""hi"")"),"चित्र में दिखाए गए खेल के लिए, सुपर टैकल में कितने खिलाड़ियों को शामिल होना चाहिए?")</f>
        <v>चित्र में दिखाए गए खेल के लिए, सुपर टैकल में कितने खिलाड़ियों को शामिल होना चाहिए?</v>
      </c>
      <c r="J119" s="4" t="str">
        <f>IFERROR(__xludf.DUMMYFUNCTION("GOOGLETRANSLATE(D119, ""en"", ""hi"")"),"ए) 1, बी) 2, सी) 3, डी) 4")</f>
        <v>ए) 1, बी) 2, सी) 3, डी) 4</v>
      </c>
      <c r="K119" s="4" t="str">
        <f>IFERROR(__xludf.DUMMYFUNCTION("GOOGLETRANSLATE(E119, ""en"", ""hi"")"),"बी) 2")</f>
        <v>बी) 2</v>
      </c>
    </row>
    <row r="120" ht="22.5" customHeight="1">
      <c r="A120" s="2">
        <v>119.0</v>
      </c>
      <c r="B120" s="3" t="s">
        <v>355</v>
      </c>
      <c r="C120" s="3" t="s">
        <v>360</v>
      </c>
      <c r="D120" s="3" t="s">
        <v>361</v>
      </c>
      <c r="E120" s="3" t="s">
        <v>362</v>
      </c>
      <c r="G120" s="3" t="str">
        <f>IFERROR(__xludf.DUMMYFUNCTION("GOOGLETRANSLATE(A120, ""en"", ""hi"")"),"119")</f>
        <v>119</v>
      </c>
      <c r="H120" s="4" t="str">
        <f>IFERROR(__xludf.DUMMYFUNCTION("GOOGLETRANSLATE(B120, ""en"", ""hi"")"),"कबड्डी_29")</f>
        <v>कबड्डी_29</v>
      </c>
      <c r="I120" s="3" t="str">
        <f>IFERROR(__xludf.DUMMYFUNCTION("GOOGLETRANSLATE(C120, ""en"", ""hi"")"),"चित्र में दिखाए गए खेल में, मैच का प्रत्येक हाफ कितने समय तक चलता है?")</f>
        <v>चित्र में दिखाए गए खेल में, मैच का प्रत्येक हाफ कितने समय तक चलता है?</v>
      </c>
      <c r="J120" s="3" t="str">
        <f>IFERROR(__xludf.DUMMYFUNCTION("GOOGLETRANSLATE(D120, ""en"", ""hi"")"),"A) 15 मिनट, B) 20 मिनट, C) 25 मिनट, D) 30 मिनट")</f>
        <v>A) 15 मिनट, B) 20 मिनट, C) 25 मिनट, D) 30 मिनट</v>
      </c>
      <c r="K120" s="3" t="str">
        <f>IFERROR(__xludf.DUMMYFUNCTION("GOOGLETRANSLATE(E120, ""en"", ""hi"")"),"बी) 20 मिनट")</f>
        <v>बी) 20 मिनट</v>
      </c>
    </row>
    <row r="121" ht="22.5" customHeight="1">
      <c r="A121" s="2">
        <v>120.0</v>
      </c>
      <c r="B121" s="3" t="s">
        <v>355</v>
      </c>
      <c r="C121" s="3" t="s">
        <v>363</v>
      </c>
      <c r="D121" s="3" t="s">
        <v>364</v>
      </c>
      <c r="E121" s="3" t="s">
        <v>365</v>
      </c>
      <c r="G121" s="3" t="str">
        <f>IFERROR(__xludf.DUMMYFUNCTION("GOOGLETRANSLATE(A121, ""en"", ""hi"")"),"120")</f>
        <v>120</v>
      </c>
      <c r="H121" s="4" t="str">
        <f>IFERROR(__xludf.DUMMYFUNCTION("GOOGLETRANSLATE(B121, ""en"", ""hi"")"),"कबड्डी_29")</f>
        <v>कबड्डी_29</v>
      </c>
      <c r="I121" s="4" t="str">
        <f>IFERROR(__xludf.DUMMYFUNCTION("GOOGLETRANSLATE(C121, ""en"", ""hi"")"),"चित्र में दिखाए गए खेल के लिए, जब कोई टीम ऑल आउट हो जाती है, तो उसे क्या कहते हैं?")</f>
        <v>चित्र में दिखाए गए खेल के लिए, जब कोई टीम ऑल आउट हो जाती है, तो उसे क्या कहते हैं?</v>
      </c>
      <c r="J121" s="4" t="str">
        <f>IFERROR(__xludf.DUMMYFUNCTION("GOOGLETRANSLATE(D121, ""en"", ""hi"")"),"ए) बोनस, बी) लोना, सी) सुपर टैकल, डी) टेकडाउन")</f>
        <v>ए) बोनस, बी) लोना, सी) सुपर टैकल, डी) टेकडाउन</v>
      </c>
      <c r="K121" s="3" t="str">
        <f>IFERROR(__xludf.DUMMYFUNCTION("GOOGLETRANSLATE(E121, ""en"", ""hi"")"),"बी) लोना")</f>
        <v>बी) लोना</v>
      </c>
    </row>
    <row r="122" ht="22.5" customHeight="1">
      <c r="A122" s="2">
        <v>121.0</v>
      </c>
      <c r="B122" s="3" t="s">
        <v>366</v>
      </c>
      <c r="C122" s="3" t="s">
        <v>367</v>
      </c>
      <c r="D122" s="3" t="s">
        <v>368</v>
      </c>
      <c r="E122" s="3" t="s">
        <v>55</v>
      </c>
      <c r="G122" s="3" t="str">
        <f>IFERROR(__xludf.DUMMYFUNCTION("GOOGLETRANSLATE(A122, ""en"", ""hi"")"),"121")</f>
        <v>121</v>
      </c>
      <c r="H122" s="4" t="str">
        <f>IFERROR(__xludf.DUMMYFUNCTION("GOOGLETRANSLATE(B122, ""en"", ""hi"")"),"कबड्डी_30")</f>
        <v>कबड्डी_30</v>
      </c>
      <c r="I122" s="3" t="str">
        <f>IFERROR(__xludf.DUMMYFUNCTION("GOOGLETRANSLATE(C122, ""en"", ""hi"")"),"चित्र में दिखाए गए खेल में सीमा रेखाएं आमतौर पर किस रंग से चिह्नित होती हैं?")</f>
        <v>चित्र में दिखाए गए खेल में सीमा रेखाएं आमतौर पर किस रंग से चिह्नित होती हैं?</v>
      </c>
      <c r="J122" s="3" t="str">
        <f>IFERROR(__xludf.DUMMYFUNCTION("GOOGLETRANSLATE(D122, ""en"", ""hi"")"),"A) लाल, B) पीला, C) नीला, D) सफेद")</f>
        <v>A) लाल, B) पीला, C) नीला, D) सफेद</v>
      </c>
      <c r="K122" s="4" t="str">
        <f>IFERROR(__xludf.DUMMYFUNCTION("GOOGLETRANSLATE(E122, ""en"", ""hi"")"),"D) सफेद")</f>
        <v>D) सफेद</v>
      </c>
    </row>
    <row r="123" ht="22.5" customHeight="1">
      <c r="A123" s="2">
        <v>122.0</v>
      </c>
      <c r="B123" s="3" t="s">
        <v>366</v>
      </c>
      <c r="C123" s="3" t="s">
        <v>369</v>
      </c>
      <c r="D123" s="3" t="s">
        <v>370</v>
      </c>
      <c r="E123" s="3" t="s">
        <v>371</v>
      </c>
      <c r="G123" s="3" t="str">
        <f>IFERROR(__xludf.DUMMYFUNCTION("GOOGLETRANSLATE(A123, ""en"", ""hi"")"),"122")</f>
        <v>122</v>
      </c>
      <c r="H123" s="4" t="str">
        <f>IFERROR(__xludf.DUMMYFUNCTION("GOOGLETRANSLATE(B123, ""en"", ""hi"")"),"कबड्डी_30")</f>
        <v>कबड्डी_30</v>
      </c>
      <c r="I123" s="4" t="str">
        <f>IFERROR(__xludf.DUMMYFUNCTION("GOOGLETRANSLATE(C123, ""en"", ""hi"")"),"चित्र में दिखाए गए खेल के लिए, यदि कोई रेडर सफलतापूर्वक बोनस लाइन पार कर जाता है तो क्या होता है?")</f>
        <v>चित्र में दिखाए गए खेल के लिए, यदि कोई रेडर सफलतापूर्वक बोनस लाइन पार कर जाता है तो क्या होता है?</v>
      </c>
      <c r="J123" s="3" t="str">
        <f>IFERROR(__xludf.DUMMYFUNCTION("GOOGLETRANSLATE(D123, ""en"", ""hi"")"),"A) वे एक बोनस अंक अर्जित करते हैं, B) वे एक अंक खो देते हैं, C) छापा समाप्त हो जाता है, D) वे बाहर हो जाते हैं")</f>
        <v>A) वे एक बोनस अंक अर्जित करते हैं, B) वे एक अंक खो देते हैं, C) छापा समाप्त हो जाता है, D) वे बाहर हो जाते हैं</v>
      </c>
      <c r="K123" s="3" t="str">
        <f>IFERROR(__xludf.DUMMYFUNCTION("GOOGLETRANSLATE(E123, ""en"", ""hi"")"),"A) वे बोनस अंक अर्जित करते हैं")</f>
        <v>A) वे बोनस अंक अर्जित करते हैं</v>
      </c>
    </row>
    <row r="124" ht="22.5" customHeight="1">
      <c r="A124" s="2">
        <v>123.0</v>
      </c>
      <c r="B124" s="3" t="s">
        <v>366</v>
      </c>
      <c r="C124" s="3" t="s">
        <v>372</v>
      </c>
      <c r="D124" s="3" t="s">
        <v>373</v>
      </c>
      <c r="E124" s="3" t="s">
        <v>374</v>
      </c>
      <c r="G124" s="3" t="str">
        <f>IFERROR(__xludf.DUMMYFUNCTION("GOOGLETRANSLATE(A124, ""en"", ""hi"")"),"123")</f>
        <v>123</v>
      </c>
      <c r="H124" s="4" t="str">
        <f>IFERROR(__xludf.DUMMYFUNCTION("GOOGLETRANSLATE(B124, ""en"", ""hi"")"),"कबड्डी_30")</f>
        <v>कबड्डी_30</v>
      </c>
      <c r="I124" s="4" t="str">
        <f>IFERROR(__xludf.DUMMYFUNCTION("GOOGLETRANSLATE(C124, ""en"", ""hi"")"),"चित्र में दिखाए गए खेल में, एक सफल रेड के लिए कितने अंक दिए जाते हैं, जिसमें कई डिफेंडर शामिल होते हैं?")</f>
        <v>चित्र में दिखाए गए खेल में, एक सफल रेड के लिए कितने अंक दिए जाते हैं, जिसमें कई डिफेंडर शामिल होते हैं?</v>
      </c>
      <c r="J124" s="4" t="str">
        <f>IFERROR(__xludf.DUMMYFUNCTION("GOOGLETRANSLATE(D124, ""en"", ""hi"")"),"A) प्रति स्पर्श 1 अंक, B) प्रति स्पर्श 2 अंक, C) सभी स्पर्शों के लिए 1 अंक, D) सभी स्पर्शों के लिए 2 अंक")</f>
        <v>A) प्रति स्पर्श 1 अंक, B) प्रति स्पर्श 2 अंक, C) सभी स्पर्शों के लिए 1 अंक, D) सभी स्पर्शों के लिए 2 अंक</v>
      </c>
      <c r="K124" s="4" t="str">
        <f>IFERROR(__xludf.DUMMYFUNCTION("GOOGLETRANSLATE(E124, ""en"", ""hi"")"),"A) प्रति स्पर्श 1 अंक")</f>
        <v>A) प्रति स्पर्श 1 अंक</v>
      </c>
    </row>
    <row r="125" ht="22.5" customHeight="1">
      <c r="A125" s="2">
        <v>124.0</v>
      </c>
      <c r="B125" s="3" t="s">
        <v>366</v>
      </c>
      <c r="C125" s="3" t="s">
        <v>375</v>
      </c>
      <c r="D125" s="3" t="s">
        <v>376</v>
      </c>
      <c r="E125" s="3" t="s">
        <v>377</v>
      </c>
      <c r="G125" s="3" t="str">
        <f>IFERROR(__xludf.DUMMYFUNCTION("GOOGLETRANSLATE(A125, ""en"", ""hi"")"),"124")</f>
        <v>124</v>
      </c>
      <c r="H125" s="3" t="str">
        <f>IFERROR(__xludf.DUMMYFUNCTION("GOOGLETRANSLATE(B125, ""en"", ""hi"")"),"कबड्डी_30")</f>
        <v>कबड्डी_30</v>
      </c>
      <c r="I125" s="4" t="str">
        <f>IFERROR(__xludf.DUMMYFUNCTION("GOOGLETRANSLATE(C125, ""en"", ""hi"")"),"चित्र में दिखाए गए खेल में, केंद्रीय रेखा का उद्देश्य क्या है?")</f>
        <v>चित्र में दिखाए गए खेल में, केंद्रीय रेखा का उद्देश्य क्या है?</v>
      </c>
      <c r="J125" s="3" t="str">
        <f>IFERROR(__xludf.DUMMYFUNCTION("GOOGLETRANSLATE(D125, ""en"", ""hi"")"),"A) टीमों को विभाजित करने के लिए, B) रेडर की शुरुआत को चिह्नित करने के लिए, C) रेड के अंत को दिखाने के लिए, D) बोनस ज़ोन को चिह्नित करने के लिए")</f>
        <v>A) टीमों को विभाजित करने के लिए, B) रेडर की शुरुआत को चिह्नित करने के लिए, C) रेड के अंत को दिखाने के लिए, D) बोनस ज़ोन को चिह्नित करने के लिए</v>
      </c>
      <c r="K125" s="3" t="str">
        <f>IFERROR(__xludf.DUMMYFUNCTION("GOOGLETRANSLATE(E125, ""en"", ""hi"")"),"A) टीमों को विभाजित करने के लिए")</f>
        <v>A) टीमों को विभाजित करने के लिए</v>
      </c>
    </row>
    <row r="126" ht="22.5" customHeight="1">
      <c r="A126" s="2">
        <v>125.0</v>
      </c>
      <c r="B126" s="3" t="s">
        <v>378</v>
      </c>
      <c r="C126" s="3" t="s">
        <v>379</v>
      </c>
      <c r="D126" s="3" t="s">
        <v>380</v>
      </c>
      <c r="E126" s="3" t="s">
        <v>381</v>
      </c>
      <c r="G126" s="3" t="str">
        <f>IFERROR(__xludf.DUMMYFUNCTION("GOOGLETRANSLATE(A126, ""en"", ""hi"")"),"125")</f>
        <v>125</v>
      </c>
      <c r="H126" s="4" t="str">
        <f>IFERROR(__xludf.DUMMYFUNCTION("GOOGLETRANSLATE(B126, ""en"", ""hi"")"),"कबड्डी_31")</f>
        <v>कबड्डी_31</v>
      </c>
      <c r="I126" s="4" t="str">
        <f>IFERROR(__xludf.DUMMYFUNCTION("GOOGLETRANSLATE(C126, ""en"", ""hi"")"),"चित्र में दिखाए गए खेल में रेडर के सबसे करीबी खिलाड़ी की भूमिका क्या है?")</f>
        <v>चित्र में दिखाए गए खेल में रेडर के सबसे करीबी खिलाड़ी की भूमिका क्या है?</v>
      </c>
      <c r="J126" s="4" t="str">
        <f>IFERROR(__xludf.DUMMYFUNCTION("GOOGLETRANSLATE(D126, ""en"", ""hi"")"),"A) हमलावर से निपटने के लिए, B) अन्य रक्षकों का समर्थन करने के लिए, C) रक्षा का नेतृत्व करने के लिए, D) हमलावर से बचने के लिए")</f>
        <v>A) हमलावर से निपटने के लिए, B) अन्य रक्षकों का समर्थन करने के लिए, C) रक्षा का नेतृत्व करने के लिए, D) हमलावर से बचने के लिए</v>
      </c>
      <c r="K126" s="4" t="str">
        <f>IFERROR(__xludf.DUMMYFUNCTION("GOOGLETRANSLATE(E126, ""en"", ""hi"")"),"A) हमलावर से निपटने के लिए")</f>
        <v>A) हमलावर से निपटने के लिए</v>
      </c>
    </row>
    <row r="127" ht="22.5" customHeight="1">
      <c r="A127" s="2">
        <v>126.0</v>
      </c>
      <c r="B127" s="3" t="s">
        <v>378</v>
      </c>
      <c r="C127" s="3" t="s">
        <v>382</v>
      </c>
      <c r="D127" s="3" t="s">
        <v>383</v>
      </c>
      <c r="E127" s="3" t="s">
        <v>384</v>
      </c>
      <c r="G127" s="3" t="str">
        <f>IFERROR(__xludf.DUMMYFUNCTION("GOOGLETRANSLATE(A127, ""en"", ""hi"")"),"126")</f>
        <v>126</v>
      </c>
      <c r="H127" s="4" t="str">
        <f>IFERROR(__xludf.DUMMYFUNCTION("GOOGLETRANSLATE(B127, ""en"", ""hi"")"),"कबड्डी_31")</f>
        <v>कबड्डी_31</v>
      </c>
      <c r="I127" s="4" t="str">
        <f>IFERROR(__xludf.DUMMYFUNCTION("GOOGLETRANSLATE(C127, ""en"", ""hi"")"),"चित्र में दिखाए गए खेल के लिए, कबड्डी मैच आमतौर पर किस सतह पर खेला जाता है?")</f>
        <v>चित्र में दिखाए गए खेल के लिए, कबड्डी मैच आमतौर पर किस सतह पर खेला जाता है?</v>
      </c>
      <c r="J127" s="4" t="str">
        <f>IFERROR(__xludf.DUMMYFUNCTION("GOOGLETRANSLATE(D127, ""en"", ""hi"")"),"A) घास, B) रेत, C) चटाई, D) कंक्रीट")</f>
        <v>A) घास, B) रेत, C) चटाई, D) कंक्रीट</v>
      </c>
      <c r="K127" s="3" t="str">
        <f>IFERROR(__xludf.DUMMYFUNCTION("GOOGLETRANSLATE(E127, ""en"", ""hi"")"),"सी) चटाई")</f>
        <v>सी) चटाई</v>
      </c>
    </row>
    <row r="128" ht="22.5" customHeight="1">
      <c r="A128" s="2">
        <v>127.0</v>
      </c>
      <c r="B128" s="3" t="s">
        <v>378</v>
      </c>
      <c r="C128" s="3" t="s">
        <v>385</v>
      </c>
      <c r="D128" s="3" t="s">
        <v>386</v>
      </c>
      <c r="E128" s="3" t="s">
        <v>387</v>
      </c>
      <c r="G128" s="3" t="str">
        <f>IFERROR(__xludf.DUMMYFUNCTION("GOOGLETRANSLATE(A128, ""en"", ""hi"")"),"127")</f>
        <v>127</v>
      </c>
      <c r="H128" s="4" t="str">
        <f>IFERROR(__xludf.DUMMYFUNCTION("GOOGLETRANSLATE(B128, ""en"", ""hi"")"),"कबड्डी_31")</f>
        <v>कबड्डी_31</v>
      </c>
      <c r="I128" s="3" t="str">
        <f>IFERROR(__xludf.DUMMYFUNCTION("GOOGLETRANSLATE(C128, ""en"", ""hi"")"),"चित्र में दिखाए गए खेल में, जब रेडर पकड़ा जाता है तो रेफरी क्या करता है?")</f>
        <v>चित्र में दिखाए गए खेल में, जब रेडर पकड़ा जाता है तो रेफरी क्या करता है?</v>
      </c>
      <c r="J128" s="4" t="str">
        <f>IFERROR(__xludf.DUMMYFUNCTION("GOOGLETRANSLATE(D128, ""en"", ""hi"")"),"A) डिफेंडर के लिए एक अंक का संकेत देता है, B) रेडर के लिए एक अंक का संकेत देता है, C) मैच की समाप्ति का संकेत देता है, D) रेड को रोकता है")</f>
        <v>A) डिफेंडर के लिए एक अंक का संकेत देता है, B) रेडर के लिए एक अंक का संकेत देता है, C) मैच की समाप्ति का संकेत देता है, D) रेड को रोकता है</v>
      </c>
      <c r="K128" s="4" t="str">
        <f>IFERROR(__xludf.DUMMYFUNCTION("GOOGLETRANSLATE(E128, ""en"", ""hi"")"),"A) डिफेंडरों के लिए एक अंक का संकेत")</f>
        <v>A) डिफेंडरों के लिए एक अंक का संकेत</v>
      </c>
    </row>
    <row r="129" ht="22.5" customHeight="1">
      <c r="A129" s="2">
        <v>128.0</v>
      </c>
      <c r="B129" s="3" t="s">
        <v>378</v>
      </c>
      <c r="C129" s="3" t="s">
        <v>388</v>
      </c>
      <c r="D129" s="3" t="s">
        <v>185</v>
      </c>
      <c r="E129" s="3" t="s">
        <v>389</v>
      </c>
      <c r="G129" s="3" t="str">
        <f>IFERROR(__xludf.DUMMYFUNCTION("GOOGLETRANSLATE(A129, ""en"", ""hi"")"),"128")</f>
        <v>128</v>
      </c>
      <c r="H129" s="4" t="str">
        <f>IFERROR(__xludf.DUMMYFUNCTION("GOOGLETRANSLATE(B129, ""en"", ""hi"")"),"कबड्डी_31")</f>
        <v>कबड्डी_31</v>
      </c>
      <c r="I129" s="4" t="str">
        <f>IFERROR(__xludf.DUMMYFUNCTION("GOOGLETRANSLATE(C129, ""en"", ""hi"")"),"चित्र में दिखाए गए खेल में सुपर टैकल के लिए कितने डिफेंडर मौजूद होने चाहिए?")</f>
        <v>चित्र में दिखाए गए खेल में सुपर टैकल के लिए कितने डिफेंडर मौजूद होने चाहिए?</v>
      </c>
      <c r="J129" s="3" t="str">
        <f>IFERROR(__xludf.DUMMYFUNCTION("GOOGLETRANSLATE(D129, ""en"", ""hi"")"),"ए) 2, बी) 3, सी) 4, डी) 5")</f>
        <v>ए) 2, बी) 3, सी) 4, डी) 5</v>
      </c>
      <c r="K129" s="3" t="str">
        <f>IFERROR(__xludf.DUMMYFUNCTION("GOOGLETRANSLATE(E129, ""en"", ""hi"")"),"ए) 2")</f>
        <v>ए) 2</v>
      </c>
    </row>
    <row r="130" ht="22.5" customHeight="1">
      <c r="A130" s="2">
        <v>129.0</v>
      </c>
      <c r="B130" s="3" t="s">
        <v>390</v>
      </c>
      <c r="C130" s="3" t="s">
        <v>391</v>
      </c>
      <c r="D130" s="3" t="s">
        <v>392</v>
      </c>
      <c r="E130" s="3" t="s">
        <v>393</v>
      </c>
      <c r="G130" s="3" t="str">
        <f>IFERROR(__xludf.DUMMYFUNCTION("GOOGLETRANSLATE(A130, ""en"", ""hi"")"),"129")</f>
        <v>129</v>
      </c>
      <c r="H130" s="4" t="str">
        <f>IFERROR(__xludf.DUMMYFUNCTION("GOOGLETRANSLATE(B130, ""en"", ""hi"")"),"कबड्डी_32")</f>
        <v>कबड्डी_32</v>
      </c>
      <c r="I130" s="4" t="str">
        <f>IFERROR(__xludf.DUMMYFUNCTION("GOOGLETRANSLATE(C130, ""en"", ""hi"")"),"चित्र में दिखाए गए खेल के लिए डैश लाइन का उद्देश्य क्या है?")</f>
        <v>चित्र में दिखाए गए खेल के लिए डैश लाइन का उद्देश्य क्या है?</v>
      </c>
      <c r="J130" s="3" t="str">
        <f>IFERROR(__xludf.DUMMYFUNCTION("GOOGLETRANSLATE(D130, ""en"", ""hi"")"),"A) बोनस लाइन को चिह्नित करने के लिए, B) डिफेंडरों को अलग करने के लिए, C) रेड क्षेत्र को विभाजित करने के लिए, D) सुरक्षित क्षेत्र को चिह्नित करने के लिए")</f>
        <v>A) बोनस लाइन को चिह्नित करने के लिए, B) डिफेंडरों को अलग करने के लिए, C) रेड क्षेत्र को विभाजित करने के लिए, D) सुरक्षित क्षेत्र को चिह्नित करने के लिए</v>
      </c>
      <c r="K130" s="4" t="str">
        <f>IFERROR(__xludf.DUMMYFUNCTION("GOOGLETRANSLATE(E130, ""en"", ""hi"")"),"A) बोनस लाइन को चिह्नित करने के लिए")</f>
        <v>A) बोनस लाइन को चिह्नित करने के लिए</v>
      </c>
    </row>
    <row r="131" ht="22.5" customHeight="1">
      <c r="A131" s="2">
        <v>130.0</v>
      </c>
      <c r="B131" s="3" t="s">
        <v>390</v>
      </c>
      <c r="C131" s="3" t="s">
        <v>394</v>
      </c>
      <c r="D131" s="3" t="s">
        <v>395</v>
      </c>
      <c r="E131" s="3" t="s">
        <v>228</v>
      </c>
      <c r="G131" s="3" t="str">
        <f>IFERROR(__xludf.DUMMYFUNCTION("GOOGLETRANSLATE(A131, ""en"", ""hi"")"),"130")</f>
        <v>130</v>
      </c>
      <c r="H131" s="4" t="str">
        <f>IFERROR(__xludf.DUMMYFUNCTION("GOOGLETRANSLATE(B131, ""en"", ""hi"")"),"कबड्डी_32")</f>
        <v>कबड्डी_32</v>
      </c>
      <c r="I131" s="4" t="str">
        <f>IFERROR(__xludf.DUMMYFUNCTION("GOOGLETRANSLATE(C131, ""en"", ""hi"")"),"चित्र में दिखाए गए खेल में, डिफेंडरों द्वारा आमतौर पर किस रंग की जर्सी पहनी जाती है?")</f>
        <v>चित्र में दिखाए गए खेल में, डिफेंडरों द्वारा आमतौर पर किस रंग की जर्सी पहनी जाती है?</v>
      </c>
      <c r="J131" s="4" t="str">
        <f>IFERROR(__xludf.DUMMYFUNCTION("GOOGLETRANSLATE(D131, ""en"", ""hi"")"),"A) लाल, B) नीला, C) पीला, D) हरा")</f>
        <v>A) लाल, B) नीला, C) पीला, D) हरा</v>
      </c>
      <c r="K131" s="3" t="str">
        <f>IFERROR(__xludf.DUMMYFUNCTION("GOOGLETRANSLATE(E131, ""en"", ""hi"")"),"बी) नीला")</f>
        <v>बी) नीला</v>
      </c>
    </row>
    <row r="132" ht="22.5" customHeight="1">
      <c r="A132" s="2">
        <v>131.0</v>
      </c>
      <c r="B132" s="3" t="s">
        <v>390</v>
      </c>
      <c r="C132" s="3" t="s">
        <v>396</v>
      </c>
      <c r="D132" s="3" t="s">
        <v>345</v>
      </c>
      <c r="E132" s="3" t="s">
        <v>351</v>
      </c>
      <c r="G132" s="3" t="str">
        <f>IFERROR(__xludf.DUMMYFUNCTION("GOOGLETRANSLATE(A132, ""en"", ""hi"")"),"131")</f>
        <v>131</v>
      </c>
      <c r="H132" s="4" t="str">
        <f>IFERROR(__xludf.DUMMYFUNCTION("GOOGLETRANSLATE(B132, ""en"", ""hi"")"),"कबड्डी_32")</f>
        <v>कबड्डी_32</v>
      </c>
      <c r="I132" s="4" t="str">
        <f>IFERROR(__xludf.DUMMYFUNCTION("GOOGLETRANSLATE(C132, ""en"", ""hi"")"),"चित्र में दिखाए गए खेल में सफल लोना के लिए कितने अंक दिए जाते हैं?")</f>
        <v>चित्र में दिखाए गए खेल में सफल लोना के लिए कितने अंक दिए जाते हैं?</v>
      </c>
      <c r="J132" s="3" t="str">
        <f>IFERROR(__xludf.DUMMYFUNCTION("GOOGLETRANSLATE(D132, ""en"", ""hi"")"),"A) 1 अंक, B) 2 अंक, C) 3 अंक, D) 4 अंक")</f>
        <v>A) 1 अंक, B) 2 अंक, C) 3 अंक, D) 4 अंक</v>
      </c>
      <c r="K132" s="3" t="str">
        <f>IFERROR(__xludf.DUMMYFUNCTION("GOOGLETRANSLATE(E132, ""en"", ""hi"")"),"बी) 2 अंक")</f>
        <v>बी) 2 अंक</v>
      </c>
    </row>
    <row r="133" ht="22.5" customHeight="1">
      <c r="A133" s="2">
        <v>132.0</v>
      </c>
      <c r="B133" s="3" t="s">
        <v>390</v>
      </c>
      <c r="C133" s="3" t="s">
        <v>397</v>
      </c>
      <c r="D133" s="3" t="s">
        <v>51</v>
      </c>
      <c r="E133" s="3" t="s">
        <v>52</v>
      </c>
      <c r="G133" s="3" t="str">
        <f>IFERROR(__xludf.DUMMYFUNCTION("GOOGLETRANSLATE(A133, ""en"", ""hi"")"),"132")</f>
        <v>132</v>
      </c>
      <c r="H133" s="4" t="str">
        <f>IFERROR(__xludf.DUMMYFUNCTION("GOOGLETRANSLATE(B133, ""en"", ""hi"")"),"कबड्डी_32")</f>
        <v>कबड्डी_32</v>
      </c>
      <c r="I133" s="4" t="str">
        <f>IFERROR(__xludf.DUMMYFUNCTION("GOOGLETRANSLATE(C133, ""en"", ""hi"")"),"चित्र में दिखाए गए खेल में, एक मानक मैच में कितने हाफ होते हैं?")</f>
        <v>चित्र में दिखाए गए खेल में, एक मानक मैच में कितने हाफ होते हैं?</v>
      </c>
      <c r="J133" s="3" t="str">
        <f>IFERROR(__xludf.DUMMYFUNCTION("GOOGLETRANSLATE(D133, ""en"", ""hi"")"),"ए) 1, बी) 2, सी) 3, डी) 4")</f>
        <v>ए) 1, बी) 2, सी) 3, डी) 4</v>
      </c>
      <c r="K133" s="4" t="str">
        <f>IFERROR(__xludf.DUMMYFUNCTION("GOOGLETRANSLATE(E133, ""en"", ""hi"")"),"बी) 2")</f>
        <v>बी) 2</v>
      </c>
    </row>
    <row r="134" ht="22.5" customHeight="1">
      <c r="A134" s="2">
        <v>133.0</v>
      </c>
      <c r="B134" s="3" t="s">
        <v>398</v>
      </c>
      <c r="C134" s="3" t="s">
        <v>399</v>
      </c>
      <c r="D134" s="3" t="s">
        <v>400</v>
      </c>
      <c r="E134" s="3" t="s">
        <v>401</v>
      </c>
      <c r="G134" s="3" t="str">
        <f>IFERROR(__xludf.DUMMYFUNCTION("GOOGLETRANSLATE(A134, ""en"", ""hi"")"),"133")</f>
        <v>133</v>
      </c>
      <c r="H134" s="3" t="str">
        <f>IFERROR(__xludf.DUMMYFUNCTION("GOOGLETRANSLATE(B134, ""en"", ""hi"")"),"कबड्डी_33")</f>
        <v>कबड्डी_33</v>
      </c>
      <c r="I134" s="3" t="str">
        <f>IFERROR(__xludf.DUMMYFUNCTION("GOOGLETRANSLATE(C134, ""en"", ""hi"")"),"चित्र में दिखाए गए खेल में, किस क्रिया के परिणामस्वरूप रेडर को अंक मिलता है?")</f>
        <v>चित्र में दिखाए गए खेल में, किस क्रिया के परिणामस्वरूप रेडर को अंक मिलता है?</v>
      </c>
      <c r="J134" s="4" t="str">
        <f>IFERROR(__xludf.DUMMYFUNCTION("GOOGLETRANSLATE(D134, ""en"", ""hi"")"),"A) डिफेंडर को छूना, B) सेंटर लाइन को पार करना, C) डिफेंडरों से बचना, D) प्रतिद्वंद्वी के हाफ में रहना")</f>
        <v>A) डिफेंडर को छूना, B) सेंटर लाइन को पार करना, C) डिफेंडरों से बचना, D) प्रतिद्वंद्वी के हाफ में रहना</v>
      </c>
      <c r="K134" s="3" t="str">
        <f>IFERROR(__xludf.DUMMYFUNCTION("GOOGLETRANSLATE(E134, ""en"", ""hi"")"),"A) डिफेंडर को छूना")</f>
        <v>A) डिफेंडर को छूना</v>
      </c>
    </row>
    <row r="135" ht="22.5" customHeight="1">
      <c r="A135" s="2">
        <v>134.0</v>
      </c>
      <c r="B135" s="3" t="s">
        <v>398</v>
      </c>
      <c r="C135" s="3" t="s">
        <v>402</v>
      </c>
      <c r="D135" s="3" t="s">
        <v>403</v>
      </c>
      <c r="E135" s="3" t="s">
        <v>330</v>
      </c>
      <c r="G135" s="3" t="str">
        <f>IFERROR(__xludf.DUMMYFUNCTION("GOOGLETRANSLATE(A135, ""en"", ""hi"")"),"134")</f>
        <v>134</v>
      </c>
      <c r="H135" s="4" t="str">
        <f>IFERROR(__xludf.DUMMYFUNCTION("GOOGLETRANSLATE(B135, ""en"", ""hi"")"),"कबड्डी_33")</f>
        <v>कबड्डी_33</v>
      </c>
      <c r="I135" s="3" t="str">
        <f>IFERROR(__xludf.DUMMYFUNCTION("GOOGLETRANSLATE(C135, ""en"", ""hi"")"),"चित्र में दिखाए गए खेल के लिए, छापे के दौरान सीमा से बाहर कदम रखने पर क्या दंड है?")</f>
        <v>चित्र में दिखाए गए खेल के लिए, छापे के दौरान सीमा से बाहर कदम रखने पर क्या दंड है?</v>
      </c>
      <c r="J135" s="4" t="str">
        <f>IFERROR(__xludf.DUMMYFUNCTION("GOOGLETRANSLATE(D135, ""en"", ""hi"")"),"A) रेडर एक अंक अर्जित करता है, B) रेडर आउट हो जाता है, C) रेड जारी रहती है, D) डिफेंडर एक अंक खो देते हैं")</f>
        <v>A) रेडर एक अंक अर्जित करता है, B) रेडर आउट हो जाता है, C) रेड जारी रहती है, D) डिफेंडर एक अंक खो देते हैं</v>
      </c>
      <c r="K135" s="3" t="str">
        <f>IFERROR(__xludf.DUMMYFUNCTION("GOOGLETRANSLATE(E135, ""en"", ""hi"")"),"बी) हमलावर बाहर है")</f>
        <v>बी) हमलावर बाहर है</v>
      </c>
    </row>
    <row r="136" ht="22.5" customHeight="1">
      <c r="A136" s="2">
        <v>135.0</v>
      </c>
      <c r="B136" s="3" t="s">
        <v>398</v>
      </c>
      <c r="C136" s="3" t="s">
        <v>404</v>
      </c>
      <c r="D136" s="3" t="s">
        <v>405</v>
      </c>
      <c r="E136" s="3" t="s">
        <v>406</v>
      </c>
      <c r="G136" s="3" t="str">
        <f>IFERROR(__xludf.DUMMYFUNCTION("GOOGLETRANSLATE(A136, ""en"", ""hi"")"),"135")</f>
        <v>135</v>
      </c>
      <c r="H136" s="4" t="str">
        <f>IFERROR(__xludf.DUMMYFUNCTION("GOOGLETRANSLATE(B136, ""en"", ""hi"")"),"कबड्डी_33")</f>
        <v>कबड्डी_33</v>
      </c>
      <c r="I136" s="4" t="str">
        <f>IFERROR(__xludf.DUMMYFUNCTION("GOOGLETRANSLATE(C136, ""en"", ""hi"")"),"चित्र में दिखाए गए खेल में, जब एक रेडर को दो या अधिक डिफेंडरों द्वारा टैकल किया जाता है, तो किस शब्द का प्रयोग किया जाता है?")</f>
        <v>चित्र में दिखाए गए खेल में, जब एक रेडर को दो या अधिक डिफेंडरों द्वारा टैकल किया जाता है, तो किस शब्द का प्रयोग किया जाता है?</v>
      </c>
      <c r="J136" s="4" t="str">
        <f>IFERROR(__xludf.DUMMYFUNCTION("GOOGLETRANSLATE(D136, ""en"", ""hi"")"),"A) सुपर रेड, B) सुपर टैकल, C) ऑल-आउट, D) लोना")</f>
        <v>A) सुपर रेड, B) सुपर टैकल, C) ऑल-आउट, D) लोना</v>
      </c>
      <c r="K136" s="4" t="str">
        <f>IFERROR(__xludf.DUMMYFUNCTION("GOOGLETRANSLATE(E136, ""en"", ""hi"")"),"बी) सुपर टैकल")</f>
        <v>बी) सुपर टैकल</v>
      </c>
    </row>
    <row r="137" ht="22.5" customHeight="1">
      <c r="A137" s="2">
        <v>136.0</v>
      </c>
      <c r="B137" s="3" t="s">
        <v>398</v>
      </c>
      <c r="C137" s="3" t="s">
        <v>407</v>
      </c>
      <c r="D137" s="3" t="s">
        <v>408</v>
      </c>
      <c r="E137" s="3" t="s">
        <v>381</v>
      </c>
      <c r="G137" s="3" t="str">
        <f>IFERROR(__xludf.DUMMYFUNCTION("GOOGLETRANSLATE(A137, ""en"", ""hi"")"),"136")</f>
        <v>136</v>
      </c>
      <c r="H137" s="4" t="str">
        <f>IFERROR(__xludf.DUMMYFUNCTION("GOOGLETRANSLATE(B137, ""en"", ""hi"")"),"कबड्डी_33")</f>
        <v>कबड्डी_33</v>
      </c>
      <c r="I137" s="4" t="str">
        <f>IFERROR(__xludf.DUMMYFUNCTION("GOOGLETRANSLATE(C137, ""en"", ""hi"")"),"चित्र में दिखाए गए खेल के लिए, कोने के डिफेंडर की मुख्य भूमिका क्या है?")</f>
        <v>चित्र में दिखाए गए खेल के लिए, कोने के डिफेंडर की मुख्य भूमिका क्या है?</v>
      </c>
      <c r="J137" s="3" t="str">
        <f>IFERROR(__xludf.DUMMYFUNCTION("GOOGLETRANSLATE(D137, ""en"", ""hi"")"),"A) हमलावर से निपटने के लिए, B) अन्य रक्षकों की सहायता करने के लिए, C) रक्षा का नेतृत्व करने के लिए, D) हमलावर से बचने के लिए")</f>
        <v>A) हमलावर से निपटने के लिए, B) अन्य रक्षकों की सहायता करने के लिए, C) रक्षा का नेतृत्व करने के लिए, D) हमलावर से बचने के लिए</v>
      </c>
      <c r="K137" s="3" t="str">
        <f>IFERROR(__xludf.DUMMYFUNCTION("GOOGLETRANSLATE(E137, ""en"", ""hi"")"),"A) हमलावर से निपटने के लिए")</f>
        <v>A) हमलावर से निपटने के लिए</v>
      </c>
    </row>
    <row r="138" ht="22.5" customHeight="1">
      <c r="A138" s="2">
        <v>137.0</v>
      </c>
      <c r="B138" s="3" t="s">
        <v>409</v>
      </c>
      <c r="C138" s="3" t="s">
        <v>410</v>
      </c>
      <c r="D138" s="3" t="s">
        <v>176</v>
      </c>
      <c r="E138" s="3" t="s">
        <v>177</v>
      </c>
      <c r="G138" s="3" t="str">
        <f>IFERROR(__xludf.DUMMYFUNCTION("GOOGLETRANSLATE(A138, ""en"", ""hi"")"),"137")</f>
        <v>137</v>
      </c>
      <c r="H138" s="4" t="str">
        <f>IFERROR(__xludf.DUMMYFUNCTION("GOOGLETRANSLATE(B138, ""en"", ""hi"")"),"कबड्डी_34")</f>
        <v>कबड्डी_34</v>
      </c>
      <c r="I138" s="4" t="str">
        <f>IFERROR(__xludf.DUMMYFUNCTION("GOOGLETRANSLATE(C138, ""en"", ""hi"")"),"चित्र में दिखाए गए खेल में, एक सामान्य कबड्डी रेड की अवधि कितनी होती है?")</f>
        <v>चित्र में दिखाए गए खेल में, एक सामान्य कबड्डी रेड की अवधि कितनी होती है?</v>
      </c>
      <c r="J138" s="4" t="str">
        <f>IFERROR(__xludf.DUMMYFUNCTION("GOOGLETRANSLATE(D138, ""en"", ""hi"")"),"A) 10 सेकंड, B) 20 सेकंड, C) 30 सेकंड, D) 40 सेकंड")</f>
        <v>A) 10 सेकंड, B) 20 सेकंड, C) 30 सेकंड, D) 40 सेकंड</v>
      </c>
      <c r="K138" s="4" t="str">
        <f>IFERROR(__xludf.DUMMYFUNCTION("GOOGLETRANSLATE(E138, ""en"", ""hi"")"),"सी) 30 सेकंड")</f>
        <v>सी) 30 सेकंड</v>
      </c>
    </row>
    <row r="139" ht="22.5" customHeight="1">
      <c r="A139" s="2">
        <v>138.0</v>
      </c>
      <c r="B139" s="3" t="s">
        <v>409</v>
      </c>
      <c r="C139" s="3" t="s">
        <v>411</v>
      </c>
      <c r="D139" s="3" t="s">
        <v>412</v>
      </c>
      <c r="E139" s="3" t="s">
        <v>413</v>
      </c>
      <c r="G139" s="3" t="str">
        <f>IFERROR(__xludf.DUMMYFUNCTION("GOOGLETRANSLATE(A139, ""en"", ""hi"")"),"138")</f>
        <v>138</v>
      </c>
      <c r="H139" s="4" t="str">
        <f>IFERROR(__xludf.DUMMYFUNCTION("GOOGLETRANSLATE(B139, ""en"", ""hi"")"),"कबड्डी_34")</f>
        <v>कबड्डी_34</v>
      </c>
      <c r="I139" s="4" t="str">
        <f>IFERROR(__xludf.DUMMYFUNCTION("GOOGLETRANSLATE(C139, ""en"", ""hi"")"),"चित्र में दिखाए गए खेल के लिए सफल रेड को क्या कहा जाता है?")</f>
        <v>चित्र में दिखाए गए खेल के लिए सफल रेड को क्या कहा जाता है?</v>
      </c>
      <c r="J139" s="3" t="str">
        <f>IFERROR(__xludf.DUMMYFUNCTION("GOOGLETRANSLATE(D139, ""en"", ""hi"")"),"A) टैकल, B) बोनस, C) टच, D) कैप्चर")</f>
        <v>A) टैकल, B) बोनस, C) टच, D) कैप्चर</v>
      </c>
      <c r="K139" s="4" t="str">
        <f>IFERROR(__xludf.DUMMYFUNCTION("GOOGLETRANSLATE(E139, ""en"", ""hi"")"),"सी) स्पर्श")</f>
        <v>सी) स्पर्श</v>
      </c>
    </row>
    <row r="140" ht="22.5" customHeight="1">
      <c r="A140" s="2">
        <v>139.0</v>
      </c>
      <c r="B140" s="3" t="s">
        <v>409</v>
      </c>
      <c r="C140" s="3" t="s">
        <v>414</v>
      </c>
      <c r="D140" s="3" t="s">
        <v>415</v>
      </c>
      <c r="E140" s="3" t="s">
        <v>416</v>
      </c>
      <c r="G140" s="3" t="str">
        <f>IFERROR(__xludf.DUMMYFUNCTION("GOOGLETRANSLATE(A140, ""en"", ""hi"")"),"139")</f>
        <v>139</v>
      </c>
      <c r="H140" s="3" t="str">
        <f>IFERROR(__xludf.DUMMYFUNCTION("GOOGLETRANSLATE(B140, ""en"", ""hi"")"),"कबड्डी_34")</f>
        <v>कबड्डी_34</v>
      </c>
      <c r="I140" s="4" t="str">
        <f>IFERROR(__xludf.DUMMYFUNCTION("GOOGLETRANSLATE(C140, ""en"", ""hi"")"),"चित्र में दिखाए गए खेल में, डिफेंडर को छूने के लिए रेडर को क्या करना चाहिए?")</f>
        <v>चित्र में दिखाए गए खेल में, डिफेंडर को छूने के लिए रेडर को क्या करना चाहिए?</v>
      </c>
      <c r="J140" s="4" t="str">
        <f>IFERROR(__xludf.DUMMYFUNCTION("GOOGLETRANSLATE(D140, ""en"", ""hi"")"),"A) अपने हाफ में वापस लौटना, B) प्रतिद्वंद्वी के हाफ में रहना, C) रेफरी को संकेत देना, D) बोनस लाइन पार करना")</f>
        <v>A) अपने हाफ में वापस लौटना, B) प्रतिद्वंद्वी के हाफ में रहना, C) रेफरी को संकेत देना, D) बोनस लाइन पार करना</v>
      </c>
      <c r="K140" s="3" t="str">
        <f>IFERROR(__xludf.DUMMYFUNCTION("GOOGLETRANSLATE(E140, ""en"", ""hi"")"),"A) अपने आधे हिस्से में वापसी")</f>
        <v>A) अपने आधे हिस्से में वापसी</v>
      </c>
    </row>
    <row r="141" ht="22.5" customHeight="1">
      <c r="A141" s="2">
        <v>140.0</v>
      </c>
      <c r="B141" s="3" t="s">
        <v>409</v>
      </c>
      <c r="C141" s="3" t="s">
        <v>417</v>
      </c>
      <c r="D141" s="3" t="s">
        <v>418</v>
      </c>
      <c r="E141" s="3" t="s">
        <v>419</v>
      </c>
      <c r="G141" s="3" t="str">
        <f>IFERROR(__xludf.DUMMYFUNCTION("GOOGLETRANSLATE(A141, ""en"", ""hi"")"),"140")</f>
        <v>140</v>
      </c>
      <c r="H141" s="4" t="str">
        <f>IFERROR(__xludf.DUMMYFUNCTION("GOOGLETRANSLATE(B141, ""en"", ""hi"")"),"कबड्डी_34")</f>
        <v>कबड्डी_34</v>
      </c>
      <c r="I141" s="4" t="str">
        <f>IFERROR(__xludf.DUMMYFUNCTION("GOOGLETRANSLATE(C141, ""en"", ""hi"")"),"चित्र में दिखाए गए खेल के लिए, यदि रेडर कई डिफेंडरों को छू ले तो क्या होगा?")</f>
        <v>चित्र में दिखाए गए खेल के लिए, यदि रेडर कई डिफेंडरों को छू ले तो क्या होगा?</v>
      </c>
      <c r="J141" s="4" t="str">
        <f>IFERROR(__xludf.DUMMYFUNCTION("GOOGLETRANSLATE(D141, ""en"", ""hi"")"),"A) प्रति डिफेंडर 1 अंक, B) 2 अंक, C) रेड समाप्त, D) डिफेंडर स्कोर करता है")</f>
        <v>A) प्रति डिफेंडर 1 अंक, B) 2 अंक, C) रेड समाप्त, D) डिफेंडर स्कोर करता है</v>
      </c>
      <c r="K141" s="3" t="str">
        <f>IFERROR(__xludf.DUMMYFUNCTION("GOOGLETRANSLATE(E141, ""en"", ""hi"")"),"A) प्रति डिफेंडर 1 अंक")</f>
        <v>A) प्रति डिफेंडर 1 अंक</v>
      </c>
    </row>
    <row r="142" ht="22.5" customHeight="1">
      <c r="A142" s="2">
        <v>141.0</v>
      </c>
      <c r="B142" s="3" t="s">
        <v>420</v>
      </c>
      <c r="C142" s="3" t="s">
        <v>421</v>
      </c>
      <c r="D142" s="3" t="s">
        <v>422</v>
      </c>
      <c r="E142" s="3" t="s">
        <v>423</v>
      </c>
      <c r="G142" s="3" t="str">
        <f>IFERROR(__xludf.DUMMYFUNCTION("GOOGLETRANSLATE(A142, ""en"", ""hi"")"),"141")</f>
        <v>141</v>
      </c>
      <c r="H142" s="4" t="str">
        <f>IFERROR(__xludf.DUMMYFUNCTION("GOOGLETRANSLATE(B142, ""en"", ""hi"")"),"कबड्डी_35")</f>
        <v>कबड्डी_35</v>
      </c>
      <c r="I142" s="4" t="str">
        <f>IFERROR(__xludf.DUMMYFUNCTION("GOOGLETRANSLATE(C142, ""en"", ""hi"")"),"चित्र में दिखाए गए खेल के लिए 'करो या मरो' छापा क्या है?")</f>
        <v>चित्र में दिखाए गए खेल के लिए 'करो या मरो' छापा क्या है?</v>
      </c>
      <c r="J142" s="4" t="str">
        <f>IFERROR(__xludf.DUMMYFUNCTION("GOOGLETRANSLATE(D142, ""en"", ""hi"")"),"A) एक रेड जिसमें रेडर को स्कोर करना होता है, B) एक रेड जिसमें रेडर को टैकल करना होता है, C) अतिरिक्त अंकों के साथ एक रेड, D) एक रेड जो मैच को समाप्त कर देती है")</f>
        <v>A) एक रेड जिसमें रेडर को स्कोर करना होता है, B) एक रेड जिसमें रेडर को टैकल करना होता है, C) अतिरिक्त अंकों के साथ एक रेड, D) एक रेड जो मैच को समाप्त कर देती है</v>
      </c>
      <c r="K142" s="4" t="str">
        <f>IFERROR(__xludf.DUMMYFUNCTION("GOOGLETRANSLATE(E142, ""en"", ""hi"")"),"A) एक रेड जहां रेडर को स्कोर करना होता है")</f>
        <v>A) एक रेड जहां रेडर को स्कोर करना होता है</v>
      </c>
    </row>
    <row r="143" ht="22.5" customHeight="1">
      <c r="A143" s="2">
        <v>142.0</v>
      </c>
      <c r="B143" s="3" t="s">
        <v>420</v>
      </c>
      <c r="C143" s="3" t="s">
        <v>424</v>
      </c>
      <c r="D143" s="3" t="s">
        <v>345</v>
      </c>
      <c r="E143" s="3" t="s">
        <v>425</v>
      </c>
      <c r="G143" s="3" t="str">
        <f>IFERROR(__xludf.DUMMYFUNCTION("GOOGLETRANSLATE(A143, ""en"", ""hi"")"),"142")</f>
        <v>142</v>
      </c>
      <c r="H143" s="3" t="str">
        <f>IFERROR(__xludf.DUMMYFUNCTION("GOOGLETRANSLATE(B143, ""en"", ""hi"")"),"कबड्डी_35")</f>
        <v>कबड्डी_35</v>
      </c>
      <c r="I143" s="4" t="str">
        <f>IFERROR(__xludf.DUMMYFUNCTION("GOOGLETRANSLATE(C143, ""en"", ""hi"")"),"चित्र में दिखाए गए खेल में, जब कोई टीम 'सुपर रेड' जीतती है तो क्या होता है?")</f>
        <v>चित्र में दिखाए गए खेल में, जब कोई टीम 'सुपर रेड' जीतती है तो क्या होता है?</v>
      </c>
      <c r="J143" s="4" t="str">
        <f>IFERROR(__xludf.DUMMYFUNCTION("GOOGLETRANSLATE(D143, ""en"", ""hi"")"),"A) 1 अंक, B) 2 अंक, C) 3 अंक, D) 4 अंक")</f>
        <v>A) 1 अंक, B) 2 अंक, C) 3 अंक, D) 4 अंक</v>
      </c>
      <c r="K143" s="4" t="str">
        <f>IFERROR(__xludf.DUMMYFUNCTION("GOOGLETRANSLATE(E143, ""en"", ""hi"")"),"सी) 3 अंक")</f>
        <v>सी) 3 अंक</v>
      </c>
    </row>
    <row r="144" ht="22.5" customHeight="1">
      <c r="A144" s="2">
        <v>143.0</v>
      </c>
      <c r="B144" s="3" t="s">
        <v>420</v>
      </c>
      <c r="C144" s="3" t="s">
        <v>426</v>
      </c>
      <c r="D144" s="3" t="s">
        <v>427</v>
      </c>
      <c r="E144" s="3" t="s">
        <v>428</v>
      </c>
      <c r="G144" s="3" t="str">
        <f>IFERROR(__xludf.DUMMYFUNCTION("GOOGLETRANSLATE(A144, ""en"", ""hi"")"),"143")</f>
        <v>143</v>
      </c>
      <c r="H144" s="4" t="str">
        <f>IFERROR(__xludf.DUMMYFUNCTION("GOOGLETRANSLATE(B144, ""en"", ""hi"")"),"कबड्डी_35")</f>
        <v>कबड्डी_35</v>
      </c>
      <c r="I144" s="4" t="str">
        <f>IFERROR(__xludf.DUMMYFUNCTION("GOOGLETRANSLATE(C144, ""en"", ""hi"")"),"चित्र में दिखाए गए खेल के लिए, प्रतिद्वंद्वी के हाफ में रेडर का प्रवेश कैसे निर्धारित होता है?")</f>
        <v>चित्र में दिखाए गए खेल के लिए, प्रतिद्वंद्वी के हाफ में रेडर का प्रवेश कैसे निर्धारित होता है?</v>
      </c>
      <c r="J144" s="3" t="str">
        <f>IFERROR(__xludf.DUMMYFUNCTION("GOOGLETRANSLATE(D144, ""en"", ""hi"")"),"A) बोनस लाइन पार करना, B) 'कबड्डी' कहना, C) प्रतिद्वंद्वी को छूना, D) केंद्रीय रेखा पार करना")</f>
        <v>A) बोनस लाइन पार करना, B) 'कबड्डी' कहना, C) प्रतिद्वंद्वी को छूना, D) केंद्रीय रेखा पार करना</v>
      </c>
      <c r="K144" s="3" t="str">
        <f>IFERROR(__xludf.DUMMYFUNCTION("GOOGLETRANSLATE(E144, ""en"", ""hi"")"),"D) केंद्रीय रेखा को पार करना")</f>
        <v>D) केंद्रीय रेखा को पार करना</v>
      </c>
    </row>
    <row r="145" ht="22.5" customHeight="1">
      <c r="A145" s="2">
        <v>144.0</v>
      </c>
      <c r="B145" s="3" t="s">
        <v>420</v>
      </c>
      <c r="C145" s="3" t="s">
        <v>429</v>
      </c>
      <c r="D145" s="3" t="s">
        <v>430</v>
      </c>
      <c r="E145" s="3" t="s">
        <v>431</v>
      </c>
      <c r="G145" s="3" t="str">
        <f>IFERROR(__xludf.DUMMYFUNCTION("GOOGLETRANSLATE(A145, ""en"", ""hi"")"),"144")</f>
        <v>144</v>
      </c>
      <c r="H145" s="4" t="str">
        <f>IFERROR(__xludf.DUMMYFUNCTION("GOOGLETRANSLATE(B145, ""en"", ""hi"")"),"कबड्डी_35")</f>
        <v>कबड्डी_35</v>
      </c>
      <c r="I145" s="3" t="str">
        <f>IFERROR(__xludf.DUMMYFUNCTION("GOOGLETRANSLATE(C145, ""en"", ""hi"")"),"चित्र में दिखाए गए खेल के लिए, रेडर को रेड करते समय लगातार क्या जपना चाहिए?")</f>
        <v>चित्र में दिखाए गए खेल के लिए, रेडर को रेड करते समय लगातार क्या जपना चाहिए?</v>
      </c>
      <c r="J145" s="3" t="str">
        <f>IFERROR(__xludf.DUMMYFUNCTION("GOOGLETRANSLATE(D145, ""en"", ""hi"")"),"A) 'टच', B) 'आउट', C) 'कबड्डी', D) 'बोनस'")</f>
        <v>A) 'टच', B) 'आउट', C) 'कबड्डी', D) 'बोनस'</v>
      </c>
      <c r="K145" s="4" t="str">
        <f>IFERROR(__xludf.DUMMYFUNCTION("GOOGLETRANSLATE(E145, ""en"", ""hi"")"),"C) 'कबड्डी'")</f>
        <v>C) 'कबड्डी'</v>
      </c>
    </row>
    <row r="146" ht="22.5" customHeight="1">
      <c r="A146" s="2">
        <v>145.0</v>
      </c>
      <c r="B146" s="3" t="s">
        <v>432</v>
      </c>
      <c r="C146" s="3" t="s">
        <v>433</v>
      </c>
      <c r="D146" s="3" t="s">
        <v>51</v>
      </c>
      <c r="E146" s="3" t="s">
        <v>52</v>
      </c>
      <c r="G146" s="3" t="str">
        <f>IFERROR(__xludf.DUMMYFUNCTION("GOOGLETRANSLATE(A146, ""en"", ""hi"")"),"145")</f>
        <v>145</v>
      </c>
      <c r="H146" s="4" t="str">
        <f>IFERROR(__xludf.DUMMYFUNCTION("GOOGLETRANSLATE(B146, ""en"", ""hi"")"),"कबड्डी_36")</f>
        <v>कबड्डी_36</v>
      </c>
      <c r="I146" s="4" t="str">
        <f>IFERROR(__xludf.DUMMYFUNCTION("GOOGLETRANSLATE(C146, ""en"", ""hi"")"),"चित्र में दिखाए गए खेल में, सुपर टैकल का प्रयास करने के लिए डिफेंडरों की न्यूनतम संख्या कितनी होनी चाहिए?")</f>
        <v>चित्र में दिखाए गए खेल में, सुपर टैकल का प्रयास करने के लिए डिफेंडरों की न्यूनतम संख्या कितनी होनी चाहिए?</v>
      </c>
      <c r="J146" s="4" t="str">
        <f>IFERROR(__xludf.DUMMYFUNCTION("GOOGLETRANSLATE(D146, ""en"", ""hi"")"),"ए) 1, बी) 2, सी) 3, डी) 4")</f>
        <v>ए) 1, बी) 2, सी) 3, डी) 4</v>
      </c>
      <c r="K146" s="3" t="str">
        <f>IFERROR(__xludf.DUMMYFUNCTION("GOOGLETRANSLATE(E146, ""en"", ""hi"")"),"बी) 2")</f>
        <v>बी) 2</v>
      </c>
    </row>
    <row r="147" ht="22.5" customHeight="1">
      <c r="A147" s="2">
        <v>146.0</v>
      </c>
      <c r="B147" s="3" t="s">
        <v>432</v>
      </c>
      <c r="C147" s="3" t="s">
        <v>434</v>
      </c>
      <c r="D147" s="3" t="s">
        <v>435</v>
      </c>
      <c r="E147" s="3" t="s">
        <v>436</v>
      </c>
      <c r="G147" s="3" t="str">
        <f>IFERROR(__xludf.DUMMYFUNCTION("GOOGLETRANSLATE(A147, ""en"", ""hi"")"),"146")</f>
        <v>146</v>
      </c>
      <c r="H147" s="4" t="str">
        <f>IFERROR(__xludf.DUMMYFUNCTION("GOOGLETRANSLATE(B147, ""en"", ""hi"")"),"कबड्डी_36")</f>
        <v>कबड्डी_36</v>
      </c>
      <c r="I147" s="3" t="str">
        <f>IFERROR(__xludf.DUMMYFUNCTION("GOOGLETRANSLATE(C147, ""en"", ""hi"")"),"चित्र में दिखाए गए खेल के लिए, वैध बोनस अंक के लिए रेडर को क्या पार करना होगा?")</f>
        <v>चित्र में दिखाए गए खेल के लिए, वैध बोनस अंक के लिए रेडर को क्या पार करना होगा?</v>
      </c>
      <c r="J147" s="4" t="str">
        <f>IFERROR(__xludf.DUMMYFUNCTION("GOOGLETRANSLATE(D147, ""en"", ""hi"")"),"A) सेंट्रल लाइन, B) बोनस लाइन, C) एंड लाइन, D) टैकल लाइन")</f>
        <v>A) सेंट्रल लाइन, B) बोनस लाइन, C) एंड लाइन, D) टैकल लाइन</v>
      </c>
      <c r="K147" s="3" t="str">
        <f>IFERROR(__xludf.DUMMYFUNCTION("GOOGLETRANSLATE(E147, ""en"", ""hi"")"),"बी) बोनस लाइन")</f>
        <v>बी) बोनस लाइन</v>
      </c>
    </row>
    <row r="148" ht="22.5" customHeight="1">
      <c r="A148" s="2">
        <v>147.0</v>
      </c>
      <c r="B148" s="3" t="s">
        <v>432</v>
      </c>
      <c r="C148" s="3" t="s">
        <v>437</v>
      </c>
      <c r="D148" s="3" t="s">
        <v>438</v>
      </c>
      <c r="E148" s="3" t="s">
        <v>439</v>
      </c>
      <c r="G148" s="3" t="str">
        <f>IFERROR(__xludf.DUMMYFUNCTION("GOOGLETRANSLATE(A148, ""en"", ""hi"")"),"147")</f>
        <v>147</v>
      </c>
      <c r="H148" s="4" t="str">
        <f>IFERROR(__xludf.DUMMYFUNCTION("GOOGLETRANSLATE(B148, ""en"", ""hi"")"),"कबड्डी_36")</f>
        <v>कबड्डी_36</v>
      </c>
      <c r="I148" s="4" t="str">
        <f>IFERROR(__xludf.DUMMYFUNCTION("GOOGLETRANSLATE(C148, ""en"", ""hi"")"),"चित्र में दिखाए गए खेल में, डिफेंडर को आउट घोषित होने से बचने के लिए क्या करना चाहिए?")</f>
        <v>चित्र में दिखाए गए खेल में, डिफेंडर को आउट घोषित होने से बचने के लिए क्या करना चाहिए?</v>
      </c>
      <c r="J148" s="3" t="str">
        <f>IFERROR(__xludf.DUMMYFUNCTION("GOOGLETRANSLATE(D148, ""en"", ""hi"")"),"A) हमलावर को छूना, B) सीमा में रहना, C) केंद्रीय रेखा को पार करना, D) हमलावर के स्पर्श से बचना")</f>
        <v>A) हमलावर को छूना, B) सीमा में रहना, C) केंद्रीय रेखा को पार करना, D) हमलावर के स्पर्श से बचना</v>
      </c>
      <c r="K148" s="4" t="str">
        <f>IFERROR(__xludf.DUMMYFUNCTION("GOOGLETRANSLATE(E148, ""en"", ""hi"")"),"D) हमलावर के स्पर्श से बचें")</f>
        <v>D) हमलावर के स्पर्श से बचें</v>
      </c>
    </row>
    <row r="149" ht="22.5" customHeight="1">
      <c r="A149" s="2">
        <v>148.0</v>
      </c>
      <c r="B149" s="3" t="s">
        <v>432</v>
      </c>
      <c r="C149" s="3" t="s">
        <v>440</v>
      </c>
      <c r="D149" s="3" t="s">
        <v>441</v>
      </c>
      <c r="E149" s="3" t="s">
        <v>442</v>
      </c>
      <c r="G149" s="3" t="str">
        <f>IFERROR(__xludf.DUMMYFUNCTION("GOOGLETRANSLATE(A149, ""en"", ""hi"")"),"148")</f>
        <v>148</v>
      </c>
      <c r="H149" s="3" t="str">
        <f>IFERROR(__xludf.DUMMYFUNCTION("GOOGLETRANSLATE(B149, ""en"", ""hi"")"),"कबड्डी_36")</f>
        <v>कबड्डी_36</v>
      </c>
      <c r="I149" s="4" t="str">
        <f>IFERROR(__xludf.DUMMYFUNCTION("GOOGLETRANSLATE(C149, ""en"", ""hi"")"),"चित्र में दिखाए गए खेल के लिए, किसी टीम को 'ऑल आउट' घोषित करने के लिए कितने खिलाड़ी होने चाहिए?")</f>
        <v>चित्र में दिखाए गए खेल के लिए, किसी टीम को 'ऑल आउट' घोषित करने के लिए कितने खिलाड़ी होने चाहिए?</v>
      </c>
      <c r="J149" s="4" t="str">
        <f>IFERROR(__xludf.DUMMYFUNCTION("GOOGLETRANSLATE(D149, ""en"", ""hi"")"),"A) 1 खिलाड़ी, B) 2 खिलाड़ी, C) कोई खिलाड़ी नहीं, D) 3 खिलाड़ी")</f>
        <v>A) 1 खिलाड़ी, B) 2 खिलाड़ी, C) कोई खिलाड़ी नहीं, D) 3 खिलाड़ी</v>
      </c>
      <c r="K149" s="3" t="str">
        <f>IFERROR(__xludf.DUMMYFUNCTION("GOOGLETRANSLATE(E149, ""en"", ""hi"")"),"C) कोई खिलाड़ी नहीं")</f>
        <v>C) कोई खिलाड़ी नहीं</v>
      </c>
    </row>
    <row r="150" ht="22.5" customHeight="1">
      <c r="A150" s="2">
        <v>149.0</v>
      </c>
      <c r="B150" s="3" t="s">
        <v>443</v>
      </c>
      <c r="C150" s="3" t="s">
        <v>444</v>
      </c>
      <c r="D150" s="3" t="s">
        <v>445</v>
      </c>
      <c r="E150" s="3" t="s">
        <v>446</v>
      </c>
      <c r="G150" s="3" t="str">
        <f>IFERROR(__xludf.DUMMYFUNCTION("GOOGLETRANSLATE(A150, ""en"", ""hi"")"),"149")</f>
        <v>149</v>
      </c>
      <c r="H150" s="4" t="str">
        <f>IFERROR(__xludf.DUMMYFUNCTION("GOOGLETRANSLATE(B150, ""en"", ""hi"")"),"कबड्डी_37")</f>
        <v>कबड्डी_37</v>
      </c>
      <c r="I150" s="3" t="str">
        <f>IFERROR(__xludf.DUMMYFUNCTION("GOOGLETRANSLATE(C150, ""en"", ""hi"")"),"चित्र में दिखाए गए खेल में 'लॉबी' क्षेत्र का क्या महत्व है?")</f>
        <v>चित्र में दिखाए गए खेल में 'लॉबी' क्षेत्र का क्या महत्व है?</v>
      </c>
      <c r="J150" s="4" t="str">
        <f>IFERROR(__xludf.DUMMYFUNCTION("GOOGLETRANSLATE(D150, ""en"", ""hi"")"),"ए) स्कोरिंग ज़ोन, बी) सुरक्षा ज़ोन, सी) पेनल्टी ज़ोन, डी) एक ज़ोन जिसका उपयोग केवल स्पर्श के बाद किया जा सकता है")</f>
        <v>ए) स्कोरिंग ज़ोन, बी) सुरक्षा ज़ोन, सी) पेनल्टी ज़ोन, डी) एक ज़ोन जिसका उपयोग केवल स्पर्श के बाद किया जा सकता है</v>
      </c>
      <c r="K150" s="4" t="str">
        <f>IFERROR(__xludf.DUMMYFUNCTION("GOOGLETRANSLATE(E150, ""en"", ""hi"")"),"D) एक ऐसा क्षेत्र जिसका उपयोग केवल स्पर्श के बाद ही किया जा सकता है")</f>
        <v>D) एक ऐसा क्षेत्र जिसका उपयोग केवल स्पर्श के बाद ही किया जा सकता है</v>
      </c>
    </row>
    <row r="151" ht="22.5" customHeight="1">
      <c r="A151" s="2">
        <v>150.0</v>
      </c>
      <c r="B151" s="3" t="s">
        <v>443</v>
      </c>
      <c r="C151" s="3" t="s">
        <v>447</v>
      </c>
      <c r="D151" s="3" t="s">
        <v>448</v>
      </c>
      <c r="E151" s="3" t="s">
        <v>449</v>
      </c>
      <c r="G151" s="3" t="str">
        <f>IFERROR(__xludf.DUMMYFUNCTION("GOOGLETRANSLATE(A151, ""en"", ""hi"")"),"150")</f>
        <v>150</v>
      </c>
      <c r="H151" s="4" t="str">
        <f>IFERROR(__xludf.DUMMYFUNCTION("GOOGLETRANSLATE(B151, ""en"", ""hi"")"),"कबड्डी_37")</f>
        <v>कबड्डी_37</v>
      </c>
      <c r="I151" s="4" t="str">
        <f>IFERROR(__xludf.DUMMYFUNCTION("GOOGLETRANSLATE(C151, ""en"", ""hi"")"),"चित्र में दिखाए गए खेल के लिए, एक टीम एक बार में अधिकतम कितने रेडर्स भेज सकती है?")</f>
        <v>चित्र में दिखाए गए खेल के लिए, एक टीम एक बार में अधिकतम कितने रेडर्स भेज सकती है?</v>
      </c>
      <c r="J151" s="4" t="str">
        <f>IFERROR(__xludf.DUMMYFUNCTION("GOOGLETRANSLATE(D151, ""en"", ""hi"")"),"A) 1 हमलावर, B) 2 हमलावर, C) 3 हमलावर, D) 4 हमलावर")</f>
        <v>A) 1 हमलावर, B) 2 हमलावर, C) 3 हमलावर, D) 4 हमलावर</v>
      </c>
      <c r="K151" s="3" t="str">
        <f>IFERROR(__xludf.DUMMYFUNCTION("GOOGLETRANSLATE(E151, ""en"", ""hi"")"),"ए) 1 हमलावर")</f>
        <v>ए) 1 हमलावर</v>
      </c>
    </row>
    <row r="152" ht="22.5" customHeight="1">
      <c r="A152" s="2">
        <v>151.0</v>
      </c>
      <c r="B152" s="3" t="s">
        <v>443</v>
      </c>
      <c r="C152" s="3" t="s">
        <v>450</v>
      </c>
      <c r="D152" s="3" t="s">
        <v>451</v>
      </c>
      <c r="E152" s="3" t="s">
        <v>452</v>
      </c>
      <c r="G152" s="3" t="str">
        <f>IFERROR(__xludf.DUMMYFUNCTION("GOOGLETRANSLATE(A152, ""en"", ""hi"")"),"151")</f>
        <v>151</v>
      </c>
      <c r="H152" s="3" t="str">
        <f>IFERROR(__xludf.DUMMYFUNCTION("GOOGLETRANSLATE(B152, ""en"", ""hi"")"),"कबड्डी_37")</f>
        <v>कबड्डी_37</v>
      </c>
      <c r="I152" s="4" t="str">
        <f>IFERROR(__xludf.DUMMYFUNCTION("GOOGLETRANSLATE(C152, ""en"", ""hi"")"),"चित्र में दिखाए गए खेल के लिए, छापे के दौरान रेफरी की भूमिका क्या होती है?")</f>
        <v>चित्र में दिखाए गए खेल के लिए, छापे के दौरान रेफरी की भूमिका क्या होती है?</v>
      </c>
      <c r="J152" s="4" t="str">
        <f>IFERROR(__xludf.DUMMYFUNCTION("GOOGLETRANSLATE(D152, ""en"", ""hi"")"),"A) अंक गिनने के लिए, B) समय पर नज़र रखने के लिए, C) हमलावर के जप पर नज़र रखने के लिए, D) रक्षकों को नियंत्रित करने के लिए")</f>
        <v>A) अंक गिनने के लिए, B) समय पर नज़र रखने के लिए, C) हमलावर के जप पर नज़र रखने के लिए, D) रक्षकों को नियंत्रित करने के लिए</v>
      </c>
      <c r="K152" s="4" t="str">
        <f>IFERROR(__xludf.DUMMYFUNCTION("GOOGLETRANSLATE(E152, ""en"", ""hi"")"),"C) हमलावर के नारे पर नज़र रखने के लिए")</f>
        <v>C) हमलावर के नारे पर नज़र रखने के लिए</v>
      </c>
    </row>
    <row r="153" ht="22.5" customHeight="1">
      <c r="A153" s="2">
        <v>152.0</v>
      </c>
      <c r="B153" s="3" t="s">
        <v>443</v>
      </c>
      <c r="C153" s="3" t="s">
        <v>453</v>
      </c>
      <c r="D153" s="3" t="s">
        <v>345</v>
      </c>
      <c r="E153" s="3" t="s">
        <v>346</v>
      </c>
      <c r="G153" s="3" t="str">
        <f>IFERROR(__xludf.DUMMYFUNCTION("GOOGLETRANSLATE(A153, ""en"", ""hi"")"),"152")</f>
        <v>152</v>
      </c>
      <c r="H153" s="4" t="str">
        <f>IFERROR(__xludf.DUMMYFUNCTION("GOOGLETRANSLATE(B153, ""en"", ""hi"")"),"कबड्डी_37")</f>
        <v>कबड्डी_37</v>
      </c>
      <c r="I153" s="3" t="str">
        <f>IFERROR(__xludf.DUMMYFUNCTION("GOOGLETRANSLATE(C153, ""en"", ""hi"")"),"चित्र में दिखाए गए खेल में, एक रेडर एक ही रेड में कितने बोनस अंक अर्जित कर सकता है?")</f>
        <v>चित्र में दिखाए गए खेल में, एक रेडर एक ही रेड में कितने बोनस अंक अर्जित कर सकता है?</v>
      </c>
      <c r="J153" s="4" t="str">
        <f>IFERROR(__xludf.DUMMYFUNCTION("GOOGLETRANSLATE(D153, ""en"", ""hi"")"),"A) 1 अंक, B) 2 अंक, C) 3 अंक, D) 4 अंक")</f>
        <v>A) 1 अंक, B) 2 अंक, C) 3 अंक, D) 4 अंक</v>
      </c>
      <c r="K153" s="4" t="str">
        <f>IFERROR(__xludf.DUMMYFUNCTION("GOOGLETRANSLATE(E153, ""en"", ""hi"")"),"ए) 1 अंक")</f>
        <v>ए) 1 अंक</v>
      </c>
    </row>
    <row r="154" ht="22.5" customHeight="1">
      <c r="A154" s="2">
        <v>153.0</v>
      </c>
      <c r="B154" s="3" t="s">
        <v>454</v>
      </c>
      <c r="C154" s="3" t="s">
        <v>455</v>
      </c>
      <c r="D154" s="3" t="s">
        <v>456</v>
      </c>
      <c r="E154" s="3" t="s">
        <v>457</v>
      </c>
      <c r="G154" s="3" t="str">
        <f>IFERROR(__xludf.DUMMYFUNCTION("GOOGLETRANSLATE(A154, ""en"", ""hi"")"),"153")</f>
        <v>153</v>
      </c>
      <c r="H154" s="4" t="str">
        <f>IFERROR(__xludf.DUMMYFUNCTION("GOOGLETRANSLATE(B154, ""en"", ""hi"")"),"कबड्डी_38")</f>
        <v>कबड्डी_38</v>
      </c>
      <c r="I154" s="4" t="str">
        <f>IFERROR(__xludf.DUMMYFUNCTION("GOOGLETRANSLATE(C154, ""en"", ""hi"")"),"चित्र में दिखाए गए खेल के लिए, एक खिलाड़ी लगातार कितनी बार रेड कर सकता है?")</f>
        <v>चित्र में दिखाए गए खेल के लिए, एक खिलाड़ी लगातार कितनी बार रेड कर सकता है?</v>
      </c>
      <c r="J154" s="3" t="str">
        <f>IFERROR(__xludf.DUMMYFUNCTION("GOOGLETRANSLATE(D154, ""en"", ""hi"")"),"ए) प्रति बारी एक बार, बी) प्रति बारी दो बार, सी) निपटने तक, डी) असीमित")</f>
        <v>ए) प्रति बारी एक बार, बी) प्रति बारी दो बार, सी) निपटने तक, डी) असीमित</v>
      </c>
      <c r="K154" s="3" t="str">
        <f>IFERROR(__xludf.DUMMYFUNCTION("GOOGLETRANSLATE(E154, ""en"", ""hi"")"),"A) प्रति बारी एक बार")</f>
        <v>A) प्रति बारी एक बार</v>
      </c>
    </row>
    <row r="155" ht="22.5" customHeight="1">
      <c r="A155" s="2">
        <v>154.0</v>
      </c>
      <c r="B155" s="3" t="s">
        <v>454</v>
      </c>
      <c r="C155" s="3" t="s">
        <v>458</v>
      </c>
      <c r="D155" s="3" t="s">
        <v>459</v>
      </c>
      <c r="E155" s="3" t="s">
        <v>460</v>
      </c>
      <c r="G155" s="3" t="str">
        <f>IFERROR(__xludf.DUMMYFUNCTION("GOOGLETRANSLATE(A155, ""en"", ""hi"")"),"154")</f>
        <v>154</v>
      </c>
      <c r="H155" s="4" t="str">
        <f>IFERROR(__xludf.DUMMYFUNCTION("GOOGLETRANSLATE(B155, ""en"", ""hi"")"),"कबड्डी_38")</f>
        <v>कबड्डी_38</v>
      </c>
      <c r="I155" s="4" t="str">
        <f>IFERROR(__xludf.DUMMYFUNCTION("GOOGLETRANSLATE(C155, ""en"", ""hi"")"),"चित्र में दिखाए गए खेल में, यदि कोई रेडर डिफेंडर को छूने के बाद सफलतापूर्वक वापस लौट जाता है, तो डिफेंडर के साथ क्या होता है?")</f>
        <v>चित्र में दिखाए गए खेल में, यदि कोई रेडर डिफेंडर को छूने के बाद सफलतापूर्वक वापस लौट जाता है, तो डिफेंडर के साथ क्या होता है?</v>
      </c>
      <c r="J155" s="3" t="str">
        <f>IFERROR(__xludf.DUMMYFUNCTION("GOOGLETRANSLATE(D155, ""en"", ""hi"")"),"A) वे खेल में बने रहते हैं, B) उन्हें आउट घोषित कर दिया जाता है, C) उन्हें एक अंक मिलता है, D) रेड रद्द हो जाती है")</f>
        <v>A) वे खेल में बने रहते हैं, B) उन्हें आउट घोषित कर दिया जाता है, C) उन्हें एक अंक मिलता है, D) रेड रद्द हो जाती है</v>
      </c>
      <c r="K155" s="3" t="str">
        <f>IFERROR(__xludf.DUMMYFUNCTION("GOOGLETRANSLATE(E155, ""en"", ""hi"")"),"बी) उन्हें आउट घोषित कर दिया गया है")</f>
        <v>बी) उन्हें आउट घोषित कर दिया गया है</v>
      </c>
    </row>
    <row r="156" ht="22.5" customHeight="1">
      <c r="A156" s="2">
        <v>155.0</v>
      </c>
      <c r="B156" s="3" t="s">
        <v>454</v>
      </c>
      <c r="C156" s="3" t="s">
        <v>461</v>
      </c>
      <c r="D156" s="3" t="s">
        <v>462</v>
      </c>
      <c r="E156" s="3" t="s">
        <v>463</v>
      </c>
      <c r="G156" s="3" t="str">
        <f>IFERROR(__xludf.DUMMYFUNCTION("GOOGLETRANSLATE(A156, ""en"", ""hi"")"),"155")</f>
        <v>155</v>
      </c>
      <c r="H156" s="4" t="str">
        <f>IFERROR(__xludf.DUMMYFUNCTION("GOOGLETRANSLATE(B156, ""en"", ""hi"")"),"कबड्डी_38")</f>
        <v>कबड्डी_38</v>
      </c>
      <c r="I156" s="4" t="str">
        <f>IFERROR(__xludf.DUMMYFUNCTION("GOOGLETRANSLATE(C156, ""en"", ""hi"")"),"चित्र में दिखाए गए खेल के लिए, एक टीम एक ही रेड से अधिकतम कितने अंक प्राप्त कर सकती है?")</f>
        <v>चित्र में दिखाए गए खेल के लिए, एक टीम एक ही रेड से अधिकतम कितने अंक प्राप्त कर सकती है?</v>
      </c>
      <c r="J156" s="3" t="str">
        <f>IFERROR(__xludf.DUMMYFUNCTION("GOOGLETRANSLATE(D156, ""en"", ""hi"")"),"A) 1 अंक, B) 2 अंक, C) 3 अंक, D) असीमित")</f>
        <v>A) 1 अंक, B) 2 अंक, C) 3 अंक, D) असीमित</v>
      </c>
      <c r="K156" s="4" t="str">
        <f>IFERROR(__xludf.DUMMYFUNCTION("GOOGLETRANSLATE(E156, ""en"", ""hi"")"),"डी) असीमित")</f>
        <v>डी) असीमित</v>
      </c>
    </row>
    <row r="157" ht="22.5" customHeight="1">
      <c r="A157" s="2">
        <v>156.0</v>
      </c>
      <c r="B157" s="3" t="s">
        <v>454</v>
      </c>
      <c r="C157" s="3" t="s">
        <v>464</v>
      </c>
      <c r="D157" s="3" t="s">
        <v>465</v>
      </c>
      <c r="E157" s="3" t="s">
        <v>466</v>
      </c>
      <c r="G157" s="3" t="str">
        <f>IFERROR(__xludf.DUMMYFUNCTION("GOOGLETRANSLATE(A157, ""en"", ""hi"")"),"156")</f>
        <v>156</v>
      </c>
      <c r="H157" s="4" t="str">
        <f>IFERROR(__xludf.DUMMYFUNCTION("GOOGLETRANSLATE(B157, ""en"", ""hi"")"),"कबड्डी_38")</f>
        <v>कबड्डी_38</v>
      </c>
      <c r="I157" s="4" t="str">
        <f>IFERROR(__xludf.DUMMYFUNCTION("GOOGLETRANSLATE(C157, ""en"", ""hi"")"),"चित्र में दिखाए गए खेल में, यदि कोई रेडर कई डिफेंडरों को छू लेता है तो उसे क्या करना चाहिए?")</f>
        <v>चित्र में दिखाए गए खेल में, यदि कोई रेडर कई डिफेंडरों को छू लेता है तो उसे क्या करना चाहिए?</v>
      </c>
      <c r="J157" s="3" t="str">
        <f>IFERROR(__xludf.DUMMYFUNCTION("GOOGLETRANSLATE(D157, ""en"", ""hi"")"),"ए) अधिक डिफेंडरों को छूना, बी) बोनस लाइन को पार करना, सी) अपने आधे हिस्से में वापस लौटना, डी) छापा जारी रखना")</f>
        <v>ए) अधिक डिफेंडरों को छूना, बी) बोनस लाइन को पार करना, सी) अपने आधे हिस्से में वापस लौटना, डी) छापा जारी रखना</v>
      </c>
      <c r="K157" s="3" t="str">
        <f>IFERROR(__xludf.DUMMYFUNCTION("GOOGLETRANSLATE(E157, ""en"", ""hi"")"),"C) अपने आधे हिस्से में लौटना")</f>
        <v>C) अपने आधे हिस्से में लौटना</v>
      </c>
    </row>
    <row r="158">
      <c r="G158" s="5"/>
      <c r="H158" s="5"/>
      <c r="I158" s="6"/>
      <c r="J158" s="5"/>
      <c r="K158" s="5"/>
    </row>
    <row r="159">
      <c r="G159" s="6"/>
      <c r="H159" s="6"/>
      <c r="I159" s="5"/>
      <c r="J159" s="6"/>
      <c r="K159" s="6"/>
    </row>
    <row r="160">
      <c r="G160" s="6"/>
      <c r="H160" s="6"/>
      <c r="I160" s="6"/>
      <c r="J160" s="5"/>
      <c r="K160" s="5"/>
    </row>
    <row r="161">
      <c r="G161" s="5"/>
      <c r="H161" s="5"/>
      <c r="I161" s="6"/>
      <c r="J161" s="6"/>
      <c r="K161" s="5"/>
    </row>
    <row r="162">
      <c r="G162" s="6"/>
      <c r="H162" s="6"/>
      <c r="I162" s="5"/>
      <c r="J162" s="6"/>
      <c r="K162" s="5"/>
    </row>
    <row r="163">
      <c r="G163" s="6"/>
      <c r="H163" s="6"/>
      <c r="I163" s="6"/>
      <c r="J163" s="6"/>
      <c r="K163" s="6"/>
    </row>
    <row r="164">
      <c r="G164" s="6"/>
      <c r="H164" s="6"/>
      <c r="I164" s="5"/>
      <c r="J164" s="5"/>
      <c r="K164" s="6"/>
    </row>
    <row r="165">
      <c r="G165" s="6"/>
      <c r="H165" s="6"/>
      <c r="I165" s="5"/>
      <c r="J165" s="6"/>
      <c r="K165" s="6"/>
    </row>
    <row r="166">
      <c r="G166" s="6"/>
      <c r="H166" s="6"/>
      <c r="I166" s="5"/>
      <c r="J166" s="6"/>
      <c r="K166" s="6"/>
    </row>
    <row r="167">
      <c r="G167" s="5"/>
      <c r="H167" s="5"/>
      <c r="I167" s="6"/>
      <c r="J167" s="6"/>
      <c r="K167" s="6"/>
    </row>
    <row r="168">
      <c r="G168" s="6"/>
      <c r="H168" s="6"/>
      <c r="I168" s="6"/>
      <c r="J168" s="5"/>
      <c r="K168" s="6"/>
    </row>
    <row r="169">
      <c r="G169" s="6"/>
      <c r="H169" s="6"/>
      <c r="I169" s="6"/>
      <c r="J169" s="5"/>
      <c r="K169" s="5"/>
    </row>
    <row r="170">
      <c r="G170" s="6"/>
      <c r="H170" s="6"/>
      <c r="I170" s="5"/>
      <c r="J170" s="5"/>
      <c r="K170" s="5"/>
    </row>
    <row r="171">
      <c r="G171" s="6"/>
      <c r="H171" s="6"/>
      <c r="I171" s="6"/>
      <c r="J171" s="5"/>
      <c r="K171" s="5"/>
    </row>
    <row r="172">
      <c r="G172" s="6"/>
      <c r="H172" s="6"/>
      <c r="I172" s="6"/>
      <c r="J172" s="6"/>
      <c r="K172" s="6"/>
    </row>
    <row r="173">
      <c r="G173" s="6"/>
      <c r="H173" s="6"/>
      <c r="I173" s="5"/>
      <c r="J173" s="6"/>
      <c r="K173" s="6"/>
    </row>
    <row r="174">
      <c r="G174" s="6"/>
      <c r="H174" s="6"/>
      <c r="I174" s="6"/>
      <c r="J174" s="6"/>
      <c r="K174" s="6"/>
    </row>
    <row r="175">
      <c r="G175" s="6"/>
      <c r="H175" s="6"/>
      <c r="I175" s="6"/>
      <c r="J175" s="5"/>
      <c r="K175" s="5"/>
    </row>
    <row r="176">
      <c r="G176" s="5"/>
      <c r="H176" s="5"/>
      <c r="I176" s="6"/>
      <c r="J176" s="5"/>
      <c r="K176" s="6"/>
    </row>
    <row r="177">
      <c r="G177" s="6"/>
      <c r="H177" s="6"/>
      <c r="I177" s="6"/>
      <c r="J177" s="5"/>
      <c r="K177" s="6"/>
    </row>
    <row r="178">
      <c r="G178" s="6"/>
      <c r="H178" s="6"/>
      <c r="I178" s="6"/>
      <c r="J178" s="5"/>
      <c r="K178" s="5"/>
    </row>
    <row r="179">
      <c r="G179" s="6"/>
      <c r="H179" s="6"/>
      <c r="I179" s="6"/>
      <c r="J179" s="6"/>
      <c r="K179" s="6"/>
    </row>
    <row r="180">
      <c r="G180" s="6"/>
      <c r="H180" s="6"/>
      <c r="I180" s="5"/>
      <c r="J180" s="6"/>
      <c r="K180" s="5"/>
    </row>
    <row r="181">
      <c r="G181" s="5"/>
      <c r="H181" s="5"/>
      <c r="I181" s="5"/>
      <c r="J181" s="5"/>
      <c r="K181" s="5"/>
    </row>
    <row r="182">
      <c r="G182" s="6"/>
      <c r="H182" s="6"/>
      <c r="I182" s="6"/>
      <c r="J182" s="6"/>
      <c r="K182" s="5"/>
    </row>
    <row r="183">
      <c r="G183" s="6"/>
      <c r="H183" s="6"/>
      <c r="I183" s="5"/>
      <c r="J183" s="5"/>
      <c r="K183" s="5"/>
    </row>
    <row r="184">
      <c r="G184" s="6"/>
      <c r="H184" s="6"/>
      <c r="I184" s="5"/>
      <c r="J184" s="5"/>
      <c r="K184" s="5"/>
    </row>
    <row r="185">
      <c r="G185" s="6"/>
      <c r="H185" s="6"/>
      <c r="I185" s="5"/>
      <c r="J185" s="6"/>
      <c r="K185" s="5"/>
    </row>
    <row r="186">
      <c r="G186" s="6"/>
      <c r="H186" s="6"/>
      <c r="I186" s="6"/>
      <c r="J186" s="6"/>
      <c r="K186" s="6"/>
    </row>
    <row r="187">
      <c r="G187" s="5"/>
      <c r="H187" s="5"/>
      <c r="I187" s="5"/>
      <c r="J187" s="5"/>
      <c r="K187" s="6"/>
    </row>
    <row r="188">
      <c r="G188" s="6"/>
      <c r="H188" s="6"/>
      <c r="I188" s="6"/>
      <c r="J188" s="5"/>
      <c r="K188" s="5"/>
    </row>
    <row r="189">
      <c r="G189" s="6"/>
      <c r="H189" s="6"/>
      <c r="I189" s="6"/>
      <c r="J189" s="6"/>
      <c r="K189" s="6"/>
    </row>
    <row r="190">
      <c r="G190" s="6"/>
      <c r="H190" s="6"/>
      <c r="I190" s="6"/>
      <c r="J190" s="6"/>
      <c r="K190" s="6"/>
    </row>
    <row r="191">
      <c r="G191" s="6"/>
      <c r="H191" s="6"/>
      <c r="I191" s="6"/>
      <c r="J191" s="5"/>
      <c r="K191" s="5"/>
    </row>
    <row r="192">
      <c r="G192" s="6"/>
      <c r="H192" s="6"/>
      <c r="I192" s="5"/>
      <c r="J192" s="5"/>
      <c r="K192" s="5"/>
    </row>
    <row r="193">
      <c r="G193" s="6"/>
      <c r="H193" s="6"/>
      <c r="I193" s="5"/>
      <c r="J193" s="5"/>
      <c r="K193" s="6"/>
    </row>
    <row r="194">
      <c r="G194" s="6"/>
      <c r="H194" s="6"/>
      <c r="I194" s="6"/>
      <c r="J194" s="6"/>
      <c r="K194" s="6"/>
    </row>
    <row r="195">
      <c r="G195" s="6"/>
      <c r="H195" s="6"/>
      <c r="I195" s="5"/>
      <c r="J195" s="6"/>
      <c r="K195" s="6"/>
    </row>
    <row r="196">
      <c r="G196" s="5"/>
      <c r="H196" s="5"/>
      <c r="I196" s="6"/>
      <c r="J196" s="5"/>
      <c r="K196" s="5"/>
    </row>
    <row r="197">
      <c r="G197" s="6"/>
      <c r="H197" s="6"/>
      <c r="I197" s="5"/>
      <c r="J197" s="5"/>
      <c r="K197" s="5"/>
    </row>
    <row r="198">
      <c r="G198" s="6"/>
      <c r="H198" s="6"/>
      <c r="I198" s="5"/>
      <c r="J198" s="5"/>
      <c r="K198" s="6"/>
    </row>
    <row r="199">
      <c r="G199" s="6"/>
      <c r="H199" s="6"/>
      <c r="I199" s="5"/>
      <c r="J199" s="5"/>
      <c r="K199" s="5"/>
    </row>
    <row r="200">
      <c r="G200" s="6"/>
      <c r="H200" s="6"/>
      <c r="I200" s="6"/>
      <c r="J200" s="6"/>
      <c r="K200" s="6"/>
    </row>
    <row r="201">
      <c r="G201" s="6"/>
      <c r="H201" s="6"/>
      <c r="I201" s="6"/>
      <c r="J201" s="5"/>
      <c r="K201" s="6"/>
    </row>
    <row r="202">
      <c r="G202" s="5"/>
      <c r="H202" s="5"/>
      <c r="I202" s="5"/>
      <c r="J202" s="6"/>
      <c r="K202" s="6"/>
    </row>
    <row r="203">
      <c r="G203" s="5"/>
      <c r="H203" s="5"/>
      <c r="I203" s="6"/>
      <c r="J203" s="6"/>
      <c r="K203" s="6"/>
    </row>
    <row r="204">
      <c r="G204" s="6"/>
      <c r="H204" s="6"/>
      <c r="I204" s="6"/>
      <c r="J204" s="5"/>
      <c r="K204" s="6"/>
    </row>
    <row r="205">
      <c r="G205" s="6"/>
      <c r="H205" s="6"/>
      <c r="I205" s="5"/>
      <c r="J205" s="5"/>
      <c r="K205" s="5"/>
    </row>
    <row r="206">
      <c r="G206" s="5"/>
      <c r="H206" s="5"/>
      <c r="I206" s="6"/>
      <c r="J206" s="5"/>
      <c r="K206" s="6"/>
    </row>
    <row r="207">
      <c r="G207" s="6"/>
      <c r="H207" s="6"/>
      <c r="I207" s="6"/>
      <c r="J207" s="6"/>
      <c r="K207" s="5"/>
    </row>
    <row r="208">
      <c r="G208" s="5"/>
      <c r="H208" s="5"/>
      <c r="I208" s="6"/>
      <c r="J208" s="5"/>
      <c r="K208" s="5"/>
    </row>
    <row r="209">
      <c r="G209" s="5"/>
      <c r="H209" s="5"/>
      <c r="I209" s="6"/>
      <c r="J209" s="6"/>
      <c r="K209" s="5"/>
    </row>
    <row r="210">
      <c r="G210" s="6"/>
      <c r="H210" s="6"/>
      <c r="I210" s="5"/>
      <c r="J210" s="6"/>
      <c r="K210" s="5"/>
    </row>
    <row r="211">
      <c r="G211" s="5"/>
      <c r="H211" s="5"/>
      <c r="I211" s="6"/>
      <c r="J211" s="5"/>
      <c r="K211" s="6"/>
    </row>
    <row r="212">
      <c r="G212" s="5"/>
      <c r="H212" s="5"/>
      <c r="I212" s="5"/>
      <c r="J212" s="5"/>
      <c r="K212" s="6"/>
    </row>
    <row r="213">
      <c r="G213" s="6"/>
      <c r="H213" s="6"/>
      <c r="I213" s="6"/>
      <c r="J213" s="5"/>
      <c r="K213" s="5"/>
    </row>
    <row r="214">
      <c r="G214" s="6"/>
      <c r="H214" s="6"/>
      <c r="I214" s="6"/>
      <c r="J214" s="5"/>
      <c r="K214" s="5"/>
    </row>
    <row r="215">
      <c r="G215" s="5"/>
      <c r="H215" s="5"/>
      <c r="I215" s="5"/>
      <c r="J215" s="6"/>
      <c r="K215" s="6"/>
    </row>
    <row r="216">
      <c r="G216" s="6"/>
      <c r="H216" s="6"/>
      <c r="I216" s="5"/>
      <c r="J216" s="5"/>
      <c r="K216" s="5"/>
    </row>
    <row r="217">
      <c r="G217" s="5"/>
      <c r="H217" s="5"/>
      <c r="I217" s="6"/>
      <c r="J217" s="6"/>
      <c r="K217" s="6"/>
    </row>
    <row r="218">
      <c r="G218" s="5"/>
      <c r="H218" s="5"/>
      <c r="I218" s="5"/>
      <c r="J218" s="6"/>
      <c r="K218" s="6"/>
    </row>
    <row r="219">
      <c r="G219" s="6"/>
      <c r="H219" s="6"/>
      <c r="I219" s="6"/>
      <c r="J219" s="5"/>
      <c r="K219" s="5"/>
    </row>
    <row r="220">
      <c r="G220" s="6"/>
      <c r="H220" s="6"/>
      <c r="I220" s="5"/>
      <c r="J220" s="5"/>
      <c r="K220" s="6"/>
    </row>
    <row r="221">
      <c r="G221" s="5"/>
      <c r="H221" s="5"/>
      <c r="I221" s="6"/>
      <c r="J221" s="5"/>
      <c r="K221" s="6"/>
    </row>
    <row r="222">
      <c r="G222" s="6"/>
      <c r="H222" s="6"/>
      <c r="I222" s="6"/>
      <c r="J222" s="6"/>
      <c r="K222" s="6"/>
    </row>
    <row r="223">
      <c r="G223" s="6"/>
      <c r="H223" s="6"/>
      <c r="I223" s="6"/>
      <c r="J223" s="5"/>
      <c r="K223" s="5"/>
    </row>
    <row r="224">
      <c r="G224" s="5"/>
      <c r="H224" s="5"/>
      <c r="I224" s="6"/>
      <c r="J224" s="6"/>
      <c r="K224" s="6"/>
    </row>
    <row r="225">
      <c r="G225" s="5"/>
      <c r="H225" s="5"/>
      <c r="I225" s="6"/>
      <c r="J225" s="5"/>
      <c r="K225" s="5"/>
    </row>
    <row r="226">
      <c r="G226" s="6"/>
      <c r="H226" s="6"/>
      <c r="I226" s="6"/>
      <c r="J226" s="6"/>
      <c r="K226" s="5"/>
    </row>
    <row r="227">
      <c r="G227" s="5"/>
      <c r="H227" s="5"/>
      <c r="I227" s="5"/>
      <c r="J227" s="5"/>
      <c r="K227" s="5"/>
    </row>
    <row r="228">
      <c r="G228" s="6"/>
      <c r="H228" s="6"/>
      <c r="I228" s="6"/>
      <c r="J228" s="6"/>
      <c r="K228" s="6"/>
    </row>
    <row r="229">
      <c r="G229" s="6"/>
      <c r="H229" s="6"/>
      <c r="I229" s="5"/>
      <c r="J229" s="6"/>
      <c r="K229" s="6"/>
    </row>
    <row r="230">
      <c r="G230" s="5"/>
      <c r="H230" s="5"/>
      <c r="I230" s="5"/>
      <c r="J230" s="6"/>
      <c r="K230" s="6"/>
    </row>
    <row r="231">
      <c r="G231" s="6"/>
      <c r="H231" s="6"/>
      <c r="I231" s="6"/>
      <c r="J231" s="6"/>
      <c r="K231" s="6"/>
    </row>
    <row r="232">
      <c r="G232" s="6"/>
      <c r="H232" s="6"/>
      <c r="I232" s="5"/>
      <c r="J232" s="6"/>
      <c r="K232" s="6"/>
    </row>
    <row r="233">
      <c r="G233" s="5"/>
      <c r="H233" s="5"/>
      <c r="I233" s="5"/>
      <c r="J233" s="5"/>
      <c r="K233" s="5"/>
    </row>
    <row r="234">
      <c r="G234" s="5"/>
      <c r="H234" s="5"/>
      <c r="I234" s="6"/>
      <c r="J234" s="5"/>
      <c r="K234" s="5"/>
    </row>
    <row r="235">
      <c r="G235" s="6"/>
      <c r="H235" s="6"/>
      <c r="I235" s="5"/>
      <c r="J235" s="5"/>
      <c r="K235" s="5"/>
    </row>
    <row r="236">
      <c r="G236" s="5"/>
      <c r="H236" s="5"/>
      <c r="I236" s="6"/>
      <c r="J236" s="6"/>
      <c r="K236" s="5"/>
    </row>
    <row r="237">
      <c r="G237" s="6"/>
      <c r="H237" s="6"/>
      <c r="I237" s="6"/>
      <c r="J237" s="6"/>
      <c r="K237" s="6"/>
    </row>
    <row r="238">
      <c r="G238" s="6"/>
      <c r="H238" s="6"/>
      <c r="I238" s="5"/>
      <c r="J238" s="5"/>
      <c r="K238" s="5"/>
    </row>
    <row r="239">
      <c r="G239" s="5"/>
      <c r="H239" s="5"/>
      <c r="I239" s="5"/>
      <c r="J239" s="5"/>
      <c r="K239" s="6"/>
    </row>
    <row r="240">
      <c r="G240" s="5"/>
      <c r="H240" s="5"/>
      <c r="I240" s="6"/>
      <c r="J240" s="5"/>
      <c r="K240" s="5"/>
    </row>
    <row r="241">
      <c r="G241" s="6"/>
      <c r="H241" s="6"/>
      <c r="I241" s="5"/>
      <c r="J241" s="5"/>
      <c r="K241" s="6"/>
    </row>
    <row r="242">
      <c r="G242" s="5"/>
      <c r="H242" s="5"/>
      <c r="I242" s="5"/>
      <c r="J242" s="5"/>
      <c r="K242" s="5"/>
    </row>
    <row r="243">
      <c r="G243" s="5"/>
      <c r="H243" s="5"/>
      <c r="I243" s="6"/>
      <c r="J243" s="6"/>
      <c r="K243" s="5"/>
    </row>
    <row r="244">
      <c r="G244" s="6"/>
      <c r="H244" s="6"/>
      <c r="I244" s="6"/>
      <c r="J244" s="5"/>
      <c r="K244" s="5"/>
    </row>
    <row r="245">
      <c r="G245" s="5"/>
      <c r="H245" s="5"/>
      <c r="I245" s="6"/>
      <c r="J245" s="6"/>
      <c r="K245" s="6"/>
    </row>
    <row r="246">
      <c r="G246" s="6"/>
      <c r="H246" s="6"/>
      <c r="I246" s="5"/>
      <c r="J246" s="5"/>
      <c r="K246" s="6"/>
    </row>
    <row r="247">
      <c r="G247" s="6"/>
      <c r="H247" s="6"/>
      <c r="I247" s="6"/>
      <c r="J247" s="6"/>
      <c r="K247" s="6"/>
    </row>
    <row r="248">
      <c r="G248" s="5"/>
      <c r="H248" s="5"/>
      <c r="I248" s="6"/>
      <c r="J248" s="6"/>
      <c r="K248" s="6"/>
    </row>
    <row r="249">
      <c r="G249" s="5"/>
      <c r="H249" s="5"/>
      <c r="I249" s="6"/>
      <c r="J249" s="6"/>
      <c r="K249" s="6"/>
    </row>
    <row r="250">
      <c r="G250" s="6"/>
      <c r="H250" s="6"/>
      <c r="I250" s="6"/>
      <c r="J250" s="5"/>
      <c r="K250" s="5"/>
    </row>
    <row r="251">
      <c r="G251" s="5"/>
      <c r="H251" s="5"/>
      <c r="I251" s="6"/>
      <c r="J251" s="6"/>
      <c r="K251" s="5"/>
    </row>
    <row r="252">
      <c r="G252" s="5"/>
      <c r="H252" s="5"/>
      <c r="I252" s="6"/>
      <c r="J252" s="5"/>
      <c r="K252" s="5"/>
    </row>
    <row r="253">
      <c r="G253" s="6"/>
      <c r="H253" s="6"/>
      <c r="I253" s="6"/>
      <c r="J253" s="6"/>
      <c r="K253" s="6"/>
    </row>
    <row r="254">
      <c r="G254" s="5"/>
      <c r="H254" s="5"/>
      <c r="I254" s="6"/>
      <c r="J254" s="5"/>
      <c r="K254" s="5"/>
    </row>
    <row r="255">
      <c r="G255" s="6"/>
      <c r="H255" s="6"/>
      <c r="I255" s="5"/>
      <c r="J255" s="5"/>
      <c r="K255" s="6"/>
    </row>
    <row r="256">
      <c r="G256" s="6"/>
      <c r="H256" s="6"/>
      <c r="I256" s="5"/>
      <c r="J256" s="6"/>
      <c r="K256" s="5"/>
    </row>
    <row r="257">
      <c r="G257" s="5"/>
      <c r="H257" s="5"/>
      <c r="I257" s="5"/>
      <c r="J257" s="5"/>
      <c r="K257" s="6"/>
    </row>
    <row r="258">
      <c r="G258" s="5"/>
      <c r="H258" s="5"/>
      <c r="I258" s="5"/>
      <c r="J258" s="6"/>
      <c r="K258" s="6"/>
    </row>
    <row r="259">
      <c r="G259" s="6"/>
      <c r="H259" s="6"/>
      <c r="I259" s="6"/>
      <c r="J259" s="5"/>
      <c r="K259" s="6"/>
    </row>
    <row r="260">
      <c r="G260" s="5"/>
      <c r="H260" s="5"/>
      <c r="I260" s="5"/>
      <c r="J260" s="6"/>
      <c r="K260" s="6"/>
    </row>
    <row r="261">
      <c r="G261" s="5"/>
      <c r="H261" s="5"/>
      <c r="I261" s="6"/>
      <c r="J261" s="6"/>
      <c r="K261" s="6"/>
    </row>
    <row r="262">
      <c r="G262" s="6"/>
      <c r="H262" s="6"/>
      <c r="I262" s="5"/>
      <c r="J262" s="6"/>
      <c r="K262" s="5"/>
    </row>
    <row r="263">
      <c r="G263" s="5"/>
      <c r="H263" s="5"/>
      <c r="I263" s="6"/>
      <c r="J263" s="6"/>
      <c r="K263" s="6"/>
    </row>
    <row r="264">
      <c r="G264" s="6"/>
      <c r="H264" s="6"/>
      <c r="I264" s="6"/>
      <c r="J264" s="6"/>
      <c r="K264" s="6"/>
    </row>
    <row r="265">
      <c r="G265" s="6"/>
      <c r="H265" s="6"/>
      <c r="I265" s="6"/>
      <c r="J265" s="6"/>
      <c r="K265" s="5"/>
    </row>
    <row r="266">
      <c r="G266" s="5"/>
      <c r="H266" s="5"/>
      <c r="I266" s="6"/>
      <c r="J266" s="5"/>
      <c r="K266" s="5"/>
    </row>
    <row r="267">
      <c r="G267" s="5"/>
      <c r="H267" s="5"/>
      <c r="I267" s="6"/>
      <c r="J267" s="5"/>
      <c r="K267" s="5"/>
    </row>
    <row r="268">
      <c r="G268" s="6"/>
      <c r="H268" s="6"/>
      <c r="I268" s="6"/>
      <c r="J268" s="5"/>
      <c r="K268" s="6"/>
    </row>
    <row r="269">
      <c r="G269" s="5"/>
      <c r="H269" s="5"/>
      <c r="I269" s="6"/>
      <c r="J269" s="6"/>
      <c r="K269" s="6"/>
    </row>
    <row r="270">
      <c r="G270" s="6"/>
      <c r="H270" s="6"/>
      <c r="I270" s="6"/>
      <c r="J270" s="6"/>
      <c r="K270" s="6"/>
    </row>
    <row r="271">
      <c r="G271" s="6"/>
      <c r="H271" s="6"/>
      <c r="I271" s="6"/>
      <c r="J271" s="5"/>
      <c r="K271" s="5"/>
    </row>
    <row r="272">
      <c r="G272" s="5"/>
      <c r="H272" s="5"/>
      <c r="I272" s="6"/>
      <c r="J272" s="5"/>
      <c r="K272" s="6"/>
    </row>
    <row r="273">
      <c r="G273" s="6"/>
      <c r="H273" s="6"/>
      <c r="I273" s="5"/>
      <c r="J273" s="5"/>
      <c r="K273" s="5"/>
    </row>
    <row r="274">
      <c r="G274" s="6"/>
      <c r="H274" s="6"/>
      <c r="I274" s="6"/>
      <c r="J274" s="5"/>
      <c r="K274" s="5"/>
    </row>
    <row r="275">
      <c r="G275" s="5"/>
      <c r="H275" s="5"/>
      <c r="I275" s="6"/>
      <c r="J275" s="6"/>
      <c r="K275" s="5"/>
    </row>
    <row r="276">
      <c r="G276" s="5"/>
      <c r="H276" s="5"/>
      <c r="I276" s="6"/>
      <c r="J276" s="5"/>
      <c r="K276" s="5"/>
    </row>
    <row r="277">
      <c r="G277" s="6"/>
      <c r="H277" s="6"/>
      <c r="I277" s="6"/>
      <c r="J277" s="5"/>
      <c r="K277" s="6"/>
    </row>
    <row r="278">
      <c r="G278" s="5"/>
      <c r="H278" s="5"/>
      <c r="I278" s="5"/>
      <c r="J278" s="6"/>
      <c r="K278" s="6"/>
    </row>
    <row r="279">
      <c r="G279" s="6"/>
      <c r="H279" s="6"/>
      <c r="I279" s="5"/>
      <c r="J279" s="5"/>
      <c r="K279" s="6"/>
    </row>
    <row r="280">
      <c r="G280" s="6"/>
      <c r="H280" s="6"/>
      <c r="I280" s="5"/>
      <c r="J280" s="6"/>
      <c r="K280" s="6"/>
    </row>
    <row r="281">
      <c r="G281" s="5"/>
      <c r="H281" s="5"/>
      <c r="I281" s="6"/>
      <c r="J281" s="6"/>
      <c r="K281" s="6"/>
    </row>
    <row r="282">
      <c r="G282" s="6"/>
      <c r="H282" s="6"/>
      <c r="I282" s="6"/>
      <c r="J282" s="5"/>
      <c r="K282" s="5"/>
    </row>
    <row r="283">
      <c r="G283" s="6"/>
      <c r="H283" s="6"/>
      <c r="I283" s="5"/>
      <c r="J283" s="6"/>
      <c r="K283" s="6"/>
    </row>
    <row r="284">
      <c r="G284" s="5"/>
      <c r="H284" s="5"/>
      <c r="I284" s="6"/>
      <c r="J284" s="6"/>
      <c r="K284" s="6"/>
    </row>
    <row r="285">
      <c r="G285" s="6"/>
      <c r="H285" s="6"/>
      <c r="I285" s="6"/>
      <c r="J285" s="6"/>
      <c r="K285" s="6"/>
    </row>
    <row r="286">
      <c r="G286" s="6"/>
      <c r="H286" s="6"/>
      <c r="I286" s="5"/>
      <c r="J286" s="6"/>
      <c r="K286" s="6"/>
    </row>
    <row r="287">
      <c r="G287" s="5"/>
      <c r="H287" s="5"/>
      <c r="I287" s="5"/>
      <c r="J287" s="6"/>
      <c r="K287" s="5"/>
    </row>
    <row r="288">
      <c r="G288" s="6"/>
      <c r="H288" s="6"/>
      <c r="I288" s="5"/>
      <c r="J288" s="5"/>
      <c r="K288" s="6"/>
    </row>
    <row r="289">
      <c r="G289" s="6"/>
      <c r="H289" s="6"/>
      <c r="I289" s="6"/>
      <c r="J289" s="5"/>
      <c r="K289" s="5"/>
    </row>
    <row r="290">
      <c r="G290" s="5"/>
      <c r="H290" s="5"/>
      <c r="I290" s="6"/>
      <c r="J290" s="5"/>
      <c r="K290" s="5"/>
    </row>
    <row r="291">
      <c r="G291" s="6"/>
      <c r="H291" s="6"/>
      <c r="I291" s="6"/>
      <c r="J291" s="6"/>
      <c r="K291" s="5"/>
    </row>
    <row r="292">
      <c r="G292" s="6"/>
      <c r="H292" s="6"/>
      <c r="I292" s="6"/>
      <c r="J292" s="6"/>
      <c r="K292" s="6"/>
    </row>
    <row r="293">
      <c r="G293" s="5"/>
      <c r="H293" s="5"/>
      <c r="I293" s="5"/>
      <c r="J293" s="6"/>
      <c r="K293" s="6"/>
    </row>
    <row r="294">
      <c r="G294" s="6"/>
      <c r="H294" s="6"/>
      <c r="I294" s="6"/>
      <c r="J294" s="5"/>
      <c r="K294" s="5"/>
    </row>
    <row r="295">
      <c r="G295" s="6"/>
      <c r="H295" s="6"/>
      <c r="I295" s="5"/>
      <c r="J295" s="5"/>
      <c r="K295" s="5"/>
    </row>
    <row r="296">
      <c r="G296" s="5"/>
      <c r="H296" s="5"/>
      <c r="I296" s="5"/>
      <c r="J296" s="6"/>
      <c r="K296" s="6"/>
    </row>
    <row r="297">
      <c r="G297" s="6"/>
      <c r="H297" s="6"/>
      <c r="I297" s="6"/>
      <c r="J297" s="6"/>
      <c r="K297" s="6"/>
    </row>
    <row r="298">
      <c r="G298" s="6"/>
      <c r="H298" s="6"/>
      <c r="I298" s="5"/>
      <c r="J298" s="6"/>
      <c r="K298" s="6"/>
    </row>
    <row r="299">
      <c r="G299" s="5"/>
      <c r="H299" s="5"/>
      <c r="I299" s="6"/>
      <c r="J299" s="5"/>
      <c r="K299" s="6"/>
    </row>
    <row r="300">
      <c r="G300" s="6"/>
      <c r="H300" s="6"/>
      <c r="I300" s="6"/>
      <c r="J300" s="5"/>
      <c r="K300" s="5"/>
    </row>
    <row r="301">
      <c r="G301" s="6"/>
      <c r="H301" s="6"/>
      <c r="I301" s="6"/>
      <c r="J301" s="6"/>
      <c r="K301" s="6"/>
    </row>
    <row r="302">
      <c r="G302" s="5"/>
      <c r="H302" s="5"/>
      <c r="I302" s="6"/>
      <c r="J302" s="5"/>
      <c r="K302" s="5"/>
    </row>
    <row r="303">
      <c r="G303" s="6"/>
      <c r="H303" s="6"/>
      <c r="I303" s="5"/>
      <c r="J303" s="5"/>
      <c r="K303" s="5"/>
    </row>
    <row r="304">
      <c r="G304" s="6"/>
      <c r="H304" s="6"/>
      <c r="I304" s="5"/>
      <c r="J304" s="6"/>
      <c r="K304" s="5"/>
    </row>
    <row r="305">
      <c r="G305" s="6"/>
      <c r="H305" s="6"/>
      <c r="I305" s="6"/>
      <c r="J305" s="6"/>
      <c r="K305" s="6"/>
    </row>
    <row r="306">
      <c r="G306" s="6"/>
      <c r="H306" s="6"/>
      <c r="I306" s="5"/>
      <c r="J306" s="5"/>
      <c r="K306" s="5"/>
    </row>
    <row r="307">
      <c r="G307" s="6"/>
      <c r="H307" s="6"/>
      <c r="I307" s="6"/>
      <c r="J307" s="5"/>
      <c r="K307" s="5"/>
    </row>
    <row r="308">
      <c r="G308" s="5"/>
      <c r="H308" s="5"/>
      <c r="I308" s="6"/>
      <c r="J308" s="6"/>
      <c r="K308" s="6"/>
    </row>
    <row r="309">
      <c r="G309" s="6"/>
      <c r="H309" s="6"/>
      <c r="I309" s="6"/>
      <c r="J309" s="5"/>
      <c r="K309" s="5"/>
    </row>
    <row r="310">
      <c r="G310" s="6"/>
      <c r="H310" s="6"/>
      <c r="I310" s="6"/>
      <c r="J310" s="5"/>
      <c r="K310" s="6"/>
    </row>
    <row r="311">
      <c r="G311" s="5"/>
      <c r="H311" s="5"/>
      <c r="I311" s="5"/>
      <c r="J311" s="5"/>
      <c r="K311" s="6"/>
    </row>
    <row r="312">
      <c r="G312" s="6"/>
      <c r="H312" s="6"/>
      <c r="I312" s="6"/>
      <c r="J312" s="5"/>
      <c r="K312" s="6"/>
    </row>
    <row r="313">
      <c r="G313" s="6"/>
      <c r="H313" s="6"/>
      <c r="I313" s="5"/>
      <c r="J313" s="5"/>
      <c r="K313" s="5"/>
    </row>
    <row r="314">
      <c r="G314" s="5"/>
      <c r="H314" s="5"/>
      <c r="I314" s="5"/>
      <c r="J314" s="6"/>
      <c r="K314" s="6"/>
    </row>
    <row r="315">
      <c r="G315" s="6"/>
      <c r="H315" s="6"/>
      <c r="I315" s="6"/>
      <c r="J315" s="5"/>
      <c r="K315" s="5"/>
    </row>
    <row r="316">
      <c r="G316" s="6"/>
      <c r="H316" s="6"/>
      <c r="I316" s="6"/>
      <c r="J316" s="5"/>
      <c r="K316" s="6"/>
    </row>
    <row r="317">
      <c r="G317" s="5"/>
      <c r="H317" s="5"/>
      <c r="I317" s="6"/>
      <c r="J317" s="6"/>
      <c r="K317" s="6"/>
    </row>
    <row r="318">
      <c r="G318" s="6"/>
      <c r="H318" s="6"/>
      <c r="I318" s="6"/>
      <c r="J318" s="5"/>
      <c r="K318" s="5"/>
    </row>
    <row r="319">
      <c r="G319" s="6"/>
      <c r="H319" s="6"/>
      <c r="I319" s="6"/>
      <c r="J319" s="6"/>
      <c r="K319" s="6"/>
    </row>
    <row r="320">
      <c r="G320" s="5"/>
      <c r="H320" s="5"/>
      <c r="I320" s="6"/>
      <c r="J320" s="5"/>
      <c r="K320" s="6"/>
    </row>
    <row r="321">
      <c r="G321" s="6"/>
      <c r="H321" s="6"/>
      <c r="I321" s="6"/>
      <c r="J321" s="5"/>
      <c r="K321" s="6"/>
    </row>
    <row r="322">
      <c r="G322" s="6"/>
      <c r="H322" s="6"/>
      <c r="I322" s="5"/>
      <c r="J322" s="6"/>
      <c r="K322" s="6"/>
    </row>
    <row r="323">
      <c r="G323" s="5"/>
      <c r="H323" s="5"/>
      <c r="I323" s="6"/>
      <c r="J323" s="6"/>
      <c r="K323" s="6"/>
    </row>
    <row r="324">
      <c r="G324" s="6"/>
      <c r="H324" s="6"/>
      <c r="I324" s="5"/>
      <c r="J324" s="5"/>
      <c r="K324" s="5"/>
    </row>
    <row r="325">
      <c r="G325" s="6"/>
      <c r="H325" s="6"/>
      <c r="I325" s="6"/>
      <c r="J325" s="5"/>
      <c r="K325" s="5"/>
    </row>
    <row r="326">
      <c r="G326" s="5"/>
      <c r="H326" s="5"/>
      <c r="I326" s="6"/>
      <c r="J326" s="6"/>
      <c r="K326" s="6"/>
    </row>
    <row r="327">
      <c r="G327" s="6"/>
      <c r="H327" s="6"/>
      <c r="I327" s="6"/>
      <c r="J327" s="6"/>
      <c r="K327" s="6"/>
    </row>
    <row r="328">
      <c r="G328" s="6"/>
      <c r="H328" s="6"/>
      <c r="I328" s="6"/>
      <c r="J328" s="5"/>
      <c r="K328" s="5"/>
    </row>
    <row r="329">
      <c r="G329" s="5"/>
      <c r="H329" s="5"/>
      <c r="I329" s="6"/>
      <c r="J329" s="6"/>
      <c r="K329" s="6"/>
    </row>
    <row r="330">
      <c r="G330" s="6"/>
      <c r="H330" s="6"/>
      <c r="I330" s="5"/>
      <c r="J330" s="5"/>
      <c r="K330" s="5"/>
    </row>
    <row r="331">
      <c r="G331" s="6"/>
      <c r="H331" s="6"/>
      <c r="I331" s="6"/>
      <c r="J331" s="5"/>
      <c r="K331" s="5"/>
    </row>
    <row r="332">
      <c r="G332" s="5"/>
      <c r="H332" s="5"/>
      <c r="I332" s="6"/>
      <c r="J332" s="6"/>
      <c r="K332" s="6"/>
    </row>
    <row r="333">
      <c r="G333" s="6"/>
      <c r="H333" s="6"/>
      <c r="I333" s="6"/>
      <c r="J333" s="5"/>
      <c r="K333" s="5"/>
    </row>
    <row r="334">
      <c r="G334" s="6"/>
      <c r="H334" s="6"/>
      <c r="I334" s="5"/>
      <c r="J334" s="6"/>
      <c r="K334" s="5"/>
    </row>
    <row r="335">
      <c r="G335" s="5"/>
      <c r="H335" s="5"/>
      <c r="I335" s="5"/>
      <c r="J335" s="6"/>
      <c r="K335" s="6"/>
    </row>
    <row r="336">
      <c r="G336" s="6"/>
      <c r="H336" s="6"/>
      <c r="I336" s="5"/>
      <c r="J336" s="5"/>
      <c r="K336" s="5"/>
    </row>
    <row r="337">
      <c r="G337" s="6"/>
      <c r="H337" s="6"/>
      <c r="I337" s="5"/>
      <c r="J337" s="6"/>
      <c r="K337" s="6"/>
    </row>
    <row r="338">
      <c r="G338" s="5"/>
      <c r="H338" s="5"/>
      <c r="I338" s="6"/>
      <c r="J338" s="5"/>
      <c r="K338" s="5"/>
    </row>
    <row r="339">
      <c r="G339" s="6"/>
      <c r="H339" s="6"/>
      <c r="I339" s="6"/>
      <c r="J339" s="6"/>
      <c r="K339" s="6"/>
    </row>
    <row r="340">
      <c r="G340" s="6"/>
      <c r="H340" s="6"/>
      <c r="I340" s="6"/>
      <c r="J340" s="5"/>
      <c r="K340" s="5"/>
    </row>
    <row r="341">
      <c r="G341" s="5"/>
      <c r="H341" s="5"/>
      <c r="I341" s="6"/>
      <c r="J341" s="6"/>
      <c r="K341" s="5"/>
    </row>
    <row r="342">
      <c r="G342" s="6"/>
      <c r="H342" s="6"/>
      <c r="I342" s="6"/>
      <c r="J342" s="6"/>
      <c r="K342" s="6"/>
    </row>
    <row r="343">
      <c r="G343" s="5"/>
      <c r="H343" s="5"/>
      <c r="I343" s="5"/>
      <c r="J343" s="5"/>
      <c r="K343" s="5"/>
    </row>
    <row r="344">
      <c r="G344" s="5"/>
      <c r="H344" s="5"/>
      <c r="I344" s="5"/>
      <c r="J344" s="6"/>
      <c r="K344" s="6"/>
    </row>
    <row r="345">
      <c r="G345" s="6"/>
      <c r="H345" s="6"/>
      <c r="I345" s="5"/>
      <c r="J345" s="6"/>
      <c r="K345" s="5"/>
    </row>
    <row r="346">
      <c r="G346" s="6"/>
      <c r="H346" s="6"/>
      <c r="I346" s="6"/>
      <c r="J346" s="6"/>
      <c r="K346" s="6"/>
    </row>
    <row r="347">
      <c r="G347" s="5"/>
      <c r="H347" s="5"/>
      <c r="I347" s="5"/>
      <c r="J347" s="6"/>
      <c r="K347" s="5"/>
    </row>
    <row r="348">
      <c r="G348" s="6"/>
      <c r="H348" s="6"/>
      <c r="I348" s="6"/>
      <c r="J348" s="6"/>
      <c r="K348" s="5"/>
    </row>
    <row r="349">
      <c r="G349" s="6"/>
      <c r="H349" s="6"/>
      <c r="I349" s="5"/>
      <c r="J349" s="6"/>
      <c r="K349" s="6"/>
    </row>
    <row r="350">
      <c r="G350" s="5"/>
      <c r="H350" s="5"/>
      <c r="I350" s="5"/>
      <c r="J350" s="6"/>
      <c r="K350" s="6"/>
    </row>
    <row r="351">
      <c r="G351" s="6"/>
      <c r="H351" s="6"/>
      <c r="I351" s="6"/>
      <c r="J351" s="6"/>
      <c r="K351" s="5"/>
    </row>
    <row r="352">
      <c r="G352" s="6"/>
      <c r="H352" s="6"/>
      <c r="I352" s="6"/>
      <c r="J352" s="5"/>
      <c r="K352" s="5"/>
    </row>
    <row r="353">
      <c r="G353" s="5"/>
      <c r="H353" s="5"/>
      <c r="I353" s="6"/>
      <c r="J353" s="6"/>
      <c r="K353" s="6"/>
    </row>
    <row r="354">
      <c r="G354" s="6"/>
      <c r="H354" s="6"/>
      <c r="I354" s="6"/>
      <c r="J354" s="6"/>
      <c r="K354" s="5"/>
    </row>
    <row r="355">
      <c r="G355" s="6"/>
      <c r="H355" s="6"/>
      <c r="I355" s="6"/>
      <c r="J355" s="6"/>
      <c r="K355" s="5"/>
    </row>
    <row r="356">
      <c r="G356" s="5"/>
      <c r="H356" s="5"/>
      <c r="I356" s="6"/>
      <c r="J356" s="5"/>
      <c r="K356" s="6"/>
    </row>
    <row r="357">
      <c r="G357" s="6"/>
      <c r="H357" s="6"/>
      <c r="I357" s="6"/>
      <c r="J357" s="6"/>
      <c r="K357" s="5"/>
    </row>
    <row r="358">
      <c r="G358" s="6"/>
      <c r="H358" s="6"/>
      <c r="I358" s="5"/>
      <c r="J358" s="5"/>
      <c r="K358" s="5"/>
    </row>
    <row r="359">
      <c r="G359" s="5"/>
      <c r="H359" s="5"/>
      <c r="I359" s="5"/>
      <c r="J359" s="6"/>
      <c r="K359" s="6"/>
    </row>
    <row r="360">
      <c r="G360" s="6"/>
      <c r="H360" s="6"/>
      <c r="I360" s="6"/>
      <c r="J360" s="5"/>
      <c r="K360" s="5"/>
    </row>
    <row r="361">
      <c r="G361" s="6"/>
      <c r="H361" s="6"/>
      <c r="I361" s="5"/>
      <c r="J361" s="6"/>
      <c r="K361" s="5"/>
    </row>
    <row r="362">
      <c r="G362" s="5"/>
      <c r="H362" s="5"/>
      <c r="I362" s="5"/>
      <c r="J362" s="6"/>
      <c r="K362" s="5"/>
    </row>
    <row r="363">
      <c r="G363" s="6"/>
      <c r="H363" s="6"/>
      <c r="I363" s="6"/>
      <c r="J363" s="6"/>
      <c r="K363" s="6"/>
    </row>
    <row r="364">
      <c r="G364" s="6"/>
      <c r="H364" s="6"/>
      <c r="I364" s="6"/>
      <c r="J364" s="6"/>
      <c r="K364" s="5"/>
    </row>
    <row r="365">
      <c r="G365" s="5"/>
      <c r="H365" s="5"/>
      <c r="I365" s="6"/>
      <c r="J365" s="6"/>
      <c r="K365" s="5"/>
    </row>
    <row r="366">
      <c r="G366" s="6"/>
      <c r="H366" s="6"/>
      <c r="I366" s="6"/>
      <c r="J366" s="6"/>
      <c r="K366" s="5"/>
    </row>
    <row r="367">
      <c r="G367" s="6"/>
      <c r="H367" s="6"/>
      <c r="I367" s="6"/>
      <c r="J367" s="5"/>
      <c r="K367" s="5"/>
    </row>
    <row r="368">
      <c r="G368" s="5"/>
      <c r="H368" s="5"/>
      <c r="I368" s="6"/>
      <c r="J368" s="5"/>
      <c r="K368" s="6"/>
    </row>
    <row r="369">
      <c r="G369" s="6"/>
      <c r="H369" s="6"/>
      <c r="I369" s="6"/>
      <c r="J369" s="5"/>
      <c r="K369" s="6"/>
    </row>
    <row r="370">
      <c r="G370" s="6"/>
      <c r="H370" s="6"/>
      <c r="I370" s="5"/>
      <c r="J370" s="6"/>
      <c r="K370" s="6"/>
    </row>
    <row r="371">
      <c r="G371" s="5"/>
      <c r="H371" s="5"/>
      <c r="I371" s="6"/>
      <c r="J371" s="5"/>
      <c r="K371" s="6"/>
    </row>
    <row r="372">
      <c r="G372" s="6"/>
      <c r="H372" s="6"/>
      <c r="I372" s="5"/>
      <c r="J372" s="6"/>
      <c r="K372" s="5"/>
    </row>
    <row r="373">
      <c r="G373" s="6"/>
      <c r="H373" s="6"/>
      <c r="I373" s="5"/>
      <c r="J373" s="6"/>
      <c r="K373" s="5"/>
    </row>
    <row r="374">
      <c r="G374" s="5"/>
      <c r="H374" s="5"/>
      <c r="I374" s="6"/>
      <c r="J374" s="6"/>
      <c r="K374" s="6"/>
    </row>
    <row r="375">
      <c r="G375" s="6"/>
      <c r="H375" s="6"/>
      <c r="I375" s="5"/>
      <c r="J375" s="5"/>
      <c r="K375" s="6"/>
    </row>
    <row r="376">
      <c r="G376" s="6"/>
      <c r="H376" s="6"/>
      <c r="I376" s="6"/>
      <c r="J376" s="5"/>
      <c r="K376" s="6"/>
    </row>
    <row r="377">
      <c r="G377" s="5"/>
      <c r="H377" s="5"/>
      <c r="I377" s="6"/>
      <c r="J377" s="5"/>
      <c r="K377" s="6"/>
    </row>
    <row r="378">
      <c r="G378" s="6"/>
      <c r="H378" s="6"/>
      <c r="I378" s="5"/>
      <c r="J378" s="6"/>
      <c r="K378" s="5"/>
    </row>
    <row r="379">
      <c r="G379" s="6"/>
      <c r="H379" s="6"/>
      <c r="I379" s="6"/>
      <c r="J379" s="5"/>
      <c r="K379" s="5"/>
    </row>
    <row r="380">
      <c r="G380" s="5"/>
      <c r="H380" s="5"/>
      <c r="I380" s="5"/>
      <c r="J380" s="6"/>
      <c r="K380" s="5"/>
    </row>
    <row r="381">
      <c r="G381" s="6"/>
      <c r="H381" s="6"/>
      <c r="I381" s="6"/>
      <c r="J381" s="6"/>
      <c r="K381" s="6"/>
    </row>
    <row r="382">
      <c r="G382" s="6"/>
      <c r="H382" s="6"/>
      <c r="I382" s="6"/>
      <c r="J382" s="5"/>
      <c r="K382" s="6"/>
    </row>
    <row r="383">
      <c r="G383" s="5"/>
      <c r="H383" s="5"/>
      <c r="I383" s="6"/>
      <c r="J383" s="5"/>
      <c r="K383" s="6"/>
    </row>
    <row r="384">
      <c r="G384" s="5"/>
      <c r="H384" s="5"/>
      <c r="I384" s="6"/>
      <c r="J384" s="5"/>
      <c r="K384" s="6"/>
    </row>
    <row r="385">
      <c r="G385" s="6"/>
      <c r="H385" s="6"/>
      <c r="I385" s="6"/>
      <c r="J385" s="6"/>
      <c r="K385" s="6"/>
    </row>
    <row r="386">
      <c r="G386" s="5"/>
      <c r="H386" s="5"/>
      <c r="I386" s="5"/>
      <c r="J386" s="5"/>
      <c r="K386" s="5"/>
    </row>
    <row r="387">
      <c r="G387" s="6"/>
      <c r="H387" s="6"/>
      <c r="I387" s="6"/>
      <c r="J387" s="6"/>
      <c r="K387" s="6"/>
    </row>
    <row r="388">
      <c r="G388" s="6"/>
      <c r="H388" s="6"/>
      <c r="I388" s="6"/>
      <c r="J388" s="6"/>
      <c r="K388" s="6"/>
    </row>
    <row r="389">
      <c r="G389" s="5"/>
      <c r="H389" s="5"/>
      <c r="I389" s="6"/>
      <c r="J389" s="5"/>
      <c r="K389" s="5"/>
    </row>
    <row r="390">
      <c r="G390" s="5"/>
      <c r="H390" s="5"/>
      <c r="I390" s="6"/>
      <c r="J390" s="5"/>
      <c r="K390" s="5"/>
    </row>
    <row r="391">
      <c r="G391" s="6"/>
      <c r="H391" s="6"/>
      <c r="I391" s="5"/>
      <c r="J391" s="5"/>
      <c r="K391" s="5"/>
    </row>
    <row r="392">
      <c r="G392" s="5"/>
      <c r="H392" s="5"/>
      <c r="I392" s="6"/>
      <c r="J392" s="6"/>
      <c r="K392" s="6"/>
    </row>
    <row r="393">
      <c r="G393" s="5"/>
      <c r="H393" s="5"/>
      <c r="I393" s="6"/>
      <c r="J393" s="6"/>
      <c r="K393" s="5"/>
    </row>
    <row r="394">
      <c r="G394" s="6"/>
      <c r="H394" s="6"/>
      <c r="I394" s="6"/>
      <c r="J394" s="5"/>
      <c r="K394" s="6"/>
    </row>
    <row r="395">
      <c r="G395" s="5"/>
      <c r="H395" s="5"/>
      <c r="I395" s="5"/>
      <c r="J395" s="5"/>
      <c r="K395" s="6"/>
    </row>
    <row r="396">
      <c r="G396" s="6"/>
      <c r="H396" s="6"/>
      <c r="I396" s="6"/>
      <c r="J396" s="6"/>
      <c r="K396" s="6"/>
    </row>
    <row r="397">
      <c r="G397" s="6"/>
      <c r="H397" s="6"/>
      <c r="I397" s="6"/>
      <c r="J397" s="5"/>
      <c r="K397" s="5"/>
    </row>
    <row r="398">
      <c r="G398" s="5"/>
      <c r="H398" s="5"/>
      <c r="I398" s="5"/>
      <c r="J398" s="6"/>
      <c r="K398" s="5"/>
    </row>
    <row r="399">
      <c r="G399" s="5"/>
      <c r="H399" s="5"/>
      <c r="I399" s="6"/>
      <c r="J399" s="6"/>
      <c r="K399" s="6"/>
    </row>
    <row r="400">
      <c r="G400" s="6"/>
      <c r="H400" s="6"/>
      <c r="I400" s="6"/>
      <c r="J400" s="6"/>
      <c r="K400" s="6"/>
    </row>
    <row r="401">
      <c r="G401" s="6"/>
      <c r="H401" s="6"/>
      <c r="I401" s="6"/>
      <c r="J401" s="5"/>
      <c r="K401" s="6"/>
    </row>
    <row r="402">
      <c r="G402" s="6"/>
      <c r="H402" s="6"/>
      <c r="I402" s="5"/>
      <c r="J402" s="5"/>
      <c r="K402" s="5"/>
    </row>
    <row r="403">
      <c r="G403" s="5"/>
      <c r="H403" s="5"/>
      <c r="I403" s="5"/>
      <c r="J403" s="6"/>
      <c r="K403" s="6"/>
    </row>
    <row r="404">
      <c r="G404" s="6"/>
      <c r="H404" s="6"/>
      <c r="I404" s="5"/>
      <c r="J404" s="5"/>
      <c r="K404" s="5"/>
    </row>
    <row r="405">
      <c r="G405" s="6"/>
      <c r="H405" s="6"/>
      <c r="I405" s="6"/>
      <c r="J405" s="6"/>
      <c r="K405" s="5"/>
    </row>
    <row r="406">
      <c r="G406" s="5"/>
      <c r="H406" s="5"/>
      <c r="I406" s="5"/>
      <c r="J406" s="5"/>
      <c r="K406" s="5"/>
    </row>
    <row r="407">
      <c r="G407" s="6"/>
      <c r="H407" s="6"/>
      <c r="I407" s="5"/>
      <c r="J407" s="6"/>
      <c r="K407" s="6"/>
    </row>
    <row r="408">
      <c r="G408" s="6"/>
      <c r="H408" s="6"/>
      <c r="I408" s="5"/>
      <c r="J408" s="6"/>
      <c r="K408" s="6"/>
    </row>
    <row r="409">
      <c r="G409" s="5"/>
      <c r="H409" s="5"/>
      <c r="I409" s="6"/>
      <c r="J409" s="5"/>
      <c r="K409" s="5"/>
    </row>
    <row r="410">
      <c r="G410" s="6"/>
      <c r="H410" s="6"/>
      <c r="I410" s="6"/>
      <c r="J410" s="6"/>
      <c r="K410" s="5"/>
    </row>
    <row r="411">
      <c r="G411" s="6"/>
      <c r="H411" s="6"/>
      <c r="I411" s="6"/>
      <c r="J411" s="6"/>
      <c r="K411" s="5"/>
    </row>
    <row r="412">
      <c r="G412" s="5"/>
      <c r="H412" s="5"/>
      <c r="I412" s="5"/>
      <c r="J412" s="5"/>
      <c r="K412" s="5"/>
    </row>
    <row r="413">
      <c r="G413" s="6"/>
      <c r="H413" s="6"/>
      <c r="I413" s="6"/>
      <c r="J413" s="6"/>
      <c r="K413" s="6"/>
    </row>
    <row r="414">
      <c r="G414" s="6"/>
      <c r="H414" s="6"/>
      <c r="I414" s="5"/>
      <c r="J414" s="5"/>
      <c r="K414" s="6"/>
    </row>
    <row r="415">
      <c r="G415" s="5"/>
      <c r="H415" s="5"/>
      <c r="I415" s="5"/>
      <c r="J415" s="5"/>
      <c r="K415" s="5"/>
    </row>
    <row r="416">
      <c r="G416" s="5"/>
      <c r="H416" s="5"/>
      <c r="I416" s="6"/>
      <c r="J416" s="5"/>
      <c r="K416" s="5"/>
    </row>
    <row r="417">
      <c r="G417" s="6"/>
      <c r="H417" s="6"/>
      <c r="I417" s="5"/>
      <c r="J417" s="5"/>
      <c r="K417" s="6"/>
    </row>
    <row r="418">
      <c r="G418" s="5"/>
      <c r="H418" s="5"/>
      <c r="I418" s="6"/>
      <c r="J418" s="5"/>
      <c r="K418" s="5"/>
    </row>
    <row r="419">
      <c r="G419" s="6"/>
      <c r="H419" s="6"/>
      <c r="I419" s="6"/>
      <c r="J419" s="5"/>
      <c r="K419" s="6"/>
    </row>
    <row r="420">
      <c r="G420" s="6"/>
      <c r="H420" s="6"/>
      <c r="I420" s="5"/>
      <c r="J420" s="5"/>
      <c r="K420" s="6"/>
    </row>
    <row r="421">
      <c r="G421" s="5"/>
      <c r="H421" s="5"/>
      <c r="I421" s="6"/>
      <c r="J421" s="6"/>
      <c r="K421" s="5"/>
    </row>
    <row r="422">
      <c r="G422" s="6"/>
      <c r="H422" s="6"/>
      <c r="I422" s="5"/>
      <c r="J422" s="5"/>
      <c r="K422" s="6"/>
    </row>
    <row r="423">
      <c r="G423" s="6"/>
      <c r="H423" s="6"/>
      <c r="I423" s="6"/>
      <c r="J423" s="5"/>
      <c r="K423" s="5"/>
    </row>
    <row r="424">
      <c r="G424" s="5"/>
      <c r="H424" s="5"/>
      <c r="I424" s="6"/>
      <c r="J424" s="5"/>
      <c r="K424" s="5"/>
    </row>
    <row r="425">
      <c r="G425" s="5"/>
      <c r="H425" s="5"/>
      <c r="I425" s="6"/>
      <c r="J425" s="6"/>
      <c r="K425" s="5"/>
    </row>
    <row r="426">
      <c r="G426" s="6"/>
      <c r="H426" s="6"/>
      <c r="I426" s="6"/>
      <c r="J426" s="5"/>
      <c r="K426" s="5"/>
    </row>
    <row r="427">
      <c r="G427" s="5"/>
      <c r="H427" s="5"/>
      <c r="I427" s="6"/>
      <c r="J427" s="6"/>
      <c r="K427" s="6"/>
    </row>
    <row r="428">
      <c r="G428" s="6"/>
      <c r="H428" s="6"/>
      <c r="I428" s="5"/>
      <c r="J428" s="5"/>
      <c r="K428" s="6"/>
    </row>
    <row r="429">
      <c r="G429" s="6"/>
      <c r="H429" s="6"/>
      <c r="I429" s="6"/>
      <c r="J429" s="6"/>
      <c r="K429" s="5"/>
    </row>
    <row r="430">
      <c r="G430" s="5"/>
      <c r="H430" s="5"/>
      <c r="I430" s="6"/>
      <c r="J430" s="6"/>
      <c r="K430" s="5"/>
    </row>
    <row r="431">
      <c r="G431" s="6"/>
      <c r="H431" s="6"/>
      <c r="I431" s="6"/>
      <c r="J431" s="6"/>
      <c r="K431" s="6"/>
    </row>
    <row r="432">
      <c r="G432" s="6"/>
      <c r="H432" s="6"/>
      <c r="I432" s="6"/>
      <c r="J432" s="5"/>
      <c r="K432" s="6"/>
    </row>
    <row r="433">
      <c r="G433" s="5"/>
      <c r="H433" s="5"/>
      <c r="I433" s="6"/>
      <c r="J433" s="6"/>
      <c r="K433" s="5"/>
    </row>
    <row r="434">
      <c r="G434" s="5"/>
      <c r="H434" s="5"/>
      <c r="I434" s="6"/>
      <c r="J434" s="6"/>
      <c r="K434" s="6"/>
    </row>
    <row r="435">
      <c r="G435" s="6"/>
      <c r="H435" s="6"/>
      <c r="I435" s="6"/>
      <c r="J435" s="5"/>
      <c r="K435" s="5"/>
    </row>
    <row r="436">
      <c r="G436" s="5"/>
      <c r="H436" s="5"/>
      <c r="I436" s="6"/>
      <c r="J436" s="6"/>
      <c r="K436" s="5"/>
    </row>
    <row r="437">
      <c r="G437" s="6"/>
      <c r="H437" s="6"/>
      <c r="I437" s="5"/>
      <c r="J437" s="5"/>
      <c r="K437" s="6"/>
    </row>
    <row r="438">
      <c r="G438" s="6"/>
      <c r="H438" s="6"/>
      <c r="I438" s="5"/>
      <c r="J438" s="5"/>
      <c r="K438" s="5"/>
    </row>
    <row r="439">
      <c r="G439" s="5"/>
      <c r="H439" s="5"/>
      <c r="I439" s="6"/>
      <c r="J439" s="6"/>
      <c r="K439" s="6"/>
    </row>
    <row r="440">
      <c r="G440" s="5"/>
      <c r="H440" s="5"/>
      <c r="I440" s="6"/>
      <c r="J440" s="5"/>
      <c r="K440" s="6"/>
    </row>
    <row r="441">
      <c r="G441" s="6"/>
      <c r="H441" s="6"/>
      <c r="I441" s="6"/>
      <c r="J441" s="6"/>
      <c r="K441" s="5"/>
    </row>
    <row r="442">
      <c r="G442" s="5"/>
      <c r="H442" s="5"/>
      <c r="I442" s="6"/>
      <c r="J442" s="6"/>
      <c r="K442" s="5"/>
    </row>
    <row r="443">
      <c r="G443" s="5"/>
      <c r="H443" s="5"/>
      <c r="I443" s="6"/>
      <c r="J443" s="6"/>
      <c r="K443" s="6"/>
    </row>
    <row r="444">
      <c r="G444" s="6"/>
      <c r="H444" s="6"/>
      <c r="I444" s="6"/>
      <c r="J444" s="6"/>
      <c r="K444" s="5"/>
    </row>
    <row r="445">
      <c r="G445" s="6"/>
      <c r="H445" s="6"/>
      <c r="I445" s="6"/>
      <c r="J445" s="5"/>
      <c r="K445" s="5"/>
    </row>
    <row r="446">
      <c r="G446" s="6"/>
      <c r="H446" s="6"/>
      <c r="I446" s="5"/>
      <c r="J446" s="5"/>
      <c r="K446" s="5"/>
    </row>
    <row r="447">
      <c r="G447" s="6"/>
      <c r="H447" s="6"/>
      <c r="I447" s="6"/>
      <c r="J447" s="6"/>
      <c r="K447" s="6"/>
    </row>
    <row r="448">
      <c r="G448" s="6"/>
      <c r="H448" s="6"/>
      <c r="I448" s="6"/>
      <c r="J448" s="5"/>
      <c r="K448" s="5"/>
    </row>
    <row r="449">
      <c r="G449" s="5"/>
      <c r="H449" s="5"/>
      <c r="I449" s="6"/>
      <c r="J449" s="6"/>
      <c r="K449" s="5"/>
    </row>
    <row r="450">
      <c r="G450" s="6"/>
      <c r="H450" s="6"/>
      <c r="I450" s="6"/>
      <c r="J450" s="6"/>
      <c r="K450" s="5"/>
    </row>
    <row r="451">
      <c r="G451" s="6"/>
      <c r="H451" s="6"/>
      <c r="I451" s="6"/>
      <c r="J451" s="5"/>
      <c r="K451" s="6"/>
    </row>
    <row r="452">
      <c r="G452" s="5"/>
      <c r="H452" s="5"/>
      <c r="I452" s="5"/>
      <c r="J452" s="5"/>
      <c r="K452" s="6"/>
    </row>
    <row r="453">
      <c r="G453" s="6"/>
      <c r="H453" s="6"/>
      <c r="I453" s="6"/>
      <c r="J453" s="6"/>
      <c r="K453" s="5"/>
    </row>
    <row r="454">
      <c r="G454" s="6"/>
      <c r="H454" s="6"/>
      <c r="I454" s="5"/>
      <c r="J454" s="5"/>
      <c r="K454" s="6"/>
    </row>
    <row r="455">
      <c r="G455" s="6"/>
      <c r="H455" s="6"/>
      <c r="I455" s="5"/>
      <c r="J455" s="6"/>
      <c r="K455" s="6"/>
    </row>
    <row r="456">
      <c r="G456" s="6"/>
      <c r="H456" s="6"/>
      <c r="I456" s="6"/>
      <c r="J456" s="6"/>
      <c r="K456" s="5"/>
    </row>
    <row r="457">
      <c r="G457" s="6"/>
      <c r="H457" s="6"/>
      <c r="I457" s="5"/>
      <c r="J457" s="5"/>
      <c r="K457" s="5"/>
    </row>
    <row r="458">
      <c r="G458" s="5"/>
      <c r="H458" s="5"/>
      <c r="I458" s="5"/>
      <c r="J458" s="5"/>
      <c r="K458" s="5"/>
    </row>
    <row r="459">
      <c r="G459" s="6"/>
      <c r="H459" s="6"/>
      <c r="I459" s="6"/>
      <c r="J459" s="6"/>
      <c r="K459" s="5"/>
    </row>
    <row r="460">
      <c r="G460" s="6"/>
      <c r="H460" s="6"/>
      <c r="I460" s="6"/>
      <c r="J460" s="6"/>
      <c r="K460" s="5"/>
    </row>
    <row r="461">
      <c r="G461" s="6"/>
      <c r="H461" s="6"/>
      <c r="I461" s="6"/>
      <c r="J461" s="6"/>
      <c r="K461" s="6"/>
    </row>
    <row r="462">
      <c r="G462" s="6"/>
      <c r="H462" s="6"/>
      <c r="I462" s="6"/>
      <c r="J462" s="5"/>
      <c r="K462" s="6"/>
    </row>
    <row r="463">
      <c r="G463" s="6"/>
      <c r="H463" s="6"/>
      <c r="I463" s="5"/>
      <c r="J463" s="6"/>
      <c r="K463" s="5"/>
    </row>
    <row r="464">
      <c r="G464" s="6"/>
      <c r="H464" s="6"/>
      <c r="I464" s="5"/>
      <c r="J464" s="5"/>
      <c r="K464" s="6"/>
    </row>
    <row r="465">
      <c r="G465" s="6"/>
      <c r="H465" s="6"/>
      <c r="I465" s="6"/>
      <c r="J465" s="5"/>
      <c r="K465" s="5"/>
    </row>
    <row r="466">
      <c r="G466" s="5"/>
      <c r="H466" s="5"/>
      <c r="I466" s="6"/>
      <c r="J466" s="5"/>
      <c r="K466" s="6"/>
    </row>
    <row r="467">
      <c r="G467" s="6"/>
      <c r="H467" s="6"/>
      <c r="I467" s="6"/>
      <c r="J467" s="6"/>
      <c r="K467" s="5"/>
    </row>
    <row r="468">
      <c r="G468" s="6"/>
      <c r="H468" s="6"/>
      <c r="I468" s="6"/>
      <c r="J468" s="5"/>
      <c r="K468" s="6"/>
    </row>
    <row r="469">
      <c r="G469" s="6"/>
      <c r="H469" s="6"/>
      <c r="I469" s="5"/>
      <c r="J469" s="6"/>
      <c r="K469" s="6"/>
    </row>
    <row r="470">
      <c r="G470" s="6"/>
      <c r="H470" s="6"/>
      <c r="I470" s="6"/>
      <c r="J470" s="5"/>
      <c r="K470" s="6"/>
    </row>
    <row r="471">
      <c r="G471" s="6"/>
      <c r="H471" s="6"/>
      <c r="I471" s="6"/>
      <c r="J471" s="6"/>
      <c r="K471" s="5"/>
    </row>
    <row r="472">
      <c r="G472" s="6"/>
      <c r="H472" s="6"/>
      <c r="I472" s="6"/>
      <c r="J472" s="6"/>
      <c r="K472" s="5"/>
    </row>
    <row r="473">
      <c r="G473" s="6"/>
      <c r="H473" s="6"/>
      <c r="I473" s="6"/>
      <c r="J473" s="5"/>
      <c r="K473" s="6"/>
    </row>
    <row r="474">
      <c r="G474" s="6"/>
      <c r="H474" s="6"/>
      <c r="I474" s="6"/>
      <c r="J474" s="5"/>
      <c r="K474" s="6"/>
    </row>
    <row r="475">
      <c r="G475" s="5"/>
      <c r="H475" s="5"/>
      <c r="I475" s="5"/>
      <c r="J475" s="5"/>
      <c r="K475" s="5"/>
    </row>
    <row r="476">
      <c r="G476" s="6"/>
      <c r="H476" s="6"/>
      <c r="I476" s="6"/>
      <c r="J476" s="5"/>
      <c r="K476" s="5"/>
    </row>
    <row r="477">
      <c r="G477" s="6"/>
      <c r="H477" s="6"/>
      <c r="I477" s="5"/>
      <c r="J477" s="6"/>
      <c r="K477" s="5"/>
    </row>
    <row r="478">
      <c r="G478" s="6"/>
      <c r="H478" s="6"/>
      <c r="I478" s="6"/>
      <c r="J478" s="6"/>
      <c r="K478" s="5"/>
    </row>
    <row r="479">
      <c r="G479" s="6"/>
      <c r="H479" s="6"/>
      <c r="I479" s="5"/>
      <c r="J479" s="6"/>
      <c r="K479" s="5"/>
    </row>
    <row r="480">
      <c r="G480" s="6"/>
      <c r="H480" s="6"/>
      <c r="I480" s="5"/>
      <c r="J480" s="5"/>
      <c r="K480" s="6"/>
    </row>
    <row r="481">
      <c r="G481" s="6"/>
      <c r="H481" s="6"/>
      <c r="I481" s="6"/>
      <c r="J481" s="5"/>
      <c r="K481" s="5"/>
    </row>
    <row r="482">
      <c r="G482" s="6"/>
      <c r="H482" s="6"/>
      <c r="I482" s="6"/>
      <c r="J482" s="6"/>
      <c r="K482" s="5"/>
    </row>
    <row r="483">
      <c r="G483" s="6"/>
      <c r="H483" s="6"/>
      <c r="I483" s="6"/>
      <c r="J483" s="5"/>
      <c r="K483" s="6"/>
    </row>
    <row r="484">
      <c r="G484" s="5"/>
      <c r="H484" s="5"/>
      <c r="I484" s="6"/>
      <c r="J484" s="5"/>
      <c r="K484" s="6"/>
    </row>
    <row r="485">
      <c r="G485" s="6"/>
      <c r="H485" s="6"/>
      <c r="I485" s="6"/>
      <c r="J485" s="6"/>
      <c r="K485" s="6"/>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5" width="37.63"/>
    <col customWidth="1" min="9" max="11" width="37.63"/>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467</v>
      </c>
      <c r="C2" s="3" t="s">
        <v>468</v>
      </c>
      <c r="D2" s="3" t="s">
        <v>469</v>
      </c>
      <c r="E2" s="3" t="s">
        <v>470</v>
      </c>
      <c r="G2" s="8" t="str">
        <f>IFERROR(__xludf.DUMMYFUNCTION("GOOGLETRANSLATE(A2, ""en"", ""hi"")"),"1")</f>
        <v>1</v>
      </c>
      <c r="H2" s="8" t="str">
        <f>IFERROR(__xludf.DUMMYFUNCTION("GOOGLETRANSLATE(B2, ""en"", ""hi"")"),"शतरंज_1")</f>
        <v>शतरंज_1</v>
      </c>
      <c r="I2" s="8" t="str">
        <f>IFERROR(__xludf.DUMMYFUNCTION("GOOGLETRANSLATE(C2, ""en"", ""hi"")"),"दी गई छवि में कौन सा खेल खेला गया है?")</f>
        <v>दी गई छवि में कौन सा खेल खेला गया है?</v>
      </c>
      <c r="J2" s="8" t="str">
        <f>IFERROR(__xludf.DUMMYFUNCTION("GOOGLETRANSLATE(D2, ""en"", ""hi"")"),"A) कबड्डी, B) खो-खो, C) शतरंज, D) क्रिकेट")</f>
        <v>A) कबड्डी, B) खो-खो, C) शतरंज, D) क्रिकेट</v>
      </c>
      <c r="K2" s="8" t="str">
        <f>IFERROR(__xludf.DUMMYFUNCTION("GOOGLETRANSLATE(E2, ""en"", ""hi"")"),"सी) शतरंज")</f>
        <v>सी) शतरंज</v>
      </c>
    </row>
    <row r="3" ht="22.5" customHeight="1">
      <c r="A3" s="2">
        <v>2.0</v>
      </c>
      <c r="B3" s="3" t="s">
        <v>467</v>
      </c>
      <c r="C3" s="3" t="s">
        <v>471</v>
      </c>
      <c r="D3" s="3" t="s">
        <v>472</v>
      </c>
      <c r="E3" s="3" t="s">
        <v>473</v>
      </c>
      <c r="G3" s="8" t="str">
        <f>IFERROR(__xludf.DUMMYFUNCTION("GOOGLETRANSLATE(A3, ""en"", ""hi"")"),"2")</f>
        <v>2</v>
      </c>
      <c r="H3" s="8" t="str">
        <f>IFERROR(__xludf.DUMMYFUNCTION("GOOGLETRANSLATE(B3, ""en"", ""hi"")"),"शतरंज_1")</f>
        <v>शतरंज_1</v>
      </c>
      <c r="I3" s="8" t="str">
        <f>IFERROR(__xludf.DUMMYFUNCTION("GOOGLETRANSLATE(C3, ""en"", ""hi"")"),"चित्र में दिखाया गया खेल लगभग कितना पुराना है?")</f>
        <v>चित्र में दिखाया गया खेल लगभग कितना पुराना है?</v>
      </c>
      <c r="J3" s="8" t="str">
        <f>IFERROR(__xludf.DUMMYFUNCTION("GOOGLETRANSLATE(D3, ""en"", ""hi"")"),"A) 1500 वर्ष, B) 300 वर्ष, C) 500 वर्ष, D) 900 वर्ष")</f>
        <v>A) 1500 वर्ष, B) 300 वर्ष, C) 500 वर्ष, D) 900 वर्ष</v>
      </c>
      <c r="K3" s="8" t="str">
        <f>IFERROR(__xludf.DUMMYFUNCTION("GOOGLETRANSLATE(E3, ""en"", ""hi"")"),"ए) 1500 वर्ष")</f>
        <v>ए) 1500 वर्ष</v>
      </c>
    </row>
    <row r="4" ht="22.5" customHeight="1">
      <c r="A4" s="2">
        <v>3.0</v>
      </c>
      <c r="B4" s="3" t="s">
        <v>467</v>
      </c>
      <c r="C4" s="3" t="s">
        <v>474</v>
      </c>
      <c r="D4" s="3" t="s">
        <v>475</v>
      </c>
      <c r="E4" s="3" t="s">
        <v>476</v>
      </c>
      <c r="G4" s="8" t="str">
        <f>IFERROR(__xludf.DUMMYFUNCTION("GOOGLETRANSLATE(A4, ""en"", ""hi"")"),"3")</f>
        <v>3</v>
      </c>
      <c r="H4" s="8" t="str">
        <f>IFERROR(__xludf.DUMMYFUNCTION("GOOGLETRANSLATE(B4, ""en"", ""hi"")"),"शतरंज_1")</f>
        <v>शतरंज_1</v>
      </c>
      <c r="I4" s="8" t="str">
        <f>IFERROR(__xludf.DUMMYFUNCTION("GOOGLETRANSLATE(C4, ""en"", ""hi"")"),"शतरंज की बिसात में कितने वर्ग होते हैं?")</f>
        <v>शतरंज की बिसात में कितने वर्ग होते हैं?</v>
      </c>
      <c r="J4" s="8" t="str">
        <f>IFERROR(__xludf.DUMMYFUNCTION("GOOGLETRANSLATE(D4, ""en"", ""hi"")"),"ए) 65, बी) 32, सी) 64, डी) 99")</f>
        <v>ए) 65, बी) 32, सी) 64, डी) 99</v>
      </c>
      <c r="K4" s="8" t="str">
        <f>IFERROR(__xludf.DUMMYFUNCTION("GOOGLETRANSLATE(E4, ""en"", ""hi"")"),"सी) 64")</f>
        <v>सी) 64</v>
      </c>
    </row>
    <row r="5" ht="22.5" customHeight="1">
      <c r="A5" s="2">
        <v>4.0</v>
      </c>
      <c r="B5" s="3" t="s">
        <v>467</v>
      </c>
      <c r="C5" s="3" t="s">
        <v>477</v>
      </c>
      <c r="D5" s="3" t="s">
        <v>478</v>
      </c>
      <c r="E5" s="3" t="s">
        <v>52</v>
      </c>
      <c r="G5" s="8" t="str">
        <f>IFERROR(__xludf.DUMMYFUNCTION("GOOGLETRANSLATE(A5, ""en"", ""hi"")"),"4")</f>
        <v>4</v>
      </c>
      <c r="H5" s="8" t="str">
        <f>IFERROR(__xludf.DUMMYFUNCTION("GOOGLETRANSLATE(B5, ""en"", ""hi"")"),"शतरंज_1")</f>
        <v>शतरंज_1</v>
      </c>
      <c r="I5" s="8" t="str">
        <f>IFERROR(__xludf.DUMMYFUNCTION("GOOGLETRANSLATE(C5, ""en"", ""hi"")"),"इस खेल को कितने खिलाड़ी खेल सकते हैं?")</f>
        <v>इस खेल को कितने खिलाड़ी खेल सकते हैं?</v>
      </c>
      <c r="J5" s="8" t="str">
        <f>IFERROR(__xludf.DUMMYFUNCTION("GOOGLETRANSLATE(D5, ""en"", ""hi"")"),"ए) 1, बी) 2, सी) 4, डी) 6")</f>
        <v>ए) 1, बी) 2, सी) 4, डी) 6</v>
      </c>
      <c r="K5" s="8" t="str">
        <f>IFERROR(__xludf.DUMMYFUNCTION("GOOGLETRANSLATE(E5, ""en"", ""hi"")"),"बी) 2")</f>
        <v>बी) 2</v>
      </c>
    </row>
    <row r="6" ht="22.5" customHeight="1">
      <c r="A6" s="2">
        <v>5.0</v>
      </c>
      <c r="B6" s="3" t="s">
        <v>479</v>
      </c>
      <c r="C6" s="3" t="s">
        <v>480</v>
      </c>
      <c r="D6" s="3" t="s">
        <v>481</v>
      </c>
      <c r="E6" s="3" t="s">
        <v>482</v>
      </c>
      <c r="G6" s="8" t="str">
        <f>IFERROR(__xludf.DUMMYFUNCTION("GOOGLETRANSLATE(A6, ""en"", ""hi"")"),"5")</f>
        <v>5</v>
      </c>
      <c r="H6" s="8" t="str">
        <f>IFERROR(__xludf.DUMMYFUNCTION("GOOGLETRANSLATE(B6, ""en"", ""hi"")"),"शतरंज_2")</f>
        <v>शतरंज_2</v>
      </c>
      <c r="I6" s="8" t="str">
        <f>IFERROR(__xludf.DUMMYFUNCTION("GOOGLETRANSLATE(C6, ""en"", ""hi"")"),"फोटो में दिखाया गया खिलाड़ी कौन है?")</f>
        <v>फोटो में दिखाया गया खिलाड़ी कौन है?</v>
      </c>
      <c r="J6" s="8" t="str">
        <f>IFERROR(__xludf.DUMMYFUNCTION("GOOGLETRANSLATE(D6, ""en"", ""hi"")"),"ए) व्लादिमीर क्रैमनिक, बी) विश्वनाथन आनंद, सी) मैग्नस कार्लसन, डी) डिंग लिरेन")</f>
        <v>ए) व्लादिमीर क्रैमनिक, बी) विश्वनाथन आनंद, सी) मैग्नस कार्लसन, डी) डिंग लिरेन</v>
      </c>
      <c r="K6" s="8" t="str">
        <f>IFERROR(__xludf.DUMMYFUNCTION("GOOGLETRANSLATE(E6, ""en"", ""hi"")"),"C) मैग्नस कार्लसन")</f>
        <v>C) मैग्नस कार्लसन</v>
      </c>
    </row>
    <row r="7" ht="22.5" customHeight="1">
      <c r="A7" s="2">
        <v>6.0</v>
      </c>
      <c r="B7" s="3" t="s">
        <v>479</v>
      </c>
      <c r="C7" s="3" t="s">
        <v>483</v>
      </c>
      <c r="D7" s="3" t="s">
        <v>484</v>
      </c>
      <c r="E7" s="3" t="s">
        <v>485</v>
      </c>
      <c r="G7" s="8" t="str">
        <f>IFERROR(__xludf.DUMMYFUNCTION("GOOGLETRANSLATE(A7, ""en"", ""hi"")"),"6")</f>
        <v>6</v>
      </c>
      <c r="H7" s="8" t="str">
        <f>IFERROR(__xludf.DUMMYFUNCTION("GOOGLETRANSLATE(B7, ""en"", ""hi"")"),"शतरंज_2")</f>
        <v>शतरंज_2</v>
      </c>
      <c r="I7" s="8" t="str">
        <f>IFERROR(__xludf.DUMMYFUNCTION("GOOGLETRANSLATE(C7, ""en"", ""hi"")"),"दिए गए खिलाड़ी का शास्त्रीय शतरंज में अभिजात वर्ग स्तर पर सबसे लंबे समय तक अपराजित रहने का रिकॉर्ड कितने समय का है?")</f>
        <v>दिए गए खिलाड़ी का शास्त्रीय शतरंज में अभिजात वर्ग स्तर पर सबसे लंबे समय तक अपराजित रहने का रिकॉर्ड कितने समय का है?</v>
      </c>
      <c r="J7" s="8" t="str">
        <f>IFERROR(__xludf.DUMMYFUNCTION("GOOGLETRANSLATE(D7, ""en"", ""hi"")"),"A) 102 खेल, B) 125 खेल, C) 130 खेल, D) 99 खेल")</f>
        <v>A) 102 खेल, B) 125 खेल, C) 130 खेल, D) 99 खेल</v>
      </c>
      <c r="K7" s="8" t="str">
        <f>IFERROR(__xludf.DUMMYFUNCTION("GOOGLETRANSLATE(E7, ""en"", ""hi"")"),"बी) 125 खेल")</f>
        <v>बी) 125 खेल</v>
      </c>
    </row>
    <row r="8" ht="22.5" customHeight="1">
      <c r="A8" s="2">
        <v>7.0</v>
      </c>
      <c r="B8" s="3" t="s">
        <v>479</v>
      </c>
      <c r="C8" s="3" t="s">
        <v>486</v>
      </c>
      <c r="D8" s="3" t="s">
        <v>487</v>
      </c>
      <c r="E8" s="3" t="s">
        <v>488</v>
      </c>
      <c r="G8" s="8" t="str">
        <f>IFERROR(__xludf.DUMMYFUNCTION("GOOGLETRANSLATE(A8, ""en"", ""hi"")"),"7")</f>
        <v>7</v>
      </c>
      <c r="H8" s="8" t="str">
        <f>IFERROR(__xludf.DUMMYFUNCTION("GOOGLETRANSLATE(B8, ""en"", ""hi"")"),"शतरंज_2")</f>
        <v>शतरंज_2</v>
      </c>
      <c r="I8" s="8" t="str">
        <f>IFERROR(__xludf.DUMMYFUNCTION("GOOGLETRANSLATE(C8, ""en"", ""hi"")"),"वह किस वर्ष ग्रैंडमास्टर बने?")</f>
        <v>वह किस वर्ष ग्रैंडमास्टर बने?</v>
      </c>
      <c r="J8" s="8" t="str">
        <f>IFERROR(__xludf.DUMMYFUNCTION("GOOGLETRANSLATE(D8, ""en"", ""hi"")"),"ए) 2000, बी) 2015, सी) 2003, डी) 2004")</f>
        <v>ए) 2000, बी) 2015, सी) 2003, डी) 2004</v>
      </c>
      <c r="K8" s="8" t="str">
        <f>IFERROR(__xludf.DUMMYFUNCTION("GOOGLETRANSLATE(E8, ""en"", ""hi"")"),"डी) 2004")</f>
        <v>डी) 2004</v>
      </c>
    </row>
    <row r="9" ht="22.5" customHeight="1">
      <c r="A9" s="2">
        <v>8.0</v>
      </c>
      <c r="B9" s="3" t="s">
        <v>479</v>
      </c>
      <c r="C9" s="3" t="s">
        <v>489</v>
      </c>
      <c r="D9" s="3" t="s">
        <v>490</v>
      </c>
      <c r="E9" s="3" t="s">
        <v>491</v>
      </c>
      <c r="G9" s="8" t="str">
        <f>IFERROR(__xludf.DUMMYFUNCTION("GOOGLETRANSLATE(A9, ""en"", ""hi"")"),"8")</f>
        <v>8</v>
      </c>
      <c r="H9" s="8" t="str">
        <f>IFERROR(__xludf.DUMMYFUNCTION("GOOGLETRANSLATE(B9, ""en"", ""hi"")"),"शतरंज_2")</f>
        <v>शतरंज_2</v>
      </c>
      <c r="I9" s="8" t="str">
        <f>IFERROR(__xludf.DUMMYFUNCTION("GOOGLETRANSLATE(C9, ""en"", ""hi"")"),"वह विश्व चैंपियन कब बने?")</f>
        <v>वह विश्व चैंपियन कब बने?</v>
      </c>
      <c r="J9" s="8" t="str">
        <f>IFERROR(__xludf.DUMMYFUNCTION("GOOGLETRANSLATE(D9, ""en"", ""hi"")"),"ए) 2012, बी) 2010, सी) 2018, डी) 2013")</f>
        <v>ए) 2012, बी) 2010, सी) 2018, डी) 2013</v>
      </c>
      <c r="K9" s="8" t="str">
        <f>IFERROR(__xludf.DUMMYFUNCTION("GOOGLETRANSLATE(E9, ""en"", ""hi"")"),"डी) 2013")</f>
        <v>डी) 2013</v>
      </c>
    </row>
    <row r="10" ht="22.5" customHeight="1">
      <c r="A10" s="2">
        <v>9.0</v>
      </c>
      <c r="B10" s="3" t="s">
        <v>492</v>
      </c>
      <c r="C10" s="3" t="s">
        <v>480</v>
      </c>
      <c r="D10" s="3" t="s">
        <v>481</v>
      </c>
      <c r="E10" s="3" t="s">
        <v>493</v>
      </c>
      <c r="G10" s="8" t="str">
        <f>IFERROR(__xludf.DUMMYFUNCTION("GOOGLETRANSLATE(A10, ""en"", ""hi"")"),"9")</f>
        <v>9</v>
      </c>
      <c r="H10" s="8" t="str">
        <f>IFERROR(__xludf.DUMMYFUNCTION("GOOGLETRANSLATE(B10, ""en"", ""hi"")"),"शतरंज_3")</f>
        <v>शतरंज_3</v>
      </c>
      <c r="I10" s="8" t="str">
        <f>IFERROR(__xludf.DUMMYFUNCTION("GOOGLETRANSLATE(C10, ""en"", ""hi"")"),"फोटो में दिखाया गया खिलाड़ी कौन है?")</f>
        <v>फोटो में दिखाया गया खिलाड़ी कौन है?</v>
      </c>
      <c r="J10" s="8" t="str">
        <f>IFERROR(__xludf.DUMMYFUNCTION("GOOGLETRANSLATE(D10, ""en"", ""hi"")"),"ए) व्लादिमीर क्रैमनिक, बी) विश्वनाथन आनंद, सी) मैग्नस कार्लसन, डी) डिंग लिरेन")</f>
        <v>ए) व्लादिमीर क्रैमनिक, बी) विश्वनाथन आनंद, सी) मैग्नस कार्लसन, डी) डिंग लिरेन</v>
      </c>
      <c r="K10" s="8" t="str">
        <f>IFERROR(__xludf.DUMMYFUNCTION("GOOGLETRANSLATE(E10, ""en"", ""hi"")"),"B) विश्वनाथन आनंद")</f>
        <v>B) विश्वनाथन आनंद</v>
      </c>
    </row>
    <row r="11" ht="22.5" customHeight="1">
      <c r="A11" s="2">
        <v>10.0</v>
      </c>
      <c r="B11" s="3" t="s">
        <v>492</v>
      </c>
      <c r="C11" s="3" t="s">
        <v>494</v>
      </c>
      <c r="D11" s="3" t="s">
        <v>495</v>
      </c>
      <c r="E11" s="3" t="s">
        <v>496</v>
      </c>
      <c r="G11" s="8" t="str">
        <f>IFERROR(__xludf.DUMMYFUNCTION("GOOGLETRANSLATE(A11, ""en"", ""hi"")"),"10")</f>
        <v>10</v>
      </c>
      <c r="H11" s="8" t="str">
        <f>IFERROR(__xludf.DUMMYFUNCTION("GOOGLETRANSLATE(B11, ""en"", ""hi"")"),"शतरंज_3")</f>
        <v>शतरंज_3</v>
      </c>
      <c r="I11" s="8" t="str">
        <f>IFERROR(__xludf.DUMMYFUNCTION("GOOGLETRANSLATE(C11, ""en"", ""hi"")"),"विश्वनाथन आनंद ने विश्व शतरंज चैंपियनशिप कितनी बार जीती है?")</f>
        <v>विश्वनाथन आनंद ने विश्व शतरंज चैंपियनशिप कितनी बार जीती है?</v>
      </c>
      <c r="J11" s="8" t="str">
        <f>IFERROR(__xludf.DUMMYFUNCTION("GOOGLETRANSLATE(D11, ""en"", ""hi"")"),"ए) 3, बी) 4, सी) 5, डी) 6")</f>
        <v>ए) 3, बी) 4, सी) 5, डी) 6</v>
      </c>
      <c r="K11" s="8" t="str">
        <f>IFERROR(__xludf.DUMMYFUNCTION("GOOGLETRANSLATE(E11, ""en"", ""hi"")"),"सी) 5")</f>
        <v>सी) 5</v>
      </c>
    </row>
    <row r="12" ht="22.5" customHeight="1">
      <c r="A12" s="2">
        <v>11.0</v>
      </c>
      <c r="B12" s="3" t="s">
        <v>492</v>
      </c>
      <c r="C12" s="3" t="s">
        <v>497</v>
      </c>
      <c r="D12" s="3" t="s">
        <v>498</v>
      </c>
      <c r="E12" s="3" t="s">
        <v>499</v>
      </c>
      <c r="G12" s="8" t="str">
        <f>IFERROR(__xludf.DUMMYFUNCTION("GOOGLETRANSLATE(A12, ""en"", ""hi"")"),"11")</f>
        <v>11</v>
      </c>
      <c r="H12" s="8" t="str">
        <f>IFERROR(__xludf.DUMMYFUNCTION("GOOGLETRANSLATE(B12, ""en"", ""hi"")"),"शतरंज_3")</f>
        <v>शतरंज_3</v>
      </c>
      <c r="I12" s="8" t="str">
        <f>IFERROR(__xludf.DUMMYFUNCTION("GOOGLETRANSLATE(C12, ""en"", ""hi"")"),"विश्वनाथन आनंद किस प्रतिष्ठित भारतीय खेल सम्मान के पहले प्राप्तकर्ता थे?")</f>
        <v>विश्वनाथन आनंद किस प्रतिष्ठित भारतीय खेल सम्मान के पहले प्राप्तकर्ता थे?</v>
      </c>
      <c r="J12" s="8" t="str">
        <f>IFERROR(__xludf.DUMMYFUNCTION("GOOGLETRANSLATE(D12, ""en"", ""hi"")"),"ए) अर्जुन पुरस्कार, बी) राजीव गांधी खेल रत्न, सी) पद्म भूषण, डी) द्रोणाचार्य पुरस्कार")</f>
        <v>ए) अर्जुन पुरस्कार, बी) राजीव गांधी खेल रत्न, सी) पद्म भूषण, डी) द्रोणाचार्य पुरस्कार</v>
      </c>
      <c r="K12" s="8" t="str">
        <f>IFERROR(__xludf.DUMMYFUNCTION("GOOGLETRANSLATE(E12, ""en"", ""hi"")"),"B) राजीव गांधी खेल रत्न")</f>
        <v>B) राजीव गांधी खेल रत्न</v>
      </c>
    </row>
    <row r="13" ht="22.5" customHeight="1">
      <c r="A13" s="2">
        <v>12.0</v>
      </c>
      <c r="B13" s="3" t="s">
        <v>492</v>
      </c>
      <c r="C13" s="3" t="s">
        <v>500</v>
      </c>
      <c r="D13" s="3" t="s">
        <v>501</v>
      </c>
      <c r="E13" s="3" t="s">
        <v>502</v>
      </c>
      <c r="G13" s="8" t="str">
        <f>IFERROR(__xludf.DUMMYFUNCTION("GOOGLETRANSLATE(A13, ""en"", ""hi"")"),"12")</f>
        <v>12</v>
      </c>
      <c r="H13" s="8" t="str">
        <f>IFERROR(__xludf.DUMMYFUNCTION("GOOGLETRANSLATE(B13, ""en"", ""hi"")"),"शतरंज_3")</f>
        <v>शतरंज_3</v>
      </c>
      <c r="I13" s="8" t="str">
        <f>IFERROR(__xludf.DUMMYFUNCTION("GOOGLETRANSLATE(C13, ""en"", ""hi"")"),"विश्वनाथन आनंद ने 1987 में कौन सा प्रतिष्ठित शतरंज टूर्नामेंट जीता, जिससे अंतर्राष्ट्रीय शतरंज परिदृश्य में उनके उदय की शुरुआत हुई?")</f>
        <v>विश्वनाथन आनंद ने 1987 में कौन सा प्रतिष्ठित शतरंज टूर्नामेंट जीता, जिससे अंतर्राष्ट्रीय शतरंज परिदृश्य में उनके उदय की शुरुआत हुई?</v>
      </c>
      <c r="J13" s="8" t="str">
        <f>IFERROR(__xludf.DUMMYFUNCTION("GOOGLETRANSLATE(D13, ""en"", ""hi"")"),"A) टाटा स्टील शतरंज टूर्नामेंट, B) विश्व जूनियर शतरंज चैम्पियनशिप, C) कैंडिडेट्स टूर्नामेंट, D) शतरंज ओलंपियाड")</f>
        <v>A) टाटा स्टील शतरंज टूर्नामेंट, B) विश्व जूनियर शतरंज चैम्पियनशिप, C) कैंडिडेट्स टूर्नामेंट, D) शतरंज ओलंपियाड</v>
      </c>
      <c r="K13" s="8" t="str">
        <f>IFERROR(__xludf.DUMMYFUNCTION("GOOGLETRANSLATE(E13, ""en"", ""hi"")"),"बी) विश्व जूनियर शतरंज चैंपियनशिप")</f>
        <v>बी) विश्व जूनियर शतरंज चैंपियनशिप</v>
      </c>
    </row>
    <row r="14" ht="22.5" customHeight="1">
      <c r="A14" s="2">
        <v>13.0</v>
      </c>
      <c r="B14" s="3" t="s">
        <v>503</v>
      </c>
      <c r="C14" s="3" t="s">
        <v>504</v>
      </c>
      <c r="D14" s="3" t="s">
        <v>505</v>
      </c>
      <c r="E14" s="3" t="s">
        <v>506</v>
      </c>
      <c r="G14" s="8" t="str">
        <f>IFERROR(__xludf.DUMMYFUNCTION("GOOGLETRANSLATE(A14, ""en"", ""hi"")"),"13")</f>
        <v>13</v>
      </c>
      <c r="H14" s="8" t="str">
        <f>IFERROR(__xludf.DUMMYFUNCTION("GOOGLETRANSLATE(B14, ""en"", ""hi"")"),"शतरंज_4")</f>
        <v>शतरंज_4</v>
      </c>
      <c r="I14" s="8" t="str">
        <f>IFERROR(__xludf.DUMMYFUNCTION("GOOGLETRANSLATE(C14, ""en"", ""hi"")"),"शतरंज में इसके लिए प्रारंभिक चाल विकल्प क्या है?")</f>
        <v>शतरंज में इसके लिए प्रारंभिक चाल विकल्प क्या है?</v>
      </c>
      <c r="J14" s="8" t="str">
        <f>IFERROR(__xludf.DUMMYFUNCTION("GOOGLETRANSLATE(D14, ""en"", ""hi"")"),"A) एक वर्ग आगे, B) दो वर्ग आगे, C) एक या दो वर्ग आगे, D) तीन वर्ग आगे")</f>
        <v>A) एक वर्ग आगे, B) दो वर्ग आगे, C) एक या दो वर्ग आगे, D) तीन वर्ग आगे</v>
      </c>
      <c r="K14" s="8" t="str">
        <f>IFERROR(__xludf.DUMMYFUNCTION("GOOGLETRANSLATE(E14, ""en"", ""hi"")"),"C) एक या दो वर्ग आगे")</f>
        <v>C) एक या दो वर्ग आगे</v>
      </c>
    </row>
    <row r="15" ht="22.5" customHeight="1">
      <c r="A15" s="2">
        <v>14.0</v>
      </c>
      <c r="B15" s="3" t="s">
        <v>503</v>
      </c>
      <c r="C15" s="3" t="s">
        <v>507</v>
      </c>
      <c r="D15" s="3" t="s">
        <v>508</v>
      </c>
      <c r="E15" s="3" t="s">
        <v>509</v>
      </c>
      <c r="G15" s="8" t="str">
        <f>IFERROR(__xludf.DUMMYFUNCTION("GOOGLETRANSLATE(A15, ""en"", ""hi"")"),"14")</f>
        <v>14</v>
      </c>
      <c r="H15" s="8" t="str">
        <f>IFERROR(__xludf.DUMMYFUNCTION("GOOGLETRANSLATE(B15, ""en"", ""hi"")"),"शतरंज_4")</f>
        <v>शतरंज_4</v>
      </c>
      <c r="I15" s="8" t="str">
        <f>IFERROR(__xludf.DUMMYFUNCTION("GOOGLETRANSLATE(C15, ""en"", ""hi"")"),"क्या होता है जब यह मोहरा शतरंज की बिसात के विपरीत छोर पर पहुँच जाता है?")</f>
        <v>क्या होता है जब यह मोहरा शतरंज की बिसात के विपरीत छोर पर पहुँच जाता है?</v>
      </c>
      <c r="J15" s="8" t="str">
        <f>IFERROR(__xludf.DUMMYFUNCTION("GOOGLETRANSLATE(D15, ""en"", ""hi"")"),"A) यह रानी बन जाती है, B) यह राजा को छोड़कर किसी भी मोहरे में बदल जाती है, C) यह बंदी बना ली जाती है, D) यह आगे नहीं बढ़ सकती")</f>
        <v>A) यह रानी बन जाती है, B) यह राजा को छोड़कर किसी भी मोहरे में बदल जाती है, C) यह बंदी बना ली जाती है, D) यह आगे नहीं बढ़ सकती</v>
      </c>
      <c r="K15" s="8" t="str">
        <f>IFERROR(__xludf.DUMMYFUNCTION("GOOGLETRANSLATE(E15, ""en"", ""hi"")"),"B) यह राजा को छोड़कर किसी भी मोहरे में पदोन्नत हो जाता है")</f>
        <v>B) यह राजा को छोड़कर किसी भी मोहरे में पदोन्नत हो जाता है</v>
      </c>
    </row>
    <row r="16" ht="22.5" customHeight="1">
      <c r="A16" s="2">
        <v>15.0</v>
      </c>
      <c r="B16" s="3" t="s">
        <v>503</v>
      </c>
      <c r="C16" s="3" t="s">
        <v>510</v>
      </c>
      <c r="D16" s="3" t="s">
        <v>511</v>
      </c>
      <c r="E16" s="3" t="s">
        <v>512</v>
      </c>
      <c r="G16" s="8" t="str">
        <f>IFERROR(__xludf.DUMMYFUNCTION("GOOGLETRANSLATE(A16, ""en"", ""hi"")"),"15")</f>
        <v>15</v>
      </c>
      <c r="H16" s="8" t="str">
        <f>IFERROR(__xludf.DUMMYFUNCTION("GOOGLETRANSLATE(B16, ""en"", ""hi"")"),"शतरंज_4")</f>
        <v>शतरंज_4</v>
      </c>
      <c r="I16" s="8" t="str">
        <f>IFERROR(__xludf.DUMMYFUNCTION("GOOGLETRANSLATE(C16, ""en"", ""hi"")"),"यह टुकड़ा किसी दूसरे टुकड़े को कैसे पकड़ता है?")</f>
        <v>यह टुकड़ा किसी दूसरे टुकड़े को कैसे पकड़ता है?</v>
      </c>
      <c r="J16" s="8" t="str">
        <f>IFERROR(__xludf.DUMMYFUNCTION("GOOGLETRANSLATE(D16, ""en"", ""hi"")"),"A) सीधे आगे बढ़कर, B) दो वर्ग आगे बढ़कर, C) एक वर्ग तिरछे आगे बढ़कर, D) पीछे की ओर बढ़कर")</f>
        <v>A) सीधे आगे बढ़कर, B) दो वर्ग आगे बढ़कर, C) एक वर्ग तिरछे आगे बढ़कर, D) पीछे की ओर बढ़कर</v>
      </c>
      <c r="K16" s="8" t="str">
        <f>IFERROR(__xludf.DUMMYFUNCTION("GOOGLETRANSLATE(E16, ""en"", ""hi"")"),"C) एक वर्ग तिरछे आगे की ओर बढ़ने से")</f>
        <v>C) एक वर्ग तिरछे आगे की ओर बढ़ने से</v>
      </c>
    </row>
    <row r="17" ht="22.5" customHeight="1">
      <c r="A17" s="2">
        <v>16.0</v>
      </c>
      <c r="B17" s="3" t="s">
        <v>503</v>
      </c>
      <c r="C17" s="3" t="s">
        <v>513</v>
      </c>
      <c r="D17" s="3" t="s">
        <v>514</v>
      </c>
      <c r="E17" s="3" t="s">
        <v>515</v>
      </c>
      <c r="G17" s="8" t="str">
        <f>IFERROR(__xludf.DUMMYFUNCTION("GOOGLETRANSLATE(A17, ""en"", ""hi"")"),"16")</f>
        <v>16</v>
      </c>
      <c r="H17" s="8" t="str">
        <f>IFERROR(__xludf.DUMMYFUNCTION("GOOGLETRANSLATE(B17, ""en"", ""hi"")"),"शतरंज_4")</f>
        <v>शतरंज_4</v>
      </c>
      <c r="I17" s="8" t="str">
        <f>IFERROR(__xludf.DUMMYFUNCTION("GOOGLETRANSLATE(C17, ""en"", ""hi"")"),"प्रत्येक खिलाड़ी इस टुकड़े के कितने टुकड़ों से शुरुआत करता है?")</f>
        <v>प्रत्येक खिलाड़ी इस टुकड़े के कितने टुकड़ों से शुरुआत करता है?</v>
      </c>
      <c r="J17" s="8" t="str">
        <f>IFERROR(__xludf.DUMMYFUNCTION("GOOGLETRANSLATE(D17, ""en"", ""hi"")"),"ए) 6, बी) 8, सी) 10, डी) 12")</f>
        <v>ए) 6, बी) 8, सी) 10, डी) 12</v>
      </c>
      <c r="K17" s="8" t="str">
        <f>IFERROR(__xludf.DUMMYFUNCTION("GOOGLETRANSLATE(E17, ""en"", ""hi"")"),"बी) 8")</f>
        <v>बी) 8</v>
      </c>
    </row>
    <row r="18" ht="22.5" customHeight="1">
      <c r="A18" s="2">
        <v>17.0</v>
      </c>
      <c r="B18" s="3" t="s">
        <v>516</v>
      </c>
      <c r="C18" s="3" t="s">
        <v>517</v>
      </c>
      <c r="D18" s="3" t="s">
        <v>518</v>
      </c>
      <c r="E18" s="3" t="s">
        <v>519</v>
      </c>
      <c r="G18" s="8" t="str">
        <f>IFERROR(__xludf.DUMMYFUNCTION("GOOGLETRANSLATE(A18, ""en"", ""hi"")"),"17")</f>
        <v>17</v>
      </c>
      <c r="H18" s="8" t="str">
        <f>IFERROR(__xludf.DUMMYFUNCTION("GOOGLETRANSLATE(B18, ""en"", ""hi"")"),"शतरंज_5")</f>
        <v>शतरंज_5</v>
      </c>
      <c r="I18" s="8" t="str">
        <f>IFERROR(__xludf.DUMMYFUNCTION("GOOGLETRANSLATE(C18, ""en"", ""hi"")"),"निम्नलिखित में से कौन सा कथन कैसलिंग के दौरान दिए गए टुकड़े की गति करने की क्षमता के बारे में सत्य है?")</f>
        <v>निम्नलिखित में से कौन सा कथन कैसलिंग के दौरान दिए गए टुकड़े की गति करने की क्षमता के बारे में सत्य है?</v>
      </c>
      <c r="J18" s="8" t="str">
        <f>IFERROR(__xludf.DUMMYFUNCTION("GOOGLETRANSLATE(D18, ""en"", ""hi"")"),"ए) राजा उस वर्ग से होकर गुजर सकता है, जिस पर प्रतिद्वंद्वी के मोहरे का आक्रमण हो रहा हो, बी) राजा तभी कैसल कर सकता है, जब वह खेल में पहले अपने मूल वर्ग में वापस चला गया हो, सी) राजा केवल उस किश्ती के साथ ही कैसल कर सकता है, जो खेल में पहले नहीं चली हो, डी"&amp;") राजा तब भी कैसल कर सकता है, जब वह वर्तमान में चेक में हो।")</f>
        <v>ए) राजा उस वर्ग से होकर गुजर सकता है, जिस पर प्रतिद्वंद्वी के मोहरे का आक्रमण हो रहा हो, बी) राजा तभी कैसल कर सकता है, जब वह खेल में पहले अपने मूल वर्ग में वापस चला गया हो, सी) राजा केवल उस किश्ती के साथ ही कैसल कर सकता है, जो खेल में पहले नहीं चली हो, डी) राजा तब भी कैसल कर सकता है, जब वह वर्तमान में चेक में हो।</v>
      </c>
      <c r="K18" s="8" t="str">
        <f>IFERROR(__xludf.DUMMYFUNCTION("GOOGLETRANSLATE(E18, ""en"", ""hi"")"),"C) राजा केवल उस किश्ती के साथ ही कैसल कर सकता है जो खेल में पहले कभी नहीं चला हो")</f>
        <v>C) राजा केवल उस किश्ती के साथ ही कैसल कर सकता है जो खेल में पहले कभी नहीं चला हो</v>
      </c>
    </row>
    <row r="19" ht="22.5" customHeight="1">
      <c r="A19" s="2">
        <v>18.0</v>
      </c>
      <c r="B19" s="3" t="s">
        <v>516</v>
      </c>
      <c r="C19" s="3" t="s">
        <v>520</v>
      </c>
      <c r="D19" s="3" t="s">
        <v>521</v>
      </c>
      <c r="E19" s="3" t="s">
        <v>522</v>
      </c>
      <c r="G19" s="8" t="str">
        <f>IFERROR(__xludf.DUMMYFUNCTION("GOOGLETRANSLATE(A19, ""en"", ""hi"")"),"18")</f>
        <v>18</v>
      </c>
      <c r="H19" s="8" t="str">
        <f>IFERROR(__xludf.DUMMYFUNCTION("GOOGLETRANSLATE(B19, ""en"", ""hi"")"),"शतरंज_5")</f>
        <v>शतरंज_5</v>
      </c>
      <c r="I19" s="8" t="str">
        <f>IFERROR(__xludf.DUMMYFUNCTION("GOOGLETRANSLATE(C19, ""en"", ""hi"")"),"यदि यह गोटी किसी खिलाड़ी के लिए बोर्ड पर बची हुई एकमात्र गोटी है, तो किस स्थिति में वह खिलाड़ी खेल हारने से बच सकता है?")</f>
        <v>यदि यह गोटी किसी खिलाड़ी के लिए बोर्ड पर बची हुई एकमात्र गोटी है, तो किस स्थिति में वह खिलाड़ी खेल हारने से बच सकता है?</v>
      </c>
      <c r="J19" s="8" t="str">
        <f>IFERROR(__xludf.DUMMYFUNCTION("GOOGLETRANSLATE(D19, ""en"", ""hi"")"),"A) यदि विरोधी खिलाड़ी के पास चेकमेट करने के लिए पर्याप्त सामग्री नहीं है, B) यदि खिलाड़ी अभी भी कैसल कर सकता है, C) यदि खिलाड़ी अपनी अगली चाल में एक मोहरे को आगे बढ़ा सकता है, D) यदि राजा बोर्ड के केंद्र तक पहुंच जाता है")</f>
        <v>A) यदि विरोधी खिलाड़ी के पास चेकमेट करने के लिए पर्याप्त सामग्री नहीं है, B) यदि खिलाड़ी अभी भी कैसल कर सकता है, C) यदि खिलाड़ी अपनी अगली चाल में एक मोहरे को आगे बढ़ा सकता है, D) यदि राजा बोर्ड के केंद्र तक पहुंच जाता है</v>
      </c>
      <c r="K19" s="8" t="str">
        <f>IFERROR(__xludf.DUMMYFUNCTION("GOOGLETRANSLATE(E19, ""en"", ""hi"")"),"A) यदि विरोधी खिलाड़ी के पास चेकमेट करने के लिए पर्याप्त सामग्री नहीं है")</f>
        <v>A) यदि विरोधी खिलाड़ी के पास चेकमेट करने के लिए पर्याप्त सामग्री नहीं है</v>
      </c>
    </row>
    <row r="20" ht="22.5" customHeight="1">
      <c r="A20" s="2">
        <v>19.0</v>
      </c>
      <c r="B20" s="3" t="s">
        <v>516</v>
      </c>
      <c r="C20" s="3" t="s">
        <v>523</v>
      </c>
      <c r="D20" s="3" t="s">
        <v>524</v>
      </c>
      <c r="E20" s="3" t="s">
        <v>525</v>
      </c>
      <c r="G20" s="8" t="str">
        <f>IFERROR(__xludf.DUMMYFUNCTION("GOOGLETRANSLATE(A20, ""en"", ""hi"")"),"19")</f>
        <v>19</v>
      </c>
      <c r="H20" s="8" t="str">
        <f>IFERROR(__xludf.DUMMYFUNCTION("GOOGLETRANSLATE(B20, ""en"", ""hi"")"),"शतरंज_5")</f>
        <v>शतरंज_5</v>
      </c>
      <c r="I20" s="8" t="str">
        <f>IFERROR(__xludf.DUMMYFUNCTION("GOOGLETRANSLATE(C20, ""en"", ""hi"")"),"यह प्रतिद्वंद्वी के मोहरे पर कब कब्जा कर सकता है?")</f>
        <v>यह प्रतिद्वंद्वी के मोहरे पर कब कब्जा कर सकता है?</v>
      </c>
      <c r="J20" s="8" t="str">
        <f>IFERROR(__xludf.DUMMYFUNCTION("GOOGLETRANSLATE(D20, ""en"", ""hi"")"),"A) जब प्रतिद्वंद्वी का मोहरा असुरक्षित हो, B) जब मोहरे पर कब्जा करने से यह शह में नहीं आता, C) जब यह पहले से ही शह में हो, D) जब यह कब्जा करता है, तो इसे एक मोहरे द्वारा भी संरक्षित किया जाना चाहिए")</f>
        <v>A) जब प्रतिद्वंद्वी का मोहरा असुरक्षित हो, B) जब मोहरे पर कब्जा करने से यह शह में नहीं आता, C) जब यह पहले से ही शह में हो, D) जब यह कब्जा करता है, तो इसे एक मोहरे द्वारा भी संरक्षित किया जाना चाहिए</v>
      </c>
      <c r="K20" s="8" t="str">
        <f>IFERROR(__xludf.DUMMYFUNCTION("GOOGLETRANSLATE(E20, ""en"", ""hi"")"),"बी) जब टुकड़ा पर कब्जा कर लिया जाता है तो इसे चेक में नहीं रखा जाता है।")</f>
        <v>बी) जब टुकड़ा पर कब्जा कर लिया जाता है तो इसे चेक में नहीं रखा जाता है।</v>
      </c>
    </row>
    <row r="21" ht="22.5" customHeight="1">
      <c r="A21" s="2">
        <v>20.0</v>
      </c>
      <c r="B21" s="3" t="s">
        <v>516</v>
      </c>
      <c r="C21" s="3" t="s">
        <v>526</v>
      </c>
      <c r="D21" s="3" t="s">
        <v>527</v>
      </c>
      <c r="E21" s="3" t="s">
        <v>528</v>
      </c>
      <c r="G21" s="8" t="str">
        <f>IFERROR(__xludf.DUMMYFUNCTION("GOOGLETRANSLATE(A21, ""en"", ""hi"")"),"20")</f>
        <v>20</v>
      </c>
      <c r="H21" s="8" t="str">
        <f>IFERROR(__xludf.DUMMYFUNCTION("GOOGLETRANSLATE(B21, ""en"", ""hi"")"),"शतरंज_5")</f>
        <v>शतरंज_5</v>
      </c>
      <c r="I21" s="8" t="str">
        <f>IFERROR(__xludf.DUMMYFUNCTION("GOOGLETRANSLATE(C21, ""en"", ""hi"")"),"इस और गतिरोध के संबंध में क्या नियम है?")</f>
        <v>इस और गतिरोध के संबंध में क्या नियम है?</v>
      </c>
      <c r="J21" s="8" t="str">
        <f>IFERROR(__xludf.DUMMYFUNCTION("GOOGLETRANSLATE(D21, ""en"", ""hi"")"),"A) गतिरोध तब होता है जब शह पर कोई वैध चाल नहीं होती, B) गतिरोध तब होता है जब राजा के पास कोई वैध चाल नहीं होती लेकिन शह पर नहीं होता, C) गतिरोध केवल राजाओं और प्यादों के साथ अंतिम खेल में हो सकता है, D) गतिरोध के लिए दोनों खिलाड़ियों के पास बराबर संख्या म"&amp;"ें मोहरे होने आवश्यक हैं")</f>
        <v>A) गतिरोध तब होता है जब शह पर कोई वैध चाल नहीं होती, B) गतिरोध तब होता है जब राजा के पास कोई वैध चाल नहीं होती लेकिन शह पर नहीं होता, C) गतिरोध केवल राजाओं और प्यादों के साथ अंतिम खेल में हो सकता है, D) गतिरोध के लिए दोनों खिलाड़ियों के पास बराबर संख्या में मोहरे होने आवश्यक हैं</v>
      </c>
      <c r="K21" s="8" t="str">
        <f>IFERROR(__xludf.DUMMYFUNCTION("GOOGLETRANSLATE(E21, ""en"", ""hi"")"),"बी) गतिरोध तब होता है जब राजा के पास कोई वैध चाल नहीं होती है लेकिन वह शह पर नहीं होता है")</f>
        <v>बी) गतिरोध तब होता है जब राजा के पास कोई वैध चाल नहीं होती है लेकिन वह शह पर नहीं होता है</v>
      </c>
    </row>
    <row r="22" ht="22.5" customHeight="1">
      <c r="A22" s="2">
        <v>21.0</v>
      </c>
      <c r="B22" s="3" t="s">
        <v>529</v>
      </c>
      <c r="C22" s="3" t="s">
        <v>530</v>
      </c>
      <c r="D22" s="3" t="s">
        <v>531</v>
      </c>
      <c r="E22" s="3" t="s">
        <v>532</v>
      </c>
      <c r="G22" s="8" t="str">
        <f>IFERROR(__xludf.DUMMYFUNCTION("GOOGLETRANSLATE(A22, ""en"", ""hi"")"),"21")</f>
        <v>21</v>
      </c>
      <c r="H22" s="8" t="str">
        <f>IFERROR(__xludf.DUMMYFUNCTION("GOOGLETRANSLATE(B22, ""en"", ""hi"")"),"शतरंज_6")</f>
        <v>शतरंज_6</v>
      </c>
      <c r="I22" s="8" t="str">
        <f>IFERROR(__xludf.DUMMYFUNCTION("GOOGLETRANSLATE(C22, ""en"", ""hi"")"),"शतरंज में यह चाल कैसे चलती है?")</f>
        <v>शतरंज में यह चाल कैसे चलती है?</v>
      </c>
      <c r="J22" s="8" t="str">
        <f>IFERROR(__xludf.DUMMYFUNCTION("GOOGLETRANSLATE(D22, ""en"", ""hi"")"),"A) किसी भी दिशा में एक वर्ग, B) क्षैतिज, ऊर्ध्वाधर या तिरछे किसी भी संख्या में वर्ग, C) तिरछे केवल एक वर्ग, D) किश्ती की तरह, लेकिन एक समय में केवल दो वर्ग")</f>
        <v>A) किसी भी दिशा में एक वर्ग, B) क्षैतिज, ऊर्ध्वाधर या तिरछे किसी भी संख्या में वर्ग, C) तिरछे केवल एक वर्ग, D) किश्ती की तरह, लेकिन एक समय में केवल दो वर्ग</v>
      </c>
      <c r="K22" s="8" t="str">
        <f>IFERROR(__xludf.DUMMYFUNCTION("GOOGLETRANSLATE(E22, ""en"", ""hi"")"),"बी) क्षैतिज, ऊर्ध्वाधर या तिरछे किसी भी संख्या में वर्ग")</f>
        <v>बी) क्षैतिज, ऊर्ध्वाधर या तिरछे किसी भी संख्या में वर्ग</v>
      </c>
    </row>
    <row r="23" ht="22.5" customHeight="1">
      <c r="A23" s="2">
        <v>22.0</v>
      </c>
      <c r="B23" s="3" t="s">
        <v>529</v>
      </c>
      <c r="C23" s="3" t="s">
        <v>533</v>
      </c>
      <c r="D23" s="3" t="s">
        <v>534</v>
      </c>
      <c r="E23" s="3" t="s">
        <v>535</v>
      </c>
      <c r="G23" s="8" t="str">
        <f>IFERROR(__xludf.DUMMYFUNCTION("GOOGLETRANSLATE(A23, ""en"", ""hi"")"),"22")</f>
        <v>22</v>
      </c>
      <c r="H23" s="8" t="str">
        <f>IFERROR(__xludf.DUMMYFUNCTION("GOOGLETRANSLATE(B23, ""en"", ""hi"")"),"शतरंज_6")</f>
        <v>शतरंज_6</v>
      </c>
      <c r="I23" s="8" t="str">
        <f>IFERROR(__xludf.DUMMYFUNCTION("GOOGLETRANSLATE(C23, ""en"", ""hi"")"),"एक बार में यह अधिकतम कितने वर्गों तक जा सकता है?")</f>
        <v>एक बार में यह अधिकतम कितने वर्गों तक जा सकता है?</v>
      </c>
      <c r="J23" s="8" t="str">
        <f>IFERROR(__xludf.DUMMYFUNCTION("GOOGLETRANSLATE(D23, ""en"", ""hi"")"),"ए) 1, बी) 2, सी) 8, डी) 27")</f>
        <v>ए) 1, बी) 2, सी) 8, डी) 27</v>
      </c>
      <c r="K23" s="8" t="str">
        <f>IFERROR(__xludf.DUMMYFUNCTION("GOOGLETRANSLATE(E23, ""en"", ""hi"")"),"डी) 27")</f>
        <v>डी) 27</v>
      </c>
    </row>
    <row r="24" ht="22.5" customHeight="1">
      <c r="A24" s="2">
        <v>23.0</v>
      </c>
      <c r="B24" s="3" t="s">
        <v>529</v>
      </c>
      <c r="C24" s="3" t="s">
        <v>536</v>
      </c>
      <c r="D24" s="3" t="s">
        <v>537</v>
      </c>
      <c r="E24" s="3" t="s">
        <v>538</v>
      </c>
      <c r="G24" s="8" t="str">
        <f>IFERROR(__xludf.DUMMYFUNCTION("GOOGLETRANSLATE(A24, ""en"", ""hi"")"),"23")</f>
        <v>23</v>
      </c>
      <c r="H24" s="8" t="str">
        <f>IFERROR(__xludf.DUMMYFUNCTION("GOOGLETRANSLATE(B24, ""en"", ""hi"")"),"शतरंज_6")</f>
        <v>शतरंज_6</v>
      </c>
      <c r="I24" s="8" t="str">
        <f>IFERROR(__xludf.DUMMYFUNCTION("GOOGLETRANSLATE(C24, ""en"", ""hi"")"),"इस विषय में निम्नलिखित में से कौन सा कथन सत्य है?")</f>
        <v>इस विषय में निम्नलिखित में से कौन सा कथन सत्य है?</v>
      </c>
      <c r="J24" s="8" t="str">
        <f>IFERROR(__xludf.DUMMYFUNCTION("GOOGLETRANSLATE(D24, ""en"", ""hi"")"),"A) यह तभी चल सकता है जब इसे अन्य मोहरों द्वारा रोका न गया हो, B) यह अन्य मोहरों के बीच से होकर तब तक चल सकता है जब तक वे एक ही रंग के हों, C) यह केवल विकर्ण रेखाओं के साथ मोहरों को ही पकड़ सकता है, D) यह गति उस वर्ग के रंग द्वारा प्रतिबंधित होती है जिस पर"&amp;" से यह शुरू होता है")</f>
        <v>A) यह तभी चल सकता है जब इसे अन्य मोहरों द्वारा रोका न गया हो, B) यह अन्य मोहरों के बीच से होकर तब तक चल सकता है जब तक वे एक ही रंग के हों, C) यह केवल विकर्ण रेखाओं के साथ मोहरों को ही पकड़ सकता है, D) यह गति उस वर्ग के रंग द्वारा प्रतिबंधित होती है जिस पर से यह शुरू होता है</v>
      </c>
      <c r="K24" s="8" t="str">
        <f>IFERROR(__xludf.DUMMYFUNCTION("GOOGLETRANSLATE(E24, ""en"", ""hi"")"),"A) रानी तभी चल सकती है जब उसे अन्य मोहरों द्वारा रोका न गया हो")</f>
        <v>A) रानी तभी चल सकती है जब उसे अन्य मोहरों द्वारा रोका न गया हो</v>
      </c>
    </row>
    <row r="25" ht="22.5" customHeight="1">
      <c r="A25" s="2">
        <v>24.0</v>
      </c>
      <c r="B25" s="3" t="s">
        <v>529</v>
      </c>
      <c r="C25" s="3" t="s">
        <v>539</v>
      </c>
      <c r="D25" s="3" t="s">
        <v>540</v>
      </c>
      <c r="E25" s="3" t="s">
        <v>541</v>
      </c>
      <c r="G25" s="8" t="str">
        <f>IFERROR(__xludf.DUMMYFUNCTION("GOOGLETRANSLATE(A25, ""en"", ""hi"")"),"24")</f>
        <v>24</v>
      </c>
      <c r="H25" s="8" t="str">
        <f>IFERROR(__xludf.DUMMYFUNCTION("GOOGLETRANSLATE(B25, ""en"", ""hi"")"),"शतरंज_6")</f>
        <v>शतरंज_6</v>
      </c>
      <c r="I25" s="8" t="str">
        <f>IFERROR(__xludf.DUMMYFUNCTION("GOOGLETRANSLATE(C25, ""en"", ""hi"")"),"जब इसे पकड़ लिया जाता है तो क्या होता है?")</f>
        <v>जब इसे पकड़ लिया जाता है तो क्या होता है?</v>
      </c>
      <c r="J25" s="8" t="str">
        <f>IFERROR(__xludf.DUMMYFUNCTION("GOOGLETRANSLATE(D25, ""en"", ""hi"")"),"A) खेल प्रतिद्वंद्वी की रानी के साथ जारी रहता है, B) रानी को बोर्ड से हटा दिया जाता है, और खिलाड़ी को अपनी रणनीति बदलनी होती है, C) रानी को खिलाड़ी की पसंद के किसी अन्य मोहरे से बदला जा सकता है, D) रानी को उसकी मूल स्थिति में लौटा दिया जाता है")</f>
        <v>A) खेल प्रतिद्वंद्वी की रानी के साथ जारी रहता है, B) रानी को बोर्ड से हटा दिया जाता है, और खिलाड़ी को अपनी रणनीति बदलनी होती है, C) रानी को खिलाड़ी की पसंद के किसी अन्य मोहरे से बदला जा सकता है, D) रानी को उसकी मूल स्थिति में लौटा दिया जाता है</v>
      </c>
      <c r="K25" s="8" t="str">
        <f>IFERROR(__xludf.DUMMYFUNCTION("GOOGLETRANSLATE(E25, ""en"", ""hi"")"),"बी) रानी को बोर्ड से हटा दिया जाता है, और खिलाड़ी को अपनी रणनीति बदलनी होती है")</f>
        <v>बी) रानी को बोर्ड से हटा दिया जाता है, और खिलाड़ी को अपनी रणनीति बदलनी होती है</v>
      </c>
    </row>
    <row r="26" ht="22.5" customHeight="1">
      <c r="A26" s="2">
        <v>25.0</v>
      </c>
      <c r="B26" s="3" t="s">
        <v>542</v>
      </c>
      <c r="C26" s="3" t="s">
        <v>543</v>
      </c>
      <c r="D26" s="3" t="s">
        <v>544</v>
      </c>
      <c r="E26" s="3" t="s">
        <v>545</v>
      </c>
      <c r="G26" s="8" t="str">
        <f>IFERROR(__xludf.DUMMYFUNCTION("GOOGLETRANSLATE(A26, ""en"", ""hi"")"),"25")</f>
        <v>25</v>
      </c>
      <c r="H26" s="8" t="str">
        <f>IFERROR(__xludf.DUMMYFUNCTION("GOOGLETRANSLATE(B26, ""en"", ""hi"")"),"शतरंज_7")</f>
        <v>शतरंज_7</v>
      </c>
      <c r="I26" s="8" t="str">
        <f>IFERROR(__xludf.DUMMYFUNCTION("GOOGLETRANSLATE(C26, ""en"", ""hi"")"),"बोर्ड पर केन्द्रीय स्थिति से यह कितने वर्गों को नियंत्रित करता है?")</f>
        <v>बोर्ड पर केन्द्रीय स्थिति से यह कितने वर्गों को नियंत्रित करता है?</v>
      </c>
      <c r="J26" s="8" t="str">
        <f>IFERROR(__xludf.DUMMYFUNCTION("GOOGLETRANSLATE(D26, ""en"", ""hi"")"),"ए) 8, बी) 4, सी) 12, डी) 16")</f>
        <v>ए) 8, बी) 4, सी) 12, डी) 16</v>
      </c>
      <c r="K26" s="8" t="str">
        <f>IFERROR(__xludf.DUMMYFUNCTION("GOOGLETRANSLATE(E26, ""en"", ""hi"")"),"ए) 8")</f>
        <v>ए) 8</v>
      </c>
    </row>
    <row r="27" ht="22.5" customHeight="1">
      <c r="A27" s="2">
        <v>26.0</v>
      </c>
      <c r="B27" s="3" t="s">
        <v>542</v>
      </c>
      <c r="C27" s="3" t="s">
        <v>546</v>
      </c>
      <c r="D27" s="3" t="s">
        <v>547</v>
      </c>
      <c r="E27" s="3" t="s">
        <v>548</v>
      </c>
      <c r="G27" s="8" t="str">
        <f>IFERROR(__xludf.DUMMYFUNCTION("GOOGLETRANSLATE(A27, ""en"", ""hi"")"),"26")</f>
        <v>26</v>
      </c>
      <c r="H27" s="8" t="str">
        <f>IFERROR(__xludf.DUMMYFUNCTION("GOOGLETRANSLATE(B27, ""en"", ""hi"")"),"शतरंज_7")</f>
        <v>शतरंज_7</v>
      </c>
      <c r="I27" s="8" t="str">
        <f>IFERROR(__xludf.DUMMYFUNCTION("GOOGLETRANSLATE(C27, ""en"", ""hi"")"),"इस मोहरे के लिए खाली बोर्ड पर केंद्रीय स्थिति से वैध चालों की अधिकतम संख्या क्या है?")</f>
        <v>इस मोहरे के लिए खाली बोर्ड पर केंद्रीय स्थिति से वैध चालों की अधिकतम संख्या क्या है?</v>
      </c>
      <c r="J27" s="8" t="str">
        <f>IFERROR(__xludf.DUMMYFUNCTION("GOOGLETRANSLATE(D27, ""en"", ""hi"")"),"ए) 4, बी) 6, सी) 8, डी) 12")</f>
        <v>ए) 4, बी) 6, सी) 8, डी) 12</v>
      </c>
      <c r="K27" s="8" t="str">
        <f>IFERROR(__xludf.DUMMYFUNCTION("GOOGLETRANSLATE(E27, ""en"", ""hi"")"),"सी) 8")</f>
        <v>सी) 8</v>
      </c>
    </row>
    <row r="28" ht="22.5" customHeight="1">
      <c r="A28" s="2">
        <v>27.0</v>
      </c>
      <c r="B28" s="3" t="s">
        <v>542</v>
      </c>
      <c r="C28" s="3" t="s">
        <v>549</v>
      </c>
      <c r="D28" s="3" t="s">
        <v>550</v>
      </c>
      <c r="E28" s="3" t="s">
        <v>551</v>
      </c>
      <c r="G28" s="8" t="str">
        <f>IFERROR(__xludf.DUMMYFUNCTION("GOOGLETRANSLATE(A28, ""en"", ""hi"")"),"27")</f>
        <v>27</v>
      </c>
      <c r="H28" s="8" t="str">
        <f>IFERROR(__xludf.DUMMYFUNCTION("GOOGLETRANSLATE(B28, ""en"", ""hi"")"),"शतरंज_7")</f>
        <v>शतरंज_7</v>
      </c>
      <c r="I28" s="8" t="str">
        <f>IFERROR(__xludf.DUMMYFUNCTION("GOOGLETRANSLATE(C28, ""en"", ""hi"")"),"निम्नलिखित में से किस मोहरे की संभावित प्रारंभिक चालों की संख्या समान है?")</f>
        <v>निम्नलिखित में से किस मोहरे की संभावित प्रारंभिक चालों की संख्या समान है?</v>
      </c>
      <c r="J28" s="8" t="str">
        <f>IFERROR(__xludf.DUMMYFUNCTION("GOOGLETRANSLATE(D28, ""en"", ""hi"")"),"A) रूक, B) क्वीन, C) बिशप, D) पॉन")</f>
        <v>A) रूक, B) क्वीन, C) बिशप, D) पॉन</v>
      </c>
      <c r="K28" s="8" t="str">
        <f>IFERROR(__xludf.DUMMYFUNCTION("GOOGLETRANSLATE(E28, ""en"", ""hi"")"),"D) प्यादा")</f>
        <v>D) प्यादा</v>
      </c>
    </row>
    <row r="29" ht="22.5" customHeight="1">
      <c r="A29" s="2">
        <v>28.0</v>
      </c>
      <c r="B29" s="3" t="s">
        <v>542</v>
      </c>
      <c r="C29" s="3" t="s">
        <v>552</v>
      </c>
      <c r="D29" s="3" t="s">
        <v>553</v>
      </c>
      <c r="E29" s="3" t="s">
        <v>554</v>
      </c>
      <c r="G29" s="8" t="str">
        <f>IFERROR(__xludf.DUMMYFUNCTION("GOOGLETRANSLATE(A29, ""en"", ""hi"")"),"28")</f>
        <v>28</v>
      </c>
      <c r="H29" s="8" t="str">
        <f>IFERROR(__xludf.DUMMYFUNCTION("GOOGLETRANSLATE(B29, ""en"", ""hi"")"),"शतरंज_7")</f>
        <v>शतरंज_7</v>
      </c>
      <c r="I29" s="8" t="str">
        <f>IFERROR(__xludf.DUMMYFUNCTION("GOOGLETRANSLATE(C29, ""en"", ""hi"")"),"अंतिम चरण में इससे संबंधित सामान्य रणनीति क्या है?")</f>
        <v>अंतिम चरण में इससे संबंधित सामान्य रणनीति क्या है?</v>
      </c>
      <c r="J29" s="8" t="str">
        <f>IFERROR(__xludf.DUMMYFUNCTION("GOOGLETRANSLATE(D29, ""en"", ""hi"")"),"क) घोड़ों को ऐसी स्थिति में रखना जहां वे मुख्य वर्गों को नियंत्रित कर सकें और कांटे बना सकें, ख) घोड़ों को प्यादों की रक्षा के लिए पिछली पंक्ति में रखना, ग) घोड़ों का उपयोग मुख्य रूप से प्यादों की पदोन्नति के लिए करना, घ) घोड़ों की गति को सीमित करने के लि"&amp;"ए उन्हें बोर्ड के किनारों पर ले जाना")</f>
        <v>क) घोड़ों को ऐसी स्थिति में रखना जहां वे मुख्य वर्गों को नियंत्रित कर सकें और कांटे बना सकें, ख) घोड़ों को प्यादों की रक्षा के लिए पिछली पंक्ति में रखना, ग) घोड़ों का उपयोग मुख्य रूप से प्यादों की पदोन्नति के लिए करना, घ) घोड़ों की गति को सीमित करने के लिए उन्हें बोर्ड के किनारों पर ले जाना</v>
      </c>
      <c r="K29" s="8" t="str">
        <f>IFERROR(__xludf.DUMMYFUNCTION("GOOGLETRANSLATE(E29, ""en"", ""hi"")"),"ए) घोड़ों को ऐसी स्थिति में रखना जहां वे प्रमुख वर्गों को नियंत्रित करते हैं और कांटे बनाते हैं")</f>
        <v>ए) घोड़ों को ऐसी स्थिति में रखना जहां वे प्रमुख वर्गों को नियंत्रित करते हैं और कांटे बनाते हैं</v>
      </c>
    </row>
    <row r="30" ht="22.5" customHeight="1">
      <c r="A30" s="2">
        <v>29.0</v>
      </c>
      <c r="B30" s="3" t="s">
        <v>555</v>
      </c>
      <c r="C30" s="3" t="s">
        <v>530</v>
      </c>
      <c r="D30" s="3" t="s">
        <v>556</v>
      </c>
      <c r="E30" s="3" t="s">
        <v>557</v>
      </c>
      <c r="G30" s="8" t="str">
        <f>IFERROR(__xludf.DUMMYFUNCTION("GOOGLETRANSLATE(A30, ""en"", ""hi"")"),"29")</f>
        <v>29</v>
      </c>
      <c r="H30" s="8" t="str">
        <f>IFERROR(__xludf.DUMMYFUNCTION("GOOGLETRANSLATE(B30, ""en"", ""hi"")"),"शतरंज_8")</f>
        <v>शतरंज_8</v>
      </c>
      <c r="I30" s="8" t="str">
        <f>IFERROR(__xludf.DUMMYFUNCTION("GOOGLETRANSLATE(C30, ""en"", ""hi"")"),"शतरंज में यह चाल कैसे चलती है?")</f>
        <v>शतरंज में यह चाल कैसे चलती है?</v>
      </c>
      <c r="J30" s="8" t="str">
        <f>IFERROR(__xludf.DUMMYFUNCTION("GOOGLETRANSLATE(D30, ""en"", ""hi"")"),"A) किसी भी दिशा में एक वर्ग, B) क्षैतिज या ऊर्ध्वाधर रूप से कितने भी वर्ग, C) किसी भी दिशा में दो वर्ग, D) केवल विकर्णतः")</f>
        <v>A) किसी भी दिशा में एक वर्ग, B) क्षैतिज या ऊर्ध्वाधर रूप से कितने भी वर्ग, C) किसी भी दिशा में दो वर्ग, D) केवल विकर्णतः</v>
      </c>
      <c r="K30" s="8" t="str">
        <f>IFERROR(__xludf.DUMMYFUNCTION("GOOGLETRANSLATE(E30, ""en"", ""hi"")"),"बी) क्षैतिज या ऊर्ध्वाधर रूप से किसी भी संख्या में वर्ग")</f>
        <v>बी) क्षैतिज या ऊर्ध्वाधर रूप से किसी भी संख्या में वर्ग</v>
      </c>
    </row>
    <row r="31" ht="22.5" customHeight="1">
      <c r="A31" s="2">
        <v>30.0</v>
      </c>
      <c r="B31" s="3" t="s">
        <v>555</v>
      </c>
      <c r="C31" s="3" t="s">
        <v>558</v>
      </c>
      <c r="D31" s="3" t="s">
        <v>559</v>
      </c>
      <c r="E31" s="3" t="s">
        <v>560</v>
      </c>
      <c r="G31" s="8" t="str">
        <f>IFERROR(__xludf.DUMMYFUNCTION("GOOGLETRANSLATE(A31, ""en"", ""hi"")"),"30")</f>
        <v>30</v>
      </c>
      <c r="H31" s="8" t="str">
        <f>IFERROR(__xludf.DUMMYFUNCTION("GOOGLETRANSLATE(B31, ""en"", ""hi"")"),"शतरंज_8")</f>
        <v>शतरंज_8</v>
      </c>
      <c r="I31" s="8" t="str">
        <f>IFERROR(__xludf.DUMMYFUNCTION("GOOGLETRANSLATE(C31, ""en"", ""hi"")"),"रानी की तुलना में इस आंदोलन की मुख्य विशेषता क्या है?")</f>
        <v>रानी की तुलना में इस आंदोलन की मुख्य विशेषता क्या है?</v>
      </c>
      <c r="J31" s="8" t="str">
        <f>IFERROR(__xludf.DUMMYFUNCTION("GOOGLETRANSLATE(D31, ""en"", ""hi"")"),"A) यह रानी की तरह तिरछे चल सकता है, B) यह केवल क्षैतिज या लंबवत चल सकता है, जबकि रानी दोनों दिशाओं में चल सकती है, C) यह अन्य मोहरों के ऊपर से कूद सकता है, D) यह एक समय में केवल एक ही वर्ग चल सकता है")</f>
        <v>A) यह रानी की तरह तिरछे चल सकता है, B) यह केवल क्षैतिज या लंबवत चल सकता है, जबकि रानी दोनों दिशाओं में चल सकती है, C) यह अन्य मोहरों के ऊपर से कूद सकता है, D) यह एक समय में केवल एक ही वर्ग चल सकता है</v>
      </c>
      <c r="K31" s="8" t="str">
        <f>IFERROR(__xludf.DUMMYFUNCTION("GOOGLETRANSLATE(E31, ""en"", ""hi"")"),"B) किश्ती केवल क्षैतिज या ऊर्ध्वाधर दिशा में ही चल सकती है, जबकि रानी दोनों दिशाओं में चल सकती है")</f>
        <v>B) किश्ती केवल क्षैतिज या ऊर्ध्वाधर दिशा में ही चल सकती है, जबकि रानी दोनों दिशाओं में चल सकती है</v>
      </c>
    </row>
    <row r="32" ht="22.5" customHeight="1">
      <c r="A32" s="2">
        <v>31.0</v>
      </c>
      <c r="B32" s="3" t="s">
        <v>555</v>
      </c>
      <c r="C32" s="3" t="s">
        <v>561</v>
      </c>
      <c r="D32" s="3" t="s">
        <v>562</v>
      </c>
      <c r="E32" s="3" t="s">
        <v>563</v>
      </c>
      <c r="G32" s="8" t="str">
        <f>IFERROR(__xludf.DUMMYFUNCTION("GOOGLETRANSLATE(A32, ""en"", ""hi"")"),"31")</f>
        <v>31</v>
      </c>
      <c r="H32" s="8" t="str">
        <f>IFERROR(__xludf.DUMMYFUNCTION("GOOGLETRANSLATE(B32, ""en"", ""hi"")"),"शतरंज_8")</f>
        <v>शतरंज_8</v>
      </c>
      <c r="I32" s="8" t="str">
        <f>IFERROR(__xludf.DUMMYFUNCTION("GOOGLETRANSLATE(C32, ""en"", ""hi"")"),"इसकी शक्ति के बारे में निम्नलिखित में से कौन सा कथन सही है?")</f>
        <v>इसकी शक्ति के बारे में निम्नलिखित में से कौन सा कथन सही है?</v>
      </c>
      <c r="J32" s="8" t="str">
        <f>IFERROR(__xludf.DUMMYFUNCTION("GOOGLETRANSLATE(D32, ""en"", ""hi"")"),"A) गति की सीमा के संदर्भ में यह सबसे शक्तिशाली मोहरा है, B) यह सबसे कम शक्तिशाली मोहरा है और एक समय में केवल एक वर्ग ही चल सकता है, C) इसकी शक्ति बिशप के बराबर है, D) गति की दृष्टि से इसकी और रानी की शक्ति समान है")</f>
        <v>A) गति की सीमा के संदर्भ में यह सबसे शक्तिशाली मोहरा है, B) यह सबसे कम शक्तिशाली मोहरा है और एक समय में केवल एक वर्ग ही चल सकता है, C) इसकी शक्ति बिशप के बराबर है, D) गति की दृष्टि से इसकी और रानी की शक्ति समान है</v>
      </c>
      <c r="K32" s="8" t="str">
        <f>IFERROR(__xludf.DUMMYFUNCTION("GOOGLETRANSLATE(E32, ""en"", ""hi"")"),"D) गति के मामले में इसकी और रानी की शक्ति समान है")</f>
        <v>D) गति के मामले में इसकी और रानी की शक्ति समान है</v>
      </c>
    </row>
    <row r="33" ht="22.5" customHeight="1">
      <c r="A33" s="2">
        <v>32.0</v>
      </c>
      <c r="B33" s="3" t="s">
        <v>555</v>
      </c>
      <c r="C33" s="3" t="s">
        <v>564</v>
      </c>
      <c r="D33" s="3" t="s">
        <v>565</v>
      </c>
      <c r="E33" s="3" t="s">
        <v>566</v>
      </c>
      <c r="G33" s="8" t="str">
        <f>IFERROR(__xludf.DUMMYFUNCTION("GOOGLETRANSLATE(A33, ""en"", ""hi"")"),"32")</f>
        <v>32</v>
      </c>
      <c r="H33" s="8" t="str">
        <f>IFERROR(__xludf.DUMMYFUNCTION("GOOGLETRANSLATE(B33, ""en"", ""hi"")"),"शतरंज_8")</f>
        <v>शतरंज_8</v>
      </c>
      <c r="I33" s="8" t="str">
        <f>IFERROR(__xludf.DUMMYFUNCTION("GOOGLETRANSLATE(C33, ""en"", ""hi"")"),"जब इसे बोर्ड के किनारे पर रखा जाता है तो क्या होता है?")</f>
        <v>जब इसे बोर्ड के किनारे पर रखा जाता है तो क्या होता है?</v>
      </c>
      <c r="J33" s="8" t="str">
        <f>IFERROR(__xludf.DUMMYFUNCTION("GOOGLETRANSLATE(D33, ""en"", ""hi"")"),"A) यह केवल अपने रैंक या फ़ाइल के भीतर उन वर्गों में जा सकता है जो अभी भी बोर्ड पर हैं, B) यह अतिरिक्त आंदोलन विकल्प प्राप्त करता है, C) यह अधिक प्रभावी ढंग से तिरछे आगे बढ़ सकता है, D) यह बिल्कुल भी आगे बढ़ने में असमर्थ है")</f>
        <v>A) यह केवल अपने रैंक या फ़ाइल के भीतर उन वर्गों में जा सकता है जो अभी भी बोर्ड पर हैं, B) यह अतिरिक्त आंदोलन विकल्प प्राप्त करता है, C) यह अधिक प्रभावी ढंग से तिरछे आगे बढ़ सकता है, D) यह बिल्कुल भी आगे बढ़ने में असमर्थ है</v>
      </c>
      <c r="K33" s="8" t="str">
        <f>IFERROR(__xludf.DUMMYFUNCTION("GOOGLETRANSLATE(E33, ""en"", ""hi"")"),"A) किश्ती केवल अपनी पंक्ति या पंक्ति के भीतर उन वर्गों में ही जा सकता है जो अभी भी बोर्ड पर हैं")</f>
        <v>A) किश्ती केवल अपनी पंक्ति या पंक्ति के भीतर उन वर्गों में ही जा सकता है जो अभी भी बोर्ड पर हैं</v>
      </c>
    </row>
    <row r="34" ht="22.5" customHeight="1">
      <c r="A34" s="2">
        <v>33.0</v>
      </c>
      <c r="B34" s="3" t="s">
        <v>567</v>
      </c>
      <c r="C34" s="3" t="s">
        <v>530</v>
      </c>
      <c r="D34" s="3" t="s">
        <v>568</v>
      </c>
      <c r="E34" s="3" t="s">
        <v>569</v>
      </c>
      <c r="G34" s="8" t="str">
        <f>IFERROR(__xludf.DUMMYFUNCTION("GOOGLETRANSLATE(A34, ""en"", ""hi"")"),"33")</f>
        <v>33</v>
      </c>
      <c r="H34" s="8" t="str">
        <f>IFERROR(__xludf.DUMMYFUNCTION("GOOGLETRANSLATE(B34, ""en"", ""hi"")"),"शतरंज_9")</f>
        <v>शतरंज_9</v>
      </c>
      <c r="I34" s="8" t="str">
        <f>IFERROR(__xludf.DUMMYFUNCTION("GOOGLETRANSLATE(C34, ""en"", ""hi"")"),"शतरंज में यह चाल कैसे चलती है?")</f>
        <v>शतरंज में यह चाल कैसे चलती है?</v>
      </c>
      <c r="J34" s="8" t="str">
        <f>IFERROR(__xludf.DUMMYFUNCTION("GOOGLETRANSLATE(D34, ""en"", ""hi"")"),"A) क्षैतिज या ऊर्ध्वाधर रूप से कितने भी वर्ग, B) विकर्ण रूप से कितने भी वर्ग, C) किसी भी दिशा में एक वर्ग, D) किसी भी दिशा में दो वर्ग")</f>
        <v>A) क्षैतिज या ऊर्ध्वाधर रूप से कितने भी वर्ग, B) विकर्ण रूप से कितने भी वर्ग, C) किसी भी दिशा में एक वर्ग, D) किसी भी दिशा में दो वर्ग</v>
      </c>
      <c r="K34" s="8" t="str">
        <f>IFERROR(__xludf.DUMMYFUNCTION("GOOGLETRANSLATE(E34, ""en"", ""hi"")"),"B) विकर्णतः किसी भी संख्या में वर्ग")</f>
        <v>B) विकर्णतः किसी भी संख्या में वर्ग</v>
      </c>
    </row>
    <row r="35" ht="22.5" customHeight="1">
      <c r="A35" s="2">
        <v>34.0</v>
      </c>
      <c r="B35" s="3" t="s">
        <v>567</v>
      </c>
      <c r="C35" s="3" t="s">
        <v>570</v>
      </c>
      <c r="D35" s="3" t="s">
        <v>571</v>
      </c>
      <c r="E35" s="3" t="s">
        <v>572</v>
      </c>
      <c r="G35" s="8" t="str">
        <f>IFERROR(__xludf.DUMMYFUNCTION("GOOGLETRANSLATE(A35, ""en"", ""hi"")"),"34")</f>
        <v>34</v>
      </c>
      <c r="H35" s="8" t="str">
        <f>IFERROR(__xludf.DUMMYFUNCTION("GOOGLETRANSLATE(B35, ""en"", ""hi"")"),"शतरंज_9")</f>
        <v>शतरंज_9</v>
      </c>
      <c r="I35" s="8" t="str">
        <f>IFERROR(__xludf.DUMMYFUNCTION("GOOGLETRANSLATE(C35, ""en"", ""hi"")"),"निम्नलिखित बयानों में से कौनसा सच्चा है?")</f>
        <v>निम्नलिखित बयानों में से कौनसा सच्चा है?</v>
      </c>
      <c r="J35" s="8" t="str">
        <f>IFERROR(__xludf.DUMMYFUNCTION("GOOGLETRANSLATE(D35, ""en"", ""hi"")"),"A) बिशप पूरे खेल के दौरान केवल एक रंग के वर्गों पर ही चल सकता है, B) बिशप क्षैतिज और ऊर्ध्वाधर रूप से चल सकता है, C) बिशप अन्य मोहरों के ऊपर से कूद सकता है, D) बिशप केवल विपरीत रंग के वर्गों पर ही चल सकता है")</f>
        <v>A) बिशप पूरे खेल के दौरान केवल एक रंग के वर्गों पर ही चल सकता है, B) बिशप क्षैतिज और ऊर्ध्वाधर रूप से चल सकता है, C) बिशप अन्य मोहरों के ऊपर से कूद सकता है, D) बिशप केवल विपरीत रंग के वर्गों पर ही चल सकता है</v>
      </c>
      <c r="K35" s="8" t="str">
        <f>IFERROR(__xludf.DUMMYFUNCTION("GOOGLETRANSLATE(E35, ""en"", ""hi"")"),"A) बिशप पूरे खेल के दौरान केवल एक ही रंग के वर्गों पर चल सकता है")</f>
        <v>A) बिशप पूरे खेल के दौरान केवल एक ही रंग के वर्गों पर चल सकता है</v>
      </c>
    </row>
    <row r="36" ht="22.5" customHeight="1">
      <c r="A36" s="2">
        <v>35.0</v>
      </c>
      <c r="B36" s="3" t="s">
        <v>567</v>
      </c>
      <c r="C36" s="3" t="s">
        <v>573</v>
      </c>
      <c r="D36" s="3" t="s">
        <v>51</v>
      </c>
      <c r="E36" s="3" t="s">
        <v>52</v>
      </c>
      <c r="G36" s="8" t="str">
        <f>IFERROR(__xludf.DUMMYFUNCTION("GOOGLETRANSLATE(A36, ""en"", ""hi"")"),"35")</f>
        <v>35</v>
      </c>
      <c r="H36" s="8" t="str">
        <f>IFERROR(__xludf.DUMMYFUNCTION("GOOGLETRANSLATE(B36, ""en"", ""hi"")"),"शतरंज_9")</f>
        <v>शतरंज_9</v>
      </c>
      <c r="I36" s="8" t="str">
        <f>IFERROR(__xludf.DUMMYFUNCTION("GOOGLETRANSLATE(C36, ""en"", ""hi"")"),"एक मानक शतरंज खेल में प्रत्येक खिलाड़ी इनमें से कितने के साथ शुरुआत करता है?")</f>
        <v>एक मानक शतरंज खेल में प्रत्येक खिलाड़ी इनमें से कितने के साथ शुरुआत करता है?</v>
      </c>
      <c r="J36" s="8" t="str">
        <f>IFERROR(__xludf.DUMMYFUNCTION("GOOGLETRANSLATE(D36, ""en"", ""hi"")"),"ए) 1, बी) 2, सी) 3, डी) 4")</f>
        <v>ए) 1, बी) 2, सी) 3, डी) 4</v>
      </c>
      <c r="K36" s="8" t="str">
        <f>IFERROR(__xludf.DUMMYFUNCTION("GOOGLETRANSLATE(E36, ""en"", ""hi"")"),"बी) 2")</f>
        <v>बी) 2</v>
      </c>
    </row>
    <row r="37" ht="22.5" customHeight="1">
      <c r="A37" s="2">
        <v>36.0</v>
      </c>
      <c r="B37" s="3" t="s">
        <v>567</v>
      </c>
      <c r="C37" s="3" t="s">
        <v>574</v>
      </c>
      <c r="D37" s="3" t="s">
        <v>575</v>
      </c>
      <c r="E37" s="3" t="s">
        <v>576</v>
      </c>
      <c r="G37" s="8" t="str">
        <f>IFERROR(__xludf.DUMMYFUNCTION("GOOGLETRANSLATE(A37, ""en"", ""hi"")"),"36")</f>
        <v>36</v>
      </c>
      <c r="H37" s="8" t="str">
        <f>IFERROR(__xludf.DUMMYFUNCTION("GOOGLETRANSLATE(B37, ""en"", ""hi"")"),"शतरंज_9")</f>
        <v>शतरंज_9</v>
      </c>
      <c r="I37" s="8" t="str">
        <f>IFERROR(__xludf.DUMMYFUNCTION("GOOGLETRANSLATE(C37, ""en"", ""hi"")"),"मध्य खेल रणनीति में इसकी क्या भूमिका है?")</f>
        <v>मध्य खेल रणनीति में इसकी क्या भूमिका है?</v>
      </c>
      <c r="J37" s="8" t="str">
        <f>IFERROR(__xludf.DUMMYFUNCTION("GOOGLETRANSLATE(D37, ""en"", ""hi"")"),"A) लंबे विकर्णों को नियंत्रित करना और आक्रमणकारी योजनाओं का समर्थन करना, B) बोर्ड के कोने में रहना, C) कैसलिंग में सहायता करना और रक्षात्मक स्थिति बनाए रखना, D) प्रतिद्वंद्वी के राजा की ओर सीधे बढ़ना")</f>
        <v>A) लंबे विकर्णों को नियंत्रित करना और आक्रमणकारी योजनाओं का समर्थन करना, B) बोर्ड के कोने में रहना, C) कैसलिंग में सहायता करना और रक्षात्मक स्थिति बनाए रखना, D) प्रतिद्वंद्वी के राजा की ओर सीधे बढ़ना</v>
      </c>
      <c r="K37" s="8" t="str">
        <f>IFERROR(__xludf.DUMMYFUNCTION("GOOGLETRANSLATE(E37, ""en"", ""hi"")"),"A) लंबे विकर्णों को नियंत्रित करने और हमलावर योजनाओं का समर्थन करने के लिए")</f>
        <v>A) लंबे विकर्णों को नियंत्रित करने और हमलावर योजनाओं का समर्थन करने के लिए</v>
      </c>
    </row>
    <row r="38" ht="22.5" customHeight="1">
      <c r="A38" s="2">
        <v>37.0</v>
      </c>
      <c r="B38" s="3" t="s">
        <v>577</v>
      </c>
      <c r="C38" s="3" t="s">
        <v>578</v>
      </c>
      <c r="D38" s="3" t="s">
        <v>579</v>
      </c>
      <c r="E38" s="3" t="s">
        <v>580</v>
      </c>
      <c r="G38" s="8" t="str">
        <f>IFERROR(__xludf.DUMMYFUNCTION("GOOGLETRANSLATE(A38, ""en"", ""hi"")"),"37")</f>
        <v>37</v>
      </c>
      <c r="H38" s="8" t="str">
        <f>IFERROR(__xludf.DUMMYFUNCTION("GOOGLETRANSLATE(B38, ""en"", ""hi"")"),"शतरंज_10")</f>
        <v>शतरंज_10</v>
      </c>
      <c r="I38" s="8" t="str">
        <f>IFERROR(__xludf.DUMMYFUNCTION("GOOGLETRANSLATE(C38, ""en"", ""hi"")"),"कौन सा सफ़ेद मोहरा काले बादशाह पर सीधा हमला करने की स्थिति में है, जिससे चेकमेट का खतरा हो सकता है?")</f>
        <v>कौन सा सफ़ेद मोहरा काले बादशाह पर सीधा हमला करने की स्थिति में है, जिससे चेकमेट का खतरा हो सकता है?</v>
      </c>
      <c r="J38" s="8" t="str">
        <f>IFERROR(__xludf.DUMMYFUNCTION("GOOGLETRANSLATE(D38, ""en"", ""hi"")"),"A) रानी c2 पर, B) बिशप f4 पर, C) शूरवीर c3 पर, D) रूक d1 पर")</f>
        <v>A) रानी c2 पर, B) बिशप f4 पर, C) शूरवीर c3 पर, D) रूक d1 पर</v>
      </c>
      <c r="K38" s="8" t="str">
        <f>IFERROR(__xludf.DUMMYFUNCTION("GOOGLETRANSLATE(E38, ""en"", ""hi"")"),"A) c2 पर रानी")</f>
        <v>A) c2 पर रानी</v>
      </c>
    </row>
    <row r="39" ht="22.5" customHeight="1">
      <c r="A39" s="2">
        <v>38.0</v>
      </c>
      <c r="B39" s="3" t="s">
        <v>577</v>
      </c>
      <c r="C39" s="3" t="s">
        <v>581</v>
      </c>
      <c r="D39" s="3" t="s">
        <v>582</v>
      </c>
      <c r="E39" s="3" t="s">
        <v>583</v>
      </c>
      <c r="G39" s="8" t="str">
        <f>IFERROR(__xludf.DUMMYFUNCTION("GOOGLETRANSLATE(A39, ""en"", ""hi"")"),"38")</f>
        <v>38</v>
      </c>
      <c r="H39" s="8" t="str">
        <f>IFERROR(__xludf.DUMMYFUNCTION("GOOGLETRANSLATE(B39, ""en"", ""hi"")"),"शतरंज_10")</f>
        <v>शतरंज_10</v>
      </c>
      <c r="I39" s="8" t="str">
        <f>IFERROR(__xludf.DUMMYFUNCTION("GOOGLETRANSLATE(C39, ""en"", ""hi"")"),"चेकमेट का खतरा पैदा करने के लिए सफेद के लिए सबसे अच्छा तत्काल कदम क्या है?")</f>
        <v>चेकमेट का खतरा पैदा करने के लिए सफेद के लिए सबसे अच्छा तत्काल कदम क्या है?</v>
      </c>
      <c r="J39" s="8" t="str">
        <f>IFERROR(__xludf.DUMMYFUNCTION("GOOGLETRANSLATE(D39, ""en"", ""hi"")"),"A) O-O (कास्टलिंग किंगसाइड), B) Bxe6 (बिशप ने e6 पर कब्ज़ा किया), C) Qxh7+ (क्वीन ने चेक के साथ h7 पर कब्ज़ा किया), D) Nb5 (नाइट से b5 तक)")</f>
        <v>A) O-O (कास्टलिंग किंगसाइड), B) Bxe6 (बिशप ने e6 पर कब्ज़ा किया), C) Qxh7+ (क्वीन ने चेक के साथ h7 पर कब्ज़ा किया), D) Nb5 (नाइट से b5 तक)</v>
      </c>
      <c r="K39" s="8" t="str">
        <f>IFERROR(__xludf.DUMMYFUNCTION("GOOGLETRANSLATE(E39, ""en"", ""hi"")"),"C) Qxh7+ (रानी ने चेक के साथ h7 पर कब्जा कर लिया)")</f>
        <v>C) Qxh7+ (रानी ने चेक के साथ h7 पर कब्जा कर लिया)</v>
      </c>
    </row>
    <row r="40" ht="22.5" customHeight="1">
      <c r="A40" s="2">
        <v>39.0</v>
      </c>
      <c r="B40" s="3" t="s">
        <v>577</v>
      </c>
      <c r="C40" s="3" t="s">
        <v>584</v>
      </c>
      <c r="D40" s="3" t="s">
        <v>585</v>
      </c>
      <c r="E40" s="3" t="s">
        <v>586</v>
      </c>
      <c r="G40" s="8" t="str">
        <f>IFERROR(__xludf.DUMMYFUNCTION("GOOGLETRANSLATE(A40, ""en"", ""hi"")"),"39")</f>
        <v>39</v>
      </c>
      <c r="H40" s="8" t="str">
        <f>IFERROR(__xludf.DUMMYFUNCTION("GOOGLETRANSLATE(B40, ""en"", ""hi"")"),"शतरंज_10")</f>
        <v>शतरंज_10</v>
      </c>
      <c r="I40" s="8" t="str">
        <f>IFERROR(__xludf.DUMMYFUNCTION("GOOGLETRANSLATE(C40, ""en"", ""hi"")"),"कौन सा काला मोहरा वर्तमान में असुरक्षित है और आक्रमण के प्रति असुरक्षित है?")</f>
        <v>कौन सा काला मोहरा वर्तमान में असुरक्षित है और आक्रमण के प्रति असुरक्षित है?</v>
      </c>
      <c r="J40" s="8" t="str">
        <f>IFERROR(__xludf.DUMMYFUNCTION("GOOGLETRANSLATE(D40, ""en"", ""hi"")"),"A) h5 पर घोड़ा, B) e7 पर बिशप, C) f8 पर रूक, D) a5 पर रानी")</f>
        <v>A) h5 पर घोड़ा, B) e7 पर बिशप, C) f8 पर रूक, D) a5 पर रानी</v>
      </c>
      <c r="K40" s="8" t="str">
        <f>IFERROR(__xludf.DUMMYFUNCTION("GOOGLETRANSLATE(E40, ""en"", ""hi"")"),"A) h5 पर नाइट")</f>
        <v>A) h5 पर नाइट</v>
      </c>
    </row>
    <row r="41" ht="22.5" customHeight="1">
      <c r="A41" s="2">
        <v>40.0</v>
      </c>
      <c r="B41" s="3" t="s">
        <v>577</v>
      </c>
      <c r="C41" s="3" t="s">
        <v>587</v>
      </c>
      <c r="D41" s="3" t="s">
        <v>588</v>
      </c>
      <c r="E41" s="3" t="s">
        <v>589</v>
      </c>
      <c r="G41" s="8" t="str">
        <f>IFERROR(__xludf.DUMMYFUNCTION("GOOGLETRANSLATE(A41, ""en"", ""hi"")"),"40")</f>
        <v>40</v>
      </c>
      <c r="H41" s="8" t="str">
        <f>IFERROR(__xludf.DUMMYFUNCTION("GOOGLETRANSLATE(B41, ""en"", ""hi"")"),"शतरंज_10")</f>
        <v>शतरंज_10</v>
      </c>
      <c r="I41" s="8" t="str">
        <f>IFERROR(__xludf.DUMMYFUNCTION("GOOGLETRANSLATE(C41, ""en"", ""hi"")"),"वर्तमान स्थिति में h5 पर काला घोड़ा किस सफ़ेद मोहरे पर कब्ज़ा कर सकता है?")</f>
        <v>वर्तमान स्थिति में h5 पर काला घोड़ा किस सफ़ेद मोहरे पर कब्ज़ा कर सकता है?</v>
      </c>
      <c r="J41" s="8" t="str">
        <f>IFERROR(__xludf.DUMMYFUNCTION("GOOGLETRANSLATE(D41, ""en"", ""hi"")"),"A) रानी c2 पर, B) बिशप c4 पर, C) घोड़ा f3 पर, D) रूक d1 पर")</f>
        <v>A) रानी c2 पर, B) बिशप c4 पर, C) घोड़ा f3 पर, D) रूक d1 पर</v>
      </c>
      <c r="K41" s="8" t="str">
        <f>IFERROR(__xludf.DUMMYFUNCTION("GOOGLETRANSLATE(E41, ""en"", ""hi"")"),"C) f3 पर नाइट")</f>
        <v>C) f3 पर नाइट</v>
      </c>
    </row>
    <row r="42" ht="22.5" customHeight="1">
      <c r="A42" s="2">
        <v>41.0</v>
      </c>
      <c r="B42" s="3" t="s">
        <v>590</v>
      </c>
      <c r="C42" s="3" t="s">
        <v>591</v>
      </c>
      <c r="D42" s="3" t="s">
        <v>592</v>
      </c>
      <c r="E42" s="3" t="s">
        <v>593</v>
      </c>
      <c r="G42" s="8" t="str">
        <f>IFERROR(__xludf.DUMMYFUNCTION("GOOGLETRANSLATE(A42, ""en"", ""hi"")"),"41")</f>
        <v>41</v>
      </c>
      <c r="H42" s="8" t="str">
        <f>IFERROR(__xludf.DUMMYFUNCTION("GOOGLETRANSLATE(B42, ""en"", ""hi"")"),"शतरंज_11")</f>
        <v>शतरंज_11</v>
      </c>
      <c r="I42" s="8" t="str">
        <f>IFERROR(__xludf.DUMMYFUNCTION("GOOGLETRANSLATE(C42, ""en"", ""hi"")"),"काले राजा को चेक देने के लिए सफेद कौन सा मोहरा चला सकता है?")</f>
        <v>काले राजा को चेक देने के लिए सफेद कौन सा मोहरा चला सकता है?</v>
      </c>
      <c r="J42" s="8" t="str">
        <f>IFERROR(__xludf.DUMMYFUNCTION("GOOGLETRANSLATE(D42, ""en"", ""hi"")"),"A) d1 पर रूक, B) g3 पर घोड़ा, C) c2 पर रानी, ​​D) b1 पर बिशप")</f>
        <v>A) d1 पर रूक, B) g3 पर घोड़ा, C) c2 पर रानी, ​​D) b1 पर बिशप</v>
      </c>
      <c r="K42" s="8" t="str">
        <f>IFERROR(__xludf.DUMMYFUNCTION("GOOGLETRANSLATE(E42, ""en"", ""hi"")"),"A) d1 पर रूक")</f>
        <v>A) d1 पर रूक</v>
      </c>
    </row>
    <row r="43" ht="22.5" customHeight="1">
      <c r="A43" s="2">
        <v>42.0</v>
      </c>
      <c r="B43" s="3" t="s">
        <v>590</v>
      </c>
      <c r="C43" s="3" t="s">
        <v>594</v>
      </c>
      <c r="D43" s="3" t="s">
        <v>595</v>
      </c>
      <c r="E43" s="3" t="s">
        <v>596</v>
      </c>
      <c r="G43" s="8" t="str">
        <f>IFERROR(__xludf.DUMMYFUNCTION("GOOGLETRANSLATE(A43, ""en"", ""hi"")"),"42")</f>
        <v>42</v>
      </c>
      <c r="H43" s="8" t="str">
        <f>IFERROR(__xludf.DUMMYFUNCTION("GOOGLETRANSLATE(B43, ""en"", ""hi"")"),"शतरंज_11")</f>
        <v>शतरंज_11</v>
      </c>
      <c r="I43" s="8" t="str">
        <f>IFERROR(__xludf.DUMMYFUNCTION("GOOGLETRANSLATE(C43, ""en"", ""hi"")"),"c6 पर काले घोड़े को पकड़ने के लिए सफ़ेद घोड़े के लिए सबसे अच्छी चाल क्या है?")</f>
        <v>c6 पर काले घोड़े को पकड़ने के लिए सफ़ेद घोड़े के लिए सबसे अच्छी चाल क्या है?</v>
      </c>
      <c r="J43" s="8" t="str">
        <f>IFERROR(__xludf.DUMMYFUNCTION("GOOGLETRANSLATE(D43, ""en"", ""hi"")"),"A) घोड़े को f3 से e5 पर ले जाएं, B) बिशप को b1 से a2 पर ले जाएं, C) रानी को c2 से c3 पर ले जाएं, D) रूक को d1 से d7 पर ले जाएं")</f>
        <v>A) घोड़े को f3 से e5 पर ले जाएं, B) बिशप को b1 से a2 पर ले जाएं, C) रानी को c2 से c3 पर ले जाएं, D) रूक को d1 से d7 पर ले जाएं</v>
      </c>
      <c r="K43" s="8" t="str">
        <f>IFERROR(__xludf.DUMMYFUNCTION("GOOGLETRANSLATE(E43, ""en"", ""hi"")"),"A) नाइट को f3 से e5 पर ले जाएं")</f>
        <v>A) नाइट को f3 से e5 पर ले जाएं</v>
      </c>
    </row>
    <row r="44" ht="22.5" customHeight="1">
      <c r="A44" s="2">
        <v>43.0</v>
      </c>
      <c r="B44" s="3" t="s">
        <v>590</v>
      </c>
      <c r="C44" s="3" t="s">
        <v>597</v>
      </c>
      <c r="D44" s="3" t="s">
        <v>598</v>
      </c>
      <c r="E44" s="3" t="s">
        <v>599</v>
      </c>
      <c r="G44" s="8" t="str">
        <f>IFERROR(__xludf.DUMMYFUNCTION("GOOGLETRANSLATE(A44, ""en"", ""hi"")"),"43")</f>
        <v>43</v>
      </c>
      <c r="H44" s="8" t="str">
        <f>IFERROR(__xludf.DUMMYFUNCTION("GOOGLETRANSLATE(B44, ""en"", ""hi"")"),"शतरंज_11")</f>
        <v>शतरंज_11</v>
      </c>
      <c r="I44" s="8" t="str">
        <f>IFERROR(__xludf.DUMMYFUNCTION("GOOGLETRANSLATE(C44, ""en"", ""hi"")"),"निम्नलिखित में से कौन सी चाल सफेद को संभावित रूप से एक मोहरा जीतने की अनुमति देती है?")</f>
        <v>निम्नलिखित में से कौन सी चाल सफेद को संभावित रूप से एक मोहरा जीतने की अनुमति देती है?</v>
      </c>
      <c r="J44" s="8" t="str">
        <f>IFERROR(__xludf.DUMMYFUNCTION("GOOGLETRANSLATE(D44, ""en"", ""hi"")"),"A) रानी c2 से c3, B) घोड़ा f3 से e5, C) बिशप b1 से e4, D) रूक d1 से d7")</f>
        <v>A) रानी c2 से c3, B) घोड़ा f3 से e5, C) बिशप b1 से e4, D) रूक d1 से d7</v>
      </c>
      <c r="K44" s="8" t="str">
        <f>IFERROR(__xludf.DUMMYFUNCTION("GOOGLETRANSLATE(E44, ""en"", ""hi"")"),"बी) नाइट f3 से e5")</f>
        <v>बी) नाइट f3 से e5</v>
      </c>
    </row>
    <row r="45" ht="22.5" customHeight="1">
      <c r="A45" s="2">
        <v>44.0</v>
      </c>
      <c r="B45" s="3" t="s">
        <v>590</v>
      </c>
      <c r="C45" s="3" t="s">
        <v>600</v>
      </c>
      <c r="D45" s="3" t="s">
        <v>601</v>
      </c>
      <c r="E45" s="3" t="s">
        <v>602</v>
      </c>
      <c r="G45" s="8" t="str">
        <f>IFERROR(__xludf.DUMMYFUNCTION("GOOGLETRANSLATE(A45, ""en"", ""hi"")"),"44")</f>
        <v>44</v>
      </c>
      <c r="H45" s="8" t="str">
        <f>IFERROR(__xludf.DUMMYFUNCTION("GOOGLETRANSLATE(B45, ""en"", ""hi"")"),"शतरंज_11")</f>
        <v>शतरंज_11</v>
      </c>
      <c r="I45" s="8" t="str">
        <f>IFERROR(__xludf.DUMMYFUNCTION("GOOGLETRANSLATE(C45, ""en"", ""hi"")"),"वर्तमान में g3 पर कौन सा मोहरा श्वेत शूरवीर के आक्रमण के अधीन है?")</f>
        <v>वर्तमान में g3 पर कौन सा मोहरा श्वेत शूरवीर के आक्रमण के अधीन है?</v>
      </c>
      <c r="J45" s="8" t="str">
        <f>IFERROR(__xludf.DUMMYFUNCTION("GOOGLETRANSLATE(D45, ""en"", ""hi"")"),"A) e7 पर बिशप, B) a8 पर रूक, C) h6 पर प्यादा, D) c6 पर घोड़ा")</f>
        <v>A) e7 पर बिशप, B) a8 पर रूक, C) h6 पर प्यादा, D) c6 पर घोड़ा</v>
      </c>
      <c r="K45" s="8" t="str">
        <f>IFERROR(__xludf.DUMMYFUNCTION("GOOGLETRANSLATE(E45, ""en"", ""hi"")"),"C) h6 पर मोहरा")</f>
        <v>C) h6 पर मोहरा</v>
      </c>
    </row>
    <row r="46" ht="22.5" customHeight="1">
      <c r="A46" s="2">
        <v>45.0</v>
      </c>
      <c r="B46" s="3" t="s">
        <v>603</v>
      </c>
      <c r="C46" s="3" t="s">
        <v>604</v>
      </c>
      <c r="D46" s="3" t="s">
        <v>605</v>
      </c>
      <c r="E46" s="3" t="s">
        <v>606</v>
      </c>
      <c r="G46" s="8" t="str">
        <f>IFERROR(__xludf.DUMMYFUNCTION("GOOGLETRANSLATE(A46, ""en"", ""hi"")"),"45")</f>
        <v>45</v>
      </c>
      <c r="H46" s="8" t="str">
        <f>IFERROR(__xludf.DUMMYFUNCTION("GOOGLETRANSLATE(B46, ""en"", ""hi"")"),"शतरंज_12")</f>
        <v>शतरंज_12</v>
      </c>
      <c r="I46" s="8" t="str">
        <f>IFERROR(__xludf.DUMMYFUNCTION("GOOGLETRANSLATE(C46, ""en"", ""hi"")"),"इस 4 खिलाड़ियों वाले शतरंज बोर्ड पर कितने वर्ग हैं?")</f>
        <v>इस 4 खिलाड़ियों वाले शतरंज बोर्ड पर कितने वर्ग हैं?</v>
      </c>
      <c r="J46" s="8" t="str">
        <f>IFERROR(__xludf.DUMMYFUNCTION("GOOGLETRANSLATE(D46, ""en"", ""hi"")"),"ए) 64, बी) 96, सी) 128, डी) 144")</f>
        <v>ए) 64, बी) 96, सी) 128, डी) 144</v>
      </c>
      <c r="K46" s="8" t="str">
        <f>IFERROR(__xludf.DUMMYFUNCTION("GOOGLETRANSLATE(E46, ""en"", ""hi"")"),"सी) 128")</f>
        <v>सी) 128</v>
      </c>
    </row>
    <row r="47" ht="22.5" customHeight="1">
      <c r="A47" s="2">
        <v>46.0</v>
      </c>
      <c r="B47" s="3" t="s">
        <v>603</v>
      </c>
      <c r="C47" s="3" t="s">
        <v>607</v>
      </c>
      <c r="D47" s="3" t="s">
        <v>608</v>
      </c>
      <c r="E47" s="3" t="s">
        <v>609</v>
      </c>
      <c r="G47" s="8" t="str">
        <f>IFERROR(__xludf.DUMMYFUNCTION("GOOGLETRANSLATE(A47, ""en"", ""hi"")"),"46")</f>
        <v>46</v>
      </c>
      <c r="H47" s="8" t="str">
        <f>IFERROR(__xludf.DUMMYFUNCTION("GOOGLETRANSLATE(B47, ""en"", ""hi"")"),"शतरंज_12")</f>
        <v>शतरंज_12</v>
      </c>
      <c r="I47" s="8" t="str">
        <f>IFERROR(__xludf.DUMMYFUNCTION("GOOGLETRANSLATE(C47, ""en"", ""hi"")"),"इस शतरंज बोर्ड के कोने वाले वर्ग पर आमतौर पर कौन सा मोहरा शुरू होता है?")</f>
        <v>इस शतरंज बोर्ड के कोने वाले वर्ग पर आमतौर पर कौन सा मोहरा शुरू होता है?</v>
      </c>
      <c r="J47" s="8" t="str">
        <f>IFERROR(__xludf.DUMMYFUNCTION("GOOGLETRANSLATE(D47, ""en"", ""hi"")"),"A) राजा, B) रानी, ​​C) किश्ती, D) घोड़ा")</f>
        <v>A) राजा, B) रानी, ​​C) किश्ती, D) घोड़ा</v>
      </c>
      <c r="K47" s="8" t="str">
        <f>IFERROR(__xludf.DUMMYFUNCTION("GOOGLETRANSLATE(E47, ""en"", ""hi"")"),"सी) रूक")</f>
        <v>सी) रूक</v>
      </c>
    </row>
    <row r="48" ht="22.5" customHeight="1">
      <c r="A48" s="2">
        <v>47.0</v>
      </c>
      <c r="B48" s="3" t="s">
        <v>603</v>
      </c>
      <c r="C48" s="3" t="s">
        <v>610</v>
      </c>
      <c r="D48" s="3" t="s">
        <v>611</v>
      </c>
      <c r="E48" s="3" t="s">
        <v>612</v>
      </c>
      <c r="G48" s="8" t="str">
        <f>IFERROR(__xludf.DUMMYFUNCTION("GOOGLETRANSLATE(A48, ""en"", ""hi"")"),"47")</f>
        <v>47</v>
      </c>
      <c r="H48" s="8" t="str">
        <f>IFERROR(__xludf.DUMMYFUNCTION("GOOGLETRANSLATE(B48, ""en"", ""hi"")"),"शतरंज_12")</f>
        <v>शतरंज_12</v>
      </c>
      <c r="I48" s="8" t="str">
        <f>IFERROR(__xludf.DUMMYFUNCTION("GOOGLETRANSLATE(C48, ""en"", ""hi"")"),"पारंपरिक 2-खिलाड़ी शतरंज की तुलना में इसमें मोहरों को पकड़ने में प्राथमिक अंतर क्या है?")</f>
        <v>पारंपरिक 2-खिलाड़ी शतरंज की तुलना में इसमें मोहरों को पकड़ने में प्राथमिक अंतर क्या है?</v>
      </c>
      <c r="J48" s="8" t="str">
        <f>IFERROR(__xludf.DUMMYFUNCTION("GOOGLETRANSLATE(D48, ""en"", ""hi"")"),"A) पकड़े गए टुकड़ों को बोर्ड से हटा दिया जाता है, B) पकड़े गए टुकड़ों को किसी सहयोगी को दिया जा सकता है, C) पकड़े गए टुकड़े रंग बदलते हैं और पकड़ने वाले खिलाड़ी से जुड़ जाते हैं, D) पकड़े गए टुकड़े जमे रहते हैं और एक बारी तक हिल नहीं सकते")</f>
        <v>A) पकड़े गए टुकड़ों को बोर्ड से हटा दिया जाता है, B) पकड़े गए टुकड़ों को किसी सहयोगी को दिया जा सकता है, C) पकड़े गए टुकड़े रंग बदलते हैं और पकड़ने वाले खिलाड़ी से जुड़ जाते हैं, D) पकड़े गए टुकड़े जमे रहते हैं और एक बारी तक हिल नहीं सकते</v>
      </c>
      <c r="K48" s="8" t="str">
        <f>IFERROR(__xludf.DUMMYFUNCTION("GOOGLETRANSLATE(E48, ""en"", ""hi"")"),"C) पकड़े गए टुकड़े रंग बदलते हैं और पकड़ने वाले खिलाड़ी से जुड़ जाते हैं")</f>
        <v>C) पकड़े गए टुकड़े रंग बदलते हैं और पकड़ने वाले खिलाड़ी से जुड़ जाते हैं</v>
      </c>
    </row>
    <row r="49" ht="22.5" customHeight="1">
      <c r="A49" s="2">
        <v>48.0</v>
      </c>
      <c r="B49" s="3" t="s">
        <v>603</v>
      </c>
      <c r="C49" s="3" t="s">
        <v>613</v>
      </c>
      <c r="D49" s="3" t="s">
        <v>614</v>
      </c>
      <c r="E49" s="3" t="s">
        <v>615</v>
      </c>
      <c r="G49" s="8" t="str">
        <f>IFERROR(__xludf.DUMMYFUNCTION("GOOGLETRANSLATE(A49, ""en"", ""hi"")"),"48")</f>
        <v>48</v>
      </c>
      <c r="H49" s="8" t="str">
        <f>IFERROR(__xludf.DUMMYFUNCTION("GOOGLETRANSLATE(B49, ""en"", ""hi"")"),"शतरंज_12")</f>
        <v>शतरंज_12</v>
      </c>
      <c r="I49" s="8" t="str">
        <f>IFERROR(__xludf.DUMMYFUNCTION("GOOGLETRANSLATE(C49, ""en"", ""hi"")"),"चौथे खिलाड़ी के लिए मोहरों का रंग क्या है?")</f>
        <v>चौथे खिलाड़ी के लिए मोहरों का रंग क्या है?</v>
      </c>
      <c r="J49" s="8" t="str">
        <f>IFERROR(__xludf.DUMMYFUNCTION("GOOGLETRANSLATE(D49, ""en"", ""hi"")"),"A) हरा, B) पीला, C) लाल, D) नीला")</f>
        <v>A) हरा, B) पीला, C) लाल, D) नीला</v>
      </c>
      <c r="K49" s="8" t="str">
        <f>IFERROR(__xludf.DUMMYFUNCTION("GOOGLETRANSLATE(E49, ""en"", ""hi"")"),"बी) पीला")</f>
        <v>बी) पीला</v>
      </c>
    </row>
    <row r="50" ht="22.5" customHeight="1">
      <c r="A50" s="2">
        <v>49.0</v>
      </c>
      <c r="B50" s="3" t="s">
        <v>616</v>
      </c>
      <c r="C50" s="3" t="s">
        <v>617</v>
      </c>
      <c r="D50" s="3" t="s">
        <v>618</v>
      </c>
      <c r="E50" s="3" t="s">
        <v>619</v>
      </c>
      <c r="G50" s="8" t="str">
        <f>IFERROR(__xludf.DUMMYFUNCTION("GOOGLETRANSLATE(A50, ""en"", ""hi"")"),"49")</f>
        <v>49</v>
      </c>
      <c r="H50" s="8" t="str">
        <f>IFERROR(__xludf.DUMMYFUNCTION("GOOGLETRANSLATE(B50, ""en"", ""hi"")"),"शतरंज_13")</f>
        <v>शतरंज_13</v>
      </c>
      <c r="I50" s="8" t="str">
        <f>IFERROR(__xludf.DUMMYFUNCTION("GOOGLETRANSLATE(C50, ""en"", ""hi"")"),"चित्र में दिखाए गए शतरंज बोर्ड के डिजाइन के लिए कौन सा संगठन जिम्मेदार है?")</f>
        <v>चित्र में दिखाए गए शतरंज बोर्ड के डिजाइन के लिए कौन सा संगठन जिम्मेदार है?</v>
      </c>
      <c r="J50" s="8" t="str">
        <f>IFERROR(__xludf.DUMMYFUNCTION("GOOGLETRANSLATE(D50, ""en"", ""hi"")"),"ए) फेडरेशन इंटरनेशनेल डेस एचेक्स (एफआईडीई), बी) स्थानीय शतरंज, सी) यूनाइटेड स्टेट्स शतरंज फेडरेशन (यूएससीएफ), डी) नेशनल शतरंज फेडरेशन (एनसीएफ)")</f>
        <v>ए) फेडरेशन इंटरनेशनेल डेस एचेक्स (एफआईडीई), बी) स्थानीय शतरंज, सी) यूनाइटेड स्टेट्स शतरंज फेडरेशन (यूएससीएफ), डी) नेशनल शतरंज फेडरेशन (एनसीएफ)</v>
      </c>
      <c r="K50" s="8" t="str">
        <f>IFERROR(__xludf.DUMMYFUNCTION("GOOGLETRANSLATE(E50, ""en"", ""hi"")"),"C) संयुक्त राज्य शतरंज संघ (USCF)")</f>
        <v>C) संयुक्त राज्य शतरंज संघ (USCF)</v>
      </c>
    </row>
    <row r="51" ht="22.5" customHeight="1">
      <c r="A51" s="2">
        <v>50.0</v>
      </c>
      <c r="B51" s="3" t="s">
        <v>616</v>
      </c>
      <c r="C51" s="3" t="s">
        <v>620</v>
      </c>
      <c r="D51" s="3" t="s">
        <v>621</v>
      </c>
      <c r="E51" s="3" t="s">
        <v>622</v>
      </c>
      <c r="G51" s="8" t="str">
        <f>IFERROR(__xludf.DUMMYFUNCTION("GOOGLETRANSLATE(A51, ""en"", ""hi"")"),"50")</f>
        <v>50</v>
      </c>
      <c r="H51" s="8" t="str">
        <f>IFERROR(__xludf.DUMMYFUNCTION("GOOGLETRANSLATE(B51, ""en"", ""hi"")"),"शतरंज_13")</f>
        <v>शतरंज_13</v>
      </c>
      <c r="I51" s="8" t="str">
        <f>IFERROR(__xludf.DUMMYFUNCTION("GOOGLETRANSLATE(C51, ""en"", ""hi"")"),"आधिकारिक टूर्नामेंटों में शतरंज बोर्ड के लिए आमतौर पर किस सामग्री का उपयोग किया जाता है?")</f>
        <v>आधिकारिक टूर्नामेंटों में शतरंज बोर्ड के लिए आमतौर पर किस सामग्री का उपयोग किया जाता है?</v>
      </c>
      <c r="J51" s="8" t="str">
        <f>IFERROR(__xludf.DUMMYFUNCTION("GOOGLETRANSLATE(D51, ""en"", ""hi"")"),"A) प्लास्टिक, B) लकड़ी, C) कार्डबोर्ड, D) धातु")</f>
        <v>A) प्लास्टिक, B) लकड़ी, C) कार्डबोर्ड, D) धातु</v>
      </c>
      <c r="K51" s="8" t="str">
        <f>IFERROR(__xludf.DUMMYFUNCTION("GOOGLETRANSLATE(E51, ""en"", ""hi"")"),"बी) लकड़ी")</f>
        <v>बी) लकड़ी</v>
      </c>
    </row>
    <row r="52" ht="22.5" customHeight="1">
      <c r="A52" s="2">
        <v>51.0</v>
      </c>
      <c r="B52" s="3" t="s">
        <v>616</v>
      </c>
      <c r="C52" s="3" t="s">
        <v>623</v>
      </c>
      <c r="D52" s="3" t="s">
        <v>624</v>
      </c>
      <c r="E52" s="3" t="s">
        <v>625</v>
      </c>
      <c r="G52" s="8" t="str">
        <f>IFERROR(__xludf.DUMMYFUNCTION("GOOGLETRANSLATE(A52, ""en"", ""hi"")"),"51")</f>
        <v>51</v>
      </c>
      <c r="H52" s="8" t="str">
        <f>IFERROR(__xludf.DUMMYFUNCTION("GOOGLETRANSLATE(B52, ""en"", ""hi"")"),"शतरंज_13")</f>
        <v>शतरंज_13</v>
      </c>
      <c r="I52" s="8" t="str">
        <f>IFERROR(__xludf.DUMMYFUNCTION("GOOGLETRANSLATE(C52, ""en"", ""hi"")"),"मानक खेल व्यवस्था के लिए शतरंज की बिसात का कौन सा भाग खिलाड़ियों के सामने होना चाहिए?")</f>
        <v>मानक खेल व्यवस्था के लिए शतरंज की बिसात का कौन सा भाग खिलाड़ियों के सामने होना चाहिए?</v>
      </c>
      <c r="J52" s="8" t="str">
        <f>IFERROR(__xludf.DUMMYFUNCTION("GOOGLETRANSLATE(D52, ""en"", ""hi"")"),"A) बीजीय संकेतन वाला पक्ष, B) संकेतन रहित पक्ष, C) अद्वितीय USCF पैटर्न वाला पक्ष, D) सजावटी बॉर्डर वाला पक्ष")</f>
        <v>A) बीजीय संकेतन वाला पक्ष, B) संकेतन रहित पक्ष, C) अद्वितीय USCF पैटर्न वाला पक्ष, D) सजावटी बॉर्डर वाला पक्ष</v>
      </c>
      <c r="K52" s="8" t="str">
        <f>IFERROR(__xludf.DUMMYFUNCTION("GOOGLETRANSLATE(E52, ""en"", ""hi"")"),"A) बीजीय संकेतन वाला पक्ष")</f>
        <v>A) बीजीय संकेतन वाला पक्ष</v>
      </c>
    </row>
    <row r="53" ht="22.5" customHeight="1">
      <c r="A53" s="2">
        <v>52.0</v>
      </c>
      <c r="B53" s="3" t="s">
        <v>616</v>
      </c>
      <c r="C53" s="3" t="s">
        <v>626</v>
      </c>
      <c r="D53" s="3" t="s">
        <v>627</v>
      </c>
      <c r="E53" s="3" t="s">
        <v>628</v>
      </c>
      <c r="G53" s="8" t="str">
        <f>IFERROR(__xludf.DUMMYFUNCTION("GOOGLETRANSLATE(A53, ""en"", ""hi"")"),"52")</f>
        <v>52</v>
      </c>
      <c r="H53" s="8" t="str">
        <f>IFERROR(__xludf.DUMMYFUNCTION("GOOGLETRANSLATE(B53, ""en"", ""hi"")"),"शतरंज_13")</f>
        <v>शतरंज_13</v>
      </c>
      <c r="I53" s="8" t="str">
        <f>IFERROR(__xludf.DUMMYFUNCTION("GOOGLETRANSLATE(C53, ""en"", ""hi"")"),"इस शतरंज की बिसात पर बीजगणितीय संकेतन का उद्देश्य क्या है?")</f>
        <v>इस शतरंज की बिसात पर बीजगणितीय संकेतन का उद्देश्य क्या है?</v>
      </c>
      <c r="J53" s="8" t="str">
        <f>IFERROR(__xludf.DUMMYFUNCTION("GOOGLETRANSLATE(D53, ""en"", ""hi"")"),"A) खेल की चालों को रिकॉर्ड करने के लिए, B) सेटअप और अभिविन्यास में सहायता करने के लिए, C) यूएससीएफ लोगो प्रदर्शित करने के लिए, D) शतरंज सिखाने में मदद करने के लिए")</f>
        <v>A) खेल की चालों को रिकॉर्ड करने के लिए, B) सेटअप और अभिविन्यास में सहायता करने के लिए, C) यूएससीएफ लोगो प्रदर्शित करने के लिए, D) शतरंज सिखाने में मदद करने के लिए</v>
      </c>
      <c r="K53" s="8" t="str">
        <f>IFERROR(__xludf.DUMMYFUNCTION("GOOGLETRANSLATE(E53, ""en"", ""hi"")"),"बी) सेटअप और अभिविन्यास में सहायता करना")</f>
        <v>बी) सेटअप और अभिविन्यास में सहायता करना</v>
      </c>
    </row>
    <row r="54" ht="22.5" customHeight="1">
      <c r="A54" s="2">
        <v>53.0</v>
      </c>
      <c r="B54" s="3" t="s">
        <v>629</v>
      </c>
      <c r="C54" s="3" t="s">
        <v>630</v>
      </c>
      <c r="D54" s="3" t="s">
        <v>631</v>
      </c>
      <c r="E54" s="3" t="s">
        <v>632</v>
      </c>
      <c r="G54" s="8" t="str">
        <f>IFERROR(__xludf.DUMMYFUNCTION("GOOGLETRANSLATE(A54, ""en"", ""hi"")"),"53")</f>
        <v>53</v>
      </c>
      <c r="H54" s="8" t="str">
        <f>IFERROR(__xludf.DUMMYFUNCTION("GOOGLETRANSLATE(B54, ""en"", ""hi"")"),"शतरंज_14")</f>
        <v>शतरंज_14</v>
      </c>
      <c r="I54" s="8" t="str">
        <f>IFERROR(__xludf.DUMMYFUNCTION("GOOGLETRANSLATE(C54, ""en"", ""hi"")"),"चित्र में क्या दर्शाया गया है?")</f>
        <v>चित्र में क्या दर्शाया गया है?</v>
      </c>
      <c r="J54" s="8" t="str">
        <f>IFERROR(__xludf.DUMMYFUNCTION("GOOGLETRANSLATE(D54, ""en"", ""hi"")"),"A) एक प्रसिद्ध शतरंज की शुरुआत, B) अनास्तासिया का साथी, C) कैस्टलिंग के लिए एक शतरंज की बिसात की व्यवस्था, D) एक मानक प्यादा अंत खेल")</f>
        <v>A) एक प्रसिद्ध शतरंज की शुरुआत, B) अनास्तासिया का साथी, C) कैस्टलिंग के लिए एक शतरंज की बिसात की व्यवस्था, D) एक मानक प्यादा अंत खेल</v>
      </c>
      <c r="K54" s="8" t="str">
        <f>IFERROR(__xludf.DUMMYFUNCTION("GOOGLETRANSLATE(E54, ""en"", ""hi"")"),"बी) अनास्तासिया का साथी")</f>
        <v>बी) अनास्तासिया का साथी</v>
      </c>
    </row>
    <row r="55" ht="22.5" customHeight="1">
      <c r="A55" s="2">
        <v>54.0</v>
      </c>
      <c r="B55" s="3" t="s">
        <v>629</v>
      </c>
      <c r="C55" s="3" t="s">
        <v>633</v>
      </c>
      <c r="D55" s="3" t="s">
        <v>634</v>
      </c>
      <c r="E55" s="3" t="s">
        <v>635</v>
      </c>
      <c r="G55" s="8" t="str">
        <f>IFERROR(__xludf.DUMMYFUNCTION("GOOGLETRANSLATE(A55, ""en"", ""hi"")"),"54")</f>
        <v>54</v>
      </c>
      <c r="H55" s="8" t="str">
        <f>IFERROR(__xludf.DUMMYFUNCTION("GOOGLETRANSLATE(B55, ""en"", ""hi"")"),"शतरंज_14")</f>
        <v>शतरंज_14</v>
      </c>
      <c r="I55" s="8" t="str">
        <f>IFERROR(__xludf.DUMMYFUNCTION("GOOGLETRANSLATE(C55, ""en"", ""hi"")"),"इसमें, चेकमेट देने में आमतौर पर कौन से दो टुकड़े शामिल होते हैं?")</f>
        <v>इसमें, चेकमेट देने में आमतौर पर कौन से दो टुकड़े शामिल होते हैं?</v>
      </c>
      <c r="J55" s="8" t="str">
        <f>IFERROR(__xludf.DUMMYFUNCTION("GOOGLETRANSLATE(D55, ""en"", ""hi"")"),"A) रानी और घोड़ा, B) किश्ती और बिशप, C) बिशप और घोड़ा, D) रानी और किश्ती")</f>
        <v>A) रानी और घोड़ा, B) किश्ती और बिशप, C) बिशप और घोड़ा, D) रानी और किश्ती</v>
      </c>
      <c r="K55" s="8" t="str">
        <f>IFERROR(__xludf.DUMMYFUNCTION("GOOGLETRANSLATE(E55, ""en"", ""hi"")"),"C) बिशप और नाइट")</f>
        <v>C) बिशप और नाइट</v>
      </c>
    </row>
    <row r="56" ht="22.5" customHeight="1">
      <c r="A56" s="2">
        <v>55.0</v>
      </c>
      <c r="B56" s="3" t="s">
        <v>629</v>
      </c>
      <c r="C56" s="3" t="s">
        <v>636</v>
      </c>
      <c r="D56" s="3" t="s">
        <v>637</v>
      </c>
      <c r="E56" s="3" t="s">
        <v>638</v>
      </c>
      <c r="G56" s="8" t="str">
        <f>IFERROR(__xludf.DUMMYFUNCTION("GOOGLETRANSLATE(A56, ""en"", ""hi"")"),"55")</f>
        <v>55</v>
      </c>
      <c r="H56" s="8" t="str">
        <f>IFERROR(__xludf.DUMMYFUNCTION("GOOGLETRANSLATE(B56, ""en"", ""hi"")"),"शतरंज_14")</f>
        <v>शतरंज_14</v>
      </c>
      <c r="I56" s="8" t="str">
        <f>IFERROR(__xludf.DUMMYFUNCTION("GOOGLETRANSLATE(C56, ""en"", ""hi"")"),"इसमें आमतौर पर किस स्थिति का शोषण किया जाता है?")</f>
        <v>इसमें आमतौर पर किस स्थिति का शोषण किया जाता है?</v>
      </c>
      <c r="J56" s="8" t="str">
        <f>IFERROR(__xludf.DUMMYFUNCTION("GOOGLETRANSLATE(D56, ""en"", ""hi"")"),"A) राजा पीछे की पंक्ति में है और मोहरे की संरचना के कारण भागने में असमर्थ है, B) घोड़े और बिशप की स्थिति के कारण राजा सीमित गतिशीलता के साथ बोर्ड के किनारे पर फंस गया है, C) राजा बोर्ड के केंद्र में है और सभी मोहरे सक्रिय रूप से उसका बचाव कर रहे हैं, D) र"&amp;"ाजा अपने ही मोहरों से घिरा हुआ है और किसी भी वैध वर्ग में नहीं जा सकता है")</f>
        <v>A) राजा पीछे की पंक्ति में है और मोहरे की संरचना के कारण भागने में असमर्थ है, B) घोड़े और बिशप की स्थिति के कारण राजा सीमित गतिशीलता के साथ बोर्ड के किनारे पर फंस गया है, C) राजा बोर्ड के केंद्र में है और सभी मोहरे सक्रिय रूप से उसका बचाव कर रहे हैं, D) राजा अपने ही मोहरों से घिरा हुआ है और किसी भी वैध वर्ग में नहीं जा सकता है</v>
      </c>
      <c r="K56" s="8" t="str">
        <f>IFERROR(__xludf.DUMMYFUNCTION("GOOGLETRANSLATE(E56, ""en"", ""hi"")"),"बी) घोड़े और बिशप की स्थिति के कारण राजा सीमित गतिशीलता के साथ बोर्ड के किनारे पर फंस गया है")</f>
        <v>बी) घोड़े और बिशप की स्थिति के कारण राजा सीमित गतिशीलता के साथ बोर्ड के किनारे पर फंस गया है</v>
      </c>
    </row>
    <row r="57" ht="22.5" customHeight="1">
      <c r="A57" s="2">
        <v>56.0</v>
      </c>
      <c r="B57" s="3" t="s">
        <v>629</v>
      </c>
      <c r="C57" s="3" t="s">
        <v>639</v>
      </c>
      <c r="D57" s="3" t="s">
        <v>640</v>
      </c>
      <c r="E57" s="3" t="s">
        <v>641</v>
      </c>
      <c r="G57" s="8" t="str">
        <f>IFERROR(__xludf.DUMMYFUNCTION("GOOGLETRANSLATE(A57, ""en"", ""hi"")"),"56")</f>
        <v>56</v>
      </c>
      <c r="H57" s="8" t="str">
        <f>IFERROR(__xludf.DUMMYFUNCTION("GOOGLETRANSLATE(B57, ""en"", ""hi"")"),"शतरंज_14")</f>
        <v>शतरंज_14</v>
      </c>
      <c r="I57" s="8" t="str">
        <f>IFERROR(__xludf.DUMMYFUNCTION("GOOGLETRANSLATE(C57, ""en"", ""hi"")"),"यह आमतौर पर खेल के किस चरण में होता है?")</f>
        <v>यह आमतौर पर खेल के किस चरण में होता है?</v>
      </c>
      <c r="J57" s="8" t="str">
        <f>IFERROR(__xludf.DUMMYFUNCTION("GOOGLETRANSLATE(D57, ""en"", ""hi"")"),"A) आरंभ, B) मध्य खेल, C) अंतिम खेल, D) सभी चरण समान रूप से")</f>
        <v>A) आरंभ, B) मध्य खेल, C) अंतिम खेल, D) सभी चरण समान रूप से</v>
      </c>
      <c r="K57" s="8" t="str">
        <f>IFERROR(__xludf.DUMMYFUNCTION("GOOGLETRANSLATE(E57, ""en"", ""hi"")"),"बी) मध्य खेल")</f>
        <v>बी) मध्य खेल</v>
      </c>
    </row>
    <row r="58" ht="22.5" customHeight="1">
      <c r="A58" s="2">
        <v>57.0</v>
      </c>
      <c r="B58" s="3" t="s">
        <v>642</v>
      </c>
      <c r="C58" s="3" t="s">
        <v>643</v>
      </c>
      <c r="D58" s="3" t="s">
        <v>644</v>
      </c>
      <c r="E58" s="3" t="s">
        <v>645</v>
      </c>
      <c r="G58" s="8" t="str">
        <f>IFERROR(__xludf.DUMMYFUNCTION("GOOGLETRANSLATE(A58, ""en"", ""hi"")"),"57")</f>
        <v>57</v>
      </c>
      <c r="H58" s="8" t="str">
        <f>IFERROR(__xludf.DUMMYFUNCTION("GOOGLETRANSLATE(B58, ""en"", ""hi"")"),"शतरंज_15")</f>
        <v>शतरंज_15</v>
      </c>
      <c r="I58" s="8" t="str">
        <f>IFERROR(__xludf.DUMMYFUNCTION("GOOGLETRANSLATE(C58, ""en"", ""hi"")"),"एंडरसन मेट को वितरित करने में कौन से टुकड़े शामिल हैं?")</f>
        <v>एंडरसन मेट को वितरित करने में कौन से टुकड़े शामिल हैं?</v>
      </c>
      <c r="J58" s="8" t="str">
        <f>IFERROR(__xludf.DUMMYFUNCTION("GOOGLETRANSLATE(D58, ""en"", ""hi"")"),"A) रूक और घोड़ा, B) रानी और घोड़ा, C) रूक और रानी, ​​D) बिशप और रानी")</f>
        <v>A) रूक और घोड़ा, B) रानी और घोड़ा, C) रूक और रानी, ​​D) बिशप और रानी</v>
      </c>
      <c r="K58" s="8" t="str">
        <f>IFERROR(__xludf.DUMMYFUNCTION("GOOGLETRANSLATE(E58, ""en"", ""hi"")"),"C) रूक और क्वीन")</f>
        <v>C) रूक और क्वीन</v>
      </c>
    </row>
    <row r="59" ht="22.5" customHeight="1">
      <c r="A59" s="2">
        <v>58.0</v>
      </c>
      <c r="B59" s="3" t="s">
        <v>642</v>
      </c>
      <c r="C59" s="3" t="s">
        <v>646</v>
      </c>
      <c r="D59" s="3" t="s">
        <v>647</v>
      </c>
      <c r="E59" s="3" t="s">
        <v>648</v>
      </c>
      <c r="G59" s="8" t="str">
        <f>IFERROR(__xludf.DUMMYFUNCTION("GOOGLETRANSLATE(A59, ""en"", ""hi"")"),"58")</f>
        <v>58</v>
      </c>
      <c r="H59" s="8" t="str">
        <f>IFERROR(__xludf.DUMMYFUNCTION("GOOGLETRANSLATE(B59, ""en"", ""hi"")"),"शतरंज_15")</f>
        <v>शतरंज_15</v>
      </c>
      <c r="I59" s="8" t="str">
        <f>IFERROR(__xludf.DUMMYFUNCTION("GOOGLETRANSLATE(C59, ""en"", ""hi"")"),"सफ़ेद मोहरा किस प्रकार योगदान देता है?")</f>
        <v>सफ़ेद मोहरा किस प्रकार योगदान देता है?</v>
      </c>
      <c r="J59" s="8" t="str">
        <f>IFERROR(__xludf.DUMMYFUNCTION("GOOGLETRANSLATE(D59, ""en"", ""hi"")"),"A) काले राजा के लिए भागने के वर्गों को अवरुद्ध करके, B) सीधे चेकमेट देकर, C) मेट देने में रूक का समर्थन करके, D) प्रतिद्वंद्वी के मोहरे पर कब्जा करके")</f>
        <v>A) काले राजा के लिए भागने के वर्गों को अवरुद्ध करके, B) सीधे चेकमेट देकर, C) मेट देने में रूक का समर्थन करके, D) प्रतिद्वंद्वी के मोहरे पर कब्जा करके</v>
      </c>
      <c r="K59" s="8" t="str">
        <f>IFERROR(__xludf.DUMMYFUNCTION("GOOGLETRANSLATE(E59, ""en"", ""hi"")"),"A) काले राजा के लिए भागने के रास्तों को अवरुद्ध करके")</f>
        <v>A) काले राजा के लिए भागने के रास्तों को अवरुद्ध करके</v>
      </c>
    </row>
    <row r="60" ht="22.5" customHeight="1">
      <c r="A60" s="2">
        <v>59.0</v>
      </c>
      <c r="B60" s="3" t="s">
        <v>642</v>
      </c>
      <c r="C60" s="3" t="s">
        <v>649</v>
      </c>
      <c r="D60" s="3" t="s">
        <v>650</v>
      </c>
      <c r="E60" s="3" t="s">
        <v>651</v>
      </c>
      <c r="G60" s="8" t="str">
        <f>IFERROR(__xludf.DUMMYFUNCTION("GOOGLETRANSLATE(A60, ""en"", ""hi"")"),"59")</f>
        <v>59</v>
      </c>
      <c r="H60" s="8" t="str">
        <f>IFERROR(__xludf.DUMMYFUNCTION("GOOGLETRANSLATE(B60, ""en"", ""hi"")"),"शतरंज_15")</f>
        <v>शतरंज_15</v>
      </c>
      <c r="I60" s="8" t="str">
        <f>IFERROR(__xludf.DUMMYFUNCTION("GOOGLETRANSLATE(C60, ""en"", ""hi"")"),"चित्र में काले राजा की स्थिति क्या है?")</f>
        <v>चित्र में काले राजा की स्थिति क्या है?</v>
      </c>
      <c r="J60" s="8" t="str">
        <f>IFERROR(__xludf.DUMMYFUNCTION("GOOGLETRANSLATE(D60, ""en"", ""hi"")"),"A) बोर्ड का केंद्र, B) बोर्ड का किनारा, C) बोर्ड का कोना, D) अपने ही मोहरों से घिरा हुआ")</f>
        <v>A) बोर्ड का केंद्र, B) बोर्ड का किनारा, C) बोर्ड का कोना, D) अपने ही मोहरों से घिरा हुआ</v>
      </c>
      <c r="K60" s="8" t="str">
        <f>IFERROR(__xludf.DUMMYFUNCTION("GOOGLETRANSLATE(E60, ""en"", ""hi"")"),"C) बोर्ड का कोना")</f>
        <v>C) बोर्ड का कोना</v>
      </c>
    </row>
    <row r="61" ht="22.5" customHeight="1">
      <c r="A61" s="2">
        <v>60.0</v>
      </c>
      <c r="B61" s="3" t="s">
        <v>642</v>
      </c>
      <c r="C61" s="3" t="s">
        <v>652</v>
      </c>
      <c r="D61" s="3" t="s">
        <v>653</v>
      </c>
      <c r="E61" s="3" t="s">
        <v>654</v>
      </c>
      <c r="G61" s="8" t="str">
        <f>IFERROR(__xludf.DUMMYFUNCTION("GOOGLETRANSLATE(A61, ""en"", ""hi"")"),"60")</f>
        <v>60</v>
      </c>
      <c r="H61" s="8" t="str">
        <f>IFERROR(__xludf.DUMMYFUNCTION("GOOGLETRANSLATE(B61, ""en"", ""hi"")"),"शतरंज_15")</f>
        <v>शतरंज_15</v>
      </c>
      <c r="I61" s="8" t="str">
        <f>IFERROR(__xludf.DUMMYFUNCTION("GOOGLETRANSLATE(C61, ""en"", ""hi"")"),"कौन सा मोहरा शह और मात देता है?")</f>
        <v>कौन सा मोहरा शह और मात देता है?</v>
      </c>
      <c r="J61" s="8" t="str">
        <f>IFERROR(__xludf.DUMMYFUNCTION("GOOGLETRANSLATE(D61, ""en"", ""hi"")"),"A) सफ़ेद बादशाह, B) सफ़ेद मोहरा, C) सफ़ेद किश्ती, D) काला बादशाह")</f>
        <v>A) सफ़ेद बादशाह, B) सफ़ेद मोहरा, C) सफ़ेद किश्ती, D) काला बादशाह</v>
      </c>
      <c r="K61" s="8" t="str">
        <f>IFERROR(__xludf.DUMMYFUNCTION("GOOGLETRANSLATE(E61, ""en"", ""hi"")"),"C) सफेद रूक")</f>
        <v>C) सफेद रूक</v>
      </c>
    </row>
    <row r="62" ht="22.5" customHeight="1">
      <c r="A62" s="2">
        <v>61.0</v>
      </c>
      <c r="B62" s="3" t="s">
        <v>655</v>
      </c>
      <c r="C62" s="3" t="s">
        <v>656</v>
      </c>
      <c r="D62" s="3" t="s">
        <v>657</v>
      </c>
      <c r="E62" s="3" t="s">
        <v>658</v>
      </c>
      <c r="G62" s="8" t="str">
        <f>IFERROR(__xludf.DUMMYFUNCTION("GOOGLETRANSLATE(A62, ""en"", ""hi"")"),"61")</f>
        <v>61</v>
      </c>
      <c r="H62" s="8" t="str">
        <f>IFERROR(__xludf.DUMMYFUNCTION("GOOGLETRANSLATE(B62, ""en"", ""hi"")"),"शतरंज_16")</f>
        <v>शतरंज_16</v>
      </c>
      <c r="I62" s="8" t="str">
        <f>IFERROR(__xludf.DUMMYFUNCTION("GOOGLETRANSLATE(C62, ""en"", ""hi"")"),"यह व्यक्ति किस खेल से जुड़ा है?")</f>
        <v>यह व्यक्ति किस खेल से जुड़ा है?</v>
      </c>
      <c r="J62" s="8" t="str">
        <f>IFERROR(__xludf.DUMMYFUNCTION("GOOGLETRANSLATE(D62, ""en"", ""hi"")"),"A) फुटबॉल, B) शतरंज, C) टेनिस, D) क्रिकेट")</f>
        <v>A) फुटबॉल, B) शतरंज, C) टेनिस, D) क्रिकेट</v>
      </c>
      <c r="K62" s="8" t="str">
        <f>IFERROR(__xludf.DUMMYFUNCTION("GOOGLETRANSLATE(E62, ""en"", ""hi"")"),"बी) शतरंज")</f>
        <v>बी) शतरंज</v>
      </c>
    </row>
    <row r="63" ht="22.5" customHeight="1">
      <c r="A63" s="2">
        <v>62.0</v>
      </c>
      <c r="B63" s="3" t="s">
        <v>655</v>
      </c>
      <c r="C63" s="3" t="s">
        <v>659</v>
      </c>
      <c r="D63" s="3" t="s">
        <v>660</v>
      </c>
      <c r="E63" s="3" t="s">
        <v>661</v>
      </c>
      <c r="G63" s="8" t="str">
        <f>IFERROR(__xludf.DUMMYFUNCTION("GOOGLETRANSLATE(A63, ""en"", ""hi"")"),"62")</f>
        <v>62</v>
      </c>
      <c r="H63" s="8" t="str">
        <f>IFERROR(__xludf.DUMMYFUNCTION("GOOGLETRANSLATE(B63, ""en"", ""hi"")"),"शतरंज_16")</f>
        <v>शतरंज_16</v>
      </c>
      <c r="I63" s="8" t="str">
        <f>IFERROR(__xludf.DUMMYFUNCTION("GOOGLETRANSLATE(C63, ""en"", ""hi"")"),"जैसा कि चित्र में दिखाया गया है, वह किस कार्यक्रम में भाग ले रहा है?")</f>
        <v>जैसा कि चित्र में दिखाया गया है, वह किस कार्यक्रम में भाग ले रहा है?</v>
      </c>
      <c r="J63" s="8" t="str">
        <f>IFERROR(__xludf.DUMMYFUNCTION("GOOGLETRANSLATE(D63, ""en"", ""hi"")"),"A) फिडे ग्रैंड स्विस, B) विश्व शतरंज चैम्पियनशिप, C) शतरंज ओलंपियाड, D) कैंडिडेट्स टूर्नामेंट")</f>
        <v>A) फिडे ग्रैंड स्विस, B) विश्व शतरंज चैम्पियनशिप, C) शतरंज ओलंपियाड, D) कैंडिडेट्स टूर्नामेंट</v>
      </c>
      <c r="K63" s="8" t="str">
        <f>IFERROR(__xludf.DUMMYFUNCTION("GOOGLETRANSLATE(E63, ""en"", ""hi"")"),"A) FIDE ग्रैंड स्विस")</f>
        <v>A) FIDE ग्रैंड स्विस</v>
      </c>
    </row>
    <row r="64" ht="22.5" customHeight="1">
      <c r="A64" s="2">
        <v>63.0</v>
      </c>
      <c r="B64" s="3" t="s">
        <v>655</v>
      </c>
      <c r="C64" s="3" t="s">
        <v>662</v>
      </c>
      <c r="D64" s="3" t="s">
        <v>663</v>
      </c>
      <c r="E64" s="3" t="s">
        <v>664</v>
      </c>
      <c r="G64" s="8" t="str">
        <f>IFERROR(__xludf.DUMMYFUNCTION("GOOGLETRANSLATE(A64, ""en"", ""hi"")"),"63")</f>
        <v>63</v>
      </c>
      <c r="H64" s="8" t="str">
        <f>IFERROR(__xludf.DUMMYFUNCTION("GOOGLETRANSLATE(B64, ""en"", ""hi"")"),"शतरंज_16")</f>
        <v>शतरंज_16</v>
      </c>
      <c r="I64" s="8" t="str">
        <f>IFERROR(__xludf.DUMMYFUNCTION("GOOGLETRANSLATE(C64, ""en"", ""hi"")"),"शतरंज में वह किस रणनीति के लिए जाने जाते हैं?")</f>
        <v>शतरंज में वह किस रणनीति के लिए जाने जाते हैं?</v>
      </c>
      <c r="J64" s="8" t="str">
        <f>IFERROR(__xludf.DUMMYFUNCTION("GOOGLETRANSLATE(D64, ""en"", ""hi"")"),"A) आक्रामक खेल, B) रक्षात्मक खेल, C) संतुलित खेल, D) तीव्र खेल")</f>
        <v>A) आक्रामक खेल, B) रक्षात्मक खेल, C) संतुलित खेल, D) तीव्र खेल</v>
      </c>
      <c r="K64" s="8" t="str">
        <f>IFERROR(__xludf.DUMMYFUNCTION("GOOGLETRANSLATE(E64, ""en"", ""hi"")"),"C) संतुलित खेल")</f>
        <v>C) संतुलित खेल</v>
      </c>
    </row>
    <row r="65" ht="22.5" customHeight="1">
      <c r="A65" s="2">
        <v>64.0</v>
      </c>
      <c r="B65" s="3" t="s">
        <v>655</v>
      </c>
      <c r="C65" s="3" t="s">
        <v>665</v>
      </c>
      <c r="D65" s="3" t="s">
        <v>666</v>
      </c>
      <c r="E65" s="3" t="s">
        <v>667</v>
      </c>
      <c r="G65" s="8" t="str">
        <f>IFERROR(__xludf.DUMMYFUNCTION("GOOGLETRANSLATE(A65, ""en"", ""hi"")"),"64")</f>
        <v>64</v>
      </c>
      <c r="H65" s="8" t="str">
        <f>IFERROR(__xludf.DUMMYFUNCTION("GOOGLETRANSLATE(B65, ""en"", ""hi"")"),"शतरंज_16")</f>
        <v>शतरंज_16</v>
      </c>
      <c r="I65" s="8" t="str">
        <f>IFERROR(__xludf.DUMMYFUNCTION("GOOGLETRANSLATE(C65, ""en"", ""hi"")"),"वह किस वर्ष ग्रैंडमास्टर बने?")</f>
        <v>वह किस वर्ष ग्रैंडमास्टर बने?</v>
      </c>
      <c r="J65" s="8" t="str">
        <f>IFERROR(__xludf.DUMMYFUNCTION("GOOGLETRANSLATE(D65, ""en"", ""hi"")"),"ए) 2013, बी) 2015, सी) 2017, डी) 2019")</f>
        <v>ए) 2013, बी) 2015, सी) 2017, डी) 2019</v>
      </c>
      <c r="K65" s="8" t="str">
        <f>IFERROR(__xludf.DUMMYFUNCTION("GOOGLETRANSLATE(E65, ""en"", ""hi"")"),"बी) 2015")</f>
        <v>बी) 2015</v>
      </c>
    </row>
    <row r="66" ht="22.5" customHeight="1">
      <c r="A66" s="2">
        <v>65.0</v>
      </c>
      <c r="B66" s="3" t="s">
        <v>668</v>
      </c>
      <c r="C66" s="3" t="s">
        <v>669</v>
      </c>
      <c r="D66" s="3" t="s">
        <v>670</v>
      </c>
      <c r="E66" s="3" t="s">
        <v>671</v>
      </c>
      <c r="G66" s="8" t="str">
        <f>IFERROR(__xludf.DUMMYFUNCTION("GOOGLETRANSLATE(A66, ""en"", ""hi"")"),"65")</f>
        <v>65</v>
      </c>
      <c r="H66" s="8" t="str">
        <f>IFERROR(__xludf.DUMMYFUNCTION("GOOGLETRANSLATE(B66, ""en"", ""hi"")"),"शतरंज_17")</f>
        <v>शतरंज_17</v>
      </c>
      <c r="I66" s="8" t="str">
        <f>IFERROR(__xludf.DUMMYFUNCTION("GOOGLETRANSLATE(C66, ""en"", ""hi"")"),"शतरंज से जुड़े उनके प्रसिद्ध भाई-बहन कौन हैं?")</f>
        <v>शतरंज से जुड़े उनके प्रसिद्ध भाई-बहन कौन हैं?</v>
      </c>
      <c r="J66" s="8" t="str">
        <f>IFERROR(__xludf.DUMMYFUNCTION("GOOGLETRANSLATE(D66, ""en"", ""hi"")"),"ए) अर्जुन एरीगैसी, बी) निहाल सरीन, सी) प्रग्गनानंद आर, डी) गुकेश डी")</f>
        <v>ए) अर्जुन एरीगैसी, बी) निहाल सरीन, सी) प्रग्गनानंद आर, डी) गुकेश डी</v>
      </c>
      <c r="K66" s="8" t="str">
        <f>IFERROR(__xludf.DUMMYFUNCTION("GOOGLETRANSLATE(E66, ""en"", ""hi"")"),"C) प्रज्ञानंद आर")</f>
        <v>C) प्रज्ञानंद आर</v>
      </c>
    </row>
    <row r="67" ht="22.5" customHeight="1">
      <c r="A67" s="2">
        <v>66.0</v>
      </c>
      <c r="B67" s="3" t="s">
        <v>668</v>
      </c>
      <c r="C67" s="3" t="s">
        <v>672</v>
      </c>
      <c r="D67" s="3" t="s">
        <v>673</v>
      </c>
      <c r="E67" s="3" t="s">
        <v>674</v>
      </c>
      <c r="G67" s="8" t="str">
        <f>IFERROR(__xludf.DUMMYFUNCTION("GOOGLETRANSLATE(A67, ""en"", ""hi"")"),"66")</f>
        <v>66</v>
      </c>
      <c r="H67" s="8" t="str">
        <f>IFERROR(__xludf.DUMMYFUNCTION("GOOGLETRANSLATE(B67, ""en"", ""hi"")"),"शतरंज_17")</f>
        <v>शतरंज_17</v>
      </c>
      <c r="I67" s="8" t="str">
        <f>IFERROR(__xludf.DUMMYFUNCTION("GOOGLETRANSLATE(C67, ""en"", ""hi"")"),"हाल ही में उसने किस टूर्नामेंट में भाग लिया होगा?")</f>
        <v>हाल ही में उसने किस टूर्नामेंट में भाग लिया होगा?</v>
      </c>
      <c r="J67" s="8" t="str">
        <f>IFERROR(__xludf.DUMMYFUNCTION("GOOGLETRANSLATE(D67, ""en"", ""hi"")"),"A) विश्व शतरंज चैम्पियनशिप, B) विंबलडन, C) ओलंपिक खेल, D) फीफा विश्व कप")</f>
        <v>A) विश्व शतरंज चैम्पियनशिप, B) विंबलडन, C) ओलंपिक खेल, D) फीफा विश्व कप</v>
      </c>
      <c r="K67" s="8" t="str">
        <f>IFERROR(__xludf.DUMMYFUNCTION("GOOGLETRANSLATE(E67, ""en"", ""hi"")"),"ए) विश्व शतरंज चैंपियनशिप")</f>
        <v>ए) विश्व शतरंज चैंपियनशिप</v>
      </c>
    </row>
    <row r="68" ht="22.5" customHeight="1">
      <c r="A68" s="2">
        <v>67.0</v>
      </c>
      <c r="B68" s="3" t="s">
        <v>668</v>
      </c>
      <c r="C68" s="3" t="s">
        <v>675</v>
      </c>
      <c r="D68" s="3" t="s">
        <v>676</v>
      </c>
      <c r="E68" s="3" t="s">
        <v>677</v>
      </c>
      <c r="G68" s="8" t="str">
        <f>IFERROR(__xludf.DUMMYFUNCTION("GOOGLETRANSLATE(A68, ""en"", ""hi"")"),"67")</f>
        <v>67</v>
      </c>
      <c r="H68" s="8" t="str">
        <f>IFERROR(__xludf.DUMMYFUNCTION("GOOGLETRANSLATE(B68, ""en"", ""hi"")"),"शतरंज_17")</f>
        <v>शतरंज_17</v>
      </c>
      <c r="I68" s="8" t="str">
        <f>IFERROR(__xludf.DUMMYFUNCTION("GOOGLETRANSLATE(C68, ""en"", ""hi"")"),"वह कौन सा महत्वपूर्ण शतरंज टूर्नामेंट जीत सकती थी?")</f>
        <v>वह कौन सा महत्वपूर्ण शतरंज टूर्नामेंट जीत सकती थी?</v>
      </c>
      <c r="J68" s="8" t="str">
        <f>IFERROR(__xludf.DUMMYFUNCTION("GOOGLETRANSLATE(D68, ""en"", ""hi"")"),"A) टाटा स्टील शतरंज टूर्नामेंट, B) विंबलडन, C) टूर डी फ्रांस, D) यूएस ओपन")</f>
        <v>A) टाटा स्टील शतरंज टूर्नामेंट, B) विंबलडन, C) टूर डी फ्रांस, D) यूएस ओपन</v>
      </c>
      <c r="K68" s="8" t="str">
        <f>IFERROR(__xludf.DUMMYFUNCTION("GOOGLETRANSLATE(E68, ""en"", ""hi"")"),"ए) टाटा स्टील शतरंज टूर्नामेंट")</f>
        <v>ए) टाटा स्टील शतरंज टूर्नामेंट</v>
      </c>
    </row>
    <row r="69" ht="22.5" customHeight="1">
      <c r="A69" s="2">
        <v>68.0</v>
      </c>
      <c r="B69" s="3" t="s">
        <v>668</v>
      </c>
      <c r="C69" s="3" t="s">
        <v>678</v>
      </c>
      <c r="D69" s="3" t="s">
        <v>679</v>
      </c>
      <c r="E69" s="3" t="s">
        <v>680</v>
      </c>
      <c r="G69" s="8" t="str">
        <f>IFERROR(__xludf.DUMMYFUNCTION("GOOGLETRANSLATE(A69, ""en"", ""hi"")"),"68")</f>
        <v>68</v>
      </c>
      <c r="H69" s="8" t="str">
        <f>IFERROR(__xludf.DUMMYFUNCTION("GOOGLETRANSLATE(B69, ""en"", ""hi"")"),"शतरंज_17")</f>
        <v>शतरंज_17</v>
      </c>
      <c r="I69" s="8" t="str">
        <f>IFERROR(__xludf.DUMMYFUNCTION("GOOGLETRANSLATE(C69, ""en"", ""hi"")"),"उनके साथ कौन सी उल्लेखनीय उपलब्धि जुड़ी हुई है?")</f>
        <v>उनके साथ कौन सी उल्लेखनीय उपलब्धि जुड़ी हुई है?</v>
      </c>
      <c r="J69" s="8" t="str">
        <f>IFERROR(__xludf.DUMMYFUNCTION("GOOGLETRANSLATE(D69, ""en"", ""hi"")"),"A) सबसे युवा शतरंज ग्रैंडमास्टर, B) ओलंपिक स्वर्ण पदक विजेता, C) सबसे तेज़ धावक, D) नोबेल पुरस्कार विजेता")</f>
        <v>A) सबसे युवा शतरंज ग्रैंडमास्टर, B) ओलंपिक स्वर्ण पदक विजेता, C) सबसे तेज़ धावक, D) नोबेल पुरस्कार विजेता</v>
      </c>
      <c r="K69" s="8" t="str">
        <f>IFERROR(__xludf.DUMMYFUNCTION("GOOGLETRANSLATE(E69, ""en"", ""hi"")"),"A) सबसे युवा शतरंज ग्रैंडमास्टर")</f>
        <v>A) सबसे युवा शतरंज ग्रैंडमास्टर</v>
      </c>
    </row>
    <row r="70" ht="22.5" customHeight="1">
      <c r="A70" s="2">
        <v>69.0</v>
      </c>
      <c r="B70" s="3" t="s">
        <v>681</v>
      </c>
      <c r="C70" s="3" t="s">
        <v>682</v>
      </c>
      <c r="D70" s="3" t="s">
        <v>683</v>
      </c>
      <c r="E70" s="3" t="s">
        <v>684</v>
      </c>
      <c r="G70" s="8" t="str">
        <f>IFERROR(__xludf.DUMMYFUNCTION("GOOGLETRANSLATE(A70, ""en"", ""hi"")"),"69")</f>
        <v>69</v>
      </c>
      <c r="H70" s="8" t="str">
        <f>IFERROR(__xludf.DUMMYFUNCTION("GOOGLETRANSLATE(B70, ""en"", ""hi"")"),"शतरंज_18")</f>
        <v>शतरंज_18</v>
      </c>
      <c r="I70" s="8" t="str">
        <f>IFERROR(__xludf.DUMMYFUNCTION("GOOGLETRANSLATE(C70, ""en"", ""hi"")"),"चित्र में कौन सा चेकमेट पैटर्न दिखाया गया है?")</f>
        <v>चित्र में कौन सा चेकमेट पैटर्न दिखाया गया है?</v>
      </c>
      <c r="J70" s="8" t="str">
        <f>IFERROR(__xludf.DUMMYFUNCTION("GOOGLETRANSLATE(D70, ""en"", ""hi"")"),"A) मूर्ख का साथी, B) विद्वान का साथी, C) पिछला रैंक साथी, D) गतिरोध")</f>
        <v>A) मूर्ख का साथी, B) विद्वान का साथी, C) पिछला रैंक साथी, D) गतिरोध</v>
      </c>
      <c r="K70" s="8" t="str">
        <f>IFERROR(__xludf.DUMMYFUNCTION("GOOGLETRANSLATE(E70, ""en"", ""hi"")"),"A) मूर्ख का साथी")</f>
        <v>A) मूर्ख का साथी</v>
      </c>
    </row>
    <row r="71" ht="22.5" customHeight="1">
      <c r="A71" s="2">
        <v>70.0</v>
      </c>
      <c r="B71" s="3" t="s">
        <v>681</v>
      </c>
      <c r="C71" s="3" t="s">
        <v>685</v>
      </c>
      <c r="D71" s="3" t="s">
        <v>686</v>
      </c>
      <c r="E71" s="3" t="s">
        <v>687</v>
      </c>
      <c r="G71" s="8" t="str">
        <f>IFERROR(__xludf.DUMMYFUNCTION("GOOGLETRANSLATE(A71, ""en"", ""hi"")"),"70")</f>
        <v>70</v>
      </c>
      <c r="H71" s="8" t="str">
        <f>IFERROR(__xludf.DUMMYFUNCTION("GOOGLETRANSLATE(B71, ""en"", ""hi"")"),"शतरंज_18")</f>
        <v>शतरंज_18</v>
      </c>
      <c r="I71" s="8" t="str">
        <f>IFERROR(__xludf.DUMMYFUNCTION("GOOGLETRANSLATE(C71, ""en"", ""hi"")"),"मूर्ख साथी को प्राप्त करने के लिए कितनी चालें लगती हैं?")</f>
        <v>मूर्ख साथी को प्राप्त करने के लिए कितनी चालें लगती हैं?</v>
      </c>
      <c r="J71" s="8" t="str">
        <f>IFERROR(__xludf.DUMMYFUNCTION("GOOGLETRANSLATE(D71, ""en"", ""hi"")"),"A) 2 चालें, B) 3 चालें, C) 4 चालें, D) 5 चालें")</f>
        <v>A) 2 चालें, B) 3 चालें, C) 4 चालें, D) 5 चालें</v>
      </c>
      <c r="K71" s="8" t="str">
        <f>IFERROR(__xludf.DUMMYFUNCTION("GOOGLETRANSLATE(E71, ""en"", ""hi"")"),"A) 2 चालें")</f>
        <v>A) 2 चालें</v>
      </c>
    </row>
    <row r="72" ht="22.5" customHeight="1">
      <c r="A72" s="2">
        <v>71.0</v>
      </c>
      <c r="B72" s="3" t="s">
        <v>681</v>
      </c>
      <c r="C72" s="3" t="s">
        <v>688</v>
      </c>
      <c r="D72" s="3" t="s">
        <v>689</v>
      </c>
      <c r="E72" s="3" t="s">
        <v>690</v>
      </c>
      <c r="G72" s="8" t="str">
        <f>IFERROR(__xludf.DUMMYFUNCTION("GOOGLETRANSLATE(A72, ""en"", ""hi"")"),"71")</f>
        <v>71</v>
      </c>
      <c r="H72" s="8" t="str">
        <f>IFERROR(__xludf.DUMMYFUNCTION("GOOGLETRANSLATE(B72, ""en"", ""hi"")"),"शतरंज_18")</f>
        <v>शतरंज_18</v>
      </c>
      <c r="I72" s="8" t="str">
        <f>IFERROR(__xludf.DUMMYFUNCTION("GOOGLETRANSLATE(C72, ""en"", ""hi"")"),"फूल्स मेट में कौन सा मोहरा शह और मात देता है?")</f>
        <v>फूल्स मेट में कौन सा मोहरा शह और मात देता है?</v>
      </c>
      <c r="J72" s="8" t="str">
        <f>IFERROR(__xludf.DUMMYFUNCTION("GOOGLETRANSLATE(D72, ""en"", ""hi"")"),"A) रानी, ​​B) रूक, C) बिशप, D) नाइट")</f>
        <v>A) रानी, ​​B) रूक, C) बिशप, D) नाइट</v>
      </c>
      <c r="K72" s="8" t="str">
        <f>IFERROR(__xludf.DUMMYFUNCTION("GOOGLETRANSLATE(E72, ""en"", ""hi"")"),"ए) रानी")</f>
        <v>ए) रानी</v>
      </c>
    </row>
    <row r="73" ht="22.5" customHeight="1">
      <c r="A73" s="2">
        <v>72.0</v>
      </c>
      <c r="B73" s="3" t="s">
        <v>681</v>
      </c>
      <c r="C73" s="3" t="s">
        <v>691</v>
      </c>
      <c r="D73" s="3" t="s">
        <v>692</v>
      </c>
      <c r="E73" s="3" t="s">
        <v>693</v>
      </c>
      <c r="G73" s="8" t="str">
        <f>IFERROR(__xludf.DUMMYFUNCTION("GOOGLETRANSLATE(A73, ""en"", ""hi"")"),"72")</f>
        <v>72</v>
      </c>
      <c r="H73" s="8" t="str">
        <f>IFERROR(__xludf.DUMMYFUNCTION("GOOGLETRANSLATE(B73, ""en"", ""hi"")"),"शतरंज_18")</f>
        <v>शतरंज_18</v>
      </c>
      <c r="I73" s="8" t="str">
        <f>IFERROR(__xludf.DUMMYFUNCTION("GOOGLETRANSLATE(C73, ""en"", ""hi"")"),"मूर्खों की संगति होने का मुख्य कारण क्या है?")</f>
        <v>मूर्खों की संगति होने का मुख्य कारण क्या है?</v>
      </c>
      <c r="J73" s="8" t="str">
        <f>IFERROR(__xludf.DUMMYFUNCTION("GOOGLETRANSLATE(D73, ""en"", ""hi"")"),"A) अपर्याप्त टुकड़ा विकास, B) कमजोर प्रारंभिक खेल, C) कैसलिंग की कमी, D) प्रतिद्वंद्वी की गलती")</f>
        <v>A) अपर्याप्त टुकड़ा विकास, B) कमजोर प्रारंभिक खेल, C) कैसलिंग की कमी, D) प्रतिद्वंद्वी की गलती</v>
      </c>
      <c r="K73" s="8" t="str">
        <f>IFERROR(__xludf.DUMMYFUNCTION("GOOGLETRANSLATE(E73, ""en"", ""hi"")"),"बी) कमजोर शुरुआती खेल")</f>
        <v>बी) कमजोर शुरुआती खेल</v>
      </c>
    </row>
    <row r="74" ht="22.5" customHeight="1">
      <c r="A74" s="2">
        <v>73.0</v>
      </c>
      <c r="B74" s="3" t="s">
        <v>694</v>
      </c>
      <c r="C74" s="3" t="s">
        <v>695</v>
      </c>
      <c r="D74" s="3" t="s">
        <v>696</v>
      </c>
      <c r="E74" s="3" t="s">
        <v>697</v>
      </c>
      <c r="G74" s="8" t="str">
        <f>IFERROR(__xludf.DUMMYFUNCTION("GOOGLETRANSLATE(A74, ""en"", ""hi"")"),"73")</f>
        <v>73</v>
      </c>
      <c r="H74" s="8" t="str">
        <f>IFERROR(__xludf.DUMMYFUNCTION("GOOGLETRANSLATE(B74, ""en"", ""hi"")"),"शतरंज_19")</f>
        <v>शतरंज_19</v>
      </c>
      <c r="I74" s="8" t="str">
        <f>IFERROR(__xludf.DUMMYFUNCTION("GOOGLETRANSLATE(C74, ""en"", ""hi"")"),"चित्र में दिखाए गए चेकमेट पैटर्न का नाम क्या है?")</f>
        <v>चित्र में दिखाए गए चेकमेट पैटर्न का नाम क्या है?</v>
      </c>
      <c r="J74" s="8" t="str">
        <f>IFERROR(__xludf.DUMMYFUNCTION("GOOGLETRANSLATE(D74, ""en"", ""hi"")"),"A) स्कॉलर्स मेट, B) ग्रीको चेकमेट, C) फूल्स मेट, D) बैक रैंक मेट")</f>
        <v>A) स्कॉलर्स मेट, B) ग्रीको चेकमेट, C) फूल्स मेट, D) बैक रैंक मेट</v>
      </c>
      <c r="K74" s="8" t="str">
        <f>IFERROR(__xludf.DUMMYFUNCTION("GOOGLETRANSLATE(E74, ""en"", ""hi"")"),"बी) ग्रीको का चेकमेट")</f>
        <v>बी) ग्रीको का चेकमेट</v>
      </c>
    </row>
    <row r="75" ht="22.5" customHeight="1">
      <c r="A75" s="2">
        <v>74.0</v>
      </c>
      <c r="B75" s="3" t="s">
        <v>694</v>
      </c>
      <c r="C75" s="3" t="s">
        <v>698</v>
      </c>
      <c r="D75" s="3" t="s">
        <v>689</v>
      </c>
      <c r="E75" s="3" t="s">
        <v>699</v>
      </c>
      <c r="G75" s="8" t="str">
        <f>IFERROR(__xludf.DUMMYFUNCTION("GOOGLETRANSLATE(A75, ""en"", ""hi"")"),"74")</f>
        <v>74</v>
      </c>
      <c r="H75" s="8" t="str">
        <f>IFERROR(__xludf.DUMMYFUNCTION("GOOGLETRANSLATE(B75, ""en"", ""hi"")"),"शतरंज_19")</f>
        <v>शतरंज_19</v>
      </c>
      <c r="I75" s="8" t="str">
        <f>IFERROR(__xludf.DUMMYFUNCTION("GOOGLETRANSLATE(C75, ""en"", ""hi"")"),"ग्रीको के चेकमेट पैटर्न में कौन सा मोहरा चेकमेट देता है?")</f>
        <v>ग्रीको के चेकमेट पैटर्न में कौन सा मोहरा चेकमेट देता है?</v>
      </c>
      <c r="J75" s="8" t="str">
        <f>IFERROR(__xludf.DUMMYFUNCTION("GOOGLETRANSLATE(D75, ""en"", ""hi"")"),"A) रानी, ​​B) रूक, C) बिशप, D) नाइट")</f>
        <v>A) रानी, ​​B) रूक, C) बिशप, D) नाइट</v>
      </c>
      <c r="K75" s="8" t="str">
        <f>IFERROR(__xludf.DUMMYFUNCTION("GOOGLETRANSLATE(E75, ""en"", ""hi"")"),"बी) रूक")</f>
        <v>बी) रूक</v>
      </c>
    </row>
    <row r="76" ht="22.5" customHeight="1">
      <c r="A76" s="2">
        <v>75.0</v>
      </c>
      <c r="B76" s="3" t="s">
        <v>694</v>
      </c>
      <c r="C76" s="3" t="s">
        <v>700</v>
      </c>
      <c r="D76" s="3" t="s">
        <v>701</v>
      </c>
      <c r="E76" s="3" t="s">
        <v>702</v>
      </c>
      <c r="G76" s="8" t="str">
        <f>IFERROR(__xludf.DUMMYFUNCTION("GOOGLETRANSLATE(A76, ""en"", ""hi"")"),"75")</f>
        <v>75</v>
      </c>
      <c r="H76" s="8" t="str">
        <f>IFERROR(__xludf.DUMMYFUNCTION("GOOGLETRANSLATE(B76, ""en"", ""hi"")"),"शतरंज_19")</f>
        <v>शतरंज_19</v>
      </c>
      <c r="I76" s="8" t="str">
        <f>IFERROR(__xludf.DUMMYFUNCTION("GOOGLETRANSLATE(C76, ""en"", ""hi"")"),"ग्रीको के चेकमेट में कौन सी गोटी किश्ती की सहायता करती है?")</f>
        <v>ग्रीको के चेकमेट में कौन सी गोटी किश्ती की सहायता करती है?</v>
      </c>
      <c r="J76" s="8" t="str">
        <f>IFERROR(__xludf.DUMMYFUNCTION("GOOGLETRANSLATE(D76, ""en"", ""hi"")"),"A) बिशप, B) रानी, ​​C) प्यादा, D) घोड़ा")</f>
        <v>A) बिशप, B) रानी, ​​C) प्यादा, D) घोड़ा</v>
      </c>
      <c r="K76" s="8" t="str">
        <f>IFERROR(__xludf.DUMMYFUNCTION("GOOGLETRANSLATE(E76, ""en"", ""hi"")"),"ए) बिशप")</f>
        <v>ए) बिशप</v>
      </c>
    </row>
    <row r="77" ht="22.5" customHeight="1">
      <c r="A77" s="2">
        <v>76.0</v>
      </c>
      <c r="B77" s="3" t="s">
        <v>694</v>
      </c>
      <c r="C77" s="3" t="s">
        <v>703</v>
      </c>
      <c r="D77" s="3" t="s">
        <v>704</v>
      </c>
      <c r="E77" s="3" t="s">
        <v>705</v>
      </c>
      <c r="G77" s="8" t="str">
        <f>IFERROR(__xludf.DUMMYFUNCTION("GOOGLETRANSLATE(A77, ""en"", ""hi"")"),"76")</f>
        <v>76</v>
      </c>
      <c r="H77" s="8" t="str">
        <f>IFERROR(__xludf.DUMMYFUNCTION("GOOGLETRANSLATE(B77, ""en"", ""hi"")"),"शतरंज_19")</f>
        <v>शतरंज_19</v>
      </c>
      <c r="I77" s="8" t="str">
        <f>IFERROR(__xludf.DUMMYFUNCTION("GOOGLETRANSLATE(C77, ""en"", ""hi"")"),"कौन सी चाल सामान्यतः ग्रीको के चेकमेट की स्थापना का कारण बनेगी?")</f>
        <v>कौन सी चाल सामान्यतः ग्रीको के चेकमेट की स्थापना का कारण बनेगी?</v>
      </c>
      <c r="J77" s="8" t="str">
        <f>IFERROR(__xludf.DUMMYFUNCTION("GOOGLETRANSLATE(D77, ""en"", ""hi"")"),"A) रानी को d4 वर्ग में ले जाना, B) मोहरे को d5 वर्ग में आगे बढ़ाना, C) बिशप को c4 तक विकसित करना, D) किंगसाइड को कैसलिंग करना")</f>
        <v>A) रानी को d4 वर्ग में ले जाना, B) मोहरे को d5 वर्ग में आगे बढ़ाना, C) बिशप को c4 तक विकसित करना, D) किंगसाइड को कैसलिंग करना</v>
      </c>
      <c r="K77" s="8" t="str">
        <f>IFERROR(__xludf.DUMMYFUNCTION("GOOGLETRANSLATE(E77, ""en"", ""hi"")"),"C) बिशप को c4 तक विकसित करना")</f>
        <v>C) बिशप को c4 तक विकसित करना</v>
      </c>
    </row>
    <row r="78" ht="22.5" customHeight="1">
      <c r="A78" s="2">
        <v>77.0</v>
      </c>
      <c r="B78" s="3" t="s">
        <v>706</v>
      </c>
      <c r="C78" s="3" t="s">
        <v>707</v>
      </c>
      <c r="D78" s="3" t="s">
        <v>708</v>
      </c>
      <c r="E78" s="3" t="s">
        <v>709</v>
      </c>
      <c r="G78" s="8" t="str">
        <f>IFERROR(__xludf.DUMMYFUNCTION("GOOGLETRANSLATE(A78, ""en"", ""hi"")"),"77")</f>
        <v>77</v>
      </c>
      <c r="H78" s="8" t="str">
        <f>IFERROR(__xludf.DUMMYFUNCTION("GOOGLETRANSLATE(B78, ""en"", ""hi"")"),"शतरंज_20")</f>
        <v>शतरंज_20</v>
      </c>
      <c r="I78" s="8" t="str">
        <f>IFERROR(__xludf.DUMMYFUNCTION("GOOGLETRANSLATE(C78, ""en"", ""hi"")"),"इस चित्र में शतरंज की कौन सी रणनीति दर्शाई गई है?")</f>
        <v>इस चित्र में शतरंज की कौन सी रणनीति दर्शाई गई है?</v>
      </c>
      <c r="J78" s="8" t="str">
        <f>IFERROR(__xludf.DUMMYFUNCTION("GOOGLETRANSLATE(D78, ""en"", ""hi"")"),"A) पिन, B) कांटा, C) कटार, D) खोजा गया हमला")</f>
        <v>A) पिन, B) कांटा, C) कटार, D) खोजा गया हमला</v>
      </c>
      <c r="K78" s="8" t="str">
        <f>IFERROR(__xludf.DUMMYFUNCTION("GOOGLETRANSLATE(E78, ""en"", ""hi"")"),"बी) कांटा")</f>
        <v>बी) कांटा</v>
      </c>
    </row>
    <row r="79" ht="22.5" customHeight="1">
      <c r="A79" s="2">
        <v>78.0</v>
      </c>
      <c r="B79" s="3" t="s">
        <v>706</v>
      </c>
      <c r="C79" s="3" t="s">
        <v>710</v>
      </c>
      <c r="D79" s="3" t="s">
        <v>711</v>
      </c>
      <c r="E79" s="3" t="s">
        <v>712</v>
      </c>
      <c r="G79" s="8" t="str">
        <f>IFERROR(__xludf.DUMMYFUNCTION("GOOGLETRANSLATE(A79, ""en"", ""hi"")"),"78")</f>
        <v>78</v>
      </c>
      <c r="H79" s="8" t="str">
        <f>IFERROR(__xludf.DUMMYFUNCTION("GOOGLETRANSLATE(B79, ""en"", ""hi"")"),"शतरंज_20")</f>
        <v>शतरंज_20</v>
      </c>
      <c r="I79" s="8" t="str">
        <f>IFERROR(__xludf.DUMMYFUNCTION("GOOGLETRANSLATE(C79, ""en"", ""hi"")"),"चित्र में मोहरे द्वारा कौन सा मोहरा कांटा जा रहा है?")</f>
        <v>चित्र में मोहरे द्वारा कौन सा मोहरा कांटा जा रहा है?</v>
      </c>
      <c r="J79" s="8" t="str">
        <f>IFERROR(__xludf.DUMMYFUNCTION("GOOGLETRANSLATE(D79, ""en"", ""hi"")"),"A) रूक और घोड़ा, B) बिशप और रानी, ​​C) रानी और घोड़ा, D) घोड़ा और बिशप")</f>
        <v>A) रूक और घोड़ा, B) बिशप और रानी, ​​C) रानी और घोड़ा, D) घोड़ा और बिशप</v>
      </c>
      <c r="K79" s="8" t="str">
        <f>IFERROR(__xludf.DUMMYFUNCTION("GOOGLETRANSLATE(E79, ""en"", ""hi"")"),"D) नाइट और बिशप")</f>
        <v>D) नाइट और बिशप</v>
      </c>
    </row>
    <row r="80" ht="22.5" customHeight="1">
      <c r="A80" s="2">
        <v>79.0</v>
      </c>
      <c r="B80" s="3" t="s">
        <v>706</v>
      </c>
      <c r="C80" s="3" t="s">
        <v>713</v>
      </c>
      <c r="D80" s="3" t="s">
        <v>714</v>
      </c>
      <c r="E80" s="3" t="s">
        <v>715</v>
      </c>
      <c r="G80" s="8" t="str">
        <f>IFERROR(__xludf.DUMMYFUNCTION("GOOGLETRANSLATE(A80, ""en"", ""hi"")"),"79")</f>
        <v>79</v>
      </c>
      <c r="H80" s="8" t="str">
        <f>IFERROR(__xludf.DUMMYFUNCTION("GOOGLETRANSLATE(B80, ""en"", ""hi"")"),"शतरंज_20")</f>
        <v>शतरंज_20</v>
      </c>
      <c r="I80" s="8" t="str">
        <f>IFERROR(__xludf.DUMMYFUNCTION("GOOGLETRANSLATE(C80, ""en"", ""hi"")"),"इस परिदृश्य में पॉन फॉर्क को क्रियान्वित करने का प्राथमिक रणनीतिक लक्ष्य क्या है?")</f>
        <v>इस परिदृश्य में पॉन फॉर्क को क्रियान्वित करने का प्राथमिक रणनीतिक लक्ष्य क्या है?</v>
      </c>
      <c r="J80" s="8" t="str">
        <f>IFERROR(__xludf.DUMMYFUNCTION("GOOGLETRANSLATE(D80, ""en"", ""hi"")"),"ए) चेकमेट, बी) मटेरियल गेन, सी) ओपनिंग कंट्रोल, डी) पीस डेवलपमेंट")</f>
        <v>ए) चेकमेट, बी) मटेरियल गेन, सी) ओपनिंग कंट्रोल, डी) पीस डेवलपमेंट</v>
      </c>
      <c r="K80" s="8" t="str">
        <f>IFERROR(__xludf.DUMMYFUNCTION("GOOGLETRANSLATE(E80, ""en"", ""hi"")"),"बी) भौतिक लाभ")</f>
        <v>बी) भौतिक लाभ</v>
      </c>
    </row>
    <row r="81" ht="22.5" customHeight="1">
      <c r="A81" s="2">
        <v>80.0</v>
      </c>
      <c r="B81" s="3" t="s">
        <v>706</v>
      </c>
      <c r="C81" s="3" t="s">
        <v>716</v>
      </c>
      <c r="D81" s="3" t="s">
        <v>717</v>
      </c>
      <c r="E81" s="3" t="s">
        <v>718</v>
      </c>
      <c r="G81" s="8" t="str">
        <f>IFERROR(__xludf.DUMMYFUNCTION("GOOGLETRANSLATE(A81, ""en"", ""hi"")"),"80")</f>
        <v>80</v>
      </c>
      <c r="H81" s="8" t="str">
        <f>IFERROR(__xludf.DUMMYFUNCTION("GOOGLETRANSLATE(B81, ""en"", ""hi"")"),"शतरंज_20")</f>
        <v>शतरंज_20</v>
      </c>
      <c r="I81" s="8" t="str">
        <f>IFERROR(__xludf.DUMMYFUNCTION("GOOGLETRANSLATE(C81, ""en"", ""hi"")"),"इस चित्र में प्रतिद्वंद्वी, प्यादा कांटे का सबसे अच्छा जवाब कैसे दे सकता है?")</f>
        <v>इस चित्र में प्रतिद्वंद्वी, प्यादा कांटे का सबसे अच्छा जवाब कैसे दे सकता है?</v>
      </c>
      <c r="J81" s="8" t="str">
        <f>IFERROR(__xludf.DUMMYFUNCTION("GOOGLETRANSLATE(D81, ""en"", ""hi"")"),"A) कांटे वाले मोहरों को आगे बढ़ाएं, B) राजा को आगे बढ़ाएं, C) मोहरे को पकड़ें, D) कांटे की अनदेखी करें")</f>
        <v>A) कांटे वाले मोहरों को आगे बढ़ाएं, B) राजा को आगे बढ़ाएं, C) मोहरे को पकड़ें, D) कांटे की अनदेखी करें</v>
      </c>
      <c r="K81" s="8" t="str">
        <f>IFERROR(__xludf.DUMMYFUNCTION("GOOGLETRANSLATE(E81, ""en"", ""hi"")"),"A) कांटेदार टुकड़ों को हिलाएं")</f>
        <v>A) कांटेदार टुकड़ों को हिलाएं</v>
      </c>
    </row>
    <row r="82" ht="22.5" customHeight="1">
      <c r="A82" s="2">
        <v>81.0</v>
      </c>
      <c r="B82" s="3" t="s">
        <v>719</v>
      </c>
      <c r="C82" s="3" t="s">
        <v>720</v>
      </c>
      <c r="D82" s="3" t="s">
        <v>721</v>
      </c>
      <c r="E82" s="3" t="s">
        <v>722</v>
      </c>
      <c r="G82" s="8" t="str">
        <f>IFERROR(__xludf.DUMMYFUNCTION("GOOGLETRANSLATE(A82, ""en"", ""hi"")"),"81")</f>
        <v>81</v>
      </c>
      <c r="H82" s="8" t="str">
        <f>IFERROR(__xludf.DUMMYFUNCTION("GOOGLETRANSLATE(B82, ""en"", ""hi"")"),"शतरंज_21")</f>
        <v>शतरंज_21</v>
      </c>
      <c r="I82" s="8" t="str">
        <f>IFERROR(__xludf.DUMMYFUNCTION("GOOGLETRANSLATE(C82, ""en"", ""hi"")"),"चित्र में कौन सी शतरंज रणनीति दर्शाई गई है?")</f>
        <v>चित्र में कौन सी शतरंज रणनीति दर्शाई गई है?</v>
      </c>
      <c r="J82" s="8" t="str">
        <f>IFERROR(__xludf.DUMMYFUNCTION("GOOGLETRANSLATE(D82, ""en"", ""hi"")"),"A) कांटा, B) पिन, C) कटार, D) खोजा गया हमला")</f>
        <v>A) कांटा, B) पिन, C) कटार, D) खोजा गया हमला</v>
      </c>
      <c r="K82" s="8" t="str">
        <f>IFERROR(__xludf.DUMMYFUNCTION("GOOGLETRANSLATE(E82, ""en"", ""hi"")"),"बी) पिन")</f>
        <v>बी) पिन</v>
      </c>
    </row>
    <row r="83" ht="22.5" customHeight="1">
      <c r="A83" s="2">
        <v>82.0</v>
      </c>
      <c r="B83" s="3" t="s">
        <v>719</v>
      </c>
      <c r="C83" s="3" t="s">
        <v>723</v>
      </c>
      <c r="D83" s="3" t="s">
        <v>724</v>
      </c>
      <c r="E83" s="3" t="s">
        <v>725</v>
      </c>
      <c r="G83" s="8" t="str">
        <f>IFERROR(__xludf.DUMMYFUNCTION("GOOGLETRANSLATE(A83, ""en"", ""hi"")"),"82")</f>
        <v>82</v>
      </c>
      <c r="H83" s="8" t="str">
        <f>IFERROR(__xludf.DUMMYFUNCTION("GOOGLETRANSLATE(B83, ""en"", ""hi"")"),"शतरंज_21")</f>
        <v>शतरंज_21</v>
      </c>
      <c r="I83" s="8" t="str">
        <f>IFERROR(__xludf.DUMMYFUNCTION("GOOGLETRANSLATE(C83, ""en"", ""hi"")"),"चित्र में कौन सा मोहरा किश्ती को जकड़े हुए है?")</f>
        <v>चित्र में कौन सा मोहरा किश्ती को जकड़े हुए है?</v>
      </c>
      <c r="J83" s="8" t="str">
        <f>IFERROR(__xludf.DUMMYFUNCTION("GOOGLETRANSLATE(D83, ""en"", ""hi"")"),"A) घोड़ा, B) रानी, ​​C) बिशप, D) प्यादा")</f>
        <v>A) घोड़ा, B) रानी, ​​C) बिशप, D) प्यादा</v>
      </c>
      <c r="K83" s="8" t="str">
        <f>IFERROR(__xludf.DUMMYFUNCTION("GOOGLETRANSLATE(E83, ""en"", ""hi"")"),"बी) रानी")</f>
        <v>बी) रानी</v>
      </c>
    </row>
    <row r="84" ht="22.5" customHeight="1">
      <c r="A84" s="2">
        <v>83.0</v>
      </c>
      <c r="B84" s="3" t="s">
        <v>719</v>
      </c>
      <c r="C84" s="3" t="s">
        <v>726</v>
      </c>
      <c r="D84" s="3" t="s">
        <v>727</v>
      </c>
      <c r="E84" s="3" t="s">
        <v>728</v>
      </c>
      <c r="G84" s="8" t="str">
        <f>IFERROR(__xludf.DUMMYFUNCTION("GOOGLETRANSLATE(A84, ""en"", ""hi"")"),"83")</f>
        <v>83</v>
      </c>
      <c r="H84" s="8" t="str">
        <f>IFERROR(__xludf.DUMMYFUNCTION("GOOGLETRANSLATE(B84, ""en"", ""hi"")"),"शतरंज_21")</f>
        <v>शतरंज_21</v>
      </c>
      <c r="I84" s="8" t="str">
        <f>IFERROR(__xludf.DUMMYFUNCTION("GOOGLETRANSLATE(C84, ""en"", ""hi"")"),"पिन किए गए रूक को पिन के विरुद्ध प्रभावी ढंग से कैसे बचाया जा सकता है?")</f>
        <v>पिन किए गए रूक को पिन के विरुद्ध प्रभावी ढंग से कैसे बचाया जा सकता है?</v>
      </c>
      <c r="J84" s="8" t="str">
        <f>IFERROR(__xludf.DUMMYFUNCTION("GOOGLETRANSLATE(D84, ""en"", ""hi"")"),"A) किश्ती को हिलाना, B) दूसरे मोहरे से पिन को रोकना, C) पिन करने वाले मोहरे को पकड़ना, D) मोहरे को आगे बढ़ाना")</f>
        <v>A) किश्ती को हिलाना, B) दूसरे मोहरे से पिन को रोकना, C) पिन करने वाले मोहरे को पकड़ना, D) मोहरे को आगे बढ़ाना</v>
      </c>
      <c r="K84" s="8" t="str">
        <f>IFERROR(__xludf.DUMMYFUNCTION("GOOGLETRANSLATE(E84, ""en"", ""hi"")"),"बी) पिन को दूसरे टुकड़े से रोकना")</f>
        <v>बी) पिन को दूसरे टुकड़े से रोकना</v>
      </c>
    </row>
    <row r="85" ht="22.5" customHeight="1">
      <c r="A85" s="2">
        <v>84.0</v>
      </c>
      <c r="B85" s="3" t="s">
        <v>719</v>
      </c>
      <c r="C85" s="3" t="s">
        <v>729</v>
      </c>
      <c r="D85" s="3" t="s">
        <v>730</v>
      </c>
      <c r="E85" s="3" t="s">
        <v>731</v>
      </c>
      <c r="G85" s="8" t="str">
        <f>IFERROR(__xludf.DUMMYFUNCTION("GOOGLETRANSLATE(A85, ""en"", ""hi"")"),"84")</f>
        <v>84</v>
      </c>
      <c r="H85" s="8" t="str">
        <f>IFERROR(__xludf.DUMMYFUNCTION("GOOGLETRANSLATE(B85, ""en"", ""hi"")"),"शतरंज_21")</f>
        <v>शतरंज_21</v>
      </c>
      <c r="I85" s="8" t="str">
        <f>IFERROR(__xludf.DUMMYFUNCTION("GOOGLETRANSLATE(C85, ""en"", ""hi"")"),"पिन किए गए टुकड़े के लिए पिन रणनीति का परिणाम क्या है?")</f>
        <v>पिन किए गए टुकड़े के लिए पिन रणनीति का परिणाम क्या है?</v>
      </c>
      <c r="J85" s="8" t="str">
        <f>IFERROR(__xludf.DUMMYFUNCTION("GOOGLETRANSLATE(D85, ""en"", ""hi"")"),"A) यह स्वतंत्र रूप से घूम सकता है, B) इसे स्थिर रहना चाहिए, C) यह पिनिंग टुकड़े को पकड़ सकता है, D) यह हमलों से प्रतिरक्षित है")</f>
        <v>A) यह स्वतंत्र रूप से घूम सकता है, B) इसे स्थिर रहना चाहिए, C) यह पिनिंग टुकड़े को पकड़ सकता है, D) यह हमलों से प्रतिरक्षित है</v>
      </c>
      <c r="K85" s="8" t="str">
        <f>IFERROR(__xludf.DUMMYFUNCTION("GOOGLETRANSLATE(E85, ""en"", ""hi"")"),"बी) इसे वहीं रहना चाहिए")</f>
        <v>बी) इसे वहीं रहना चाहिए</v>
      </c>
    </row>
    <row r="86" ht="22.5" customHeight="1">
      <c r="A86" s="2">
        <v>85.0</v>
      </c>
      <c r="B86" s="3" t="s">
        <v>732</v>
      </c>
      <c r="C86" s="3" t="s">
        <v>733</v>
      </c>
      <c r="D86" s="3" t="s">
        <v>734</v>
      </c>
      <c r="E86" s="3" t="s">
        <v>735</v>
      </c>
      <c r="G86" s="8" t="str">
        <f>IFERROR(__xludf.DUMMYFUNCTION("GOOGLETRANSLATE(A86, ""en"", ""hi"")"),"85")</f>
        <v>85</v>
      </c>
      <c r="H86" s="8" t="str">
        <f>IFERROR(__xludf.DUMMYFUNCTION("GOOGLETRANSLATE(B86, ""en"", ""hi"")"),"शतरंज_22")</f>
        <v>शतरंज_22</v>
      </c>
      <c r="I86" s="8" t="str">
        <f>IFERROR(__xludf.DUMMYFUNCTION("GOOGLETRANSLATE(C86, ""en"", ""hi"")"),"चित्र में प्रदर्शित की जा रही प्राथमिक रणनीति क्या है?")</f>
        <v>चित्र में प्रदर्शित की जा रही प्राथमिक रणनीति क्या है?</v>
      </c>
      <c r="J86" s="8" t="str">
        <f>IFERROR(__xludf.DUMMYFUNCTION("GOOGLETRANSLATE(D86, ""en"", ""hi"")"),"A) पिन, B) फोर्क, C) डबल चेक, D) डिस्कवरी")</f>
        <v>A) पिन, B) फोर्क, C) डबल चेक, D) डिस्कवरी</v>
      </c>
      <c r="K86" s="8" t="str">
        <f>IFERROR(__xludf.DUMMYFUNCTION("GOOGLETRANSLATE(E86, ""en"", ""hi"")"),"सी) दोहरी जांच")</f>
        <v>सी) दोहरी जांच</v>
      </c>
    </row>
    <row r="87" ht="22.5" customHeight="1">
      <c r="A87" s="2">
        <v>86.0</v>
      </c>
      <c r="B87" s="3" t="s">
        <v>732</v>
      </c>
      <c r="C87" s="3" t="s">
        <v>736</v>
      </c>
      <c r="D87" s="3" t="s">
        <v>737</v>
      </c>
      <c r="E87" s="3" t="s">
        <v>738</v>
      </c>
      <c r="G87" s="8" t="str">
        <f>IFERROR(__xludf.DUMMYFUNCTION("GOOGLETRANSLATE(A87, ""en"", ""hi"")"),"86")</f>
        <v>86</v>
      </c>
      <c r="H87" s="8" t="str">
        <f>IFERROR(__xludf.DUMMYFUNCTION("GOOGLETRANSLATE(B87, ""en"", ""hi"")"),"शतरंज_22")</f>
        <v>शतरंज_22</v>
      </c>
      <c r="I87" s="8" t="str">
        <f>IFERROR(__xludf.DUMMYFUNCTION("GOOGLETRANSLATE(C87, ""en"", ""hi"")"),"छवि में कौन से टुकड़े दोहरी जांच प्रदान कर रहे हैं?")</f>
        <v>छवि में कौन से टुकड़े दोहरी जांच प्रदान कर रहे हैं?</v>
      </c>
      <c r="J87" s="8" t="str">
        <f>IFERROR(__xludf.DUMMYFUNCTION("GOOGLETRANSLATE(D87, ""en"", ""hi"")"),"A) रानी और बिशप, B) रूक और रानी, ​​C) नाइट और रूक, D) रानी और नाइट")</f>
        <v>A) रानी और बिशप, B) रूक और रानी, ​​C) नाइट और रूक, D) रानी और नाइट</v>
      </c>
      <c r="K87" s="8" t="str">
        <f>IFERROR(__xludf.DUMMYFUNCTION("GOOGLETRANSLATE(E87, ""en"", ""hi"")"),"D) रानी और नाइट")</f>
        <v>D) रानी और नाइट</v>
      </c>
    </row>
    <row r="88" ht="22.5" customHeight="1">
      <c r="A88" s="2">
        <v>87.0</v>
      </c>
      <c r="B88" s="3" t="s">
        <v>732</v>
      </c>
      <c r="C88" s="3" t="s">
        <v>739</v>
      </c>
      <c r="D88" s="3" t="s">
        <v>740</v>
      </c>
      <c r="E88" s="3" t="s">
        <v>741</v>
      </c>
      <c r="G88" s="8" t="str">
        <f>IFERROR(__xludf.DUMMYFUNCTION("GOOGLETRANSLATE(A88, ""en"", ""hi"")"),"87")</f>
        <v>87</v>
      </c>
      <c r="H88" s="8" t="str">
        <f>IFERROR(__xludf.DUMMYFUNCTION("GOOGLETRANSLATE(B88, ""en"", ""hi"")"),"शतरंज_22")</f>
        <v>शतरंज_22</v>
      </c>
      <c r="I88" s="8" t="str">
        <f>IFERROR(__xludf.DUMMYFUNCTION("GOOGLETRANSLATE(C88, ""en"", ""hi"")"),"चित्र में प्रतिद्वंदी के राजा को कितने चेक दिए जा रहे हैं?")</f>
        <v>चित्र में प्रतिद्वंदी के राजा को कितने चेक दिए जा रहे हैं?</v>
      </c>
      <c r="J88" s="8" t="str">
        <f>IFERROR(__xludf.DUMMYFUNCTION("GOOGLETRANSLATE(D88, ""en"", ""hi"")"),"A) एक, B) दो, C) तीन, D) चार")</f>
        <v>A) एक, B) दो, C) तीन, D) चार</v>
      </c>
      <c r="K88" s="8" t="str">
        <f>IFERROR(__xludf.DUMMYFUNCTION("GOOGLETRANSLATE(E88, ""en"", ""hi"")"),"बी) दो")</f>
        <v>बी) दो</v>
      </c>
    </row>
    <row r="89" ht="22.5" customHeight="1">
      <c r="A89" s="2">
        <v>88.0</v>
      </c>
      <c r="B89" s="3" t="s">
        <v>732</v>
      </c>
      <c r="C89" s="3" t="s">
        <v>742</v>
      </c>
      <c r="D89" s="3" t="s">
        <v>743</v>
      </c>
      <c r="E89" s="3" t="s">
        <v>744</v>
      </c>
      <c r="G89" s="8" t="str">
        <f>IFERROR(__xludf.DUMMYFUNCTION("GOOGLETRANSLATE(A89, ""en"", ""hi"")"),"88")</f>
        <v>88</v>
      </c>
      <c r="H89" s="8" t="str">
        <f>IFERROR(__xludf.DUMMYFUNCTION("GOOGLETRANSLATE(B89, ""en"", ""hi"")"),"शतरंज_22")</f>
        <v>शतरंज_22</v>
      </c>
      <c r="I89" s="8" t="str">
        <f>IFERROR(__xludf.DUMMYFUNCTION("GOOGLETRANSLATE(C89, ""en"", ""hi"")"),"इस परिदृश्य में दोहरी जांच का तत्काल परिणाम क्या होगा?")</f>
        <v>इस परिदृश्य में दोहरी जांच का तत्काल परिणाम क्या होगा?</v>
      </c>
      <c r="J89" s="8" t="str">
        <f>IFERROR(__xludf.DUMMYFUNCTION("GOOGLETRANSLATE(D89, ""en"", ""hi"")"),"A) चेकमेट, B) जबरन चाल, C) ड्रा, D) पदोन्नति")</f>
        <v>A) चेकमेट, B) जबरन चाल, C) ड्रा, D) पदोन्नति</v>
      </c>
      <c r="K89" s="8" t="str">
        <f>IFERROR(__xludf.DUMMYFUNCTION("GOOGLETRANSLATE(E89, ""en"", ""hi"")"),"बी) जबरन कदम")</f>
        <v>बी) जबरन कदम</v>
      </c>
    </row>
    <row r="90" ht="22.5" customHeight="1">
      <c r="A90" s="2">
        <v>89.0</v>
      </c>
      <c r="B90" s="3" t="s">
        <v>745</v>
      </c>
      <c r="C90" s="3" t="s">
        <v>746</v>
      </c>
      <c r="D90" s="3" t="s">
        <v>747</v>
      </c>
      <c r="E90" s="3" t="s">
        <v>748</v>
      </c>
      <c r="G90" s="8" t="str">
        <f>IFERROR(__xludf.DUMMYFUNCTION("GOOGLETRANSLATE(A90, ""en"", ""hi"")"),"89")</f>
        <v>89</v>
      </c>
      <c r="H90" s="8" t="str">
        <f>IFERROR(__xludf.DUMMYFUNCTION("GOOGLETRANSLATE(B90, ""en"", ""hi"")"),"शतरंज_23")</f>
        <v>शतरंज_23</v>
      </c>
      <c r="I90" s="8" t="str">
        <f>IFERROR(__xludf.DUMMYFUNCTION("GOOGLETRANSLATE(C90, ""en"", ""hi"")"),"चित्र में दर्शाई गई प्राथमिक रणनीति क्या है?")</f>
        <v>चित्र में दर्शाई गई प्राथमिक रणनीति क्या है?</v>
      </c>
      <c r="J90" s="8" t="str">
        <f>IFERROR(__xludf.DUMMYFUNCTION("GOOGLETRANSLATE(D90, ""en"", ""hi"")"),"ए) चेकमेट, बी) परपीचुअल अटैक, सी) पिन, डी) फोर्क")</f>
        <v>ए) चेकमेट, बी) परपीचुअल अटैक, सी) पिन, डी) फोर्क</v>
      </c>
      <c r="K90" s="8" t="str">
        <f>IFERROR(__xludf.DUMMYFUNCTION("GOOGLETRANSLATE(E90, ""en"", ""hi"")"),"बी) सतत हमला")</f>
        <v>बी) सतत हमला</v>
      </c>
    </row>
    <row r="91" ht="22.5" customHeight="1">
      <c r="A91" s="2">
        <v>90.0</v>
      </c>
      <c r="B91" s="3" t="s">
        <v>745</v>
      </c>
      <c r="C91" s="3" t="s">
        <v>749</v>
      </c>
      <c r="D91" s="3" t="s">
        <v>689</v>
      </c>
      <c r="E91" s="3" t="s">
        <v>699</v>
      </c>
      <c r="G91" s="8" t="str">
        <f>IFERROR(__xludf.DUMMYFUNCTION("GOOGLETRANSLATE(A91, ""en"", ""hi"")"),"90")</f>
        <v>90</v>
      </c>
      <c r="H91" s="8" t="str">
        <f>IFERROR(__xludf.DUMMYFUNCTION("GOOGLETRANSLATE(B91, ""en"", ""hi"")"),"शतरंज_23")</f>
        <v>शतरंज_23</v>
      </c>
      <c r="I91" s="8" t="str">
        <f>IFERROR(__xludf.DUMMYFUNCTION("GOOGLETRANSLATE(C91, ""en"", ""hi"")"),"छवि में सतत आक्रमण करने के लिए किस टुकड़े का उपयोग किया जा रहा है?")</f>
        <v>छवि में सतत आक्रमण करने के लिए किस टुकड़े का उपयोग किया जा रहा है?</v>
      </c>
      <c r="J91" s="8" t="str">
        <f>IFERROR(__xludf.DUMMYFUNCTION("GOOGLETRANSLATE(D91, ""en"", ""hi"")"),"A) रानी, ​​B) रूक, C) बिशप, D) नाइट")</f>
        <v>A) रानी, ​​B) रूक, C) बिशप, D) नाइट</v>
      </c>
      <c r="K91" s="8" t="str">
        <f>IFERROR(__xludf.DUMMYFUNCTION("GOOGLETRANSLATE(E91, ""en"", ""hi"")"),"बी) रूक")</f>
        <v>बी) रूक</v>
      </c>
    </row>
    <row r="92" ht="22.5" customHeight="1">
      <c r="A92" s="2">
        <v>91.0</v>
      </c>
      <c r="B92" s="3" t="s">
        <v>745</v>
      </c>
      <c r="C92" s="3" t="s">
        <v>750</v>
      </c>
      <c r="D92" s="3" t="s">
        <v>751</v>
      </c>
      <c r="E92" s="3" t="s">
        <v>752</v>
      </c>
      <c r="G92" s="8" t="str">
        <f>IFERROR(__xludf.DUMMYFUNCTION("GOOGLETRANSLATE(A92, ""en"", ""hi"")"),"91")</f>
        <v>91</v>
      </c>
      <c r="H92" s="8" t="str">
        <f>IFERROR(__xludf.DUMMYFUNCTION("GOOGLETRANSLATE(B92, ""en"", ""hi"")"),"शतरंज_23")</f>
        <v>शतरंज_23</v>
      </c>
      <c r="I92" s="8" t="str">
        <f>IFERROR(__xludf.DUMMYFUNCTION("GOOGLETRANSLATE(C92, ""en"", ""hi"")"),"चित्र में दिखाए गए सतत हमले का मुख्य उद्देश्य क्या है?")</f>
        <v>चित्र में दिखाए गए सतत हमले का मुख्य उद्देश्य क्या है?</v>
      </c>
      <c r="J92" s="8" t="str">
        <f>IFERROR(__xludf.DUMMYFUNCTION("GOOGLETRANSLATE(D92, ""en"", ""hi"")"),"A) चेकमेट प्राप्त करना, B) ड्रॉ के लिए मजबूर करना, C) एक मोहरा पकड़ना, D) राजा को चेक करना")</f>
        <v>A) चेकमेट प्राप्त करना, B) ड्रॉ के लिए मजबूर करना, C) एक मोहरा पकड़ना, D) राजा को चेक करना</v>
      </c>
      <c r="K92" s="8" t="str">
        <f>IFERROR(__xludf.DUMMYFUNCTION("GOOGLETRANSLATE(E92, ""en"", ""hi"")"),"बी) ड्रॉ के लिए मजबूर करना")</f>
        <v>बी) ड्रॉ के लिए मजबूर करना</v>
      </c>
    </row>
    <row r="93" ht="22.5" customHeight="1">
      <c r="A93" s="2">
        <v>92.0</v>
      </c>
      <c r="B93" s="3" t="s">
        <v>745</v>
      </c>
      <c r="C93" s="3" t="s">
        <v>753</v>
      </c>
      <c r="D93" s="3" t="s">
        <v>754</v>
      </c>
      <c r="E93" s="3" t="s">
        <v>755</v>
      </c>
      <c r="G93" s="8" t="str">
        <f>IFERROR(__xludf.DUMMYFUNCTION("GOOGLETRANSLATE(A93, ""en"", ""hi"")"),"92")</f>
        <v>92</v>
      </c>
      <c r="H93" s="8" t="str">
        <f>IFERROR(__xludf.DUMMYFUNCTION("GOOGLETRANSLATE(B93, ""en"", ""hi"")"),"शतरंज_23")</f>
        <v>शतरंज_23</v>
      </c>
      <c r="I93" s="8" t="str">
        <f>IFERROR(__xludf.DUMMYFUNCTION("GOOGLETRANSLATE(C93, ""en"", ""hi"")"),"चित्र में सफेद रूक की क्या भूमिका है?")</f>
        <v>चित्र में सफेद रूक की क्या भूमिका है?</v>
      </c>
      <c r="J93" s="8" t="str">
        <f>IFERROR(__xludf.DUMMYFUNCTION("GOOGLETRANSLATE(D93, ""en"", ""hi"")"),"A) यह काले राजा पर हमला कर रहा है, B) यह सफेद राजा की रक्षा कर रहा है, C) यह काले राजा के भागने को रोक रहा है, D) यह एक मोहरे पर कब्जा कर रहा है")</f>
        <v>A) यह काले राजा पर हमला कर रहा है, B) यह सफेद राजा की रक्षा कर रहा है, C) यह काले राजा के भागने को रोक रहा है, D) यह एक मोहरे पर कब्जा कर रहा है</v>
      </c>
      <c r="K93" s="8" t="str">
        <f>IFERROR(__xludf.DUMMYFUNCTION("GOOGLETRANSLATE(E93, ""en"", ""hi"")"),"A) यह काले राजा पर हमला कर रहा है")</f>
        <v>A) यह काले राजा पर हमला कर रहा है</v>
      </c>
    </row>
    <row r="94" ht="22.5" customHeight="1">
      <c r="A94" s="2">
        <v>93.0</v>
      </c>
      <c r="B94" s="3" t="s">
        <v>756</v>
      </c>
      <c r="C94" s="3" t="s">
        <v>757</v>
      </c>
      <c r="D94" s="3" t="s">
        <v>758</v>
      </c>
      <c r="E94" s="3" t="s">
        <v>759</v>
      </c>
      <c r="G94" s="8" t="str">
        <f>IFERROR(__xludf.DUMMYFUNCTION("GOOGLETRANSLATE(A94, ""en"", ""hi"")"),"93")</f>
        <v>93</v>
      </c>
      <c r="H94" s="8" t="str">
        <f>IFERROR(__xludf.DUMMYFUNCTION("GOOGLETRANSLATE(B94, ""en"", ""hi"")"),"शतरंज_24")</f>
        <v>शतरंज_24</v>
      </c>
      <c r="I94" s="8" t="str">
        <f>IFERROR(__xludf.DUMMYFUNCTION("GOOGLETRANSLATE(C94, ""en"", ""hi"")"),"इस स्थिति में कौन सी प्रमुख रणनीति अपनाई जा रही है?")</f>
        <v>इस स्थिति में कौन सी प्रमुख रणनीति अपनाई जा रही है?</v>
      </c>
      <c r="J94" s="8" t="str">
        <f>IFERROR(__xludf.DUMMYFUNCTION("GOOGLETRANSLATE(D94, ""en"", ""hi"")"),"A) कांटा, B) पिन, C) सीख, D) शह और मात")</f>
        <v>A) कांटा, B) पिन, C) सीख, D) शह और मात</v>
      </c>
      <c r="K94" s="8" t="str">
        <f>IFERROR(__xludf.DUMMYFUNCTION("GOOGLETRANSLATE(E94, ""en"", ""hi"")"),"डी) चेकमेट")</f>
        <v>डी) चेकमेट</v>
      </c>
    </row>
    <row r="95" ht="22.5" customHeight="1">
      <c r="A95" s="2">
        <v>94.0</v>
      </c>
      <c r="B95" s="3" t="s">
        <v>756</v>
      </c>
      <c r="C95" s="3" t="s">
        <v>760</v>
      </c>
      <c r="D95" s="3" t="s">
        <v>761</v>
      </c>
      <c r="E95" s="3" t="s">
        <v>762</v>
      </c>
      <c r="G95" s="8" t="str">
        <f>IFERROR(__xludf.DUMMYFUNCTION("GOOGLETRANSLATE(A95, ""en"", ""hi"")"),"94")</f>
        <v>94</v>
      </c>
      <c r="H95" s="8" t="str">
        <f>IFERROR(__xludf.DUMMYFUNCTION("GOOGLETRANSLATE(B95, ""en"", ""hi"")"),"शतरंज_24")</f>
        <v>शतरंज_24</v>
      </c>
      <c r="I95" s="8" t="str">
        <f>IFERROR(__xludf.DUMMYFUNCTION("GOOGLETRANSLATE(C95, ""en"", ""hi"")"),"कौन सा मोहरा काले राजा के भागने के रास्ते को रोक रहा है?")</f>
        <v>कौन सा मोहरा काले राजा के भागने के रास्ते को रोक रहा है?</v>
      </c>
      <c r="J95" s="8" t="str">
        <f>IFERROR(__xludf.DUMMYFUNCTION("GOOGLETRANSLATE(D95, ""en"", ""hi"")"),"A) सफ़ेद मोहरा, B) सफ़ेद रानी, ​​C) सफ़ेद किश्ती, D) सफ़ेद राजा")</f>
        <v>A) सफ़ेद मोहरा, B) सफ़ेद रानी, ​​C) सफ़ेद किश्ती, D) सफ़ेद राजा</v>
      </c>
      <c r="K95" s="8" t="str">
        <f>IFERROR(__xludf.DUMMYFUNCTION("GOOGLETRANSLATE(E95, ""en"", ""hi"")"),"A) सफेद मोहरा")</f>
        <v>A) सफेद मोहरा</v>
      </c>
    </row>
    <row r="96" ht="22.5" customHeight="1">
      <c r="A96" s="2">
        <v>95.0</v>
      </c>
      <c r="B96" s="3" t="s">
        <v>756</v>
      </c>
      <c r="C96" s="3" t="s">
        <v>763</v>
      </c>
      <c r="D96" s="3" t="s">
        <v>764</v>
      </c>
      <c r="E96" s="3" t="s">
        <v>765</v>
      </c>
      <c r="G96" s="8" t="str">
        <f>IFERROR(__xludf.DUMMYFUNCTION("GOOGLETRANSLATE(A96, ""en"", ""hi"")"),"95")</f>
        <v>95</v>
      </c>
      <c r="H96" s="8" t="str">
        <f>IFERROR(__xludf.DUMMYFUNCTION("GOOGLETRANSLATE(B96, ""en"", ""hi"")"),"शतरंज_24")</f>
        <v>शतरंज_24</v>
      </c>
      <c r="I96" s="8" t="str">
        <f>IFERROR(__xludf.DUMMYFUNCTION("GOOGLETRANSLATE(C96, ""en"", ""hi"")"),"इस अंतिम परिदृश्य में काले राजा की स्थिति क्या है?")</f>
        <v>इस अंतिम परिदृश्य में काले राजा की स्थिति क्या है?</v>
      </c>
      <c r="J96" s="8" t="str">
        <f>IFERROR(__xludf.DUMMYFUNCTION("GOOGLETRANSLATE(D96, ""en"", ""hi"")"),"A) बोर्ड के किनारे पर, B) केंद्र में, C) कोने में, D) सफेद राजा के पास")</f>
        <v>A) बोर्ड के किनारे पर, B) केंद्र में, C) कोने में, D) सफेद राजा के पास</v>
      </c>
      <c r="K96" s="8" t="str">
        <f>IFERROR(__xludf.DUMMYFUNCTION("GOOGLETRANSLATE(E96, ""en"", ""hi"")"),"C) कोने में")</f>
        <v>C) कोने में</v>
      </c>
    </row>
    <row r="97" ht="22.5" customHeight="1">
      <c r="A97" s="2">
        <v>96.0</v>
      </c>
      <c r="B97" s="3" t="s">
        <v>756</v>
      </c>
      <c r="C97" s="3" t="s">
        <v>766</v>
      </c>
      <c r="D97" s="3" t="s">
        <v>740</v>
      </c>
      <c r="E97" s="3" t="s">
        <v>741</v>
      </c>
      <c r="G97" s="8" t="str">
        <f>IFERROR(__xludf.DUMMYFUNCTION("GOOGLETRANSLATE(A97, ""en"", ""hi"")"),"96")</f>
        <v>96</v>
      </c>
      <c r="H97" s="8" t="str">
        <f>IFERROR(__xludf.DUMMYFUNCTION("GOOGLETRANSLATE(B97, ""en"", ""hi"")"),"शतरंज_24")</f>
        <v>शतरंज_24</v>
      </c>
      <c r="I97" s="8" t="str">
        <f>IFERROR(__xludf.DUMMYFUNCTION("GOOGLETRANSLATE(C97, ""en"", ""hi"")"),"इस स्थिति में चेकमेट देने के लिए कितने मोहरे शामिल होते हैं?")</f>
        <v>इस स्थिति में चेकमेट देने के लिए कितने मोहरे शामिल होते हैं?</v>
      </c>
      <c r="J97" s="8" t="str">
        <f>IFERROR(__xludf.DUMMYFUNCTION("GOOGLETRANSLATE(D97, ""en"", ""hi"")"),"A) एक, B) दो, C) तीन, D) चार")</f>
        <v>A) एक, B) दो, C) तीन, D) चार</v>
      </c>
      <c r="K97" s="8" t="str">
        <f>IFERROR(__xludf.DUMMYFUNCTION("GOOGLETRANSLATE(E97, ""en"", ""hi"")"),"बी) दो")</f>
        <v>बी) दो</v>
      </c>
    </row>
    <row r="98" ht="22.5" customHeight="1">
      <c r="A98" s="2">
        <v>97.0</v>
      </c>
      <c r="B98" s="3" t="s">
        <v>767</v>
      </c>
      <c r="C98" s="3" t="s">
        <v>768</v>
      </c>
      <c r="D98" s="3" t="s">
        <v>769</v>
      </c>
      <c r="E98" s="3" t="s">
        <v>770</v>
      </c>
      <c r="G98" s="8" t="str">
        <f>IFERROR(__xludf.DUMMYFUNCTION("GOOGLETRANSLATE(A98, ""en"", ""hi"")"),"97")</f>
        <v>97</v>
      </c>
      <c r="H98" s="8" t="str">
        <f>IFERROR(__xludf.DUMMYFUNCTION("GOOGLETRANSLATE(B98, ""en"", ""hi"")"),"शतरंज_25")</f>
        <v>शतरंज_25</v>
      </c>
      <c r="I98" s="8" t="str">
        <f>IFERROR(__xludf.DUMMYFUNCTION("GOOGLETRANSLATE(C98, ""en"", ""hi"")"),"नाइट फोर्क द्वारा हमला किये जाने वाले दो टुकड़े कौन से हैं?")</f>
        <v>नाइट फोर्क द्वारा हमला किये जाने वाले दो टुकड़े कौन से हैं?</v>
      </c>
      <c r="J98" s="8" t="str">
        <f>IFERROR(__xludf.DUMMYFUNCTION("GOOGLETRANSLATE(D98, ""en"", ""hi"")"),"A) रानी और किश्ती, B) बिशप और प्यादा, C) राजा और किश्ती, D) रानी और बिशप")</f>
        <v>A) रानी और किश्ती, B) बिशप और प्यादा, C) राजा और किश्ती, D) रानी और बिशप</v>
      </c>
      <c r="K98" s="8" t="str">
        <f>IFERROR(__xludf.DUMMYFUNCTION("GOOGLETRANSLATE(E98, ""en"", ""hi"")"),"A) रानी और किश्ती")</f>
        <v>A) रानी और किश्ती</v>
      </c>
    </row>
    <row r="99" ht="22.5" customHeight="1">
      <c r="A99" s="2">
        <v>98.0</v>
      </c>
      <c r="B99" s="3" t="s">
        <v>767</v>
      </c>
      <c r="C99" s="3" t="s">
        <v>771</v>
      </c>
      <c r="D99" s="3" t="s">
        <v>772</v>
      </c>
      <c r="E99" s="3" t="s">
        <v>773</v>
      </c>
      <c r="G99" s="8" t="str">
        <f>IFERROR(__xludf.DUMMYFUNCTION("GOOGLETRANSLATE(A99, ""en"", ""hi"")"),"98")</f>
        <v>98</v>
      </c>
      <c r="H99" s="8" t="str">
        <f>IFERROR(__xludf.DUMMYFUNCTION("GOOGLETRANSLATE(B99, ""en"", ""hi"")"),"शतरंज_25")</f>
        <v>शतरंज_25</v>
      </c>
      <c r="I99" s="8" t="str">
        <f>IFERROR(__xludf.DUMMYFUNCTION("GOOGLETRANSLATE(C99, ""en"", ""hi"")"),"शतरंज में नाइट फोर्क का उपयोग करने का प्राथमिक उद्देश्य क्या है?")</f>
        <v>शतरंज में नाइट फोर्क का उपयोग करने का प्राथमिक उद्देश्य क्या है?</v>
      </c>
      <c r="J99" s="8" t="str">
        <f>IFERROR(__xludf.DUMMYFUNCTION("GOOGLETRANSLATE(D99, ""en"", ""hi"")"),"A) चेकमेट, B) एक साथ दो मोहरों पर हमला, C) एक मोहरे की रक्षा, D) एक महत्वपूर्ण वर्ग पर नियंत्रण")</f>
        <v>A) चेकमेट, B) एक साथ दो मोहरों पर हमला, C) एक मोहरे की रक्षा, D) एक महत्वपूर्ण वर्ग पर नियंत्रण</v>
      </c>
      <c r="K99" s="8" t="str">
        <f>IFERROR(__xludf.DUMMYFUNCTION("GOOGLETRANSLATE(E99, ""en"", ""hi"")"),"बी) एक साथ दो टुकड़ियों पर हमला करें")</f>
        <v>बी) एक साथ दो टुकड़ियों पर हमला करें</v>
      </c>
    </row>
    <row r="100" ht="22.5" customHeight="1">
      <c r="A100" s="2">
        <v>99.0</v>
      </c>
      <c r="B100" s="3" t="s">
        <v>767</v>
      </c>
      <c r="C100" s="3" t="s">
        <v>774</v>
      </c>
      <c r="D100" s="3" t="s">
        <v>775</v>
      </c>
      <c r="E100" s="3" t="s">
        <v>776</v>
      </c>
      <c r="G100" s="8" t="str">
        <f>IFERROR(__xludf.DUMMYFUNCTION("GOOGLETRANSLATE(A100, ""en"", ""hi"")"),"99")</f>
        <v>99</v>
      </c>
      <c r="H100" s="8" t="str">
        <f>IFERROR(__xludf.DUMMYFUNCTION("GOOGLETRANSLATE(B100, ""en"", ""hi"")"),"शतरंज_25")</f>
        <v>शतरंज_25</v>
      </c>
      <c r="I100" s="8" t="str">
        <f>IFERROR(__xludf.DUMMYFUNCTION("GOOGLETRANSLATE(C100, ""en"", ""hi"")"),"कौन सा टुकड़ा वर्तमान में दो अन्य टुकड़ों को विभाजित कर रहा है?")</f>
        <v>कौन सा टुकड़ा वर्तमान में दो अन्य टुकड़ों को विभाजित कर रहा है?</v>
      </c>
      <c r="J100" s="8" t="str">
        <f>IFERROR(__xludf.DUMMYFUNCTION("GOOGLETRANSLATE(D100, ""en"", ""hi"")"),"A) रूक, B) बिशप, C) नाइट, D) क्वीन")</f>
        <v>A) रूक, B) बिशप, C) नाइट, D) क्वीन</v>
      </c>
      <c r="K100" s="8" t="str">
        <f>IFERROR(__xludf.DUMMYFUNCTION("GOOGLETRANSLATE(E100, ""en"", ""hi"")"),"सी) नाइट")</f>
        <v>सी) नाइट</v>
      </c>
    </row>
    <row r="101" ht="22.5" customHeight="1">
      <c r="A101" s="2">
        <v>100.0</v>
      </c>
      <c r="B101" s="3" t="s">
        <v>767</v>
      </c>
      <c r="C101" s="3" t="s">
        <v>777</v>
      </c>
      <c r="D101" s="3" t="s">
        <v>740</v>
      </c>
      <c r="E101" s="3" t="s">
        <v>741</v>
      </c>
      <c r="G101" s="8" t="str">
        <f>IFERROR(__xludf.DUMMYFUNCTION("GOOGLETRANSLATE(A101, ""en"", ""hi"")"),"100")</f>
        <v>100</v>
      </c>
      <c r="H101" s="8" t="str">
        <f>IFERROR(__xludf.DUMMYFUNCTION("GOOGLETRANSLATE(B101, ""en"", ""hi"")"),"शतरंज_25")</f>
        <v>शतरंज_25</v>
      </c>
      <c r="I101" s="8" t="str">
        <f>IFERROR(__xludf.DUMMYFUNCTION("GOOGLETRANSLATE(C101, ""en"", ""hi"")"),"चित्र में, घोड़े द्वारा कितने मोहरों पर आक्रमण किया जा रहा है?")</f>
        <v>चित्र में, घोड़े द्वारा कितने मोहरों पर आक्रमण किया जा रहा है?</v>
      </c>
      <c r="J101" s="8" t="str">
        <f>IFERROR(__xludf.DUMMYFUNCTION("GOOGLETRANSLATE(D101, ""en"", ""hi"")"),"A) एक, B) दो, C) तीन, D) चार")</f>
        <v>A) एक, B) दो, C) तीन, D) चार</v>
      </c>
      <c r="K101" s="8" t="str">
        <f>IFERROR(__xludf.DUMMYFUNCTION("GOOGLETRANSLATE(E101, ""en"", ""hi"")"),"बी) दो")</f>
        <v>बी) दो</v>
      </c>
    </row>
    <row r="102" ht="22.5" customHeight="1">
      <c r="A102" s="2">
        <v>101.0</v>
      </c>
      <c r="B102" s="3" t="s">
        <v>778</v>
      </c>
      <c r="C102" s="3" t="s">
        <v>779</v>
      </c>
      <c r="D102" s="3" t="s">
        <v>780</v>
      </c>
      <c r="E102" s="3" t="s">
        <v>548</v>
      </c>
      <c r="G102" s="8" t="str">
        <f>IFERROR(__xludf.DUMMYFUNCTION("GOOGLETRANSLATE(A102, ""en"", ""hi"")"),"101")</f>
        <v>101</v>
      </c>
      <c r="H102" s="8" t="str">
        <f>IFERROR(__xludf.DUMMYFUNCTION("GOOGLETRANSLATE(B102, ""en"", ""hi"")"),"शतरंज_26")</f>
        <v>शतरंज_26</v>
      </c>
      <c r="I102" s="8" t="str">
        <f>IFERROR(__xludf.DUMMYFUNCTION("GOOGLETRANSLATE(C102, ""en"", ""hi"")"),"चित्र में दिखाए गए खेल में प्रत्येक खिलाड़ी कितने मोहरों के साथ खेल शुरू करता है?")</f>
        <v>चित्र में दिखाए गए खेल में प्रत्येक खिलाड़ी कितने मोहरों के साथ खेल शुरू करता है?</v>
      </c>
      <c r="J102" s="8" t="str">
        <f>IFERROR(__xludf.DUMMYFUNCTION("GOOGLETRANSLATE(D102, ""en"", ""hi"")"),"ए) 6, बी) 7, सी) 8, डी) 9")</f>
        <v>ए) 6, बी) 7, सी) 8, डी) 9</v>
      </c>
      <c r="K102" s="8" t="str">
        <f>IFERROR(__xludf.DUMMYFUNCTION("GOOGLETRANSLATE(E102, ""en"", ""hi"")"),"सी) 8")</f>
        <v>सी) 8</v>
      </c>
    </row>
    <row r="103" ht="22.5" customHeight="1">
      <c r="A103" s="2">
        <v>102.0</v>
      </c>
      <c r="B103" s="3" t="s">
        <v>778</v>
      </c>
      <c r="C103" s="3" t="s">
        <v>781</v>
      </c>
      <c r="D103" s="3" t="s">
        <v>782</v>
      </c>
      <c r="E103" s="3" t="s">
        <v>783</v>
      </c>
      <c r="G103" s="8" t="str">
        <f>IFERROR(__xludf.DUMMYFUNCTION("GOOGLETRANSLATE(A103, ""en"", ""hi"")"),"102")</f>
        <v>102</v>
      </c>
      <c r="H103" s="8" t="str">
        <f>IFERROR(__xludf.DUMMYFUNCTION("GOOGLETRANSLATE(B103, ""en"", ""hi"")"),"शतरंज_26")</f>
        <v>शतरंज_26</v>
      </c>
      <c r="I103" s="8" t="str">
        <f>IFERROR(__xludf.DUMMYFUNCTION("GOOGLETRANSLATE(C103, ""en"", ""hi"")"),"चित्र में दिखाए गए खेल में कौन सा मोहरा बोर्ड पर तिरछे चल सकता है?")</f>
        <v>चित्र में दिखाए गए खेल में कौन सा मोहरा बोर्ड पर तिरछे चल सकता है?</v>
      </c>
      <c r="J103" s="8" t="str">
        <f>IFERROR(__xludf.DUMMYFUNCTION("GOOGLETRANSLATE(D103, ""en"", ""hi"")"),"A) रूक, B) नाइट, C) बिशप, D) किंग")</f>
        <v>A) रूक, B) नाइट, C) बिशप, D) किंग</v>
      </c>
      <c r="K103" s="8" t="str">
        <f>IFERROR(__xludf.DUMMYFUNCTION("GOOGLETRANSLATE(E103, ""en"", ""hi"")"),"C) बिशप")</f>
        <v>C) बिशप</v>
      </c>
    </row>
    <row r="104" ht="22.5" customHeight="1">
      <c r="A104" s="2">
        <v>103.0</v>
      </c>
      <c r="B104" s="3" t="s">
        <v>778</v>
      </c>
      <c r="C104" s="3" t="s">
        <v>784</v>
      </c>
      <c r="D104" s="3" t="s">
        <v>785</v>
      </c>
      <c r="E104" s="3" t="s">
        <v>786</v>
      </c>
      <c r="G104" s="8" t="str">
        <f>IFERROR(__xludf.DUMMYFUNCTION("GOOGLETRANSLATE(A104, ""en"", ""hi"")"),"103")</f>
        <v>103</v>
      </c>
      <c r="H104" s="8" t="str">
        <f>IFERROR(__xludf.DUMMYFUNCTION("GOOGLETRANSLATE(B104, ""en"", ""hi"")"),"शतरंज_26")</f>
        <v>शतरंज_26</v>
      </c>
      <c r="I104" s="8" t="str">
        <f>IFERROR(__xludf.DUMMYFUNCTION("GOOGLETRANSLATE(C104, ""en"", ""hi"")"),"चित्र में दिखाए गए खेल के लिए शतरंज की बिसात में कितने वर्ग होते हैं?")</f>
        <v>चित्र में दिखाए गए खेल के लिए शतरंज की बिसात में कितने वर्ग होते हैं?</v>
      </c>
      <c r="J104" s="8" t="str">
        <f>IFERROR(__xludf.DUMMYFUNCTION("GOOGLETRANSLATE(D104, ""en"", ""hi"")"),"ए) 64, बी) 72, सी) 81, डी) 100")</f>
        <v>ए) 64, बी) 72, सी) 81, डी) 100</v>
      </c>
      <c r="K104" s="8" t="str">
        <f>IFERROR(__xludf.DUMMYFUNCTION("GOOGLETRANSLATE(E104, ""en"", ""hi"")"),"ए) 64")</f>
        <v>ए) 64</v>
      </c>
    </row>
    <row r="105" ht="22.5" customHeight="1">
      <c r="A105" s="2">
        <v>104.0</v>
      </c>
      <c r="B105" s="3" t="s">
        <v>778</v>
      </c>
      <c r="C105" s="3" t="s">
        <v>787</v>
      </c>
      <c r="D105" s="3" t="s">
        <v>788</v>
      </c>
      <c r="E105" s="3" t="s">
        <v>789</v>
      </c>
      <c r="G105" s="8" t="str">
        <f>IFERROR(__xludf.DUMMYFUNCTION("GOOGLETRANSLATE(A105, ""en"", ""hi"")"),"104")</f>
        <v>104</v>
      </c>
      <c r="H105" s="8" t="str">
        <f>IFERROR(__xludf.DUMMYFUNCTION("GOOGLETRANSLATE(B105, ""en"", ""hi"")"),"शतरंज_26")</f>
        <v>शतरंज_26</v>
      </c>
      <c r="I105" s="8" t="str">
        <f>IFERROR(__xludf.DUMMYFUNCTION("GOOGLETRANSLATE(C105, ""en"", ""hi"")"),"चित्र में दिखाए गए खेल के लिए, कैसलिंग में कौन सा टुकड़ा शामिल है?")</f>
        <v>चित्र में दिखाए गए खेल के लिए, कैसलिंग में कौन सा टुकड़ा शामिल है?</v>
      </c>
      <c r="J105" s="8" t="str">
        <f>IFERROR(__xludf.DUMMYFUNCTION("GOOGLETRANSLATE(D105, ""en"", ""hi"")"),"A) घोड़ा और रानी, ​​B) राजा और किश्ती, C) बिशप और प्यादा, D) रानी और किश्ती")</f>
        <v>A) घोड़ा और रानी, ​​B) राजा और किश्ती, C) बिशप और प्यादा, D) रानी और किश्ती</v>
      </c>
      <c r="K105" s="8" t="str">
        <f>IFERROR(__xludf.DUMMYFUNCTION("GOOGLETRANSLATE(E105, ""en"", ""hi"")"),"बी) राजा और किश्ती")</f>
        <v>बी) राजा और किश्ती</v>
      </c>
    </row>
    <row r="106" ht="22.5" customHeight="1">
      <c r="A106" s="2">
        <v>105.0</v>
      </c>
      <c r="B106" s="3" t="s">
        <v>790</v>
      </c>
      <c r="C106" s="3" t="s">
        <v>791</v>
      </c>
      <c r="D106" s="3" t="s">
        <v>792</v>
      </c>
      <c r="E106" s="3" t="s">
        <v>793</v>
      </c>
      <c r="G106" s="8" t="str">
        <f>IFERROR(__xludf.DUMMYFUNCTION("GOOGLETRANSLATE(A106, ""en"", ""hi"")"),"105")</f>
        <v>105</v>
      </c>
      <c r="H106" s="8" t="str">
        <f>IFERROR(__xludf.DUMMYFUNCTION("GOOGLETRANSLATE(B106, ""en"", ""hi"")"),"शतरंज_27")</f>
        <v>शतरंज_27</v>
      </c>
      <c r="I106" s="8" t="str">
        <f>IFERROR(__xludf.DUMMYFUNCTION("GOOGLETRANSLATE(C106, ""en"", ""hi"")"),"चित्र में दिखाए गए खेल में, जब कोई मोहरा बोर्ड के विपरीत छोर पर पहुंच जाता है तो क्या होता है?")</f>
        <v>चित्र में दिखाए गए खेल में, जब कोई मोहरा बोर्ड के विपरीत छोर पर पहुंच जाता है तो क्या होता है?</v>
      </c>
      <c r="J106" s="8" t="str">
        <f>IFERROR(__xludf.DUMMYFUNCTION("GOOGLETRANSLATE(D106, ""en"", ""hi"")"),"A) यह राजा बन जाता है, B) इसे खेल से हटा दिया जाता है, C) इसे किसी अन्य मोहरे में स्थानांतरित किया जा सकता है, D) यह मोहरा बना रहता है")</f>
        <v>A) यह राजा बन जाता है, B) इसे खेल से हटा दिया जाता है, C) इसे किसी अन्य मोहरे में स्थानांतरित किया जा सकता है, D) यह मोहरा बना रहता है</v>
      </c>
      <c r="K106" s="8" t="str">
        <f>IFERROR(__xludf.DUMMYFUNCTION("GOOGLETRANSLATE(E106, ""en"", ""hi"")"),"C) इसे किसी अन्य टुकड़े में पदोन्नत किया जा सकता है")</f>
        <v>C) इसे किसी अन्य टुकड़े में पदोन्नत किया जा सकता है</v>
      </c>
    </row>
    <row r="107" ht="22.5" customHeight="1">
      <c r="A107" s="2">
        <v>106.0</v>
      </c>
      <c r="B107" s="3" t="s">
        <v>790</v>
      </c>
      <c r="C107" s="3" t="s">
        <v>794</v>
      </c>
      <c r="D107" s="3" t="s">
        <v>795</v>
      </c>
      <c r="E107" s="3" t="s">
        <v>776</v>
      </c>
      <c r="G107" s="8" t="str">
        <f>IFERROR(__xludf.DUMMYFUNCTION("GOOGLETRANSLATE(A107, ""en"", ""hi"")"),"106")</f>
        <v>106</v>
      </c>
      <c r="H107" s="8" t="str">
        <f>IFERROR(__xludf.DUMMYFUNCTION("GOOGLETRANSLATE(B107, ""en"", ""hi"")"),"शतरंज_27")</f>
        <v>शतरंज_27</v>
      </c>
      <c r="I107" s="8" t="str">
        <f>IFERROR(__xludf.DUMMYFUNCTION("GOOGLETRANSLATE(C107, ""en"", ""hi"")"),"चित्र में दिखाए गए खेल में कौन सा मोहरा केवल 'L' आकार में ही घूम सकता है?")</f>
        <v>चित्र में दिखाए गए खेल में कौन सा मोहरा केवल 'L' आकार में ही घूम सकता है?</v>
      </c>
      <c r="J107" s="8" t="str">
        <f>IFERROR(__xludf.DUMMYFUNCTION("GOOGLETRANSLATE(D107, ""en"", ""hi"")"),"A) रानी, ​​B) किश्ती, C) घोड़ा, D) राजा")</f>
        <v>A) रानी, ​​B) किश्ती, C) घोड़ा, D) राजा</v>
      </c>
      <c r="K107" s="8" t="str">
        <f>IFERROR(__xludf.DUMMYFUNCTION("GOOGLETRANSLATE(E107, ""en"", ""hi"")"),"सी) नाइट")</f>
        <v>सी) नाइट</v>
      </c>
    </row>
    <row r="108" ht="22.5" customHeight="1">
      <c r="A108" s="2">
        <v>107.0</v>
      </c>
      <c r="B108" s="3" t="s">
        <v>790</v>
      </c>
      <c r="C108" s="3" t="s">
        <v>796</v>
      </c>
      <c r="D108" s="3" t="s">
        <v>797</v>
      </c>
      <c r="E108" s="3" t="s">
        <v>798</v>
      </c>
      <c r="G108" s="8" t="str">
        <f>IFERROR(__xludf.DUMMYFUNCTION("GOOGLETRANSLATE(A108, ""en"", ""hi"")"),"107")</f>
        <v>107</v>
      </c>
      <c r="H108" s="8" t="str">
        <f>IFERROR(__xludf.DUMMYFUNCTION("GOOGLETRANSLATE(B108, ""en"", ""hi"")"),"शतरंज_27")</f>
        <v>शतरंज_27</v>
      </c>
      <c r="I108" s="8" t="str">
        <f>IFERROR(__xludf.DUMMYFUNCTION("GOOGLETRANSLATE(C108, ""en"", ""hi"")"),"चित्र में दिखाए गए खेल का उद्देश्य क्या है?")</f>
        <v>चित्र में दिखाए गए खेल का उद्देश्य क्या है?</v>
      </c>
      <c r="J108" s="8" t="str">
        <f>IFERROR(__xludf.DUMMYFUNCTION("GOOGLETRANSLATE(D108, ""en"", ""hi"")"),"A) प्रतिद्वंद्वी के सभी मोहरों पर कब्ज़ा करें, B) प्रतिद्वंद्वी के राजा को शह और मात दें, C) अपनी रानी की रक्षा करें, D) बोर्ड के विपरीत छोर पर पहुँचें")</f>
        <v>A) प्रतिद्वंद्वी के सभी मोहरों पर कब्ज़ा करें, B) प्रतिद्वंद्वी के राजा को शह और मात दें, C) अपनी रानी की रक्षा करें, D) बोर्ड के विपरीत छोर पर पहुँचें</v>
      </c>
      <c r="K108" s="8" t="str">
        <f>IFERROR(__xludf.DUMMYFUNCTION("GOOGLETRANSLATE(E108, ""en"", ""hi"")"),"बी) प्रतिद्वंद्वी के राजा को शह और मात देना")</f>
        <v>बी) प्रतिद्वंद्वी के राजा को शह और मात देना</v>
      </c>
    </row>
    <row r="109" ht="22.5" customHeight="1">
      <c r="A109" s="2">
        <v>108.0</v>
      </c>
      <c r="B109" s="3" t="s">
        <v>790</v>
      </c>
      <c r="C109" s="3" t="s">
        <v>799</v>
      </c>
      <c r="D109" s="3" t="s">
        <v>800</v>
      </c>
      <c r="E109" s="3" t="s">
        <v>801</v>
      </c>
      <c r="G109" s="8" t="str">
        <f>IFERROR(__xludf.DUMMYFUNCTION("GOOGLETRANSLATE(A109, ""en"", ""hi"")"),"108")</f>
        <v>108</v>
      </c>
      <c r="H109" s="8" t="str">
        <f>IFERROR(__xludf.DUMMYFUNCTION("GOOGLETRANSLATE(B109, ""en"", ""hi"")"),"शतरंज_27")</f>
        <v>शतरंज_27</v>
      </c>
      <c r="I109" s="8" t="str">
        <f>IFERROR(__xludf.DUMMYFUNCTION("GOOGLETRANSLATE(C109, ""en"", ""hi"")"),"चित्र में दिखाए गए खेल में प्रत्येक खिलाड़ी कितने मोहरों से खेल शुरू करता है?")</f>
        <v>चित्र में दिखाए गए खेल में प्रत्येक खिलाड़ी कितने मोहरों से खेल शुरू करता है?</v>
      </c>
      <c r="J109" s="8" t="str">
        <f>IFERROR(__xludf.DUMMYFUNCTION("GOOGLETRANSLATE(D109, ""en"", ""hi"")"),"ए) 12, बी) 16, सी) 18, डी) 20")</f>
        <v>ए) 12, बी) 16, सी) 18, डी) 20</v>
      </c>
      <c r="K109" s="8" t="str">
        <f>IFERROR(__xludf.DUMMYFUNCTION("GOOGLETRANSLATE(E109, ""en"", ""hi"")"),"बी) 16")</f>
        <v>बी) 16</v>
      </c>
    </row>
    <row r="110" ht="22.5" customHeight="1">
      <c r="A110" s="2">
        <v>109.0</v>
      </c>
      <c r="B110" s="3" t="s">
        <v>802</v>
      </c>
      <c r="C110" s="3" t="s">
        <v>803</v>
      </c>
      <c r="D110" s="3" t="s">
        <v>804</v>
      </c>
      <c r="E110" s="3" t="s">
        <v>805</v>
      </c>
      <c r="G110" s="8" t="str">
        <f>IFERROR(__xludf.DUMMYFUNCTION("GOOGLETRANSLATE(A110, ""en"", ""hi"")"),"109")</f>
        <v>109</v>
      </c>
      <c r="H110" s="8" t="str">
        <f>IFERROR(__xludf.DUMMYFUNCTION("GOOGLETRANSLATE(B110, ""en"", ""hi"")"),"शतरंज_28")</f>
        <v>शतरंज_28</v>
      </c>
      <c r="I110" s="8" t="str">
        <f>IFERROR(__xludf.DUMMYFUNCTION("GOOGLETRANSLATE(C110, ""en"", ""hi"")"),"चित्र में दिखाए गए खेल के लिए कौन सा टुकड़ा क्षैतिज, ऊर्ध्वाधर और तिरछे ढंग से घूम सकता है?")</f>
        <v>चित्र में दिखाए गए खेल के लिए कौन सा टुकड़ा क्षैतिज, ऊर्ध्वाधर और तिरछे ढंग से घूम सकता है?</v>
      </c>
      <c r="J110" s="8" t="str">
        <f>IFERROR(__xludf.DUMMYFUNCTION("GOOGLETRANSLATE(D110, ""en"", ""hi"")"),"A) राजा, B) बिशप, C) रानी, ​​D) नाइट")</f>
        <v>A) राजा, B) बिशप, C) रानी, ​​D) नाइट</v>
      </c>
      <c r="K110" s="8" t="str">
        <f>IFERROR(__xludf.DUMMYFUNCTION("GOOGLETRANSLATE(E110, ""en"", ""hi"")"),"C) रानी")</f>
        <v>C) रानी</v>
      </c>
    </row>
    <row r="111" ht="22.5" customHeight="1">
      <c r="A111" s="2">
        <v>110.0</v>
      </c>
      <c r="B111" s="3" t="s">
        <v>802</v>
      </c>
      <c r="C111" s="3" t="s">
        <v>806</v>
      </c>
      <c r="D111" s="3" t="s">
        <v>807</v>
      </c>
      <c r="E111" s="3" t="s">
        <v>808</v>
      </c>
      <c r="G111" s="8" t="str">
        <f>IFERROR(__xludf.DUMMYFUNCTION("GOOGLETRANSLATE(A111, ""en"", ""hi"")"),"110")</f>
        <v>110</v>
      </c>
      <c r="H111" s="8" t="str">
        <f>IFERROR(__xludf.DUMMYFUNCTION("GOOGLETRANSLATE(B111, ""en"", ""hi"")"),"शतरंज_28")</f>
        <v>शतरंज_28</v>
      </c>
      <c r="I111" s="8" t="str">
        <f>IFERROR(__xludf.DUMMYFUNCTION("GOOGLETRANSLATE(C111, ""en"", ""hi"")"),"चित्र में दिखाए गए खेल में कौन सा मोहरा किसी भी दिशा में केवल एक वर्ग ही आगे बढ़ सकता है?")</f>
        <v>चित्र में दिखाए गए खेल में कौन सा मोहरा किसी भी दिशा में केवल एक वर्ग ही आगे बढ़ सकता है?</v>
      </c>
      <c r="J111" s="8" t="str">
        <f>IFERROR(__xludf.DUMMYFUNCTION("GOOGLETRANSLATE(D111, ""en"", ""hi"")"),"A) राजा, B) रानी, ​​C) बिशप, D) रूक")</f>
        <v>A) राजा, B) रानी, ​​C) बिशप, D) रूक</v>
      </c>
      <c r="K111" s="8" t="str">
        <f>IFERROR(__xludf.DUMMYFUNCTION("GOOGLETRANSLATE(E111, ""en"", ""hi"")"),"ए) राजा")</f>
        <v>ए) राजा</v>
      </c>
    </row>
    <row r="112" ht="22.5" customHeight="1">
      <c r="A112" s="2">
        <v>111.0</v>
      </c>
      <c r="B112" s="3" t="s">
        <v>802</v>
      </c>
      <c r="C112" s="3" t="s">
        <v>809</v>
      </c>
      <c r="D112" s="3" t="s">
        <v>810</v>
      </c>
      <c r="E112" s="3" t="s">
        <v>811</v>
      </c>
      <c r="G112" s="8" t="str">
        <f>IFERROR(__xludf.DUMMYFUNCTION("GOOGLETRANSLATE(A112, ""en"", ""hi"")"),"111")</f>
        <v>111</v>
      </c>
      <c r="H112" s="8" t="str">
        <f>IFERROR(__xludf.DUMMYFUNCTION("GOOGLETRANSLATE(B112, ""en"", ""hi"")"),"शतरंज_28")</f>
        <v>शतरंज_28</v>
      </c>
      <c r="I112" s="8" t="str">
        <f>IFERROR(__xludf.DUMMYFUNCTION("GOOGLETRANSLATE(C112, ""en"", ""hi"")"),"चित्र में दिखाए गए खेल को क्या कहा जाता है जब राजा को पकड़ा जा सकता है?")</f>
        <v>चित्र में दिखाए गए खेल को क्या कहा जाता है जब राजा को पकड़ा जा सकता है?</v>
      </c>
      <c r="J112" s="8" t="str">
        <f>IFERROR(__xludf.DUMMYFUNCTION("GOOGLETRANSLATE(D112, ""en"", ""hi"")"),"A) गतिरोध, B) चेक, C) पदोन्नति, D) कैस्टलिंग")</f>
        <v>A) गतिरोध, B) चेक, C) पदोन्नति, D) कैस्टलिंग</v>
      </c>
      <c r="K112" s="8" t="str">
        <f>IFERROR(__xludf.DUMMYFUNCTION("GOOGLETRANSLATE(E112, ""en"", ""hi"")"),"बी) जाँच")</f>
        <v>बी) जाँच</v>
      </c>
    </row>
    <row r="113" ht="22.5" customHeight="1">
      <c r="A113" s="2">
        <v>112.0</v>
      </c>
      <c r="B113" s="3" t="s">
        <v>802</v>
      </c>
      <c r="C113" s="3" t="s">
        <v>812</v>
      </c>
      <c r="D113" s="3" t="s">
        <v>813</v>
      </c>
      <c r="E113" s="3" t="s">
        <v>814</v>
      </c>
      <c r="G113" s="8" t="str">
        <f>IFERROR(__xludf.DUMMYFUNCTION("GOOGLETRANSLATE(A113, ""en"", ""hi"")"),"112")</f>
        <v>112</v>
      </c>
      <c r="H113" s="8" t="str">
        <f>IFERROR(__xludf.DUMMYFUNCTION("GOOGLETRANSLATE(B113, ""en"", ""hi"")"),"शतरंज_28")</f>
        <v>शतरंज_28</v>
      </c>
      <c r="I113" s="8" t="str">
        <f>IFERROR(__xludf.DUMMYFUNCTION("GOOGLETRANSLATE(C113, ""en"", ""hi"")"),"चित्र में दिखाए गए खेल के लिए, जब किसी खिलाड़ी का राजा पकड़ से बच नहीं पाता है, तो क्या शब्द का प्रयोग किया जाता है?")</f>
        <v>चित्र में दिखाए गए खेल के लिए, जब किसी खिलाड़ी का राजा पकड़ से बच नहीं पाता है, तो क्या शब्द का प्रयोग किया जाता है?</v>
      </c>
      <c r="J113" s="8" t="str">
        <f>IFERROR(__xludf.DUMMYFUNCTION("GOOGLETRANSLATE(D113, ""en"", ""hi"")"),"A) गतिरोध, B) शह और मात, C) शह, D) बराबरी")</f>
        <v>A) गतिरोध, B) शह और मात, C) शह, D) बराबरी</v>
      </c>
      <c r="K113" s="8" t="str">
        <f>IFERROR(__xludf.DUMMYFUNCTION("GOOGLETRANSLATE(E113, ""en"", ""hi"")"),"बी) चेकमेट")</f>
        <v>बी) चेकमेट</v>
      </c>
    </row>
    <row r="114" ht="22.5" customHeight="1">
      <c r="A114" s="2">
        <v>113.0</v>
      </c>
      <c r="B114" s="3" t="s">
        <v>815</v>
      </c>
      <c r="C114" s="3" t="s">
        <v>816</v>
      </c>
      <c r="D114" s="3" t="s">
        <v>817</v>
      </c>
      <c r="E114" s="3" t="s">
        <v>818</v>
      </c>
      <c r="G114" s="8" t="str">
        <f>IFERROR(__xludf.DUMMYFUNCTION("GOOGLETRANSLATE(A114, ""en"", ""hi"")"),"113")</f>
        <v>113</v>
      </c>
      <c r="H114" s="8" t="str">
        <f>IFERROR(__xludf.DUMMYFUNCTION("GOOGLETRANSLATE(B114, ""en"", ""hi"")"),"शतरंज_29")</f>
        <v>शतरंज_29</v>
      </c>
      <c r="I114" s="8" t="str">
        <f>IFERROR(__xludf.DUMMYFUNCTION("GOOGLETRANSLATE(C114, ""en"", ""hi"")"),"चित्र में दिखाए गए खेल में, सफ़ेद पक्ष के लिए कौन सा मोहरा a1 वर्ग पर शुरू होता है?")</f>
        <v>चित्र में दिखाए गए खेल में, सफ़ेद पक्ष के लिए कौन सा मोहरा a1 वर्ग पर शुरू होता है?</v>
      </c>
      <c r="J114" s="8" t="str">
        <f>IFERROR(__xludf.DUMMYFUNCTION("GOOGLETRANSLATE(D114, ""en"", ""hi"")"),"A) रूक, B) नाइट, C) बिशप, D) क्वीन")</f>
        <v>A) रूक, B) नाइट, C) बिशप, D) क्वीन</v>
      </c>
      <c r="K114" s="8" t="str">
        <f>IFERROR(__xludf.DUMMYFUNCTION("GOOGLETRANSLATE(E114, ""en"", ""hi"")"),"ए) रूक")</f>
        <v>ए) रूक</v>
      </c>
    </row>
    <row r="115" ht="22.5" customHeight="1">
      <c r="A115" s="2">
        <v>114.0</v>
      </c>
      <c r="B115" s="3" t="s">
        <v>815</v>
      </c>
      <c r="C115" s="3" t="s">
        <v>819</v>
      </c>
      <c r="D115" s="3" t="s">
        <v>820</v>
      </c>
      <c r="E115" s="3" t="s">
        <v>821</v>
      </c>
      <c r="G115" s="8" t="str">
        <f>IFERROR(__xludf.DUMMYFUNCTION("GOOGLETRANSLATE(A115, ""en"", ""hi"")"),"114")</f>
        <v>114</v>
      </c>
      <c r="H115" s="8" t="str">
        <f>IFERROR(__xludf.DUMMYFUNCTION("GOOGLETRANSLATE(B115, ""en"", ""hi"")"),"शतरंज_29")</f>
        <v>शतरंज_29</v>
      </c>
      <c r="I115" s="8" t="str">
        <f>IFERROR(__xludf.DUMMYFUNCTION("GOOGLETRANSLATE(C115, ""en"", ""hi"")"),"चित्र में दिखाए गए खेल में एक मोहरा दूसरे मोहरे को कैसे पकड़ता है?")</f>
        <v>चित्र में दिखाए गए खेल में एक मोहरा दूसरे मोहरे को कैसे पकड़ता है?</v>
      </c>
      <c r="J115" s="8" t="str">
        <f>IFERROR(__xludf.DUMMYFUNCTION("GOOGLETRANSLATE(D115, ""en"", ""hi"")"),"A) तिरछे चलता है, B) आगे बढ़ता है, C) बगल में चलता है, D) पीछे की ओर चलता है")</f>
        <v>A) तिरछे चलता है, B) आगे बढ़ता है, C) बगल में चलता है, D) पीछे की ओर चलता है</v>
      </c>
      <c r="K115" s="8" t="str">
        <f>IFERROR(__xludf.DUMMYFUNCTION("GOOGLETRANSLATE(E115, ""en"", ""hi"")"),"A) तिरछे चलता है")</f>
        <v>A) तिरछे चलता है</v>
      </c>
    </row>
    <row r="116" ht="22.5" customHeight="1">
      <c r="A116" s="2">
        <v>115.0</v>
      </c>
      <c r="B116" s="3" t="s">
        <v>815</v>
      </c>
      <c r="C116" s="3" t="s">
        <v>822</v>
      </c>
      <c r="D116" s="3" t="s">
        <v>823</v>
      </c>
      <c r="E116" s="3" t="s">
        <v>824</v>
      </c>
      <c r="G116" s="8" t="str">
        <f>IFERROR(__xludf.DUMMYFUNCTION("GOOGLETRANSLATE(A116, ""en"", ""hi"")"),"115")</f>
        <v>115</v>
      </c>
      <c r="H116" s="8" t="str">
        <f>IFERROR(__xludf.DUMMYFUNCTION("GOOGLETRANSLATE(B116, ""en"", ""hi"")"),"शतरंज_29")</f>
        <v>शतरंज_29</v>
      </c>
      <c r="I116" s="8" t="str">
        <f>IFERROR(__xludf.DUMMYFUNCTION("GOOGLETRANSLATE(C116, ""en"", ""hi"")"),"चित्र में दिखाए गए खेल में, जब कोई मोहरा अपनी प्रारंभिक स्थिति से दो वर्ग आगे बढ़ता है तो उसे क्या कहते हैं?")</f>
        <v>चित्र में दिखाए गए खेल में, जब कोई मोहरा अपनी प्रारंभिक स्थिति से दो वर्ग आगे बढ़ता है तो उसे क्या कहते हैं?</v>
      </c>
      <c r="J116" s="8" t="str">
        <f>IFERROR(__xludf.DUMMYFUNCTION("GOOGLETRANSLATE(D116, ""en"", ""hi"")"),"ए) एन पासेंट, बी) प्रमोशन, सी) ओपनिंग मूव, डी) डबल स्टेप")</f>
        <v>ए) एन पासेंट, बी) प्रमोशन, सी) ओपनिंग मूव, डी) डबल स्टेप</v>
      </c>
      <c r="K116" s="8" t="str">
        <f>IFERROR(__xludf.DUMMYFUNCTION("GOOGLETRANSLATE(E116, ""en"", ""hi"")"),"D) दोहरा कदम")</f>
        <v>D) दोहरा कदम</v>
      </c>
    </row>
    <row r="117" ht="22.5" customHeight="1">
      <c r="A117" s="2">
        <v>116.0</v>
      </c>
      <c r="B117" s="3" t="s">
        <v>815</v>
      </c>
      <c r="C117" s="3" t="s">
        <v>825</v>
      </c>
      <c r="D117" s="3" t="s">
        <v>51</v>
      </c>
      <c r="E117" s="3" t="s">
        <v>52</v>
      </c>
      <c r="G117" s="8" t="str">
        <f>IFERROR(__xludf.DUMMYFUNCTION("GOOGLETRANSLATE(A117, ""en"", ""hi"")"),"116")</f>
        <v>116</v>
      </c>
      <c r="H117" s="8" t="str">
        <f>IFERROR(__xludf.DUMMYFUNCTION("GOOGLETRANSLATE(B117, ""en"", ""hi"")"),"शतरंज_29")</f>
        <v>शतरंज_29</v>
      </c>
      <c r="I117" s="8" t="str">
        <f>IFERROR(__xludf.DUMMYFUNCTION("GOOGLETRANSLATE(C117, ""en"", ""hi"")"),"चित्र में दिखाए गए खेल में प्रत्येक खिलाड़ी कितने किश्ती के साथ खेल शुरू करता है?")</f>
        <v>चित्र में दिखाए गए खेल में प्रत्येक खिलाड़ी कितने किश्ती के साथ खेल शुरू करता है?</v>
      </c>
      <c r="J117" s="8" t="str">
        <f>IFERROR(__xludf.DUMMYFUNCTION("GOOGLETRANSLATE(D117, ""en"", ""hi"")"),"ए) 1, बी) 2, सी) 3, डी) 4")</f>
        <v>ए) 1, बी) 2, सी) 3, डी) 4</v>
      </c>
      <c r="K117" s="8" t="str">
        <f>IFERROR(__xludf.DUMMYFUNCTION("GOOGLETRANSLATE(E117, ""en"", ""hi"")"),"बी) 2")</f>
        <v>बी) 2</v>
      </c>
    </row>
    <row r="118" ht="22.5" customHeight="1">
      <c r="A118" s="2">
        <v>117.0</v>
      </c>
      <c r="B118" s="3" t="s">
        <v>826</v>
      </c>
      <c r="C118" s="3" t="s">
        <v>827</v>
      </c>
      <c r="D118" s="3" t="s">
        <v>828</v>
      </c>
      <c r="E118" s="3" t="s">
        <v>829</v>
      </c>
      <c r="G118" s="8" t="str">
        <f>IFERROR(__xludf.DUMMYFUNCTION("GOOGLETRANSLATE(A118, ""en"", ""hi"")"),"117")</f>
        <v>117</v>
      </c>
      <c r="H118" s="8" t="str">
        <f>IFERROR(__xludf.DUMMYFUNCTION("GOOGLETRANSLATE(B118, ""en"", ""hi"")"),"शतरंज_30")</f>
        <v>शतरंज_30</v>
      </c>
      <c r="I118" s="8" t="str">
        <f>IFERROR(__xludf.DUMMYFUNCTION("GOOGLETRANSLATE(C118, ""en"", ""hi"")"),"छवि में खेल के लिए, कौन सा टुकड़ा 'एन पासेंट' कैप्चर कर सकता है?")</f>
        <v>छवि में खेल के लिए, कौन सा टुकड़ा 'एन पासेंट' कैप्चर कर सकता है?</v>
      </c>
      <c r="J118" s="8" t="str">
        <f>IFERROR(__xludf.DUMMYFUNCTION("GOOGLETRANSLATE(D118, ""en"", ""hi"")"),"A) प्यादा, B) घोड़ा, C) रानी, ​​D) बिशप")</f>
        <v>A) प्यादा, B) घोड़ा, C) रानी, ​​D) बिशप</v>
      </c>
      <c r="K118" s="8" t="str">
        <f>IFERROR(__xludf.DUMMYFUNCTION("GOOGLETRANSLATE(E118, ""en"", ""hi"")"),"ए) प्यादा")</f>
        <v>ए) प्यादा</v>
      </c>
    </row>
    <row r="119" ht="22.5" customHeight="1">
      <c r="A119" s="2">
        <v>118.0</v>
      </c>
      <c r="B119" s="3" t="s">
        <v>826</v>
      </c>
      <c r="C119" s="3" t="s">
        <v>830</v>
      </c>
      <c r="D119" s="3" t="s">
        <v>831</v>
      </c>
      <c r="E119" s="3" t="s">
        <v>832</v>
      </c>
      <c r="G119" s="8" t="str">
        <f>IFERROR(__xludf.DUMMYFUNCTION("GOOGLETRANSLATE(A119, ""en"", ""hi"")"),"118")</f>
        <v>118</v>
      </c>
      <c r="H119" s="8" t="str">
        <f>IFERROR(__xludf.DUMMYFUNCTION("GOOGLETRANSLATE(B119, ""en"", ""hi"")"),"शतरंज_30")</f>
        <v>शतरंज_30</v>
      </c>
      <c r="I119" s="8" t="str">
        <f>IFERROR(__xludf.DUMMYFUNCTION("GOOGLETRANSLATE(C119, ""en"", ""hi"")"),"चित्र में दिखाए गए खेल के लिए टाई गेम क्या है?")</f>
        <v>चित्र में दिखाए गए खेल के लिए टाई गेम क्या है?</v>
      </c>
      <c r="J119" s="8" t="str">
        <f>IFERROR(__xludf.DUMMYFUNCTION("GOOGLETRANSLATE(D119, ""en"", ""hi"")"),"A) चेकमेट, B) ड्रॉ, C) चेक, D) गतिरोध")</f>
        <v>A) चेकमेट, B) ड्रॉ, C) चेक, D) गतिरोध</v>
      </c>
      <c r="K119" s="8" t="str">
        <f>IFERROR(__xludf.DUMMYFUNCTION("GOOGLETRANSLATE(E119, ""en"", ""hi"")"),"बी) ड्रा")</f>
        <v>बी) ड्रा</v>
      </c>
    </row>
    <row r="120" ht="22.5" customHeight="1">
      <c r="A120" s="2">
        <v>119.0</v>
      </c>
      <c r="B120" s="3" t="s">
        <v>826</v>
      </c>
      <c r="C120" s="3" t="s">
        <v>833</v>
      </c>
      <c r="D120" s="3" t="s">
        <v>834</v>
      </c>
      <c r="E120" s="3" t="s">
        <v>725</v>
      </c>
      <c r="G120" s="8" t="str">
        <f>IFERROR(__xludf.DUMMYFUNCTION("GOOGLETRANSLATE(A120, ""en"", ""hi"")"),"119")</f>
        <v>119</v>
      </c>
      <c r="H120" s="8" t="str">
        <f>IFERROR(__xludf.DUMMYFUNCTION("GOOGLETRANSLATE(B120, ""en"", ""hi"")"),"शतरंज_30")</f>
        <v>शतरंज_30</v>
      </c>
      <c r="I120" s="8" t="str">
        <f>IFERROR(__xludf.DUMMYFUNCTION("GOOGLETRANSLATE(C120, ""en"", ""hi"")"),"चित्र में दिखाए गए खेल के लिए, मानक टुकड़ा मूल्य प्रणाली के अनुसार किस टुकड़े का मूल्य सबसे अधिक है?")</f>
        <v>चित्र में दिखाए गए खेल के लिए, मानक टुकड़ा मूल्य प्रणाली के अनुसार किस टुकड़े का मूल्य सबसे अधिक है?</v>
      </c>
      <c r="J120" s="8" t="str">
        <f>IFERROR(__xludf.DUMMYFUNCTION("GOOGLETRANSLATE(D120, ""en"", ""hi"")"),"A) रूक, B) क्वीन, C) बिशप, D) नाइट")</f>
        <v>A) रूक, B) क्वीन, C) बिशप, D) नाइट</v>
      </c>
      <c r="K120" s="8" t="str">
        <f>IFERROR(__xludf.DUMMYFUNCTION("GOOGLETRANSLATE(E120, ""en"", ""hi"")"),"बी) रानी")</f>
        <v>बी) रानी</v>
      </c>
    </row>
    <row r="121" ht="22.5" customHeight="1">
      <c r="A121" s="2">
        <v>120.0</v>
      </c>
      <c r="B121" s="3" t="s">
        <v>826</v>
      </c>
      <c r="C121" s="3" t="s">
        <v>835</v>
      </c>
      <c r="D121" s="3" t="s">
        <v>836</v>
      </c>
      <c r="E121" s="3" t="s">
        <v>783</v>
      </c>
      <c r="G121" s="8" t="str">
        <f>IFERROR(__xludf.DUMMYFUNCTION("GOOGLETRANSLATE(A121, ""en"", ""hi"")"),"120")</f>
        <v>120</v>
      </c>
      <c r="H121" s="8" t="str">
        <f>IFERROR(__xludf.DUMMYFUNCTION("GOOGLETRANSLATE(B121, ""en"", ""hi"")"),"शतरंज_30")</f>
        <v>शतरंज_30</v>
      </c>
      <c r="I121" s="8" t="str">
        <f>IFERROR(__xludf.DUMMYFUNCTION("GOOGLETRANSLATE(C121, ""en"", ""hi"")"),"चित्र में दिखाए गए खेल के लिए, कौन सा टुकड़ा अपने प्रारंभिक वर्ग के रंग (हल्का या गहरा) पर ही रहना चाहिए?")</f>
        <v>चित्र में दिखाए गए खेल के लिए, कौन सा टुकड़ा अपने प्रारंभिक वर्ग के रंग (हल्का या गहरा) पर ही रहना चाहिए?</v>
      </c>
      <c r="J121" s="8" t="str">
        <f>IFERROR(__xludf.DUMMYFUNCTION("GOOGLETRANSLATE(D121, ""en"", ""hi"")"),"A) नाइट, B) रूक, C) बिशप, D) क्वीन")</f>
        <v>A) नाइट, B) रूक, C) बिशप, D) क्वीन</v>
      </c>
      <c r="K121" s="8" t="str">
        <f>IFERROR(__xludf.DUMMYFUNCTION("GOOGLETRANSLATE(E121, ""en"", ""hi"")"),"C) बिशप")</f>
        <v>C) बिशप</v>
      </c>
    </row>
    <row r="122" ht="22.5" customHeight="1">
      <c r="A122" s="2">
        <v>121.0</v>
      </c>
      <c r="B122" s="3" t="s">
        <v>837</v>
      </c>
      <c r="C122" s="3" t="s">
        <v>838</v>
      </c>
      <c r="D122" s="3" t="s">
        <v>51</v>
      </c>
      <c r="E122" s="3" t="s">
        <v>52</v>
      </c>
      <c r="G122" s="8" t="str">
        <f>IFERROR(__xludf.DUMMYFUNCTION("GOOGLETRANSLATE(A122, ""en"", ""hi"")"),"121")</f>
        <v>121</v>
      </c>
      <c r="H122" s="8" t="str">
        <f>IFERROR(__xludf.DUMMYFUNCTION("GOOGLETRANSLATE(B122, ""en"", ""hi"")"),"शतरंज_31")</f>
        <v>शतरंज_31</v>
      </c>
      <c r="I122" s="8" t="str">
        <f>IFERROR(__xludf.DUMMYFUNCTION("GOOGLETRANSLATE(C122, ""en"", ""hi"")"),"चित्र में दिखाए गए खेल में चेकमेट के लिए न्यूनतम कितनी चालें आवश्यक हैं?")</f>
        <v>चित्र में दिखाए गए खेल में चेकमेट के लिए न्यूनतम कितनी चालें आवश्यक हैं?</v>
      </c>
      <c r="J122" s="8" t="str">
        <f>IFERROR(__xludf.DUMMYFUNCTION("GOOGLETRANSLATE(D122, ""en"", ""hi"")"),"ए) 1, बी) 2, सी) 3, डी) 4")</f>
        <v>ए) 1, बी) 2, सी) 3, डी) 4</v>
      </c>
      <c r="K122" s="8" t="str">
        <f>IFERROR(__xludf.DUMMYFUNCTION("GOOGLETRANSLATE(E122, ""en"", ""hi"")"),"बी) 2")</f>
        <v>बी) 2</v>
      </c>
    </row>
    <row r="123" ht="22.5" customHeight="1">
      <c r="A123" s="2">
        <v>122.0</v>
      </c>
      <c r="B123" s="3" t="s">
        <v>837</v>
      </c>
      <c r="C123" s="3" t="s">
        <v>839</v>
      </c>
      <c r="D123" s="3" t="s">
        <v>51</v>
      </c>
      <c r="E123" s="3" t="s">
        <v>52</v>
      </c>
      <c r="G123" s="8" t="str">
        <f>IFERROR(__xludf.DUMMYFUNCTION("GOOGLETRANSLATE(A123, ""en"", ""hi"")"),"122")</f>
        <v>122</v>
      </c>
      <c r="H123" s="8" t="str">
        <f>IFERROR(__xludf.DUMMYFUNCTION("GOOGLETRANSLATE(B123, ""en"", ""hi"")"),"शतरंज_31")</f>
        <v>शतरंज_31</v>
      </c>
      <c r="I123" s="8" t="str">
        <f>IFERROR(__xludf.DUMMYFUNCTION("GOOGLETRANSLATE(C123, ""en"", ""hi"")"),"चित्र में दिखाए गए खेल में प्रत्येक खिलाड़ी कितने बिशप के साथ खेल शुरू करता है?")</f>
        <v>चित्र में दिखाए गए खेल में प्रत्येक खिलाड़ी कितने बिशप के साथ खेल शुरू करता है?</v>
      </c>
      <c r="J123" s="8" t="str">
        <f>IFERROR(__xludf.DUMMYFUNCTION("GOOGLETRANSLATE(D123, ""en"", ""hi"")"),"ए) 1, बी) 2, सी) 3, डी) 4")</f>
        <v>ए) 1, बी) 2, सी) 3, डी) 4</v>
      </c>
      <c r="K123" s="8" t="str">
        <f>IFERROR(__xludf.DUMMYFUNCTION("GOOGLETRANSLATE(E123, ""en"", ""hi"")"),"बी) 2")</f>
        <v>बी) 2</v>
      </c>
    </row>
    <row r="124" ht="22.5" customHeight="1">
      <c r="A124" s="2">
        <v>123.0</v>
      </c>
      <c r="B124" s="3" t="s">
        <v>837</v>
      </c>
      <c r="C124" s="3" t="s">
        <v>840</v>
      </c>
      <c r="D124" s="3" t="s">
        <v>841</v>
      </c>
      <c r="E124" s="3" t="s">
        <v>725</v>
      </c>
      <c r="G124" s="8" t="str">
        <f>IFERROR(__xludf.DUMMYFUNCTION("GOOGLETRANSLATE(A124, ""en"", ""hi"")"),"123")</f>
        <v>123</v>
      </c>
      <c r="H124" s="8" t="str">
        <f>IFERROR(__xludf.DUMMYFUNCTION("GOOGLETRANSLATE(B124, ""en"", ""hi"")"),"शतरंज_31")</f>
        <v>शतरंज_31</v>
      </c>
      <c r="I124" s="8" t="str">
        <f>IFERROR(__xludf.DUMMYFUNCTION("GOOGLETRANSLATE(C124, ""en"", ""hi"")"),"चित्र में दिखाए गए खेल के लिए, कौन सा मोहरा बोर्ड पर सबसे शक्तिशाली मोहरा माना जाता है?")</f>
        <v>चित्र में दिखाए गए खेल के लिए, कौन सा मोहरा बोर्ड पर सबसे शक्तिशाली मोहरा माना जाता है?</v>
      </c>
      <c r="J124" s="8" t="str">
        <f>IFERROR(__xludf.DUMMYFUNCTION("GOOGLETRANSLATE(D124, ""en"", ""hi"")"),"A) राजा, B) रानी, ​​C) किश्ती, D) बिशप")</f>
        <v>A) राजा, B) रानी, ​​C) किश्ती, D) बिशप</v>
      </c>
      <c r="K124" s="8" t="str">
        <f>IFERROR(__xludf.DUMMYFUNCTION("GOOGLETRANSLATE(E124, ""en"", ""hi"")"),"बी) रानी")</f>
        <v>बी) रानी</v>
      </c>
    </row>
    <row r="125" ht="22.5" customHeight="1">
      <c r="A125" s="2">
        <v>124.0</v>
      </c>
      <c r="B125" s="3" t="s">
        <v>837</v>
      </c>
      <c r="C125" s="3" t="s">
        <v>842</v>
      </c>
      <c r="D125" s="3" t="s">
        <v>51</v>
      </c>
      <c r="E125" s="3" t="s">
        <v>52</v>
      </c>
      <c r="G125" s="8" t="str">
        <f>IFERROR(__xludf.DUMMYFUNCTION("GOOGLETRANSLATE(A125, ""en"", ""hi"")"),"124")</f>
        <v>124</v>
      </c>
      <c r="H125" s="8" t="str">
        <f>IFERROR(__xludf.DUMMYFUNCTION("GOOGLETRANSLATE(B125, ""en"", ""hi"")"),"शतरंज_31")</f>
        <v>शतरंज_31</v>
      </c>
      <c r="I125" s="8" t="str">
        <f>IFERROR(__xludf.DUMMYFUNCTION("GOOGLETRANSLATE(C125, ""en"", ""hi"")"),"चित्र में दिखाए गए खेल में प्रत्येक खिलाड़ी कितने घोड़ों के साथ खेल शुरू करता है?")</f>
        <v>चित्र में दिखाए गए खेल में प्रत्येक खिलाड़ी कितने घोड़ों के साथ खेल शुरू करता है?</v>
      </c>
      <c r="J125" s="8" t="str">
        <f>IFERROR(__xludf.DUMMYFUNCTION("GOOGLETRANSLATE(D125, ""en"", ""hi"")"),"ए) 1, बी) 2, सी) 3, डी) 4")</f>
        <v>ए) 1, बी) 2, सी) 3, डी) 4</v>
      </c>
      <c r="K125" s="8" t="str">
        <f>IFERROR(__xludf.DUMMYFUNCTION("GOOGLETRANSLATE(E125, ""en"", ""hi"")"),"बी) 2")</f>
        <v>बी) 2</v>
      </c>
    </row>
    <row r="126" ht="22.5" customHeight="1">
      <c r="A126" s="2">
        <v>125.0</v>
      </c>
      <c r="B126" s="3" t="s">
        <v>843</v>
      </c>
      <c r="C126" s="3" t="s">
        <v>844</v>
      </c>
      <c r="D126" s="3" t="s">
        <v>845</v>
      </c>
      <c r="E126" s="3" t="s">
        <v>846</v>
      </c>
      <c r="G126" s="8" t="str">
        <f>IFERROR(__xludf.DUMMYFUNCTION("GOOGLETRANSLATE(A126, ""en"", ""hi"")"),"125")</f>
        <v>125</v>
      </c>
      <c r="H126" s="8" t="str">
        <f>IFERROR(__xludf.DUMMYFUNCTION("GOOGLETRANSLATE(B126, ""en"", ""hi"")"),"शतरंज_32")</f>
        <v>शतरंज_32</v>
      </c>
      <c r="I126" s="8" t="str">
        <f>IFERROR(__xludf.DUMMYFUNCTION("GOOGLETRANSLATE(C126, ""en"", ""hi"")"),"चित्र में दिखाए गए खेल के लिए, उस स्थिति को क्या कहा जाता है, जहां खिलाड़ी के पास कोई वैध चाल नहीं होती, लेकिन उसका राजा शह में नहीं होता?")</f>
        <v>चित्र में दिखाए गए खेल के लिए, उस स्थिति को क्या कहा जाता है, जहां खिलाड़ी के पास कोई वैध चाल नहीं होती, लेकिन उसका राजा शह में नहीं होता?</v>
      </c>
      <c r="J126" s="8" t="str">
        <f>IFERROR(__xludf.DUMMYFUNCTION("GOOGLETRANSLATE(D126, ""en"", ""hi"")"),"A) गतिरोध, B) शह और मात, C) त्यागपत्र, D) बराबरी")</f>
        <v>A) गतिरोध, B) शह और मात, C) त्यागपत्र, D) बराबरी</v>
      </c>
      <c r="K126" s="8" t="str">
        <f>IFERROR(__xludf.DUMMYFUNCTION("GOOGLETRANSLATE(E126, ""en"", ""hi"")"),"A) गतिरोध")</f>
        <v>A) गतिरोध</v>
      </c>
    </row>
    <row r="127" ht="22.5" customHeight="1">
      <c r="A127" s="2">
        <v>126.0</v>
      </c>
      <c r="B127" s="3" t="s">
        <v>843</v>
      </c>
      <c r="C127" s="3" t="s">
        <v>847</v>
      </c>
      <c r="D127" s="3" t="s">
        <v>848</v>
      </c>
      <c r="E127" s="3" t="s">
        <v>849</v>
      </c>
      <c r="G127" s="8" t="str">
        <f>IFERROR(__xludf.DUMMYFUNCTION("GOOGLETRANSLATE(A127, ""en"", ""hi"")"),"126")</f>
        <v>126</v>
      </c>
      <c r="H127" s="8" t="str">
        <f>IFERROR(__xludf.DUMMYFUNCTION("GOOGLETRANSLATE(B127, ""en"", ""hi"")"),"शतरंज_32")</f>
        <v>शतरंज_32</v>
      </c>
      <c r="I127" s="8" t="str">
        <f>IFERROR(__xludf.DUMMYFUNCTION("GOOGLETRANSLATE(C127, ""en"", ""hi"")"),"चित्र में दिखाए गए खेल में, यदि किसी खिलाड़ी का मोहरा अंतिम रैंक पर पहुंच जाए तो क्या होगा?")</f>
        <v>चित्र में दिखाए गए खेल में, यदि किसी खिलाड़ी का मोहरा अंतिम रैंक पर पहुंच जाए तो क्या होगा?</v>
      </c>
      <c r="J127" s="8" t="str">
        <f>IFERROR(__xludf.DUMMYFUNCTION("GOOGLETRANSLATE(D127, ""en"", ""hi"")"),"A) इसे खेल से हटा दिया जाता है, B) इसे दूसरे मोहरे में शामिल कर लिया जाता है, C) यह पीछे की ओर चला जाता है, D) यह मोहरा बना रहता है")</f>
        <v>A) इसे खेल से हटा दिया जाता है, B) इसे दूसरे मोहरे में शामिल कर लिया जाता है, C) यह पीछे की ओर चला जाता है, D) यह मोहरा बना रहता है</v>
      </c>
      <c r="K127" s="8" t="str">
        <f>IFERROR(__xludf.DUMMYFUNCTION("GOOGLETRANSLATE(E127, ""en"", ""hi"")"),"B) यह किसी अन्य टुकड़े को बढ़ावा देता है")</f>
        <v>B) यह किसी अन्य टुकड़े को बढ़ावा देता है</v>
      </c>
    </row>
    <row r="128" ht="22.5" customHeight="1">
      <c r="A128" s="2">
        <v>127.0</v>
      </c>
      <c r="B128" s="3" t="s">
        <v>843</v>
      </c>
      <c r="C128" s="3" t="s">
        <v>850</v>
      </c>
      <c r="D128" s="3" t="s">
        <v>851</v>
      </c>
      <c r="E128" s="3" t="s">
        <v>852</v>
      </c>
      <c r="G128" s="8" t="str">
        <f>IFERROR(__xludf.DUMMYFUNCTION("GOOGLETRANSLATE(A128, ""en"", ""hi"")"),"127")</f>
        <v>127</v>
      </c>
      <c r="H128" s="8" t="str">
        <f>IFERROR(__xludf.DUMMYFUNCTION("GOOGLETRANSLATE(B128, ""en"", ""hi"")"),"शतरंज_32")</f>
        <v>शतरंज_32</v>
      </c>
      <c r="I128" s="8" t="str">
        <f>IFERROR(__xludf.DUMMYFUNCTION("GOOGLETRANSLATE(C128, ""en"", ""hi"")"),"चित्र में दिखाए गए खेल के लिए, जब दो मोहरे एक ही वर्ग पर आक्रमण करते हैं तो उसे क्या कहते हैं?")</f>
        <v>चित्र में दिखाए गए खेल के लिए, जब दो मोहरे एक ही वर्ग पर आक्रमण करते हैं तो उसे क्या कहते हैं?</v>
      </c>
      <c r="J128" s="8" t="str">
        <f>IFERROR(__xludf.DUMMYFUNCTION("GOOGLETRANSLATE(D128, ""en"", ""hi"")"),"A) कांटा, B) पिन, C) कटार, D) दोहरा हमला")</f>
        <v>A) कांटा, B) पिन, C) कटार, D) दोहरा हमला</v>
      </c>
      <c r="K128" s="8" t="str">
        <f>IFERROR(__xludf.DUMMYFUNCTION("GOOGLETRANSLATE(E128, ""en"", ""hi"")"),"D) दोहरा हमला")</f>
        <v>D) दोहरा हमला</v>
      </c>
    </row>
    <row r="129" ht="22.5" customHeight="1">
      <c r="A129" s="2">
        <v>128.0</v>
      </c>
      <c r="B129" s="3" t="s">
        <v>843</v>
      </c>
      <c r="C129" s="3" t="s">
        <v>853</v>
      </c>
      <c r="D129" s="3" t="s">
        <v>854</v>
      </c>
      <c r="E129" s="3" t="s">
        <v>699</v>
      </c>
      <c r="G129" s="8" t="str">
        <f>IFERROR(__xludf.DUMMYFUNCTION("GOOGLETRANSLATE(A129, ""en"", ""hi"")"),"128")</f>
        <v>128</v>
      </c>
      <c r="H129" s="8" t="str">
        <f>IFERROR(__xludf.DUMMYFUNCTION("GOOGLETRANSLATE(B129, ""en"", ""hi"")"),"शतरंज_32")</f>
        <v>शतरंज_32</v>
      </c>
      <c r="I129" s="8" t="str">
        <f>IFERROR(__xludf.DUMMYFUNCTION("GOOGLETRANSLATE(C129, ""en"", ""hi"")"),"चित्र में दिखाए गए खेल के लिए, कौन सा टुकड़ा तिरछे चलने से प्रतिबंधित है?")</f>
        <v>चित्र में दिखाए गए खेल के लिए, कौन सा टुकड़ा तिरछे चलने से प्रतिबंधित है?</v>
      </c>
      <c r="J129" s="8" t="str">
        <f>IFERROR(__xludf.DUMMYFUNCTION("GOOGLETRANSLATE(D129, ""en"", ""hi"")"),"A) रानी, ​​B) किश्ती, C) बिशप, D) राजा")</f>
        <v>A) रानी, ​​B) किश्ती, C) बिशप, D) राजा</v>
      </c>
      <c r="K129" s="8" t="str">
        <f>IFERROR(__xludf.DUMMYFUNCTION("GOOGLETRANSLATE(E129, ""en"", ""hi"")"),"बी) रूक")</f>
        <v>बी) रूक</v>
      </c>
    </row>
    <row r="130" ht="22.5" customHeight="1">
      <c r="A130" s="2">
        <v>129.0</v>
      </c>
      <c r="B130" s="3" t="s">
        <v>855</v>
      </c>
      <c r="C130" s="3" t="s">
        <v>856</v>
      </c>
      <c r="D130" s="3" t="s">
        <v>857</v>
      </c>
      <c r="E130" s="3" t="s">
        <v>858</v>
      </c>
      <c r="G130" s="8" t="str">
        <f>IFERROR(__xludf.DUMMYFUNCTION("GOOGLETRANSLATE(A130, ""en"", ""hi"")"),"129")</f>
        <v>129</v>
      </c>
      <c r="H130" s="8" t="str">
        <f>IFERROR(__xludf.DUMMYFUNCTION("GOOGLETRANSLATE(B130, ""en"", ""hi"")"),"शतरंज_33")</f>
        <v>शतरंज_33</v>
      </c>
      <c r="I130" s="8" t="str">
        <f>IFERROR(__xludf.DUMMYFUNCTION("GOOGLETRANSLATE(C130, ""en"", ""hi"")"),"चित्र में दिखाए गए खेल के लिए, राजा को दो वर्ग दूर किश्ती की ओर ले जाने तथा किश्ती को राजा के बगल में ले जाने के लिए क्या शब्द है?")</f>
        <v>चित्र में दिखाए गए खेल के लिए, राजा को दो वर्ग दूर किश्ती की ओर ले जाने तथा किश्ती को राजा के बगल में ले जाने के लिए क्या शब्द है?</v>
      </c>
      <c r="J130" s="8" t="str">
        <f>IFERROR(__xludf.DUMMYFUNCTION("GOOGLETRANSLATE(D130, ""en"", ""hi"")"),"ए) प्रमोशन, बी) एन पासेंट, सी) कैसलिंग, डी) फोर्क")</f>
        <v>ए) प्रमोशन, बी) एन पासेंट, सी) कैसलिंग, डी) फोर्क</v>
      </c>
      <c r="K130" s="8" t="str">
        <f>IFERROR(__xludf.DUMMYFUNCTION("GOOGLETRANSLATE(E130, ""en"", ""hi"")"),"सी) कैसलिंग")</f>
        <v>सी) कैसलिंग</v>
      </c>
    </row>
    <row r="131" ht="22.5" customHeight="1">
      <c r="A131" s="2">
        <v>130.0</v>
      </c>
      <c r="B131" s="3" t="s">
        <v>855</v>
      </c>
      <c r="C131" s="3" t="s">
        <v>859</v>
      </c>
      <c r="D131" s="3" t="s">
        <v>860</v>
      </c>
      <c r="E131" s="3" t="s">
        <v>690</v>
      </c>
      <c r="G131" s="8" t="str">
        <f>IFERROR(__xludf.DUMMYFUNCTION("GOOGLETRANSLATE(A131, ""en"", ""hi"")"),"130")</f>
        <v>130</v>
      </c>
      <c r="H131" s="8" t="str">
        <f>IFERROR(__xludf.DUMMYFUNCTION("GOOGLETRANSLATE(B131, ""en"", ""hi"")"),"शतरंज_33")</f>
        <v>शतरंज_33</v>
      </c>
      <c r="I131" s="8" t="str">
        <f>IFERROR(__xludf.DUMMYFUNCTION("GOOGLETRANSLATE(C131, ""en"", ""hi"")"),"चित्र में दिखाए गए खेल में, फूल्स मेट में कौन सा मोहरा चेकमेट देता है?")</f>
        <v>चित्र में दिखाए गए खेल में, फूल्स मेट में कौन सा मोहरा चेकमेट देता है?</v>
      </c>
      <c r="J131" s="8" t="str">
        <f>IFERROR(__xludf.DUMMYFUNCTION("GOOGLETRANSLATE(D131, ""en"", ""hi"")"),"A) रानी, ​​B) किश्ती, C) प्यादा, D) घोड़ा")</f>
        <v>A) रानी, ​​B) किश्ती, C) प्यादा, D) घोड़ा</v>
      </c>
      <c r="K131" s="8" t="str">
        <f>IFERROR(__xludf.DUMMYFUNCTION("GOOGLETRANSLATE(E131, ""en"", ""hi"")"),"ए) रानी")</f>
        <v>ए) रानी</v>
      </c>
    </row>
    <row r="132" ht="22.5" customHeight="1">
      <c r="A132" s="2">
        <v>131.0</v>
      </c>
      <c r="B132" s="3" t="s">
        <v>855</v>
      </c>
      <c r="C132" s="3" t="s">
        <v>861</v>
      </c>
      <c r="D132" s="3" t="s">
        <v>862</v>
      </c>
      <c r="E132" s="3" t="s">
        <v>863</v>
      </c>
      <c r="G132" s="8" t="str">
        <f>IFERROR(__xludf.DUMMYFUNCTION("GOOGLETRANSLATE(A132, ""en"", ""hi"")"),"131")</f>
        <v>131</v>
      </c>
      <c r="H132" s="8" t="str">
        <f>IFERROR(__xludf.DUMMYFUNCTION("GOOGLETRANSLATE(B132, ""en"", ""hi"")"),"शतरंज_33")</f>
        <v>शतरंज_33</v>
      </c>
      <c r="I132" s="8" t="str">
        <f>IFERROR(__xludf.DUMMYFUNCTION("GOOGLETRANSLATE(C132, ""en"", ""hi"")"),"चित्र में दिखाए गए खेल में, किस मोहरे में अन्य मोहरों के ऊपर से कूदने की क्षमता है?")</f>
        <v>चित्र में दिखाए गए खेल में, किस मोहरे में अन्य मोहरों के ऊपर से कूदने की क्षमता है?</v>
      </c>
      <c r="J132" s="8" t="str">
        <f>IFERROR(__xludf.DUMMYFUNCTION("GOOGLETRANSLATE(D132, ""en"", ""hi"")"),"A) नाइट, B) बिशप, C) रूक, D) क्वीन")</f>
        <v>A) नाइट, B) बिशप, C) रूक, D) क्वीन</v>
      </c>
      <c r="K132" s="8" t="str">
        <f>IFERROR(__xludf.DUMMYFUNCTION("GOOGLETRANSLATE(E132, ""en"", ""hi"")"),"ए) नाइट")</f>
        <v>ए) नाइट</v>
      </c>
    </row>
    <row r="133" ht="22.5" customHeight="1">
      <c r="A133" s="2">
        <v>132.0</v>
      </c>
      <c r="B133" s="3" t="s">
        <v>855</v>
      </c>
      <c r="C133" s="3" t="s">
        <v>864</v>
      </c>
      <c r="D133" s="3" t="s">
        <v>865</v>
      </c>
      <c r="E133" s="3" t="s">
        <v>866</v>
      </c>
      <c r="G133" s="8" t="str">
        <f>IFERROR(__xludf.DUMMYFUNCTION("GOOGLETRANSLATE(A133, ""en"", ""hi"")"),"132")</f>
        <v>132</v>
      </c>
      <c r="H133" s="8" t="str">
        <f>IFERROR(__xludf.DUMMYFUNCTION("GOOGLETRANSLATE(B133, ""en"", ""hi"")"),"शतरंज_33")</f>
        <v>शतरंज_33</v>
      </c>
      <c r="I133" s="8" t="str">
        <f>IFERROR(__xludf.DUMMYFUNCTION("GOOGLETRANSLATE(C133, ""en"", ""hi"")"),"चित्र में दिखाए गए खेल के लिए, कैसलिंग प्रक्रिया के दौरान राजा और किश्ती के एक ही पंक्ति में होने को क्या कहते हैं?")</f>
        <v>चित्र में दिखाए गए खेल के लिए, कैसलिंग प्रक्रिया के दौरान राजा और किश्ती के एक ही पंक्ति में होने को क्या कहते हैं?</v>
      </c>
      <c r="J133" s="8" t="str">
        <f>IFERROR(__xludf.DUMMYFUNCTION("GOOGLETRANSLATE(D133, ""en"", ""hi"")"),"A) रैंक, B) फ़ाइल, C) लाइन, D) कॉलम")</f>
        <v>A) रैंक, B) फ़ाइल, C) लाइन, D) कॉलम</v>
      </c>
      <c r="K133" s="8" t="str">
        <f>IFERROR(__xludf.DUMMYFUNCTION("GOOGLETRANSLATE(E133, ""en"", ""hi"")"),"बी) फ़ाइल")</f>
        <v>बी) फ़ाइल</v>
      </c>
    </row>
    <row r="134" ht="22.5" customHeight="1">
      <c r="A134" s="2">
        <v>133.0</v>
      </c>
      <c r="B134" s="3" t="s">
        <v>867</v>
      </c>
      <c r="C134" s="3" t="s">
        <v>868</v>
      </c>
      <c r="D134" s="3" t="s">
        <v>869</v>
      </c>
      <c r="E134" s="3" t="s">
        <v>870</v>
      </c>
      <c r="G134" s="8" t="str">
        <f>IFERROR(__xludf.DUMMYFUNCTION("GOOGLETRANSLATE(A134, ""en"", ""hi"")"),"133")</f>
        <v>133</v>
      </c>
      <c r="H134" s="8" t="str">
        <f>IFERROR(__xludf.DUMMYFUNCTION("GOOGLETRANSLATE(B134, ""en"", ""hi"")"),"शतरंज_34")</f>
        <v>शतरंज_34</v>
      </c>
      <c r="I134" s="8" t="str">
        <f>IFERROR(__xludf.DUMMYFUNCTION("GOOGLETRANSLATE(C134, ""en"", ""hi"")"),"चित्र में दिखाए गए खेल में, क्या होता है जब एक मोहरा एन पासेंट नियम का उपयोग करके प्रतिद्वंद्वी के मोहरे को पकड़ लेता है?")</f>
        <v>चित्र में दिखाए गए खेल में, क्या होता है जब एक मोहरा एन पासेंट नियम का उपयोग करके प्रतिद्वंद्वी के मोहरे को पकड़ लेता है?</v>
      </c>
      <c r="J134" s="8" t="str">
        <f>IFERROR(__xludf.DUMMYFUNCTION("GOOGLETRANSLATE(D134, ""en"", ""hi"")"),"A) मोहरा आगे बढ़ता है, B) मोहरा तिरछा चलता है, C) मोहरा क्षैतिज चलता है, D) मोहरा दो खाने चलता है")</f>
        <v>A) मोहरा आगे बढ़ता है, B) मोहरा तिरछा चलता है, C) मोहरा क्षैतिज चलता है, D) मोहरा दो खाने चलता है</v>
      </c>
      <c r="K134" s="8" t="str">
        <f>IFERROR(__xludf.DUMMYFUNCTION("GOOGLETRANSLATE(E134, ""en"", ""hi"")"),"B) मोहरा तिरछे चलता है")</f>
        <v>B) मोहरा तिरछे चलता है</v>
      </c>
    </row>
    <row r="135" ht="22.5" customHeight="1">
      <c r="A135" s="2">
        <v>134.0</v>
      </c>
      <c r="B135" s="3" t="s">
        <v>867</v>
      </c>
      <c r="C135" s="3" t="s">
        <v>871</v>
      </c>
      <c r="D135" s="3" t="s">
        <v>872</v>
      </c>
      <c r="E135" s="3" t="s">
        <v>709</v>
      </c>
      <c r="G135" s="8" t="str">
        <f>IFERROR(__xludf.DUMMYFUNCTION("GOOGLETRANSLATE(A135, ""en"", ""hi"")"),"134")</f>
        <v>134</v>
      </c>
      <c r="H135" s="8" t="str">
        <f>IFERROR(__xludf.DUMMYFUNCTION("GOOGLETRANSLATE(B135, ""en"", ""hi"")"),"शतरंज_34")</f>
        <v>शतरंज_34</v>
      </c>
      <c r="I135" s="8" t="str">
        <f>IFERROR(__xludf.DUMMYFUNCTION("GOOGLETRANSLATE(C135, ""en"", ""hi"")"),"चित्र में दिखाए गए खेल के लिए, एक ही समय में एक ही टुकड़े से दो टुकड़ों पर हमला करने को क्या कहते हैं?")</f>
        <v>चित्र में दिखाए गए खेल के लिए, एक ही समय में एक ही टुकड़े से दो टुकड़ों पर हमला करने को क्या कहते हैं?</v>
      </c>
      <c r="J135" s="8" t="str">
        <f>IFERROR(__xludf.DUMMYFUNCTION("GOOGLETRANSLATE(D135, ""en"", ""hi"")"),"A) पिन, B) कांटा, C) कटार, D) दोहरा हमला")</f>
        <v>A) पिन, B) कांटा, C) कटार, D) दोहरा हमला</v>
      </c>
      <c r="K135" s="8" t="str">
        <f>IFERROR(__xludf.DUMMYFUNCTION("GOOGLETRANSLATE(E135, ""en"", ""hi"")"),"बी) कांटा")</f>
        <v>बी) कांटा</v>
      </c>
    </row>
    <row r="136" ht="22.5" customHeight="1">
      <c r="A136" s="2">
        <v>135.0</v>
      </c>
      <c r="B136" s="3" t="s">
        <v>867</v>
      </c>
      <c r="C136" s="3" t="s">
        <v>873</v>
      </c>
      <c r="D136" s="3" t="s">
        <v>874</v>
      </c>
      <c r="E136" s="3" t="s">
        <v>875</v>
      </c>
      <c r="G136" s="8" t="str">
        <f>IFERROR(__xludf.DUMMYFUNCTION("GOOGLETRANSLATE(A136, ""en"", ""hi"")"),"135")</f>
        <v>135</v>
      </c>
      <c r="H136" s="8" t="str">
        <f>IFERROR(__xludf.DUMMYFUNCTION("GOOGLETRANSLATE(B136, ""en"", ""hi"")"),"शतरंज_34")</f>
        <v>शतरंज_34</v>
      </c>
      <c r="I136" s="8" t="str">
        <f>IFERROR(__xludf.DUMMYFUNCTION("GOOGLETRANSLATE(C136, ""en"", ""hi"")"),"चित्र में दिखाए गए खेल में, एक किश्ती एक बार में अधिकतम कितने वर्ग तक जा सकता है?")</f>
        <v>चित्र में दिखाए गए खेल में, एक किश्ती एक बार में अधिकतम कितने वर्ग तक जा सकता है?</v>
      </c>
      <c r="J136" s="8" t="str">
        <f>IFERROR(__xludf.DUMMYFUNCTION("GOOGLETRANSLATE(D136, ""en"", ""hi"")"),"ए) 7, बी) 8, सी) 9, डी) असीमित")</f>
        <v>ए) 7, बी) 8, सी) 9, डी) असीमित</v>
      </c>
      <c r="K136" s="8" t="str">
        <f>IFERROR(__xludf.DUMMYFUNCTION("GOOGLETRANSLATE(E136, ""en"", ""hi"")"),"ए) 7")</f>
        <v>ए) 7</v>
      </c>
    </row>
    <row r="137" ht="22.5" customHeight="1">
      <c r="A137" s="2">
        <v>136.0</v>
      </c>
      <c r="B137" s="3" t="s">
        <v>867</v>
      </c>
      <c r="C137" s="3" t="s">
        <v>876</v>
      </c>
      <c r="D137" s="3" t="s">
        <v>877</v>
      </c>
      <c r="E137" s="3" t="s">
        <v>783</v>
      </c>
      <c r="G137" s="8" t="str">
        <f>IFERROR(__xludf.DUMMYFUNCTION("GOOGLETRANSLATE(A137, ""en"", ""hi"")"),"136")</f>
        <v>136</v>
      </c>
      <c r="H137" s="8" t="str">
        <f>IFERROR(__xludf.DUMMYFUNCTION("GOOGLETRANSLATE(B137, ""en"", ""hi"")"),"शतरंज_34")</f>
        <v>शतरंज_34</v>
      </c>
      <c r="I137" s="8" t="str">
        <f>IFERROR(__xludf.DUMMYFUNCTION("GOOGLETRANSLATE(C137, ""en"", ""hi"")"),"चित्र में दिखाए गए खेल में कौन सा मोहरा केवल तिरछे ही चल सकता है?")</f>
        <v>चित्र में दिखाए गए खेल में कौन सा मोहरा केवल तिरछे ही चल सकता है?</v>
      </c>
      <c r="J137" s="8" t="str">
        <f>IFERROR(__xludf.DUMMYFUNCTION("GOOGLETRANSLATE(D137, ""en"", ""hi"")"),"A) घोड़ा, B) रानी, ​​C) बिशप, D) रूक")</f>
        <v>A) घोड़ा, B) रानी, ​​C) बिशप, D) रूक</v>
      </c>
      <c r="K137" s="8" t="str">
        <f>IFERROR(__xludf.DUMMYFUNCTION("GOOGLETRANSLATE(E137, ""en"", ""hi"")"),"C) बिशप")</f>
        <v>C) बिशप</v>
      </c>
    </row>
    <row r="138" ht="22.5" customHeight="1">
      <c r="A138" s="2">
        <v>137.0</v>
      </c>
      <c r="B138" s="3" t="s">
        <v>878</v>
      </c>
      <c r="C138" s="3" t="s">
        <v>779</v>
      </c>
      <c r="D138" s="3" t="s">
        <v>780</v>
      </c>
      <c r="E138" s="3" t="s">
        <v>548</v>
      </c>
      <c r="G138" s="8" t="str">
        <f>IFERROR(__xludf.DUMMYFUNCTION("GOOGLETRANSLATE(A138, ""en"", ""hi"")"),"137")</f>
        <v>137</v>
      </c>
      <c r="H138" s="8" t="str">
        <f>IFERROR(__xludf.DUMMYFUNCTION("GOOGLETRANSLATE(B138, ""en"", ""hi"")"),"शतरंज_35")</f>
        <v>शतरंज_35</v>
      </c>
      <c r="I138" s="8" t="str">
        <f>IFERROR(__xludf.DUMMYFUNCTION("GOOGLETRANSLATE(C138, ""en"", ""hi"")"),"चित्र में दिखाए गए खेल में प्रत्येक खिलाड़ी कितने मोहरों के साथ खेल शुरू करता है?")</f>
        <v>चित्र में दिखाए गए खेल में प्रत्येक खिलाड़ी कितने मोहरों के साथ खेल शुरू करता है?</v>
      </c>
      <c r="J138" s="8" t="str">
        <f>IFERROR(__xludf.DUMMYFUNCTION("GOOGLETRANSLATE(D138, ""en"", ""hi"")"),"ए) 6, बी) 7, सी) 8, डी) 9")</f>
        <v>ए) 6, बी) 7, सी) 8, डी) 9</v>
      </c>
      <c r="K138" s="8" t="str">
        <f>IFERROR(__xludf.DUMMYFUNCTION("GOOGLETRANSLATE(E138, ""en"", ""hi"")"),"सी) 8")</f>
        <v>सी) 8</v>
      </c>
    </row>
    <row r="139" ht="22.5" customHeight="1">
      <c r="A139" s="2">
        <v>138.0</v>
      </c>
      <c r="B139" s="3" t="s">
        <v>878</v>
      </c>
      <c r="C139" s="3" t="s">
        <v>879</v>
      </c>
      <c r="D139" s="3" t="s">
        <v>880</v>
      </c>
      <c r="E139" s="3" t="s">
        <v>881</v>
      </c>
      <c r="G139" s="8" t="str">
        <f>IFERROR(__xludf.DUMMYFUNCTION("GOOGLETRANSLATE(A139, ""en"", ""hi"")"),"138")</f>
        <v>138</v>
      </c>
      <c r="H139" s="8" t="str">
        <f>IFERROR(__xludf.DUMMYFUNCTION("GOOGLETRANSLATE(B139, ""en"", ""hi"")"),"शतरंज_35")</f>
        <v>शतरंज_35</v>
      </c>
      <c r="I139" s="8" t="str">
        <f>IFERROR(__xludf.DUMMYFUNCTION("GOOGLETRANSLATE(C139, ""en"", ""hi"")"),"चित्र में दिखाए गए खेल में 'कैसलिंग' का कौन सा भाग शामिल है?")</f>
        <v>चित्र में दिखाए गए खेल में 'कैसलिंग' का कौन सा भाग शामिल है?</v>
      </c>
      <c r="J139" s="8" t="str">
        <f>IFERROR(__xludf.DUMMYFUNCTION("GOOGLETRANSLATE(D139, ""en"", ""hi"")"),"A) रानी, ​​B) बिशप, C) नाइट, D) राजा")</f>
        <v>A) रानी, ​​B) बिशप, C) नाइट, D) राजा</v>
      </c>
      <c r="K139" s="8" t="str">
        <f>IFERROR(__xludf.DUMMYFUNCTION("GOOGLETRANSLATE(E139, ""en"", ""hi"")"),"D) राजा")</f>
        <v>D) राजा</v>
      </c>
    </row>
    <row r="140" ht="22.5" customHeight="1">
      <c r="A140" s="2">
        <v>139.0</v>
      </c>
      <c r="B140" s="3" t="s">
        <v>878</v>
      </c>
      <c r="C140" s="3" t="s">
        <v>882</v>
      </c>
      <c r="D140" s="3" t="s">
        <v>883</v>
      </c>
      <c r="E140" s="3" t="s">
        <v>884</v>
      </c>
      <c r="G140" s="8" t="str">
        <f>IFERROR(__xludf.DUMMYFUNCTION("GOOGLETRANSLATE(A140, ""en"", ""hi"")"),"139")</f>
        <v>139</v>
      </c>
      <c r="H140" s="8" t="str">
        <f>IFERROR(__xludf.DUMMYFUNCTION("GOOGLETRANSLATE(B140, ""en"", ""hi"")"),"शतरंज_35")</f>
        <v>शतरंज_35</v>
      </c>
      <c r="I140" s="8" t="str">
        <f>IFERROR(__xludf.DUMMYFUNCTION("GOOGLETRANSLATE(C140, ""en"", ""hi"")"),"चित्र में दिखाए गए खेल के लिए, मानक शतरंज के मोहरों के मूल्यों में मोहरे का मूल्य क्या है?")</f>
        <v>चित्र में दिखाए गए खेल के लिए, मानक शतरंज के मोहरों के मूल्यों में मोहरे का मूल्य क्या है?</v>
      </c>
      <c r="J140" s="8" t="str">
        <f>IFERROR(__xludf.DUMMYFUNCTION("GOOGLETRANSLATE(D140, ""en"", ""hi"")"),"ए) 1, बी) 3, सी) 5, डी) 9")</f>
        <v>ए) 1, बी) 3, सी) 5, डी) 9</v>
      </c>
      <c r="K140" s="8" t="str">
        <f>IFERROR(__xludf.DUMMYFUNCTION("GOOGLETRANSLATE(E140, ""en"", ""hi"")"),"ए) 1")</f>
        <v>ए) 1</v>
      </c>
    </row>
    <row r="141" ht="22.5" customHeight="1">
      <c r="A141" s="2">
        <v>140.0</v>
      </c>
      <c r="B141" s="3" t="s">
        <v>878</v>
      </c>
      <c r="C141" s="3" t="s">
        <v>885</v>
      </c>
      <c r="D141" s="3" t="s">
        <v>886</v>
      </c>
      <c r="E141" s="3" t="s">
        <v>887</v>
      </c>
      <c r="G141" s="8" t="str">
        <f>IFERROR(__xludf.DUMMYFUNCTION("GOOGLETRANSLATE(A141, ""en"", ""hi"")"),"140")</f>
        <v>140</v>
      </c>
      <c r="H141" s="8" t="str">
        <f>IFERROR(__xludf.DUMMYFUNCTION("GOOGLETRANSLATE(B141, ""en"", ""hi"")"),"शतरंज_35")</f>
        <v>शतरंज_35</v>
      </c>
      <c r="I141" s="8" t="str">
        <f>IFERROR(__xludf.DUMMYFUNCTION("GOOGLETRANSLATE(C141, ""en"", ""hi"")"),"चित्र में दिखाए गए खेल में कौन सा मोहरा सीधी रेखा में नहीं चल सकता है?")</f>
        <v>चित्र में दिखाए गए खेल में कौन सा मोहरा सीधी रेखा में नहीं चल सकता है?</v>
      </c>
      <c r="J141" s="8" t="str">
        <f>IFERROR(__xludf.DUMMYFUNCTION("GOOGLETRANSLATE(D141, ""en"", ""hi"")"),"A) बिशप, B) नाइट, C) क्वीन, D) रूक")</f>
        <v>A) बिशप, B) नाइट, C) क्वीन, D) रूक</v>
      </c>
      <c r="K141" s="8" t="str">
        <f>IFERROR(__xludf.DUMMYFUNCTION("GOOGLETRANSLATE(E141, ""en"", ""hi"")"),"बी) नाइट")</f>
        <v>बी) नाइट</v>
      </c>
    </row>
    <row r="142" ht="22.5" customHeight="1">
      <c r="A142" s="2">
        <v>141.0</v>
      </c>
      <c r="B142" s="3" t="s">
        <v>888</v>
      </c>
      <c r="C142" s="3" t="s">
        <v>889</v>
      </c>
      <c r="D142" s="3" t="s">
        <v>890</v>
      </c>
      <c r="E142" s="3" t="s">
        <v>891</v>
      </c>
      <c r="G142" s="8" t="str">
        <f>IFERROR(__xludf.DUMMYFUNCTION("GOOGLETRANSLATE(A142, ""en"", ""hi"")"),"141")</f>
        <v>141</v>
      </c>
      <c r="H142" s="8" t="str">
        <f>IFERROR(__xludf.DUMMYFUNCTION("GOOGLETRANSLATE(B142, ""en"", ""hi"")"),"शतरंज_36")</f>
        <v>शतरंज_36</v>
      </c>
      <c r="I142" s="8" t="str">
        <f>IFERROR(__xludf.DUMMYFUNCTION("GOOGLETRANSLATE(C142, ""en"", ""hi"")"),"चित्र में दिखाए गए खेल के लिए, बीजगणितीय संकेतन में नाइट चाल के लिए क्या संकेतन है?")</f>
        <v>चित्र में दिखाए गए खेल के लिए, बीजगणितीय संकेतन में नाइट चाल के लिए क्या संकेतन है?</v>
      </c>
      <c r="J142" s="8" t="str">
        <f>IFERROR(__xludf.DUMMYFUNCTION("GOOGLETRANSLATE(D142, ""en"", ""hi"")"),"ए) एन, बी) के, सी) आर, डी) क्यू")</f>
        <v>ए) एन, बी) के, सी) आर, डी) क्यू</v>
      </c>
      <c r="K142" s="8" t="str">
        <f>IFERROR(__xludf.DUMMYFUNCTION("GOOGLETRANSLATE(E142, ""en"", ""hi"")"),"एक")</f>
        <v>एक</v>
      </c>
    </row>
    <row r="143" ht="22.5" customHeight="1">
      <c r="A143" s="2">
        <v>142.0</v>
      </c>
      <c r="B143" s="3" t="s">
        <v>888</v>
      </c>
      <c r="C143" s="3" t="s">
        <v>892</v>
      </c>
      <c r="D143" s="3" t="s">
        <v>893</v>
      </c>
      <c r="E143" s="3" t="s">
        <v>725</v>
      </c>
      <c r="G143" s="8" t="str">
        <f>IFERROR(__xludf.DUMMYFUNCTION("GOOGLETRANSLATE(A143, ""en"", ""hi"")"),"142")</f>
        <v>142</v>
      </c>
      <c r="H143" s="8" t="str">
        <f>IFERROR(__xludf.DUMMYFUNCTION("GOOGLETRANSLATE(B143, ""en"", ""hi"")"),"शतरंज_36")</f>
        <v>शतरंज_36</v>
      </c>
      <c r="I143" s="8" t="str">
        <f>IFERROR(__xludf.DUMMYFUNCTION("GOOGLETRANSLATE(C143, ""en"", ""hi"")"),"चित्र में दिखाए गए खेल में कौन सा मोहरा बोर्ड के केंद्र से सबसे अधिक वर्गों को नियंत्रित कर सकता है?")</f>
        <v>चित्र में दिखाए गए खेल में कौन सा मोहरा बोर्ड के केंद्र से सबसे अधिक वर्गों को नियंत्रित कर सकता है?</v>
      </c>
      <c r="J143" s="8" t="str">
        <f>IFERROR(__xludf.DUMMYFUNCTION("GOOGLETRANSLATE(D143, ""en"", ""hi"")"),"A) बिशप, B) क्वीन, C) नाइट, D) रूक")</f>
        <v>A) बिशप, B) क्वीन, C) नाइट, D) रूक</v>
      </c>
      <c r="K143" s="8" t="str">
        <f>IFERROR(__xludf.DUMMYFUNCTION("GOOGLETRANSLATE(E143, ""en"", ""hi"")"),"बी) रानी")</f>
        <v>बी) रानी</v>
      </c>
    </row>
    <row r="144" ht="22.5" customHeight="1">
      <c r="A144" s="2">
        <v>143.0</v>
      </c>
      <c r="B144" s="3" t="s">
        <v>888</v>
      </c>
      <c r="C144" s="3" t="s">
        <v>894</v>
      </c>
      <c r="D144" s="3" t="s">
        <v>895</v>
      </c>
      <c r="E144" s="3" t="s">
        <v>896</v>
      </c>
      <c r="G144" s="8" t="str">
        <f>IFERROR(__xludf.DUMMYFUNCTION("GOOGLETRANSLATE(A144, ""en"", ""hi"")"),"143")</f>
        <v>143</v>
      </c>
      <c r="H144" s="8" t="str">
        <f>IFERROR(__xludf.DUMMYFUNCTION("GOOGLETRANSLATE(B144, ""en"", ""hi"")"),"शतरंज_36")</f>
        <v>शतरंज_36</v>
      </c>
      <c r="I144" s="8" t="str">
        <f>IFERROR(__xludf.DUMMYFUNCTION("GOOGLETRANSLATE(C144, ""en"", ""hi"")"),"चित्र में दिखाए गए खेल में, जब कोई खिलाड़ी स्थितिगत लाभ के लिए अपनी गोटी त्याग देता है तो उसे क्या कहते हैं?")</f>
        <v>चित्र में दिखाए गए खेल में, जब कोई खिलाड़ी स्थितिगत लाभ के लिए अपनी गोटी त्याग देता है तो उसे क्या कहते हैं?</v>
      </c>
      <c r="J144" s="8" t="str">
        <f>IFERROR(__xludf.DUMMYFUNCTION("GOOGLETRANSLATE(D144, ""en"", ""hi"")"),"A) गैम्बिट, B) पिन, C) स्क्यूअर, D) चेक")</f>
        <v>A) गैम्बिट, B) पिन, C) स्क्यूअर, D) चेक</v>
      </c>
      <c r="K144" s="8" t="str">
        <f>IFERROR(__xludf.DUMMYFUNCTION("GOOGLETRANSLATE(E144, ""en"", ""hi"")"),"ए) गैम्बिट")</f>
        <v>ए) गैम्बिट</v>
      </c>
    </row>
    <row r="145" ht="22.5" customHeight="1">
      <c r="A145" s="2">
        <v>144.0</v>
      </c>
      <c r="B145" s="3" t="s">
        <v>888</v>
      </c>
      <c r="C145" s="3" t="s">
        <v>897</v>
      </c>
      <c r="D145" s="3" t="s">
        <v>898</v>
      </c>
      <c r="E145" s="3" t="s">
        <v>786</v>
      </c>
      <c r="G145" s="8" t="str">
        <f>IFERROR(__xludf.DUMMYFUNCTION("GOOGLETRANSLATE(A145, ""en"", ""hi"")"),"144")</f>
        <v>144</v>
      </c>
      <c r="H145" s="8" t="str">
        <f>IFERROR(__xludf.DUMMYFUNCTION("GOOGLETRANSLATE(B145, ""en"", ""hi"")"),"शतरंज_36")</f>
        <v>शतरंज_36</v>
      </c>
      <c r="I145" s="8" t="str">
        <f>IFERROR(__xludf.DUMMYFUNCTION("GOOGLETRANSLATE(C145, ""en"", ""hi"")"),"चित्र में दिखाए गए खेल के लिए शतरंज की बिसात पर कुल कितने वर्ग हैं?")</f>
        <v>चित्र में दिखाए गए खेल के लिए शतरंज की बिसात पर कुल कितने वर्ग हैं?</v>
      </c>
      <c r="J145" s="8" t="str">
        <f>IFERROR(__xludf.DUMMYFUNCTION("GOOGLETRANSLATE(D145, ""en"", ""hi"")"),"ए) 64, बी) 72, सी) 80, डी) 100")</f>
        <v>ए) 64, बी) 72, सी) 80, डी) 100</v>
      </c>
      <c r="K145" s="8" t="str">
        <f>IFERROR(__xludf.DUMMYFUNCTION("GOOGLETRANSLATE(E145, ""en"", ""hi"")"),"ए) 64")</f>
        <v>ए) 64</v>
      </c>
    </row>
    <row r="146" ht="22.5" customHeight="1">
      <c r="A146" s="2">
        <v>145.0</v>
      </c>
      <c r="B146" s="3" t="s">
        <v>899</v>
      </c>
      <c r="C146" s="3" t="s">
        <v>900</v>
      </c>
      <c r="D146" s="3" t="s">
        <v>901</v>
      </c>
      <c r="E146" s="3" t="s">
        <v>902</v>
      </c>
      <c r="G146" s="8" t="str">
        <f>IFERROR(__xludf.DUMMYFUNCTION("GOOGLETRANSLATE(A146, ""en"", ""hi"")"),"145")</f>
        <v>145</v>
      </c>
      <c r="H146" s="8" t="str">
        <f>IFERROR(__xludf.DUMMYFUNCTION("GOOGLETRANSLATE(B146, ""en"", ""hi"")"),"शतरंज_37")</f>
        <v>शतरंज_37</v>
      </c>
      <c r="I146" s="8" t="str">
        <f>IFERROR(__xludf.DUMMYFUNCTION("GOOGLETRANSLATE(C146, ""en"", ""hi"")"),"चित्र में दिखाए गए खेल के लिए, एक मोहरे को दूसरे मोहरे में स्थानांतरित करने को क्या कहते हैं?")</f>
        <v>चित्र में दिखाए गए खेल के लिए, एक मोहरे को दूसरे मोहरे में स्थानांतरित करने को क्या कहते हैं?</v>
      </c>
      <c r="J146" s="8" t="str">
        <f>IFERROR(__xludf.DUMMYFUNCTION("GOOGLETRANSLATE(D146, ""en"", ""hi"")"),"ए) शह और मात, बी) पदोन्नति, सी) गतिरोध, डी) एन पासेंट")</f>
        <v>ए) शह और मात, बी) पदोन्नति, सी) गतिरोध, डी) एन पासेंट</v>
      </c>
      <c r="K146" s="8" t="str">
        <f>IFERROR(__xludf.DUMMYFUNCTION("GOOGLETRANSLATE(E146, ""en"", ""hi"")"),"बी) पदोन्नति")</f>
        <v>बी) पदोन्नति</v>
      </c>
    </row>
    <row r="147" ht="22.5" customHeight="1">
      <c r="A147" s="2">
        <v>146.0</v>
      </c>
      <c r="B147" s="3" t="s">
        <v>899</v>
      </c>
      <c r="C147" s="3" t="s">
        <v>903</v>
      </c>
      <c r="D147" s="3" t="s">
        <v>904</v>
      </c>
      <c r="E147" s="3" t="s">
        <v>887</v>
      </c>
      <c r="G147" s="8" t="str">
        <f>IFERROR(__xludf.DUMMYFUNCTION("GOOGLETRANSLATE(A147, ""en"", ""hi"")"),"146")</f>
        <v>146</v>
      </c>
      <c r="H147" s="8" t="str">
        <f>IFERROR(__xludf.DUMMYFUNCTION("GOOGLETRANSLATE(B147, ""en"", ""hi"")"),"शतरंज_37")</f>
        <v>शतरंज_37</v>
      </c>
      <c r="I147" s="8" t="str">
        <f>IFERROR(__xludf.DUMMYFUNCTION("GOOGLETRANSLATE(C147, ""en"", ""hi"")"),"चित्र में दिखाए गए खेल के लिए, प्रारंभिक रणनीतियों के लिए सबसे अधिक इस्तेमाल किया जाने वाला टुकड़ा कौन सा है?")</f>
        <v>चित्र में दिखाए गए खेल के लिए, प्रारंभिक रणनीतियों के लिए सबसे अधिक इस्तेमाल किया जाने वाला टुकड़ा कौन सा है?</v>
      </c>
      <c r="J147" s="8" t="str">
        <f>IFERROR(__xludf.DUMMYFUNCTION("GOOGLETRANSLATE(D147, ""en"", ""hi"")"),"A) बिशप, B) नाइट, C) रानी, ​​D) राजा")</f>
        <v>A) बिशप, B) नाइट, C) रानी, ​​D) राजा</v>
      </c>
      <c r="K147" s="8" t="str">
        <f>IFERROR(__xludf.DUMMYFUNCTION("GOOGLETRANSLATE(E147, ""en"", ""hi"")"),"बी) नाइट")</f>
        <v>बी) नाइट</v>
      </c>
    </row>
    <row r="148" ht="22.5" customHeight="1">
      <c r="A148" s="2">
        <v>147.0</v>
      </c>
      <c r="B148" s="3" t="s">
        <v>899</v>
      </c>
      <c r="C148" s="3" t="s">
        <v>905</v>
      </c>
      <c r="D148" s="3" t="s">
        <v>906</v>
      </c>
      <c r="E148" s="3" t="s">
        <v>907</v>
      </c>
      <c r="G148" s="8" t="str">
        <f>IFERROR(__xludf.DUMMYFUNCTION("GOOGLETRANSLATE(A148, ""en"", ""hi"")"),"147")</f>
        <v>147</v>
      </c>
      <c r="H148" s="8" t="str">
        <f>IFERROR(__xludf.DUMMYFUNCTION("GOOGLETRANSLATE(B148, ""en"", ""hi"")"),"शतरंज_37")</f>
        <v>शतरंज_37</v>
      </c>
      <c r="I148" s="8" t="str">
        <f>IFERROR(__xludf.DUMMYFUNCTION("GOOGLETRANSLATE(C148, ""en"", ""hi"")"),"चित्र में दिखाए गए खेल में, जब कोई मोहरा 8वें स्थान पर पहुंचता है तो क्या होता है?")</f>
        <v>चित्र में दिखाए गए खेल में, जब कोई मोहरा 8वें स्थान पर पहुंचता है तो क्या होता है?</v>
      </c>
      <c r="J148" s="8" t="str">
        <f>IFERROR(__xludf.DUMMYFUNCTION("GOOGLETRANSLATE(D148, ""en"", ""hi"")"),"A) वह रानी बन जाती है, B) वह खेल से बाहर हो जाती है, C) वह मोहरे के रूप में रहती है, D) वह पीछे की ओर चलती है")</f>
        <v>A) वह रानी बन जाती है, B) वह खेल से बाहर हो जाती है, C) वह मोहरे के रूप में रहती है, D) वह पीछे की ओर चलती है</v>
      </c>
      <c r="K148" s="8" t="str">
        <f>IFERROR(__xludf.DUMMYFUNCTION("GOOGLETRANSLATE(E148, ""en"", ""hi"")"),"A) यह रानी बन जाती है")</f>
        <v>A) यह रानी बन जाती है</v>
      </c>
    </row>
    <row r="149" ht="22.5" customHeight="1">
      <c r="A149" s="2">
        <v>148.0</v>
      </c>
      <c r="B149" s="3" t="s">
        <v>899</v>
      </c>
      <c r="C149" s="3" t="s">
        <v>908</v>
      </c>
      <c r="D149" s="3" t="s">
        <v>909</v>
      </c>
      <c r="E149" s="3" t="s">
        <v>910</v>
      </c>
      <c r="G149" s="8" t="str">
        <f>IFERROR(__xludf.DUMMYFUNCTION("GOOGLETRANSLATE(A149, ""en"", ""hi"")"),"148")</f>
        <v>148</v>
      </c>
      <c r="H149" s="8" t="str">
        <f>IFERROR(__xludf.DUMMYFUNCTION("GOOGLETRANSLATE(B149, ""en"", ""hi"")"),"शतरंज_37")</f>
        <v>शतरंज_37</v>
      </c>
      <c r="I149" s="8" t="str">
        <f>IFERROR(__xludf.DUMMYFUNCTION("GOOGLETRANSLATE(C149, ""en"", ""hi"")"),"चित्र में दिखाए गए खेल के लिए कौन सा वर्ग सफ़ेद वर्ग है?")</f>
        <v>चित्र में दिखाए गए खेल के लिए कौन सा वर्ग सफ़ेद वर्ग है?</v>
      </c>
      <c r="J149" s="8" t="str">
        <f>IFERROR(__xludf.DUMMYFUNCTION("GOOGLETRANSLATE(D149, ""en"", ""hi"")"),"ए) ए1, बी) एच1, सी) एच8, डी) ई5")</f>
        <v>ए) ए1, बी) एच1, सी) एच8, डी) ई5</v>
      </c>
      <c r="K149" s="8" t="str">
        <f>IFERROR(__xludf.DUMMYFUNCTION("GOOGLETRANSLATE(E149, ""en"", ""hi"")"),"बी) एच1")</f>
        <v>बी) एच1</v>
      </c>
    </row>
    <row r="150" ht="22.5" customHeight="1">
      <c r="A150" s="2">
        <v>149.0</v>
      </c>
      <c r="B150" s="3" t="s">
        <v>911</v>
      </c>
      <c r="C150" s="3" t="s">
        <v>912</v>
      </c>
      <c r="D150" s="3" t="s">
        <v>913</v>
      </c>
      <c r="E150" s="3" t="s">
        <v>914</v>
      </c>
      <c r="G150" s="8" t="str">
        <f>IFERROR(__xludf.DUMMYFUNCTION("GOOGLETRANSLATE(A150, ""en"", ""hi"")"),"149")</f>
        <v>149</v>
      </c>
      <c r="H150" s="8" t="str">
        <f>IFERROR(__xludf.DUMMYFUNCTION("GOOGLETRANSLATE(B150, ""en"", ""hi"")"),"शतरंज_38")</f>
        <v>शतरंज_38</v>
      </c>
      <c r="I150" s="8" t="str">
        <f>IFERROR(__xludf.DUMMYFUNCTION("GOOGLETRANSLATE(C150, ""en"", ""hi"")"),"चित्र में दिखाए गए खेल के लिए, कास्टलिंग चाल का संकेतन क्या है?")</f>
        <v>चित्र में दिखाए गए खेल के लिए, कास्टलिंग चाल का संकेतन क्या है?</v>
      </c>
      <c r="J150" s="8" t="str">
        <f>IFERROR(__xludf.DUMMYFUNCTION("GOOGLETRANSLATE(D150, ""en"", ""hi"")"),"ए) 0-0, बी) 0-0-0, सी) क्यू-क्यू8, डी) बी-एन5")</f>
        <v>ए) 0-0, बी) 0-0-0, सी) क्यू-क्यू8, डी) बी-एन5</v>
      </c>
      <c r="K150" s="8" t="str">
        <f>IFERROR(__xludf.DUMMYFUNCTION("GOOGLETRANSLATE(E150, ""en"", ""hi"")"),"ए) 0-0")</f>
        <v>ए) 0-0</v>
      </c>
    </row>
    <row r="151" ht="22.5" customHeight="1">
      <c r="A151" s="2">
        <v>150.0</v>
      </c>
      <c r="B151" s="3" t="s">
        <v>911</v>
      </c>
      <c r="C151" s="3" t="s">
        <v>915</v>
      </c>
      <c r="D151" s="3" t="s">
        <v>916</v>
      </c>
      <c r="E151" s="3" t="s">
        <v>917</v>
      </c>
      <c r="G151" s="8" t="str">
        <f>IFERROR(__xludf.DUMMYFUNCTION("GOOGLETRANSLATE(A151, ""en"", ""hi"")"),"150")</f>
        <v>150</v>
      </c>
      <c r="H151" s="8" t="str">
        <f>IFERROR(__xludf.DUMMYFUNCTION("GOOGLETRANSLATE(B151, ""en"", ""hi"")"),"शतरंज_38")</f>
        <v>शतरंज_38</v>
      </c>
      <c r="I151" s="8" t="str">
        <f>IFERROR(__xludf.DUMMYFUNCTION("GOOGLETRANSLATE(C151, ""en"", ""hi"")"),"चित्र में दिखाए गए खेल के लिए, जब एक टुकड़ा दूसरे टुकड़े की रक्षा करता है तो उसे क्या कहा जाता है?")</f>
        <v>चित्र में दिखाए गए खेल के लिए, जब एक टुकड़ा दूसरे टुकड़े की रक्षा करता है तो उसे क्या कहा जाता है?</v>
      </c>
      <c r="J151" s="8" t="str">
        <f>IFERROR(__xludf.DUMMYFUNCTION("GOOGLETRANSLATE(D151, ""en"", ""hi"")"),"A) फोर्क, B) पिन, C) प्रोटेक्शन, D) गार्ड")</f>
        <v>A) फोर्क, B) पिन, C) प्रोटेक्शन, D) गार्ड</v>
      </c>
      <c r="K151" s="8" t="str">
        <f>IFERROR(__xludf.DUMMYFUNCTION("GOOGLETRANSLATE(E151, ""en"", ""hi"")"),"डी) गार्ड")</f>
        <v>डी) गार्ड</v>
      </c>
    </row>
    <row r="152" ht="22.5" customHeight="1">
      <c r="A152" s="2">
        <v>151.0</v>
      </c>
      <c r="B152" s="3" t="s">
        <v>911</v>
      </c>
      <c r="C152" s="3" t="s">
        <v>918</v>
      </c>
      <c r="D152" s="3" t="s">
        <v>919</v>
      </c>
      <c r="E152" s="3" t="s">
        <v>920</v>
      </c>
      <c r="G152" s="8" t="str">
        <f>IFERROR(__xludf.DUMMYFUNCTION("GOOGLETRANSLATE(A152, ""en"", ""hi"")"),"151")</f>
        <v>151</v>
      </c>
      <c r="H152" s="8" t="str">
        <f>IFERROR(__xludf.DUMMYFUNCTION("GOOGLETRANSLATE(B152, ""en"", ""hi"")"),"शतरंज_38")</f>
        <v>शतरंज_38</v>
      </c>
      <c r="I152" s="8" t="str">
        <f>IFERROR(__xludf.DUMMYFUNCTION("GOOGLETRANSLATE(C152, ""en"", ""hi"")"),"चित्र में दिखाए गए खेल में कौन सी चाल राजा को किश्ती के साथ पक्ष बदलने की अनुमति देती है?")</f>
        <v>चित्र में दिखाए गए खेल में कौन सी चाल राजा को किश्ती के साथ पक्ष बदलने की अनुमति देती है?</v>
      </c>
      <c r="J152" s="8" t="str">
        <f>IFERROR(__xludf.DUMMYFUNCTION("GOOGLETRANSLATE(D152, ""en"", ""hi"")"),"ए) कैसलिंग, बी) एन पासेंट, सी) प्रमोशन, डी) फोर्क")</f>
        <v>ए) कैसलिंग, बी) एन पासेंट, सी) प्रमोशन, डी) फोर्क</v>
      </c>
      <c r="K152" s="8" t="str">
        <f>IFERROR(__xludf.DUMMYFUNCTION("GOOGLETRANSLATE(E152, ""en"", ""hi"")"),"ए) कैसलिंग")</f>
        <v>ए) कैसलिंग</v>
      </c>
    </row>
    <row r="153" ht="22.5" customHeight="1">
      <c r="A153" s="2">
        <v>152.0</v>
      </c>
      <c r="B153" s="3" t="s">
        <v>911</v>
      </c>
      <c r="C153" s="3" t="s">
        <v>921</v>
      </c>
      <c r="D153" s="3" t="s">
        <v>922</v>
      </c>
      <c r="E153" s="3" t="s">
        <v>923</v>
      </c>
      <c r="G153" s="8" t="str">
        <f>IFERROR(__xludf.DUMMYFUNCTION("GOOGLETRANSLATE(A153, ""en"", ""hi"")"),"152")</f>
        <v>152</v>
      </c>
      <c r="H153" s="8" t="str">
        <f>IFERROR(__xludf.DUMMYFUNCTION("GOOGLETRANSLATE(B153, ""en"", ""hi"")"),"शतरंज_38")</f>
        <v>शतरंज_38</v>
      </c>
      <c r="I153" s="8" t="str">
        <f>IFERROR(__xludf.DUMMYFUNCTION("GOOGLETRANSLATE(C153, ""en"", ""hi"")"),"चित्र में दिखाए गए खेल के लिए, शतरंज में प्रारंभिक चरण का उद्देश्य क्या है?")</f>
        <v>चित्र में दिखाए गए खेल के लिए, शतरंज में प्रारंभिक चरण का उद्देश्य क्या है?</v>
      </c>
      <c r="J153" s="8" t="str">
        <f>IFERROR(__xludf.DUMMYFUNCTION("GOOGLETRANSLATE(D153, ""en"", ""hi"")"),"A) राजा को पकड़ना, B) मोहरों को विकसित करना और केंद्र को नियंत्रित करना, C) प्यादों की रक्षा करना, D) जल्दी कैसल करना")</f>
        <v>A) राजा को पकड़ना, B) मोहरों को विकसित करना और केंद्र को नियंत्रित करना, C) प्यादों की रक्षा करना, D) जल्दी कैसल करना</v>
      </c>
      <c r="K153" s="8" t="str">
        <f>IFERROR(__xludf.DUMMYFUNCTION("GOOGLETRANSLATE(E153, ""en"", ""hi"")"),"बी) टुकड़े विकसित करना और केंद्र को नियंत्रित करना")</f>
        <v>बी) टुकड़े विकसित करना और केंद्र को नियंत्रित करना</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24.25"/>
    <col customWidth="1" min="9" max="10" width="37.63"/>
    <col customWidth="1" min="11" max="11" width="26.38"/>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924</v>
      </c>
      <c r="C2" s="3" t="s">
        <v>925</v>
      </c>
      <c r="D2" s="3" t="s">
        <v>926</v>
      </c>
      <c r="E2" s="3" t="s">
        <v>927</v>
      </c>
      <c r="G2" s="8" t="str">
        <f>IFERROR(__xludf.DUMMYFUNCTION("GOOGLETRANSLATE(A2, ""en"", ""hi"")"),"1")</f>
        <v>1</v>
      </c>
      <c r="H2" s="8" t="str">
        <f>IFERROR(__xludf.DUMMYFUNCTION("GOOGLETRANSLATE(B2, ""en"", ""hi"")"),"खो_खो_1")</f>
        <v>खो_खो_1</v>
      </c>
      <c r="I2" s="8" t="str">
        <f>IFERROR(__xludf.DUMMYFUNCTION("GOOGLETRANSLATE(C2, ""en"", ""hi"")"),"चित्र में कौन सा पारंपरिक भारतीय खेल दर्शाया गया है?")</f>
        <v>चित्र में कौन सा पारंपरिक भारतीय खेल दर्शाया गया है?</v>
      </c>
      <c r="J2" s="8" t="str">
        <f>IFERROR(__xludf.DUMMYFUNCTION("GOOGLETRANSLATE(D2, ""en"", ""hi"")"),"A) कबड्डी, B) खो-खो, C) कुश्ती, D) क्रिकेट")</f>
        <v>A) कबड्डी, B) खो-खो, C) कुश्ती, D) क्रिकेट</v>
      </c>
      <c r="K2" s="8" t="str">
        <f>IFERROR(__xludf.DUMMYFUNCTION("GOOGLETRANSLATE(E2, ""en"", ""hi"")"),"बी) खो-खो")</f>
        <v>बी) खो-खो</v>
      </c>
    </row>
    <row r="3" ht="22.5" customHeight="1">
      <c r="A3" s="2">
        <v>2.0</v>
      </c>
      <c r="B3" s="3" t="s">
        <v>924</v>
      </c>
      <c r="C3" s="3" t="s">
        <v>928</v>
      </c>
      <c r="D3" s="3" t="s">
        <v>780</v>
      </c>
      <c r="E3" s="3" t="s">
        <v>929</v>
      </c>
      <c r="G3" s="8" t="str">
        <f>IFERROR(__xludf.DUMMYFUNCTION("GOOGLETRANSLATE(A3, ""en"", ""hi"")"),"2")</f>
        <v>2</v>
      </c>
      <c r="H3" s="8" t="str">
        <f>IFERROR(__xludf.DUMMYFUNCTION("GOOGLETRANSLATE(B3, ""en"", ""hi"")"),"खो_खो_1")</f>
        <v>खो_खो_1</v>
      </c>
      <c r="I3" s="8" t="str">
        <f>IFERROR(__xludf.DUMMYFUNCTION("GOOGLETRANSLATE(C3, ""en"", ""hi"")"),"खो-खो में एक समय में एक टीम के कितने खिलाड़ी मैदान पर होते हैं?")</f>
        <v>खो-खो में एक समय में एक टीम के कितने खिलाड़ी मैदान पर होते हैं?</v>
      </c>
      <c r="J3" s="8" t="str">
        <f>IFERROR(__xludf.DUMMYFUNCTION("GOOGLETRANSLATE(D3, ""en"", ""hi"")"),"ए) 6, बी) 7, सी) 8, डी) 9")</f>
        <v>ए) 6, बी) 7, सी) 8, डी) 9</v>
      </c>
      <c r="K3" s="8" t="str">
        <f>IFERROR(__xludf.DUMMYFUNCTION("GOOGLETRANSLATE(E3, ""en"", ""hi"")"),"डी) 9")</f>
        <v>डी) 9</v>
      </c>
    </row>
    <row r="4" ht="22.5" customHeight="1">
      <c r="A4" s="2">
        <v>3.0</v>
      </c>
      <c r="B4" s="3" t="s">
        <v>924</v>
      </c>
      <c r="C4" s="3" t="s">
        <v>930</v>
      </c>
      <c r="D4" s="3" t="s">
        <v>931</v>
      </c>
      <c r="E4" s="3" t="s">
        <v>932</v>
      </c>
      <c r="G4" s="8" t="str">
        <f>IFERROR(__xludf.DUMMYFUNCTION("GOOGLETRANSLATE(A4, ""en"", ""hi"")"),"3")</f>
        <v>3</v>
      </c>
      <c r="H4" s="8" t="str">
        <f>IFERROR(__xludf.DUMMYFUNCTION("GOOGLETRANSLATE(B4, ""en"", ""hi"")"),"खो_खो_1")</f>
        <v>खो_खो_1</v>
      </c>
      <c r="I4" s="8" t="str">
        <f>IFERROR(__xludf.DUMMYFUNCTION("GOOGLETRANSLATE(C4, ""en"", ""hi"")"),"खो-खो खेल के किस भाग में दौड़ना और विरोधियों का पीछा करना शामिल है?")</f>
        <v>खो-खो खेल के किस भाग में दौड़ना और विरोधियों का पीछा करना शामिल है?</v>
      </c>
      <c r="J4" s="8" t="str">
        <f>IFERROR(__xludf.DUMMYFUNCTION("GOOGLETRANSLATE(D4, ""en"", ""hi"")"),"A) रक्षा, B) आक्रमण, C) पीछा करना, D) टैगिंग")</f>
        <v>A) रक्षा, B) आक्रमण, C) पीछा करना, D) टैगिंग</v>
      </c>
      <c r="K4" s="8" t="str">
        <f>IFERROR(__xludf.DUMMYFUNCTION("GOOGLETRANSLATE(E4, ""en"", ""hi"")"),"सी) पीछा करना")</f>
        <v>सी) पीछा करना</v>
      </c>
    </row>
    <row r="5" ht="22.5" customHeight="1">
      <c r="A5" s="2">
        <v>4.0</v>
      </c>
      <c r="B5" s="3" t="s">
        <v>924</v>
      </c>
      <c r="C5" s="3" t="s">
        <v>933</v>
      </c>
      <c r="D5" s="3" t="s">
        <v>934</v>
      </c>
      <c r="E5" s="3" t="s">
        <v>935</v>
      </c>
      <c r="G5" s="8" t="str">
        <f>IFERROR(__xludf.DUMMYFUNCTION("GOOGLETRANSLATE(A5, ""en"", ""hi"")"),"4")</f>
        <v>4</v>
      </c>
      <c r="H5" s="8" t="str">
        <f>IFERROR(__xludf.DUMMYFUNCTION("GOOGLETRANSLATE(B5, ""en"", ""hi"")"),"खो_खो_1")</f>
        <v>खो_खो_1</v>
      </c>
      <c r="I5" s="8" t="str">
        <f>IFERROR(__xludf.DUMMYFUNCTION("GOOGLETRANSLATE(C5, ""en"", ""hi"")"),"खो-खो में पीछा करने वाली टीम का उद्देश्य क्या है?")</f>
        <v>खो-खो में पीछा करने वाली टीम का उद्देश्य क्या है?</v>
      </c>
      <c r="J5" s="8" t="str">
        <f>IFERROR(__xludf.DUMMYFUNCTION("GOOGLETRANSLATE(D5, ""en"", ""hi"")"),"A) गोल करना, B) धावकों को टैग करना, C) टैग होने से बचना, D) बल्ले से गेंद मारना")</f>
        <v>A) गोल करना, B) धावकों को टैग करना, C) टैग होने से बचना, D) बल्ले से गेंद मारना</v>
      </c>
      <c r="K5" s="8" t="str">
        <f>IFERROR(__xludf.DUMMYFUNCTION("GOOGLETRANSLATE(E5, ""en"", ""hi"")"),"बी) धावकों को टैग करें")</f>
        <v>बी) धावकों को टैग करें</v>
      </c>
    </row>
    <row r="6" ht="22.5" customHeight="1">
      <c r="A6" s="2">
        <v>5.0</v>
      </c>
      <c r="B6" s="3" t="s">
        <v>936</v>
      </c>
      <c r="C6" s="3" t="s">
        <v>937</v>
      </c>
      <c r="D6" s="3" t="s">
        <v>938</v>
      </c>
      <c r="E6" s="3" t="s">
        <v>939</v>
      </c>
      <c r="G6" s="8" t="str">
        <f>IFERROR(__xludf.DUMMYFUNCTION("GOOGLETRANSLATE(A6, ""en"", ""hi"")"),"5")</f>
        <v>5</v>
      </c>
      <c r="H6" s="8" t="str">
        <f>IFERROR(__xludf.DUMMYFUNCTION("GOOGLETRANSLATE(B6, ""en"", ""hi"")"),"खो_खो_2")</f>
        <v>खो_खो_2</v>
      </c>
      <c r="I6" s="8" t="str">
        <f>IFERROR(__xludf.DUMMYFUNCTION("GOOGLETRANSLATE(C6, ""en"", ""hi"")"),"जैसा कि चित्र में दर्शाया गया है, किस शहर के स्टेडियम ने अल्टीमेट खो-खो लीग के दूसरे सत्र की मेजबानी की?")</f>
        <v>जैसा कि चित्र में दर्शाया गया है, किस शहर के स्टेडियम ने अल्टीमेट खो-खो लीग के दूसरे सत्र की मेजबानी की?</v>
      </c>
      <c r="J6" s="8" t="str">
        <f>IFERROR(__xludf.DUMMYFUNCTION("GOOGLETRANSLATE(D6, ""en"", ""hi"")"),"A) मुंबई, B) चेन्नई, C) भुवनेश्वर, D) दिल्ली")</f>
        <v>A) मुंबई, B) चेन्नई, C) भुवनेश्वर, D) दिल्ली</v>
      </c>
      <c r="K6" s="8" t="str">
        <f>IFERROR(__xludf.DUMMYFUNCTION("GOOGLETRANSLATE(E6, ""en"", ""hi"")"),"C) भुवनेश्वर")</f>
        <v>C) भुवनेश्वर</v>
      </c>
    </row>
    <row r="7" ht="22.5" customHeight="1">
      <c r="A7" s="2">
        <v>6.0</v>
      </c>
      <c r="B7" s="3" t="s">
        <v>936</v>
      </c>
      <c r="C7" s="3" t="s">
        <v>940</v>
      </c>
      <c r="D7" s="3" t="s">
        <v>941</v>
      </c>
      <c r="E7" s="3" t="s">
        <v>942</v>
      </c>
      <c r="G7" s="8" t="str">
        <f>IFERROR(__xludf.DUMMYFUNCTION("GOOGLETRANSLATE(A7, ""en"", ""hi"")"),"6")</f>
        <v>6</v>
      </c>
      <c r="H7" s="8" t="str">
        <f>IFERROR(__xludf.DUMMYFUNCTION("GOOGLETRANSLATE(B7, ""en"", ""hi"")"),"खो_खो_2")</f>
        <v>खो_खो_2</v>
      </c>
      <c r="I7" s="8" t="str">
        <f>IFERROR(__xludf.DUMMYFUNCTION("GOOGLETRANSLATE(C7, ""en"", ""hi"")"),"चित्र में दर्शाई गई लीग का नाम क्या है?")</f>
        <v>चित्र में दर्शाई गई लीग का नाम क्या है?</v>
      </c>
      <c r="J7" s="8" t="str">
        <f>IFERROR(__xludf.DUMMYFUNCTION("GOOGLETRANSLATE(D7, ""en"", ""hi"")"),"A) प्रो कबड्डी लीग, B) अल्टीमेट खो-खो लीग, C) इंडियन सुपर लीग, D) प्रो रेसलिंग लीग")</f>
        <v>A) प्रो कबड्डी लीग, B) अल्टीमेट खो-खो लीग, C) इंडियन सुपर लीग, D) प्रो रेसलिंग लीग</v>
      </c>
      <c r="K7" s="8" t="str">
        <f>IFERROR(__xludf.DUMMYFUNCTION("GOOGLETRANSLATE(E7, ""en"", ""hi"")"),"बी) अल्टीमेट खो-खो लीग")</f>
        <v>बी) अल्टीमेट खो-खो लीग</v>
      </c>
    </row>
    <row r="8" ht="22.5" customHeight="1">
      <c r="A8" s="2">
        <v>7.0</v>
      </c>
      <c r="B8" s="3" t="s">
        <v>936</v>
      </c>
      <c r="C8" s="3" t="s">
        <v>943</v>
      </c>
      <c r="D8" s="3" t="s">
        <v>51</v>
      </c>
      <c r="E8" s="3" t="s">
        <v>52</v>
      </c>
      <c r="G8" s="8" t="str">
        <f>IFERROR(__xludf.DUMMYFUNCTION("GOOGLETRANSLATE(A8, ""en"", ""hi"")"),"7")</f>
        <v>7</v>
      </c>
      <c r="H8" s="8" t="str">
        <f>IFERROR(__xludf.DUMMYFUNCTION("GOOGLETRANSLATE(B8, ""en"", ""hi"")"),"खो_खो_2")</f>
        <v>खो_खो_2</v>
      </c>
      <c r="I8" s="8" t="str">
        <f>IFERROR(__xludf.DUMMYFUNCTION("GOOGLETRANSLATE(C8, ""en"", ""hi"")"),"अल्टीमेट खो-खो लीग के कितने सत्र चित्र में दिखाए गए आयोजन तक आयोजित किए गए थे?")</f>
        <v>अल्टीमेट खो-खो लीग के कितने सत्र चित्र में दिखाए गए आयोजन तक आयोजित किए गए थे?</v>
      </c>
      <c r="J8" s="8" t="str">
        <f>IFERROR(__xludf.DUMMYFUNCTION("GOOGLETRANSLATE(D8, ""en"", ""hi"")"),"ए) 1, बी) 2, सी) 3, डी) 4")</f>
        <v>ए) 1, बी) 2, सी) 3, डी) 4</v>
      </c>
      <c r="K8" s="8" t="str">
        <f>IFERROR(__xludf.DUMMYFUNCTION("GOOGLETRANSLATE(E8, ""en"", ""hi"")"),"बी) 2")</f>
        <v>बी) 2</v>
      </c>
    </row>
    <row r="9" ht="22.5" customHeight="1">
      <c r="A9" s="2">
        <v>8.0</v>
      </c>
      <c r="B9" s="3" t="s">
        <v>936</v>
      </c>
      <c r="C9" s="3" t="s">
        <v>944</v>
      </c>
      <c r="D9" s="3" t="s">
        <v>945</v>
      </c>
      <c r="E9" s="3" t="s">
        <v>927</v>
      </c>
      <c r="G9" s="8" t="str">
        <f>IFERROR(__xludf.DUMMYFUNCTION("GOOGLETRANSLATE(A9, ""en"", ""hi"")"),"8")</f>
        <v>8</v>
      </c>
      <c r="H9" s="8" t="str">
        <f>IFERROR(__xludf.DUMMYFUNCTION("GOOGLETRANSLATE(B9, ""en"", ""hi"")"),"खो_खो_2")</f>
        <v>खो_खो_2</v>
      </c>
      <c r="I9" s="8" t="str">
        <f>IFERROR(__xludf.DUMMYFUNCTION("GOOGLETRANSLATE(C9, ""en"", ""hi"")"),"अल्टीमेट खो-खो लीग किस खेल पर आधारित है?")</f>
        <v>अल्टीमेट खो-खो लीग किस खेल पर आधारित है?</v>
      </c>
      <c r="J9" s="8" t="str">
        <f>IFERROR(__xludf.DUMMYFUNCTION("GOOGLETRANSLATE(D9, ""en"", ""hi"")"),"A) कबड्डी, B) खो-खो, C) फुटबॉल, D) बैडमिंटन")</f>
        <v>A) कबड्डी, B) खो-खो, C) फुटबॉल, D) बैडमिंटन</v>
      </c>
      <c r="K9" s="8" t="str">
        <f>IFERROR(__xludf.DUMMYFUNCTION("GOOGLETRANSLATE(E9, ""en"", ""hi"")"),"बी) खो-खो")</f>
        <v>बी) खो-खो</v>
      </c>
    </row>
    <row r="10" ht="22.5" customHeight="1">
      <c r="A10" s="2">
        <v>9.0</v>
      </c>
      <c r="B10" s="3" t="s">
        <v>946</v>
      </c>
      <c r="C10" s="3" t="s">
        <v>947</v>
      </c>
      <c r="D10" s="3" t="s">
        <v>948</v>
      </c>
      <c r="E10" s="3" t="s">
        <v>949</v>
      </c>
      <c r="G10" s="8" t="str">
        <f>IFERROR(__xludf.DUMMYFUNCTION("GOOGLETRANSLATE(A10, ""en"", ""hi"")"),"9")</f>
        <v>9</v>
      </c>
      <c r="H10" s="8" t="str">
        <f>IFERROR(__xludf.DUMMYFUNCTION("GOOGLETRANSLATE(B10, ""en"", ""hi"")"),"खो_खो_3")</f>
        <v>खो_खो_3</v>
      </c>
      <c r="I10" s="8" t="str">
        <f>IFERROR(__xludf.DUMMYFUNCTION("GOOGLETRANSLATE(C10, ""en"", ""hi"")"),"खो-खो में चित्र में बैठे खिलाड़ियों की क्या भूमिका है?")</f>
        <v>खो-खो में चित्र में बैठे खिलाड़ियों की क्या भूमिका है?</v>
      </c>
      <c r="J10" s="8" t="str">
        <f>IFERROR(__xludf.DUMMYFUNCTION("GOOGLETRANSLATE(D10, ""en"", ""hi"")"),"A) धावक, B) पीछा करने वाले, C) रक्षक, D) स्थानापन्न")</f>
        <v>A) धावक, B) पीछा करने वाले, C) रक्षक, D) स्थानापन्न</v>
      </c>
      <c r="K10" s="8" t="str">
        <f>IFERROR(__xludf.DUMMYFUNCTION("GOOGLETRANSLATE(E10, ""en"", ""hi"")"),"बी) चेज़र्स")</f>
        <v>बी) चेज़र्स</v>
      </c>
    </row>
    <row r="11" ht="22.5" customHeight="1">
      <c r="A11" s="2">
        <v>10.0</v>
      </c>
      <c r="B11" s="3" t="s">
        <v>946</v>
      </c>
      <c r="C11" s="3" t="s">
        <v>950</v>
      </c>
      <c r="D11" s="3" t="s">
        <v>951</v>
      </c>
      <c r="E11" s="3" t="s">
        <v>952</v>
      </c>
      <c r="G11" s="8" t="str">
        <f>IFERROR(__xludf.DUMMYFUNCTION("GOOGLETRANSLATE(A11, ""en"", ""hi"")"),"10")</f>
        <v>10</v>
      </c>
      <c r="H11" s="8" t="str">
        <f>IFERROR(__xludf.DUMMYFUNCTION("GOOGLETRANSLATE(B11, ""en"", ""hi"")"),"खो_खो_3")</f>
        <v>खो_खो_3</v>
      </c>
      <c r="I11" s="8" t="str">
        <f>IFERROR(__xludf.DUMMYFUNCTION("GOOGLETRANSLATE(C11, ""en"", ""hi"")"),"जैसा कि चित्र में दिखाया गया है, खो-खो में सफलता के लिए मुख्य रूप से कौन सा कौशल आवश्यक है?")</f>
        <v>जैसा कि चित्र में दिखाया गया है, खो-खो में सफलता के लिए मुख्य रूप से कौन सा कौशल आवश्यक है?</v>
      </c>
      <c r="J11" s="8" t="str">
        <f>IFERROR(__xludf.DUMMYFUNCTION("GOOGLETRANSLATE(D11, ""en"", ""hi"")"),"A) ताकत, B) चपलता, C) धीरज, D) लचीलापन")</f>
        <v>A) ताकत, B) चपलता, C) धीरज, D) लचीलापन</v>
      </c>
      <c r="K11" s="8" t="str">
        <f>IFERROR(__xludf.DUMMYFUNCTION("GOOGLETRANSLATE(E11, ""en"", ""hi"")"),"बी) चपलता")</f>
        <v>बी) चपलता</v>
      </c>
    </row>
    <row r="12" ht="22.5" customHeight="1">
      <c r="A12" s="2">
        <v>11.0</v>
      </c>
      <c r="B12" s="3" t="s">
        <v>946</v>
      </c>
      <c r="C12" s="3" t="s">
        <v>953</v>
      </c>
      <c r="D12" s="3" t="s">
        <v>954</v>
      </c>
      <c r="E12" s="3" t="s">
        <v>955</v>
      </c>
      <c r="G12" s="8" t="str">
        <f>IFERROR(__xludf.DUMMYFUNCTION("GOOGLETRANSLATE(A12, ""en"", ""hi"")"),"11")</f>
        <v>11</v>
      </c>
      <c r="H12" s="8" t="str">
        <f>IFERROR(__xludf.DUMMYFUNCTION("GOOGLETRANSLATE(B12, ""en"", ""hi"")"),"खो_खो_3")</f>
        <v>खो_खो_3</v>
      </c>
      <c r="I12" s="8" t="str">
        <f>IFERROR(__xludf.DUMMYFUNCTION("GOOGLETRANSLATE(C12, ""en"", ""hi"")"),"जैसा कि चित्र में देखा जा सकता है, पीछा करने वाले किस संरचना में बैठे हैं?")</f>
        <v>जैसा कि चित्र में देखा जा सकता है, पीछा करने वाले किस संरचना में बैठे हैं?</v>
      </c>
      <c r="J12" s="8" t="str">
        <f>IFERROR(__xludf.DUMMYFUNCTION("GOOGLETRANSLATE(D12, ""en"", ""hi"")"),"A) वृत्त, B) सीधी रेखा, C) ज़िग-ज़ैग, D) वर्ग")</f>
        <v>A) वृत्त, B) सीधी रेखा, C) ज़िग-ज़ैग, D) वर्ग</v>
      </c>
      <c r="K12" s="8" t="str">
        <f>IFERROR(__xludf.DUMMYFUNCTION("GOOGLETRANSLATE(E12, ""en"", ""hi"")"),"बी) सीधी रेखा")</f>
        <v>बी) सीधी रेखा</v>
      </c>
    </row>
    <row r="13" ht="22.5" customHeight="1">
      <c r="A13" s="2">
        <v>12.0</v>
      </c>
      <c r="B13" s="3" t="s">
        <v>946</v>
      </c>
      <c r="C13" s="3" t="s">
        <v>956</v>
      </c>
      <c r="D13" s="3" t="s">
        <v>957</v>
      </c>
      <c r="E13" s="3" t="s">
        <v>958</v>
      </c>
      <c r="G13" s="8" t="str">
        <f>IFERROR(__xludf.DUMMYFUNCTION("GOOGLETRANSLATE(A13, ""en"", ""hi"")"),"12")</f>
        <v>12</v>
      </c>
      <c r="H13" s="8" t="str">
        <f>IFERROR(__xludf.DUMMYFUNCTION("GOOGLETRANSLATE(B13, ""en"", ""hi"")"),"खो_खो_3")</f>
        <v>खो_खो_3</v>
      </c>
      <c r="I13" s="8" t="str">
        <f>IFERROR(__xludf.DUMMYFUNCTION("GOOGLETRANSLATE(C13, ""en"", ""hi"")"),"खो-खो में, जैसा कि चित्र में दिखाया गया है, धावकों का प्राथमिक उद्देश्य क्या है?")</f>
        <v>खो-खो में, जैसा कि चित्र में दिखाया गया है, धावकों का प्राथमिक उद्देश्य क्या है?</v>
      </c>
      <c r="J13" s="8" t="str">
        <f>IFERROR(__xludf.DUMMYFUNCTION("GOOGLETRANSLATE(D13, ""en"", ""hi"")"),"A) अंक अर्जित करने के लिए, B) टैग होने से बचने के लिए, C) विरोधियों से निपटने के लिए, D) गेंद पास करने के लिए")</f>
        <v>A) अंक अर्जित करने के लिए, B) टैग होने से बचने के लिए, C) विरोधियों से निपटने के लिए, D) गेंद पास करने के लिए</v>
      </c>
      <c r="K13" s="8" t="str">
        <f>IFERROR(__xludf.DUMMYFUNCTION("GOOGLETRANSLATE(E13, ""en"", ""hi"")"),"B) टैग होने से बचने के लिए")</f>
        <v>B) टैग होने से बचने के लिए</v>
      </c>
    </row>
    <row r="14" ht="22.5" customHeight="1">
      <c r="A14" s="2">
        <v>13.0</v>
      </c>
      <c r="B14" s="3" t="s">
        <v>959</v>
      </c>
      <c r="C14" s="3" t="s">
        <v>960</v>
      </c>
      <c r="D14" s="3" t="s">
        <v>961</v>
      </c>
      <c r="E14" s="3" t="s">
        <v>962</v>
      </c>
      <c r="G14" s="8" t="str">
        <f>IFERROR(__xludf.DUMMYFUNCTION("GOOGLETRANSLATE(A14, ""en"", ""hi"")"),"13")</f>
        <v>13</v>
      </c>
      <c r="H14" s="8" t="str">
        <f>IFERROR(__xludf.DUMMYFUNCTION("GOOGLETRANSLATE(B14, ""en"", ""hi"")"),"खो_खो_4")</f>
        <v>खो_खो_4</v>
      </c>
      <c r="I14" s="8" t="str">
        <f>IFERROR(__xludf.DUMMYFUNCTION("GOOGLETRANSLATE(C14, ""en"", ""hi"")"),"चित्र में खो-खो खेल का कौन सा अनोखा पहलू दर्शाया गया है?")</f>
        <v>चित्र में खो-खो खेल का कौन सा अनोखा पहलू दर्शाया गया है?</v>
      </c>
      <c r="J14" s="8" t="str">
        <f>IFERROR(__xludf.DUMMYFUNCTION("GOOGLETRANSLATE(D14, ""en"", ""hi"")"),"A) गेंद पकड़े धावक, B) बैटन पास करते खिलाड़ी, C) पंक्ति में बैठे खिलाड़ी, D) धावकों को टैग करते चेज़र")</f>
        <v>A) गेंद पकड़े धावक, B) बैटन पास करते खिलाड़ी, C) पंक्ति में बैठे खिलाड़ी, D) धावकों को टैग करते चेज़र</v>
      </c>
      <c r="K14" s="8" t="str">
        <f>IFERROR(__xludf.DUMMYFUNCTION("GOOGLETRANSLATE(E14, ""en"", ""hi"")"),"C) एक पंक्ति में बैठे खिलाड़ी")</f>
        <v>C) एक पंक्ति में बैठे खिलाड़ी</v>
      </c>
    </row>
    <row r="15" ht="22.5" customHeight="1">
      <c r="A15" s="2">
        <v>14.0</v>
      </c>
      <c r="B15" s="3" t="s">
        <v>959</v>
      </c>
      <c r="C15" s="3" t="s">
        <v>963</v>
      </c>
      <c r="D15" s="3" t="s">
        <v>964</v>
      </c>
      <c r="E15" s="3" t="s">
        <v>965</v>
      </c>
      <c r="G15" s="8" t="str">
        <f>IFERROR(__xludf.DUMMYFUNCTION("GOOGLETRANSLATE(A15, ""en"", ""hi"")"),"14")</f>
        <v>14</v>
      </c>
      <c r="H15" s="8" t="str">
        <f>IFERROR(__xludf.DUMMYFUNCTION("GOOGLETRANSLATE(B15, ""en"", ""hi"")"),"खो_खो_4")</f>
        <v>खो_खो_4</v>
      </c>
      <c r="I15" s="8" t="str">
        <f>IFERROR(__xludf.DUMMYFUNCTION("GOOGLETRANSLATE(C15, ""en"", ""hi"")"),"चित्र में खो-खो की कौन सी पारंपरिक विशेषता उजागर हुई है?")</f>
        <v>चित्र में खो-खो की कौन सी पारंपरिक विशेषता उजागर हुई है?</v>
      </c>
      <c r="J15" s="8" t="str">
        <f>IFERROR(__xludf.DUMMYFUNCTION("GOOGLETRANSLATE(D15, ""en"", ""hi"")"),"A) खिलाड़ियों का तेजी से भूमिका बदलना, B) लक्ष्य का पीछा करते हुए बैठे रहना और इंतजार करना, C) उपकरणों का उपयोग करना, D) लक्ष्य की रक्षा करते हुए धावक")</f>
        <v>A) खिलाड़ियों का तेजी से भूमिका बदलना, B) लक्ष्य का पीछा करते हुए बैठे रहना और इंतजार करना, C) उपकरणों का उपयोग करना, D) लक्ष्य की रक्षा करते हुए धावक</v>
      </c>
      <c r="K15" s="8" t="str">
        <f>IFERROR(__xludf.DUMMYFUNCTION("GOOGLETRANSLATE(E15, ""en"", ""hi"")"),"बी) चेज़र्स बैठे और इंतज़ार कर रहे हैं")</f>
        <v>बी) चेज़र्स बैठे और इंतज़ार कर रहे हैं</v>
      </c>
    </row>
    <row r="16" ht="22.5" customHeight="1">
      <c r="A16" s="2">
        <v>15.0</v>
      </c>
      <c r="B16" s="3" t="s">
        <v>959</v>
      </c>
      <c r="C16" s="3" t="s">
        <v>966</v>
      </c>
      <c r="D16" s="3" t="s">
        <v>967</v>
      </c>
      <c r="E16" s="3" t="s">
        <v>968</v>
      </c>
      <c r="G16" s="8" t="str">
        <f>IFERROR(__xludf.DUMMYFUNCTION("GOOGLETRANSLATE(A16, ""en"", ""hi"")"),"15")</f>
        <v>15</v>
      </c>
      <c r="H16" s="8" t="str">
        <f>IFERROR(__xludf.DUMMYFUNCTION("GOOGLETRANSLATE(B16, ""en"", ""hi"")"),"खो_खो_4")</f>
        <v>खो_खो_4</v>
      </c>
      <c r="I16" s="8" t="str">
        <f>IFERROR(__xludf.DUMMYFUNCTION("GOOGLETRANSLATE(C16, ""en"", ""hi"")"),"चित्र में खिलाड़ी किस कार्रवाई की तैयारी कर रहे हैं?")</f>
        <v>चित्र में खिलाड़ी किस कार्रवाई की तैयारी कर रहे हैं?</v>
      </c>
      <c r="J16" s="8" t="str">
        <f>IFERROR(__xludf.DUMMYFUNCTION("GOOGLETRANSLATE(D16, ""en"", ""hi"")"),"A) दौड़ना, B) कूदना, C) टैग करना, D) गेंद पास करना")</f>
        <v>A) दौड़ना, B) कूदना, C) टैग करना, D) गेंद पास करना</v>
      </c>
      <c r="K16" s="8" t="str">
        <f>IFERROR(__xludf.DUMMYFUNCTION("GOOGLETRANSLATE(E16, ""en"", ""hi"")"),"सी) टैगिंग")</f>
        <v>सी) टैगिंग</v>
      </c>
    </row>
    <row r="17" ht="22.5" customHeight="1">
      <c r="A17" s="2">
        <v>16.0</v>
      </c>
      <c r="B17" s="3" t="s">
        <v>959</v>
      </c>
      <c r="C17" s="3" t="s">
        <v>969</v>
      </c>
      <c r="D17" s="3" t="s">
        <v>970</v>
      </c>
      <c r="E17" s="3" t="s">
        <v>971</v>
      </c>
      <c r="G17" s="8" t="str">
        <f>IFERROR(__xludf.DUMMYFUNCTION("GOOGLETRANSLATE(A17, ""en"", ""hi"")"),"16")</f>
        <v>16</v>
      </c>
      <c r="H17" s="8" t="str">
        <f>IFERROR(__xludf.DUMMYFUNCTION("GOOGLETRANSLATE(B17, ""en"", ""hi"")"),"खो_खो_4")</f>
        <v>खो_खो_4</v>
      </c>
      <c r="I17" s="8" t="str">
        <f>IFERROR(__xludf.DUMMYFUNCTION("GOOGLETRANSLATE(C17, ""en"", ""hi"")"),"चित्र में बैठे खिलाड़ियों की प्राथमिक रणनीति क्या है?")</f>
        <v>चित्र में बैठे खिलाड़ियों की प्राथमिक रणनीति क्या है?</v>
      </c>
      <c r="J17" s="8" t="str">
        <f>IFERROR(__xludf.DUMMYFUNCTION("GOOGLETRANSLATE(D17, ""en"", ""hi"")"),"A) धावकों को रोकना, B) तेजी से पीछा करना और टैग करना, C) गोल करना, D) गेंद पास करना")</f>
        <v>A) धावकों को रोकना, B) तेजी से पीछा करना और टैग करना, C) गोल करना, D) गेंद पास करना</v>
      </c>
      <c r="K17" s="8" t="str">
        <f>IFERROR(__xludf.DUMMYFUNCTION("GOOGLETRANSLATE(E17, ""en"", ""hi"")"),"बी) तेजी से पीछा करना और टैग करना")</f>
        <v>बी) तेजी से पीछा करना और टैग करना</v>
      </c>
    </row>
    <row r="18" ht="22.5" customHeight="1">
      <c r="A18" s="2">
        <v>17.0</v>
      </c>
      <c r="B18" s="3" t="s">
        <v>972</v>
      </c>
      <c r="C18" s="3" t="s">
        <v>973</v>
      </c>
      <c r="D18" s="3" t="s">
        <v>974</v>
      </c>
      <c r="E18" s="3" t="s">
        <v>975</v>
      </c>
      <c r="G18" s="8" t="str">
        <f>IFERROR(__xludf.DUMMYFUNCTION("GOOGLETRANSLATE(A18, ""en"", ""hi"")"),"17")</f>
        <v>17</v>
      </c>
      <c r="H18" s="8" t="str">
        <f>IFERROR(__xludf.DUMMYFUNCTION("GOOGLETRANSLATE(B18, ""en"", ""hi"")"),"खो_खो_5")</f>
        <v>खो_खो_5</v>
      </c>
      <c r="I18" s="8" t="str">
        <f>IFERROR(__xludf.DUMMYFUNCTION("GOOGLETRANSLATE(C18, ""en"", ""hi"")"),"चित्र में दौड़ते हुए दिख रहे खिलाड़ियों का प्राथमिक फोकस क्या है?")</f>
        <v>चित्र में दौड़ते हुए दिख रहे खिलाड़ियों का प्राथमिक फोकस क्या है?</v>
      </c>
      <c r="J18" s="8" t="str">
        <f>IFERROR(__xludf.DUMMYFUNCTION("GOOGLETRANSLATE(D18, ""en"", ""hi"")"),"A) अंक प्राप्त करने के लिए, B) धावक को टैग करने के लिए, C) अंतिम रेखा तक पहुँचने के लिए, D) गेंद पकड़ने के लिए")</f>
        <v>A) अंक प्राप्त करने के लिए, B) धावक को टैग करने के लिए, C) अंतिम रेखा तक पहुँचने के लिए, D) गेंद पकड़ने के लिए</v>
      </c>
      <c r="K18" s="8" t="str">
        <f>IFERROR(__xludf.DUMMYFUNCTION("GOOGLETRANSLATE(E18, ""en"", ""hi"")"),"B) धावक को टैग करना")</f>
        <v>B) धावक को टैग करना</v>
      </c>
    </row>
    <row r="19" ht="22.5" customHeight="1">
      <c r="A19" s="2">
        <v>18.0</v>
      </c>
      <c r="B19" s="3" t="s">
        <v>972</v>
      </c>
      <c r="C19" s="3" t="s">
        <v>976</v>
      </c>
      <c r="D19" s="3" t="s">
        <v>977</v>
      </c>
      <c r="E19" s="3" t="s">
        <v>978</v>
      </c>
      <c r="G19" s="8" t="str">
        <f>IFERROR(__xludf.DUMMYFUNCTION("GOOGLETRANSLATE(A19, ""en"", ""hi"")"),"18")</f>
        <v>18</v>
      </c>
      <c r="H19" s="8" t="str">
        <f>IFERROR(__xludf.DUMMYFUNCTION("GOOGLETRANSLATE(B19, ""en"", ""hi"")"),"खो_खो_5")</f>
        <v>खो_खो_5</v>
      </c>
      <c r="I19" s="8" t="str">
        <f>IFERROR(__xludf.DUMMYFUNCTION("GOOGLETRANSLATE(C19, ""en"", ""hi"")"),"चित्र में झुककर आगे बढ़ने वाले खिलाड़ी द्वारा किस कौशल पर जोर दिया जा रहा है?")</f>
        <v>चित्र में झुककर आगे बढ़ने वाले खिलाड़ी द्वारा किस कौशल पर जोर दिया जा रहा है?</v>
      </c>
      <c r="J19" s="8" t="str">
        <f>IFERROR(__xludf.DUMMYFUNCTION("GOOGLETRANSLATE(D19, ""en"", ""hi"")"),"A) लचीलापन, B) ताकत, C) गति, D) टीमवर्क")</f>
        <v>A) लचीलापन, B) ताकत, C) गति, D) टीमवर्क</v>
      </c>
      <c r="K19" s="8" t="str">
        <f>IFERROR(__xludf.DUMMYFUNCTION("GOOGLETRANSLATE(E19, ""en"", ""hi"")"),"ए) लचीलापन")</f>
        <v>ए) लचीलापन</v>
      </c>
    </row>
    <row r="20" ht="22.5" customHeight="1">
      <c r="A20" s="2">
        <v>19.0</v>
      </c>
      <c r="B20" s="3" t="s">
        <v>972</v>
      </c>
      <c r="C20" s="3" t="s">
        <v>979</v>
      </c>
      <c r="D20" s="3" t="s">
        <v>980</v>
      </c>
      <c r="E20" s="3" t="s">
        <v>949</v>
      </c>
      <c r="G20" s="8" t="str">
        <f>IFERROR(__xludf.DUMMYFUNCTION("GOOGLETRANSLATE(A20, ""en"", ""hi"")"),"19")</f>
        <v>19</v>
      </c>
      <c r="H20" s="8" t="str">
        <f>IFERROR(__xludf.DUMMYFUNCTION("GOOGLETRANSLATE(B20, ""en"", ""hi"")"),"खो_खो_5")</f>
        <v>खो_खो_5</v>
      </c>
      <c r="I20" s="8" t="str">
        <f>IFERROR(__xludf.DUMMYFUNCTION("GOOGLETRANSLATE(C20, ""en"", ""hi"")"),"चित्र में दिखाए अनुसार खो-खो में पंक्ति में बैठे खिलाड़ी क्या भूमिका निभाते हैं?")</f>
        <v>चित्र में दिखाए अनुसार खो-खो में पंक्ति में बैठे खिलाड़ी क्या भूमिका निभाते हैं?</v>
      </c>
      <c r="J20" s="8" t="str">
        <f>IFERROR(__xludf.DUMMYFUNCTION("GOOGLETRANSLATE(D20, ""en"", ""hi"")"),"A) धावक, B) पीछा करने वाले, C) रेफरी, D) रक्षक")</f>
        <v>A) धावक, B) पीछा करने वाले, C) रेफरी, D) रक्षक</v>
      </c>
      <c r="K20" s="8" t="str">
        <f>IFERROR(__xludf.DUMMYFUNCTION("GOOGLETRANSLATE(E20, ""en"", ""hi"")"),"बी) चेज़र्स")</f>
        <v>बी) चेज़र्स</v>
      </c>
    </row>
    <row r="21" ht="22.5" customHeight="1">
      <c r="A21" s="2">
        <v>20.0</v>
      </c>
      <c r="B21" s="3" t="s">
        <v>972</v>
      </c>
      <c r="C21" s="3" t="s">
        <v>981</v>
      </c>
      <c r="D21" s="3" t="s">
        <v>982</v>
      </c>
      <c r="E21" s="3" t="s">
        <v>983</v>
      </c>
      <c r="G21" s="8" t="str">
        <f>IFERROR(__xludf.DUMMYFUNCTION("GOOGLETRANSLATE(A21, ""en"", ""hi"")"),"20")</f>
        <v>20</v>
      </c>
      <c r="H21" s="8" t="str">
        <f>IFERROR(__xludf.DUMMYFUNCTION("GOOGLETRANSLATE(B21, ""en"", ""hi"")"),"खो_खो_5")</f>
        <v>खो_खो_5</v>
      </c>
      <c r="I21" s="8" t="str">
        <f>IFERROR(__xludf.DUMMYFUNCTION("GOOGLETRANSLATE(C21, ""en"", ""hi"")"),"चित्र में धावक का उद्देश्य क्या है?")</f>
        <v>चित्र में धावक का उद्देश्य क्या है?</v>
      </c>
      <c r="J21" s="8" t="str">
        <f>IFERROR(__xludf.DUMMYFUNCTION("GOOGLETRANSLATE(D21, ""en"", ""hi"")"),"A) टैग होने से बचने के लिए, B) अंक प्राप्त करने के लिए, C) फिनिश लाइन तक पहुंचने के लिए, D) बैटन पास करने के लिए")</f>
        <v>A) टैग होने से बचने के लिए, B) अंक प्राप्त करने के लिए, C) फिनिश लाइन तक पहुंचने के लिए, D) बैटन पास करने के लिए</v>
      </c>
      <c r="K21" s="8" t="str">
        <f>IFERROR(__xludf.DUMMYFUNCTION("GOOGLETRANSLATE(E21, ""en"", ""hi"")"),"A) टैग होने से बचने के लिए")</f>
        <v>A) टैग होने से बचने के लिए</v>
      </c>
    </row>
    <row r="22" ht="22.5" customHeight="1">
      <c r="A22" s="2">
        <v>21.0</v>
      </c>
      <c r="B22" s="3" t="s">
        <v>984</v>
      </c>
      <c r="C22" s="3" t="s">
        <v>985</v>
      </c>
      <c r="D22" s="3" t="s">
        <v>986</v>
      </c>
      <c r="E22" s="3" t="s">
        <v>987</v>
      </c>
      <c r="G22" s="8" t="str">
        <f>IFERROR(__xludf.DUMMYFUNCTION("GOOGLETRANSLATE(A22, ""en"", ""hi"")"),"21")</f>
        <v>21</v>
      </c>
      <c r="H22" s="8" t="str">
        <f>IFERROR(__xludf.DUMMYFUNCTION("GOOGLETRANSLATE(B22, ""en"", ""hi"")"),"खो_खो_6")</f>
        <v>खो_खो_6</v>
      </c>
      <c r="I22" s="8" t="str">
        <f>IFERROR(__xludf.DUMMYFUNCTION("GOOGLETRANSLATE(C22, ""en"", ""hi"")"),"चित्र में खो-खो से संबंधित कौन सी घटना दर्शाई गई है?")</f>
        <v>चित्र में खो-खो से संबंधित कौन सी घटना दर्शाई गई है?</v>
      </c>
      <c r="J22" s="8" t="str">
        <f>IFERROR(__xludf.DUMMYFUNCTION("GOOGLETRANSLATE(D22, ""en"", ""hi"")"),"ए) राष्ट्रीय चैम्पियनशिप, बी) केकेएफआई सुपर लीग चैम्पियनशिप, सी) राज्य स्तरीय टूर्नामेंट, डी) अंतर्राष्ट्रीय खो-खो कप")</f>
        <v>ए) राष्ट्रीय चैम्पियनशिप, बी) केकेएफआई सुपर लीग चैम्पियनशिप, सी) राज्य स्तरीय टूर्नामेंट, डी) अंतर्राष्ट्रीय खो-खो कप</v>
      </c>
      <c r="K22" s="8" t="str">
        <f>IFERROR(__xludf.DUMMYFUNCTION("GOOGLETRANSLATE(E22, ""en"", ""hi"")"),"बी) केकेएफआई सुपर लीग चैम्पियनशिप")</f>
        <v>बी) केकेएफआई सुपर लीग चैम्पियनशिप</v>
      </c>
    </row>
    <row r="23" ht="22.5" customHeight="1">
      <c r="A23" s="2">
        <v>22.0</v>
      </c>
      <c r="B23" s="3" t="s">
        <v>984</v>
      </c>
      <c r="C23" s="3" t="s">
        <v>988</v>
      </c>
      <c r="D23" s="3" t="s">
        <v>989</v>
      </c>
      <c r="E23" s="3" t="s">
        <v>990</v>
      </c>
      <c r="G23" s="8" t="str">
        <f>IFERROR(__xludf.DUMMYFUNCTION("GOOGLETRANSLATE(A23, ""en"", ""hi"")"),"22")</f>
        <v>22</v>
      </c>
      <c r="H23" s="8" t="str">
        <f>IFERROR(__xludf.DUMMYFUNCTION("GOOGLETRANSLATE(B23, ""en"", ""hi"")"),"खो_खो_6")</f>
        <v>खो_खो_6</v>
      </c>
      <c r="I23" s="8" t="str">
        <f>IFERROR(__xludf.DUMMYFUNCTION("GOOGLETRANSLATE(C23, ""en"", ""hi"")"),"चित्र में किस टीम को चैंपियन बताया गया है?")</f>
        <v>चित्र में किस टीम को चैंपियन बताया गया है?</v>
      </c>
      <c r="J23" s="8" t="str">
        <f>IFERROR(__xludf.DUMMYFUNCTION("GOOGLETRANSLATE(D23, ""en"", ""hi"")"),"A) माउंटेन वॉरियर्स, B) वैली किंग्स, C) पहाड़ी बिल्लियां, D) डेजर्ट लायंस")</f>
        <v>A) माउंटेन वॉरियर्स, B) वैली किंग्स, C) पहाड़ी बिल्लियां, D) डेजर्ट लायंस</v>
      </c>
      <c r="K23" s="8" t="str">
        <f>IFERROR(__xludf.DUMMYFUNCTION("GOOGLETRANSLATE(E23, ""en"", ""hi"")"),"C) पहाड़ी बिल्लियां")</f>
        <v>C) पहाड़ी बिल्लियां</v>
      </c>
    </row>
    <row r="24" ht="22.5" customHeight="1">
      <c r="A24" s="2">
        <v>23.0</v>
      </c>
      <c r="B24" s="3" t="s">
        <v>984</v>
      </c>
      <c r="C24" s="3" t="s">
        <v>991</v>
      </c>
      <c r="D24" s="3" t="s">
        <v>992</v>
      </c>
      <c r="E24" s="3" t="s">
        <v>993</v>
      </c>
      <c r="G24" s="8" t="str">
        <f>IFERROR(__xludf.DUMMYFUNCTION("GOOGLETRANSLATE(A24, ""en"", ""hi"")"),"23")</f>
        <v>23</v>
      </c>
      <c r="H24" s="8" t="str">
        <f>IFERROR(__xludf.DUMMYFUNCTION("GOOGLETRANSLATE(B24, ""en"", ""hi"")"),"खो_खो_6")</f>
        <v>खो_खो_6</v>
      </c>
      <c r="I24" s="8" t="str">
        <f>IFERROR(__xludf.DUMMYFUNCTION("GOOGLETRANSLATE(C24, ""en"", ""hi"")"),"चित्र में दिखाए गए उत्सव का संभावित कारण क्या है?")</f>
        <v>चित्र में दिखाए गए उत्सव का संभावित कारण क्या है?</v>
      </c>
      <c r="J24" s="8" t="str">
        <f>IFERROR(__xludf.DUMMYFUNCTION("GOOGLETRANSLATE(D24, ""en"", ""hi"")"),"A) मैच जीतना, B) प्रायोजन हासिल करना, C) चैंपियनशिप जीतना, D) टूर्नामेंट पूरा करना")</f>
        <v>A) मैच जीतना, B) प्रायोजन हासिल करना, C) चैंपियनशिप जीतना, D) टूर्नामेंट पूरा करना</v>
      </c>
      <c r="K24" s="8" t="str">
        <f>IFERROR(__xludf.DUMMYFUNCTION("GOOGLETRANSLATE(E24, ""en"", ""hi"")"),"C) चैंपियनशिप जीतना")</f>
        <v>C) चैंपियनशिप जीतना</v>
      </c>
    </row>
    <row r="25" ht="22.5" customHeight="1">
      <c r="A25" s="2">
        <v>24.0</v>
      </c>
      <c r="B25" s="3" t="s">
        <v>984</v>
      </c>
      <c r="C25" s="3" t="s">
        <v>994</v>
      </c>
      <c r="D25" s="3" t="s">
        <v>995</v>
      </c>
      <c r="E25" s="3" t="s">
        <v>996</v>
      </c>
      <c r="G25" s="8" t="str">
        <f>IFERROR(__xludf.DUMMYFUNCTION("GOOGLETRANSLATE(A25, ""en"", ""hi"")"),"24")</f>
        <v>24</v>
      </c>
      <c r="H25" s="8" t="str">
        <f>IFERROR(__xludf.DUMMYFUNCTION("GOOGLETRANSLATE(B25, ""en"", ""hi"")"),"खो_खो_6")</f>
        <v>खो_खो_6</v>
      </c>
      <c r="I25" s="8" t="str">
        <f>IFERROR(__xludf.DUMMYFUNCTION("GOOGLETRANSLATE(C25, ""en"", ""hi"")"),"चित्र में दिखाई गई घटना किस वर्ष घटित हुई थी?")</f>
        <v>चित्र में दिखाई गई घटना किस वर्ष घटित हुई थी?</v>
      </c>
      <c r="J25" s="8" t="str">
        <f>IFERROR(__xludf.DUMMYFUNCTION("GOOGLETRANSLATE(D25, ""en"", ""hi"")"),"ए) 2019, बी) 2020, सी) 2021, डी) 2022")</f>
        <v>ए) 2019, बी) 2020, सी) 2021, डी) 2022</v>
      </c>
      <c r="K25" s="8" t="str">
        <f>IFERROR(__xludf.DUMMYFUNCTION("GOOGLETRANSLATE(E25, ""en"", ""hi"")"),"सी) 2021")</f>
        <v>सी) 2021</v>
      </c>
    </row>
    <row r="26" ht="22.5" customHeight="1">
      <c r="A26" s="2">
        <v>25.0</v>
      </c>
      <c r="B26" s="3" t="s">
        <v>997</v>
      </c>
      <c r="C26" s="3" t="s">
        <v>998</v>
      </c>
      <c r="D26" s="3" t="s">
        <v>999</v>
      </c>
      <c r="E26" s="3" t="s">
        <v>1000</v>
      </c>
      <c r="G26" s="8" t="str">
        <f>IFERROR(__xludf.DUMMYFUNCTION("GOOGLETRANSLATE(A26, ""en"", ""hi"")"),"25")</f>
        <v>25</v>
      </c>
      <c r="H26" s="8" t="str">
        <f>IFERROR(__xludf.DUMMYFUNCTION("GOOGLETRANSLATE(B26, ""en"", ""hi"")"),"खो_खो_7")</f>
        <v>खो_खो_7</v>
      </c>
      <c r="I26" s="8" t="str">
        <f>IFERROR(__xludf.DUMMYFUNCTION("GOOGLETRANSLATE(C26, ""en"", ""hi"")"),"यह चित्र किस घटना से संबंधित है?")</f>
        <v>यह चित्र किस घटना से संबंधित है?</v>
      </c>
      <c r="J26" s="8" t="str">
        <f>IFERROR(__xludf.DUMMYFUNCTION("GOOGLETRANSLATE(D26, ""en"", ""hi"")"),"A) अल्टीमेट खो-खो 2022, B) खो-खो विश्व चैम्पियनशिप, C) राष्ट्रीय खो-खो लीग, D) राज्य खो-खो टूर्नामेंट")</f>
        <v>A) अल्टीमेट खो-खो 2022, B) खो-खो विश्व चैम्पियनशिप, C) राष्ट्रीय खो-खो लीग, D) राज्य खो-खो टूर्नामेंट</v>
      </c>
      <c r="K26" s="8" t="str">
        <f>IFERROR(__xludf.DUMMYFUNCTION("GOOGLETRANSLATE(E26, ""en"", ""hi"")"),"ए) अल्टीमेट खो-खो 2022")</f>
        <v>ए) अल्टीमेट खो-खो 2022</v>
      </c>
    </row>
    <row r="27" ht="22.5" customHeight="1">
      <c r="A27" s="2">
        <v>26.0</v>
      </c>
      <c r="B27" s="3" t="s">
        <v>997</v>
      </c>
      <c r="C27" s="3" t="s">
        <v>1001</v>
      </c>
      <c r="D27" s="3" t="s">
        <v>1002</v>
      </c>
      <c r="E27" s="3" t="s">
        <v>1003</v>
      </c>
      <c r="G27" s="8" t="str">
        <f>IFERROR(__xludf.DUMMYFUNCTION("GOOGLETRANSLATE(A27, ""en"", ""hi"")"),"26")</f>
        <v>26</v>
      </c>
      <c r="H27" s="8" t="str">
        <f>IFERROR(__xludf.DUMMYFUNCTION("GOOGLETRANSLATE(B27, ""en"", ""hi"")"),"खो_खो_7")</f>
        <v>खो_खो_7</v>
      </c>
      <c r="I27" s="8" t="str">
        <f>IFERROR(__xludf.DUMMYFUNCTION("GOOGLETRANSLATE(C27, ""en"", ""hi"")"),"अल्टीमेट खो-खो 2022 में उपविजेता के रूप में किस टीम का उल्लेख किया गया है?")</f>
        <v>अल्टीमेट खो-खो 2022 में उपविजेता के रूप में किस टीम का उल्लेख किया गया है?</v>
      </c>
      <c r="J27" s="8" t="str">
        <f>IFERROR(__xludf.DUMMYFUNCTION("GOOGLETRANSLATE(D27, ""en"", ""hi"")"),"ए) तेलुगु योद्धा, बी) मुंबई खिलाड़ी, सी) दिल्ली डायनामोज, डी) चेन्नई वॉरियर्स")</f>
        <v>ए) तेलुगु योद्धा, बी) मुंबई खिलाड़ी, सी) दिल्ली डायनामोज, डी) चेन्नई वॉरियर्स</v>
      </c>
      <c r="K27" s="8" t="str">
        <f>IFERROR(__xludf.DUMMYFUNCTION("GOOGLETRANSLATE(E27, ""en"", ""hi"")"),"A) तेलुगु योद्धा")</f>
        <v>A) तेलुगु योद्धा</v>
      </c>
    </row>
    <row r="28" ht="22.5" customHeight="1">
      <c r="A28" s="2">
        <v>27.0</v>
      </c>
      <c r="B28" s="3" t="s">
        <v>997</v>
      </c>
      <c r="C28" s="3" t="s">
        <v>1004</v>
      </c>
      <c r="D28" s="3" t="s">
        <v>1005</v>
      </c>
      <c r="E28" s="3" t="s">
        <v>1006</v>
      </c>
      <c r="G28" s="8" t="str">
        <f>IFERROR(__xludf.DUMMYFUNCTION("GOOGLETRANSLATE(A28, ""en"", ""hi"")"),"27")</f>
        <v>27</v>
      </c>
      <c r="H28" s="8" t="str">
        <f>IFERROR(__xludf.DUMMYFUNCTION("GOOGLETRANSLATE(B28, ""en"", ""hi"")"),"खो_खो_7")</f>
        <v>खो_खो_7</v>
      </c>
      <c r="I28" s="8" t="str">
        <f>IFERROR(__xludf.DUMMYFUNCTION("GOOGLETRANSLATE(C28, ""en"", ""hi"")"),"अल्टीमेट खो-खो 2022 में तेलुगु योद्धाओं ने कौन सा स्थान हासिल किया?")</f>
        <v>अल्टीमेट खो-खो 2022 में तेलुगु योद्धाओं ने कौन सा स्थान हासिल किया?</v>
      </c>
      <c r="J28" s="8" t="str">
        <f>IFERROR(__xludf.DUMMYFUNCTION("GOOGLETRANSLATE(D28, ""en"", ""hi"")"),"ए) विजेता, बी) उपविजेता, सी) सेमी-फाइनलिस्ट, डी) क्वार्टर-फाइनलिस्ट")</f>
        <v>ए) विजेता, बी) उपविजेता, सी) सेमी-फाइनलिस्ट, डी) क्वार्टर-फाइनलिस्ट</v>
      </c>
      <c r="K28" s="8" t="str">
        <f>IFERROR(__xludf.DUMMYFUNCTION("GOOGLETRANSLATE(E28, ""en"", ""hi"")"),"बी) उपविजेता")</f>
        <v>बी) उपविजेता</v>
      </c>
    </row>
    <row r="29" ht="22.5" customHeight="1">
      <c r="A29" s="2">
        <v>28.0</v>
      </c>
      <c r="B29" s="3" t="s">
        <v>997</v>
      </c>
      <c r="C29" s="3" t="s">
        <v>1007</v>
      </c>
      <c r="D29" s="3" t="s">
        <v>1008</v>
      </c>
      <c r="E29" s="3" t="s">
        <v>1009</v>
      </c>
      <c r="G29" s="8" t="str">
        <f>IFERROR(__xludf.DUMMYFUNCTION("GOOGLETRANSLATE(A29, ""en"", ""hi"")"),"28")</f>
        <v>28</v>
      </c>
      <c r="H29" s="8" t="str">
        <f>IFERROR(__xludf.DUMMYFUNCTION("GOOGLETRANSLATE(B29, ""en"", ""hi"")"),"खो_खो_7")</f>
        <v>खो_खो_7</v>
      </c>
      <c r="I29" s="8" t="str">
        <f>IFERROR(__xludf.DUMMYFUNCTION("GOOGLETRANSLATE(C29, ""en"", ""hi"")"),"तेलुगू योद्धाओं की भागीदारी वाली अल्टीमेट खो-खो प्रतियोगिता किस वर्ष आयोजित की गई थी?")</f>
        <v>तेलुगू योद्धाओं की भागीदारी वाली अल्टीमेट खो-खो प्रतियोगिता किस वर्ष आयोजित की गई थी?</v>
      </c>
      <c r="J29" s="8" t="str">
        <f>IFERROR(__xludf.DUMMYFUNCTION("GOOGLETRANSLATE(D29, ""en"", ""hi"")"),"ए) 2020, बी) 2021, सी) 2022, डी) 2023")</f>
        <v>ए) 2020, बी) 2021, सी) 2022, डी) 2023</v>
      </c>
      <c r="K29" s="8" t="str">
        <f>IFERROR(__xludf.DUMMYFUNCTION("GOOGLETRANSLATE(E29, ""en"", ""hi"")"),"सी) 2022")</f>
        <v>सी) 2022</v>
      </c>
    </row>
    <row r="30" ht="22.5" customHeight="1">
      <c r="A30" s="2">
        <v>29.0</v>
      </c>
      <c r="B30" s="3" t="s">
        <v>1010</v>
      </c>
      <c r="C30" s="3" t="s">
        <v>1011</v>
      </c>
      <c r="D30" s="3" t="s">
        <v>1012</v>
      </c>
      <c r="E30" s="3" t="s">
        <v>1013</v>
      </c>
      <c r="G30" s="8" t="str">
        <f>IFERROR(__xludf.DUMMYFUNCTION("GOOGLETRANSLATE(A30, ""en"", ""hi"")"),"29")</f>
        <v>29</v>
      </c>
      <c r="H30" s="8" t="str">
        <f>IFERROR(__xludf.DUMMYFUNCTION("GOOGLETRANSLATE(B30, ""en"", ""hi"")"),"खो_खो_8")</f>
        <v>खो_खो_8</v>
      </c>
      <c r="I30" s="8" t="str">
        <f>IFERROR(__xludf.DUMMYFUNCTION("GOOGLETRANSLATE(C30, ""en"", ""hi"")"),"जैसा कि चित्र में दिखाया गया है, अल्टीमेट खो-खो स्पर्धा के पहले मैच में कौन सी टीमें प्रतिस्पर्धा कर रही हैं?")</f>
        <v>जैसा कि चित्र में दिखाया गया है, अल्टीमेट खो-खो स्पर्धा के पहले मैच में कौन सी टीमें प्रतिस्पर्धा कर रही हैं?</v>
      </c>
      <c r="J30" s="8" t="str">
        <f>IFERROR(__xludf.DUMMYFUNCTION("GOOGLETRANSLATE(D30, ""en"", ""hi"")"),"ए) मुंबई खिलाड़ी बनाम चेन्नई क्विक गन्स, बी) गुजरात जायंट्स बनाम तेलुगु योद्धा, सी) मुंबई खिलाड़ी बनाम गुजरात जायंट्स, डी) चेन्नई क्विक गन्स बनाम गुजरात जायंट्स")</f>
        <v>ए) मुंबई खिलाड़ी बनाम चेन्नई क्विक गन्स, बी) गुजरात जायंट्स बनाम तेलुगु योद्धा, सी) मुंबई खिलाड़ी बनाम गुजरात जायंट्स, डी) चेन्नई क्विक गन्स बनाम गुजरात जायंट्स</v>
      </c>
      <c r="K30" s="8" t="str">
        <f>IFERROR(__xludf.DUMMYFUNCTION("GOOGLETRANSLATE(E30, ""en"", ""hi"")"),"सी) मुंबई खिलाड़ी बनाम गुजरात दिग्गज")</f>
        <v>सी) मुंबई खिलाड़ी बनाम गुजरात दिग्गज</v>
      </c>
    </row>
    <row r="31" ht="22.5" customHeight="1">
      <c r="A31" s="2">
        <v>30.0</v>
      </c>
      <c r="B31" s="3" t="s">
        <v>1010</v>
      </c>
      <c r="C31" s="3" t="s">
        <v>1014</v>
      </c>
      <c r="D31" s="3" t="s">
        <v>1015</v>
      </c>
      <c r="E31" s="3" t="s">
        <v>1016</v>
      </c>
      <c r="G31" s="8" t="str">
        <f>IFERROR(__xludf.DUMMYFUNCTION("GOOGLETRANSLATE(A31, ""en"", ""hi"")"),"30")</f>
        <v>30</v>
      </c>
      <c r="H31" s="8" t="str">
        <f>IFERROR(__xludf.DUMMYFUNCTION("GOOGLETRANSLATE(B31, ""en"", ""hi"")"),"खो_खो_8")</f>
        <v>खो_खो_8</v>
      </c>
      <c r="I31" s="8" t="str">
        <f>IFERROR(__xludf.DUMMYFUNCTION("GOOGLETRANSLATE(C31, ""en"", ""hi"")"),"चित्र के अनुसार अल्टीमेट खो-खो स्पर्धा के दूसरे मैच में कौन सी टीमें खेलेंगी?")</f>
        <v>चित्र के अनुसार अल्टीमेट खो-खो स्पर्धा के दूसरे मैच में कौन सी टीमें खेलेंगी?</v>
      </c>
      <c r="J31" s="8" t="str">
        <f>IFERROR(__xludf.DUMMYFUNCTION("GOOGLETRANSLATE(D31, ""en"", ""hi"")"),"ए) मुंबई खिलाड़ी बनाम गुजरात जायंट्स, बी) चेन्नई क्विक गन्स बनाम तेलुगु योद्धा, सी) मुंबई खिलाड़ी बनाम तेलुगु योद्धा, डी) चेन्नई क्विक गन्स बनाम गुजरात जायंट्स")</f>
        <v>ए) मुंबई खिलाड़ी बनाम गुजरात जायंट्स, बी) चेन्नई क्विक गन्स बनाम तेलुगु योद्धा, सी) मुंबई खिलाड़ी बनाम तेलुगु योद्धा, डी) चेन्नई क्विक गन्स बनाम गुजरात जायंट्स</v>
      </c>
      <c r="K31" s="8" t="str">
        <f>IFERROR(__xludf.DUMMYFUNCTION("GOOGLETRANSLATE(E31, ""en"", ""hi"")"),"बी) चेन्नई क्विक गन्स बनाम तेलुगु योद्धा")</f>
        <v>बी) चेन्नई क्विक गन्स बनाम तेलुगु योद्धा</v>
      </c>
    </row>
    <row r="32" ht="22.5" customHeight="1">
      <c r="A32" s="2">
        <v>31.0</v>
      </c>
      <c r="B32" s="3" t="s">
        <v>1010</v>
      </c>
      <c r="C32" s="3" t="s">
        <v>1017</v>
      </c>
      <c r="D32" s="3" t="s">
        <v>1018</v>
      </c>
      <c r="E32" s="3" t="s">
        <v>1019</v>
      </c>
      <c r="G32" s="8" t="str">
        <f>IFERROR(__xludf.DUMMYFUNCTION("GOOGLETRANSLATE(A32, ""en"", ""hi"")"),"31")</f>
        <v>31</v>
      </c>
      <c r="H32" s="8" t="str">
        <f>IFERROR(__xludf.DUMMYFUNCTION("GOOGLETRANSLATE(B32, ""en"", ""hi"")"),"खो_खो_8")</f>
        <v>खो_खो_8</v>
      </c>
      <c r="I32" s="8" t="str">
        <f>IFERROR(__xludf.DUMMYFUNCTION("GOOGLETRANSLATE(C32, ""en"", ""hi"")"),"जैसा कि चित्र में बताया गया है, अल्टीमेट खो-खो स्पर्धा में कितनी टीमें पदार्पण कर रही हैं?")</f>
        <v>जैसा कि चित्र में बताया गया है, अल्टीमेट खो-खो स्पर्धा में कितनी टीमें पदार्पण कर रही हैं?</v>
      </c>
      <c r="J32" s="8" t="str">
        <f>IFERROR(__xludf.DUMMYFUNCTION("GOOGLETRANSLATE(D32, ""en"", ""hi"")"),"A) तीन, B) चार, C) पाँच, D) छह")</f>
        <v>A) तीन, B) चार, C) पाँच, D) छह</v>
      </c>
      <c r="K32" s="8" t="str">
        <f>IFERROR(__xludf.DUMMYFUNCTION("GOOGLETRANSLATE(E32, ""en"", ""hi"")"),"बी) चार")</f>
        <v>बी) चार</v>
      </c>
    </row>
    <row r="33" ht="22.5" customHeight="1">
      <c r="A33" s="2">
        <v>32.0</v>
      </c>
      <c r="B33" s="3" t="s">
        <v>1010</v>
      </c>
      <c r="C33" s="3" t="s">
        <v>1020</v>
      </c>
      <c r="D33" s="3" t="s">
        <v>1021</v>
      </c>
      <c r="E33" s="3" t="s">
        <v>1022</v>
      </c>
      <c r="G33" s="8" t="str">
        <f>IFERROR(__xludf.DUMMYFUNCTION("GOOGLETRANSLATE(A33, ""en"", ""hi"")"),"32")</f>
        <v>32</v>
      </c>
      <c r="H33" s="8" t="str">
        <f>IFERROR(__xludf.DUMMYFUNCTION("GOOGLETRANSLATE(B33, ""en"", ""hi"")"),"खो_खो_8")</f>
        <v>खो_खो_8</v>
      </c>
      <c r="I33" s="8" t="str">
        <f>IFERROR(__xludf.DUMMYFUNCTION("GOOGLETRANSLATE(C33, ""en"", ""hi"")"),"अल्टीमेट खो-खो इवेंट से संबंधित छवि का प्राथमिक फोकस क्या है?")</f>
        <v>अल्टीमेट खो-खो इवेंट से संबंधित छवि का प्राथमिक फोकस क्या है?</v>
      </c>
      <c r="J33" s="8" t="str">
        <f>IFERROR(__xludf.DUMMYFUNCTION("GOOGLETRANSLATE(D33, ""en"", ""hi"")"),"ए) टीम रोस्टर, बी) मैच कार्यक्रम, सी) खिलाड़ी आँकड़े, डी) स्थल लेआउट")</f>
        <v>ए) टीम रोस्टर, बी) मैच कार्यक्रम, सी) खिलाड़ी आँकड़े, डी) स्थल लेआउट</v>
      </c>
      <c r="K33" s="8" t="str">
        <f>IFERROR(__xludf.DUMMYFUNCTION("GOOGLETRANSLATE(E33, ""en"", ""hi"")"),"बी) मैच कार्यक्रम")</f>
        <v>बी) मैच कार्यक्रम</v>
      </c>
    </row>
    <row r="34" ht="22.5" customHeight="1">
      <c r="A34" s="2">
        <v>33.0</v>
      </c>
      <c r="B34" s="3" t="s">
        <v>1023</v>
      </c>
      <c r="C34" s="3" t="s">
        <v>1024</v>
      </c>
      <c r="D34" s="3" t="s">
        <v>1025</v>
      </c>
      <c r="E34" s="3" t="s">
        <v>1026</v>
      </c>
      <c r="G34" s="8" t="str">
        <f>IFERROR(__xludf.DUMMYFUNCTION("GOOGLETRANSLATE(A34, ""en"", ""hi"")"),"33")</f>
        <v>33</v>
      </c>
      <c r="H34" s="8" t="str">
        <f>IFERROR(__xludf.DUMMYFUNCTION("GOOGLETRANSLATE(B34, ""en"", ""hi"")"),"खो_खो_9")</f>
        <v>खो_खो_9</v>
      </c>
      <c r="I34" s="8" t="str">
        <f>IFERROR(__xludf.DUMMYFUNCTION("GOOGLETRANSLATE(C34, ""en"", ""hi"")"),"जैसा कि चित्र में दिखाया गया है, अल्टीमेट खो-खो का कौन सा सीज़न 24 दिसंबर को शुरू होने वाला है?")</f>
        <v>जैसा कि चित्र में दिखाया गया है, अल्टीमेट खो-खो का कौन सा सीज़न 24 दिसंबर को शुरू होने वाला है?</v>
      </c>
      <c r="J34" s="8" t="str">
        <f>IFERROR(__xludf.DUMMYFUNCTION("GOOGLETRANSLATE(D34, ""en"", ""hi"")"),"ए) सीज़न 1, बी) सीज़न 2, सी) सीज़न 3, डी) सीज़न 4")</f>
        <v>ए) सीज़न 1, बी) सीज़न 2, सी) सीज़न 3, डी) सीज़न 4</v>
      </c>
      <c r="K34" s="8" t="str">
        <f>IFERROR(__xludf.DUMMYFUNCTION("GOOGLETRANSLATE(E34, ""en"", ""hi"")"),"बी) सीज़न 2")</f>
        <v>बी) सीज़न 2</v>
      </c>
    </row>
    <row r="35" ht="22.5" customHeight="1">
      <c r="A35" s="2">
        <v>34.0</v>
      </c>
      <c r="B35" s="3" t="s">
        <v>1023</v>
      </c>
      <c r="C35" s="3" t="s">
        <v>1027</v>
      </c>
      <c r="D35" s="3" t="s">
        <v>1028</v>
      </c>
      <c r="E35" s="3" t="s">
        <v>1029</v>
      </c>
      <c r="G35" s="8" t="str">
        <f>IFERROR(__xludf.DUMMYFUNCTION("GOOGLETRANSLATE(A35, ""en"", ""hi"")"),"34")</f>
        <v>34</v>
      </c>
      <c r="H35" s="8" t="str">
        <f>IFERROR(__xludf.DUMMYFUNCTION("GOOGLETRANSLATE(B35, ""en"", ""hi"")"),"खो_खो_9")</f>
        <v>खो_खो_9</v>
      </c>
      <c r="I35" s="8" t="str">
        <f>IFERROR(__xludf.DUMMYFUNCTION("GOOGLETRANSLATE(C35, ""en"", ""hi"")"),"अल्टीमेट खो-खो 2023-24 में कितनी टीमें भाग ले रही हैं?")</f>
        <v>अल्टीमेट खो-खो 2023-24 में कितनी टीमें भाग ले रही हैं?</v>
      </c>
      <c r="J35" s="8" t="str">
        <f>IFERROR(__xludf.DUMMYFUNCTION("GOOGLETRANSLATE(D35, ""en"", ""hi"")"),"A) चार, B) पाँच, C) छह, D) सात")</f>
        <v>A) चार, B) पाँच, C) छह, D) सात</v>
      </c>
      <c r="K35" s="8" t="str">
        <f>IFERROR(__xludf.DUMMYFUNCTION("GOOGLETRANSLATE(E35, ""en"", ""hi"")"),"सी) छह")</f>
        <v>सी) छह</v>
      </c>
    </row>
    <row r="36" ht="22.5" customHeight="1">
      <c r="A36" s="2">
        <v>35.0</v>
      </c>
      <c r="B36" s="3" t="s">
        <v>1023</v>
      </c>
      <c r="C36" s="3" t="s">
        <v>1030</v>
      </c>
      <c r="D36" s="3" t="s">
        <v>1031</v>
      </c>
      <c r="E36" s="3" t="s">
        <v>1032</v>
      </c>
      <c r="G36" s="8" t="str">
        <f>IFERROR(__xludf.DUMMYFUNCTION("GOOGLETRANSLATE(A36, ""en"", ""hi"")"),"35")</f>
        <v>35</v>
      </c>
      <c r="H36" s="8" t="str">
        <f>IFERROR(__xludf.DUMMYFUNCTION("GOOGLETRANSLATE(B36, ""en"", ""hi"")"),"खो_खो_9")</f>
        <v>खो_खो_9</v>
      </c>
      <c r="I36" s="8" t="str">
        <f>IFERROR(__xludf.DUMMYFUNCTION("GOOGLETRANSLATE(C36, ""en"", ""hi"")"),"अल्टीमेट खो-खो 2023-24 सीज़न किस राज्य में शुरू होगा?")</f>
        <v>अल्टीमेट खो-खो 2023-24 सीज़न किस राज्य में शुरू होगा?</v>
      </c>
      <c r="J36" s="8" t="str">
        <f>IFERROR(__xludf.DUMMYFUNCTION("GOOGLETRANSLATE(D36, ""en"", ""hi"")"),"ए) महाराष्ट्र, बी) कर्नाटक, सी) ओडिशा, डी) गुजरात")</f>
        <v>ए) महाराष्ट्र, बी) कर्नाटक, सी) ओडिशा, डी) गुजरात</v>
      </c>
      <c r="K36" s="8" t="str">
        <f>IFERROR(__xludf.DUMMYFUNCTION("GOOGLETRANSLATE(E36, ""en"", ""hi"")"),"C) ओडिशा")</f>
        <v>C) ओडिशा</v>
      </c>
    </row>
    <row r="37" ht="22.5" customHeight="1">
      <c r="A37" s="2">
        <v>36.0</v>
      </c>
      <c r="B37" s="3" t="s">
        <v>1023</v>
      </c>
      <c r="C37" s="3" t="s">
        <v>1033</v>
      </c>
      <c r="D37" s="3" t="s">
        <v>1034</v>
      </c>
      <c r="E37" s="3" t="s">
        <v>1035</v>
      </c>
      <c r="G37" s="8" t="str">
        <f>IFERROR(__xludf.DUMMYFUNCTION("GOOGLETRANSLATE(A37, ""en"", ""hi"")"),"36")</f>
        <v>36</v>
      </c>
      <c r="H37" s="8" t="str">
        <f>IFERROR(__xludf.DUMMYFUNCTION("GOOGLETRANSLATE(B37, ""en"", ""hi"")"),"खो_खो_9")</f>
        <v>खो_खो_9</v>
      </c>
      <c r="I37" s="8" t="str">
        <f>IFERROR(__xludf.DUMMYFUNCTION("GOOGLETRANSLATE(C37, ""en"", ""hi"")"),"अल्टीमेट खो-खो 2023-24 सीज़न कब शुरू होगा?")</f>
        <v>अल्टीमेट खो-खो 2023-24 सीज़न कब शुरू होगा?</v>
      </c>
      <c r="J37" s="8" t="str">
        <f>IFERROR(__xludf.DUMMYFUNCTION("GOOGLETRANSLATE(D37, ""en"", ""hi"")"),"ए) 24 नवंबर, बी) 24 दिसंबर, सी) 24 जनवरी, डी) 24 फरवरी")</f>
        <v>ए) 24 नवंबर, बी) 24 दिसंबर, सी) 24 जनवरी, डी) 24 फरवरी</v>
      </c>
      <c r="K37" s="8" t="str">
        <f>IFERROR(__xludf.DUMMYFUNCTION("GOOGLETRANSLATE(E37, ""en"", ""hi"")"),"बी) 24 दिसंबर")</f>
        <v>बी) 24 दिसंबर</v>
      </c>
    </row>
    <row r="38" ht="22.5" customHeight="1">
      <c r="A38" s="2">
        <v>37.0</v>
      </c>
      <c r="B38" s="3" t="s">
        <v>1036</v>
      </c>
      <c r="C38" s="3" t="s">
        <v>1037</v>
      </c>
      <c r="D38" s="3" t="s">
        <v>1038</v>
      </c>
      <c r="E38" s="3" t="s">
        <v>1039</v>
      </c>
      <c r="G38" s="8" t="str">
        <f>IFERROR(__xludf.DUMMYFUNCTION("GOOGLETRANSLATE(A38, ""en"", ""hi"")"),"37")</f>
        <v>37</v>
      </c>
      <c r="H38" s="8" t="str">
        <f>IFERROR(__xludf.DUMMYFUNCTION("GOOGLETRANSLATE(B38, ""en"", ""hi"")"),"खो_खो_10")</f>
        <v>खो_खो_10</v>
      </c>
      <c r="I38" s="8" t="str">
        <f>IFERROR(__xludf.DUMMYFUNCTION("GOOGLETRANSLATE(C38, ""en"", ""hi"")"),"चित्र में किस प्रकार की घटना को दर्शाया गया है?")</f>
        <v>चित्र में किस प्रकार की घटना को दर्शाया गया है?</v>
      </c>
      <c r="J38" s="8" t="str">
        <f>IFERROR(__xludf.DUMMYFUNCTION("GOOGLETRANSLATE(D38, ""en"", ""hi"")"),"ए) प्री-सीज़न प्रशिक्षण, बी) टीम घोषणाएँ, सी) सीज़न की शुरुआत, डी) चैंपियनशिप फ़ाइनल")</f>
        <v>ए) प्री-सीज़न प्रशिक्षण, बी) टीम घोषणाएँ, सी) सीज़न की शुरुआत, डी) चैंपियनशिप फ़ाइनल</v>
      </c>
      <c r="K38" s="8" t="str">
        <f>IFERROR(__xludf.DUMMYFUNCTION("GOOGLETRANSLATE(E38, ""en"", ""hi"")"),"C) सीज़न की शुरुआत")</f>
        <v>C) सीज़न की शुरुआत</v>
      </c>
    </row>
    <row r="39" ht="22.5" customHeight="1">
      <c r="A39" s="2">
        <v>38.0</v>
      </c>
      <c r="B39" s="3" t="s">
        <v>1036</v>
      </c>
      <c r="C39" s="3" t="s">
        <v>1040</v>
      </c>
      <c r="D39" s="3" t="s">
        <v>1041</v>
      </c>
      <c r="E39" s="3" t="s">
        <v>1042</v>
      </c>
      <c r="G39" s="8" t="str">
        <f>IFERROR(__xludf.DUMMYFUNCTION("GOOGLETRANSLATE(A39, ""en"", ""hi"")"),"38")</f>
        <v>38</v>
      </c>
      <c r="H39" s="8" t="str">
        <f>IFERROR(__xludf.DUMMYFUNCTION("GOOGLETRANSLATE(B39, ""en"", ""hi"")"),"खो_खो_10")</f>
        <v>खो_खो_10</v>
      </c>
      <c r="I39" s="8" t="str">
        <f>IFERROR(__xludf.DUMMYFUNCTION("GOOGLETRANSLATE(C39, ""en"", ""hi"")"),"अल्टीमेट खो-खो से संबंधित छवि का प्राथमिक फोकस क्या है?")</f>
        <v>अल्टीमेट खो-खो से संबंधित छवि का प्राथमिक फोकस क्या है?</v>
      </c>
      <c r="J39" s="8" t="str">
        <f>IFERROR(__xludf.DUMMYFUNCTION("GOOGLETRANSLATE(D39, ""en"", ""hi"")"),"ए) खिलाड़ी आँकड़े, बी) मैच कार्यक्रम, सी) टीम की वर्दी, डी) सीज़न की शुरुआत")</f>
        <v>ए) खिलाड़ी आँकड़े, बी) मैच कार्यक्रम, सी) टीम की वर्दी, डी) सीज़न की शुरुआत</v>
      </c>
      <c r="K39" s="8" t="str">
        <f>IFERROR(__xludf.DUMMYFUNCTION("GOOGLETRANSLATE(E39, ""en"", ""hi"")"),"D) सीज़न की शुरुआत")</f>
        <v>D) सीज़न की शुरुआत</v>
      </c>
    </row>
    <row r="40" ht="22.5" customHeight="1">
      <c r="A40" s="2">
        <v>39.0</v>
      </c>
      <c r="B40" s="3" t="s">
        <v>1036</v>
      </c>
      <c r="C40" s="3" t="s">
        <v>1043</v>
      </c>
      <c r="D40" s="3" t="s">
        <v>1044</v>
      </c>
      <c r="E40" s="3" t="s">
        <v>1045</v>
      </c>
      <c r="G40" s="8" t="str">
        <f>IFERROR(__xludf.DUMMYFUNCTION("GOOGLETRANSLATE(A40, ""en"", ""hi"")"),"39")</f>
        <v>39</v>
      </c>
      <c r="H40" s="8" t="str">
        <f>IFERROR(__xludf.DUMMYFUNCTION("GOOGLETRANSLATE(B40, ""en"", ""hi"")"),"खो_खो_10")</f>
        <v>खो_खो_10</v>
      </c>
      <c r="I40" s="8" t="str">
        <f>IFERROR(__xludf.DUMMYFUNCTION("GOOGLETRANSLATE(C40, ""en"", ""hi"")"),"अल्टीमेट खो-खो इवेंट से संबंधित छवि में कौन सा खेल दिखाया गया है?")</f>
        <v>अल्टीमेट खो-खो इवेंट से संबंधित छवि में कौन सा खेल दिखाया गया है?</v>
      </c>
      <c r="J40" s="8" t="str">
        <f>IFERROR(__xludf.DUMMYFUNCTION("GOOGLETRANSLATE(D40, ""en"", ""hi"")"),"A) क्रिकेट, B) वॉलीबॉल, C) खो-खो, D) कबड्डी")</f>
        <v>A) क्रिकेट, B) वॉलीबॉल, C) खो-खो, D) कबड्डी</v>
      </c>
      <c r="K40" s="8" t="str">
        <f>IFERROR(__xludf.DUMMYFUNCTION("GOOGLETRANSLATE(E40, ""en"", ""hi"")"),"C) खो-खो")</f>
        <v>C) खो-खो</v>
      </c>
    </row>
    <row r="41" ht="22.5" customHeight="1">
      <c r="A41" s="2">
        <v>40.0</v>
      </c>
      <c r="B41" s="3" t="s">
        <v>1036</v>
      </c>
      <c r="C41" s="3" t="s">
        <v>1046</v>
      </c>
      <c r="D41" s="3" t="s">
        <v>1047</v>
      </c>
      <c r="E41" s="3" t="s">
        <v>1048</v>
      </c>
      <c r="G41" s="8" t="str">
        <f>IFERROR(__xludf.DUMMYFUNCTION("GOOGLETRANSLATE(A41, ""en"", ""hi"")"),"40")</f>
        <v>40</v>
      </c>
      <c r="H41" s="8" t="str">
        <f>IFERROR(__xludf.DUMMYFUNCTION("GOOGLETRANSLATE(B41, ""en"", ""hi"")"),"खो_खो_10")</f>
        <v>खो_खो_10</v>
      </c>
      <c r="I41" s="8" t="str">
        <f>IFERROR(__xludf.DUMMYFUNCTION("GOOGLETRANSLATE(C41, ""en"", ""hi"")"),"अल्टीमेट खो-खो 2023-24 सीज़न के संदर्भ में 24 दिसंबर का क्या महत्व है?")</f>
        <v>अल्टीमेट खो-खो 2023-24 सीज़न के संदर्भ में 24 दिसंबर का क्या महत्व है?</v>
      </c>
      <c r="J41" s="8" t="str">
        <f>IFERROR(__xludf.DUMMYFUNCTION("GOOGLETRANSLATE(D41, ""en"", ""hi"")"),"ए) टीम चयन तिथि, बी) सीज़न प्रारंभ तिथि, सी) चैम्पियनशिप तिथि, डी) खिलाड़ी ड्राफ्ट तिथि")</f>
        <v>ए) टीम चयन तिथि, बी) सीज़न प्रारंभ तिथि, सी) चैम्पियनशिप तिथि, डी) खिलाड़ी ड्राफ्ट तिथि</v>
      </c>
      <c r="K41" s="8" t="str">
        <f>IFERROR(__xludf.DUMMYFUNCTION("GOOGLETRANSLATE(E41, ""en"", ""hi"")"),"बी) सीज़न शुरू होने की तारीख")</f>
        <v>बी) सीज़न शुरू होने की तारीख</v>
      </c>
    </row>
    <row r="42" ht="22.5" customHeight="1">
      <c r="A42" s="2">
        <v>41.0</v>
      </c>
      <c r="B42" s="3" t="s">
        <v>1049</v>
      </c>
      <c r="C42" s="3" t="s">
        <v>1050</v>
      </c>
      <c r="D42" s="3" t="s">
        <v>1051</v>
      </c>
      <c r="E42" s="3" t="s">
        <v>1052</v>
      </c>
      <c r="G42" s="8" t="str">
        <f>IFERROR(__xludf.DUMMYFUNCTION("GOOGLETRANSLATE(A42, ""en"", ""hi"")"),"41")</f>
        <v>41</v>
      </c>
      <c r="H42" s="8" t="str">
        <f>IFERROR(__xludf.DUMMYFUNCTION("GOOGLETRANSLATE(B42, ""en"", ""hi"")"),"खो_खो_11")</f>
        <v>खो_खो_11</v>
      </c>
      <c r="I42" s="8" t="str">
        <f>IFERROR(__xludf.DUMMYFUNCTION("GOOGLETRANSLATE(C42, ""en"", ""hi"")"),"चित्र में दिखाए अनुसार अल्टीमेट खो-खो लीग ट्रॉफी किस टीम ने जीती?")</f>
        <v>चित्र में दिखाए अनुसार अल्टीमेट खो-खो लीग ट्रॉफी किस टीम ने जीती?</v>
      </c>
      <c r="J42" s="8" t="str">
        <f>IFERROR(__xludf.DUMMYFUNCTION("GOOGLETRANSLATE(D42, ""en"", ""hi"")"),"ए) मुंबई खिलाड़ी, बी) गुजरात जायंट्स, सी) चेन्नई क्विक गन्स, डी) तेलुगु योद्धा")</f>
        <v>ए) मुंबई खिलाड़ी, बी) गुजरात जायंट्स, सी) चेन्नई क्विक गन्स, डी) तेलुगु योद्धा</v>
      </c>
      <c r="K42" s="8" t="str">
        <f>IFERROR(__xludf.DUMMYFUNCTION("GOOGLETRANSLATE(E42, ""en"", ""hi"")"),"बी) गुजरात जायंट्स")</f>
        <v>बी) गुजरात जायंट्स</v>
      </c>
    </row>
    <row r="43" ht="22.5" customHeight="1">
      <c r="A43" s="2">
        <v>42.0</v>
      </c>
      <c r="B43" s="3" t="s">
        <v>1049</v>
      </c>
      <c r="C43" s="3" t="s">
        <v>1053</v>
      </c>
      <c r="D43" s="3" t="s">
        <v>1054</v>
      </c>
      <c r="E43" s="3" t="s">
        <v>1055</v>
      </c>
      <c r="G43" s="8" t="str">
        <f>IFERROR(__xludf.DUMMYFUNCTION("GOOGLETRANSLATE(A43, ""en"", ""hi"")"),"42")</f>
        <v>42</v>
      </c>
      <c r="H43" s="8" t="str">
        <f>IFERROR(__xludf.DUMMYFUNCTION("GOOGLETRANSLATE(B43, ""en"", ""hi"")"),"खो_खो_11")</f>
        <v>खो_खो_11</v>
      </c>
      <c r="I43" s="8" t="str">
        <f>IFERROR(__xludf.DUMMYFUNCTION("GOOGLETRANSLATE(C43, ""en"", ""hi"")"),"खो-खो से संबंधित छवि का प्राथमिक फोकस क्या है?")</f>
        <v>खो-खो से संबंधित छवि का प्राथमिक फोकस क्या है?</v>
      </c>
      <c r="J43" s="8" t="str">
        <f>IFERROR(__xludf.DUMMYFUNCTION("GOOGLETRANSLATE(D43, ""en"", ""hi"")"),"ए) टीम प्रशिक्षण, बी) मैच कार्यक्रम, सी) ट्रॉफी प्रस्तुति, डी) खिलाड़ी ड्राफ्ट")</f>
        <v>ए) टीम प्रशिक्षण, बी) मैच कार्यक्रम, सी) ट्रॉफी प्रस्तुति, डी) खिलाड़ी ड्राफ्ट</v>
      </c>
      <c r="K43" s="8" t="str">
        <f>IFERROR(__xludf.DUMMYFUNCTION("GOOGLETRANSLATE(E43, ""en"", ""hi"")"),"C) ट्रॉफी प्रस्तुति")</f>
        <v>C) ट्रॉफी प्रस्तुति</v>
      </c>
    </row>
    <row r="44" ht="22.5" customHeight="1">
      <c r="A44" s="2">
        <v>43.0</v>
      </c>
      <c r="B44" s="3" t="s">
        <v>1049</v>
      </c>
      <c r="C44" s="3" t="s">
        <v>1056</v>
      </c>
      <c r="D44" s="3" t="s">
        <v>1057</v>
      </c>
      <c r="E44" s="3" t="s">
        <v>1058</v>
      </c>
      <c r="G44" s="8" t="str">
        <f>IFERROR(__xludf.DUMMYFUNCTION("GOOGLETRANSLATE(A44, ""en"", ""hi"")"),"43")</f>
        <v>43</v>
      </c>
      <c r="H44" s="8" t="str">
        <f>IFERROR(__xludf.DUMMYFUNCTION("GOOGLETRANSLATE(B44, ""en"", ""hi"")"),"खो_खो_11")</f>
        <v>खो_खो_11</v>
      </c>
      <c r="I44" s="8" t="str">
        <f>IFERROR(__xludf.DUMMYFUNCTION("GOOGLETRANSLATE(C44, ""en"", ""hi"")"),"चित्र में किस प्रकार की घटना दर्शायी गयी है?")</f>
        <v>चित्र में किस प्रकार की घटना दर्शायी गयी है?</v>
      </c>
      <c r="J44" s="8" t="str">
        <f>IFERROR(__xludf.DUMMYFUNCTION("GOOGLETRANSLATE(D44, ""en"", ""hi"")"),"ए) प्री-सीजन मैच, बी) लीग फाइनल, सी) टीम अभ्यास, डी) चैंपियनशिप उद्घाटन")</f>
        <v>ए) प्री-सीजन मैच, बी) लीग फाइनल, सी) टीम अभ्यास, डी) चैंपियनशिप उद्घाटन</v>
      </c>
      <c r="K44" s="8" t="str">
        <f>IFERROR(__xludf.DUMMYFUNCTION("GOOGLETRANSLATE(E44, ""en"", ""hi"")"),"बी) लीग फाइनल")</f>
        <v>बी) लीग फाइनल</v>
      </c>
    </row>
    <row r="45" ht="22.5" customHeight="1">
      <c r="A45" s="2">
        <v>44.0</v>
      </c>
      <c r="B45" s="3" t="s">
        <v>1049</v>
      </c>
      <c r="C45" s="3" t="s">
        <v>1059</v>
      </c>
      <c r="D45" s="3" t="s">
        <v>1060</v>
      </c>
      <c r="E45" s="3" t="s">
        <v>1045</v>
      </c>
      <c r="G45" s="8" t="str">
        <f>IFERROR(__xludf.DUMMYFUNCTION("GOOGLETRANSLATE(A45, ""en"", ""hi"")"),"44")</f>
        <v>44</v>
      </c>
      <c r="H45" s="8" t="str">
        <f>IFERROR(__xludf.DUMMYFUNCTION("GOOGLETRANSLATE(B45, ""en"", ""hi"")"),"खो_खो_11")</f>
        <v>खो_खो_11</v>
      </c>
      <c r="I45" s="8" t="str">
        <f>IFERROR(__xludf.DUMMYFUNCTION("GOOGLETRANSLATE(C45, ""en"", ""hi"")"),"चित्र में प्रस्तुत की जा रही ट्रॉफी किस खेल से संबंधित है?")</f>
        <v>चित्र में प्रस्तुत की जा रही ट्रॉफी किस खेल से संबंधित है?</v>
      </c>
      <c r="J45" s="8" t="str">
        <f>IFERROR(__xludf.DUMMYFUNCTION("GOOGLETRANSLATE(D45, ""en"", ""hi"")"),"A) कबड्डी, B) क्रिकेट, C) खो-खो, D) वॉलीबॉल")</f>
        <v>A) कबड्डी, B) क्रिकेट, C) खो-खो, D) वॉलीबॉल</v>
      </c>
      <c r="K45" s="8" t="str">
        <f>IFERROR(__xludf.DUMMYFUNCTION("GOOGLETRANSLATE(E45, ""en"", ""hi"")"),"C) खो-खो")</f>
        <v>C) खो-खो</v>
      </c>
    </row>
    <row r="46" ht="22.5" customHeight="1">
      <c r="A46" s="2">
        <v>45.0</v>
      </c>
      <c r="B46" s="3" t="s">
        <v>1061</v>
      </c>
      <c r="C46" s="3" t="s">
        <v>1062</v>
      </c>
      <c r="D46" s="3" t="s">
        <v>1063</v>
      </c>
      <c r="E46" s="3" t="s">
        <v>1064</v>
      </c>
      <c r="G46" s="8" t="str">
        <f>IFERROR(__xludf.DUMMYFUNCTION("GOOGLETRANSLATE(A46, ""en"", ""hi"")"),"45")</f>
        <v>45</v>
      </c>
      <c r="H46" s="8" t="str">
        <f>IFERROR(__xludf.DUMMYFUNCTION("GOOGLETRANSLATE(B46, ""en"", ""hi"")"),"खो_खो_12")</f>
        <v>खो_खो_12</v>
      </c>
      <c r="I46" s="8" t="str">
        <f>IFERROR(__xludf.DUMMYFUNCTION("GOOGLETRANSLATE(C46, ""en"", ""hi"")"),"चित्र में दिखाए गए अल्टीमेट खो-खो मैच में किन दो टीमों ने जीत दर्ज की?")</f>
        <v>चित्र में दिखाए गए अल्टीमेट खो-खो मैच में किन दो टीमों ने जीत दर्ज की?</v>
      </c>
      <c r="J46" s="8" t="str">
        <f>IFERROR(__xludf.DUMMYFUNCTION("GOOGLETRANSLATE(D46, ""en"", ""hi"")"),"A) गुजरात जायंट्स और राजस्थान वॉरियर्स, B) गुजरात जायंट्स और तेलुगु योद्धा, C) तेलुगु योद्धा और राजस्थान वॉरियर्स, D) गुजरात जायंट्स और ओडिशा")</f>
        <v>A) गुजरात जायंट्स और राजस्थान वॉरियर्स, B) गुजरात जायंट्स और तेलुगु योद्धा, C) तेलुगु योद्धा और राजस्थान वॉरियर्स, D) गुजरात जायंट्स और ओडिशा</v>
      </c>
      <c r="K46" s="8" t="str">
        <f>IFERROR(__xludf.DUMMYFUNCTION("GOOGLETRANSLATE(E46, ""en"", ""hi"")"),"बी) गुजरात दिग्गज और तेलुगु योद्धा")</f>
        <v>बी) गुजरात दिग्गज और तेलुगु योद्धा</v>
      </c>
    </row>
    <row r="47" ht="22.5" customHeight="1">
      <c r="A47" s="2">
        <v>46.0</v>
      </c>
      <c r="B47" s="3" t="s">
        <v>1061</v>
      </c>
      <c r="C47" s="3" t="s">
        <v>1065</v>
      </c>
      <c r="D47" s="3" t="s">
        <v>1066</v>
      </c>
      <c r="E47" s="3" t="s">
        <v>1067</v>
      </c>
      <c r="G47" s="8" t="str">
        <f>IFERROR(__xludf.DUMMYFUNCTION("GOOGLETRANSLATE(A47, ""en"", ""hi"")"),"46")</f>
        <v>46</v>
      </c>
      <c r="H47" s="8" t="str">
        <f>IFERROR(__xludf.DUMMYFUNCTION("GOOGLETRANSLATE(B47, ""en"", ""hi"")"),"खो_खो_12")</f>
        <v>खो_खो_12</v>
      </c>
      <c r="I47" s="8" t="str">
        <f>IFERROR(__xludf.DUMMYFUNCTION("GOOGLETRANSLATE(C47, ""en"", ""hi"")"),"अल्टीमेट खो-खो लीग में गुजरात जायंट्स और ओडिशा के बीच मैच का परिणाम क्या रहा?")</f>
        <v>अल्टीमेट खो-खो लीग में गुजरात जायंट्स और ओडिशा के बीच मैच का परिणाम क्या रहा?</v>
      </c>
      <c r="J47" s="8" t="str">
        <f>IFERROR(__xludf.DUMMYFUNCTION("GOOGLETRANSLATE(D47, ""en"", ""hi"")"),"A) गुजरात जायंट्स 5 अंकों से जीता, B) गुजरात जायंट्स 21 अंकों से जीता, C) ओडिशा 5 अंकों से जीता, D) ओडिशा 21 अंकों से जीता")</f>
        <v>A) गुजरात जायंट्स 5 अंकों से जीता, B) गुजरात जायंट्स 21 अंकों से जीता, C) ओडिशा 5 अंकों से जीता, D) ओडिशा 21 अंकों से जीता</v>
      </c>
      <c r="K47" s="8" t="str">
        <f>IFERROR(__xludf.DUMMYFUNCTION("GOOGLETRANSLATE(E47, ""en"", ""hi"")"),"A) गुजरात जायंट्स 5 अंकों से जीता")</f>
        <v>A) गुजरात जायंट्स 5 अंकों से जीता</v>
      </c>
    </row>
    <row r="48" ht="22.5" customHeight="1">
      <c r="A48" s="2">
        <v>47.0</v>
      </c>
      <c r="B48" s="3" t="s">
        <v>1061</v>
      </c>
      <c r="C48" s="3" t="s">
        <v>1068</v>
      </c>
      <c r="D48" s="3" t="s">
        <v>1069</v>
      </c>
      <c r="E48" s="3" t="s">
        <v>1070</v>
      </c>
      <c r="G48" s="8" t="str">
        <f>IFERROR(__xludf.DUMMYFUNCTION("GOOGLETRANSLATE(A48, ""en"", ""hi"")"),"47")</f>
        <v>47</v>
      </c>
      <c r="H48" s="8" t="str">
        <f>IFERROR(__xludf.DUMMYFUNCTION("GOOGLETRANSLATE(B48, ""en"", ""hi"")"),"खो_खो_12")</f>
        <v>खो_खो_12</v>
      </c>
      <c r="I48" s="8" t="str">
        <f>IFERROR(__xludf.DUMMYFUNCTION("GOOGLETRANSLATE(C48, ""en"", ""hi"")"),"तेलुगू योद्धाओं ने राजस्थान वॉरियर्स के खिलाफ मैच कैसे जीता?")</f>
        <v>तेलुगू योद्धाओं ने राजस्थान वॉरियर्स के खिलाफ मैच कैसे जीता?</v>
      </c>
      <c r="J48" s="8" t="str">
        <f>IFERROR(__xludf.DUMMYFUNCTION("GOOGLETRANSLATE(D48, ""en"", ""hi"")"),"A) पांच अंकों की करीबी जीत से, B) एक अंक की मामूली जीत से, C) 21 अंकों से, D) 10 अंकों से")</f>
        <v>A) पांच अंकों की करीबी जीत से, B) एक अंक की मामूली जीत से, C) 21 अंकों से, D) 10 अंकों से</v>
      </c>
      <c r="K48" s="8" t="str">
        <f>IFERROR(__xludf.DUMMYFUNCTION("GOOGLETRANSLATE(E48, ""en"", ""hi"")"),"C) 21 अंकों से")</f>
        <v>C) 21 अंकों से</v>
      </c>
    </row>
    <row r="49" ht="22.5" customHeight="1">
      <c r="A49" s="2">
        <v>48.0</v>
      </c>
      <c r="B49" s="3" t="s">
        <v>1061</v>
      </c>
      <c r="C49" s="3" t="s">
        <v>1071</v>
      </c>
      <c r="D49" s="3" t="s">
        <v>1072</v>
      </c>
      <c r="E49" s="3" t="s">
        <v>1073</v>
      </c>
      <c r="G49" s="8" t="str">
        <f>IFERROR(__xludf.DUMMYFUNCTION("GOOGLETRANSLATE(A49, ""en"", ""hi"")"),"48")</f>
        <v>48</v>
      </c>
      <c r="H49" s="8" t="str">
        <f>IFERROR(__xludf.DUMMYFUNCTION("GOOGLETRANSLATE(B49, ""en"", ""hi"")"),"खो_खो_12")</f>
        <v>खो_खो_12</v>
      </c>
      <c r="I49" s="8" t="str">
        <f>IFERROR(__xludf.DUMMYFUNCTION("GOOGLETRANSLATE(C49, ""en"", ""hi"")"),"चित्र में दर्शाए गए अल्टीमेट खो-खो मैच की तिथि और स्थान क्या है?")</f>
        <v>चित्र में दर्शाए गए अल्टीमेट खो-खो मैच की तिथि और स्थान क्या है?</v>
      </c>
      <c r="J49" s="8" t="str">
        <f>IFERROR(__xludf.DUMMYFUNCTION("GOOGLETRANSLATE(D49, ""en"", ""hi"")"),"A) 16 अगस्त, 2022, पुणे, B) 16 अगस्त, 2022, गुजरात, C) 16 अगस्त, 2023, मुंबई, D) 16 अगस्त, 2022, चेन्नई")</f>
        <v>A) 16 अगस्त, 2022, पुणे, B) 16 अगस्त, 2022, गुजरात, C) 16 अगस्त, 2023, मुंबई, D) 16 अगस्त, 2022, चेन्नई</v>
      </c>
      <c r="K49" s="8" t="str">
        <f>IFERROR(__xludf.DUMMYFUNCTION("GOOGLETRANSLATE(E49, ""en"", ""hi"")"),"ए) 16 अगस्त, 2022, पुणे")</f>
        <v>ए) 16 अगस्त, 2022, पुणे</v>
      </c>
    </row>
    <row r="50" ht="22.5" customHeight="1">
      <c r="A50" s="2">
        <v>49.0</v>
      </c>
      <c r="B50" s="3" t="s">
        <v>1074</v>
      </c>
      <c r="C50" s="3" t="s">
        <v>1075</v>
      </c>
      <c r="D50" s="3" t="s">
        <v>1076</v>
      </c>
      <c r="E50" s="3" t="s">
        <v>1077</v>
      </c>
      <c r="G50" s="8" t="str">
        <f>IFERROR(__xludf.DUMMYFUNCTION("GOOGLETRANSLATE(A50, ""en"", ""hi"")"),"49")</f>
        <v>49</v>
      </c>
      <c r="H50" s="8" t="str">
        <f>IFERROR(__xludf.DUMMYFUNCTION("GOOGLETRANSLATE(B50, ""en"", ""hi"")"),"खो_खो_13")</f>
        <v>खो_खो_13</v>
      </c>
      <c r="I50" s="8" t="str">
        <f>IFERROR(__xludf.DUMMYFUNCTION("GOOGLETRANSLATE(C50, ""en"", ""hi"")"),"अल्टीमेट खो-खो लीग से संबंधित चित्र में दर्शाया गया मुख्य विषय क्या है?")</f>
        <v>अल्टीमेट खो-खो लीग से संबंधित चित्र में दर्शाया गया मुख्य विषय क्या है?</v>
      </c>
      <c r="J50" s="8" t="str">
        <f>IFERROR(__xludf.DUMMYFUNCTION("GOOGLETRANSLATE(D50, ""en"", ""hi"")"),"ए) खिलाड़ी प्रशिक्षण, बी) फ्रेंचाइजी एकीकरण, सी) मैच हाइलाइट्स, डी) टीम ड्राफ्ट")</f>
        <v>ए) खिलाड़ी प्रशिक्षण, बी) फ्रेंचाइजी एकीकरण, सी) मैच हाइलाइट्स, डी) टीम ड्राफ्ट</v>
      </c>
      <c r="K50" s="8" t="str">
        <f>IFERROR(__xludf.DUMMYFUNCTION("GOOGLETRANSLATE(E50, ""en"", ""hi"")"),"बी) फ्रैंचाइज़ी एकीकरण")</f>
        <v>बी) फ्रैंचाइज़ी एकीकरण</v>
      </c>
    </row>
    <row r="51" ht="22.5" customHeight="1">
      <c r="A51" s="2">
        <v>50.0</v>
      </c>
      <c r="B51" s="3" t="s">
        <v>1074</v>
      </c>
      <c r="C51" s="3" t="s">
        <v>1078</v>
      </c>
      <c r="D51" s="3" t="s">
        <v>1079</v>
      </c>
      <c r="E51" s="3" t="s">
        <v>1080</v>
      </c>
      <c r="G51" s="8" t="str">
        <f>IFERROR(__xludf.DUMMYFUNCTION("GOOGLETRANSLATE(A51, ""en"", ""hi"")"),"50")</f>
        <v>50</v>
      </c>
      <c r="H51" s="8" t="str">
        <f>IFERROR(__xludf.DUMMYFUNCTION("GOOGLETRANSLATE(B51, ""en"", ""hi"")"),"खो_खो_13")</f>
        <v>खो_खो_13</v>
      </c>
      <c r="I51" s="8" t="str">
        <f>IFERROR(__xludf.DUMMYFUNCTION("GOOGLETRANSLATE(C51, ""en"", ""hi"")"),"छवि में किस इवेंट या लीग को हाइलाइट किया जा रहा है?")</f>
        <v>छवि में किस इवेंट या लीग को हाइलाइट किया जा रहा है?</v>
      </c>
      <c r="J51" s="8" t="str">
        <f>IFERROR(__xludf.DUMMYFUNCTION("GOOGLETRANSLATE(D51, ""en"", ""hi"")"),"ए) अल्टीमेट खो-खो लीग, बी) खो-खो विश्व कप, सी) राष्ट्रीय खो-खो चैम्पियनशिप, डी) राज्य खो-खो टूर्नामेंट")</f>
        <v>ए) अल्टीमेट खो-खो लीग, बी) खो-खो विश्व कप, सी) राष्ट्रीय खो-खो चैम्पियनशिप, डी) राज्य खो-खो टूर्नामेंट</v>
      </c>
      <c r="K51" s="8" t="str">
        <f>IFERROR(__xludf.DUMMYFUNCTION("GOOGLETRANSLATE(E51, ""en"", ""hi"")"),"ए) अल्टीमेट खो-खो लीग")</f>
        <v>ए) अल्टीमेट खो-खो लीग</v>
      </c>
    </row>
    <row r="52" ht="22.5" customHeight="1">
      <c r="A52" s="2">
        <v>51.0</v>
      </c>
      <c r="B52" s="3" t="s">
        <v>1074</v>
      </c>
      <c r="C52" s="3" t="s">
        <v>1081</v>
      </c>
      <c r="D52" s="3" t="s">
        <v>1082</v>
      </c>
      <c r="E52" s="3" t="s">
        <v>1083</v>
      </c>
      <c r="G52" s="8" t="str">
        <f>IFERROR(__xludf.DUMMYFUNCTION("GOOGLETRANSLATE(A52, ""en"", ""hi"")"),"51")</f>
        <v>51</v>
      </c>
      <c r="H52" s="8" t="str">
        <f>IFERROR(__xludf.DUMMYFUNCTION("GOOGLETRANSLATE(B52, ""en"", ""hi"")"),"खो_खो_13")</f>
        <v>खो_खो_13</v>
      </c>
      <c r="I52" s="8" t="str">
        <f>IFERROR(__xludf.DUMMYFUNCTION("GOOGLETRANSLATE(C52, ""en"", ""hi"")"),"चित्र में दिखाए गए जमावड़े का संभावित उद्देश्य क्या है?")</f>
        <v>चित्र में दिखाए गए जमावड़े का संभावित उद्देश्य क्या है?</v>
      </c>
      <c r="J52" s="8" t="str">
        <f>IFERROR(__xludf.DUMMYFUNCTION("GOOGLETRANSLATE(D52, ""en"", ""hi"")"),"ए) टीम रणनीति बैठक, बी) फ्रेंचाइजी सहयोग, सी) सीज़न उद्घाटन समारोह, डी) खिलाड़ी चयन")</f>
        <v>ए) टीम रणनीति बैठक, बी) फ्रेंचाइजी सहयोग, सी) सीज़न उद्घाटन समारोह, डी) खिलाड़ी चयन</v>
      </c>
      <c r="K52" s="8" t="str">
        <f>IFERROR(__xludf.DUMMYFUNCTION("GOOGLETRANSLATE(E52, ""en"", ""hi"")"),"बी) फ्रैंचाइज़ी सहयोग")</f>
        <v>बी) फ्रैंचाइज़ी सहयोग</v>
      </c>
    </row>
    <row r="53" ht="22.5" customHeight="1">
      <c r="A53" s="2">
        <v>52.0</v>
      </c>
      <c r="B53" s="3" t="s">
        <v>1074</v>
      </c>
      <c r="C53" s="3" t="s">
        <v>1084</v>
      </c>
      <c r="D53" s="3" t="s">
        <v>1085</v>
      </c>
      <c r="E53" s="3" t="s">
        <v>1086</v>
      </c>
      <c r="G53" s="8" t="str">
        <f>IFERROR(__xludf.DUMMYFUNCTION("GOOGLETRANSLATE(A53, ""en"", ""hi"")"),"52")</f>
        <v>52</v>
      </c>
      <c r="H53" s="8" t="str">
        <f>IFERROR(__xludf.DUMMYFUNCTION("GOOGLETRANSLATE(B53, ""en"", ""hi"")"),"खो_खो_13")</f>
        <v>खो_खो_13</v>
      </c>
      <c r="I53" s="8" t="str">
        <f>IFERROR(__xludf.DUMMYFUNCTION("GOOGLETRANSLATE(C53, ""en"", ""hi"")"),"अल्टीमेट खो-खो लीग के संबंध में यह चित्र किस प्रकार के आयोजन को दर्शाता है?")</f>
        <v>अल्टीमेट खो-खो लीग के संबंध में यह चित्र किस प्रकार के आयोजन को दर्शाता है?</v>
      </c>
      <c r="J53" s="8" t="str">
        <f>IFERROR(__xludf.DUMMYFUNCTION("GOOGLETRANSLATE(D53, ""en"", ""hi"")"),"A) टूर्नामेंट, B) फ्रेंचाइजी मीटिंग, C) खिलाड़ी प्रशिक्षण सत्र, D) पुरस्कार समारोह")</f>
        <v>A) टूर्नामेंट, B) फ्रेंचाइजी मीटिंग, C) खिलाड़ी प्रशिक्षण सत्र, D) पुरस्कार समारोह</v>
      </c>
      <c r="K53" s="8" t="str">
        <f>IFERROR(__xludf.DUMMYFUNCTION("GOOGLETRANSLATE(E53, ""en"", ""hi"")"),"बी) फ्रैंचाइज़ी बैठक")</f>
        <v>बी) फ्रैंचाइज़ी बैठक</v>
      </c>
    </row>
    <row r="54" ht="22.5" customHeight="1">
      <c r="A54" s="2">
        <v>53.0</v>
      </c>
      <c r="B54" s="3" t="s">
        <v>1087</v>
      </c>
      <c r="C54" s="3" t="s">
        <v>1088</v>
      </c>
      <c r="D54" s="3" t="s">
        <v>1089</v>
      </c>
      <c r="E54" s="3" t="s">
        <v>1090</v>
      </c>
      <c r="G54" s="8" t="str">
        <f>IFERROR(__xludf.DUMMYFUNCTION("GOOGLETRANSLATE(A54, ""en"", ""hi"")"),"53")</f>
        <v>53</v>
      </c>
      <c r="H54" s="8" t="str">
        <f>IFERROR(__xludf.DUMMYFUNCTION("GOOGLETRANSLATE(B54, ""en"", ""hi"")"),"खो_खो_14")</f>
        <v>खो_खो_14</v>
      </c>
      <c r="I54" s="8" t="str">
        <f>IFERROR(__xludf.DUMMYFUNCTION("GOOGLETRANSLATE(C54, ""en"", ""hi"")"),"चित्र में भारतीय खो-खो खिलाड़ी के रूप में किसे दिखाया गया है?")</f>
        <v>चित्र में भारतीय खो-खो खिलाड़ी के रूप में किसे दिखाया गया है?</v>
      </c>
      <c r="J54" s="8" t="str">
        <f>IFERROR(__xludf.DUMMYFUNCTION("GOOGLETRANSLATE(D54, ""en"", ""hi"")"),"ए) सुप्रिया काले, बी) सारिका काले, सी) प्रिया शर्मा, डी) अंजलि पटेल")</f>
        <v>ए) सुप्रिया काले, बी) सारिका काले, सी) प्रिया शर्मा, डी) अंजलि पटेल</v>
      </c>
      <c r="K54" s="8" t="str">
        <f>IFERROR(__xludf.DUMMYFUNCTION("GOOGLETRANSLATE(E54, ""en"", ""hi"")"),"बी) सारिका काले")</f>
        <v>बी) सारिका काले</v>
      </c>
    </row>
    <row r="55" ht="22.5" customHeight="1">
      <c r="A55" s="2">
        <v>54.0</v>
      </c>
      <c r="B55" s="3" t="s">
        <v>1087</v>
      </c>
      <c r="C55" s="3" t="s">
        <v>1091</v>
      </c>
      <c r="D55" s="3" t="s">
        <v>1092</v>
      </c>
      <c r="E55" s="3" t="s">
        <v>1045</v>
      </c>
      <c r="G55" s="8" t="str">
        <f>IFERROR(__xludf.DUMMYFUNCTION("GOOGLETRANSLATE(A55, ""en"", ""hi"")"),"54")</f>
        <v>54</v>
      </c>
      <c r="H55" s="8" t="str">
        <f>IFERROR(__xludf.DUMMYFUNCTION("GOOGLETRANSLATE(B55, ""en"", ""hi"")"),"खो_खो_14")</f>
        <v>खो_खो_14</v>
      </c>
      <c r="I55" s="8" t="str">
        <f>IFERROR(__xludf.DUMMYFUNCTION("GOOGLETRANSLATE(C55, ""en"", ""hi"")"),"चित्र में सारिका काले किस खेल से संबंधित हैं?")</f>
        <v>चित्र में सारिका काले किस खेल से संबंधित हैं?</v>
      </c>
      <c r="J55" s="8" t="str">
        <f>IFERROR(__xludf.DUMMYFUNCTION("GOOGLETRANSLATE(D55, ""en"", ""hi"")"),"A) कबड्डी, B) वॉलीबॉल, C) खो-खो, D) क्रिकेट")</f>
        <v>A) कबड्डी, B) वॉलीबॉल, C) खो-खो, D) क्रिकेट</v>
      </c>
      <c r="K55" s="8" t="str">
        <f>IFERROR(__xludf.DUMMYFUNCTION("GOOGLETRANSLATE(E55, ""en"", ""hi"")"),"C) खो-खो")</f>
        <v>C) खो-खो</v>
      </c>
    </row>
    <row r="56" ht="22.5" customHeight="1">
      <c r="A56" s="2">
        <v>55.0</v>
      </c>
      <c r="B56" s="3" t="s">
        <v>1087</v>
      </c>
      <c r="C56" s="3" t="s">
        <v>1093</v>
      </c>
      <c r="D56" s="3" t="s">
        <v>1094</v>
      </c>
      <c r="E56" s="3" t="s">
        <v>1095</v>
      </c>
      <c r="G56" s="8" t="str">
        <f>IFERROR(__xludf.DUMMYFUNCTION("GOOGLETRANSLATE(A56, ""en"", ""hi"")"),"55")</f>
        <v>55</v>
      </c>
      <c r="H56" s="8" t="str">
        <f>IFERROR(__xludf.DUMMYFUNCTION("GOOGLETRANSLATE(B56, ""en"", ""hi"")"),"खो_खो_14")</f>
        <v>खो_खो_14</v>
      </c>
      <c r="I56" s="8" t="str">
        <f>IFERROR(__xludf.DUMMYFUNCTION("GOOGLETRANSLATE(C56, ""en"", ""hi"")"),"चित्र के आधार पर सारिका काले किस प्रकार की घटना या संदर्भ में शामिल हैं?")</f>
        <v>चित्र के आधार पर सारिका काले किस प्रकार की घटना या संदर्भ में शामिल हैं?</v>
      </c>
      <c r="J56" s="8" t="str">
        <f>IFERROR(__xludf.DUMMYFUNCTION("GOOGLETRANSLATE(D56, ""en"", ""hi"")"),"A) प्रशिक्षण सत्र, B) मैच दिवस, C) पुरस्कार समारोह, D) टीम मीटिंग")</f>
        <v>A) प्रशिक्षण सत्र, B) मैच दिवस, C) पुरस्कार समारोह, D) टीम मीटिंग</v>
      </c>
      <c r="K56" s="8" t="str">
        <f>IFERROR(__xludf.DUMMYFUNCTION("GOOGLETRANSLATE(E56, ""en"", ""hi"")"),"ए) प्रशिक्षण सत्र")</f>
        <v>ए) प्रशिक्षण सत्र</v>
      </c>
    </row>
    <row r="57" ht="22.5" customHeight="1">
      <c r="A57" s="2">
        <v>56.0</v>
      </c>
      <c r="B57" s="3" t="s">
        <v>1087</v>
      </c>
      <c r="C57" s="3" t="s">
        <v>1096</v>
      </c>
      <c r="D57" s="3" t="s">
        <v>1097</v>
      </c>
      <c r="E57" s="3" t="s">
        <v>1098</v>
      </c>
      <c r="G57" s="8" t="str">
        <f>IFERROR(__xludf.DUMMYFUNCTION("GOOGLETRANSLATE(A57, ""en"", ""hi"")"),"56")</f>
        <v>56</v>
      </c>
      <c r="H57" s="8" t="str">
        <f>IFERROR(__xludf.DUMMYFUNCTION("GOOGLETRANSLATE(B57, ""en"", ""hi"")"),"खो_खो_14")</f>
        <v>खो_खो_14</v>
      </c>
      <c r="I57" s="8" t="str">
        <f>IFERROR(__xludf.DUMMYFUNCTION("GOOGLETRANSLATE(C57, ""en"", ""hi"")"),"चित्र में दिखाए गए खेल में सारिका काले की क्या भूमिका है?")</f>
        <v>चित्र में दिखाए गए खेल में सारिका काले की क्या भूमिका है?</v>
      </c>
      <c r="J57" s="8" t="str">
        <f>IFERROR(__xludf.DUMMYFUNCTION("GOOGLETRANSLATE(D57, ""en"", ""hi"")"),"A) कोच, B) खिलाड़ी, C) रेफरी, D) टीम मैनेजर")</f>
        <v>A) कोच, B) खिलाड़ी, C) रेफरी, D) टीम मैनेजर</v>
      </c>
      <c r="K57" s="8" t="str">
        <f>IFERROR(__xludf.DUMMYFUNCTION("GOOGLETRANSLATE(E57, ""en"", ""hi"")"),"बी) खिलाड़ी")</f>
        <v>बी) खिलाड़ी</v>
      </c>
    </row>
    <row r="58" ht="22.5" customHeight="1">
      <c r="A58" s="2">
        <v>57.0</v>
      </c>
      <c r="B58" s="3" t="s">
        <v>1099</v>
      </c>
      <c r="C58" s="3" t="s">
        <v>1100</v>
      </c>
      <c r="D58" s="3" t="s">
        <v>1101</v>
      </c>
      <c r="E58" s="3" t="s">
        <v>927</v>
      </c>
      <c r="G58" s="8" t="str">
        <f>IFERROR(__xludf.DUMMYFUNCTION("GOOGLETRANSLATE(A58, ""en"", ""hi"")"),"57")</f>
        <v>57</v>
      </c>
      <c r="H58" s="8" t="str">
        <f>IFERROR(__xludf.DUMMYFUNCTION("GOOGLETRANSLATE(B58, ""en"", ""hi"")"),"खो_खो_15")</f>
        <v>खो_खो_15</v>
      </c>
      <c r="I58" s="8" t="str">
        <f>IFERROR(__xludf.DUMMYFUNCTION("GOOGLETRANSLATE(C58, ""en"", ""hi"")"),"चित्र के अनुसार प्रवीण कुमार किस खेल से जुड़े हैं?")</f>
        <v>चित्र के अनुसार प्रवीण कुमार किस खेल से जुड़े हैं?</v>
      </c>
      <c r="J58" s="8" t="str">
        <f>IFERROR(__xludf.DUMMYFUNCTION("GOOGLETRANSLATE(D58, ""en"", ""hi"")"),"A) कबड्डी, B) खो-खो, C) वॉलीबॉल, D) क्रिकेट")</f>
        <v>A) कबड्डी, B) खो-खो, C) वॉलीबॉल, D) क्रिकेट</v>
      </c>
      <c r="K58" s="8" t="str">
        <f>IFERROR(__xludf.DUMMYFUNCTION("GOOGLETRANSLATE(E58, ""en"", ""hi"")"),"बी) खो-खो")</f>
        <v>बी) खो-खो</v>
      </c>
    </row>
    <row r="59" ht="22.5" customHeight="1">
      <c r="A59" s="2">
        <v>58.0</v>
      </c>
      <c r="B59" s="3" t="s">
        <v>1099</v>
      </c>
      <c r="C59" s="3" t="s">
        <v>1102</v>
      </c>
      <c r="D59" s="3" t="s">
        <v>1103</v>
      </c>
      <c r="E59" s="3" t="s">
        <v>1104</v>
      </c>
      <c r="G59" s="8" t="str">
        <f>IFERROR(__xludf.DUMMYFUNCTION("GOOGLETRANSLATE(A59, ""en"", ""hi"")"),"58")</f>
        <v>58</v>
      </c>
      <c r="H59" s="8" t="str">
        <f>IFERROR(__xludf.DUMMYFUNCTION("GOOGLETRANSLATE(B59, ""en"", ""hi"")"),"खो_खो_15")</f>
        <v>खो_खो_15</v>
      </c>
      <c r="I59" s="8" t="str">
        <f>IFERROR(__xludf.DUMMYFUNCTION("GOOGLETRANSLATE(C59, ""en"", ""hi"")"),"छवि के संदर्भ में प्रवीण कुमार किस लिए जाने जाते हैं?")</f>
        <v>छवि के संदर्भ में प्रवीण कुमार किस लिए जाने जाते हैं?</v>
      </c>
      <c r="J59" s="8" t="str">
        <f>IFERROR(__xludf.DUMMYFUNCTION("GOOGLETRANSLATE(D59, ""en"", ""hi"")"),"A) कोचिंग, B) खेलना, C) रेफरी, D) प्रबंधन")</f>
        <v>A) कोचिंग, B) खेलना, C) रेफरी, D) प्रबंधन</v>
      </c>
      <c r="K59" s="8" t="str">
        <f>IFERROR(__xludf.DUMMYFUNCTION("GOOGLETRANSLATE(E59, ""en"", ""hi"")"),"बी) खेलना")</f>
        <v>बी) खेलना</v>
      </c>
    </row>
    <row r="60" ht="22.5" customHeight="1">
      <c r="A60" s="2">
        <v>59.0</v>
      </c>
      <c r="B60" s="3" t="s">
        <v>1099</v>
      </c>
      <c r="C60" s="3" t="s">
        <v>1105</v>
      </c>
      <c r="D60" s="3" t="s">
        <v>1106</v>
      </c>
      <c r="E60" s="3" t="s">
        <v>1107</v>
      </c>
      <c r="G60" s="8" t="str">
        <f>IFERROR(__xludf.DUMMYFUNCTION("GOOGLETRANSLATE(A60, ""en"", ""hi"")"),"59")</f>
        <v>59</v>
      </c>
      <c r="H60" s="8" t="str">
        <f>IFERROR(__xludf.DUMMYFUNCTION("GOOGLETRANSLATE(B60, ""en"", ""hi"")"),"खो_खो_15")</f>
        <v>खो_खो_15</v>
      </c>
      <c r="I60" s="8" t="str">
        <f>IFERROR(__xludf.DUMMYFUNCTION("GOOGLETRANSLATE(C60, ""en"", ""hi"")"),"जैसा कि चित्र में बताया गया है, प्रवीण कुमार किस शहर और राज्य से संबंधित हैं?")</f>
        <v>जैसा कि चित्र में बताया गया है, प्रवीण कुमार किस शहर और राज्य से संबंधित हैं?</v>
      </c>
      <c r="J60" s="8" t="str">
        <f>IFERROR(__xludf.DUMMYFUNCTION("GOOGLETRANSLATE(D60, ""en"", ""hi"")"),"ए) मैसूर, कर्नाटक, बी) बैंगलोर, कर्नाटक, सी) चेन्नई, तमिलनाडु, डी) मुंबई, महाराष्ट्र")</f>
        <v>ए) मैसूर, कर्नाटक, बी) बैंगलोर, कर्नाटक, सी) चेन्नई, तमिलनाडु, डी) मुंबई, महाराष्ट्र</v>
      </c>
      <c r="K60" s="8" t="str">
        <f>IFERROR(__xludf.DUMMYFUNCTION("GOOGLETRANSLATE(E60, ""en"", ""hi"")"),"A) मैसूर, कर्नाटक")</f>
        <v>A) मैसूर, कर्नाटक</v>
      </c>
    </row>
    <row r="61" ht="22.5" customHeight="1">
      <c r="A61" s="2">
        <v>60.0</v>
      </c>
      <c r="B61" s="3" t="s">
        <v>1099</v>
      </c>
      <c r="C61" s="3" t="s">
        <v>1108</v>
      </c>
      <c r="D61" s="3" t="s">
        <v>1109</v>
      </c>
      <c r="E61" s="3" t="s">
        <v>1110</v>
      </c>
      <c r="G61" s="8" t="str">
        <f>IFERROR(__xludf.DUMMYFUNCTION("GOOGLETRANSLATE(A61, ""en"", ""hi"")"),"60")</f>
        <v>60</v>
      </c>
      <c r="H61" s="8" t="str">
        <f>IFERROR(__xludf.DUMMYFUNCTION("GOOGLETRANSLATE(B61, ""en"", ""hi"")"),"खो_खो_15")</f>
        <v>खो_खो_15</v>
      </c>
      <c r="I61" s="8" t="str">
        <f>IFERROR(__xludf.DUMMYFUNCTION("GOOGLETRANSLATE(C61, ""en"", ""hi"")"),"चित्र में प्रवीण कुमार के बारे में कौन सी उल्लेखनीय विशेषता उजागर की गई है?")</f>
        <v>चित्र में प्रवीण कुमार के बारे में कौन सी उल्लेखनीय विशेषता उजागर की गई है?</v>
      </c>
      <c r="J61" s="8" t="str">
        <f>IFERROR(__xludf.DUMMYFUNCTION("GOOGLETRANSLATE(D61, ""en"", ""hi"")"),"A) उनके कोचिंग कौशल, B) उनके प्रबंधन कौशल, C) एक खिलाड़ी के रूप में उनकी प्रतिभा और प्रसिद्धि, D) उनका रेफरी अनुभव")</f>
        <v>A) उनके कोचिंग कौशल, B) उनके प्रबंधन कौशल, C) एक खिलाड़ी के रूप में उनकी प्रतिभा और प्रसिद्धि, D) उनका रेफरी अनुभव</v>
      </c>
      <c r="K61" s="8" t="str">
        <f>IFERROR(__xludf.DUMMYFUNCTION("GOOGLETRANSLATE(E61, ""en"", ""hi"")"),"C) एक खिलाड़ी के रूप में उनकी प्रतिभा और प्रसिद्धि")</f>
        <v>C) एक खिलाड़ी के रूप में उनकी प्रतिभा और प्रसिद्धि</v>
      </c>
    </row>
    <row r="62" ht="22.5" customHeight="1">
      <c r="A62" s="2">
        <v>61.0</v>
      </c>
      <c r="B62" s="3" t="s">
        <v>1111</v>
      </c>
      <c r="C62" s="3" t="s">
        <v>1112</v>
      </c>
      <c r="D62" s="3" t="s">
        <v>1113</v>
      </c>
      <c r="E62" s="3" t="s">
        <v>1114</v>
      </c>
      <c r="G62" s="8" t="str">
        <f>IFERROR(__xludf.DUMMYFUNCTION("GOOGLETRANSLATE(A62, ""en"", ""hi"")"),"61")</f>
        <v>61</v>
      </c>
      <c r="H62" s="8" t="str">
        <f>IFERROR(__xludf.DUMMYFUNCTION("GOOGLETRANSLATE(B62, ""en"", ""hi"")"),"खो_खो_16")</f>
        <v>खो_खो_16</v>
      </c>
      <c r="I62" s="8" t="str">
        <f>IFERROR(__xludf.DUMMYFUNCTION("GOOGLETRANSLATE(C62, ""en"", ""hi"")"),"चित्र में दर्शाई गई भारतीय महिला खो-खो टीम की कप्तान कौन हैं?")</f>
        <v>चित्र में दर्शाई गई भारतीय महिला खो-खो टीम की कप्तान कौन हैं?</v>
      </c>
      <c r="J62" s="8" t="str">
        <f>IFERROR(__xludf.DUMMYFUNCTION("GOOGLETRANSLATE(D62, ""en"", ""hi"")"),"ए) प्रिया शर्मा, बी) अंजलि पटेल, सी) नसरीन शेख, डी) मीरा कुमार")</f>
        <v>ए) प्रिया शर्मा, बी) अंजलि पटेल, सी) नसरीन शेख, डी) मीरा कुमार</v>
      </c>
      <c r="K62" s="8" t="str">
        <f>IFERROR(__xludf.DUMMYFUNCTION("GOOGLETRANSLATE(E62, ""en"", ""hi"")"),"C) नसरीन शेख")</f>
        <v>C) नसरीन शेख</v>
      </c>
    </row>
    <row r="63" ht="22.5" customHeight="1">
      <c r="A63" s="2">
        <v>62.0</v>
      </c>
      <c r="B63" s="3" t="s">
        <v>1111</v>
      </c>
      <c r="C63" s="3" t="s">
        <v>1115</v>
      </c>
      <c r="D63" s="3" t="s">
        <v>1116</v>
      </c>
      <c r="E63" s="3" t="s">
        <v>1117</v>
      </c>
      <c r="G63" s="8" t="str">
        <f>IFERROR(__xludf.DUMMYFUNCTION("GOOGLETRANSLATE(A63, ""en"", ""hi"")"),"62")</f>
        <v>62</v>
      </c>
      <c r="H63" s="8" t="str">
        <f>IFERROR(__xludf.DUMMYFUNCTION("GOOGLETRANSLATE(B63, ""en"", ""hi"")"),"खो_खो_16")</f>
        <v>खो_खो_16</v>
      </c>
      <c r="I63" s="8" t="str">
        <f>IFERROR(__xludf.DUMMYFUNCTION("GOOGLETRANSLATE(C63, ""en"", ""hi"")"),"जैसा कि चित्र में बताया गया है, नसरीन शेख की भारत की महिला खो-खो टीम में क्या भूमिका है?")</f>
        <v>जैसा कि चित्र में बताया गया है, नसरीन शेख की भारत की महिला खो-खो टीम में क्या भूमिका है?</v>
      </c>
      <c r="J63" s="8" t="str">
        <f>IFERROR(__xludf.DUMMYFUNCTION("GOOGLETRANSLATE(D63, ""en"", ""hi"")"),"A) कोच, B) खिलाड़ी, C) कप्तान, D) प्रबंधक")</f>
        <v>A) कोच, B) खिलाड़ी, C) कप्तान, D) प्रबंधक</v>
      </c>
      <c r="K63" s="8" t="str">
        <f>IFERROR(__xludf.DUMMYFUNCTION("GOOGLETRANSLATE(E63, ""en"", ""hi"")"),"सी) कैप्टन")</f>
        <v>सी) कैप्टन</v>
      </c>
    </row>
    <row r="64" ht="22.5" customHeight="1">
      <c r="A64" s="2">
        <v>63.0</v>
      </c>
      <c r="B64" s="3" t="s">
        <v>1111</v>
      </c>
      <c r="C64" s="3" t="s">
        <v>1118</v>
      </c>
      <c r="D64" s="3" t="s">
        <v>1119</v>
      </c>
      <c r="E64" s="3" t="s">
        <v>1120</v>
      </c>
      <c r="G64" s="8" t="str">
        <f>IFERROR(__xludf.DUMMYFUNCTION("GOOGLETRANSLATE(A64, ""en"", ""hi"")"),"63")</f>
        <v>63</v>
      </c>
      <c r="H64" s="8" t="str">
        <f>IFERROR(__xludf.DUMMYFUNCTION("GOOGLETRANSLATE(B64, ""en"", ""hi"")"),"खो_खो_16")</f>
        <v>खो_खो_16</v>
      </c>
      <c r="I64" s="8" t="str">
        <f>IFERROR(__xludf.DUMMYFUNCTION("GOOGLETRANSLATE(C64, ""en"", ""hi"")"),"नसरीन शेख से संबंधित छवि का प्राथमिक फोकस क्या है?")</f>
        <v>नसरीन शेख से संबंधित छवि का प्राथमिक फोकस क्या है?</v>
      </c>
      <c r="J64" s="8" t="str">
        <f>IFERROR(__xludf.DUMMYFUNCTION("GOOGLETRANSLATE(D64, ""en"", ""hi"")"),"A) टीम अभ्यास, B) कप्तान का नेतृत्व, C) चैम्पियनशिप जीत, D) टीम चयन")</f>
        <v>A) टीम अभ्यास, B) कप्तान का नेतृत्व, C) चैम्पियनशिप जीत, D) टीम चयन</v>
      </c>
      <c r="K64" s="8" t="str">
        <f>IFERROR(__xludf.DUMMYFUNCTION("GOOGLETRANSLATE(E64, ""en"", ""hi"")"),"बी) कप्तान का नेतृत्व")</f>
        <v>बी) कप्तान का नेतृत्व</v>
      </c>
    </row>
    <row r="65" ht="22.5" customHeight="1">
      <c r="A65" s="2">
        <v>64.0</v>
      </c>
      <c r="B65" s="3" t="s">
        <v>1111</v>
      </c>
      <c r="C65" s="3" t="s">
        <v>1121</v>
      </c>
      <c r="D65" s="3" t="s">
        <v>1122</v>
      </c>
      <c r="E65" s="3" t="s">
        <v>1045</v>
      </c>
      <c r="G65" s="8" t="str">
        <f>IFERROR(__xludf.DUMMYFUNCTION("GOOGLETRANSLATE(A65, ""en"", ""hi"")"),"64")</f>
        <v>64</v>
      </c>
      <c r="H65" s="8" t="str">
        <f>IFERROR(__xludf.DUMMYFUNCTION("GOOGLETRANSLATE(B65, ""en"", ""hi"")"),"खो_खो_16")</f>
        <v>खो_खो_16</v>
      </c>
      <c r="I65" s="8" t="str">
        <f>IFERROR(__xludf.DUMMYFUNCTION("GOOGLETRANSLATE(C65, ""en"", ""hi"")"),"चित्र के अनुसार नसरीन शेख किस खेल में कप्तान के रूप में कार्यरत हैं?")</f>
        <v>चित्र के अनुसार नसरीन शेख किस खेल में कप्तान के रूप में कार्यरत हैं?</v>
      </c>
      <c r="J65" s="8" t="str">
        <f>IFERROR(__xludf.DUMMYFUNCTION("GOOGLETRANSLATE(D65, ""en"", ""hi"")"),"A) वॉलीबॉल, B) कबड्डी, C) खो-खो, D) क्रिकेट")</f>
        <v>A) वॉलीबॉल, B) कबड्डी, C) खो-खो, D) क्रिकेट</v>
      </c>
      <c r="K65" s="8" t="str">
        <f>IFERROR(__xludf.DUMMYFUNCTION("GOOGLETRANSLATE(E65, ""en"", ""hi"")"),"C) खो-खो")</f>
        <v>C) खो-खो</v>
      </c>
    </row>
    <row r="66" ht="22.5" customHeight="1">
      <c r="A66" s="2">
        <v>65.0</v>
      </c>
      <c r="B66" s="3" t="s">
        <v>1123</v>
      </c>
      <c r="C66" s="3" t="s">
        <v>1124</v>
      </c>
      <c r="D66" s="3" t="s">
        <v>1125</v>
      </c>
      <c r="E66" s="3" t="s">
        <v>1045</v>
      </c>
      <c r="G66" s="8" t="str">
        <f>IFERROR(__xludf.DUMMYFUNCTION("GOOGLETRANSLATE(A66, ""en"", ""hi"")"),"65")</f>
        <v>65</v>
      </c>
      <c r="H66" s="8" t="str">
        <f>IFERROR(__xludf.DUMMYFUNCTION("GOOGLETRANSLATE(B66, ""en"", ""hi"")"),"खो_खो_17")</f>
        <v>खो_खो_17</v>
      </c>
      <c r="I66" s="8" t="str">
        <f>IFERROR(__xludf.DUMMYFUNCTION("GOOGLETRANSLATE(C66, ""en"", ""hi"")"),"चित्र के आधार पर पंकज मल्होत्रा ​​से जुड़ा प्राथमिक खेल क्या है?")</f>
        <v>चित्र के आधार पर पंकज मल्होत्रा ​​से जुड़ा प्राथमिक खेल क्या है?</v>
      </c>
      <c r="J66" s="8" t="str">
        <f>IFERROR(__xludf.DUMMYFUNCTION("GOOGLETRANSLATE(D66, ""en"", ""hi"")"),"A) क्रिकेट, B) वॉलीबॉल, C) खो-खो, D) फुटबॉल")</f>
        <v>A) क्रिकेट, B) वॉलीबॉल, C) खो-खो, D) फुटबॉल</v>
      </c>
      <c r="K66" s="8" t="str">
        <f>IFERROR(__xludf.DUMMYFUNCTION("GOOGLETRANSLATE(E66, ""en"", ""hi"")"),"C) खो-खो")</f>
        <v>C) खो-खो</v>
      </c>
    </row>
    <row r="67" ht="22.5" customHeight="1">
      <c r="A67" s="2">
        <v>66.0</v>
      </c>
      <c r="B67" s="3" t="s">
        <v>1123</v>
      </c>
      <c r="C67" s="3" t="s">
        <v>1126</v>
      </c>
      <c r="D67" s="3" t="s">
        <v>1127</v>
      </c>
      <c r="E67" s="3" t="s">
        <v>1128</v>
      </c>
      <c r="G67" s="8" t="str">
        <f>IFERROR(__xludf.DUMMYFUNCTION("GOOGLETRANSLATE(A67, ""en"", ""hi"")"),"66")</f>
        <v>66</v>
      </c>
      <c r="H67" s="8" t="str">
        <f>IFERROR(__xludf.DUMMYFUNCTION("GOOGLETRANSLATE(B67, ""en"", ""hi"")"),"खो_खो_17")</f>
        <v>खो_खो_17</v>
      </c>
      <c r="I67" s="8" t="str">
        <f>IFERROR(__xludf.DUMMYFUNCTION("GOOGLETRANSLATE(C67, ""en"", ""hi"")"),"चित्र से पता चलता है कि खो-खो के संदर्भ में पंकज मल्होत्रा ​​की क्या भूमिका या उपाधि हो सकती है?")</f>
        <v>चित्र से पता चलता है कि खो-खो के संदर्भ में पंकज मल्होत्रा ​​की क्या भूमिका या उपाधि हो सकती है?</v>
      </c>
      <c r="J67" s="8" t="str">
        <f>IFERROR(__xludf.DUMMYFUNCTION("GOOGLETRANSLATE(D67, ""en"", ""hi"")"),"A) खिलाड़ी, B) कोच, C) रेफरी, D) मैनेजर")</f>
        <v>A) खिलाड़ी, B) कोच, C) रेफरी, D) मैनेजर</v>
      </c>
      <c r="K67" s="8" t="str">
        <f>IFERROR(__xludf.DUMMYFUNCTION("GOOGLETRANSLATE(E67, ""en"", ""hi"")"),"बी) कोच")</f>
        <v>बी) कोच</v>
      </c>
    </row>
    <row r="68" ht="22.5" customHeight="1">
      <c r="A68" s="2">
        <v>67.0</v>
      </c>
      <c r="B68" s="3" t="s">
        <v>1123</v>
      </c>
      <c r="C68" s="3" t="s">
        <v>1129</v>
      </c>
      <c r="D68" s="3" t="s">
        <v>1130</v>
      </c>
      <c r="E68" s="3" t="s">
        <v>1131</v>
      </c>
      <c r="G68" s="8" t="str">
        <f>IFERROR(__xludf.DUMMYFUNCTION("GOOGLETRANSLATE(A68, ""en"", ""hi"")"),"67")</f>
        <v>67</v>
      </c>
      <c r="H68" s="8" t="str">
        <f>IFERROR(__xludf.DUMMYFUNCTION("GOOGLETRANSLATE(B68, ""en"", ""hi"")"),"खो_खो_17")</f>
        <v>खो_खो_17</v>
      </c>
      <c r="I68" s="8" t="str">
        <f>IFERROR(__xludf.DUMMYFUNCTION("GOOGLETRANSLATE(C68, ""en"", ""hi"")"),"पंकज मल्होत्रा ​​की तस्वीर का मुख्य फोकस क्या है?")</f>
        <v>पंकज मल्होत्रा ​​की तस्वीर का मुख्य फोकस क्या है?</v>
      </c>
      <c r="J68" s="8" t="str">
        <f>IFERROR(__xludf.DUMMYFUNCTION("GOOGLETRANSLATE(D68, ""en"", ""hi"")"),"ए) प्रशिक्षण सत्र, बी) खिलाड़ी की उपलब्धियां, सी) कोचिंग भूमिका, डी) टीम प्रबंधन")</f>
        <v>ए) प्रशिक्षण सत्र, बी) खिलाड़ी की उपलब्धियां, सी) कोचिंग भूमिका, डी) टीम प्रबंधन</v>
      </c>
      <c r="K68" s="8" t="str">
        <f>IFERROR(__xludf.DUMMYFUNCTION("GOOGLETRANSLATE(E68, ""en"", ""hi"")"),"C) कोचिंग की भूमिका")</f>
        <v>C) कोचिंग की भूमिका</v>
      </c>
    </row>
    <row r="69" ht="22.5" customHeight="1">
      <c r="A69" s="2">
        <v>68.0</v>
      </c>
      <c r="B69" s="3" t="s">
        <v>1123</v>
      </c>
      <c r="C69" s="3" t="s">
        <v>1132</v>
      </c>
      <c r="D69" s="3" t="s">
        <v>1133</v>
      </c>
      <c r="E69" s="3" t="s">
        <v>1134</v>
      </c>
      <c r="G69" s="8" t="str">
        <f>IFERROR(__xludf.DUMMYFUNCTION("GOOGLETRANSLATE(A69, ""en"", ""hi"")"),"68")</f>
        <v>68</v>
      </c>
      <c r="H69" s="8" t="str">
        <f>IFERROR(__xludf.DUMMYFUNCTION("GOOGLETRANSLATE(B69, ""en"", ""hi"")"),"खो_खो_17")</f>
        <v>खो_खो_17</v>
      </c>
      <c r="I69" s="8" t="str">
        <f>IFERROR(__xludf.DUMMYFUNCTION("GOOGLETRANSLATE(C69, ""en"", ""hi"")"),"चित्र के अनुसार, पंकज मल्होत्रा ​​खो-खो के किस पहलू में शामिल हैं?")</f>
        <v>चित्र के अनुसार, पंकज मल्होत्रा ​​खो-खो के किस पहलू में शामिल हैं?</v>
      </c>
      <c r="J69" s="8" t="str">
        <f>IFERROR(__xludf.DUMMYFUNCTION("GOOGLETRANSLATE(D69, ""en"", ""hi"")"),"ए) टीम चयन, बी) टूर्नामेंट संगठन, सी) खिलाड़ी विकास, डी) रेफरी")</f>
        <v>ए) टीम चयन, बी) टूर्नामेंट संगठन, सी) खिलाड़ी विकास, डी) रेफरी</v>
      </c>
      <c r="K69" s="8" t="str">
        <f>IFERROR(__xludf.DUMMYFUNCTION("GOOGLETRANSLATE(E69, ""en"", ""hi"")"),"C) खिलाड़ी विकास")</f>
        <v>C) खिलाड़ी विकास</v>
      </c>
    </row>
    <row r="70" ht="22.5" customHeight="1">
      <c r="A70" s="2">
        <v>69.0</v>
      </c>
      <c r="B70" s="3" t="s">
        <v>1135</v>
      </c>
      <c r="C70" s="3" t="s">
        <v>1136</v>
      </c>
      <c r="D70" s="3" t="s">
        <v>1137</v>
      </c>
      <c r="E70" s="3" t="s">
        <v>1138</v>
      </c>
      <c r="G70" s="8" t="str">
        <f>IFERROR(__xludf.DUMMYFUNCTION("GOOGLETRANSLATE(A70, ""en"", ""hi"")"),"69")</f>
        <v>69</v>
      </c>
      <c r="H70" s="8" t="str">
        <f>IFERROR(__xludf.DUMMYFUNCTION("GOOGLETRANSLATE(B70, ""en"", ""hi"")"),"खो_खो_18")</f>
        <v>खो_खो_18</v>
      </c>
      <c r="I70" s="8" t="str">
        <f>IFERROR(__xludf.DUMMYFUNCTION("GOOGLETRANSLATE(C70, ""en"", ""hi"")"),"चित्र में खो-खो खेल से संबंधित व्यक्ति कौन है?")</f>
        <v>चित्र में खो-खो खेल से संबंधित व्यक्ति कौन है?</v>
      </c>
      <c r="J70" s="8" t="str">
        <f>IFERROR(__xludf.DUMMYFUNCTION("GOOGLETRANSLATE(D70, ""en"", ""hi"")"),"ए) मंदाकिनी माझी, बी) प्रिया शर्मा, सी) अंजलि पटेल, डी) मीरा कुमार")</f>
        <v>ए) मंदाकिनी माझी, बी) प्रिया शर्मा, सी) अंजलि पटेल, डी) मीरा कुमार</v>
      </c>
      <c r="K70" s="8" t="str">
        <f>IFERROR(__xludf.DUMMYFUNCTION("GOOGLETRANSLATE(E70, ""en"", ""hi"")"),"A) मंदाकिनी माझी")</f>
        <v>A) मंदाकिनी माझी</v>
      </c>
    </row>
    <row r="71" ht="22.5" customHeight="1">
      <c r="A71" s="2">
        <v>70.0</v>
      </c>
      <c r="B71" s="3" t="s">
        <v>1135</v>
      </c>
      <c r="C71" s="3" t="s">
        <v>1139</v>
      </c>
      <c r="D71" s="3" t="s">
        <v>1127</v>
      </c>
      <c r="E71" s="3" t="s">
        <v>1140</v>
      </c>
      <c r="G71" s="8" t="str">
        <f>IFERROR(__xludf.DUMMYFUNCTION("GOOGLETRANSLATE(A71, ""en"", ""hi"")"),"70")</f>
        <v>70</v>
      </c>
      <c r="H71" s="8" t="str">
        <f>IFERROR(__xludf.DUMMYFUNCTION("GOOGLETRANSLATE(B71, ""en"", ""hi"")"),"खो_खो_18")</f>
        <v>खो_खो_18</v>
      </c>
      <c r="I71" s="8" t="str">
        <f>IFERROR(__xludf.DUMMYFUNCTION("GOOGLETRANSLATE(C71, ""en"", ""hi"")"),"छवि के आधार पर मंदाकिनी माझी की खो-खो में क्या भूमिका है?")</f>
        <v>छवि के आधार पर मंदाकिनी माझी की खो-खो में क्या भूमिका है?</v>
      </c>
      <c r="J71" s="8" t="str">
        <f>IFERROR(__xludf.DUMMYFUNCTION("GOOGLETRANSLATE(D71, ""en"", ""hi"")"),"A) खिलाड़ी, B) कोच, C) रेफरी, D) मैनेजर")</f>
        <v>A) खिलाड़ी, B) कोच, C) रेफरी, D) मैनेजर</v>
      </c>
      <c r="K71" s="8" t="str">
        <f>IFERROR(__xludf.DUMMYFUNCTION("GOOGLETRANSLATE(E71, ""en"", ""hi"")"),"ए) खिलाड़ी")</f>
        <v>ए) खिलाड़ी</v>
      </c>
    </row>
    <row r="72" ht="22.5" customHeight="1">
      <c r="A72" s="2">
        <v>71.0</v>
      </c>
      <c r="B72" s="3" t="s">
        <v>1135</v>
      </c>
      <c r="C72" s="3" t="s">
        <v>1141</v>
      </c>
      <c r="D72" s="3" t="s">
        <v>1092</v>
      </c>
      <c r="E72" s="3" t="s">
        <v>1045</v>
      </c>
      <c r="G72" s="8" t="str">
        <f>IFERROR(__xludf.DUMMYFUNCTION("GOOGLETRANSLATE(A72, ""en"", ""hi"")"),"71")</f>
        <v>71</v>
      </c>
      <c r="H72" s="8" t="str">
        <f>IFERROR(__xludf.DUMMYFUNCTION("GOOGLETRANSLATE(B72, ""en"", ""hi"")"),"खो_खो_18")</f>
        <v>खो_खो_18</v>
      </c>
      <c r="I72" s="8" t="str">
        <f>IFERROR(__xludf.DUMMYFUNCTION("GOOGLETRANSLATE(C72, ""en"", ""hi"")"),"चित्र में दिखाए अनुसार मंदाकिनी माझी किस खेल में शामिल हैं?")</f>
        <v>चित्र में दिखाए अनुसार मंदाकिनी माझी किस खेल में शामिल हैं?</v>
      </c>
      <c r="J72" s="8" t="str">
        <f>IFERROR(__xludf.DUMMYFUNCTION("GOOGLETRANSLATE(D72, ""en"", ""hi"")"),"A) कबड्डी, B) वॉलीबॉल, C) खो-खो, D) क्रिकेट")</f>
        <v>A) कबड्डी, B) वॉलीबॉल, C) खो-खो, D) क्रिकेट</v>
      </c>
      <c r="K72" s="8" t="str">
        <f>IFERROR(__xludf.DUMMYFUNCTION("GOOGLETRANSLATE(E72, ""en"", ""hi"")"),"C) खो-खो")</f>
        <v>C) खो-खो</v>
      </c>
    </row>
    <row r="73" ht="22.5" customHeight="1">
      <c r="A73" s="2">
        <v>72.0</v>
      </c>
      <c r="B73" s="3" t="s">
        <v>1135</v>
      </c>
      <c r="C73" s="3" t="s">
        <v>1142</v>
      </c>
      <c r="D73" s="3" t="s">
        <v>1143</v>
      </c>
      <c r="E73" s="3" t="s">
        <v>1144</v>
      </c>
      <c r="G73" s="8" t="str">
        <f>IFERROR(__xludf.DUMMYFUNCTION("GOOGLETRANSLATE(A73, ""en"", ""hi"")"),"72")</f>
        <v>72</v>
      </c>
      <c r="H73" s="8" t="str">
        <f>IFERROR(__xludf.DUMMYFUNCTION("GOOGLETRANSLATE(B73, ""en"", ""hi"")"),"खो_खो_18")</f>
        <v>खो_खो_18</v>
      </c>
      <c r="I73" s="8" t="str">
        <f>IFERROR(__xludf.DUMMYFUNCTION("GOOGLETRANSLATE(C73, ""en"", ""hi"")"),"जैसा कि चित्र से पता चलता है, खो-खो के संदर्भ में मंदाकिनी मांझी का क्या महत्व है?")</f>
        <v>जैसा कि चित्र से पता चलता है, खो-खो के संदर्भ में मंदाकिनी मांझी का क्या महत्व है?</v>
      </c>
      <c r="J73" s="8" t="str">
        <f>IFERROR(__xludf.DUMMYFUNCTION("GOOGLETRANSLATE(D73, ""en"", ""hi"")"),"A) राष्ट्रीय चैंपियन, B) प्रमुख कोच, C) शीर्ष खिलाड़ी, D) टूर्नामेंट आयोजक")</f>
        <v>A) राष्ट्रीय चैंपियन, B) प्रमुख कोच, C) शीर्ष खिलाड़ी, D) टूर्नामेंट आयोजक</v>
      </c>
      <c r="K73" s="8" t="str">
        <f>IFERROR(__xludf.DUMMYFUNCTION("GOOGLETRANSLATE(E73, ""en"", ""hi"")"),"C) शीर्ष खिलाड़ी")</f>
        <v>C) शीर्ष खिलाड़ी</v>
      </c>
    </row>
    <row r="74" ht="22.5" customHeight="1">
      <c r="A74" s="2">
        <v>73.0</v>
      </c>
      <c r="B74" s="3" t="s">
        <v>1145</v>
      </c>
      <c r="C74" s="3" t="s">
        <v>1146</v>
      </c>
      <c r="D74" s="3" t="s">
        <v>1147</v>
      </c>
      <c r="E74" s="3" t="s">
        <v>1148</v>
      </c>
      <c r="G74" s="8" t="str">
        <f>IFERROR(__xludf.DUMMYFUNCTION("GOOGLETRANSLATE(A74, ""en"", ""hi"")"),"73")</f>
        <v>73</v>
      </c>
      <c r="H74" s="8" t="str">
        <f>IFERROR(__xludf.DUMMYFUNCTION("GOOGLETRANSLATE(B74, ""en"", ""hi"")"),"खो_खो_19")</f>
        <v>खो_खो_19</v>
      </c>
      <c r="I74" s="8" t="str">
        <f>IFERROR(__xludf.DUMMYFUNCTION("GOOGLETRANSLATE(C74, ""en"", ""hi"")"),"खो-खो के संबंध में चित्र में दिखाया गया व्यक्ति कौन है?")</f>
        <v>खो-खो के संबंध में चित्र में दिखाया गया व्यक्ति कौन है?</v>
      </c>
      <c r="J74" s="8" t="str">
        <f>IFERROR(__xludf.DUMMYFUNCTION("GOOGLETRANSLATE(D74, ""en"", ""hi"")"),"ए) पंकज मल्होत्रा, बी) मंदाकिनी माझी, सी) अंजलि पटेल, डी) मीरा कुमार")</f>
        <v>ए) पंकज मल्होत्रा, बी) मंदाकिनी माझी, सी) अंजलि पटेल, डी) मीरा कुमार</v>
      </c>
      <c r="K74" s="8" t="str">
        <f>IFERROR(__xludf.DUMMYFUNCTION("GOOGLETRANSLATE(E74, ""en"", ""hi"")"),"A) पंकज मल्होत्रा")</f>
        <v>A) पंकज मल्होत्रा</v>
      </c>
    </row>
    <row r="75" ht="22.5" customHeight="1">
      <c r="A75" s="2">
        <v>74.0</v>
      </c>
      <c r="B75" s="3" t="s">
        <v>1145</v>
      </c>
      <c r="C75" s="3" t="s">
        <v>1149</v>
      </c>
      <c r="D75" s="3" t="s">
        <v>1150</v>
      </c>
      <c r="E75" s="3" t="s">
        <v>1128</v>
      </c>
      <c r="G75" s="8" t="str">
        <f>IFERROR(__xludf.DUMMYFUNCTION("GOOGLETRANSLATE(A75, ""en"", ""hi"")"),"74")</f>
        <v>74</v>
      </c>
      <c r="H75" s="8" t="str">
        <f>IFERROR(__xludf.DUMMYFUNCTION("GOOGLETRANSLATE(B75, ""en"", ""hi"")"),"खो_खो_19")</f>
        <v>खो_खो_19</v>
      </c>
      <c r="I75" s="8" t="str">
        <f>IFERROR(__xludf.DUMMYFUNCTION("GOOGLETRANSLATE(C75, ""en"", ""hi"")"),"जैसा कि चित्र से पता चलता है, खो-खो में पंकज मल्होत्रा ​​की संभावित भूमिका क्या है?")</f>
        <v>जैसा कि चित्र से पता चलता है, खो-खो में पंकज मल्होत्रा ​​की संभावित भूमिका क्या है?</v>
      </c>
      <c r="J75" s="8" t="str">
        <f>IFERROR(__xludf.DUMMYFUNCTION("GOOGLETRANSLATE(D75, ""en"", ""hi"")"),"A) खिलाड़ी, B) कोच, C) रेफरी, D) टीम मैनेजर")</f>
        <v>A) खिलाड़ी, B) कोच, C) रेफरी, D) टीम मैनेजर</v>
      </c>
      <c r="K75" s="8" t="str">
        <f>IFERROR(__xludf.DUMMYFUNCTION("GOOGLETRANSLATE(E75, ""en"", ""hi"")"),"बी) कोच")</f>
        <v>बी) कोच</v>
      </c>
    </row>
    <row r="76" ht="22.5" customHeight="1">
      <c r="A76" s="2">
        <v>75.0</v>
      </c>
      <c r="B76" s="3" t="s">
        <v>1145</v>
      </c>
      <c r="C76" s="3" t="s">
        <v>1151</v>
      </c>
      <c r="D76" s="3" t="s">
        <v>1092</v>
      </c>
      <c r="E76" s="3" t="s">
        <v>1045</v>
      </c>
      <c r="G76" s="8" t="str">
        <f>IFERROR(__xludf.DUMMYFUNCTION("GOOGLETRANSLATE(A76, ""en"", ""hi"")"),"75")</f>
        <v>75</v>
      </c>
      <c r="H76" s="8" t="str">
        <f>IFERROR(__xludf.DUMMYFUNCTION("GOOGLETRANSLATE(B76, ""en"", ""hi"")"),"खो_खो_19")</f>
        <v>खो_खो_19</v>
      </c>
      <c r="I76" s="8" t="str">
        <f>IFERROR(__xludf.DUMMYFUNCTION("GOOGLETRANSLATE(C76, ""en"", ""hi"")"),"चित्र के अनुसार पंकज मल्होत्रा ​​किस खेल से जुड़े हैं?")</f>
        <v>चित्र के अनुसार पंकज मल्होत्रा ​​किस खेल से जुड़े हैं?</v>
      </c>
      <c r="J76" s="8" t="str">
        <f>IFERROR(__xludf.DUMMYFUNCTION("GOOGLETRANSLATE(D76, ""en"", ""hi"")"),"A) कबड्डी, B) वॉलीबॉल, C) खो-खो, D) क्रिकेट")</f>
        <v>A) कबड्डी, B) वॉलीबॉल, C) खो-खो, D) क्रिकेट</v>
      </c>
      <c r="K76" s="8" t="str">
        <f>IFERROR(__xludf.DUMMYFUNCTION("GOOGLETRANSLATE(E76, ""en"", ""hi"")"),"C) खो-खो")</f>
        <v>C) खो-खो</v>
      </c>
    </row>
    <row r="77" ht="22.5" customHeight="1">
      <c r="A77" s="2">
        <v>76.0</v>
      </c>
      <c r="B77" s="3" t="s">
        <v>1145</v>
      </c>
      <c r="C77" s="3" t="s">
        <v>1152</v>
      </c>
      <c r="D77" s="3" t="s">
        <v>1153</v>
      </c>
      <c r="E77" s="3" t="s">
        <v>1154</v>
      </c>
      <c r="G77" s="8" t="str">
        <f>IFERROR(__xludf.DUMMYFUNCTION("GOOGLETRANSLATE(A77, ""en"", ""hi"")"),"76")</f>
        <v>76</v>
      </c>
      <c r="H77" s="8" t="str">
        <f>IFERROR(__xludf.DUMMYFUNCTION("GOOGLETRANSLATE(B77, ""en"", ""hi"")"),"खो_खो_19")</f>
        <v>खो_खो_19</v>
      </c>
      <c r="I77" s="8" t="str">
        <f>IFERROR(__xludf.DUMMYFUNCTION("GOOGLETRANSLATE(C77, ""en"", ""hi"")"),"छवि के आधार पर पंकज मल्होत्रा ​​खो-खो के किस पहलू में शामिल हैं?")</f>
        <v>छवि के आधार पर पंकज मल्होत्रा ​​खो-खो के किस पहलू में शामिल हैं?</v>
      </c>
      <c r="J77" s="8" t="str">
        <f>IFERROR(__xludf.DUMMYFUNCTION("GOOGLETRANSLATE(D77, ""en"", ""hi"")"),"ए) प्रशिक्षण और विकास, बी) मैच संचालन, सी) टूर्नामेंट संगठन, डी) टीम भर्ती")</f>
        <v>ए) प्रशिक्षण और विकास, बी) मैच संचालन, सी) टूर्नामेंट संगठन, डी) टीम भर्ती</v>
      </c>
      <c r="K77" s="8" t="str">
        <f>IFERROR(__xludf.DUMMYFUNCTION("GOOGLETRANSLATE(E77, ""en"", ""hi"")"),"ए) प्रशिक्षण और विकास")</f>
        <v>ए) प्रशिक्षण और विकास</v>
      </c>
    </row>
    <row r="78" ht="22.5" customHeight="1">
      <c r="A78" s="2">
        <v>77.0</v>
      </c>
      <c r="B78" s="3" t="s">
        <v>1155</v>
      </c>
      <c r="C78" s="3" t="s">
        <v>1146</v>
      </c>
      <c r="D78" s="3" t="s">
        <v>1156</v>
      </c>
      <c r="E78" s="3" t="s">
        <v>1157</v>
      </c>
      <c r="G78" s="8" t="str">
        <f>IFERROR(__xludf.DUMMYFUNCTION("GOOGLETRANSLATE(A78, ""en"", ""hi"")"),"77")</f>
        <v>77</v>
      </c>
      <c r="H78" s="8" t="str">
        <f>IFERROR(__xludf.DUMMYFUNCTION("GOOGLETRANSLATE(B78, ""en"", ""hi"")"),"खो_खो_20")</f>
        <v>खो_खो_20</v>
      </c>
      <c r="I78" s="8" t="str">
        <f>IFERROR(__xludf.DUMMYFUNCTION("GOOGLETRANSLATE(C78, ""en"", ""hi"")"),"खो-खो के संबंध में चित्र में दिखाया गया व्यक्ति कौन है?")</f>
        <v>खो-खो के संबंध में चित्र में दिखाया गया व्यक्ति कौन है?</v>
      </c>
      <c r="J78" s="8" t="str">
        <f>IFERROR(__xludf.DUMMYFUNCTION("GOOGLETRANSLATE(D78, ""en"", ""hi"")"),"ए) सतीश राय, बी) पंकज मल्होत्रा, सी) मंदाकिनी माझी, डी) अंजलि पटेल")</f>
        <v>ए) सतीश राय, बी) पंकज मल्होत्रा, सी) मंदाकिनी माझी, डी) अंजलि पटेल</v>
      </c>
      <c r="K78" s="8" t="str">
        <f>IFERROR(__xludf.DUMMYFUNCTION("GOOGLETRANSLATE(E78, ""en"", ""hi"")"),"A) सतीश राय")</f>
        <v>A) सतीश राय</v>
      </c>
    </row>
    <row r="79" ht="22.5" customHeight="1">
      <c r="A79" s="2">
        <v>78.0</v>
      </c>
      <c r="B79" s="3" t="s">
        <v>1155</v>
      </c>
      <c r="C79" s="3" t="s">
        <v>1158</v>
      </c>
      <c r="D79" s="3" t="s">
        <v>1159</v>
      </c>
      <c r="E79" s="3" t="s">
        <v>1160</v>
      </c>
      <c r="G79" s="8" t="str">
        <f>IFERROR(__xludf.DUMMYFUNCTION("GOOGLETRANSLATE(A79, ""en"", ""hi"")"),"78")</f>
        <v>78</v>
      </c>
      <c r="H79" s="8" t="str">
        <f>IFERROR(__xludf.DUMMYFUNCTION("GOOGLETRANSLATE(B79, ""en"", ""hi"")"),"खो_खो_20")</f>
        <v>खो_खो_20</v>
      </c>
      <c r="I79" s="8" t="str">
        <f>IFERROR(__xludf.DUMMYFUNCTION("GOOGLETRANSLATE(C79, ""en"", ""hi"")"),"छवि के अनुसार सतीश राय ने खो-खो में क्या भूमिका निभाई है?")</f>
        <v>छवि के अनुसार सतीश राय ने खो-खो में क्या भूमिका निभाई है?</v>
      </c>
      <c r="J79" s="8" t="str">
        <f>IFERROR(__xludf.DUMMYFUNCTION("GOOGLETRANSLATE(D79, ""en"", ""hi"")"),"A) राष्ट्रीय टीम का खिलाड़ी, B) रेफरी, C) कोच, D) टूर्नामेंट आयोजक")</f>
        <v>A) राष्ट्रीय टीम का खिलाड़ी, B) रेफरी, C) कोच, D) टूर्नामेंट आयोजक</v>
      </c>
      <c r="K79" s="8" t="str">
        <f>IFERROR(__xludf.DUMMYFUNCTION("GOOGLETRANSLATE(E79, ""en"", ""hi"")"),"A) राष्ट्रीय टीम का खिलाड़ी")</f>
        <v>A) राष्ट्रीय टीम का खिलाड़ी</v>
      </c>
    </row>
    <row r="80" ht="22.5" customHeight="1">
      <c r="A80" s="2">
        <v>79.0</v>
      </c>
      <c r="B80" s="3" t="s">
        <v>1155</v>
      </c>
      <c r="C80" s="3" t="s">
        <v>1161</v>
      </c>
      <c r="D80" s="3" t="s">
        <v>1162</v>
      </c>
      <c r="E80" s="3" t="s">
        <v>1163</v>
      </c>
      <c r="G80" s="8" t="str">
        <f>IFERROR(__xludf.DUMMYFUNCTION("GOOGLETRANSLATE(A80, ""en"", ""hi"")"),"79")</f>
        <v>79</v>
      </c>
      <c r="H80" s="8" t="str">
        <f>IFERROR(__xludf.DUMMYFUNCTION("GOOGLETRANSLATE(B80, ""en"", ""hi"")"),"खो_खो_20")</f>
        <v>खो_खो_20</v>
      </c>
      <c r="I80" s="8" t="str">
        <f>IFERROR(__xludf.DUMMYFUNCTION("GOOGLETRANSLATE(C80, ""en"", ""hi"")"),"जैसा कि चित्र में बताया गया है, सतीश राय किस स्तर की प्रतियोगिताओं में शामिल रहे हैं?")</f>
        <v>जैसा कि चित्र में बताया गया है, सतीश राय किस स्तर की प्रतियोगिताओं में शामिल रहे हैं?</v>
      </c>
      <c r="J80" s="8" t="str">
        <f>IFERROR(__xludf.DUMMYFUNCTION("GOOGLETRANSLATE(D80, ""en"", ""hi"")"),"A) राज्य और राष्ट्रीय, B) स्थानीय और क्षेत्रीय, C) राष्ट्रीय और अंतर्राष्ट्रीय, D) क्षेत्रीय और अंतर्राष्ट्रीय")</f>
        <v>A) राज्य और राष्ट्रीय, B) स्थानीय और क्षेत्रीय, C) राष्ट्रीय और अंतर्राष्ट्रीय, D) क्षेत्रीय और अंतर्राष्ट्रीय</v>
      </c>
      <c r="K80" s="8" t="str">
        <f>IFERROR(__xludf.DUMMYFUNCTION("GOOGLETRANSLATE(E80, ""en"", ""hi"")"),"ए) राज्य और राष्ट्रीय")</f>
        <v>ए) राज्य और राष्ट्रीय</v>
      </c>
    </row>
    <row r="81" ht="22.5" customHeight="1">
      <c r="A81" s="2">
        <v>80.0</v>
      </c>
      <c r="B81" s="3" t="s">
        <v>1155</v>
      </c>
      <c r="C81" s="3" t="s">
        <v>1164</v>
      </c>
      <c r="D81" s="3" t="s">
        <v>1165</v>
      </c>
      <c r="E81" s="3" t="s">
        <v>1166</v>
      </c>
      <c r="G81" s="8" t="str">
        <f>IFERROR(__xludf.DUMMYFUNCTION("GOOGLETRANSLATE(A81, ""en"", ""hi"")"),"80")</f>
        <v>80</v>
      </c>
      <c r="H81" s="8" t="str">
        <f>IFERROR(__xludf.DUMMYFUNCTION("GOOGLETRANSLATE(B81, ""en"", ""hi"")"),"खो_खो_20")</f>
        <v>खो_खो_20</v>
      </c>
      <c r="I81" s="8" t="str">
        <f>IFERROR(__xludf.DUMMYFUNCTION("GOOGLETRANSLATE(C81, ""en"", ""hi"")"),"सतीश राय की तस्वीर का मुख्य फोकस क्या है?")</f>
        <v>सतीश राय की तस्वीर का मुख्य फोकस क्या है?</v>
      </c>
      <c r="J81" s="8" t="str">
        <f>IFERROR(__xludf.DUMMYFUNCTION("GOOGLETRANSLATE(D81, ""en"", ""hi"")"),"ए) राज्य और राष्ट्रीय प्रतियोगिता में भागीदारी, बी) कोचिंग उपलब्धियां, सी) रेफरी कैरियर, डी) टीम प्रबंधन")</f>
        <v>ए) राज्य और राष्ट्रीय प्रतियोगिता में भागीदारी, बी) कोचिंग उपलब्धियां, सी) रेफरी कैरियर, डी) टीम प्रबंधन</v>
      </c>
      <c r="K81" s="8" t="str">
        <f>IFERROR(__xludf.DUMMYFUNCTION("GOOGLETRANSLATE(E81, ""en"", ""hi"")"),"ए) राज्य और राष्ट्रीय प्रतियोगिता में भागीदारी")</f>
        <v>ए) राज्य और राष्ट्रीय प्रतियोगिता में भागीदारी</v>
      </c>
    </row>
    <row r="82" ht="22.5" customHeight="1">
      <c r="A82" s="2">
        <v>81.0</v>
      </c>
      <c r="B82" s="3" t="s">
        <v>1167</v>
      </c>
      <c r="C82" s="3" t="s">
        <v>1168</v>
      </c>
      <c r="D82" s="3" t="s">
        <v>1169</v>
      </c>
      <c r="E82" s="3" t="s">
        <v>1170</v>
      </c>
      <c r="G82" s="8" t="str">
        <f>IFERROR(__xludf.DUMMYFUNCTION("GOOGLETRANSLATE(A82, ""en"", ""hi"")"),"81")</f>
        <v>81</v>
      </c>
      <c r="H82" s="8" t="str">
        <f>IFERROR(__xludf.DUMMYFUNCTION("GOOGLETRANSLATE(B82, ""en"", ""hi"")"),"खो_खो_21")</f>
        <v>खो_खो_21</v>
      </c>
      <c r="I82" s="8" t="str">
        <f>IFERROR(__xludf.DUMMYFUNCTION("GOOGLETRANSLATE(C82, ""en"", ""hi"")"),"भारतीय पुरुष खो-खो टीम की तस्वीर में कौन सी स्पर्धा दर्शाई गई है?")</f>
        <v>भारतीय पुरुष खो-खो टीम की तस्वीर में कौन सी स्पर्धा दर्शाई गई है?</v>
      </c>
      <c r="J82" s="8" t="str">
        <f>IFERROR(__xludf.DUMMYFUNCTION("GOOGLETRANSLATE(D82, ""en"", ""hi"")"),"ए) राष्ट्रीय चैम्पियनशिप, बी) चौथी एशियाई खो-खो चैम्पियनशिप, सी) विश्व खो-खो कप, डी) क्षेत्रीय टूर्नामेंट")</f>
        <v>ए) राष्ट्रीय चैम्पियनशिप, बी) चौथी एशियाई खो-खो चैम्पियनशिप, सी) विश्व खो-खो कप, डी) क्षेत्रीय टूर्नामेंट</v>
      </c>
      <c r="K82" s="8" t="str">
        <f>IFERROR(__xludf.DUMMYFUNCTION("GOOGLETRANSLATE(E82, ""en"", ""hi"")"),"बी) चौथी एशियाई खो-खो चैंपियनशिप")</f>
        <v>बी) चौथी एशियाई खो-खो चैंपियनशिप</v>
      </c>
    </row>
    <row r="83" ht="22.5" customHeight="1">
      <c r="A83" s="2">
        <v>82.0</v>
      </c>
      <c r="B83" s="3" t="s">
        <v>1167</v>
      </c>
      <c r="C83" s="3" t="s">
        <v>1171</v>
      </c>
      <c r="D83" s="3" t="s">
        <v>1172</v>
      </c>
      <c r="E83" s="3" t="s">
        <v>1173</v>
      </c>
      <c r="G83" s="8" t="str">
        <f>IFERROR(__xludf.DUMMYFUNCTION("GOOGLETRANSLATE(A83, ""en"", ""hi"")"),"82")</f>
        <v>82</v>
      </c>
      <c r="H83" s="8" t="str">
        <f>IFERROR(__xludf.DUMMYFUNCTION("GOOGLETRANSLATE(B83, ""en"", ""hi"")"),"खो_खो_21")</f>
        <v>खो_खो_21</v>
      </c>
      <c r="I83" s="8" t="str">
        <f>IFERROR(__xludf.DUMMYFUNCTION("GOOGLETRANSLATE(C83, ""en"", ""hi"")"),"जैसा कि चित्र में बताया गया है, चौथी एशियाई खो-खो चैंपियनशिप कहाँ संपन्न हुई?")</f>
        <v>जैसा कि चित्र में बताया गया है, चौथी एशियाई खो-खो चैंपियनशिप कहाँ संपन्न हुई?</v>
      </c>
      <c r="J83" s="8" t="str">
        <f>IFERROR(__xludf.DUMMYFUNCTION("GOOGLETRANSLATE(D83, ""en"", ""hi"")"),"A) दिल्ली, B) मुंबई, C) तामिलनाडु, D) बैंगलोर")</f>
        <v>A) दिल्ली, B) मुंबई, C) तामिलनाडु, D) बैंगलोर</v>
      </c>
      <c r="K83" s="8" t="str">
        <f>IFERROR(__xludf.DUMMYFUNCTION("GOOGLETRANSLATE(E83, ""en"", ""hi"")"),"C) तामुलपुर")</f>
        <v>C) तामुलपुर</v>
      </c>
    </row>
    <row r="84" ht="22.5" customHeight="1">
      <c r="A84" s="2">
        <v>83.0</v>
      </c>
      <c r="B84" s="3" t="s">
        <v>1167</v>
      </c>
      <c r="C84" s="3" t="s">
        <v>1174</v>
      </c>
      <c r="D84" s="3" t="s">
        <v>1175</v>
      </c>
      <c r="E84" s="3" t="s">
        <v>1176</v>
      </c>
      <c r="G84" s="8" t="str">
        <f>IFERROR(__xludf.DUMMYFUNCTION("GOOGLETRANSLATE(A84, ""en"", ""hi"")"),"83")</f>
        <v>83</v>
      </c>
      <c r="H84" s="8" t="str">
        <f>IFERROR(__xludf.DUMMYFUNCTION("GOOGLETRANSLATE(B84, ""en"", ""hi"")"),"खो_खो_21")</f>
        <v>खो_खो_21</v>
      </c>
      <c r="I84" s="8" t="str">
        <f>IFERROR(__xludf.DUMMYFUNCTION("GOOGLETRANSLATE(C84, ""en"", ""hi"")"),"चित्र के अनुसार, चौथी एशियाई खो-खो चैम्पियनशिप किस तारीख को समाप्त हुई?")</f>
        <v>चित्र के अनुसार, चौथी एशियाई खो-खो चैम्पियनशिप किस तारीख को समाप्त हुई?</v>
      </c>
      <c r="J84" s="8" t="str">
        <f>IFERROR(__xludf.DUMMYFUNCTION("GOOGLETRANSLATE(D84, ""en"", ""hi"")"),"A) 15 मार्च, B) 20 मार्च, C) 23 मार्च, D) 25 मार्च")</f>
        <v>A) 15 मार्च, B) 20 मार्च, C) 23 मार्च, D) 25 मार्च</v>
      </c>
      <c r="K84" s="8" t="str">
        <f>IFERROR(__xludf.DUMMYFUNCTION("GOOGLETRANSLATE(E84, ""en"", ""hi"")"),"सी) 23 मार्च")</f>
        <v>सी) 23 मार्च</v>
      </c>
    </row>
    <row r="85" ht="22.5" customHeight="1">
      <c r="A85" s="2">
        <v>84.0</v>
      </c>
      <c r="B85" s="3" t="s">
        <v>1167</v>
      </c>
      <c r="C85" s="3" t="s">
        <v>1177</v>
      </c>
      <c r="D85" s="3" t="s">
        <v>1178</v>
      </c>
      <c r="E85" s="3" t="s">
        <v>1179</v>
      </c>
      <c r="G85" s="8" t="str">
        <f>IFERROR(__xludf.DUMMYFUNCTION("GOOGLETRANSLATE(A85, ""en"", ""hi"")"),"84")</f>
        <v>84</v>
      </c>
      <c r="H85" s="8" t="str">
        <f>IFERROR(__xludf.DUMMYFUNCTION("GOOGLETRANSLATE(B85, ""en"", ""hi"")"),"खो_खो_21")</f>
        <v>खो_खो_21</v>
      </c>
      <c r="I85" s="8" t="str">
        <f>IFERROR(__xludf.DUMMYFUNCTION("GOOGLETRANSLATE(C85, ""en"", ""hi"")"),"चित्र में भारतीय पुरुष खो-खो टीम की कौन सी उपलब्धि दर्शाई गई है?")</f>
        <v>चित्र में भारतीय पुरुष खो-खो टीम की कौन सी उपलब्धि दर्शाई गई है?</v>
      </c>
      <c r="J85" s="8" t="str">
        <f>IFERROR(__xludf.DUMMYFUNCTION("GOOGLETRANSLATE(D85, ""en"", ""hi"")"),"A) चैंपियनशिप जीतना, B) फाइनल के लिए क्वालीफाई करना, C) इवेंट की मेजबानी करना, D) टूर्नामेंट को प्रायोजित करना")</f>
        <v>A) चैंपियनशिप जीतना, B) फाइनल के लिए क्वालीफाई करना, C) इवेंट की मेजबानी करना, D) टूर्नामेंट को प्रायोजित करना</v>
      </c>
      <c r="K85" s="8" t="str">
        <f>IFERROR(__xludf.DUMMYFUNCTION("GOOGLETRANSLATE(E85, ""en"", ""hi"")"),"A) चैंपियनशिप जीतना")</f>
        <v>A) चैंपियनशिप जीतना</v>
      </c>
    </row>
    <row r="86" ht="22.5" customHeight="1">
      <c r="A86" s="2">
        <v>85.0</v>
      </c>
      <c r="B86" s="3" t="s">
        <v>1180</v>
      </c>
      <c r="C86" s="3" t="s">
        <v>1181</v>
      </c>
      <c r="D86" s="3" t="s">
        <v>1182</v>
      </c>
      <c r="E86" s="3" t="s">
        <v>1183</v>
      </c>
      <c r="G86" s="8" t="str">
        <f>IFERROR(__xludf.DUMMYFUNCTION("GOOGLETRANSLATE(A86, ""en"", ""hi"")"),"85")</f>
        <v>85</v>
      </c>
      <c r="H86" s="8" t="str">
        <f>IFERROR(__xludf.DUMMYFUNCTION("GOOGLETRANSLATE(B86, ""en"", ""hi"")"),"खो_खो_22")</f>
        <v>खो_खो_22</v>
      </c>
      <c r="I86" s="8" t="str">
        <f>IFERROR(__xludf.DUMMYFUNCTION("GOOGLETRANSLATE(C86, ""en"", ""hi"")"),"चित्र में एशियाई खो-खो चैम्पियनशिप में भाग लेने वाली कौन सी टीम दिखाई गई है?")</f>
        <v>चित्र में एशियाई खो-खो चैम्पियनशिप में भाग लेने वाली कौन सी टीम दिखाई गई है?</v>
      </c>
      <c r="J86" s="8" t="str">
        <f>IFERROR(__xludf.DUMMYFUNCTION("GOOGLETRANSLATE(D86, ""en"", ""hi"")"),"A) भारतीय पुरुष टीम, B) भारतीय महिला टीम, C) पाकिस्तान पुरुष टीम, D) श्रीलंका महिला टीम")</f>
        <v>A) भारतीय पुरुष टीम, B) भारतीय महिला टीम, C) पाकिस्तान पुरुष टीम, D) श्रीलंका महिला टीम</v>
      </c>
      <c r="K86" s="8" t="str">
        <f>IFERROR(__xludf.DUMMYFUNCTION("GOOGLETRANSLATE(E86, ""en"", ""hi"")"),"बी) भारतीय महिला टीम")</f>
        <v>बी) भारतीय महिला टीम</v>
      </c>
    </row>
    <row r="87" ht="22.5" customHeight="1">
      <c r="A87" s="2">
        <v>86.0</v>
      </c>
      <c r="B87" s="3" t="s">
        <v>1180</v>
      </c>
      <c r="C87" s="3" t="s">
        <v>1184</v>
      </c>
      <c r="D87" s="3" t="s">
        <v>1185</v>
      </c>
      <c r="E87" s="3" t="s">
        <v>1186</v>
      </c>
      <c r="G87" s="8" t="str">
        <f>IFERROR(__xludf.DUMMYFUNCTION("GOOGLETRANSLATE(A87, ""en"", ""hi"")"),"86")</f>
        <v>86</v>
      </c>
      <c r="H87" s="8" t="str">
        <f>IFERROR(__xludf.DUMMYFUNCTION("GOOGLETRANSLATE(B87, ""en"", ""hi"")"),"खो_खो_22")</f>
        <v>खो_खो_22</v>
      </c>
      <c r="I87" s="8" t="str">
        <f>IFERROR(__xludf.DUMMYFUNCTION("GOOGLETRANSLATE(C87, ""en"", ""hi"")"),"भारतीय महिला टीम से संबंधित चित्र में किस प्रकार की चैंपियनशिप दर्शाई गई है?")</f>
        <v>भारतीय महिला टीम से संबंधित चित्र में किस प्रकार की चैंपियनशिप दर्शाई गई है?</v>
      </c>
      <c r="J87" s="8" t="str">
        <f>IFERROR(__xludf.DUMMYFUNCTION("GOOGLETRANSLATE(D87, ""en"", ""hi"")"),"ए) राष्ट्रीय चैम्पियनशिप, बी) एशियाई खो-खो चैम्पियनशिप, सी) विश्व खो-खो कप, डी) क्षेत्रीय टूर्नामेंट")</f>
        <v>ए) राष्ट्रीय चैम्पियनशिप, बी) एशियाई खो-खो चैम्पियनशिप, सी) विश्व खो-खो कप, डी) क्षेत्रीय टूर्नामेंट</v>
      </c>
      <c r="K87" s="8" t="str">
        <f>IFERROR(__xludf.DUMMYFUNCTION("GOOGLETRANSLATE(E87, ""en"", ""hi"")"),"बी) एशियाई खो-खो चैम्पियनशिप")</f>
        <v>बी) एशियाई खो-खो चैम्पियनशिप</v>
      </c>
    </row>
    <row r="88" ht="22.5" customHeight="1">
      <c r="A88" s="2">
        <v>87.0</v>
      </c>
      <c r="B88" s="3" t="s">
        <v>1180</v>
      </c>
      <c r="C88" s="3" t="s">
        <v>1187</v>
      </c>
      <c r="D88" s="3" t="s">
        <v>1188</v>
      </c>
      <c r="E88" s="3" t="s">
        <v>1189</v>
      </c>
      <c r="G88" s="8" t="str">
        <f>IFERROR(__xludf.DUMMYFUNCTION("GOOGLETRANSLATE(A88, ""en"", ""hi"")"),"87")</f>
        <v>87</v>
      </c>
      <c r="H88" s="8" t="str">
        <f>IFERROR(__xludf.DUMMYFUNCTION("GOOGLETRANSLATE(B88, ""en"", ""hi"")"),"खो_खो_22")</f>
        <v>खो_खो_22</v>
      </c>
      <c r="I88" s="8" t="str">
        <f>IFERROR(__xludf.DUMMYFUNCTION("GOOGLETRANSLATE(C88, ""en"", ""hi"")"),"भारतीय महिला खो-खो टीम को दर्शाने वाली छवि का संदर्भ क्या है?")</f>
        <v>भारतीय महिला खो-खो टीम को दर्शाने वाली छवि का संदर्भ क्या है?</v>
      </c>
      <c r="J88" s="8" t="str">
        <f>IFERROR(__xludf.DUMMYFUNCTION("GOOGLETRANSLATE(D88, ""en"", ""hi"")"),"ए) मैच से पहले की तैयारी, बी) जीत का जश्न, सी) प्रशिक्षण सत्र, डी) मैच के बाद का विश्लेषण")</f>
        <v>ए) मैच से पहले की तैयारी, बी) जीत का जश्न, सी) प्रशिक्षण सत्र, डी) मैच के बाद का विश्लेषण</v>
      </c>
      <c r="K88" s="8" t="str">
        <f>IFERROR(__xludf.DUMMYFUNCTION("GOOGLETRANSLATE(E88, ""en"", ""hi"")"),"बी) जीत का जश्न")</f>
        <v>बी) जीत का जश्न</v>
      </c>
    </row>
    <row r="89" ht="22.5" customHeight="1">
      <c r="A89" s="2">
        <v>88.0</v>
      </c>
      <c r="B89" s="3" t="s">
        <v>1180</v>
      </c>
      <c r="C89" s="3" t="s">
        <v>1190</v>
      </c>
      <c r="D89" s="3" t="s">
        <v>1191</v>
      </c>
      <c r="E89" s="3" t="s">
        <v>1192</v>
      </c>
      <c r="G89" s="8" t="str">
        <f>IFERROR(__xludf.DUMMYFUNCTION("GOOGLETRANSLATE(A89, ""en"", ""hi"")"),"88")</f>
        <v>88</v>
      </c>
      <c r="H89" s="8" t="str">
        <f>IFERROR(__xludf.DUMMYFUNCTION("GOOGLETRANSLATE(B89, ""en"", ""hi"")"),"खो_खो_22")</f>
        <v>खो_खो_22</v>
      </c>
      <c r="I89" s="8" t="str">
        <f>IFERROR(__xludf.DUMMYFUNCTION("GOOGLETRANSLATE(C89, ""en"", ""hi"")"),"चित्र में भारतीय महिला खो-खो टीम की कौन सी उपलब्धि दर्शाई गई है?")</f>
        <v>चित्र में भारतीय महिला खो-खो टीम की कौन सी उपलब्धि दर्शाई गई है?</v>
      </c>
      <c r="J89" s="8" t="str">
        <f>IFERROR(__xludf.DUMMYFUNCTION("GOOGLETRANSLATE(D89, ""en"", ""hi"")"),"A) फाइनल के लिए अर्हता प्राप्त करना, B) चैंपियनशिप जीतना, C) कार्यक्रम की मेजबानी करना, D) पुरस्कार प्राप्त करना")</f>
        <v>A) फाइनल के लिए अर्हता प्राप्त करना, B) चैंपियनशिप जीतना, C) कार्यक्रम की मेजबानी करना, D) पुरस्कार प्राप्त करना</v>
      </c>
      <c r="K89" s="8" t="str">
        <f>IFERROR(__xludf.DUMMYFUNCTION("GOOGLETRANSLATE(E89, ""en"", ""hi"")"),"बी) चैंपियनशिप जीतना")</f>
        <v>बी) चैंपियनशिप जीतना</v>
      </c>
    </row>
    <row r="90" ht="22.5" customHeight="1">
      <c r="A90" s="2">
        <v>89.0</v>
      </c>
      <c r="B90" s="3" t="s">
        <v>1193</v>
      </c>
      <c r="C90" s="3" t="s">
        <v>1194</v>
      </c>
      <c r="D90" s="3" t="s">
        <v>1195</v>
      </c>
      <c r="E90" s="3" t="s">
        <v>1196</v>
      </c>
      <c r="G90" s="8" t="str">
        <f>IFERROR(__xludf.DUMMYFUNCTION("GOOGLETRANSLATE(A90, ""en"", ""hi"")"),"89")</f>
        <v>89</v>
      </c>
      <c r="H90" s="8" t="str">
        <f>IFERROR(__xludf.DUMMYFUNCTION("GOOGLETRANSLATE(B90, ""en"", ""hi"")"),"खो_खो_23")</f>
        <v>खो_खो_23</v>
      </c>
      <c r="I90" s="8" t="str">
        <f>IFERROR(__xludf.DUMMYFUNCTION("GOOGLETRANSLATE(C90, ""en"", ""hi"")"),"चित्र में किस प्रकार की खेल गतिविधि दर्शाई गई है?")</f>
        <v>चित्र में किस प्रकार की खेल गतिविधि दर्शाई गई है?</v>
      </c>
      <c r="J90" s="8" t="str">
        <f>IFERROR(__xludf.DUMMYFUNCTION("GOOGLETRANSLATE(D90, ""en"", ""hi"")"),"A) खो-खो, B) कबड्डी, C) क्रिकेट, D) वॉलीबॉल")</f>
        <v>A) खो-खो, B) कबड्डी, C) क्रिकेट, D) वॉलीबॉल</v>
      </c>
      <c r="K90" s="8" t="str">
        <f>IFERROR(__xludf.DUMMYFUNCTION("GOOGLETRANSLATE(E90, ""en"", ""hi"")"),"A) खो-खो")</f>
        <v>A) खो-खो</v>
      </c>
    </row>
    <row r="91" ht="22.5" customHeight="1">
      <c r="A91" s="2">
        <v>90.0</v>
      </c>
      <c r="B91" s="3" t="s">
        <v>1193</v>
      </c>
      <c r="C91" s="3" t="s">
        <v>1197</v>
      </c>
      <c r="D91" s="3" t="s">
        <v>1198</v>
      </c>
      <c r="E91" s="3" t="s">
        <v>1199</v>
      </c>
      <c r="G91" s="8" t="str">
        <f>IFERROR(__xludf.DUMMYFUNCTION("GOOGLETRANSLATE(A91, ""en"", ""hi"")"),"90")</f>
        <v>90</v>
      </c>
      <c r="H91" s="8" t="str">
        <f>IFERROR(__xludf.DUMMYFUNCTION("GOOGLETRANSLATE(B91, ""en"", ""hi"")"),"खो_खो_23")</f>
        <v>खो_खो_23</v>
      </c>
      <c r="I91" s="8" t="str">
        <f>IFERROR(__xludf.DUMMYFUNCTION("GOOGLETRANSLATE(C91, ""en"", ""hi"")"),"खेल से संबंधित छवि में होने वाली प्राथमिक क्रिया क्या है?")</f>
        <v>खेल से संबंधित छवि में होने वाली प्राथमिक क्रिया क्या है?</v>
      </c>
      <c r="J91" s="8" t="str">
        <f>IFERROR(__xludf.DUMMYFUNCTION("GOOGLETRANSLATE(D91, ""en"", ""hi"")"),"A) दौड़ना और पीछा करना, B) गेंद पास करना, C) बल्लेबाजी करना, D) नेट लगाना")</f>
        <v>A) दौड़ना और पीछा करना, B) गेंद पास करना, C) बल्लेबाजी करना, D) नेट लगाना</v>
      </c>
      <c r="K91" s="8" t="str">
        <f>IFERROR(__xludf.DUMMYFUNCTION("GOOGLETRANSLATE(E91, ""en"", ""hi"")"),"A) दौड़ना और पीछा करना")</f>
        <v>A) दौड़ना और पीछा करना</v>
      </c>
    </row>
    <row r="92" ht="22.5" customHeight="1">
      <c r="A92" s="2">
        <v>91.0</v>
      </c>
      <c r="B92" s="3" t="s">
        <v>1193</v>
      </c>
      <c r="C92" s="3" t="s">
        <v>1200</v>
      </c>
      <c r="D92" s="3" t="s">
        <v>1201</v>
      </c>
      <c r="E92" s="3" t="s">
        <v>1202</v>
      </c>
      <c r="G92" s="8" t="str">
        <f>IFERROR(__xludf.DUMMYFUNCTION("GOOGLETRANSLATE(A92, ""en"", ""hi"")"),"91")</f>
        <v>91</v>
      </c>
      <c r="H92" s="8" t="str">
        <f>IFERROR(__xludf.DUMMYFUNCTION("GOOGLETRANSLATE(B92, ""en"", ""hi"")"),"खो_खो_23")</f>
        <v>खो_खो_23</v>
      </c>
      <c r="I92" s="8" t="str">
        <f>IFERROR(__xludf.DUMMYFUNCTION("GOOGLETRANSLATE(C92, ""en"", ""hi"")"),"चित्र में दिखाए गए खेल मैदान की विशेषता क्या है?")</f>
        <v>चित्र में दिखाए गए खेल मैदान की विशेषता क्या है?</v>
      </c>
      <c r="J92" s="8" t="str">
        <f>IFERROR(__xludf.DUMMYFUNCTION("GOOGLETRANSLATE(D92, ""en"", ""hi"")"),"A) वृत्ताकार, B) चिह्नित लेनों वाला आयताकार, C) वर्गाकार, D) त्रिकोणीय")</f>
        <v>A) वृत्ताकार, B) चिह्नित लेनों वाला आयताकार, C) वर्गाकार, D) त्रिकोणीय</v>
      </c>
      <c r="K92" s="8" t="str">
        <f>IFERROR(__xludf.DUMMYFUNCTION("GOOGLETRANSLATE(E92, ""en"", ""hi"")"),"बी) चिह्नित लेन के साथ आयताकार")</f>
        <v>बी) चिह्नित लेन के साथ आयताकार</v>
      </c>
    </row>
    <row r="93" ht="22.5" customHeight="1">
      <c r="A93" s="2">
        <v>92.0</v>
      </c>
      <c r="B93" s="3" t="s">
        <v>1193</v>
      </c>
      <c r="C93" s="3" t="s">
        <v>1203</v>
      </c>
      <c r="D93" s="3" t="s">
        <v>1204</v>
      </c>
      <c r="E93" s="3" t="s">
        <v>1205</v>
      </c>
      <c r="G93" s="8" t="str">
        <f>IFERROR(__xludf.DUMMYFUNCTION("GOOGLETRANSLATE(A93, ""en"", ""hi"")"),"92")</f>
        <v>92</v>
      </c>
      <c r="H93" s="8" t="str">
        <f>IFERROR(__xludf.DUMMYFUNCTION("GOOGLETRANSLATE(B93, ""en"", ""hi"")"),"खो_खो_23")</f>
        <v>खो_खो_23</v>
      </c>
      <c r="I93" s="8" t="str">
        <f>IFERROR(__xludf.DUMMYFUNCTION("GOOGLETRANSLATE(C93, ""en"", ""hi"")"),"खो-खो खेल से संबंधित चित्र में कौन सा तत्व सबसे अधिक दिखाई दे रहा है?")</f>
        <v>खो-खो खेल से संबंधित चित्र में कौन सा तत्व सबसे अधिक दिखाई दे रहा है?</v>
      </c>
      <c r="J93" s="8" t="str">
        <f>IFERROR(__xludf.DUMMYFUNCTION("GOOGLETRANSLATE(D93, ""en"", ""hi"")"),"A) एक्शन में खिलाड़ी, B) दर्शक, C) स्कोरिंग बोर्ड, D) टीम की वर्दी")</f>
        <v>A) एक्शन में खिलाड़ी, B) दर्शक, C) स्कोरिंग बोर्ड, D) टीम की वर्दी</v>
      </c>
      <c r="K93" s="8" t="str">
        <f>IFERROR(__xludf.DUMMYFUNCTION("GOOGLETRANSLATE(E93, ""en"", ""hi"")"),"A) एक्शन में खिलाड़ी")</f>
        <v>A) एक्शन में खिलाड़ी</v>
      </c>
    </row>
    <row r="94" ht="22.5" customHeight="1">
      <c r="A94" s="2">
        <v>93.0</v>
      </c>
      <c r="B94" s="3" t="s">
        <v>1206</v>
      </c>
      <c r="C94" s="3" t="s">
        <v>1207</v>
      </c>
      <c r="D94" s="3" t="s">
        <v>1208</v>
      </c>
      <c r="E94" s="3" t="s">
        <v>1209</v>
      </c>
      <c r="G94" s="8" t="str">
        <f>IFERROR(__xludf.DUMMYFUNCTION("GOOGLETRANSLATE(A94, ""en"", ""hi"")"),"93")</f>
        <v>93</v>
      </c>
      <c r="H94" s="8" t="str">
        <f>IFERROR(__xludf.DUMMYFUNCTION("GOOGLETRANSLATE(B94, ""en"", ""hi"")"),"खो_खो_24")</f>
        <v>खो_खो_24</v>
      </c>
      <c r="I94" s="8" t="str">
        <f>IFERROR(__xludf.DUMMYFUNCTION("GOOGLETRANSLATE(C94, ""en"", ""hi"")"),"चित्र में खो-खो से संबंधित क्या दर्शाया गया है?")</f>
        <v>चित्र में खो-खो से संबंधित क्या दर्शाया गया है?</v>
      </c>
      <c r="J94" s="8" t="str">
        <f>IFERROR(__xludf.DUMMYFUNCTION("GOOGLETRANSLATE(D94, ""en"", ""hi"")"),"ए) खिलाड़ी प्रशिक्षण, बी) मैदान का माप और आयाम, सी) टीम उत्सव, डी) टूर्नामेंट कार्यक्रम")</f>
        <v>ए) खिलाड़ी प्रशिक्षण, बी) मैदान का माप और आयाम, सी) टीम उत्सव, डी) टूर्नामेंट कार्यक्रम</v>
      </c>
      <c r="K94" s="8" t="str">
        <f>IFERROR(__xludf.DUMMYFUNCTION("GOOGLETRANSLATE(E94, ""en"", ""hi"")"),"बी) भूमि माप और आयाम")</f>
        <v>बी) भूमि माप और आयाम</v>
      </c>
    </row>
    <row r="95" ht="22.5" customHeight="1">
      <c r="A95" s="2">
        <v>94.0</v>
      </c>
      <c r="B95" s="3" t="s">
        <v>1206</v>
      </c>
      <c r="C95" s="3" t="s">
        <v>1210</v>
      </c>
      <c r="D95" s="3" t="s">
        <v>1211</v>
      </c>
      <c r="E95" s="3" t="s">
        <v>1212</v>
      </c>
      <c r="G95" s="8" t="str">
        <f>IFERROR(__xludf.DUMMYFUNCTION("GOOGLETRANSLATE(A95, ""en"", ""hi"")"),"94")</f>
        <v>94</v>
      </c>
      <c r="H95" s="8" t="str">
        <f>IFERROR(__xludf.DUMMYFUNCTION("GOOGLETRANSLATE(B95, ""en"", ""hi"")"),"खो_खो_24")</f>
        <v>खो_खो_24</v>
      </c>
      <c r="I95" s="8" t="str">
        <f>IFERROR(__xludf.DUMMYFUNCTION("GOOGLETRANSLATE(C95, ""en"", ""hi"")"),"खो-खो से संबंधित छवि का मुख्य फोकस क्या है?")</f>
        <v>खो-खो से संबंधित छवि का मुख्य फोकस क्या है?</v>
      </c>
      <c r="J95" s="8" t="str">
        <f>IFERROR(__xludf.DUMMYFUNCTION("GOOGLETRANSLATE(D95, ""en"", ""hi"")"),"ए) टीम लाइनअप, बी) प्रयुक्त उपकरण, सी) फील्ड लेआउट, डी) खिलाड़ी आँकड़े")</f>
        <v>ए) टीम लाइनअप, बी) प्रयुक्त उपकरण, सी) फील्ड लेआउट, डी) खिलाड़ी आँकड़े</v>
      </c>
      <c r="K95" s="8" t="str">
        <f>IFERROR(__xludf.DUMMYFUNCTION("GOOGLETRANSLATE(E95, ""en"", ""hi"")"),"सी) फ़ील्ड लेआउट")</f>
        <v>सी) फ़ील्ड लेआउट</v>
      </c>
    </row>
    <row r="96" ht="22.5" customHeight="1">
      <c r="A96" s="2">
        <v>95.0</v>
      </c>
      <c r="B96" s="3" t="s">
        <v>1206</v>
      </c>
      <c r="C96" s="3" t="s">
        <v>1213</v>
      </c>
      <c r="D96" s="3" t="s">
        <v>1214</v>
      </c>
      <c r="E96" s="3" t="s">
        <v>1215</v>
      </c>
      <c r="G96" s="8" t="str">
        <f>IFERROR(__xludf.DUMMYFUNCTION("GOOGLETRANSLATE(A96, ""en"", ""hi"")"),"95")</f>
        <v>95</v>
      </c>
      <c r="H96" s="8" t="str">
        <f>IFERROR(__xludf.DUMMYFUNCTION("GOOGLETRANSLATE(B96, ""en"", ""hi"")"),"खो_खो_24")</f>
        <v>खो_खो_24</v>
      </c>
      <c r="I96" s="8" t="str">
        <f>IFERROR(__xludf.DUMMYFUNCTION("GOOGLETRANSLATE(C96, ""en"", ""hi"")"),"चित्र में खो-खो का कौन सा तत्व दर्शाया गया है?")</f>
        <v>चित्र में खो-खो का कौन सा तत्व दर्शाया गया है?</v>
      </c>
      <c r="J96" s="8" t="str">
        <f>IFERROR(__xludf.DUMMYFUNCTION("GOOGLETRANSLATE(D96, ""en"", ""hi"")"),"ए) खेल के नियम, बी) मैदान के चिह्न और आयाम, सी) खिलाड़ियों की स्थिति, डी) मैच की मुख्य विशेषताएं")</f>
        <v>ए) खेल के नियम, बी) मैदान के चिह्न और आयाम, सी) खिलाड़ियों की स्थिति, डी) मैच की मुख्य विशेषताएं</v>
      </c>
      <c r="K96" s="8" t="str">
        <f>IFERROR(__xludf.DUMMYFUNCTION("GOOGLETRANSLATE(E96, ""en"", ""hi"")"),"बी) क्षेत्र चिह्न और आयाम")</f>
        <v>बी) क्षेत्र चिह्न और आयाम</v>
      </c>
    </row>
    <row r="97" ht="22.5" customHeight="1">
      <c r="A97" s="2">
        <v>96.0</v>
      </c>
      <c r="B97" s="3" t="s">
        <v>1206</v>
      </c>
      <c r="C97" s="3" t="s">
        <v>1216</v>
      </c>
      <c r="D97" s="3" t="s">
        <v>1217</v>
      </c>
      <c r="E97" s="3" t="s">
        <v>1218</v>
      </c>
      <c r="G97" s="8" t="str">
        <f>IFERROR(__xludf.DUMMYFUNCTION("GOOGLETRANSLATE(A97, ""en"", ""hi"")"),"96")</f>
        <v>96</v>
      </c>
      <c r="H97" s="8" t="str">
        <f>IFERROR(__xludf.DUMMYFUNCTION("GOOGLETRANSLATE(B97, ""en"", ""hi"")"),"खो_खो_24")</f>
        <v>खो_खो_24</v>
      </c>
      <c r="I97" s="8" t="str">
        <f>IFERROR(__xludf.DUMMYFUNCTION("GOOGLETRANSLATE(C97, ""en"", ""hi"")"),"चित्र में खो-खो खेल का कौन सा विशिष्ट पहलू दर्शाया गया है?")</f>
        <v>चित्र में खो-खो खेल का कौन सा विशिष्ट पहलू दर्शाया गया है?</v>
      </c>
      <c r="J97" s="8" t="str">
        <f>IFERROR(__xludf.DUMMYFUNCTION("GOOGLETRANSLATE(D97, ""en"", ""hi"")"),"ए) स्कोरिंग प्रणाली, बी) खेल रणनीति, सी) कोर्ट आयाम, डी) खिलाड़ी की भूमिकाएं")</f>
        <v>ए) स्कोरिंग प्रणाली, बी) खेल रणनीति, सी) कोर्ट आयाम, डी) खिलाड़ी की भूमिकाएं</v>
      </c>
      <c r="K97" s="8" t="str">
        <f>IFERROR(__xludf.DUMMYFUNCTION("GOOGLETRANSLATE(E97, ""en"", ""hi"")"),"C) कोर्ट के आयाम")</f>
        <v>C) कोर्ट के आयाम</v>
      </c>
    </row>
    <row r="98" ht="22.5" customHeight="1">
      <c r="A98" s="2">
        <v>97.0</v>
      </c>
      <c r="B98" s="3" t="s">
        <v>1219</v>
      </c>
      <c r="C98" s="3" t="s">
        <v>1220</v>
      </c>
      <c r="D98" s="3" t="s">
        <v>1221</v>
      </c>
      <c r="E98" s="3" t="s">
        <v>1222</v>
      </c>
      <c r="G98" s="8" t="str">
        <f>IFERROR(__xludf.DUMMYFUNCTION("GOOGLETRANSLATE(A98, ""en"", ""hi"")"),"97")</f>
        <v>97</v>
      </c>
      <c r="H98" s="8" t="str">
        <f>IFERROR(__xludf.DUMMYFUNCTION("GOOGLETRANSLATE(B98, ""en"", ""hi"")"),"खो_खो_25")</f>
        <v>खो_खो_25</v>
      </c>
      <c r="I98" s="8" t="str">
        <f>IFERROR(__xludf.DUMMYFUNCTION("GOOGLETRANSLATE(C98, ""en"", ""hi"")"),"चौथी एशियाई खो-खो चैंपियनशिप 2023 के फाइनल मैच में कौन सी टीमें प्रतिस्पर्धा करेंगी?")</f>
        <v>चौथी एशियाई खो-खो चैंपियनशिप 2023 के फाइनल मैच में कौन सी टीमें प्रतिस्पर्धा करेंगी?</v>
      </c>
      <c r="J98" s="8" t="str">
        <f>IFERROR(__xludf.DUMMYFUNCTION("GOOGLETRANSLATE(D98, ""en"", ""hi"")"),"ए) भारत बनाम पाकिस्तान, बी) भारत बनाम नेपाल, सी) भारत बनाम बांग्लादेश, डी) भारत बनाम श्रीलंका")</f>
        <v>ए) भारत बनाम पाकिस्तान, बी) भारत बनाम नेपाल, सी) भारत बनाम बांग्लादेश, डी) भारत बनाम श्रीलंका</v>
      </c>
      <c r="K98" s="8" t="str">
        <f>IFERROR(__xludf.DUMMYFUNCTION("GOOGLETRANSLATE(E98, ""en"", ""hi"")"),"बी) भारत बनाम नेपाल")</f>
        <v>बी) भारत बनाम नेपाल</v>
      </c>
    </row>
    <row r="99" ht="22.5" customHeight="1">
      <c r="A99" s="2">
        <v>98.0</v>
      </c>
      <c r="B99" s="3" t="s">
        <v>1219</v>
      </c>
      <c r="C99" s="3" t="s">
        <v>1223</v>
      </c>
      <c r="D99" s="3" t="s">
        <v>1224</v>
      </c>
      <c r="E99" s="3" t="s">
        <v>22</v>
      </c>
      <c r="G99" s="8" t="str">
        <f>IFERROR(__xludf.DUMMYFUNCTION("GOOGLETRANSLATE(A99, ""en"", ""hi"")"),"98")</f>
        <v>98</v>
      </c>
      <c r="H99" s="8" t="str">
        <f>IFERROR(__xludf.DUMMYFUNCTION("GOOGLETRANSLATE(B99, ""en"", ""hi"")"),"खो_खो_25")</f>
        <v>खो_खो_25</v>
      </c>
      <c r="I99" s="8" t="str">
        <f>IFERROR(__xludf.DUMMYFUNCTION("GOOGLETRANSLATE(C99, ""en"", ""hi"")"),"महिला वर्ग में चौथी एशियाई खो-खो चैम्पियनशिप 2023 किस टीम ने जीती?")</f>
        <v>महिला वर्ग में चौथी एशियाई खो-खो चैम्पियनशिप 2023 किस टीम ने जीती?</v>
      </c>
      <c r="J99" s="8" t="str">
        <f>IFERROR(__xludf.DUMMYFUNCTION("GOOGLETRANSLATE(D99, ""en"", ""hi"")"),"A) नेपाल, B) भारत, C) पाकिस्तान, D) बांग्लादेश")</f>
        <v>A) नेपाल, B) भारत, C) पाकिस्तान, D) बांग्लादेश</v>
      </c>
      <c r="K99" s="8" t="str">
        <f>IFERROR(__xludf.DUMMYFUNCTION("GOOGLETRANSLATE(E99, ""en"", ""hi"")"),"बी) भारत")</f>
        <v>बी) भारत</v>
      </c>
    </row>
    <row r="100" ht="22.5" customHeight="1">
      <c r="A100" s="2">
        <v>99.0</v>
      </c>
      <c r="B100" s="3" t="s">
        <v>1219</v>
      </c>
      <c r="C100" s="3" t="s">
        <v>1225</v>
      </c>
      <c r="D100" s="3" t="s">
        <v>1226</v>
      </c>
      <c r="E100" s="3" t="s">
        <v>1227</v>
      </c>
      <c r="G100" s="8" t="str">
        <f>IFERROR(__xludf.DUMMYFUNCTION("GOOGLETRANSLATE(A100, ""en"", ""hi"")"),"99")</f>
        <v>99</v>
      </c>
      <c r="H100" s="8" t="str">
        <f>IFERROR(__xludf.DUMMYFUNCTION("GOOGLETRANSLATE(B100, ""en"", ""hi"")"),"खो_खो_25")</f>
        <v>खो_खो_25</v>
      </c>
      <c r="I100" s="8" t="str">
        <f>IFERROR(__xludf.DUMMYFUNCTION("GOOGLETRANSLATE(C100, ""en"", ""hi"")"),"चित्र में भारतीय महिला टीम से संबंधित किस प्रकार की घटना दर्शाई गई है?")</f>
        <v>चित्र में भारतीय महिला टीम से संबंधित किस प्रकार की घटना दर्शाई गई है?</v>
      </c>
      <c r="J100" s="8" t="str">
        <f>IFERROR(__xludf.DUMMYFUNCTION("GOOGLETRANSLATE(D100, ""en"", ""hi"")"),"ए) राष्ट्रीय चैम्पियनशिप, बी) क्षेत्रीय टूर्नामेंट, सी) एशियाई खो-खो चैम्पियनशिप, डी) विश्व खो-खो कप")</f>
        <v>ए) राष्ट्रीय चैम्पियनशिप, बी) क्षेत्रीय टूर्नामेंट, सी) एशियाई खो-खो चैम्पियनशिप, डी) विश्व खो-खो कप</v>
      </c>
      <c r="K100" s="8" t="str">
        <f>IFERROR(__xludf.DUMMYFUNCTION("GOOGLETRANSLATE(E100, ""en"", ""hi"")"),"C) एशियाई खो-खो चैम्पियनशिप")</f>
        <v>C) एशियाई खो-खो चैम्पियनशिप</v>
      </c>
    </row>
    <row r="101" ht="22.5" customHeight="1">
      <c r="A101" s="2">
        <v>100.0</v>
      </c>
      <c r="B101" s="3" t="s">
        <v>1219</v>
      </c>
      <c r="C101" s="3" t="s">
        <v>1228</v>
      </c>
      <c r="D101" s="3" t="s">
        <v>1229</v>
      </c>
      <c r="E101" s="3" t="s">
        <v>1230</v>
      </c>
      <c r="G101" s="8" t="str">
        <f>IFERROR(__xludf.DUMMYFUNCTION("GOOGLETRANSLATE(A101, ""en"", ""hi"")"),"100")</f>
        <v>100</v>
      </c>
      <c r="H101" s="8" t="str">
        <f>IFERROR(__xludf.DUMMYFUNCTION("GOOGLETRANSLATE(B101, ""en"", ""hi"")"),"खो_खो_25")</f>
        <v>खो_खो_25</v>
      </c>
      <c r="I101" s="8" t="str">
        <f>IFERROR(__xludf.DUMMYFUNCTION("GOOGLETRANSLATE(C101, ""en"", ""hi"")"),"चौथी एशियाई खो-खो चैम्पियनशिप 2023 से संबंधित छवि का फोकस क्या है?")</f>
        <v>चौथी एशियाई खो-खो चैम्पियनशिप 2023 से संबंधित छवि का फोकस क्या है?</v>
      </c>
      <c r="J101" s="8" t="str">
        <f>IFERROR(__xludf.DUMMYFUNCTION("GOOGLETRANSLATE(D101, ""en"", ""hi"")"),"A) जीत का जश्न, B) मैच विश्लेषण, C) टीम प्रशिक्षण, D) मैच पूर्व तैयारी")</f>
        <v>A) जीत का जश्न, B) मैच विश्लेषण, C) टीम प्रशिक्षण, D) मैच पूर्व तैयारी</v>
      </c>
      <c r="K101" s="8" t="str">
        <f>IFERROR(__xludf.DUMMYFUNCTION("GOOGLETRANSLATE(E101, ""en"", ""hi"")"),"A) विजय का उत्सव")</f>
        <v>A) विजय का उत्सव</v>
      </c>
    </row>
    <row r="102" ht="22.5" customHeight="1">
      <c r="A102" s="2">
        <v>101.0</v>
      </c>
      <c r="B102" s="3" t="s">
        <v>1231</v>
      </c>
      <c r="C102" s="3" t="s">
        <v>1232</v>
      </c>
      <c r="D102" s="3" t="s">
        <v>780</v>
      </c>
      <c r="E102" s="3" t="s">
        <v>283</v>
      </c>
      <c r="G102" s="8" t="str">
        <f>IFERROR(__xludf.DUMMYFUNCTION("GOOGLETRANSLATE(A102, ""en"", ""hi"")"),"101")</f>
        <v>101</v>
      </c>
      <c r="H102" s="8" t="str">
        <f>IFERROR(__xludf.DUMMYFUNCTION("GOOGLETRANSLATE(B102, ""en"", ""hi"")"),"खो_खो_26")</f>
        <v>खो_खो_26</v>
      </c>
      <c r="I102" s="8" t="str">
        <f>IFERROR(__xludf.DUMMYFUNCTION("GOOGLETRANSLATE(C102, ""en"", ""hi"")"),"चित्र में दिखाए गए खेल के लिए, एक समय में एक टीम से मैदान पर अधिकतम कितने खिलाड़ियों को अनुमति दी जाती है?")</f>
        <v>चित्र में दिखाए गए खेल के लिए, एक समय में एक टीम से मैदान पर अधिकतम कितने खिलाड़ियों को अनुमति दी जाती है?</v>
      </c>
      <c r="J102" s="8" t="str">
        <f>IFERROR(__xludf.DUMMYFUNCTION("GOOGLETRANSLATE(D102, ""en"", ""hi"")"),"ए) 6, बी) 7, सी) 8, डी) 9")</f>
        <v>ए) 6, बी) 7, सी) 8, डी) 9</v>
      </c>
      <c r="K102" s="8" t="str">
        <f>IFERROR(__xludf.DUMMYFUNCTION("GOOGLETRANSLATE(E102, ""en"", ""hi"")"),"बी) 7")</f>
        <v>बी) 7</v>
      </c>
    </row>
    <row r="103" ht="22.5" customHeight="1">
      <c r="A103" s="2">
        <v>102.0</v>
      </c>
      <c r="B103" s="3" t="s">
        <v>1231</v>
      </c>
      <c r="C103" s="3" t="s">
        <v>1233</v>
      </c>
      <c r="D103" s="3" t="s">
        <v>1234</v>
      </c>
      <c r="E103" s="3" t="s">
        <v>1235</v>
      </c>
      <c r="G103" s="8" t="str">
        <f>IFERROR(__xludf.DUMMYFUNCTION("GOOGLETRANSLATE(A103, ""en"", ""hi"")"),"102")</f>
        <v>102</v>
      </c>
      <c r="H103" s="8" t="str">
        <f>IFERROR(__xludf.DUMMYFUNCTION("GOOGLETRANSLATE(B103, ""en"", ""hi"")"),"खो_खो_26")</f>
        <v>खो_खो_26</v>
      </c>
      <c r="I103" s="8" t="str">
        <f>IFERROR(__xludf.DUMMYFUNCTION("GOOGLETRANSLATE(C103, ""en"", ""hi"")"),"चित्र में दिखाए गए खेल के लिए, गेमप्ले के दौरान मैदान पर कुल कितने चेज़र हैं?")</f>
        <v>चित्र में दिखाए गए खेल के लिए, गेमप्ले के दौरान मैदान पर कुल कितने चेज़र हैं?</v>
      </c>
      <c r="J103" s="8" t="str">
        <f>IFERROR(__xludf.DUMMYFUNCTION("GOOGLETRANSLATE(D103, ""en"", ""hi"")"),"ए) 9, बी) 6, सी) 8, डी) 7")</f>
        <v>ए) 9, बी) 6, सी) 8, डी) 7</v>
      </c>
      <c r="K103" s="8" t="str">
        <f>IFERROR(__xludf.DUMMYFUNCTION("GOOGLETRANSLATE(E103, ""en"", ""hi"")"),"ए) 9")</f>
        <v>ए) 9</v>
      </c>
    </row>
    <row r="104" ht="22.5" customHeight="1">
      <c r="A104" s="2">
        <v>103.0</v>
      </c>
      <c r="B104" s="3" t="s">
        <v>1231</v>
      </c>
      <c r="C104" s="3" t="s">
        <v>1236</v>
      </c>
      <c r="D104" s="3" t="s">
        <v>1237</v>
      </c>
      <c r="E104" s="3" t="s">
        <v>1238</v>
      </c>
      <c r="G104" s="8" t="str">
        <f>IFERROR(__xludf.DUMMYFUNCTION("GOOGLETRANSLATE(A104, ""en"", ""hi"")"),"103")</f>
        <v>103</v>
      </c>
      <c r="H104" s="8" t="str">
        <f>IFERROR(__xludf.DUMMYFUNCTION("GOOGLETRANSLATE(B104, ""en"", ""hi"")"),"खो_खो_26")</f>
        <v>खो_खो_26</v>
      </c>
      <c r="I104" s="8" t="str">
        <f>IFERROR(__xludf.DUMMYFUNCTION("GOOGLETRANSLATE(C104, ""en"", ""hi"")"),"चित्र में दिखाए गए खेल के लिए, खेल के दौरान कोर्ट पर बैठने की कौन सी स्थिति है?")</f>
        <v>चित्र में दिखाए गए खेल के लिए, खेल के दौरान कोर्ट पर बैठने की कौन सी स्थिति है?</v>
      </c>
      <c r="J104" s="8" t="str">
        <f>IFERROR(__xludf.DUMMYFUNCTION("GOOGLETRANSLATE(D104, ""en"", ""hi"")"),"A) धावक, B) डिफेंडर, C) चेज़र, D) रेफरी")</f>
        <v>A) धावक, B) डिफेंडर, C) चेज़र, D) रेफरी</v>
      </c>
      <c r="K104" s="8" t="str">
        <f>IFERROR(__xludf.DUMMYFUNCTION("GOOGLETRANSLATE(E104, ""en"", ""hi"")"),"सी) चेज़र")</f>
        <v>सी) चेज़र</v>
      </c>
    </row>
    <row r="105" ht="22.5" customHeight="1">
      <c r="A105" s="2">
        <v>104.0</v>
      </c>
      <c r="B105" s="3" t="s">
        <v>1231</v>
      </c>
      <c r="C105" s="3" t="s">
        <v>1239</v>
      </c>
      <c r="D105" s="3" t="s">
        <v>1240</v>
      </c>
      <c r="E105" s="3" t="s">
        <v>1241</v>
      </c>
      <c r="G105" s="8" t="str">
        <f>IFERROR(__xludf.DUMMYFUNCTION("GOOGLETRANSLATE(A105, ""en"", ""hi"")"),"104")</f>
        <v>104</v>
      </c>
      <c r="H105" s="8" t="str">
        <f>IFERROR(__xludf.DUMMYFUNCTION("GOOGLETRANSLATE(B105, ""en"", ""hi"")"),"खो_खो_26")</f>
        <v>खो_खो_26</v>
      </c>
      <c r="I105" s="8" t="str">
        <f>IFERROR(__xludf.DUMMYFUNCTION("GOOGLETRANSLATE(C105, ""en"", ""hi"")"),"चित्र में दिखाए गए खेल के लिए, एक मानक मैच कितने समय तक चलता है?")</f>
        <v>चित्र में दिखाए गए खेल के लिए, एक मानक मैच कितने समय तक चलता है?</v>
      </c>
      <c r="J105" s="8" t="str">
        <f>IFERROR(__xludf.DUMMYFUNCTION("GOOGLETRANSLATE(D105, ""en"", ""hi"")"),"A) 30 मिनट, B) 40 मिनट, C) 45 मिनट, D) 50 मिनट")</f>
        <v>A) 30 मिनट, B) 40 मिनट, C) 45 मिनट, D) 50 मिनट</v>
      </c>
      <c r="K105" s="8" t="str">
        <f>IFERROR(__xludf.DUMMYFUNCTION("GOOGLETRANSLATE(E105, ""en"", ""hi"")"),"बी) 40 मिनट")</f>
        <v>बी) 40 मिनट</v>
      </c>
    </row>
    <row r="106" ht="22.5" customHeight="1">
      <c r="A106" s="2">
        <v>105.0</v>
      </c>
      <c r="B106" s="3" t="s">
        <v>1242</v>
      </c>
      <c r="C106" s="3" t="s">
        <v>1243</v>
      </c>
      <c r="D106" s="3" t="s">
        <v>51</v>
      </c>
      <c r="E106" s="3" t="s">
        <v>52</v>
      </c>
      <c r="G106" s="8" t="str">
        <f>IFERROR(__xludf.DUMMYFUNCTION("GOOGLETRANSLATE(A106, ""en"", ""hi"")"),"105")</f>
        <v>105</v>
      </c>
      <c r="H106" s="8" t="str">
        <f>IFERROR(__xludf.DUMMYFUNCTION("GOOGLETRANSLATE(B106, ""en"", ""hi"")"),"खो_खो_27")</f>
        <v>खो_खो_27</v>
      </c>
      <c r="I106" s="8" t="str">
        <f>IFERROR(__xludf.DUMMYFUNCTION("GOOGLETRANSLATE(C106, ""en"", ""hi"")"),"चित्र में दिखाए गए खेल के लिए एक मैच में कितनी पारियां खेली जाती हैं?")</f>
        <v>चित्र में दिखाए गए खेल के लिए एक मैच में कितनी पारियां खेली जाती हैं?</v>
      </c>
      <c r="J106" s="8" t="str">
        <f>IFERROR(__xludf.DUMMYFUNCTION("GOOGLETRANSLATE(D106, ""en"", ""hi"")"),"ए) 1, बी) 2, सी) 3, डी) 4")</f>
        <v>ए) 1, बी) 2, सी) 3, डी) 4</v>
      </c>
      <c r="K106" s="8" t="str">
        <f>IFERROR(__xludf.DUMMYFUNCTION("GOOGLETRANSLATE(E106, ""en"", ""hi"")"),"बी) 2")</f>
        <v>बी) 2</v>
      </c>
    </row>
    <row r="107" ht="22.5" customHeight="1">
      <c r="A107" s="2">
        <v>106.0</v>
      </c>
      <c r="B107" s="3" t="s">
        <v>1242</v>
      </c>
      <c r="C107" s="3" t="s">
        <v>1244</v>
      </c>
      <c r="D107" s="3" t="s">
        <v>1245</v>
      </c>
      <c r="E107" s="3" t="s">
        <v>958</v>
      </c>
      <c r="G107" s="8" t="str">
        <f>IFERROR(__xludf.DUMMYFUNCTION("GOOGLETRANSLATE(A107, ""en"", ""hi"")"),"106")</f>
        <v>106</v>
      </c>
      <c r="H107" s="8" t="str">
        <f>IFERROR(__xludf.DUMMYFUNCTION("GOOGLETRANSLATE(B107, ""en"", ""hi"")"),"खो_खो_27")</f>
        <v>खो_खो_27</v>
      </c>
      <c r="I107" s="8" t="str">
        <f>IFERROR(__xludf.DUMMYFUNCTION("GOOGLETRANSLATE(C107, ""en"", ""hi"")"),"चित्र में दिखाए गए खेल के लिए धावकों का प्राथमिक उद्देश्य क्या है?")</f>
        <v>चित्र में दिखाए गए खेल के लिए धावकों का प्राथमिक उद्देश्य क्या है?</v>
      </c>
      <c r="J107" s="8" t="str">
        <f>IFERROR(__xludf.DUMMYFUNCTION("GOOGLETRANSLATE(D107, ""en"", ""hi"")"),"A) विरोधियों को टैग करना, B) टैग होने से बचना, C) गोल करना, D) अपने क्षेत्र की रक्षा करना")</f>
        <v>A) विरोधियों को टैग करना, B) टैग होने से बचना, C) गोल करना, D) अपने क्षेत्र की रक्षा करना</v>
      </c>
      <c r="K107" s="8" t="str">
        <f>IFERROR(__xludf.DUMMYFUNCTION("GOOGLETRANSLATE(E107, ""en"", ""hi"")"),"B) टैग होने से बचने के लिए")</f>
        <v>B) टैग होने से बचने के लिए</v>
      </c>
    </row>
    <row r="108" ht="22.5" customHeight="1">
      <c r="A108" s="2">
        <v>107.0</v>
      </c>
      <c r="B108" s="3" t="s">
        <v>1242</v>
      </c>
      <c r="C108" s="3" t="s">
        <v>1246</v>
      </c>
      <c r="D108" s="3" t="s">
        <v>1247</v>
      </c>
      <c r="E108" s="3" t="s">
        <v>1248</v>
      </c>
      <c r="G108" s="8" t="str">
        <f>IFERROR(__xludf.DUMMYFUNCTION("GOOGLETRANSLATE(A108, ""en"", ""hi"")"),"107")</f>
        <v>107</v>
      </c>
      <c r="H108" s="8" t="str">
        <f>IFERROR(__xludf.DUMMYFUNCTION("GOOGLETRANSLATE(B108, ""en"", ""hi"")"),"खो_खो_27")</f>
        <v>खो_खो_27</v>
      </c>
      <c r="I108" s="8" t="str">
        <f>IFERROR(__xludf.DUMMYFUNCTION("GOOGLETRANSLATE(C108, ""en"", ""hi"")"),"चित्र में दिखाए गए खेल के लिए, पीछा करने वालों की क्या जिम्मेदारी है?")</f>
        <v>चित्र में दिखाए गए खेल के लिए, पीछा करने वालों की क्या जिम्मेदारी है?</v>
      </c>
      <c r="J108" s="8" t="str">
        <f>IFERROR(__xludf.DUMMYFUNCTION("GOOGLETRANSLATE(D108, ""en"", ""hi"")"),"A) अपनी स्थिति की रक्षा के लिए, B) अंक अर्जित करने के लिए, C) धावकों को टैग करने के लिए, D) गेंद को पास करने के लिए")</f>
        <v>A) अपनी स्थिति की रक्षा के लिए, B) अंक अर्जित करने के लिए, C) धावकों को टैग करने के लिए, D) गेंद को पास करने के लिए</v>
      </c>
      <c r="K108" s="8" t="str">
        <f>IFERROR(__xludf.DUMMYFUNCTION("GOOGLETRANSLATE(E108, ""en"", ""hi"")"),"C) धावकों को टैग करना")</f>
        <v>C) धावकों को टैग करना</v>
      </c>
    </row>
    <row r="109" ht="22.5" customHeight="1">
      <c r="A109" s="2">
        <v>108.0</v>
      </c>
      <c r="B109" s="3" t="s">
        <v>1242</v>
      </c>
      <c r="C109" s="3" t="s">
        <v>1249</v>
      </c>
      <c r="D109" s="3" t="s">
        <v>1250</v>
      </c>
      <c r="E109" s="3" t="s">
        <v>1251</v>
      </c>
      <c r="G109" s="8" t="str">
        <f>IFERROR(__xludf.DUMMYFUNCTION("GOOGLETRANSLATE(A109, ""en"", ""hi"")"),"108")</f>
        <v>108</v>
      </c>
      <c r="H109" s="8" t="str">
        <f>IFERROR(__xludf.DUMMYFUNCTION("GOOGLETRANSLATE(B109, ""en"", ""hi"")"),"खो_खो_27")</f>
        <v>खो_खो_27</v>
      </c>
      <c r="I109" s="8" t="str">
        <f>IFERROR(__xludf.DUMMYFUNCTION("GOOGLETRANSLATE(C109, ""en"", ""hi"")"),"चित्र में दिखाए गए खेल के लिए, खेल में प्रत्येक बारी की अवधि क्या है?")</f>
        <v>चित्र में दिखाए गए खेल के लिए, खेल में प्रत्येक बारी की अवधि क्या है?</v>
      </c>
      <c r="J109" s="8" t="str">
        <f>IFERROR(__xludf.DUMMYFUNCTION("GOOGLETRANSLATE(D109, ""en"", ""hi"")"),"A) 5 मिनट, B) 9 मिनट, C) 7 मिनट, D) 8 मिनट")</f>
        <v>A) 5 मिनट, B) 9 मिनट, C) 7 मिनट, D) 8 मिनट</v>
      </c>
      <c r="K109" s="8" t="str">
        <f>IFERROR(__xludf.DUMMYFUNCTION("GOOGLETRANSLATE(E109, ""en"", ""hi"")"),"बी) 9 मिनट")</f>
        <v>बी) 9 मिनट</v>
      </c>
    </row>
    <row r="110" ht="22.5" customHeight="1">
      <c r="A110" s="2">
        <v>109.0</v>
      </c>
      <c r="B110" s="3" t="s">
        <v>1252</v>
      </c>
      <c r="C110" s="3" t="s">
        <v>1253</v>
      </c>
      <c r="D110" s="3" t="s">
        <v>51</v>
      </c>
      <c r="E110" s="3" t="s">
        <v>1254</v>
      </c>
      <c r="G110" s="8" t="str">
        <f>IFERROR(__xludf.DUMMYFUNCTION("GOOGLETRANSLATE(A110, ""en"", ""hi"")"),"109")</f>
        <v>109</v>
      </c>
      <c r="H110" s="8" t="str">
        <f>IFERROR(__xludf.DUMMYFUNCTION("GOOGLETRANSLATE(B110, ""en"", ""hi"")"),"खो_खो_28")</f>
        <v>खो_खो_28</v>
      </c>
      <c r="I110" s="8" t="str">
        <f>IFERROR(__xludf.DUMMYFUNCTION("GOOGLETRANSLATE(C110, ""en"", ""hi"")"),"चित्र में दिखाए गए खेल में, अपनी बारी के दौरान एक टीम से कितने खिलाड़ियों को दौड़ने की अनुमति है?")</f>
        <v>चित्र में दिखाए गए खेल में, अपनी बारी के दौरान एक टीम से कितने खिलाड़ियों को दौड़ने की अनुमति है?</v>
      </c>
      <c r="J110" s="8" t="str">
        <f>IFERROR(__xludf.DUMMYFUNCTION("GOOGLETRANSLATE(D110, ""en"", ""hi"")"),"ए) 1, बी) 2, सी) 3, डी) 4")</f>
        <v>ए) 1, बी) 2, सी) 3, डी) 4</v>
      </c>
      <c r="K110" s="8" t="str">
        <f>IFERROR(__xludf.DUMMYFUNCTION("GOOGLETRANSLATE(E110, ""en"", ""hi"")"),"सी) 3")</f>
        <v>सी) 3</v>
      </c>
    </row>
    <row r="111" ht="22.5" customHeight="1">
      <c r="A111" s="2">
        <v>110.0</v>
      </c>
      <c r="B111" s="3" t="s">
        <v>1252</v>
      </c>
      <c r="C111" s="3" t="s">
        <v>1255</v>
      </c>
      <c r="D111" s="3" t="s">
        <v>1256</v>
      </c>
      <c r="E111" s="3" t="s">
        <v>1254</v>
      </c>
      <c r="G111" s="8" t="str">
        <f>IFERROR(__xludf.DUMMYFUNCTION("GOOGLETRANSLATE(A111, ""en"", ""hi"")"),"110")</f>
        <v>110</v>
      </c>
      <c r="H111" s="8" t="str">
        <f>IFERROR(__xludf.DUMMYFUNCTION("GOOGLETRANSLATE(B111, ""en"", ""hi"")"),"खो_खो_28")</f>
        <v>खो_खो_28</v>
      </c>
      <c r="I111" s="8" t="str">
        <f>IFERROR(__xludf.DUMMYFUNCTION("GOOGLETRANSLATE(C111, ""en"", ""hi"")"),"चित्र में दिखाए गए खेल के लिए, तीनों धावकों को टैग करने पर कितने अंक दिए जाते हैं?")</f>
        <v>चित्र में दिखाए गए खेल के लिए, तीनों धावकों को टैग करने पर कितने अंक दिए जाते हैं?</v>
      </c>
      <c r="J111" s="8" t="str">
        <f>IFERROR(__xludf.DUMMYFUNCTION("GOOGLETRANSLATE(D111, ""en"", ""hi"")"),"ए) 1, बी) 2, सी) 3, डी) 5")</f>
        <v>ए) 1, बी) 2, सी) 3, डी) 5</v>
      </c>
      <c r="K111" s="8" t="str">
        <f>IFERROR(__xludf.DUMMYFUNCTION("GOOGLETRANSLATE(E111, ""en"", ""hi"")"),"सी) 3")</f>
        <v>सी) 3</v>
      </c>
    </row>
    <row r="112" ht="22.5" customHeight="1">
      <c r="A112" s="2">
        <v>111.0</v>
      </c>
      <c r="B112" s="3" t="s">
        <v>1252</v>
      </c>
      <c r="C112" s="3" t="s">
        <v>1257</v>
      </c>
      <c r="D112" s="3" t="s">
        <v>1258</v>
      </c>
      <c r="E112" s="3" t="s">
        <v>1259</v>
      </c>
      <c r="G112" s="8" t="str">
        <f>IFERROR(__xludf.DUMMYFUNCTION("GOOGLETRANSLATE(A112, ""en"", ""hi"")"),"111")</f>
        <v>111</v>
      </c>
      <c r="H112" s="8" t="str">
        <f>IFERROR(__xludf.DUMMYFUNCTION("GOOGLETRANSLATE(B112, ""en"", ""hi"")"),"खो_खो_28")</f>
        <v>खो_खो_28</v>
      </c>
      <c r="I112" s="8" t="str">
        <f>IFERROR(__xludf.DUMMYFUNCTION("GOOGLETRANSLATE(C112, ""en"", ""hi"")"),"चित्र में दिखाए गए खेल के लिए 'खो' शब्द का क्या अर्थ है?")</f>
        <v>चित्र में दिखाए गए खेल के लिए 'खो' शब्द का क्या अर्थ है?</v>
      </c>
      <c r="J112" s="8" t="str">
        <f>IFERROR(__xludf.DUMMYFUNCTION("GOOGLETRANSLATE(D112, ""en"", ""hi"")"),"A) धावक को दी गई आवाज़, B) अर्जित अंक, C) मैदान पर स्थिति, D) दंड संकेत")</f>
        <v>A) धावक को दी गई आवाज़, B) अर्जित अंक, C) मैदान पर स्थिति, D) दंड संकेत</v>
      </c>
      <c r="K112" s="8" t="str">
        <f>IFERROR(__xludf.DUMMYFUNCTION("GOOGLETRANSLATE(E112, ""en"", ""hi"")"),"A) धावक को दी गई पुकार")</f>
        <v>A) धावक को दी गई पुकार</v>
      </c>
    </row>
    <row r="113" ht="22.5" customHeight="1">
      <c r="A113" s="2">
        <v>112.0</v>
      </c>
      <c r="B113" s="3" t="s">
        <v>1252</v>
      </c>
      <c r="C113" s="3" t="s">
        <v>1260</v>
      </c>
      <c r="D113" s="3" t="s">
        <v>1261</v>
      </c>
      <c r="E113" s="3" t="s">
        <v>1235</v>
      </c>
      <c r="G113" s="8" t="str">
        <f>IFERROR(__xludf.DUMMYFUNCTION("GOOGLETRANSLATE(A113, ""en"", ""hi"")"),"112")</f>
        <v>112</v>
      </c>
      <c r="H113" s="8" t="str">
        <f>IFERROR(__xludf.DUMMYFUNCTION("GOOGLETRANSLATE(B113, ""en"", ""hi"")"),"खो_खो_28")</f>
        <v>खो_खो_28</v>
      </c>
      <c r="I113" s="8" t="str">
        <f>IFERROR(__xludf.DUMMYFUNCTION("GOOGLETRANSLATE(C113, ""en"", ""hi"")"),"चित्र में दिखाए गए खेल के लिए, प्रत्येक टीम के कितने खिलाड़ी मैच में भाग लेते हैं?")</f>
        <v>चित्र में दिखाए गए खेल के लिए, प्रत्येक टीम के कितने खिलाड़ी मैच में भाग लेते हैं?</v>
      </c>
      <c r="J113" s="8" t="str">
        <f>IFERROR(__xludf.DUMMYFUNCTION("GOOGLETRANSLATE(D113, ""en"", ""hi"")"),"ए) 9, बी) 12, सी) 7, डी) 6")</f>
        <v>ए) 9, बी) 12, सी) 7, डी) 6</v>
      </c>
      <c r="K113" s="8" t="str">
        <f>IFERROR(__xludf.DUMMYFUNCTION("GOOGLETRANSLATE(E113, ""en"", ""hi"")"),"ए) 9")</f>
        <v>ए) 9</v>
      </c>
    </row>
    <row r="114" ht="22.5" customHeight="1">
      <c r="A114" s="2">
        <v>113.0</v>
      </c>
      <c r="B114" s="3" t="s">
        <v>1262</v>
      </c>
      <c r="C114" s="3" t="s">
        <v>1263</v>
      </c>
      <c r="D114" s="3" t="s">
        <v>1264</v>
      </c>
      <c r="E114" s="3" t="s">
        <v>1265</v>
      </c>
      <c r="G114" s="8" t="str">
        <f>IFERROR(__xludf.DUMMYFUNCTION("GOOGLETRANSLATE(A114, ""en"", ""hi"")"),"113")</f>
        <v>113</v>
      </c>
      <c r="H114" s="8" t="str">
        <f>IFERROR(__xludf.DUMMYFUNCTION("GOOGLETRANSLATE(B114, ""en"", ""hi"")"),"खो_खो_29")</f>
        <v>खो_खो_29</v>
      </c>
      <c r="I114" s="8" t="str">
        <f>IFERROR(__xludf.DUMMYFUNCTION("GOOGLETRANSLATE(C114, ""en"", ""hi"")"),"चित्र में दिखाए गए खेल के लिए, मैदान पर पीछा करने वाले खिलाड़ी किस प्रकार संरेखित हैं?")</f>
        <v>चित्र में दिखाए गए खेल के लिए, मैदान पर पीछा करने वाले खिलाड़ी किस प्रकार संरेखित हैं?</v>
      </c>
      <c r="J114" s="8" t="str">
        <f>IFERROR(__xludf.DUMMYFUNCTION("GOOGLETRANSLATE(D114, ""en"", ""hi"")"),"A) सीधी रेखा में, B) टेढ़े-मेढ़े पैटर्न में, C) वृत्त में, D) विपरीत दिशाओं में मुख करके दो पंक्तियों में")</f>
        <v>A) सीधी रेखा में, B) टेढ़े-मेढ़े पैटर्न में, C) वृत्त में, D) विपरीत दिशाओं में मुख करके दो पंक्तियों में</v>
      </c>
      <c r="K114" s="8" t="str">
        <f>IFERROR(__xludf.DUMMYFUNCTION("GOOGLETRANSLATE(E114, ""en"", ""hi"")"),"D) दो पंक्तियों में विपरीत दिशाओं का सामना करते हुए")</f>
        <v>D) दो पंक्तियों में विपरीत दिशाओं का सामना करते हुए</v>
      </c>
    </row>
    <row r="115" ht="22.5" customHeight="1">
      <c r="A115" s="2">
        <v>114.0</v>
      </c>
      <c r="B115" s="3" t="s">
        <v>1262</v>
      </c>
      <c r="C115" s="3" t="s">
        <v>1266</v>
      </c>
      <c r="D115" s="3" t="s">
        <v>1267</v>
      </c>
      <c r="E115" s="3" t="s">
        <v>1268</v>
      </c>
      <c r="G115" s="8" t="str">
        <f>IFERROR(__xludf.DUMMYFUNCTION("GOOGLETRANSLATE(A115, ""en"", ""hi"")"),"114")</f>
        <v>114</v>
      </c>
      <c r="H115" s="8" t="str">
        <f>IFERROR(__xludf.DUMMYFUNCTION("GOOGLETRANSLATE(B115, ""en"", ""hi"")"),"खो_खो_29")</f>
        <v>खो_खो_29</v>
      </c>
      <c r="I115" s="8" t="str">
        <f>IFERROR(__xludf.DUMMYFUNCTION("GOOGLETRANSLATE(C115, ""en"", ""hi"")"),"चित्र में दिखाए गए खेल के लिए, किस कार्रवाई के परिणामस्वरूप अयोग्यता होगी?")</f>
        <v>चित्र में दिखाए गए खेल के लिए, किस कार्रवाई के परिणामस्वरूप अयोग्यता होगी?</v>
      </c>
      <c r="J115" s="8" t="str">
        <f>IFERROR(__xludf.DUMMYFUNCTION("GOOGLETRANSLATE(D115, ""en"", ""hi"")"),"A) धावक द्वारा चेज़र को छूना, B) चेज़र का कोर्ट से बाहर निकलना, C) धावक द्वारा दो बार चक्कर लगाना, D) चेज़र द्वारा 'खो' न कहना")</f>
        <v>A) धावक द्वारा चेज़र को छूना, B) चेज़र का कोर्ट से बाहर निकलना, C) धावक द्वारा दो बार चक्कर लगाना, D) चेज़र द्वारा 'खो' न कहना</v>
      </c>
      <c r="K115" s="8" t="str">
        <f>IFERROR(__xludf.DUMMYFUNCTION("GOOGLETRANSLATE(E115, ""en"", ""hi"")"),"B) चेज़र का कोर्ट से बाहर निकलना")</f>
        <v>B) चेज़र का कोर्ट से बाहर निकलना</v>
      </c>
    </row>
    <row r="116" ht="22.5" customHeight="1">
      <c r="A116" s="2">
        <v>115.0</v>
      </c>
      <c r="B116" s="3" t="s">
        <v>1262</v>
      </c>
      <c r="C116" s="3" t="s">
        <v>1269</v>
      </c>
      <c r="D116" s="3" t="s">
        <v>1270</v>
      </c>
      <c r="E116" s="3" t="s">
        <v>1271</v>
      </c>
      <c r="G116" s="8" t="str">
        <f>IFERROR(__xludf.DUMMYFUNCTION("GOOGLETRANSLATE(A116, ""en"", ""hi"")"),"115")</f>
        <v>115</v>
      </c>
      <c r="H116" s="8" t="str">
        <f>IFERROR(__xludf.DUMMYFUNCTION("GOOGLETRANSLATE(B116, ""en"", ""hi"")"),"खो_खो_29")</f>
        <v>खो_खो_29</v>
      </c>
      <c r="I116" s="8" t="str">
        <f>IFERROR(__xludf.DUMMYFUNCTION("GOOGLETRANSLATE(C116, ""en"", ""hi"")"),"चित्र में दिखाए गए खेल के लिए कोर्ट का मानक आकार क्या है?")</f>
        <v>चित्र में दिखाए गए खेल के लिए कोर्ट का मानक आकार क्या है?</v>
      </c>
      <c r="J116" s="8" t="str">
        <f>IFERROR(__xludf.DUMMYFUNCTION("GOOGLETRANSLATE(D116, ""en"", ""hi"")"),"ए) 16 मीटर x 30 मीटर, बी) 20 मीटर x 40 मीटर, सी) 18 मीटर x 40 मीटर, डी) 12 मीटर x 25 मीटर")</f>
        <v>ए) 16 मीटर x 30 मीटर, बी) 20 मीटर x 40 मीटर, सी) 18 मीटर x 40 मीटर, डी) 12 मीटर x 25 मीटर</v>
      </c>
      <c r="K116" s="8" t="str">
        <f>IFERROR(__xludf.DUMMYFUNCTION("GOOGLETRANSLATE(E116, ""en"", ""hi"")"),"सी) 18 मीटर x 40 मीटर")</f>
        <v>सी) 18 मीटर x 40 मीटर</v>
      </c>
    </row>
    <row r="117" ht="22.5" customHeight="1">
      <c r="A117" s="2">
        <v>116.0</v>
      </c>
      <c r="B117" s="3" t="s">
        <v>1262</v>
      </c>
      <c r="C117" s="3" t="s">
        <v>1272</v>
      </c>
      <c r="D117" s="3" t="s">
        <v>1273</v>
      </c>
      <c r="E117" s="3" t="s">
        <v>1274</v>
      </c>
      <c r="G117" s="8" t="str">
        <f>IFERROR(__xludf.DUMMYFUNCTION("GOOGLETRANSLATE(A117, ""en"", ""hi"")"),"116")</f>
        <v>116</v>
      </c>
      <c r="H117" s="8" t="str">
        <f>IFERROR(__xludf.DUMMYFUNCTION("GOOGLETRANSLATE(B117, ""en"", ""hi"")"),"खो_खो_29")</f>
        <v>खो_खो_29</v>
      </c>
      <c r="I117" s="8" t="str">
        <f>IFERROR(__xludf.DUMMYFUNCTION("GOOGLETRANSLATE(C117, ""en"", ""hi"")"),"चित्र में दिखाए गए खेल के लिए कोई टीम अंक कैसे अर्जित करती है?")</f>
        <v>चित्र में दिखाए गए खेल के लिए कोई टीम अंक कैसे अर्जित करती है?</v>
      </c>
      <c r="J117" s="8" t="str">
        <f>IFERROR(__xludf.DUMMYFUNCTION("GOOGLETRANSLATE(D117, ""en"", ""hi"")"),"A) टर्न पूरा करके, B) टैग से बचकर, C) धावकों को टैग करके, D) कोर्ट के बाहर कदम रखकर")</f>
        <v>A) टर्न पूरा करके, B) टैग से बचकर, C) धावकों को टैग करके, D) कोर्ट के बाहर कदम रखकर</v>
      </c>
      <c r="K117" s="8" t="str">
        <f>IFERROR(__xludf.DUMMYFUNCTION("GOOGLETRANSLATE(E117, ""en"", ""hi"")"),"C) धावकों को टैग करके")</f>
        <v>C) धावकों को टैग करके</v>
      </c>
    </row>
    <row r="118" ht="22.5" customHeight="1">
      <c r="A118" s="2">
        <v>117.0</v>
      </c>
      <c r="B118" s="3" t="s">
        <v>1275</v>
      </c>
      <c r="C118" s="3" t="s">
        <v>1276</v>
      </c>
      <c r="D118" s="3" t="s">
        <v>1256</v>
      </c>
      <c r="E118" s="3" t="s">
        <v>52</v>
      </c>
      <c r="G118" s="8" t="str">
        <f>IFERROR(__xludf.DUMMYFUNCTION("GOOGLETRANSLATE(A118, ""en"", ""hi"")"),"117")</f>
        <v>117</v>
      </c>
      <c r="H118" s="8" t="str">
        <f>IFERROR(__xludf.DUMMYFUNCTION("GOOGLETRANSLATE(B118, ""en"", ""hi"")"),"खो_खो_30")</f>
        <v>खो_खो_30</v>
      </c>
      <c r="I118" s="8" t="str">
        <f>IFERROR(__xludf.DUMMYFUNCTION("GOOGLETRANSLATE(C118, ""en"", ""hi"")"),"चित्र में दिखाए गए खेल के लिए प्रति मैच कितने प्रतिस्थापन की अनुमति है?")</f>
        <v>चित्र में दिखाए गए खेल के लिए प्रति मैच कितने प्रतिस्थापन की अनुमति है?</v>
      </c>
      <c r="J118" s="8" t="str">
        <f>IFERROR(__xludf.DUMMYFUNCTION("GOOGLETRANSLATE(D118, ""en"", ""hi"")"),"ए) 1, बी) 2, सी) 3, डी) 5")</f>
        <v>ए) 1, बी) 2, सी) 3, डी) 5</v>
      </c>
      <c r="K118" s="8" t="str">
        <f>IFERROR(__xludf.DUMMYFUNCTION("GOOGLETRANSLATE(E118, ""en"", ""hi"")"),"बी) 2")</f>
        <v>बी) 2</v>
      </c>
    </row>
    <row r="119" ht="22.5" customHeight="1">
      <c r="A119" s="2">
        <v>118.0</v>
      </c>
      <c r="B119" s="3" t="s">
        <v>1275</v>
      </c>
      <c r="C119" s="3" t="s">
        <v>1277</v>
      </c>
      <c r="D119" s="3" t="s">
        <v>1278</v>
      </c>
      <c r="E119" s="3" t="s">
        <v>186</v>
      </c>
      <c r="G119" s="8" t="str">
        <f>IFERROR(__xludf.DUMMYFUNCTION("GOOGLETRANSLATE(A119, ""en"", ""hi"")"),"118")</f>
        <v>118</v>
      </c>
      <c r="H119" s="8" t="str">
        <f>IFERROR(__xludf.DUMMYFUNCTION("GOOGLETRANSLATE(B119, ""en"", ""hi"")"),"खो_खो_30")</f>
        <v>खो_खो_30</v>
      </c>
      <c r="I119" s="8" t="str">
        <f>IFERROR(__xludf.DUMMYFUNCTION("GOOGLETRANSLATE(C119, ""en"", ""hi"")"),"चित्र में दिखाए गए खेल में, अपनी बारी के दौरान कितने डिफेंडर मैदान पर हैं?")</f>
        <v>चित्र में दिखाए गए खेल में, अपनी बारी के दौरान कितने डिफेंडर मैदान पर हैं?</v>
      </c>
      <c r="J119" s="8" t="str">
        <f>IFERROR(__xludf.DUMMYFUNCTION("GOOGLETRANSLATE(D119, ""en"", ""hi"")"),"ए) 2, बी) 3, सी) 5, डी) 6")</f>
        <v>ए) 2, बी) 3, सी) 5, डी) 6</v>
      </c>
      <c r="K119" s="8" t="str">
        <f>IFERROR(__xludf.DUMMYFUNCTION("GOOGLETRANSLATE(E119, ""en"", ""hi"")"),"बी) 3")</f>
        <v>बी) 3</v>
      </c>
    </row>
    <row r="120" ht="22.5" customHeight="1">
      <c r="A120" s="2">
        <v>119.0</v>
      </c>
      <c r="B120" s="3" t="s">
        <v>1275</v>
      </c>
      <c r="C120" s="3" t="s">
        <v>1279</v>
      </c>
      <c r="D120" s="3" t="s">
        <v>1280</v>
      </c>
      <c r="E120" s="3" t="s">
        <v>1281</v>
      </c>
      <c r="G120" s="8" t="str">
        <f>IFERROR(__xludf.DUMMYFUNCTION("GOOGLETRANSLATE(A120, ""en"", ""hi"")"),"119")</f>
        <v>119</v>
      </c>
      <c r="H120" s="8" t="str">
        <f>IFERROR(__xludf.DUMMYFUNCTION("GOOGLETRANSLATE(B120, ""en"", ""hi"")"),"खो_खो_30")</f>
        <v>खो_खो_30</v>
      </c>
      <c r="I120" s="8" t="str">
        <f>IFERROR(__xludf.DUMMYFUNCTION("GOOGLETRANSLATE(C120, ""en"", ""hi"")"),"चित्र में दिखाए गए खेल के लिए, मैच शुरू करने के लिए एक टीम में न्यूनतम कितने खिलाड़ियों की आवश्यकता होती है?")</f>
        <v>चित्र में दिखाए गए खेल के लिए, मैच शुरू करने के लिए एक टीम में न्यूनतम कितने खिलाड़ियों की आवश्यकता होती है?</v>
      </c>
      <c r="J120" s="8" t="str">
        <f>IFERROR(__xludf.DUMMYFUNCTION("GOOGLETRANSLATE(D120, ""en"", ""hi"")"),"ए) 9, बी) 6, सी) 7, डी) 8")</f>
        <v>ए) 9, बी) 6, सी) 7, डी) 8</v>
      </c>
      <c r="K120" s="8" t="str">
        <f>IFERROR(__xludf.DUMMYFUNCTION("GOOGLETRANSLATE(E120, ""en"", ""hi"")"),"सी) 7")</f>
        <v>सी) 7</v>
      </c>
    </row>
    <row r="121" ht="22.5" customHeight="1">
      <c r="A121" s="2">
        <v>120.0</v>
      </c>
      <c r="B121" s="3" t="s">
        <v>1275</v>
      </c>
      <c r="C121" s="3" t="s">
        <v>1282</v>
      </c>
      <c r="D121" s="3" t="s">
        <v>1283</v>
      </c>
      <c r="E121" s="3" t="s">
        <v>1284</v>
      </c>
      <c r="G121" s="8" t="str">
        <f>IFERROR(__xludf.DUMMYFUNCTION("GOOGLETRANSLATE(A121, ""en"", ""hi"")"),"120")</f>
        <v>120</v>
      </c>
      <c r="H121" s="8" t="str">
        <f>IFERROR(__xludf.DUMMYFUNCTION("GOOGLETRANSLATE(B121, ""en"", ""hi"")"),"खो_खो_30")</f>
        <v>खो_खो_30</v>
      </c>
      <c r="I121" s="8" t="str">
        <f>IFERROR(__xludf.DUMMYFUNCTION("GOOGLETRANSLATE(C121, ""en"", ""hi"")"),"चित्र में दिखाए गए खेल के लिए, प्रत्येक पारी के दौरान कौन सी टीम की भूमिका बदलती है?")</f>
        <v>चित्र में दिखाए गए खेल के लिए, प्रत्येक पारी के दौरान कौन सी टीम की भूमिका बदलती है?</v>
      </c>
      <c r="J121" s="8" t="str">
        <f>IFERROR(__xludf.DUMMYFUNCTION("GOOGLETRANSLATE(D121, ""en"", ""hi"")"),"A) अंपायर और धावक, B) धावक और पीछा करने वाला, C) डिफेंडर और रेफरी, D) हमलावर और धावक")</f>
        <v>A) अंपायर और धावक, B) धावक और पीछा करने वाला, C) डिफेंडर और रेफरी, D) हमलावर और धावक</v>
      </c>
      <c r="K121" s="8" t="str">
        <f>IFERROR(__xludf.DUMMYFUNCTION("GOOGLETRANSLATE(E121, ""en"", ""hi"")"),"बी) धावक और पीछा करने वाला")</f>
        <v>बी) धावक और पीछा करने वाला</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4.5"/>
    <col customWidth="1" min="3" max="5" width="37.63"/>
    <col customWidth="1" min="8" max="8" width="14.25"/>
    <col customWidth="1" min="9" max="11" width="37.63"/>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1285</v>
      </c>
      <c r="C2" s="3" t="s">
        <v>1286</v>
      </c>
      <c r="D2" s="3" t="s">
        <v>1287</v>
      </c>
      <c r="E2" s="3" t="s">
        <v>1288</v>
      </c>
      <c r="G2" s="8" t="str">
        <f>IFERROR(__xludf.DUMMYFUNCTION("GOOGLETRANSLATE(A2, ""en"", ""hi"")"),"1")</f>
        <v>1</v>
      </c>
      <c r="H2" s="8" t="str">
        <f>IFERROR(__xludf.DUMMYFUNCTION("GOOGLETRANSLATE(B2, ""en"", ""hi"")"),"musti_yuddha_1")</f>
        <v>musti_yuddha_1</v>
      </c>
      <c r="I2" s="8" t="str">
        <f>IFERROR(__xludf.DUMMYFUNCTION("GOOGLETRANSLATE(C2, ""en"", ""hi"")"),"चित्र में दिखाए गए खेल में पैड प्रशिक्षण के दौरान मुख्य रूप से शरीर के किस भाग को लक्षित किया जाता है?")</f>
        <v>चित्र में दिखाए गए खेल में पैड प्रशिक्षण के दौरान मुख्य रूप से शरीर के किस भाग को लक्षित किया जाता है?</v>
      </c>
      <c r="J2" s="8" t="str">
        <f>IFERROR(__xludf.DUMMYFUNCTION("GOOGLETRANSLATE(D2, ""en"", ""hi"")"),"a) हाथ, b) पैर, c) सिर, d) छाती")</f>
        <v>a) हाथ, b) पैर, c) सिर, d) छाती</v>
      </c>
      <c r="K2" s="8" t="str">
        <f>IFERROR(__xludf.DUMMYFUNCTION("GOOGLETRANSLATE(E2, ""en"", ""hi"")"),"क) हाथ")</f>
        <v>क) हाथ</v>
      </c>
    </row>
    <row r="3" ht="22.5" customHeight="1">
      <c r="A3" s="2">
        <v>2.0</v>
      </c>
      <c r="B3" s="3" t="s">
        <v>1285</v>
      </c>
      <c r="C3" s="3" t="s">
        <v>1289</v>
      </c>
      <c r="D3" s="3" t="s">
        <v>1290</v>
      </c>
      <c r="E3" s="3" t="s">
        <v>1291</v>
      </c>
      <c r="G3" s="8" t="str">
        <f>IFERROR(__xludf.DUMMYFUNCTION("GOOGLETRANSLATE(A3, ""en"", ""hi"")"),"2")</f>
        <v>2</v>
      </c>
      <c r="H3" s="8" t="str">
        <f>IFERROR(__xludf.DUMMYFUNCTION("GOOGLETRANSLATE(B3, ""en"", ""hi"")"),"musti_yuddha_1")</f>
        <v>musti_yuddha_1</v>
      </c>
      <c r="I3" s="8" t="str">
        <f>IFERROR(__xludf.DUMMYFUNCTION("GOOGLETRANSLATE(C3, ""en"", ""hi"")"),"चित्र में दिखाए गए खेल से, अभ्यास से पहले हाथों को लपेटने का उद्देश्य क्या है?")</f>
        <v>चित्र में दिखाए गए खेल से, अभ्यास से पहले हाथों को लपेटने का उद्देश्य क्या है?</v>
      </c>
      <c r="J3" s="8" t="str">
        <f>IFERROR(__xludf.DUMMYFUNCTION("GOOGLETRANSLATE(D3, ""en"", ""hi"")"),"क) मुक्का मारने की शक्ति बढ़ाने के लिए, ख) अंगुलियों की रक्षा के लिए, ग) कलाई की स्थिरता में सुधार करने के लिए, घ) पसीना रोकने के लिए")</f>
        <v>क) मुक्का मारने की शक्ति बढ़ाने के लिए, ख) अंगुलियों की रक्षा के लिए, ग) कलाई की स्थिरता में सुधार करने के लिए, घ) पसीना रोकने के लिए</v>
      </c>
      <c r="K3" s="8" t="str">
        <f>IFERROR(__xludf.DUMMYFUNCTION("GOOGLETRANSLATE(E3, ""en"", ""hi"")"),"ख) अंगुलियों की सुरक्षा के लिए, ग) कलाई की स्थिरता में सुधार के लिए")</f>
        <v>ख) अंगुलियों की सुरक्षा के लिए, ग) कलाई की स्थिरता में सुधार के लिए</v>
      </c>
    </row>
    <row r="4" ht="22.5" customHeight="1">
      <c r="A4" s="2">
        <v>3.0</v>
      </c>
      <c r="B4" s="3" t="s">
        <v>1285</v>
      </c>
      <c r="C4" s="3" t="s">
        <v>1292</v>
      </c>
      <c r="D4" s="3" t="s">
        <v>1293</v>
      </c>
      <c r="E4" s="3" t="s">
        <v>1294</v>
      </c>
      <c r="G4" s="8" t="str">
        <f>IFERROR(__xludf.DUMMYFUNCTION("GOOGLETRANSLATE(A4, ""en"", ""hi"")"),"3")</f>
        <v>3</v>
      </c>
      <c r="H4" s="8" t="str">
        <f>IFERROR(__xludf.DUMMYFUNCTION("GOOGLETRANSLATE(B4, ""en"", ""hi"")"),"musti_yuddha_1")</f>
        <v>musti_yuddha_1</v>
      </c>
      <c r="I4" s="8" t="str">
        <f>IFERROR(__xludf.DUMMYFUNCTION("GOOGLETRANSLATE(C4, ""en"", ""hi"")"),"चित्र में दिखाए गए खेल में से, अभ्यासकर्ताओं द्वारा सबसे अधिक कौन सा रुख अपनाया जाता है?")</f>
        <v>चित्र में दिखाए गए खेल में से, अभ्यासकर्ताओं द्वारा सबसे अधिक कौन सा रुख अपनाया जाता है?</v>
      </c>
      <c r="J4" s="8" t="str">
        <f>IFERROR(__xludf.DUMMYFUNCTION("GOOGLETRANSLATE(D4, ""en"", ""hi"")"),"a) साउथपॉ, b) ऑर्थोडॉक्स, c) स्क्वायर, d) साइड-ऑन")</f>
        <v>a) साउथपॉ, b) ऑर्थोडॉक्स, c) स्क्वायर, d) साइड-ऑन</v>
      </c>
      <c r="K4" s="8" t="str">
        <f>IFERROR(__xludf.DUMMYFUNCTION("GOOGLETRANSLATE(E4, ""en"", ""hi"")"),"ख) रूढ़िवादी")</f>
        <v>ख) रूढ़िवादी</v>
      </c>
    </row>
    <row r="5" ht="22.5" customHeight="1">
      <c r="A5" s="2">
        <v>4.0</v>
      </c>
      <c r="B5" s="3" t="s">
        <v>1285</v>
      </c>
      <c r="C5" s="3" t="s">
        <v>1295</v>
      </c>
      <c r="D5" s="3" t="s">
        <v>1296</v>
      </c>
      <c r="E5" s="3" t="s">
        <v>1297</v>
      </c>
      <c r="G5" s="8" t="str">
        <f>IFERROR(__xludf.DUMMYFUNCTION("GOOGLETRANSLATE(A5, ""en"", ""hi"")"),"4")</f>
        <v>4</v>
      </c>
      <c r="H5" s="8" t="str">
        <f>IFERROR(__xludf.DUMMYFUNCTION("GOOGLETRANSLATE(B5, ""en"", ""hi"")"),"musti_yuddha_1")</f>
        <v>musti_yuddha_1</v>
      </c>
      <c r="I5" s="8" t="str">
        <f>IFERROR(__xludf.DUMMYFUNCTION("GOOGLETRANSLATE(C5, ""en"", ""hi"")"),"चित्र में दिखाए गए खेल से, शैडोबॉक्सिंग का क्या महत्व है?")</f>
        <v>चित्र में दिखाए गए खेल से, शैडोबॉक्सिंग का क्या महत्व है?</v>
      </c>
      <c r="J5" s="8" t="str">
        <f>IFERROR(__xludf.DUMMYFUNCTION("GOOGLETRANSLATE(D5, ""en"", ""hi"")"),"क) फॉर्म का अभ्यास करने के लिए, ख) गति में सुधार करने के लिए, ग) फुटवर्क बढ़ाने के लिए, घ) सहनशक्ति का निर्माण करने के लिए")</f>
        <v>क) फॉर्म का अभ्यास करने के लिए, ख) गति में सुधार करने के लिए, ग) फुटवर्क बढ़ाने के लिए, घ) सहनशक्ति का निर्माण करने के लिए</v>
      </c>
      <c r="K5" s="8" t="str">
        <f>IFERROR(__xludf.DUMMYFUNCTION("GOOGLETRANSLATE(E5, ""en"", ""hi"")"),"क) फॉर्म का अभ्यास करने के लिए, ख) गति में सुधार करने के लिए, ग) फुटवर्क बढ़ाने के लिए")</f>
        <v>क) फॉर्म का अभ्यास करने के लिए, ख) गति में सुधार करने के लिए, ग) फुटवर्क बढ़ाने के लिए</v>
      </c>
    </row>
    <row r="6" ht="22.5" customHeight="1">
      <c r="A6" s="2">
        <v>5.0</v>
      </c>
      <c r="B6" s="3" t="s">
        <v>1298</v>
      </c>
      <c r="C6" s="3" t="s">
        <v>1299</v>
      </c>
      <c r="D6" s="3" t="s">
        <v>1300</v>
      </c>
      <c r="E6" s="3" t="s">
        <v>1301</v>
      </c>
      <c r="G6" s="8" t="str">
        <f>IFERROR(__xludf.DUMMYFUNCTION("GOOGLETRANSLATE(A6, ""en"", ""hi"")"),"5")</f>
        <v>5</v>
      </c>
      <c r="H6" s="8" t="str">
        <f>IFERROR(__xludf.DUMMYFUNCTION("GOOGLETRANSLATE(B6, ""en"", ""hi"")"),"musti_yuddha_2")</f>
        <v>musti_yuddha_2</v>
      </c>
      <c r="I6" s="8" t="str">
        <f>IFERROR(__xludf.DUMMYFUNCTION("GOOGLETRANSLATE(C6, ""en"", ""hi"")"),"चित्र में दिखाए गए खेल में से, हाथ-आँख समन्वय को बेहतर बनाने के लिए किस पारंपरिक प्रशिक्षण उपकरण का उपयोग किया जाता है?")</f>
        <v>चित्र में दिखाए गए खेल में से, हाथ-आँख समन्वय को बेहतर बनाने के लिए किस पारंपरिक प्रशिक्षण उपकरण का उपयोग किया जाता है?</v>
      </c>
      <c r="J6" s="8" t="str">
        <f>IFERROR(__xludf.DUMMYFUNCTION("GOOGLETRANSLATE(D6, ""en"", ""hi"")"),"a) स्पीड बैग, b) फोकस मिट्स, c) डबल-एंड बैग, d) हैवी बैग")</f>
        <v>a) स्पीड बैग, b) फोकस मिट्स, c) डबल-एंड बैग, d) हैवी बैग</v>
      </c>
      <c r="K6" s="8" t="str">
        <f>IFERROR(__xludf.DUMMYFUNCTION("GOOGLETRANSLATE(E6, ""en"", ""hi"")"),"c) डबल-एंड बैग")</f>
        <v>c) डबल-एंड बैग</v>
      </c>
    </row>
    <row r="7" ht="22.5" customHeight="1">
      <c r="A7" s="2">
        <v>6.0</v>
      </c>
      <c r="B7" s="3" t="s">
        <v>1298</v>
      </c>
      <c r="C7" s="3" t="s">
        <v>1302</v>
      </c>
      <c r="D7" s="3" t="s">
        <v>1303</v>
      </c>
      <c r="E7" s="3" t="s">
        <v>1304</v>
      </c>
      <c r="G7" s="8" t="str">
        <f>IFERROR(__xludf.DUMMYFUNCTION("GOOGLETRANSLATE(A7, ""en"", ""hi"")"),"6")</f>
        <v>6</v>
      </c>
      <c r="H7" s="8" t="str">
        <f>IFERROR(__xludf.DUMMYFUNCTION("GOOGLETRANSLATE(B7, ""en"", ""hi"")"),"musti_yuddha_2")</f>
        <v>musti_yuddha_2</v>
      </c>
      <c r="I7" s="8" t="str">
        <f>IFERROR(__xludf.DUMMYFUNCTION("GOOGLETRANSLATE(C7, ""en"", ""hi"")"),"चित्र में दिखाए गए खेल में, प्रतिद्वंद्वी को आश्चर्यचकित करने के लिए आमतौर पर किस प्रकार के पंच का उपयोग किया जाता है?")</f>
        <v>चित्र में दिखाए गए खेल में, प्रतिद्वंद्वी को आश्चर्यचकित करने के लिए आमतौर पर किस प्रकार के पंच का उपयोग किया जाता है?</v>
      </c>
      <c r="J7" s="8" t="str">
        <f>IFERROR(__xludf.DUMMYFUNCTION("GOOGLETRANSLATE(D7, ""en"", ""hi"")"),"a) जैब, b) अपरकट, c) हुक, d) क्रॉस")</f>
        <v>a) जैब, b) अपरकट, c) हुक, d) क्रॉस</v>
      </c>
      <c r="K7" s="8" t="str">
        <f>IFERROR(__xludf.DUMMYFUNCTION("GOOGLETRANSLATE(E7, ""en"", ""hi"")"),"ग) हुक")</f>
        <v>ग) हुक</v>
      </c>
    </row>
    <row r="8" ht="22.5" customHeight="1">
      <c r="A8" s="2">
        <v>7.0</v>
      </c>
      <c r="B8" s="3" t="s">
        <v>1298</v>
      </c>
      <c r="C8" s="3" t="s">
        <v>1305</v>
      </c>
      <c r="D8" s="3" t="s">
        <v>1306</v>
      </c>
      <c r="E8" s="3" t="s">
        <v>1307</v>
      </c>
      <c r="G8" s="8" t="str">
        <f>IFERROR(__xludf.DUMMYFUNCTION("GOOGLETRANSLATE(A8, ""en"", ""hi"")"),"7")</f>
        <v>7</v>
      </c>
      <c r="H8" s="8" t="str">
        <f>IFERROR(__xludf.DUMMYFUNCTION("GOOGLETRANSLATE(B8, ""en"", ""hi"")"),"musti_yuddha_2")</f>
        <v>musti_yuddha_2</v>
      </c>
      <c r="I8" s="8" t="str">
        <f>IFERROR(__xludf.DUMMYFUNCTION("GOOGLETRANSLATE(C8, ""en"", ""hi"")"),"चित्र में दिखाए गए खेल से, स्पैरिंग सत्रों के दौरान प्राथमिक ध्यान किस पर केंद्रित होता है?")</f>
        <v>चित्र में दिखाए गए खेल से, स्पैरिंग सत्रों के दौरान प्राथमिक ध्यान किस पर केंद्रित होता है?</v>
      </c>
      <c r="J8" s="8" t="str">
        <f>IFERROR(__xludf.DUMMYFUNCTION("GOOGLETRANSLATE(D8, ""en"", ""hi"")"),"क) तकनीक परिशोधन, ख) शक्ति विकास, ग) गति वृद्धि, घ) सहनशक्ति निर्माण")</f>
        <v>क) तकनीक परिशोधन, ख) शक्ति विकास, ग) गति वृद्धि, घ) सहनशक्ति निर्माण</v>
      </c>
      <c r="K8" s="8" t="str">
        <f>IFERROR(__xludf.DUMMYFUNCTION("GOOGLETRANSLATE(E8, ""en"", ""hi"")"),"क) तकनीक परिशोधन")</f>
        <v>क) तकनीक परिशोधन</v>
      </c>
    </row>
    <row r="9" ht="22.5" customHeight="1">
      <c r="A9" s="2">
        <v>8.0</v>
      </c>
      <c r="B9" s="3" t="s">
        <v>1298</v>
      </c>
      <c r="C9" s="3" t="s">
        <v>1308</v>
      </c>
      <c r="D9" s="3" t="s">
        <v>1309</v>
      </c>
      <c r="E9" s="3" t="s">
        <v>1310</v>
      </c>
      <c r="G9" s="8" t="str">
        <f>IFERROR(__xludf.DUMMYFUNCTION("GOOGLETRANSLATE(A9, ""en"", ""hi"")"),"8")</f>
        <v>8</v>
      </c>
      <c r="H9" s="8" t="str">
        <f>IFERROR(__xludf.DUMMYFUNCTION("GOOGLETRANSLATE(B9, ""en"", ""hi"")"),"musti_yuddha_2")</f>
        <v>musti_yuddha_2</v>
      </c>
      <c r="I9" s="8" t="str">
        <f>IFERROR(__xludf.DUMMYFUNCTION("GOOGLETRANSLATE(C9, ""en"", ""hi"")"),"चित्र में दिखाए गए खेल में, पंच के दौरान कौन सा मांसपेशी समूह सबसे अधिक सक्रिय होता है?")</f>
        <v>चित्र में दिखाए गए खेल में, पंच के दौरान कौन सा मांसपेशी समूह सबसे अधिक सक्रिय होता है?</v>
      </c>
      <c r="J9" s="8" t="str">
        <f>IFERROR(__xludf.DUMMYFUNCTION("GOOGLETRANSLATE(D9, ""en"", ""hi"")"),"a) पैर, b) कोर, c) कंधे, d) पीठ")</f>
        <v>a) पैर, b) कोर, c) कंधे, d) पीठ</v>
      </c>
      <c r="K9" s="8" t="str">
        <f>IFERROR(__xludf.DUMMYFUNCTION("GOOGLETRANSLATE(E9, ""en"", ""hi"")"),"ख) कोर")</f>
        <v>ख) कोर</v>
      </c>
    </row>
    <row r="10" ht="22.5" customHeight="1">
      <c r="A10" s="2">
        <v>9.0</v>
      </c>
      <c r="B10" s="3" t="s">
        <v>1311</v>
      </c>
      <c r="C10" s="3" t="s">
        <v>1312</v>
      </c>
      <c r="D10" s="3" t="s">
        <v>1313</v>
      </c>
      <c r="E10" s="3" t="s">
        <v>1314</v>
      </c>
      <c r="G10" s="8" t="str">
        <f>IFERROR(__xludf.DUMMYFUNCTION("GOOGLETRANSLATE(A10, ""en"", ""hi"")"),"9")</f>
        <v>9</v>
      </c>
      <c r="H10" s="8" t="str">
        <f>IFERROR(__xludf.DUMMYFUNCTION("GOOGLETRANSLATE(B10, ""en"", ""hi"")"),"musti_yuddha_3")</f>
        <v>musti_yuddha_3</v>
      </c>
      <c r="I10" s="8" t="str">
        <f>IFERROR(__xludf.DUMMYFUNCTION("GOOGLETRANSLATE(C10, ""en"", ""hi"")"),"चित्र में दिखाए गए खेल से, फुटवर्क अभ्यास का उद्देश्य क्या है?")</f>
        <v>चित्र में दिखाए गए खेल से, फुटवर्क अभ्यास का उद्देश्य क्या है?</v>
      </c>
      <c r="J10" s="8" t="str">
        <f>IFERROR(__xludf.DUMMYFUNCTION("GOOGLETRANSLATE(D10, ""en"", ""hi"")"),"क) चपलता बढ़ाने के लिए, ख) संतुलन सुधारने के लिए, ग) गति बढ़ाने के लिए, घ) शक्ति विकसित करने के लिए")</f>
        <v>क) चपलता बढ़ाने के लिए, ख) संतुलन सुधारने के लिए, ग) गति बढ़ाने के लिए, घ) शक्ति विकसित करने के लिए</v>
      </c>
      <c r="K10" s="8" t="str">
        <f>IFERROR(__xludf.DUMMYFUNCTION("GOOGLETRANSLATE(E10, ""en"", ""hi"")"),"क) चपलता बढ़ाने के लिए, ख) संतुलन सुधारने के लिए, ग) गति बढ़ाने के लिए")</f>
        <v>क) चपलता बढ़ाने के लिए, ख) संतुलन सुधारने के लिए, ग) गति बढ़ाने के लिए</v>
      </c>
    </row>
    <row r="11" ht="22.5" customHeight="1">
      <c r="A11" s="2">
        <v>10.0</v>
      </c>
      <c r="B11" s="3" t="s">
        <v>1311</v>
      </c>
      <c r="C11" s="3" t="s">
        <v>1315</v>
      </c>
      <c r="D11" s="3" t="s">
        <v>1316</v>
      </c>
      <c r="E11" s="3" t="s">
        <v>1317</v>
      </c>
      <c r="G11" s="8" t="str">
        <f>IFERROR(__xludf.DUMMYFUNCTION("GOOGLETRANSLATE(A11, ""en"", ""hi"")"),"10")</f>
        <v>10</v>
      </c>
      <c r="H11" s="8" t="str">
        <f>IFERROR(__xludf.DUMMYFUNCTION("GOOGLETRANSLATE(B11, ""en"", ""hi"")"),"musti_yuddha_3")</f>
        <v>musti_yuddha_3</v>
      </c>
      <c r="I11" s="8" t="str">
        <f>IFERROR(__xludf.DUMMYFUNCTION("GOOGLETRANSLATE(C11, ""en"", ""hi"")"),"चित्र में दिखाए गए खेल से, भारी बैग का उपयोग करने का मुख्य उद्देश्य क्या है?")</f>
        <v>चित्र में दिखाए गए खेल से, भारी बैग का उपयोग करने का मुख्य उद्देश्य क्या है?</v>
      </c>
      <c r="J11" s="8" t="str">
        <f>IFERROR(__xludf.DUMMYFUNCTION("GOOGLETRANSLATE(D11, ""en"", ""hi"")"),"क) शक्ति विकास, ख) सहनशक्ति निर्माण, ग) तकनीक अभ्यास, घ) गति प्रशिक्षण")</f>
        <v>क) शक्ति विकास, ख) सहनशक्ति निर्माण, ग) तकनीक अभ्यास, घ) गति प्रशिक्षण</v>
      </c>
      <c r="K11" s="8" t="str">
        <f>IFERROR(__xludf.DUMMYFUNCTION("GOOGLETRANSLATE(E11, ""en"", ""hi"")"),"क) बिजली विकास")</f>
        <v>क) बिजली विकास</v>
      </c>
    </row>
    <row r="12" ht="22.5" customHeight="1">
      <c r="A12" s="2">
        <v>11.0</v>
      </c>
      <c r="B12" s="3" t="s">
        <v>1311</v>
      </c>
      <c r="C12" s="3" t="s">
        <v>1318</v>
      </c>
      <c r="D12" s="3" t="s">
        <v>1319</v>
      </c>
      <c r="E12" s="3" t="s">
        <v>1320</v>
      </c>
      <c r="G12" s="8" t="str">
        <f>IFERROR(__xludf.DUMMYFUNCTION("GOOGLETRANSLATE(A12, ""en"", ""hi"")"),"11")</f>
        <v>11</v>
      </c>
      <c r="H12" s="8" t="str">
        <f>IFERROR(__xludf.DUMMYFUNCTION("GOOGLETRANSLATE(B12, ""en"", ""hi"")"),"musti_yuddha_3")</f>
        <v>musti_yuddha_3</v>
      </c>
      <c r="I12" s="8" t="str">
        <f>IFERROR(__xludf.DUMMYFUNCTION("GOOGLETRANSLATE(C12, ""en"", ""hi"")"),"चित्र में दिखाए गए खेल में, मुक्का मारने से बचने के लिए आमतौर पर कौन सी रक्षा तकनीक का उपयोग किया जाता है?")</f>
        <v>चित्र में दिखाए गए खेल में, मुक्का मारने से बचने के लिए आमतौर पर कौन सी रक्षा तकनीक का उपयोग किया जाता है?</v>
      </c>
      <c r="J12" s="8" t="str">
        <f>IFERROR(__xludf.DUMMYFUNCTION("GOOGLETRANSLATE(D12, ""en"", ""hi"")"),"a) बॉबिंग, b) वीविंग, c) पैरीइंग, d) ब्लॉकिंग")</f>
        <v>a) बॉबिंग, b) वीविंग, c) पैरीइंग, d) ब्लॉकिंग</v>
      </c>
      <c r="K12" s="8" t="str">
        <f>IFERROR(__xludf.DUMMYFUNCTION("GOOGLETRANSLATE(E12, ""en"", ""hi"")"),"ख) बुनाई")</f>
        <v>ख) बुनाई</v>
      </c>
    </row>
    <row r="13" ht="22.5" customHeight="1">
      <c r="A13" s="2">
        <v>12.0</v>
      </c>
      <c r="B13" s="3" t="s">
        <v>1311</v>
      </c>
      <c r="C13" s="3" t="s">
        <v>1321</v>
      </c>
      <c r="D13" s="3" t="s">
        <v>1322</v>
      </c>
      <c r="E13" s="3" t="s">
        <v>1323</v>
      </c>
      <c r="G13" s="8" t="str">
        <f>IFERROR(__xludf.DUMMYFUNCTION("GOOGLETRANSLATE(A13, ""en"", ""hi"")"),"12")</f>
        <v>12</v>
      </c>
      <c r="H13" s="8" t="str">
        <f>IFERROR(__xludf.DUMMYFUNCTION("GOOGLETRANSLATE(B13, ""en"", ""hi"")"),"musti_yuddha_3")</f>
        <v>musti_yuddha_3</v>
      </c>
      <c r="I13" s="8" t="str">
        <f>IFERROR(__xludf.DUMMYFUNCTION("GOOGLETRANSLATE(C13, ""en"", ""hi"")"),"चित्र में दिखाए गए खेल से, प्रशिक्षण के दौरान फोकस मिट्स का उपयोग करने का मुख्य लाभ क्या है?")</f>
        <v>चित्र में दिखाए गए खेल से, प्रशिक्षण के दौरान फोकस मिट्स का उपयोग करने का मुख्य लाभ क्या है?</v>
      </c>
      <c r="J13" s="8" t="str">
        <f>IFERROR(__xludf.DUMMYFUNCTION("GOOGLETRANSLATE(D13, ""en"", ""hi"")"),"क) सटीकता में सुधार, ख) गति में वृद्धि, ग) शक्ति विकास, घ) सहनशक्ति निर्माण")</f>
        <v>क) सटीकता में सुधार, ख) गति में वृद्धि, ग) शक्ति विकास, घ) सहनशक्ति निर्माण</v>
      </c>
      <c r="K13" s="8" t="str">
        <f>IFERROR(__xludf.DUMMYFUNCTION("GOOGLETRANSLATE(E13, ""en"", ""hi"")"),"क) सटीकता में सुधार, ख) गति में वृद्धि")</f>
        <v>क) सटीकता में सुधार, ख) गति में वृद्धि</v>
      </c>
    </row>
    <row r="14" ht="22.5" customHeight="1">
      <c r="A14" s="2">
        <v>13.0</v>
      </c>
      <c r="B14" s="3" t="s">
        <v>1324</v>
      </c>
      <c r="C14" s="3" t="s">
        <v>1325</v>
      </c>
      <c r="D14" s="3" t="s">
        <v>1326</v>
      </c>
      <c r="E14" s="3" t="s">
        <v>1327</v>
      </c>
      <c r="G14" s="8" t="str">
        <f>IFERROR(__xludf.DUMMYFUNCTION("GOOGLETRANSLATE(A14, ""en"", ""hi"")"),"13")</f>
        <v>13</v>
      </c>
      <c r="H14" s="8" t="str">
        <f>IFERROR(__xludf.DUMMYFUNCTION("GOOGLETRANSLATE(B14, ""en"", ""hi"")"),"musti_yuddha_4")</f>
        <v>musti_yuddha_4</v>
      </c>
      <c r="I14" s="8" t="str">
        <f>IFERROR(__xludf.DUMMYFUNCTION("GOOGLETRANSLATE(C14, ""en"", ""hi"")"),"चित्र में दिखाए गए खेल में से, निम्नलिखित में से कौन सा एक सामान्य वार्म-अप व्यायाम है?")</f>
        <v>चित्र में दिखाए गए खेल में से, निम्नलिखित में से कौन सा एक सामान्य वार्म-अप व्यायाम है?</v>
      </c>
      <c r="J14" s="8" t="str">
        <f>IFERROR(__xludf.DUMMYFUNCTION("GOOGLETRANSLATE(D14, ""en"", ""hi"")"),"a) रस्सी कूदना, b) दौड़ना, c) पुश-अप्स, d) शैडोबॉक्सिंग")</f>
        <v>a) रस्सी कूदना, b) दौड़ना, c) पुश-अप्स, d) शैडोबॉक्सिंग</v>
      </c>
      <c r="K14" s="8" t="str">
        <f>IFERROR(__xludf.DUMMYFUNCTION("GOOGLETRANSLATE(E14, ""en"", ""hi"")"),"a) रस्सी कूदना, d) शैडोबॉक्सिंग")</f>
        <v>a) रस्सी कूदना, d) शैडोबॉक्सिंग</v>
      </c>
    </row>
    <row r="15" ht="22.5" customHeight="1">
      <c r="A15" s="2">
        <v>14.0</v>
      </c>
      <c r="B15" s="3" t="s">
        <v>1324</v>
      </c>
      <c r="C15" s="3" t="s">
        <v>1328</v>
      </c>
      <c r="D15" s="3" t="s">
        <v>1329</v>
      </c>
      <c r="E15" s="3" t="s">
        <v>1330</v>
      </c>
      <c r="G15" s="8" t="str">
        <f>IFERROR(__xludf.DUMMYFUNCTION("GOOGLETRANSLATE(A15, ""en"", ""hi"")"),"14")</f>
        <v>14</v>
      </c>
      <c r="H15" s="8" t="str">
        <f>IFERROR(__xludf.DUMMYFUNCTION("GOOGLETRANSLATE(B15, ""en"", ""hi"")"),"musti_yuddha_4")</f>
        <v>musti_yuddha_4</v>
      </c>
      <c r="I15" s="8" t="str">
        <f>IFERROR(__xludf.DUMMYFUNCTION("GOOGLETRANSLATE(C15, ""en"", ""hi"")"),"चित्र में दिखाए गए खेल से, कंडीशनिंग अभ्यास का प्राथमिक उद्देश्य क्या है?")</f>
        <v>चित्र में दिखाए गए खेल से, कंडीशनिंग अभ्यास का प्राथमिक उद्देश्य क्या है?</v>
      </c>
      <c r="J15" s="8" t="str">
        <f>IFERROR(__xludf.DUMMYFUNCTION("GOOGLETRANSLATE(D15, ""en"", ""hi"")"),"क) सहनशक्ति का निर्माण, ख) शक्ति का विकास, ग) गति में वृद्धि, घ) लचीलेपन में सुधार")</f>
        <v>क) सहनशक्ति का निर्माण, ख) शक्ति का विकास, ग) गति में वृद्धि, घ) लचीलेपन में सुधार</v>
      </c>
      <c r="K15" s="8" t="str">
        <f>IFERROR(__xludf.DUMMYFUNCTION("GOOGLETRANSLATE(E15, ""en"", ""hi"")"),"a) सहनशक्ति का निर्माण")</f>
        <v>a) सहनशक्ति का निर्माण</v>
      </c>
    </row>
    <row r="16" ht="22.5" customHeight="1">
      <c r="A16" s="2">
        <v>15.0</v>
      </c>
      <c r="B16" s="3" t="s">
        <v>1324</v>
      </c>
      <c r="C16" s="3" t="s">
        <v>1331</v>
      </c>
      <c r="D16" s="3" t="s">
        <v>1332</v>
      </c>
      <c r="E16" s="3" t="s">
        <v>1333</v>
      </c>
      <c r="G16" s="8" t="str">
        <f>IFERROR(__xludf.DUMMYFUNCTION("GOOGLETRANSLATE(A16, ""en"", ""hi"")"),"15")</f>
        <v>15</v>
      </c>
      <c r="H16" s="8" t="str">
        <f>IFERROR(__xludf.DUMMYFUNCTION("GOOGLETRANSLATE(B16, ""en"", ""hi"")"),"musti_yuddha_4")</f>
        <v>musti_yuddha_4</v>
      </c>
      <c r="I16" s="8" t="str">
        <f>IFERROR(__xludf.DUMMYFUNCTION("GOOGLETRANSLATE(C16, ""en"", ""hi"")"),"चित्र में दिखाए गए खेल में, कौन सा मुक्का आमतौर पर मुख्य हाथ से मारा जाता है?")</f>
        <v>चित्र में दिखाए गए खेल में, कौन सा मुक्का आमतौर पर मुख्य हाथ से मारा जाता है?</v>
      </c>
      <c r="J16" s="8" t="str">
        <f>IFERROR(__xludf.DUMMYFUNCTION("GOOGLETRANSLATE(D16, ""en"", ""hi"")"),"a) जैब, b) क्रॉस, c) हुक, d) अपरकट")</f>
        <v>a) जैब, b) क्रॉस, c) हुक, d) अपरकट</v>
      </c>
      <c r="K16" s="8" t="str">
        <f>IFERROR(__xludf.DUMMYFUNCTION("GOOGLETRANSLATE(E16, ""en"", ""hi"")"),"a) जब")</f>
        <v>a) जब</v>
      </c>
    </row>
    <row r="17" ht="22.5" customHeight="1">
      <c r="A17" s="2">
        <v>16.0</v>
      </c>
      <c r="B17" s="3" t="s">
        <v>1324</v>
      </c>
      <c r="C17" s="3" t="s">
        <v>1334</v>
      </c>
      <c r="D17" s="3" t="s">
        <v>1335</v>
      </c>
      <c r="E17" s="3" t="s">
        <v>1336</v>
      </c>
      <c r="G17" s="8" t="str">
        <f>IFERROR(__xludf.DUMMYFUNCTION("GOOGLETRANSLATE(A17, ""en"", ""hi"")"),"16")</f>
        <v>16</v>
      </c>
      <c r="H17" s="8" t="str">
        <f>IFERROR(__xludf.DUMMYFUNCTION("GOOGLETRANSLATE(B17, ""en"", ""hi"")"),"musti_yuddha_4")</f>
        <v>musti_yuddha_4</v>
      </c>
      <c r="I17" s="8" t="str">
        <f>IFERROR(__xludf.DUMMYFUNCTION("GOOGLETRANSLATE(C17, ""en"", ""hi"")"),"चित्र में दिखाए गए खेल के अनुसार, मुकाबले के दौरान कॉर्नर मैन की क्या भूमिका होती है?")</f>
        <v>चित्र में दिखाए गए खेल के अनुसार, मुकाबले के दौरान कॉर्नर मैन की क्या भूमिका होती है?</v>
      </c>
      <c r="J17" s="8" t="str">
        <f>IFERROR(__xludf.DUMMYFUNCTION("GOOGLETRANSLATE(D17, ""en"", ""hi"")"),"क) सामरिक सलाह प्रदान करना, ख) चोटों में सहायता करना, ग) प्रोत्साहन प्रदान करना, घ) लड़ाई का आह्वान करना")</f>
        <v>क) सामरिक सलाह प्रदान करना, ख) चोटों में सहायता करना, ग) प्रोत्साहन प्रदान करना, घ) लड़ाई का आह्वान करना</v>
      </c>
      <c r="K17" s="8" t="str">
        <f>IFERROR(__xludf.DUMMYFUNCTION("GOOGLETRANSLATE(E17, ""en"", ""hi"")"),"क) सामरिक सलाह प्रदान करना, ख) चोटों में सहायता करना, ग) प्रोत्साहन प्रदान करना")</f>
        <v>क) सामरिक सलाह प्रदान करना, ख) चोटों में सहायता करना, ग) प्रोत्साहन प्रदान करना</v>
      </c>
    </row>
    <row r="18" ht="22.5" customHeight="1">
      <c r="A18" s="2">
        <v>17.0</v>
      </c>
      <c r="B18" s="3" t="s">
        <v>1337</v>
      </c>
      <c r="C18" s="3" t="s">
        <v>1338</v>
      </c>
      <c r="D18" s="3" t="s">
        <v>1339</v>
      </c>
      <c r="E18" s="3" t="s">
        <v>1340</v>
      </c>
      <c r="G18" s="8" t="str">
        <f>IFERROR(__xludf.DUMMYFUNCTION("GOOGLETRANSLATE(A18, ""en"", ""hi"")"),"17")</f>
        <v>17</v>
      </c>
      <c r="H18" s="8" t="str">
        <f>IFERROR(__xludf.DUMMYFUNCTION("GOOGLETRANSLATE(B18, ""en"", ""hi"")"),"musti_yuddha_5")</f>
        <v>musti_yuddha_5</v>
      </c>
      <c r="I18" s="8" t="str">
        <f>IFERROR(__xludf.DUMMYFUNCTION("GOOGLETRANSLATE(C18, ""en"", ""hi"")"),"चित्र में दिखाए गए खेल से, लड़ाई के दौरान संतुलन बनाए रखने के लिए निम्नलिखित में से कौन सा महत्वपूर्ण है?")</f>
        <v>चित्र में दिखाए गए खेल से, लड़ाई के दौरान संतुलन बनाए रखने के लिए निम्नलिखित में से कौन सा महत्वपूर्ण है?</v>
      </c>
      <c r="J18" s="8" t="str">
        <f>IFERROR(__xludf.DUMMYFUNCTION("GOOGLETRANSLATE(D18, ""en"", ""hi"")"),"a) रुख, b) पैर की स्थिति, c) गार्ड की स्थिति, d) सिर की गति")</f>
        <v>a) रुख, b) पैर की स्थिति, c) गार्ड की स्थिति, d) सिर की गति</v>
      </c>
      <c r="K18" s="8" t="str">
        <f>IFERROR(__xludf.DUMMYFUNCTION("GOOGLETRANSLATE(E18, ""en"", ""hi"")"),"a) रुख, b) पैर की स्थिति")</f>
        <v>a) रुख, b) पैर की स्थिति</v>
      </c>
    </row>
    <row r="19" ht="22.5" customHeight="1">
      <c r="A19" s="2">
        <v>18.0</v>
      </c>
      <c r="B19" s="3" t="s">
        <v>1337</v>
      </c>
      <c r="C19" s="3" t="s">
        <v>1341</v>
      </c>
      <c r="D19" s="3" t="s">
        <v>1342</v>
      </c>
      <c r="E19" s="3" t="s">
        <v>1343</v>
      </c>
      <c r="G19" s="8" t="str">
        <f>IFERROR(__xludf.DUMMYFUNCTION("GOOGLETRANSLATE(A19, ""en"", ""hi"")"),"18")</f>
        <v>18</v>
      </c>
      <c r="H19" s="8" t="str">
        <f>IFERROR(__xludf.DUMMYFUNCTION("GOOGLETRANSLATE(B19, ""en"", ""hi"")"),"musti_yuddha_5")</f>
        <v>musti_yuddha_5</v>
      </c>
      <c r="I19" s="8" t="str">
        <f>IFERROR(__xludf.DUMMYFUNCTION("GOOGLETRANSLATE(C19, ""en"", ""hi"")"),"चित्र में दिखाए गए खेल से, गार्ड का प्राथमिक कार्य क्या है?")</f>
        <v>चित्र में दिखाए गए खेल से, गार्ड का प्राथमिक कार्य क्या है?</v>
      </c>
      <c r="J19" s="8" t="str">
        <f>IFERROR(__xludf.DUMMYFUNCTION("GOOGLETRANSLATE(D19, ""en"", ""hi"")"),"क) मुक्कों को रोकना, ख) संतुलन बनाए रखना, ग) काउंटर लगाना, घ) दूरी नियंत्रित करना")</f>
        <v>क) मुक्कों को रोकना, ख) संतुलन बनाए रखना, ग) काउंटर लगाना, घ) दूरी नियंत्रित करना</v>
      </c>
      <c r="K19" s="8" t="str">
        <f>IFERROR(__xludf.DUMMYFUNCTION("GOOGLETRANSLATE(E19, ""en"", ""hi"")"),"a) घूंसे रोकना")</f>
        <v>a) घूंसे रोकना</v>
      </c>
    </row>
    <row r="20" ht="22.5" customHeight="1">
      <c r="A20" s="2">
        <v>19.0</v>
      </c>
      <c r="B20" s="3" t="s">
        <v>1337</v>
      </c>
      <c r="C20" s="3" t="s">
        <v>1344</v>
      </c>
      <c r="D20" s="3" t="s">
        <v>1345</v>
      </c>
      <c r="E20" s="3" t="s">
        <v>1346</v>
      </c>
      <c r="G20" s="8" t="str">
        <f>IFERROR(__xludf.DUMMYFUNCTION("GOOGLETRANSLATE(A20, ""en"", ""hi"")"),"19")</f>
        <v>19</v>
      </c>
      <c r="H20" s="8" t="str">
        <f>IFERROR(__xludf.DUMMYFUNCTION("GOOGLETRANSLATE(B20, ""en"", ""hi"")"),"musti_yuddha_5")</f>
        <v>musti_yuddha_5</v>
      </c>
      <c r="I20" s="8" t="str">
        <f>IFERROR(__xludf.DUMMYFUNCTION("GOOGLETRANSLATE(C20, ""en"", ""hi"")"),"चित्र में दिखाए गए खेल में से कौन सी श्वास तकनीक मैच के दौरान सबसे प्रभावी है?")</f>
        <v>चित्र में दिखाए गए खेल में से कौन सी श्वास तकनीक मैच के दौरान सबसे प्रभावी है?</v>
      </c>
      <c r="J20" s="8" t="str">
        <f>IFERROR(__xludf.DUMMYFUNCTION("GOOGLETRANSLATE(D20, ""en"", ""hi"")"),"क) नाक से सांस लेना, ख) मुंह से सांस छोड़ना, ग) पेट से गहरी सांस लेना, घ) तेजी से उथली सांस लेना")</f>
        <v>क) नाक से सांस लेना, ख) मुंह से सांस छोड़ना, ग) पेट से गहरी सांस लेना, घ) तेजी से उथली सांस लेना</v>
      </c>
      <c r="K20" s="8" t="str">
        <f>IFERROR(__xludf.DUMMYFUNCTION("GOOGLETRANSLATE(E20, ""en"", ""hi"")"),"क) नाक से साँस लेना, ख) मुँह से साँस छोड़ना")</f>
        <v>क) नाक से साँस लेना, ख) मुँह से साँस छोड़ना</v>
      </c>
    </row>
    <row r="21" ht="22.5" customHeight="1">
      <c r="A21" s="2">
        <v>20.0</v>
      </c>
      <c r="B21" s="3" t="s">
        <v>1337</v>
      </c>
      <c r="C21" s="3" t="s">
        <v>1347</v>
      </c>
      <c r="D21" s="3" t="s">
        <v>1348</v>
      </c>
      <c r="E21" s="3" t="s">
        <v>1349</v>
      </c>
      <c r="G21" s="8" t="str">
        <f>IFERROR(__xludf.DUMMYFUNCTION("GOOGLETRANSLATE(A21, ""en"", ""hi"")"),"20")</f>
        <v>20</v>
      </c>
      <c r="H21" s="8" t="str">
        <f>IFERROR(__xludf.DUMMYFUNCTION("GOOGLETRANSLATE(B21, ""en"", ""hi"")"),"musti_yuddha_5")</f>
        <v>musti_yuddha_5</v>
      </c>
      <c r="I21" s="8" t="str">
        <f>IFERROR(__xludf.DUMMYFUNCTION("GOOGLETRANSLATE(C21, ""en"", ""hi"")"),"चित्र में दिखाए गए खेल से, प्रतिक्रिया समय में सुधार के लिए किस प्रकार का प्रशिक्षण आवश्यक है?")</f>
        <v>चित्र में दिखाए गए खेल से, प्रतिक्रिया समय में सुधार के लिए किस प्रकार का प्रशिक्षण आवश्यक है?</v>
      </c>
      <c r="J21" s="8" t="str">
        <f>IFERROR(__xludf.DUMMYFUNCTION("GOOGLETRANSLATE(D21, ""en"", ""hi"")"),"a) रिफ्लेक्स ड्रिल्स, b) स्पीड बैग, c) शैडोबॉक्सिंग, d) स्पैरिंग")</f>
        <v>a) रिफ्लेक्स ड्रिल्स, b) स्पीड बैग, c) शैडोबॉक्सिंग, d) स्पैरिंग</v>
      </c>
      <c r="K21" s="8" t="str">
        <f>IFERROR(__xludf.DUMMYFUNCTION("GOOGLETRANSLATE(E21, ""en"", ""hi"")"),"a) रिफ्लेक्स ड्रिल्स, b) स्पीड बैग")</f>
        <v>a) रिफ्लेक्स ड्रिल्स, b) स्पीड बैग</v>
      </c>
    </row>
    <row r="22" ht="22.5" customHeight="1">
      <c r="A22" s="2">
        <v>21.0</v>
      </c>
      <c r="B22" s="3" t="s">
        <v>1350</v>
      </c>
      <c r="C22" s="3" t="s">
        <v>1351</v>
      </c>
      <c r="D22" s="3" t="s">
        <v>1352</v>
      </c>
      <c r="E22" s="3" t="s">
        <v>1353</v>
      </c>
      <c r="G22" s="8" t="str">
        <f>IFERROR(__xludf.DUMMYFUNCTION("GOOGLETRANSLATE(A22, ""en"", ""hi"")"),"21")</f>
        <v>21</v>
      </c>
      <c r="H22" s="8" t="str">
        <f>IFERROR(__xludf.DUMMYFUNCTION("GOOGLETRANSLATE(B22, ""en"", ""hi"")"),"musti_yuddha_6")</f>
        <v>musti_yuddha_6</v>
      </c>
      <c r="I22" s="8" t="str">
        <f>IFERROR(__xludf.DUMMYFUNCTION("GOOGLETRANSLATE(C22, ""en"", ""hi"")"),"चित्र में दिखाए गए खेल से, मुकाबले के दौरान आंखों का संपर्क बनाए रखने का क्या महत्व है?")</f>
        <v>चित्र में दिखाए गए खेल से, मुकाबले के दौरान आंखों का संपर्क बनाए रखने का क्या महत्व है?</v>
      </c>
      <c r="J22" s="8" t="str">
        <f>IFERROR(__xludf.DUMMYFUNCTION("GOOGLETRANSLATE(D22, ""en"", ""hi"")"),"क) प्रतिद्वंद्वी की चाल को पढ़ना, ख) प्रतिद्वंद्वी को डराना, ग) ध्यान केंद्रित रखना, घ) प्रतिद्वंद्वी के हाथों पर नज़र रखना")</f>
        <v>क) प्रतिद्वंद्वी की चाल को पढ़ना, ख) प्रतिद्वंद्वी को डराना, ग) ध्यान केंद्रित रखना, घ) प्रतिद्वंद्वी के हाथों पर नज़र रखना</v>
      </c>
      <c r="K22" s="8" t="str">
        <f>IFERROR(__xludf.DUMMYFUNCTION("GOOGLETRANSLATE(E22, ""en"", ""hi"")"),"क) प्रतिद्वंद्वी की चाल को पढ़ना, ग) ध्यान केंद्रित रखना")</f>
        <v>क) प्रतिद्वंद्वी की चाल को पढ़ना, ग) ध्यान केंद्रित रखना</v>
      </c>
    </row>
    <row r="23" ht="22.5" customHeight="1">
      <c r="A23" s="2">
        <v>22.0</v>
      </c>
      <c r="B23" s="3" t="s">
        <v>1350</v>
      </c>
      <c r="C23" s="3" t="s">
        <v>1354</v>
      </c>
      <c r="D23" s="3" t="s">
        <v>1355</v>
      </c>
      <c r="E23" s="3" t="s">
        <v>1356</v>
      </c>
      <c r="G23" s="8" t="str">
        <f>IFERROR(__xludf.DUMMYFUNCTION("GOOGLETRANSLATE(A23, ""en"", ""hi"")"),"22")</f>
        <v>22</v>
      </c>
      <c r="H23" s="8" t="str">
        <f>IFERROR(__xludf.DUMMYFUNCTION("GOOGLETRANSLATE(B23, ""en"", ""hi"")"),"musti_yuddha_6")</f>
        <v>musti_yuddha_6</v>
      </c>
      <c r="I23" s="8" t="str">
        <f>IFERROR(__xludf.DUMMYFUNCTION("GOOGLETRANSLATE(C23, ""en"", ""hi"")"),"चित्र में दिखाए गए खेल से, निम्नलिखित में से कौन सी एक सामान्य चोट निवारण तकनीक है?")</f>
        <v>चित्र में दिखाए गए खेल से, निम्नलिखित में से कौन सी एक सामान्य चोट निवारण तकनीक है?</v>
      </c>
      <c r="J23" s="8" t="str">
        <f>IFERROR(__xludf.DUMMYFUNCTION("GOOGLETRANSLATE(D23, ""en"", ""hi"")"),"क) स्ट्रेचिंग, ख) शक्तिवर्धक व्यायाम, ग) सुरक्षात्मक उपकरण पहनना, घ) उचित तकनीक")</f>
        <v>क) स्ट्रेचिंग, ख) शक्तिवर्धक व्यायाम, ग) सुरक्षात्मक उपकरण पहनना, घ) उचित तकनीक</v>
      </c>
      <c r="K23" s="8" t="str">
        <f>IFERROR(__xludf.DUMMYFUNCTION("GOOGLETRANSLATE(E23, ""en"", ""hi"")"),"क) स्ट्रेचिंग, ग) सुरक्षात्मक गियर पहनना, घ) उचित तकनीक")</f>
        <v>क) स्ट्रेचिंग, ग) सुरक्षात्मक गियर पहनना, घ) उचित तकनीक</v>
      </c>
    </row>
    <row r="24" ht="22.5" customHeight="1">
      <c r="A24" s="2">
        <v>23.0</v>
      </c>
      <c r="B24" s="3" t="s">
        <v>1350</v>
      </c>
      <c r="C24" s="3" t="s">
        <v>1357</v>
      </c>
      <c r="D24" s="3" t="s">
        <v>1358</v>
      </c>
      <c r="E24" s="3" t="s">
        <v>1359</v>
      </c>
      <c r="G24" s="8" t="str">
        <f>IFERROR(__xludf.DUMMYFUNCTION("GOOGLETRANSLATE(A24, ""en"", ""hi"")"),"23")</f>
        <v>23</v>
      </c>
      <c r="H24" s="8" t="str">
        <f>IFERROR(__xludf.DUMMYFUNCTION("GOOGLETRANSLATE(B24, ""en"", ""hi"")"),"musti_yuddha_6")</f>
        <v>musti_yuddha_6</v>
      </c>
      <c r="I24" s="8" t="str">
        <f>IFERROR(__xludf.DUMMYFUNCTION("GOOGLETRANSLATE(C24, ""en"", ""hi"")"),"चित्र में दिखाए गए खेल से, निम्नलिखित में से कौन सा मैच से पहले मानसिक तैयारी का एक प्रमुख पहलू है?")</f>
        <v>चित्र में दिखाए गए खेल से, निम्नलिखित में से कौन सा मैच से पहले मानसिक तैयारी का एक प्रमुख पहलू है?</v>
      </c>
      <c r="J24" s="8" t="str">
        <f>IFERROR(__xludf.DUMMYFUNCTION("GOOGLETRANSLATE(D24, ""en"", ""hi"")"),"क) दृश्यावलोकन, ख) श्वास व्यायाम, ग) रणनीति योजना, घ) शारीरिक कंडीशनिंग")</f>
        <v>क) दृश्यावलोकन, ख) श्वास व्यायाम, ग) रणनीति योजना, घ) शारीरिक कंडीशनिंग</v>
      </c>
      <c r="K24" s="8" t="str">
        <f>IFERROR(__xludf.DUMMYFUNCTION("GOOGLETRANSLATE(E24, ""en"", ""hi"")"),"क) दृश्यावलोकन, ख) श्वास व्यायाम, ग) रणनीति योजना")</f>
        <v>क) दृश्यावलोकन, ख) श्वास व्यायाम, ग) रणनीति योजना</v>
      </c>
    </row>
    <row r="25" ht="22.5" customHeight="1">
      <c r="A25" s="2">
        <v>24.0</v>
      </c>
      <c r="B25" s="3" t="s">
        <v>1350</v>
      </c>
      <c r="C25" s="3" t="s">
        <v>1360</v>
      </c>
      <c r="D25" s="3" t="s">
        <v>1361</v>
      </c>
      <c r="E25" s="3" t="s">
        <v>1362</v>
      </c>
      <c r="G25" s="8" t="str">
        <f>IFERROR(__xludf.DUMMYFUNCTION("GOOGLETRANSLATE(A25, ""en"", ""hi"")"),"24")</f>
        <v>24</v>
      </c>
      <c r="H25" s="8" t="str">
        <f>IFERROR(__xludf.DUMMYFUNCTION("GOOGLETRANSLATE(B25, ""en"", ""hi"")"),"musti_yuddha_6")</f>
        <v>musti_yuddha_6</v>
      </c>
      <c r="I25" s="8" t="str">
        <f>IFERROR(__xludf.DUMMYFUNCTION("GOOGLETRANSLATE(C25, ""en"", ""hi"")"),"चित्र में दिखाए गए खेल से, मिट कार्य के दौरान प्राथमिक ध्यान किस पर केंद्रित होता है?")</f>
        <v>चित्र में दिखाए गए खेल से, मिट कार्य के दौरान प्राथमिक ध्यान किस पर केंद्रित होता है?</v>
      </c>
      <c r="J25" s="8" t="str">
        <f>IFERROR(__xludf.DUMMYFUNCTION("GOOGLETRANSLATE(D25, ""en"", ""hi"")"),"a) परिशुद्धता, b) गति, c) शक्ति, d) धीरज")</f>
        <v>a) परिशुद्धता, b) गति, c) शक्ति, d) धीरज</v>
      </c>
      <c r="K25" s="8" t="str">
        <f>IFERROR(__xludf.DUMMYFUNCTION("GOOGLETRANSLATE(E25, ""en"", ""hi"")"),"क) परिशुद्धता")</f>
        <v>क) परिशुद्धता</v>
      </c>
    </row>
    <row r="26" ht="22.5" customHeight="1">
      <c r="A26" s="2">
        <v>25.0</v>
      </c>
      <c r="B26" s="3" t="s">
        <v>1363</v>
      </c>
      <c r="C26" s="3" t="s">
        <v>1364</v>
      </c>
      <c r="D26" s="3" t="s">
        <v>1365</v>
      </c>
      <c r="E26" s="3" t="s">
        <v>1366</v>
      </c>
      <c r="G26" s="8" t="str">
        <f>IFERROR(__xludf.DUMMYFUNCTION("GOOGLETRANSLATE(A26, ""en"", ""hi"")"),"25")</f>
        <v>25</v>
      </c>
      <c r="H26" s="8" t="str">
        <f>IFERROR(__xludf.DUMMYFUNCTION("GOOGLETRANSLATE(B26, ""en"", ""hi"")"),"musti_yuddha_7")</f>
        <v>musti_yuddha_7</v>
      </c>
      <c r="I26" s="8" t="str">
        <f>IFERROR(__xludf.DUMMYFUNCTION("GOOGLETRANSLATE(C26, ""en"", ""hi"")"),"चित्र में दिखाए गए खेल में, जैब का मुकाबला करने के लिए आमतौर पर किस तकनीक का उपयोग किया जाता है?")</f>
        <v>चित्र में दिखाए गए खेल में, जैब का मुकाबला करने के लिए आमतौर पर किस तकनीक का उपयोग किया जाता है?</v>
      </c>
      <c r="J26" s="8" t="str">
        <f>IFERROR(__xludf.DUMMYFUNCTION("GOOGLETRANSLATE(D26, ""en"", ""hi"")"),"a) स्लिप और काउंटर, b) पैरी और पंच, c) डक और अपरकट, d) स्टेप बैक और क्रॉस")</f>
        <v>a) स्लिप और काउंटर, b) पैरी और पंच, c) डक और अपरकट, d) स्टेप बैक और क्रॉस</v>
      </c>
      <c r="K26" s="8" t="str">
        <f>IFERROR(__xludf.DUMMYFUNCTION("GOOGLETRANSLATE(E26, ""en"", ""hi"")"),"क) स्लिप और काउंटर, ख) पैरी और पंच")</f>
        <v>क) स्लिप और काउंटर, ख) पैरी और पंच</v>
      </c>
    </row>
    <row r="27" ht="22.5" customHeight="1">
      <c r="A27" s="2">
        <v>26.0</v>
      </c>
      <c r="B27" s="3" t="s">
        <v>1363</v>
      </c>
      <c r="C27" s="3" t="s">
        <v>1367</v>
      </c>
      <c r="D27" s="3" t="s">
        <v>1368</v>
      </c>
      <c r="E27" s="3" t="s">
        <v>1369</v>
      </c>
      <c r="G27" s="8" t="str">
        <f>IFERROR(__xludf.DUMMYFUNCTION("GOOGLETRANSLATE(A27, ""en"", ""hi"")"),"26")</f>
        <v>26</v>
      </c>
      <c r="H27" s="8" t="str">
        <f>IFERROR(__xludf.DUMMYFUNCTION("GOOGLETRANSLATE(B27, ""en"", ""hi"")"),"musti_yuddha_7")</f>
        <v>musti_yuddha_7</v>
      </c>
      <c r="I27" s="8" t="str">
        <f>IFERROR(__xludf.DUMMYFUNCTION("GOOGLETRANSLATE(C27, ""en"", ""hi"")"),"चित्र में दिखाए गए खेल से, निम्नलिखित में से कौन सा प्रशिक्षण के बाद रिकवरी का एक आवश्यक पहलू है?")</f>
        <v>चित्र में दिखाए गए खेल से, निम्नलिखित में से कौन सा प्रशिक्षण के बाद रिकवरी का एक आवश्यक पहलू है?</v>
      </c>
      <c r="J27" s="8" t="str">
        <f>IFERROR(__xludf.DUMMYFUNCTION("GOOGLETRANSLATE(D27, ""en"", ""hi"")"),"a) स्ट्रेचिंग, b) हाइड्रेशन, c) पोषण, d) आराम")</f>
        <v>a) स्ट्रेचिंग, b) हाइड्रेशन, c) पोषण, d) आराम</v>
      </c>
      <c r="K27" s="8" t="str">
        <f>IFERROR(__xludf.DUMMYFUNCTION("GOOGLETRANSLATE(E27, ""en"", ""hi"")"),"a) स्ट्रेचिंग, b) हाइड्रेशन, d) आराम")</f>
        <v>a) स्ट्रेचिंग, b) हाइड्रेशन, d) आराम</v>
      </c>
    </row>
    <row r="28" ht="22.5" customHeight="1">
      <c r="A28" s="2">
        <v>27.0</v>
      </c>
      <c r="B28" s="3" t="s">
        <v>1363</v>
      </c>
      <c r="C28" s="3" t="s">
        <v>1370</v>
      </c>
      <c r="D28" s="3" t="s">
        <v>1371</v>
      </c>
      <c r="E28" s="3" t="s">
        <v>1372</v>
      </c>
      <c r="G28" s="8" t="str">
        <f>IFERROR(__xludf.DUMMYFUNCTION("GOOGLETRANSLATE(A28, ""en"", ""hi"")"),"27")</f>
        <v>27</v>
      </c>
      <c r="H28" s="8" t="str">
        <f>IFERROR(__xludf.DUMMYFUNCTION("GOOGLETRANSLATE(B28, ""en"", ""hi"")"),"musti_yuddha_7")</f>
        <v>musti_yuddha_7</v>
      </c>
      <c r="I28" s="8" t="str">
        <f>IFERROR(__xludf.DUMMYFUNCTION("GOOGLETRANSLATE(C28, ""en"", ""hi"")"),"चित्र में दिखाए गए खेल से, स्पीड बैग का उपयोग करने का प्राथमिक लक्ष्य क्या है?")</f>
        <v>चित्र में दिखाए गए खेल से, स्पीड बैग का उपयोग करने का प्राथमिक लक्ष्य क्या है?</v>
      </c>
      <c r="J28" s="8" t="str">
        <f>IFERROR(__xludf.DUMMYFUNCTION("GOOGLETRANSLATE(D28, ""en"", ""hi"")"),"क) समय बढ़ाना, ख) हाथ की गति में सुधार करना, ग) लय विकसित करना, घ) सहनशक्ति का निर्माण करना")</f>
        <v>क) समय बढ़ाना, ख) हाथ की गति में सुधार करना, ग) लय विकसित करना, घ) सहनशक्ति का निर्माण करना</v>
      </c>
      <c r="K28" s="8" t="str">
        <f>IFERROR(__xludf.DUMMYFUNCTION("GOOGLETRANSLATE(E28, ""en"", ""hi"")"),"क) समय बढ़ाना, ख) हाथ की गति में सुधार करना, ग) लय विकसित करना")</f>
        <v>क) समय बढ़ाना, ख) हाथ की गति में सुधार करना, ग) लय विकसित करना</v>
      </c>
    </row>
    <row r="29" ht="22.5" customHeight="1">
      <c r="A29" s="2">
        <v>28.0</v>
      </c>
      <c r="B29" s="3" t="s">
        <v>1363</v>
      </c>
      <c r="C29" s="3" t="s">
        <v>1373</v>
      </c>
      <c r="D29" s="3" t="s">
        <v>1374</v>
      </c>
      <c r="E29" s="3" t="s">
        <v>1375</v>
      </c>
      <c r="G29" s="8" t="str">
        <f>IFERROR(__xludf.DUMMYFUNCTION("GOOGLETRANSLATE(A29, ""en"", ""hi"")"),"28")</f>
        <v>28</v>
      </c>
      <c r="H29" s="8" t="str">
        <f>IFERROR(__xludf.DUMMYFUNCTION("GOOGLETRANSLATE(B29, ""en"", ""hi"")"),"musti_yuddha_7")</f>
        <v>musti_yuddha_7</v>
      </c>
      <c r="I29" s="8" t="str">
        <f>IFERROR(__xludf.DUMMYFUNCTION("GOOGLETRANSLATE(C29, ""en"", ""hi"")"),"चित्र में दिखाए गए खेल से, प्रशिक्षण में प्रतिरोध बैंड का उपयोग करने का मुख्य लाभ क्या है?")</f>
        <v>चित्र में दिखाए गए खेल से, प्रशिक्षण में प्रतिरोध बैंड का उपयोग करने का मुख्य लाभ क्या है?</v>
      </c>
      <c r="J29" s="8" t="str">
        <f>IFERROR(__xludf.DUMMYFUNCTION("GOOGLETRANSLATE(D29, ""en"", ""hi"")"),"a) मांसपेशियों को मजबूत करना, b) लचीलापन बढ़ाना, c) गति बढ़ाना, d) संतुलन में सुधार करना")</f>
        <v>a) मांसपेशियों को मजबूत करना, b) लचीलापन बढ़ाना, c) गति बढ़ाना, d) संतुलन में सुधार करना</v>
      </c>
      <c r="K29" s="8" t="str">
        <f>IFERROR(__xludf.DUMMYFUNCTION("GOOGLETRANSLATE(E29, ""en"", ""hi"")"),"a) मांसपेशियों को मजबूत करना, c) गति बढ़ाना")</f>
        <v>a) मांसपेशियों को मजबूत करना, c) गति बढ़ाना</v>
      </c>
    </row>
    <row r="30" ht="22.5" customHeight="1">
      <c r="A30" s="2">
        <v>29.0</v>
      </c>
      <c r="B30" s="3" t="s">
        <v>1376</v>
      </c>
      <c r="C30" s="3" t="s">
        <v>1377</v>
      </c>
      <c r="D30" s="3" t="s">
        <v>1378</v>
      </c>
      <c r="E30" s="3" t="s">
        <v>1379</v>
      </c>
      <c r="G30" s="8" t="str">
        <f>IFERROR(__xludf.DUMMYFUNCTION("GOOGLETRANSLATE(A30, ""en"", ""hi"")"),"29")</f>
        <v>29</v>
      </c>
      <c r="H30" s="8" t="str">
        <f>IFERROR(__xludf.DUMMYFUNCTION("GOOGLETRANSLATE(B30, ""en"", ""hi"")"),"musti_yuddha_8")</f>
        <v>musti_yuddha_8</v>
      </c>
      <c r="I30" s="8" t="str">
        <f>IFERROR(__xludf.DUMMYFUNCTION("GOOGLETRANSLATE(C30, ""en"", ""hi"")"),"चित्र में दिखाए गए खेल में से, धीरज बढ़ाने के लिए आमतौर पर किस प्रकार के कंडीशनिंग व्यायाम का उपयोग किया जाता है?")</f>
        <v>चित्र में दिखाए गए खेल में से, धीरज बढ़ाने के लिए आमतौर पर किस प्रकार के कंडीशनिंग व्यायाम का उपयोग किया जाता है?</v>
      </c>
      <c r="J30" s="8" t="str">
        <f>IFERROR(__xludf.DUMMYFUNCTION("GOOGLETRANSLATE(D30, ""en"", ""hi"")"),"a) दौड़ना, b) साइकिल चलाना, c) रस्सी कूदना, d) सर्किट ट्रेनिंग")</f>
        <v>a) दौड़ना, b) साइकिल चलाना, c) रस्सी कूदना, d) सर्किट ट्रेनिंग</v>
      </c>
      <c r="K30" s="8" t="str">
        <f>IFERROR(__xludf.DUMMYFUNCTION("GOOGLETRANSLATE(E30, ""en"", ""hi"")"),"a) दौड़ना, c) रस्सी कूदना, d) सर्किट ट्रेनिंग")</f>
        <v>a) दौड़ना, c) रस्सी कूदना, d) सर्किट ट्रेनिंग</v>
      </c>
    </row>
    <row r="31" ht="22.5" customHeight="1">
      <c r="A31" s="2">
        <v>30.0</v>
      </c>
      <c r="B31" s="3" t="s">
        <v>1376</v>
      </c>
      <c r="C31" s="3" t="s">
        <v>1380</v>
      </c>
      <c r="D31" s="3" t="s">
        <v>1381</v>
      </c>
      <c r="E31" s="3" t="s">
        <v>1382</v>
      </c>
      <c r="G31" s="8" t="str">
        <f>IFERROR(__xludf.DUMMYFUNCTION("GOOGLETRANSLATE(A31, ""en"", ""hi"")"),"30")</f>
        <v>30</v>
      </c>
      <c r="H31" s="8" t="str">
        <f>IFERROR(__xludf.DUMMYFUNCTION("GOOGLETRANSLATE(B31, ""en"", ""hi"")"),"musti_yuddha_8")</f>
        <v>musti_yuddha_8</v>
      </c>
      <c r="I31" s="8" t="str">
        <f>IFERROR(__xludf.DUMMYFUNCTION("GOOGLETRANSLATE(C31, ""en"", ""hi"")"),"चित्र में दिखाए गए खेल में, प्रहार करते समय उचित स्वरूप बनाए रखने के लिए निम्नलिखित में से किस पर जोर दिया जाता है?")</f>
        <v>चित्र में दिखाए गए खेल में, प्रहार करते समय उचित स्वरूप बनाए रखने के लिए निम्नलिखित में से किस पर जोर दिया जाता है?</v>
      </c>
      <c r="J31" s="8" t="str">
        <f>IFERROR(__xludf.DUMMYFUNCTION("GOOGLETRANSLATE(D31, ""en"", ""hi"")"),"a) कोहनी की स्थिति, b) कूल्हे का घुमाव, c) पैर की स्थिति, d) सिर की गति")</f>
        <v>a) कोहनी की स्थिति, b) कूल्हे का घुमाव, c) पैर की स्थिति, d) सिर की गति</v>
      </c>
      <c r="K31" s="8" t="str">
        <f>IFERROR(__xludf.DUMMYFUNCTION("GOOGLETRANSLATE(E31, ""en"", ""hi"")"),"b) कूल्हे का घुमाव, c) पैर का स्थान")</f>
        <v>b) कूल्हे का घुमाव, c) पैर का स्थान</v>
      </c>
    </row>
    <row r="32" ht="22.5" customHeight="1">
      <c r="A32" s="2">
        <v>31.0</v>
      </c>
      <c r="B32" s="3" t="s">
        <v>1376</v>
      </c>
      <c r="C32" s="3" t="s">
        <v>1383</v>
      </c>
      <c r="D32" s="3" t="s">
        <v>1384</v>
      </c>
      <c r="E32" s="3" t="s">
        <v>1385</v>
      </c>
      <c r="G32" s="8" t="str">
        <f>IFERROR(__xludf.DUMMYFUNCTION("GOOGLETRANSLATE(A32, ""en"", ""hi"")"),"31")</f>
        <v>31</v>
      </c>
      <c r="H32" s="8" t="str">
        <f>IFERROR(__xludf.DUMMYFUNCTION("GOOGLETRANSLATE(B32, ""en"", ""hi"")"),"musti_yuddha_8")</f>
        <v>musti_yuddha_8</v>
      </c>
      <c r="I32" s="8" t="str">
        <f>IFERROR(__xludf.DUMMYFUNCTION("GOOGLETRANSLATE(C32, ""en"", ""hi"")"),"चित्र में दिखाए गए खेल से, एक मजबूत गार्ड बनाए रखने का प्राथमिक उद्देश्य क्या है?")</f>
        <v>चित्र में दिखाए गए खेल से, एक मजबूत गार्ड बनाए रखने का प्राथमिक उद्देश्य क्या है?</v>
      </c>
      <c r="J32" s="8" t="str">
        <f>IFERROR(__xludf.DUMMYFUNCTION("GOOGLETRANSLATE(D32, ""en"", ""hi"")"),"क) आने वाले हमलों को रोकना, ख) काउंटर स्थापित करना, ग) संतुलन बनाए रखना, घ) दूरी को नियंत्रित करना")</f>
        <v>क) आने वाले हमलों को रोकना, ख) काउंटर स्थापित करना, ग) संतुलन बनाए रखना, घ) दूरी को नियंत्रित करना</v>
      </c>
      <c r="K32" s="8" t="str">
        <f>IFERROR(__xludf.DUMMYFUNCTION("GOOGLETRANSLATE(E32, ""en"", ""hi"")"),"क) आने वाले हमलों को रोकना, ख) काउंटर स्थापित करना")</f>
        <v>क) आने वाले हमलों को रोकना, ख) काउंटर स्थापित करना</v>
      </c>
    </row>
    <row r="33" ht="22.5" customHeight="1">
      <c r="A33" s="2">
        <v>32.0</v>
      </c>
      <c r="B33" s="3" t="s">
        <v>1376</v>
      </c>
      <c r="C33" s="3" t="s">
        <v>1386</v>
      </c>
      <c r="D33" s="3" t="s">
        <v>1387</v>
      </c>
      <c r="E33" s="3" t="s">
        <v>1388</v>
      </c>
      <c r="G33" s="8" t="str">
        <f>IFERROR(__xludf.DUMMYFUNCTION("GOOGLETRANSLATE(A33, ""en"", ""hi"")"),"32")</f>
        <v>32</v>
      </c>
      <c r="H33" s="8" t="str">
        <f>IFERROR(__xludf.DUMMYFUNCTION("GOOGLETRANSLATE(B33, ""en"", ""hi"")"),"musti_yuddha_8")</f>
        <v>musti_yuddha_8</v>
      </c>
      <c r="I33" s="8" t="str">
        <f>IFERROR(__xludf.DUMMYFUNCTION("GOOGLETRANSLATE(C33, ""en"", ""hi"")"),"चित्र में दिखाए गए खेल में से कौन सा पारंपरिक रुख सबसे अधिक स्थिरता प्रदान करता है?")</f>
        <v>चित्र में दिखाए गए खेल में से कौन सा पारंपरिक रुख सबसे अधिक स्थिरता प्रदान करता है?</v>
      </c>
      <c r="J33" s="8" t="str">
        <f>IFERROR(__xludf.DUMMYFUNCTION("GOOGLETRANSLATE(D33, ""en"", ""hi"")"),"a) चौड़ा रुख, b) संकीर्ण रुख, c) पार्श्व रुख, d) संतुलित रुख")</f>
        <v>a) चौड़ा रुख, b) संकीर्ण रुख, c) पार्श्व रुख, d) संतुलित रुख</v>
      </c>
      <c r="K33" s="8" t="str">
        <f>IFERROR(__xludf.DUMMYFUNCTION("GOOGLETRANSLATE(E33, ""en"", ""hi"")"),"a) चौड़ा रुख")</f>
        <v>a) चौड़ा रुख</v>
      </c>
    </row>
    <row r="34" ht="22.5" customHeight="1">
      <c r="A34" s="2">
        <v>33.0</v>
      </c>
      <c r="B34" s="3" t="s">
        <v>1389</v>
      </c>
      <c r="C34" s="3" t="s">
        <v>1390</v>
      </c>
      <c r="D34" s="3" t="s">
        <v>1391</v>
      </c>
      <c r="E34" s="3" t="s">
        <v>1392</v>
      </c>
      <c r="G34" s="8" t="str">
        <f>IFERROR(__xludf.DUMMYFUNCTION("GOOGLETRANSLATE(A34, ""en"", ""hi"")"),"33")</f>
        <v>33</v>
      </c>
      <c r="H34" s="8" t="str">
        <f>IFERROR(__xludf.DUMMYFUNCTION("GOOGLETRANSLATE(B34, ""en"", ""hi"")"),"musti_yuddha_9")</f>
        <v>musti_yuddha_9</v>
      </c>
      <c r="I34" s="8" t="str">
        <f>IFERROR(__xludf.DUMMYFUNCTION("GOOGLETRANSLATE(C34, ""en"", ""hi"")"),"चित्र में दिखाए गए खेल से, फेनट्स का अभ्यास करने का मुख्य लाभ क्या है?")</f>
        <v>चित्र में दिखाए गए खेल से, फेनट्स का अभ्यास करने का मुख्य लाभ क्या है?</v>
      </c>
      <c r="J34" s="8" t="str">
        <f>IFERROR(__xludf.DUMMYFUNCTION("GOOGLETRANSLATE(D34, ""en"", ""hi"")"),"क) प्रतिद्वंद्वी का ध्यान भटकाना, ख) मौके बनाना, ग) ऊर्जा बचाना, घ) प्रतिद्वंद्वी की प्रतिक्रिया का परीक्षण करना")</f>
        <v>क) प्रतिद्वंद्वी का ध्यान भटकाना, ख) मौके बनाना, ग) ऊर्जा बचाना, घ) प्रतिद्वंद्वी की प्रतिक्रिया का परीक्षण करना</v>
      </c>
      <c r="K34" s="8" t="str">
        <f>IFERROR(__xludf.DUMMYFUNCTION("GOOGLETRANSLATE(E34, ""en"", ""hi"")"),"क) प्रतिद्वंद्वी का ध्यान भटकाना, ख) मौके बनाना, घ) प्रतिद्वंद्वी की प्रतिक्रिया का परीक्षण करना")</f>
        <v>क) प्रतिद्वंद्वी का ध्यान भटकाना, ख) मौके बनाना, घ) प्रतिद्वंद्वी की प्रतिक्रिया का परीक्षण करना</v>
      </c>
    </row>
    <row r="35" ht="22.5" customHeight="1">
      <c r="A35" s="2">
        <v>34.0</v>
      </c>
      <c r="B35" s="3" t="s">
        <v>1389</v>
      </c>
      <c r="C35" s="3" t="s">
        <v>1393</v>
      </c>
      <c r="D35" s="3" t="s">
        <v>1394</v>
      </c>
      <c r="E35" s="3" t="s">
        <v>1395</v>
      </c>
      <c r="G35" s="8" t="str">
        <f>IFERROR(__xludf.DUMMYFUNCTION("GOOGLETRANSLATE(A35, ""en"", ""hi"")"),"34")</f>
        <v>34</v>
      </c>
      <c r="H35" s="8" t="str">
        <f>IFERROR(__xludf.DUMMYFUNCTION("GOOGLETRANSLATE(B35, ""en"", ""hi"")"),"musti_yuddha_9")</f>
        <v>musti_yuddha_9</v>
      </c>
      <c r="I35" s="8" t="str">
        <f>IFERROR(__xludf.DUMMYFUNCTION("GOOGLETRANSLATE(C35, ""en"", ""hi"")"),"चित्र में दिखाए गए खेल में, प्रतिद्वंद्वी के प्रहार को विफल करने के लिए निम्नलिखित में से किस तकनीक का उपयोग किया जाता है?")</f>
        <v>चित्र में दिखाए गए खेल में, प्रतिद्वंद्वी के प्रहार को विफल करने के लिए निम्नलिखित में से किस तकनीक का उपयोग किया जाता है?</v>
      </c>
      <c r="J35" s="8" t="str">
        <f>IFERROR(__xludf.DUMMYFUNCTION("GOOGLETRANSLATE(D35, ""en"", ""hi"")"),"a) पैरी, b) ब्लॉक, c) स्लिप, d) वीव")</f>
        <v>a) पैरी, b) ब्लॉक, c) स्लिप, d) वीव</v>
      </c>
      <c r="K35" s="8" t="str">
        <f>IFERROR(__xludf.DUMMYFUNCTION("GOOGLETRANSLATE(E35, ""en"", ""hi"")"),"a) पैरी")</f>
        <v>a) पैरी</v>
      </c>
    </row>
    <row r="36" ht="22.5" customHeight="1">
      <c r="A36" s="2">
        <v>35.0</v>
      </c>
      <c r="B36" s="3" t="s">
        <v>1389</v>
      </c>
      <c r="C36" s="3" t="s">
        <v>1396</v>
      </c>
      <c r="D36" s="3" t="s">
        <v>1397</v>
      </c>
      <c r="E36" s="3" t="s">
        <v>1398</v>
      </c>
      <c r="G36" s="8" t="str">
        <f>IFERROR(__xludf.DUMMYFUNCTION("GOOGLETRANSLATE(A36, ""en"", ""hi"")"),"35")</f>
        <v>35</v>
      </c>
      <c r="H36" s="8" t="str">
        <f>IFERROR(__xludf.DUMMYFUNCTION("GOOGLETRANSLATE(B36, ""en"", ""hi"")"),"musti_yuddha_9")</f>
        <v>musti_yuddha_9</v>
      </c>
      <c r="I36" s="8" t="str">
        <f>IFERROR(__xludf.DUMMYFUNCTION("GOOGLETRANSLATE(C36, ""en"", ""hi"")"),"चित्र में दिखाए गए खेल से, मैच में क्लिंचिंग का उद्देश्य क्या है?")</f>
        <v>चित्र में दिखाए गए खेल से, मैच में क्लिंचिंग का उद्देश्य क्या है?</v>
      </c>
      <c r="J36" s="8" t="str">
        <f>IFERROR(__xludf.DUMMYFUNCTION("GOOGLETRANSLATE(D36, ""en"", ""hi"")"),"क) प्रतिद्वंद्वी को नियंत्रित करने के लिए, ख) हमलों को रोकने के लिए, ग) ऊर्जा संरक्षण के लिए, घ) जवाबी हमले की तैयारी के लिए")</f>
        <v>क) प्रतिद्वंद्वी को नियंत्रित करने के लिए, ख) हमलों को रोकने के लिए, ग) ऊर्जा संरक्षण के लिए, घ) जवाबी हमले की तैयारी के लिए</v>
      </c>
      <c r="K36" s="8" t="str">
        <f>IFERROR(__xludf.DUMMYFUNCTION("GOOGLETRANSLATE(E36, ""en"", ""hi"")"),"क) प्रतिद्वंद्वी को नियंत्रित करने के लिए, ख) हमलों को रोकने के लिए, ग) ऊर्जा संरक्षण के लिए")</f>
        <v>क) प्रतिद्वंद्वी को नियंत्रित करने के लिए, ख) हमलों को रोकने के लिए, ग) ऊर्जा संरक्षण के लिए</v>
      </c>
    </row>
    <row r="37" ht="22.5" customHeight="1">
      <c r="A37" s="2">
        <v>36.0</v>
      </c>
      <c r="B37" s="3" t="s">
        <v>1389</v>
      </c>
      <c r="C37" s="3" t="s">
        <v>1399</v>
      </c>
      <c r="D37" s="3" t="s">
        <v>1400</v>
      </c>
      <c r="E37" s="3" t="s">
        <v>1401</v>
      </c>
      <c r="G37" s="8" t="str">
        <f>IFERROR(__xludf.DUMMYFUNCTION("GOOGLETRANSLATE(A37, ""en"", ""hi"")"),"36")</f>
        <v>36</v>
      </c>
      <c r="H37" s="8" t="str">
        <f>IFERROR(__xludf.DUMMYFUNCTION("GOOGLETRANSLATE(B37, ""en"", ""hi"")"),"musti_yuddha_9")</f>
        <v>musti_yuddha_9</v>
      </c>
      <c r="I37" s="8" t="str">
        <f>IFERROR(__xludf.DUMMYFUNCTION("GOOGLETRANSLATE(C37, ""en"", ""hi"")"),"चित्र में दिखाए गए खेल में, प्रतिद्वंद्वी से दूरी कम करने के लिए निम्नलिखित में से कौन सी रणनीति का उपयोग किया जाता है?")</f>
        <v>चित्र में दिखाए गए खेल में, प्रतिद्वंद्वी से दूरी कम करने के लिए निम्नलिखित में से कौन सी रणनीति का उपयोग किया जाता है?</v>
      </c>
      <c r="J37" s="8" t="str">
        <f>IFERROR(__xludf.DUMMYFUNCTION("GOOGLETRANSLATE(D37, ""en"", ""hi"")"),"a) अंदर की ओर कदम बढ़ाना, b) झपट्टा मारना, c) आगे की ओर झुकना, d) साइडस्टेपिंग")</f>
        <v>a) अंदर की ओर कदम बढ़ाना, b) झपट्टा मारना, c) आगे की ओर झुकना, d) साइडस्टेपिंग</v>
      </c>
      <c r="K37" s="8" t="str">
        <f>IFERROR(__xludf.DUMMYFUNCTION("GOOGLETRANSLATE(E37, ""en"", ""hi"")"),"क) अंदर कदम रखना, ख) झपटना")</f>
        <v>क) अंदर कदम रखना, ख) झपटना</v>
      </c>
    </row>
    <row r="38" ht="22.5" customHeight="1">
      <c r="A38" s="2">
        <v>37.0</v>
      </c>
      <c r="B38" s="3" t="s">
        <v>1402</v>
      </c>
      <c r="C38" s="3" t="s">
        <v>1403</v>
      </c>
      <c r="D38" s="3" t="s">
        <v>1404</v>
      </c>
      <c r="E38" s="3" t="s">
        <v>1405</v>
      </c>
      <c r="G38" s="8" t="str">
        <f>IFERROR(__xludf.DUMMYFUNCTION("GOOGLETRANSLATE(A38, ""en"", ""hi"")"),"37")</f>
        <v>37</v>
      </c>
      <c r="H38" s="8" t="str">
        <f>IFERROR(__xludf.DUMMYFUNCTION("GOOGLETRANSLATE(B38, ""en"", ""hi"")"),"musti_yuddha_10")</f>
        <v>musti_yuddha_10</v>
      </c>
      <c r="I38" s="8" t="str">
        <f>IFERROR(__xludf.DUMMYFUNCTION("GOOGLETRANSLATE(C38, ""en"", ""hi"")"),"चित्र में दिखाए गए खेल से, तीव्र शारीरिक परिश्रम के दौरान श्वास तकनीक की क्या भूमिका है?")</f>
        <v>चित्र में दिखाए गए खेल से, तीव्र शारीरिक परिश्रम के दौरान श्वास तकनीक की क्या भूमिका है?</v>
      </c>
      <c r="J38" s="8" t="str">
        <f>IFERROR(__xludf.DUMMYFUNCTION("GOOGLETRANSLATE(D38, ""en"", ""hi"")"),"a) हृदय गति को नियंत्रित करना, b) सहनशक्ति में सुधार करना, c) थकान को कम करना, d) ध्यान को बढ़ाना")</f>
        <v>a) हृदय गति को नियंत्रित करना, b) सहनशक्ति में सुधार करना, c) थकान को कम करना, d) ध्यान को बढ़ाना</v>
      </c>
      <c r="K38" s="8" t="str">
        <f>IFERROR(__xludf.DUMMYFUNCTION("GOOGLETRANSLATE(E38, ""en"", ""hi"")"),"क) हृदय गति को नियंत्रित करना, ख) सहनशक्ति में सुधार करना, ग) थकान को कम करना")</f>
        <v>क) हृदय गति को नियंत्रित करना, ख) सहनशक्ति में सुधार करना, ग) थकान को कम करना</v>
      </c>
    </row>
    <row r="39" ht="22.5" customHeight="1">
      <c r="A39" s="2">
        <v>38.0</v>
      </c>
      <c r="B39" s="3" t="s">
        <v>1402</v>
      </c>
      <c r="C39" s="3" t="s">
        <v>1406</v>
      </c>
      <c r="D39" s="3" t="s">
        <v>1407</v>
      </c>
      <c r="E39" s="3" t="s">
        <v>1333</v>
      </c>
      <c r="G39" s="8" t="str">
        <f>IFERROR(__xludf.DUMMYFUNCTION("GOOGLETRANSLATE(A39, ""en"", ""hi"")"),"38")</f>
        <v>38</v>
      </c>
      <c r="H39" s="8" t="str">
        <f>IFERROR(__xludf.DUMMYFUNCTION("GOOGLETRANSLATE(B39, ""en"", ""hi"")"),"musti_yuddha_10")</f>
        <v>musti_yuddha_10</v>
      </c>
      <c r="I39" s="8" t="str">
        <f>IFERROR(__xludf.DUMMYFUNCTION("GOOGLETRANSLATE(C39, ""en"", ""hi"")"),"चित्र में दिखाए गए खेल से, निम्नलिखित में से कौन सा हमला शुरू करने का एक सामान्य तरीका है?")</f>
        <v>चित्र में दिखाए गए खेल से, निम्नलिखित में से कौन सा हमला शुरू करने का एक सामान्य तरीका है?</v>
      </c>
      <c r="J39" s="8" t="str">
        <f>IFERROR(__xludf.DUMMYFUNCTION("GOOGLETRANSLATE(D39, ""en"", ""hi"")"),"a) जैब, b) फ़िंट, c) हुक, d) अपरकट")</f>
        <v>a) जैब, b) फ़िंट, c) हुक, d) अपरकट</v>
      </c>
      <c r="K39" s="8" t="str">
        <f>IFERROR(__xludf.DUMMYFUNCTION("GOOGLETRANSLATE(E39, ""en"", ""hi"")"),"a) जब")</f>
        <v>a) जब</v>
      </c>
    </row>
    <row r="40" ht="22.5" customHeight="1">
      <c r="A40" s="2">
        <v>39.0</v>
      </c>
      <c r="B40" s="3" t="s">
        <v>1402</v>
      </c>
      <c r="C40" s="3" t="s">
        <v>1408</v>
      </c>
      <c r="D40" s="3" t="s">
        <v>1409</v>
      </c>
      <c r="E40" s="3" t="s">
        <v>1410</v>
      </c>
      <c r="G40" s="8" t="str">
        <f>IFERROR(__xludf.DUMMYFUNCTION("GOOGLETRANSLATE(A40, ""en"", ""hi"")"),"39")</f>
        <v>39</v>
      </c>
      <c r="H40" s="8" t="str">
        <f>IFERROR(__xludf.DUMMYFUNCTION("GOOGLETRANSLATE(B40, ""en"", ""hi"")"),"musti_yuddha_10")</f>
        <v>musti_yuddha_10</v>
      </c>
      <c r="I40" s="8" t="str">
        <f>IFERROR(__xludf.DUMMYFUNCTION("GOOGLETRANSLATE(C40, ""en"", ""hi"")"),"चित्र में दिखाए गए खेल से, रक्षात्मक प्रशिक्षण के दौरान प्राथमिक ध्यान किस पर दिया जाता है?")</f>
        <v>चित्र में दिखाए गए खेल से, रक्षात्मक प्रशिक्षण के दौरान प्राथमिक ध्यान किस पर दिया जाता है?</v>
      </c>
      <c r="J40" s="8" t="str">
        <f>IFERROR(__xludf.DUMMYFUNCTION("GOOGLETRANSLATE(D40, ""en"", ""hi"")"),"क) प्रहारों से बचना, ख) प्रभावी ढंग से प्रतिकार करना, ग) संतुलन बनाए रखना, घ) संयमित रहना")</f>
        <v>क) प्रहारों से बचना, ख) प्रभावी ढंग से प्रतिकार करना, ग) संतुलन बनाए रखना, घ) संयमित रहना</v>
      </c>
      <c r="K40" s="8" t="str">
        <f>IFERROR(__xludf.DUMMYFUNCTION("GOOGLETRANSLATE(E40, ""en"", ""hi"")"),"क) हमलों से बचना, ख) प्रभावी ढंग से जवाब देना")</f>
        <v>क) हमलों से बचना, ख) प्रभावी ढंग से जवाब देना</v>
      </c>
    </row>
    <row r="41" ht="22.5" customHeight="1">
      <c r="A41" s="2">
        <v>40.0</v>
      </c>
      <c r="B41" s="3" t="s">
        <v>1402</v>
      </c>
      <c r="C41" s="3" t="s">
        <v>1411</v>
      </c>
      <c r="D41" s="3" t="s">
        <v>1412</v>
      </c>
      <c r="E41" s="3" t="s">
        <v>1413</v>
      </c>
      <c r="G41" s="8" t="str">
        <f>IFERROR(__xludf.DUMMYFUNCTION("GOOGLETRANSLATE(A41, ""en"", ""hi"")"),"40")</f>
        <v>40</v>
      </c>
      <c r="H41" s="8" t="str">
        <f>IFERROR(__xludf.DUMMYFUNCTION("GOOGLETRANSLATE(B41, ""en"", ""hi"")"),"musti_yuddha_10")</f>
        <v>musti_yuddha_10</v>
      </c>
      <c r="I41" s="8" t="str">
        <f>IFERROR(__xludf.DUMMYFUNCTION("GOOGLETRANSLATE(C41, ""en"", ""hi"")"),"चित्र में दिखाए गए खेल से, स्ट्राइक में शक्ति उत्पन्न करने के लिए निम्नलिखित में से कौन सा महत्वपूर्ण है?")</f>
        <v>चित्र में दिखाए गए खेल से, स्ट्राइक में शक्ति उत्पन्न करने के लिए निम्नलिखित में से कौन सा महत्वपूर्ण है?</v>
      </c>
      <c r="J41" s="8" t="str">
        <f>IFERROR(__xludf.DUMMYFUNCTION("GOOGLETRANSLATE(D41, ""en"", ""hi"")"),"a) कूल्हे का घुमाव, b) कोर ताकत, c) पैर ड्राइव, d) हाथ विस्तार")</f>
        <v>a) कूल्हे का घुमाव, b) कोर ताकत, c) पैर ड्राइव, d) हाथ विस्तार</v>
      </c>
      <c r="K41" s="8" t="str">
        <f>IFERROR(__xludf.DUMMYFUNCTION("GOOGLETRANSLATE(E41, ""en"", ""hi"")"),"a) हिप रोटेशन, b) कोर ताकत, c) लेग ड्राइव")</f>
        <v>a) हिप रोटेशन, b) कोर ताकत, c) लेग ड्राइव</v>
      </c>
    </row>
    <row r="42" ht="22.5" customHeight="1">
      <c r="A42" s="2">
        <v>41.0</v>
      </c>
      <c r="B42" s="3" t="s">
        <v>1414</v>
      </c>
      <c r="C42" s="3" t="s">
        <v>1415</v>
      </c>
      <c r="D42" s="3" t="s">
        <v>1416</v>
      </c>
      <c r="E42" s="3" t="s">
        <v>1417</v>
      </c>
      <c r="G42" s="8" t="str">
        <f>IFERROR(__xludf.DUMMYFUNCTION("GOOGLETRANSLATE(A42, ""en"", ""hi"")"),"41")</f>
        <v>41</v>
      </c>
      <c r="H42" s="8" t="str">
        <f>IFERROR(__xludf.DUMMYFUNCTION("GOOGLETRANSLATE(B42, ""en"", ""hi"")"),"musti_yuddha_11")</f>
        <v>musti_yuddha_11</v>
      </c>
      <c r="I42" s="8" t="str">
        <f>IFERROR(__xludf.DUMMYFUNCTION("GOOGLETRANSLATE(C42, ""en"", ""hi"")"),"चित्र में दिखाए गए खेल से, मैच में समय का क्या महत्व है?")</f>
        <v>चित्र में दिखाए गए खेल से, मैच में समय का क्या महत्व है?</v>
      </c>
      <c r="J42" s="8" t="str">
        <f>IFERROR(__xludf.DUMMYFUNCTION("GOOGLETRANSLATE(D42, ""en"", ""hi"")"),"क) प्रभावी प्रहार करने के लिए, ख) जवाबी प्रहारों से बचने के लिए, ग) लय बनाए रखने के लिए, घ) प्रतिद्वंद्वी को समझने के लिए")</f>
        <v>क) प्रभावी प्रहार करने के लिए, ख) जवाबी प्रहारों से बचने के लिए, ग) लय बनाए रखने के लिए, घ) प्रतिद्वंद्वी को समझने के लिए</v>
      </c>
      <c r="K42" s="8" t="str">
        <f>IFERROR(__xludf.DUMMYFUNCTION("GOOGLETRANSLATE(E42, ""en"", ""hi"")"),"क) प्रभावी प्रहार करने के लिए, ख) जवाबी प्रहारों से बचने के लिए")</f>
        <v>क) प्रभावी प्रहार करने के लिए, ख) जवाबी प्रहारों से बचने के लिए</v>
      </c>
    </row>
    <row r="43" ht="22.5" customHeight="1">
      <c r="A43" s="2">
        <v>42.0</v>
      </c>
      <c r="B43" s="3" t="s">
        <v>1414</v>
      </c>
      <c r="C43" s="3" t="s">
        <v>1418</v>
      </c>
      <c r="D43" s="3" t="s">
        <v>1419</v>
      </c>
      <c r="E43" s="3" t="s">
        <v>1420</v>
      </c>
      <c r="G43" s="8" t="str">
        <f>IFERROR(__xludf.DUMMYFUNCTION("GOOGLETRANSLATE(A43, ""en"", ""hi"")"),"42")</f>
        <v>42</v>
      </c>
      <c r="H43" s="8" t="str">
        <f>IFERROR(__xludf.DUMMYFUNCTION("GOOGLETRANSLATE(B43, ""en"", ""hi"")"),"musti_yuddha_11")</f>
        <v>musti_yuddha_11</v>
      </c>
      <c r="I43" s="8" t="str">
        <f>IFERROR(__xludf.DUMMYFUNCTION("GOOGLETRANSLATE(C43, ""en"", ""hi"")"),"चित्र में दिखाए गए खेल से, कोण बनाने के लिए किस प्रकार की गति पर जोर दिया जाता है?")</f>
        <v>चित्र में दिखाए गए खेल से, कोण बनाने के लिए किस प्रकार की गति पर जोर दिया जाता है?</v>
      </c>
      <c r="J43" s="8" t="str">
        <f>IFERROR(__xludf.DUMMYFUNCTION("GOOGLETRANSLATE(D43, ""en"", ""hi"")"),"a) पिवोटिंग, b) साइडस्टेपिंग, c) सर्किलिंग, d) लंजिंग")</f>
        <v>a) पिवोटिंग, b) साइडस्टेपिंग, c) सर्किलिंग, d) लंजिंग</v>
      </c>
      <c r="K43" s="8" t="str">
        <f>IFERROR(__xludf.DUMMYFUNCTION("GOOGLETRANSLATE(E43, ""en"", ""hi"")"),"a) पिवोटिंग, b) साइडस्टेपिंग, c) सर्किलिंग")</f>
        <v>a) पिवोटिंग, b) साइडस्टेपिंग, c) सर्किलिंग</v>
      </c>
    </row>
    <row r="44" ht="22.5" customHeight="1">
      <c r="A44" s="2">
        <v>43.0</v>
      </c>
      <c r="B44" s="3" t="s">
        <v>1414</v>
      </c>
      <c r="C44" s="3" t="s">
        <v>1421</v>
      </c>
      <c r="D44" s="3" t="s">
        <v>1422</v>
      </c>
      <c r="E44" s="3" t="s">
        <v>1423</v>
      </c>
      <c r="G44" s="8" t="str">
        <f>IFERROR(__xludf.DUMMYFUNCTION("GOOGLETRANSLATE(A44, ""en"", ""hi"")"),"43")</f>
        <v>43</v>
      </c>
      <c r="H44" s="8" t="str">
        <f>IFERROR(__xludf.DUMMYFUNCTION("GOOGLETRANSLATE(B44, ""en"", ""hi"")"),"musti_yuddha_11")</f>
        <v>musti_yuddha_11</v>
      </c>
      <c r="I44" s="8" t="str">
        <f>IFERROR(__xludf.DUMMYFUNCTION("GOOGLETRANSLATE(C44, ""en"", ""hi"")"),"चित्र में दिखाए गए खेल से, संयोजनों का अभ्यास करने का प्राथमिक उद्देश्य क्या है?")</f>
        <v>चित्र में दिखाए गए खेल से, संयोजनों का अभ्यास करने का प्राथमिक उद्देश्य क्या है?</v>
      </c>
      <c r="J44" s="8" t="str">
        <f>IFERROR(__xludf.DUMMYFUNCTION("GOOGLETRANSLATE(D44, ""en"", ""hi"")"),"क) प्रतिद्वंद्वी पर भारी पड़ना, ख) प्रतिद्वंद्वी को भ्रमित करना, ग) मौके बनाना, घ) लय बनाना")</f>
        <v>क) प्रतिद्वंद्वी पर भारी पड़ना, ख) प्रतिद्वंद्वी को भ्रमित करना, ग) मौके बनाना, घ) लय बनाना</v>
      </c>
      <c r="K44" s="8" t="str">
        <f>IFERROR(__xludf.DUMMYFUNCTION("GOOGLETRANSLATE(E44, ""en"", ""hi"")"),"क) प्रतिद्वंद्वी पर भारी पड़ना, ख) मौके बनाना")</f>
        <v>क) प्रतिद्वंद्वी पर भारी पड़ना, ख) मौके बनाना</v>
      </c>
    </row>
    <row r="45" ht="22.5" customHeight="1">
      <c r="A45" s="2">
        <v>44.0</v>
      </c>
      <c r="B45" s="3" t="s">
        <v>1414</v>
      </c>
      <c r="C45" s="3" t="s">
        <v>1424</v>
      </c>
      <c r="D45" s="3" t="s">
        <v>1425</v>
      </c>
      <c r="E45" s="3" t="s">
        <v>1426</v>
      </c>
      <c r="G45" s="8" t="str">
        <f>IFERROR(__xludf.DUMMYFUNCTION("GOOGLETRANSLATE(A45, ""en"", ""hi"")"),"44")</f>
        <v>44</v>
      </c>
      <c r="H45" s="8" t="str">
        <f>IFERROR(__xludf.DUMMYFUNCTION("GOOGLETRANSLATE(B45, ""en"", ""hi"")"),"musti_yuddha_11")</f>
        <v>musti_yuddha_11</v>
      </c>
      <c r="I45" s="8" t="str">
        <f>IFERROR(__xludf.DUMMYFUNCTION("GOOGLETRANSLATE(C45, ""en"", ""hi"")"),"चित्र में दिखाए गए खेल में, हुक का मुकाबला करने के लिए आमतौर पर किस तकनीक का उपयोग किया जाता है?")</f>
        <v>चित्र में दिखाए गए खेल में, हुक का मुकाबला करने के लिए आमतौर पर किस तकनीक का उपयोग किया जाता है?</v>
      </c>
      <c r="J45" s="8" t="str">
        <f>IFERROR(__xludf.DUMMYFUNCTION("GOOGLETRANSLATE(D45, ""en"", ""hi"")"),"a) स्लिप, b) डक, c) ब्लॉक, d) पैरी")</f>
        <v>a) स्लिप, b) डक, c) ब्लॉक, d) पैरी</v>
      </c>
      <c r="K45" s="8" t="str">
        <f>IFERROR(__xludf.DUMMYFUNCTION("GOOGLETRANSLATE(E45, ""en"", ""hi"")"),"b) बत्तख, c) ब्लॉक")</f>
        <v>b) बत्तख, c) ब्लॉक</v>
      </c>
    </row>
    <row r="46" ht="22.5" customHeight="1">
      <c r="A46" s="2">
        <v>45.0</v>
      </c>
      <c r="B46" s="3" t="s">
        <v>1427</v>
      </c>
      <c r="C46" s="3" t="s">
        <v>1312</v>
      </c>
      <c r="D46" s="3" t="s">
        <v>1428</v>
      </c>
      <c r="E46" s="3" t="s">
        <v>1429</v>
      </c>
      <c r="G46" s="8" t="str">
        <f>IFERROR(__xludf.DUMMYFUNCTION("GOOGLETRANSLATE(A46, ""en"", ""hi"")"),"45")</f>
        <v>45</v>
      </c>
      <c r="H46" s="8" t="str">
        <f>IFERROR(__xludf.DUMMYFUNCTION("GOOGLETRANSLATE(B46, ""en"", ""hi"")"),"musti_yuddha_12")</f>
        <v>musti_yuddha_12</v>
      </c>
      <c r="I46" s="8" t="str">
        <f>IFERROR(__xludf.DUMMYFUNCTION("GOOGLETRANSLATE(C46, ""en"", ""hi"")"),"चित्र में दिखाए गए खेल से, फुटवर्क अभ्यास का उद्देश्य क्या है?")</f>
        <v>चित्र में दिखाए गए खेल से, फुटवर्क अभ्यास का उद्देश्य क्या है?</v>
      </c>
      <c r="J46" s="8" t="str">
        <f>IFERROR(__xludf.DUMMYFUNCTION("GOOGLETRANSLATE(D46, ""en"", ""hi"")"),"क) गतिशीलता बढ़ाना, ख) संतुलन सुधारना, ग) गति बढ़ाना, घ) शक्ति बढ़ाना")</f>
        <v>क) गतिशीलता बढ़ाना, ख) संतुलन सुधारना, ग) गति बढ़ाना, घ) शक्ति बढ़ाना</v>
      </c>
      <c r="K46" s="8" t="str">
        <f>IFERROR(__xludf.DUMMYFUNCTION("GOOGLETRANSLATE(E46, ""en"", ""hi"")"),"क) गतिशीलता बढ़ाना, ख) संतुलन में सुधार करना")</f>
        <v>क) गतिशीलता बढ़ाना, ख) संतुलन में सुधार करना</v>
      </c>
    </row>
    <row r="47" ht="22.5" customHeight="1">
      <c r="A47" s="2">
        <v>46.0</v>
      </c>
      <c r="B47" s="3" t="s">
        <v>1427</v>
      </c>
      <c r="C47" s="3" t="s">
        <v>1430</v>
      </c>
      <c r="D47" s="3" t="s">
        <v>1431</v>
      </c>
      <c r="E47" s="3" t="s">
        <v>1327</v>
      </c>
      <c r="G47" s="8" t="str">
        <f>IFERROR(__xludf.DUMMYFUNCTION("GOOGLETRANSLATE(A47, ""en"", ""hi"")"),"46")</f>
        <v>46</v>
      </c>
      <c r="H47" s="8" t="str">
        <f>IFERROR(__xludf.DUMMYFUNCTION("GOOGLETRANSLATE(B47, ""en"", ""hi"")"),"musti_yuddha_12")</f>
        <v>musti_yuddha_12</v>
      </c>
      <c r="I47" s="8" t="str">
        <f>IFERROR(__xludf.DUMMYFUNCTION("GOOGLETRANSLATE(C47, ""en"", ""hi"")"),"चित्र में दिखाए गए खेल में से, धीरज बढ़ाने के लिए किस पारंपरिक ड्रिल का उपयोग किया जाता है?")</f>
        <v>चित्र में दिखाए गए खेल में से, धीरज बढ़ाने के लिए किस पारंपरिक ड्रिल का उपयोग किया जाता है?</v>
      </c>
      <c r="J47" s="8" t="str">
        <f>IFERROR(__xludf.DUMMYFUNCTION("GOOGLETRANSLATE(D47, ""en"", ""hi"")"),"a) रस्सी कूदना, b) बैग वर्क, c) पैड वर्क, d) शैडोबॉक्सिंग")</f>
        <v>a) रस्सी कूदना, b) बैग वर्क, c) पैड वर्क, d) शैडोबॉक्सिंग</v>
      </c>
      <c r="K47" s="8" t="str">
        <f>IFERROR(__xludf.DUMMYFUNCTION("GOOGLETRANSLATE(E47, ""en"", ""hi"")"),"a) रस्सी कूदना, d) शैडोबॉक्सिंग")</f>
        <v>a) रस्सी कूदना, d) शैडोबॉक्सिंग</v>
      </c>
    </row>
    <row r="48" ht="22.5" customHeight="1">
      <c r="A48" s="2">
        <v>47.0</v>
      </c>
      <c r="B48" s="3" t="s">
        <v>1427</v>
      </c>
      <c r="C48" s="3" t="s">
        <v>1432</v>
      </c>
      <c r="D48" s="3" t="s">
        <v>1433</v>
      </c>
      <c r="E48" s="3" t="s">
        <v>1434</v>
      </c>
      <c r="G48" s="8" t="str">
        <f>IFERROR(__xludf.DUMMYFUNCTION("GOOGLETRANSLATE(A48, ""en"", ""hi"")"),"47")</f>
        <v>47</v>
      </c>
      <c r="H48" s="8" t="str">
        <f>IFERROR(__xludf.DUMMYFUNCTION("GOOGLETRANSLATE(B48, ""en"", ""hi"")"),"musti_yuddha_12")</f>
        <v>musti_yuddha_12</v>
      </c>
      <c r="I48" s="8" t="str">
        <f>IFERROR(__xludf.DUMMYFUNCTION("GOOGLETRANSLATE(C48, ""en"", ""hi"")"),"चित्र में दिखाए गए खेल से, प्रहार की सटीकता विकसित करने के लिए प्रशिक्षण का कौन सा पहलू आवश्यक है?")</f>
        <v>चित्र में दिखाए गए खेल से, प्रहार की सटीकता विकसित करने के लिए प्रशिक्षण का कौन सा पहलू आवश्यक है?</v>
      </c>
      <c r="J48" s="8" t="str">
        <f>IFERROR(__xludf.DUMMYFUNCTION("GOOGLETRANSLATE(D48, ""en"", ""hi"")"),"a) फोकस मिट वर्क, b) बैग वर्क, c) शैडोबॉक्सिंग, d) स्पैरिंग")</f>
        <v>a) फोकस मिट वर्क, b) बैग वर्क, c) शैडोबॉक्सिंग, d) स्पैरिंग</v>
      </c>
      <c r="K48" s="8" t="str">
        <f>IFERROR(__xludf.DUMMYFUNCTION("GOOGLETRANSLATE(E48, ""en"", ""hi"")"),"a) फोकस मिट कार्य")</f>
        <v>a) फोकस मिट कार्य</v>
      </c>
    </row>
    <row r="49" ht="22.5" customHeight="1">
      <c r="A49" s="2">
        <v>48.0</v>
      </c>
      <c r="B49" s="3" t="s">
        <v>1427</v>
      </c>
      <c r="C49" s="3" t="s">
        <v>1435</v>
      </c>
      <c r="D49" s="3" t="s">
        <v>1436</v>
      </c>
      <c r="E49" s="3" t="s">
        <v>1437</v>
      </c>
      <c r="G49" s="8" t="str">
        <f>IFERROR(__xludf.DUMMYFUNCTION("GOOGLETRANSLATE(A49, ""en"", ""hi"")"),"48")</f>
        <v>48</v>
      </c>
      <c r="H49" s="8" t="str">
        <f>IFERROR(__xludf.DUMMYFUNCTION("GOOGLETRANSLATE(B49, ""en"", ""hi"")"),"musti_yuddha_12")</f>
        <v>musti_yuddha_12</v>
      </c>
      <c r="I49" s="8" t="str">
        <f>IFERROR(__xludf.DUMMYFUNCTION("GOOGLETRANSLATE(C49, ""en"", ""hi"")"),"चित्र में दिखाए गए खेल से, इस खेल में क्रॉस-ट्रेनिंग का प्राथमिक लाभ क्या है?")</f>
        <v>चित्र में दिखाए गए खेल से, इस खेल में क्रॉस-ट्रेनिंग का प्राथमिक लाभ क्या है?</v>
      </c>
      <c r="J49" s="8" t="str">
        <f>IFERROR(__xludf.DUMMYFUNCTION("GOOGLETRANSLATE(D49, ""en"", ""hi"")"),"क) समग्र फिटनेस में सुधार, ख) विशिष्ट कौशल में वृद्धि, ग) चोट के जोखिम को कम करना, घ) मानसिक दृढ़ता में वृद्धि")</f>
        <v>क) समग्र फिटनेस में सुधार, ख) विशिष्ट कौशल में वृद्धि, ग) चोट के जोखिम को कम करना, घ) मानसिक दृढ़ता में वृद्धि</v>
      </c>
      <c r="K49" s="8" t="str">
        <f>IFERROR(__xludf.DUMMYFUNCTION("GOOGLETRANSLATE(E49, ""en"", ""hi"")"),"क) समग्र फिटनेस में सुधार, ख) विशिष्ट कौशल में वृद्धि, ग) चोट के जोखिम को कम करना")</f>
        <v>क) समग्र फिटनेस में सुधार, ख) विशिष्ट कौशल में वृद्धि, ग) चोट के जोखिम को कम करना</v>
      </c>
    </row>
    <row r="50" ht="22.5" customHeight="1">
      <c r="A50" s="2">
        <v>49.0</v>
      </c>
      <c r="B50" s="3" t="s">
        <v>1438</v>
      </c>
      <c r="C50" s="3" t="s">
        <v>1439</v>
      </c>
      <c r="D50" s="3" t="s">
        <v>1440</v>
      </c>
      <c r="E50" s="3" t="s">
        <v>1441</v>
      </c>
      <c r="G50" s="8" t="str">
        <f>IFERROR(__xludf.DUMMYFUNCTION("GOOGLETRANSLATE(A50, ""en"", ""hi"")"),"49")</f>
        <v>49</v>
      </c>
      <c r="H50" s="8" t="str">
        <f>IFERROR(__xludf.DUMMYFUNCTION("GOOGLETRANSLATE(B50, ""en"", ""hi"")"),"musti_yuddha_13")</f>
        <v>musti_yuddha_13</v>
      </c>
      <c r="I50" s="8" t="str">
        <f>IFERROR(__xludf.DUMMYFUNCTION("GOOGLETRANSLATE(C50, ""en"", ""hi"")"),"चित्र में दिखाए गए खेल में से किस प्रकार के प्रहार का प्रयोग प्रायः अंतिम प्रहार के रूप में किया जाता है?")</f>
        <v>चित्र में दिखाए गए खेल में से किस प्रकार के प्रहार का प्रयोग प्रायः अंतिम प्रहार के रूप में किया जाता है?</v>
      </c>
      <c r="J50" s="8" t="str">
        <f>IFERROR(__xludf.DUMMYFUNCTION("GOOGLETRANSLATE(D50, ""en"", ""hi"")"),"a) हुक, b) अपरकट, c) क्रॉस, d) जैब")</f>
        <v>a) हुक, b) अपरकट, c) क्रॉस, d) जैब</v>
      </c>
      <c r="K50" s="8" t="str">
        <f>IFERROR(__xludf.DUMMYFUNCTION("GOOGLETRANSLATE(E50, ""en"", ""hi"")"),"ख) अपरकट")</f>
        <v>ख) अपरकट</v>
      </c>
    </row>
    <row r="51" ht="22.5" customHeight="1">
      <c r="A51" s="2">
        <v>50.0</v>
      </c>
      <c r="B51" s="3" t="s">
        <v>1438</v>
      </c>
      <c r="C51" s="3" t="s">
        <v>1442</v>
      </c>
      <c r="D51" s="3" t="s">
        <v>1443</v>
      </c>
      <c r="E51" s="3" t="s">
        <v>1444</v>
      </c>
      <c r="G51" s="8" t="str">
        <f>IFERROR(__xludf.DUMMYFUNCTION("GOOGLETRANSLATE(A51, ""en"", ""hi"")"),"50")</f>
        <v>50</v>
      </c>
      <c r="H51" s="8" t="str">
        <f>IFERROR(__xludf.DUMMYFUNCTION("GOOGLETRANSLATE(B51, ""en"", ""hi"")"),"musti_yuddha_13")</f>
        <v>musti_yuddha_13</v>
      </c>
      <c r="I51" s="8" t="str">
        <f>IFERROR(__xludf.DUMMYFUNCTION("GOOGLETRANSLATE(C51, ""en"", ""hi"")"),"चित्र में दिखाए गए खेल से, निम्नलिखित में से कौन सा रक्षात्मक मुद्रा बनाए रखने में महत्वपूर्ण कारक है?")</f>
        <v>चित्र में दिखाए गए खेल से, निम्नलिखित में से कौन सा रक्षात्मक मुद्रा बनाए रखने में महत्वपूर्ण कारक है?</v>
      </c>
      <c r="J51" s="8" t="str">
        <f>IFERROR(__xludf.DUMMYFUNCTION("GOOGLETRANSLATE(D51, ""en"", ""hi"")"),"क) गार्ड की स्थिति, ख) पैर की स्थिति, ग) सिर की गति, घ) हाथ का विस्तार")</f>
        <v>क) गार्ड की स्थिति, ख) पैर की स्थिति, ग) सिर की गति, घ) हाथ का विस्तार</v>
      </c>
      <c r="K51" s="8" t="str">
        <f>IFERROR(__xludf.DUMMYFUNCTION("GOOGLETRANSLATE(E51, ""en"", ""hi"")"),"a) गार्ड की स्थिति, b) पैर की स्थिति")</f>
        <v>a) गार्ड की स्थिति, b) पैर की स्थिति</v>
      </c>
    </row>
    <row r="52" ht="22.5" customHeight="1">
      <c r="A52" s="2">
        <v>51.0</v>
      </c>
      <c r="B52" s="3" t="s">
        <v>1438</v>
      </c>
      <c r="C52" s="3" t="s">
        <v>1445</v>
      </c>
      <c r="D52" s="3" t="s">
        <v>1446</v>
      </c>
      <c r="E52" s="3" t="s">
        <v>1447</v>
      </c>
      <c r="G52" s="8" t="str">
        <f>IFERROR(__xludf.DUMMYFUNCTION("GOOGLETRANSLATE(A52, ""en"", ""hi"")"),"51")</f>
        <v>51</v>
      </c>
      <c r="H52" s="8" t="str">
        <f>IFERROR(__xludf.DUMMYFUNCTION("GOOGLETRANSLATE(B52, ""en"", ""hi"")"),"musti_yuddha_13")</f>
        <v>musti_yuddha_13</v>
      </c>
      <c r="I52" s="8" t="str">
        <f>IFERROR(__xludf.DUMMYFUNCTION("GOOGLETRANSLATE(C52, ""en"", ""hi"")"),"चित्र में दिखाए गए खेल में से, प्रतिक्रिया समय में सुधार के लिए निम्नलिखित में से कौन सा अभ्यास सबसे प्रभावी है?")</f>
        <v>चित्र में दिखाए गए खेल में से, प्रतिक्रिया समय में सुधार के लिए निम्नलिखित में से कौन सा अभ्यास सबसे प्रभावी है?</v>
      </c>
      <c r="J52" s="8" t="str">
        <f>IFERROR(__xludf.DUMMYFUNCTION("GOOGLETRANSLATE(D52, ""en"", ""hi"")"),"a) फोकस मिट वर्क, b) रिफ्लेक्स ड्रिल्स, c) स्पीड बैग, d) स्पैरिंग")</f>
        <v>a) फोकस मिट वर्क, b) रिफ्लेक्स ड्रिल्स, c) स्पीड बैग, d) स्पैरिंग</v>
      </c>
      <c r="K52" s="8" t="str">
        <f>IFERROR(__xludf.DUMMYFUNCTION("GOOGLETRANSLATE(E52, ""en"", ""hi"")"),"b) रिफ्लेक्स ड्रिल्स, c) स्पीड बैग")</f>
        <v>b) रिफ्लेक्स ड्रिल्स, c) स्पीड बैग</v>
      </c>
    </row>
    <row r="53" ht="22.5" customHeight="1">
      <c r="A53" s="2">
        <v>52.0</v>
      </c>
      <c r="B53" s="3" t="s">
        <v>1438</v>
      </c>
      <c r="C53" s="3" t="s">
        <v>1448</v>
      </c>
      <c r="D53" s="3" t="s">
        <v>1449</v>
      </c>
      <c r="E53" s="3" t="s">
        <v>1450</v>
      </c>
      <c r="G53" s="8" t="str">
        <f>IFERROR(__xludf.DUMMYFUNCTION("GOOGLETRANSLATE(A53, ""en"", ""hi"")"),"52")</f>
        <v>52</v>
      </c>
      <c r="H53" s="8" t="str">
        <f>IFERROR(__xludf.DUMMYFUNCTION("GOOGLETRANSLATE(B53, ""en"", ""hi"")"),"musti_yuddha_13")</f>
        <v>musti_yuddha_13</v>
      </c>
      <c r="I53" s="8" t="str">
        <f>IFERROR(__xludf.DUMMYFUNCTION("GOOGLETRANSLATE(C53, ""en"", ""hi"")"),"चित्र में दिखाए गए खेल से, प्रतिद्वंद्वी के साथ आँख से संपर्क बनाए रखने का क्या महत्व है?")</f>
        <v>चित्र में दिखाए गए खेल से, प्रतिद्वंद्वी के साथ आँख से संपर्क बनाए रखने का क्या महत्व है?</v>
      </c>
      <c r="J53" s="8" t="str">
        <f>IFERROR(__xludf.DUMMYFUNCTION("GOOGLETRANSLATE(D53, ""en"", ""hi"")"),"क) प्रतिद्वंद्वी के इरादों को पढ़ना, ख) प्रतिद्वंद्वी को डराना, ग) ध्यान केंद्रित रखना, घ) प्रतिद्वंद्वी की गतिविधियों पर नज़र रखना")</f>
        <v>क) प्रतिद्वंद्वी के इरादों को पढ़ना, ख) प्रतिद्वंद्वी को डराना, ग) ध्यान केंद्रित रखना, घ) प्रतिद्वंद्वी की गतिविधियों पर नज़र रखना</v>
      </c>
      <c r="K53" s="8" t="str">
        <f>IFERROR(__xludf.DUMMYFUNCTION("GOOGLETRANSLATE(E53, ""en"", ""hi"")"),"क) प्रतिद्वंद्वी के इरादों को पढ़ना, ग) ध्यान केंद्रित रखना")</f>
        <v>क) प्रतिद्वंद्वी के इरादों को पढ़ना, ग) ध्यान केंद्रित रखना</v>
      </c>
    </row>
    <row r="54" ht="22.5" customHeight="1">
      <c r="A54" s="2">
        <v>53.0</v>
      </c>
      <c r="B54" s="3" t="s">
        <v>1451</v>
      </c>
      <c r="C54" s="3" t="s">
        <v>1452</v>
      </c>
      <c r="D54" s="3" t="s">
        <v>1453</v>
      </c>
      <c r="E54" s="3" t="s">
        <v>1454</v>
      </c>
      <c r="G54" s="8" t="str">
        <f>IFERROR(__xludf.DUMMYFUNCTION("GOOGLETRANSLATE(A54, ""en"", ""hi"")"),"53")</f>
        <v>53</v>
      </c>
      <c r="H54" s="8" t="str">
        <f>IFERROR(__xludf.DUMMYFUNCTION("GOOGLETRANSLATE(B54, ""en"", ""hi"")"),"musti_yuddha_14")</f>
        <v>musti_yuddha_14</v>
      </c>
      <c r="I54" s="8" t="str">
        <f>IFERROR(__xludf.DUMMYFUNCTION("GOOGLETRANSLATE(C54, ""en"", ""hi"")"),"चित्र में दिखाए गए खेल में, प्रतिद्वंद्वी के जैब से बचने के लिए आमतौर पर किस तकनीक का उपयोग किया जाता है?")</f>
        <v>चित्र में दिखाए गए खेल में, प्रतिद्वंद्वी के जैब से बचने के लिए आमतौर पर किस तकनीक का उपयोग किया जाता है?</v>
      </c>
      <c r="J54" s="8" t="str">
        <f>IFERROR(__xludf.DUMMYFUNCTION("GOOGLETRANSLATE(D54, ""en"", ""hi"")"),"a) साइडस्टेप, b) पिवट, c) डक, d) पैरी")</f>
        <v>a) साइडस्टेप, b) पिवट, c) डक, d) पैरी</v>
      </c>
      <c r="K54" s="8" t="str">
        <f>IFERROR(__xludf.DUMMYFUNCTION("GOOGLETRANSLATE(E54, ""en"", ""hi"")"),"a) साइडस्टेप, b) पिवट")</f>
        <v>a) साइडस्टेप, b) पिवट</v>
      </c>
    </row>
    <row r="55" ht="22.5" customHeight="1">
      <c r="A55" s="2">
        <v>54.0</v>
      </c>
      <c r="B55" s="3" t="s">
        <v>1451</v>
      </c>
      <c r="C55" s="3" t="s">
        <v>1455</v>
      </c>
      <c r="D55" s="3" t="s">
        <v>1456</v>
      </c>
      <c r="E55" s="3" t="s">
        <v>1457</v>
      </c>
      <c r="G55" s="8" t="str">
        <f>IFERROR(__xludf.DUMMYFUNCTION("GOOGLETRANSLATE(A55, ""en"", ""hi"")"),"54")</f>
        <v>54</v>
      </c>
      <c r="H55" s="8" t="str">
        <f>IFERROR(__xludf.DUMMYFUNCTION("GOOGLETRANSLATE(B55, ""en"", ""hi"")"),"musti_yuddha_14")</f>
        <v>musti_yuddha_14</v>
      </c>
      <c r="I55" s="8" t="str">
        <f>IFERROR(__xludf.DUMMYFUNCTION("GOOGLETRANSLATE(C55, ""en"", ""hi"")"),"चित्र में दिखाए गए खेल से, आक्रामक विरोधियों का मुकाबला करने के लिए निम्नलिखित में से कौन सी रणनीति प्रभावी है?")</f>
        <v>चित्र में दिखाए गए खेल से, आक्रामक विरोधियों का मुकाबला करने के लिए निम्नलिखित में से कौन सी रणनीति प्रभावी है?</v>
      </c>
      <c r="J55" s="8" t="str">
        <f>IFERROR(__xludf.DUMMYFUNCTION("GOOGLETRANSLATE(D55, ""en"", ""hi"")"),"a) टाइमिंग काउंटर, b) कोणों का उपयोग करना, c) क्लिंचिंग, d) फाइनटिंग")</f>
        <v>a) टाइमिंग काउंटर, b) कोणों का उपयोग करना, c) क्लिंचिंग, d) फाइनटिंग</v>
      </c>
      <c r="K55" s="8" t="str">
        <f>IFERROR(__xludf.DUMMYFUNCTION("GOOGLETRANSLATE(E55, ""en"", ""hi"")"),"a) समय काउंटर, b) कोणों का उपयोग करना")</f>
        <v>a) समय काउंटर, b) कोणों का उपयोग करना</v>
      </c>
    </row>
    <row r="56" ht="22.5" customHeight="1">
      <c r="A56" s="2">
        <v>55.0</v>
      </c>
      <c r="B56" s="3" t="s">
        <v>1451</v>
      </c>
      <c r="C56" s="3" t="s">
        <v>1458</v>
      </c>
      <c r="D56" s="3" t="s">
        <v>1459</v>
      </c>
      <c r="E56" s="3" t="s">
        <v>1460</v>
      </c>
      <c r="G56" s="8" t="str">
        <f>IFERROR(__xludf.DUMMYFUNCTION("GOOGLETRANSLATE(A56, ""en"", ""hi"")"),"55")</f>
        <v>55</v>
      </c>
      <c r="H56" s="8" t="str">
        <f>IFERROR(__xludf.DUMMYFUNCTION("GOOGLETRANSLATE(B56, ""en"", ""hi"")"),"musti_yuddha_14")</f>
        <v>musti_yuddha_14</v>
      </c>
      <c r="I56" s="8" t="str">
        <f>IFERROR(__xludf.DUMMYFUNCTION("GOOGLETRANSLATE(C56, ""en"", ""hi"")"),"चित्र में दिखाए गए खेल से, निम्नलिखित में से कौन सा पारंपरिक प्रशिक्षण में एक प्रमुख सिद्धांत है?")</f>
        <v>चित्र में दिखाए गए खेल से, निम्नलिखित में से कौन सा पारंपरिक प्रशिक्षण में एक प्रमुख सिद्धांत है?</v>
      </c>
      <c r="J56" s="8" t="str">
        <f>IFERROR(__xludf.DUMMYFUNCTION("GOOGLETRANSLATE(D56, ""en"", ""hi"")"),"क) अनुशासन, ख) सम्मान, ग) विनम्रता, घ) आक्रामकता")</f>
        <v>क) अनुशासन, ख) सम्मान, ग) विनम्रता, घ) आक्रामकता</v>
      </c>
      <c r="K56" s="8" t="str">
        <f>IFERROR(__xludf.DUMMYFUNCTION("GOOGLETRANSLATE(E56, ""en"", ""hi"")"),"क) अनुशासन, ख) सम्मान, ग) विनम्रता")</f>
        <v>क) अनुशासन, ख) सम्मान, ग) विनम्रता</v>
      </c>
    </row>
    <row r="57" ht="22.5" customHeight="1">
      <c r="A57" s="2">
        <v>56.0</v>
      </c>
      <c r="B57" s="3" t="s">
        <v>1451</v>
      </c>
      <c r="C57" s="3" t="s">
        <v>1461</v>
      </c>
      <c r="D57" s="3" t="s">
        <v>1462</v>
      </c>
      <c r="E57" s="3" t="s">
        <v>1463</v>
      </c>
      <c r="G57" s="8" t="str">
        <f>IFERROR(__xludf.DUMMYFUNCTION("GOOGLETRANSLATE(A57, ""en"", ""hi"")"),"56")</f>
        <v>56</v>
      </c>
      <c r="H57" s="8" t="str">
        <f>IFERROR(__xludf.DUMMYFUNCTION("GOOGLETRANSLATE(B57, ""en"", ""hi"")"),"musti_yuddha_14")</f>
        <v>musti_yuddha_14</v>
      </c>
      <c r="I57" s="8" t="str">
        <f>IFERROR(__xludf.DUMMYFUNCTION("GOOGLETRANSLATE(C57, ""en"", ""hi"")"),"चित्र में दिखाए गए खेल में, निम्नलिखित में से कौन सी तकनीक चूक गए प्रहार के बाद शीघ्रता से उबरने के लिए आवश्यक है?")</f>
        <v>चित्र में दिखाए गए खेल में, निम्नलिखित में से कौन सी तकनीक चूक गए प्रहार के बाद शीघ्रता से उबरने के लिए आवश्यक है?</v>
      </c>
      <c r="J57" s="8" t="str">
        <f>IFERROR(__xludf.DUMMYFUNCTION("GOOGLETRANSLATE(D57, ""en"", ""hi"")"),"क) संतुलन बनाए रखना, ख) त्वरित फुटवर्क, ग) गार्ड रिकवरी, घ) तुरंत जवाबी कार्रवाई")</f>
        <v>क) संतुलन बनाए रखना, ख) त्वरित फुटवर्क, ग) गार्ड रिकवरी, घ) तुरंत जवाबी कार्रवाई</v>
      </c>
      <c r="K57" s="8" t="str">
        <f>IFERROR(__xludf.DUMMYFUNCTION("GOOGLETRANSLATE(E57, ""en"", ""hi"")"),"क) संतुलन बनाए रखना, ख) त्वरित फुटवर्क")</f>
        <v>क) संतुलन बनाए रखना, ख) त्वरित फुटवर्क</v>
      </c>
    </row>
    <row r="58" ht="22.5" customHeight="1">
      <c r="A58" s="2">
        <v>57.0</v>
      </c>
      <c r="B58" s="3" t="s">
        <v>1464</v>
      </c>
      <c r="C58" s="3" t="s">
        <v>1465</v>
      </c>
      <c r="D58" s="3" t="s">
        <v>1466</v>
      </c>
      <c r="E58" s="3" t="s">
        <v>1467</v>
      </c>
      <c r="G58" s="8" t="str">
        <f>IFERROR(__xludf.DUMMYFUNCTION("GOOGLETRANSLATE(A58, ""en"", ""hi"")"),"57")</f>
        <v>57</v>
      </c>
      <c r="H58" s="8" t="str">
        <f>IFERROR(__xludf.DUMMYFUNCTION("GOOGLETRANSLATE(B58, ""en"", ""hi"")"),"musti_yuddha_15")</f>
        <v>musti_yuddha_15</v>
      </c>
      <c r="I58" s="8" t="str">
        <f>IFERROR(__xludf.DUMMYFUNCTION("GOOGLETRANSLATE(C58, ""en"", ""hi"")"),"चित्र में दिखाए गए खेल में से, शक्ति प्रशिक्षण के दौरान निम्नलिखित में से किस पर जोर दिया जाता है?")</f>
        <v>चित्र में दिखाए गए खेल में से, शक्ति प्रशिक्षण के दौरान निम्नलिखित में से किस पर जोर दिया जाता है?</v>
      </c>
      <c r="J58" s="8" t="str">
        <f>IFERROR(__xludf.DUMMYFUNCTION("GOOGLETRANSLATE(D58, ""en"", ""hi"")"),"a) कोर स्थिरता, b) पैर की ताकत, c) कंधे की सहनशक्ति, d) कलाई का लचीलापन")</f>
        <v>a) कोर स्थिरता, b) पैर की ताकत, c) कंधे की सहनशक्ति, d) कलाई का लचीलापन</v>
      </c>
      <c r="K58" s="8" t="str">
        <f>IFERROR(__xludf.DUMMYFUNCTION("GOOGLETRANSLATE(E58, ""en"", ""hi"")"),"a) कोर स्थिरता, b) पैर की ताकत")</f>
        <v>a) कोर स्थिरता, b) पैर की ताकत</v>
      </c>
    </row>
    <row r="59" ht="22.5" customHeight="1">
      <c r="A59" s="2">
        <v>58.0</v>
      </c>
      <c r="B59" s="3" t="s">
        <v>1464</v>
      </c>
      <c r="C59" s="3" t="s">
        <v>1468</v>
      </c>
      <c r="D59" s="3" t="s">
        <v>1469</v>
      </c>
      <c r="E59" s="3" t="s">
        <v>1470</v>
      </c>
      <c r="G59" s="8" t="str">
        <f>IFERROR(__xludf.DUMMYFUNCTION("GOOGLETRANSLATE(A59, ""en"", ""hi"")"),"58")</f>
        <v>58</v>
      </c>
      <c r="H59" s="8" t="str">
        <f>IFERROR(__xludf.DUMMYFUNCTION("GOOGLETRANSLATE(B59, ""en"", ""hi"")"),"musti_yuddha_15")</f>
        <v>musti_yuddha_15</v>
      </c>
      <c r="I59" s="8" t="str">
        <f>IFERROR(__xludf.DUMMYFUNCTION("GOOGLETRANSLATE(C59, ""en"", ""hi"")"),"चित्र में दिखाए गए खेल से, शैडोबॉक्सिंग का मुख्य लाभ क्या है?")</f>
        <v>चित्र में दिखाए गए खेल से, शैडोबॉक्सिंग का मुख्य लाभ क्या है?</v>
      </c>
      <c r="J59" s="8" t="str">
        <f>IFERROR(__xludf.DUMMYFUNCTION("GOOGLETRANSLATE(D59, ""en"", ""hi"")"),"a) तकनीक में सुधार, b) सहनशक्ति का निर्माण, c) गति में वृद्धि, d) मानसिक एकाग्रता में वृद्धि")</f>
        <v>a) तकनीक में सुधार, b) सहनशक्ति का निर्माण, c) गति में वृद्धि, d) मानसिक एकाग्रता में वृद्धि</v>
      </c>
      <c r="K59" s="8" t="str">
        <f>IFERROR(__xludf.DUMMYFUNCTION("GOOGLETRANSLATE(E59, ""en"", ""hi"")"),"a) तकनीक में सुधार, c) गति में वृद्धि")</f>
        <v>a) तकनीक में सुधार, c) गति में वृद्धि</v>
      </c>
    </row>
    <row r="60" ht="22.5" customHeight="1">
      <c r="A60" s="2">
        <v>59.0</v>
      </c>
      <c r="B60" s="3" t="s">
        <v>1464</v>
      </c>
      <c r="C60" s="3" t="s">
        <v>1471</v>
      </c>
      <c r="D60" s="3" t="s">
        <v>1472</v>
      </c>
      <c r="E60" s="3" t="s">
        <v>1473</v>
      </c>
      <c r="G60" s="8" t="str">
        <f>IFERROR(__xludf.DUMMYFUNCTION("GOOGLETRANSLATE(A60, ""en"", ""hi"")"),"59")</f>
        <v>59</v>
      </c>
      <c r="H60" s="8" t="str">
        <f>IFERROR(__xludf.DUMMYFUNCTION("GOOGLETRANSLATE(B60, ""en"", ""hi"")"),"musti_yuddha_15")</f>
        <v>musti_yuddha_15</v>
      </c>
      <c r="I60" s="8" t="str">
        <f>IFERROR(__xludf.DUMMYFUNCTION("GOOGLETRANSLATE(C60, ""en"", ""hi"")"),"चित्र में दिखाए गए खेल से, नॉकआउट पंच स्थापित करने के लिए निम्नलिखित में से कौन सी एक सामान्य रणनीति है?")</f>
        <v>चित्र में दिखाए गए खेल से, नॉकआउट पंच स्थापित करने के लिए निम्नलिखित में से कौन सी एक सामान्य रणनीति है?</v>
      </c>
      <c r="J60" s="8" t="str">
        <f>IFERROR(__xludf.DUMMYFUNCTION("GOOGLETRANSLATE(D60, ""en"", ""hi"")"),"a) फाइनटिंग, b) बॉडी शॉट्स, c) एंगलिंग आउट, d) संयोजनों का उपयोग करना")</f>
        <v>a) फाइनटिंग, b) बॉडी शॉट्स, c) एंगलिंग आउट, d) संयोजनों का उपयोग करना</v>
      </c>
      <c r="K60" s="8" t="str">
        <f>IFERROR(__xludf.DUMMYFUNCTION("GOOGLETRANSLATE(E60, ""en"", ""hi"")"),"क) छल-कपट, ख) शरीर पर वार, घ) संयोजनों का प्रयोग")</f>
        <v>क) छल-कपट, ख) शरीर पर वार, घ) संयोजनों का प्रयोग</v>
      </c>
    </row>
    <row r="61" ht="22.5" customHeight="1">
      <c r="A61" s="2">
        <v>60.0</v>
      </c>
      <c r="B61" s="3" t="s">
        <v>1464</v>
      </c>
      <c r="C61" s="3" t="s">
        <v>1474</v>
      </c>
      <c r="D61" s="3" t="s">
        <v>1475</v>
      </c>
      <c r="E61" s="3" t="s">
        <v>1476</v>
      </c>
      <c r="G61" s="8" t="str">
        <f>IFERROR(__xludf.DUMMYFUNCTION("GOOGLETRANSLATE(A61, ""en"", ""hi"")"),"60")</f>
        <v>60</v>
      </c>
      <c r="H61" s="8" t="str">
        <f>IFERROR(__xludf.DUMMYFUNCTION("GOOGLETRANSLATE(B61, ""en"", ""hi"")"),"musti_yuddha_15")</f>
        <v>musti_yuddha_15</v>
      </c>
      <c r="I61" s="8" t="str">
        <f>IFERROR(__xludf.DUMMYFUNCTION("GOOGLETRANSLATE(C61, ""en"", ""hi"")"),"चित्र में दिखाए गए खेल में से, निम्नलिखित में से कौन सा हाथ की ताकत बढ़ाने का पारंपरिक तरीका है?")</f>
        <v>चित्र में दिखाए गए खेल में से, निम्नलिखित में से कौन सा हाथ की ताकत बढ़ाने का पारंपरिक तरीका है?</v>
      </c>
      <c r="J61" s="8" t="str">
        <f>IFERROR(__xludf.DUMMYFUNCTION("GOOGLETRANSLATE(D61, ""en"", ""hi"")"),"a) पकड़ व्यायाम, b) उंगली पुश-अप, c) कलाई कर्ल, d) स्लेजहैमर प्रशिक्षण")</f>
        <v>a) पकड़ व्यायाम, b) उंगली पुश-अप, c) कलाई कर्ल, d) स्लेजहैमर प्रशिक्षण</v>
      </c>
      <c r="K61" s="8" t="str">
        <f>IFERROR(__xludf.DUMMYFUNCTION("GOOGLETRANSLATE(E61, ""en"", ""hi"")"),"a) पकड़ अभ्यास, b) उंगली पुश-अप, d) स्लेजहैमर प्रशिक्षण")</f>
        <v>a) पकड़ अभ्यास, b) उंगली पुश-अप, d) स्लेजहैमर प्रशिक्षण</v>
      </c>
    </row>
    <row r="62" ht="22.5" customHeight="1">
      <c r="A62" s="2">
        <v>61.0</v>
      </c>
      <c r="B62" s="3" t="s">
        <v>1477</v>
      </c>
      <c r="C62" s="3" t="s">
        <v>1478</v>
      </c>
      <c r="D62" s="3" t="s">
        <v>1479</v>
      </c>
      <c r="E62" s="3" t="s">
        <v>1480</v>
      </c>
      <c r="G62" s="8" t="str">
        <f>IFERROR(__xludf.DUMMYFUNCTION("GOOGLETRANSLATE(A62, ""en"", ""hi"")"),"61")</f>
        <v>61</v>
      </c>
      <c r="H62" s="8" t="str">
        <f>IFERROR(__xludf.DUMMYFUNCTION("GOOGLETRANSLATE(B62, ""en"", ""hi"")"),"musti_yuddha_16")</f>
        <v>musti_yuddha_16</v>
      </c>
      <c r="I62" s="8" t="str">
        <f>IFERROR(__xludf.DUMMYFUNCTION("GOOGLETRANSLATE(C62, ""en"", ""hi"")"),"चित्र में दिखाए गए खेल के अनुसार, मैच के दौरान लय बनाए रखने के लिए निम्नलिखित में से कौन सा महत्वपूर्ण है?")</f>
        <v>चित्र में दिखाए गए खेल के अनुसार, मैच के दौरान लय बनाए रखने के लिए निम्नलिखित में से कौन सा महत्वपूर्ण है?</v>
      </c>
      <c r="J62" s="8" t="str">
        <f>IFERROR(__xludf.DUMMYFUNCTION("GOOGLETRANSLATE(D62, ""en"", ""hi"")"),"क) पैरों की गति, ख) श्वास, ग) समय, घ) धैर्य")</f>
        <v>क) पैरों की गति, ख) श्वास, ग) समय, घ) धैर्य</v>
      </c>
      <c r="K62" s="8" t="str">
        <f>IFERROR(__xludf.DUMMYFUNCTION("GOOGLETRANSLATE(E62, ""en"", ""hi"")"),"क) फुटवर्क, ख) टाइमिंग")</f>
        <v>क) फुटवर्क, ख) टाइमिंग</v>
      </c>
    </row>
    <row r="63" ht="22.5" customHeight="1">
      <c r="A63" s="2">
        <v>62.0</v>
      </c>
      <c r="B63" s="3" t="s">
        <v>1477</v>
      </c>
      <c r="C63" s="3" t="s">
        <v>1481</v>
      </c>
      <c r="D63" s="3" t="s">
        <v>1482</v>
      </c>
      <c r="E63" s="3" t="s">
        <v>1483</v>
      </c>
      <c r="G63" s="8" t="str">
        <f>IFERROR(__xludf.DUMMYFUNCTION("GOOGLETRANSLATE(A63, ""en"", ""hi"")"),"62")</f>
        <v>62</v>
      </c>
      <c r="H63" s="8" t="str">
        <f>IFERROR(__xludf.DUMMYFUNCTION("GOOGLETRANSLATE(B63, ""en"", ""hi"")"),"musti_yuddha_16")</f>
        <v>musti_yuddha_16</v>
      </c>
      <c r="I63" s="8" t="str">
        <f>IFERROR(__xludf.DUMMYFUNCTION("GOOGLETRANSLATE(C63, ""en"", ""hi"")"),"चित्र में दिखाए गए खेल से, रक्षात्मक अभ्यास का उद्देश्य क्या है?")</f>
        <v>चित्र में दिखाए गए खेल से, रक्षात्मक अभ्यास का उद्देश्य क्या है?</v>
      </c>
      <c r="J63" s="8" t="str">
        <f>IFERROR(__xludf.DUMMYFUNCTION("GOOGLETRANSLATE(D63, ""en"", ""hi"")"),"क) प्रतिक्रिया समय में सुधार, ख) प्रभावी ढंग से जवाब देना सीखना, ग) आत्मविश्वास का निर्माण, घ) हमलों के प्रभाव को कम करना")</f>
        <v>क) प्रतिक्रिया समय में सुधार, ख) प्रभावी ढंग से जवाब देना सीखना, ग) आत्मविश्वास का निर्माण, घ) हमलों के प्रभाव को कम करना</v>
      </c>
      <c r="K63" s="8" t="str">
        <f>IFERROR(__xludf.DUMMYFUNCTION("GOOGLETRANSLATE(E63, ""en"", ""hi"")"),"क) प्रतिक्रिया समय में सुधार, ख) प्रभावी ढंग से मुकाबला करना सीखना")</f>
        <v>क) प्रतिक्रिया समय में सुधार, ख) प्रभावी ढंग से मुकाबला करना सीखना</v>
      </c>
    </row>
    <row r="64" ht="22.5" customHeight="1">
      <c r="A64" s="2">
        <v>63.0</v>
      </c>
      <c r="B64" s="3" t="s">
        <v>1477</v>
      </c>
      <c r="C64" s="3" t="s">
        <v>1484</v>
      </c>
      <c r="D64" s="3" t="s">
        <v>1485</v>
      </c>
      <c r="E64" s="3" t="s">
        <v>1486</v>
      </c>
      <c r="G64" s="8" t="str">
        <f>IFERROR(__xludf.DUMMYFUNCTION("GOOGLETRANSLATE(A64, ""en"", ""hi"")"),"63")</f>
        <v>63</v>
      </c>
      <c r="H64" s="8" t="str">
        <f>IFERROR(__xludf.DUMMYFUNCTION("GOOGLETRANSLATE(B64, ""en"", ""hi"")"),"musti_yuddha_16")</f>
        <v>musti_yuddha_16</v>
      </c>
      <c r="I64" s="8" t="str">
        <f>IFERROR(__xludf.DUMMYFUNCTION("GOOGLETRANSLATE(C64, ""en"", ""hi"")"),"चित्र में दिखाए गए खेल में, प्रतिद्वंद्वी की लय को बाधित करने के लिए मुख्य रूप से किस तकनीक का उपयोग किया जाता है?")</f>
        <v>चित्र में दिखाए गए खेल में, प्रतिद्वंद्वी की लय को बाधित करने के लिए मुख्य रूप से किस तकनीक का उपयोग किया जाता है?</v>
      </c>
      <c r="J64" s="8" t="str">
        <f>IFERROR(__xludf.DUMMYFUNCTION("GOOGLETRANSLATE(D64, ""en"", ""hi"")"),"a) फाइनटिंग, b) क्लिंचिंग, c) काउंटरिंग, d) लेवल बदलना")</f>
        <v>a) फाइनटिंग, b) क्लिंचिंग, c) काउंटरिंग, d) लेवल बदलना</v>
      </c>
      <c r="K64" s="8" t="str">
        <f>IFERROR(__xludf.DUMMYFUNCTION("GOOGLETRANSLATE(E64, ""en"", ""hi"")"),"a) छल करना, d) स्तर बदलना")</f>
        <v>a) छल करना, d) स्तर बदलना</v>
      </c>
    </row>
    <row r="65" ht="22.5" customHeight="1">
      <c r="A65" s="2">
        <v>64.0</v>
      </c>
      <c r="B65" s="3" t="s">
        <v>1477</v>
      </c>
      <c r="C65" s="3" t="s">
        <v>1487</v>
      </c>
      <c r="D65" s="3" t="s">
        <v>1488</v>
      </c>
      <c r="E65" s="3" t="s">
        <v>1489</v>
      </c>
      <c r="G65" s="8" t="str">
        <f>IFERROR(__xludf.DUMMYFUNCTION("GOOGLETRANSLATE(A65, ""en"", ""hi"")"),"64")</f>
        <v>64</v>
      </c>
      <c r="H65" s="8" t="str">
        <f>IFERROR(__xludf.DUMMYFUNCTION("GOOGLETRANSLATE(B65, ""en"", ""hi"")"),"musti_yuddha_16")</f>
        <v>musti_yuddha_16</v>
      </c>
      <c r="I65" s="8" t="str">
        <f>IFERROR(__xludf.DUMMYFUNCTION("GOOGLETRANSLATE(C65, ""en"", ""hi"")"),"चित्र में दिखाए गए खेल में से, निम्नलिखित में से कौन सा प्रभाव के लिए शरीर को तैयार करने का पारंपरिक तरीका है?")</f>
        <v>चित्र में दिखाए गए खेल में से, निम्नलिखित में से कौन सा प्रभाव के लिए शरीर को तैयार करने का पारंपरिक तरीका है?</v>
      </c>
      <c r="J65" s="8" t="str">
        <f>IFERROR(__xludf.DUMMYFUNCTION("GOOGLETRANSLATE(D65, ""en"", ""hi"")"),"a) बैग वर्क, b) स्पैरिंग, c) मेडिसिन बॉल थ्रो, d) बॉडी कंडीशनिंग ड्रिल")</f>
        <v>a) बैग वर्क, b) स्पैरिंग, c) मेडिसिन बॉल थ्रो, d) बॉडी कंडीशनिंग ड्रिल</v>
      </c>
      <c r="K65" s="8" t="str">
        <f>IFERROR(__xludf.DUMMYFUNCTION("GOOGLETRANSLATE(E65, ""en"", ""hi"")"),"c) मेडिसिन बॉल थ्रो, d) बॉडी कंडीशनिंग ड्रिल")</f>
        <v>c) मेडिसिन बॉल थ्रो, d) बॉडी कंडीशनिंग ड्रिल</v>
      </c>
    </row>
    <row r="66" ht="22.5" customHeight="1">
      <c r="A66" s="2">
        <v>65.0</v>
      </c>
      <c r="B66" s="3" t="s">
        <v>1490</v>
      </c>
      <c r="C66" s="3" t="s">
        <v>1491</v>
      </c>
      <c r="D66" s="3" t="s">
        <v>1492</v>
      </c>
      <c r="E66" s="3" t="s">
        <v>1493</v>
      </c>
      <c r="G66" s="8" t="str">
        <f>IFERROR(__xludf.DUMMYFUNCTION("GOOGLETRANSLATE(A66, ""en"", ""hi"")"),"65")</f>
        <v>65</v>
      </c>
      <c r="H66" s="8" t="str">
        <f>IFERROR(__xludf.DUMMYFUNCTION("GOOGLETRANSLATE(B66, ""en"", ""hi"")"),"musti_yuddha_17")</f>
        <v>musti_yuddha_17</v>
      </c>
      <c r="I66" s="8" t="str">
        <f>IFERROR(__xludf.DUMMYFUNCTION("GOOGLETRANSLATE(C66, ""en"", ""hi"")"),"चित्र में दिखाए गए खेल से, प्रहार करते समय उचित पैर की स्थिति का क्या महत्व है?")</f>
        <v>चित्र में दिखाए गए खेल से, प्रहार करते समय उचित पैर की स्थिति का क्या महत्व है?</v>
      </c>
      <c r="J66" s="8" t="str">
        <f>IFERROR(__xludf.DUMMYFUNCTION("GOOGLETRANSLATE(D66, ""en"", ""hi"")"),"क) शक्ति उत्पन्न करना, ख) संतुलन बनाए रखना, ग) कोण बनाना, घ) चोट के जोखिम को कम करना")</f>
        <v>क) शक्ति उत्पन्न करना, ख) संतुलन बनाए रखना, ग) कोण बनाना, घ) चोट के जोखिम को कम करना</v>
      </c>
      <c r="K66" s="8" t="str">
        <f>IFERROR(__xludf.DUMMYFUNCTION("GOOGLETRANSLATE(E66, ""en"", ""hi"")"),"क) शक्ति उत्पन्न करना, ख) संतुलन बनाए रखना, घ) चोट के जोखिम को कम करना")</f>
        <v>क) शक्ति उत्पन्न करना, ख) संतुलन बनाए रखना, घ) चोट के जोखिम को कम करना</v>
      </c>
    </row>
    <row r="67" ht="22.5" customHeight="1">
      <c r="A67" s="2">
        <v>66.0</v>
      </c>
      <c r="B67" s="3" t="s">
        <v>1490</v>
      </c>
      <c r="C67" s="3" t="s">
        <v>1494</v>
      </c>
      <c r="D67" s="3" t="s">
        <v>1495</v>
      </c>
      <c r="E67" s="3" t="s">
        <v>1496</v>
      </c>
      <c r="G67" s="8" t="str">
        <f>IFERROR(__xludf.DUMMYFUNCTION("GOOGLETRANSLATE(A67, ""en"", ""hi"")"),"66")</f>
        <v>66</v>
      </c>
      <c r="H67" s="8" t="str">
        <f>IFERROR(__xludf.DUMMYFUNCTION("GOOGLETRANSLATE(B67, ""en"", ""hi"")"),"musti_yuddha_17")</f>
        <v>musti_yuddha_17</v>
      </c>
      <c r="I67" s="8" t="str">
        <f>IFERROR(__xludf.DUMMYFUNCTION("GOOGLETRANSLATE(C67, ""en"", ""hi"")"),"चित्र में दिखाए गए खेल में से, हाथ की गति सुधारने के लिए निम्नलिखित में से कौन सा अभ्यास सर्वोत्तम है?")</f>
        <v>चित्र में दिखाए गए खेल में से, हाथ की गति सुधारने के लिए निम्नलिखित में से कौन सा अभ्यास सर्वोत्तम है?</v>
      </c>
      <c r="J67" s="8" t="str">
        <f>IFERROR(__xludf.DUMMYFUNCTION("GOOGLETRANSLATE(D67, ""en"", ""hi"")"),"a) स्पीड बैग, b) फोकस मिट वर्क, c) शैडोबॉक्सिंग, d) रिफ्लेक्स ड्रिल्स")</f>
        <v>a) स्पीड बैग, b) फोकस मिट वर्क, c) शैडोबॉक्सिंग, d) रिफ्लेक्स ड्रिल्स</v>
      </c>
      <c r="K67" s="8" t="str">
        <f>IFERROR(__xludf.DUMMYFUNCTION("GOOGLETRANSLATE(E67, ""en"", ""hi"")"),"a) स्पीड बैग, c) शैडोबॉक्सिंग")</f>
        <v>a) स्पीड बैग, c) शैडोबॉक्सिंग</v>
      </c>
    </row>
    <row r="68" ht="22.5" customHeight="1">
      <c r="A68" s="2">
        <v>67.0</v>
      </c>
      <c r="B68" s="3" t="s">
        <v>1490</v>
      </c>
      <c r="C68" s="3" t="s">
        <v>1497</v>
      </c>
      <c r="D68" s="3" t="s">
        <v>1498</v>
      </c>
      <c r="E68" s="3" t="s">
        <v>1499</v>
      </c>
      <c r="G68" s="8" t="str">
        <f>IFERROR(__xludf.DUMMYFUNCTION("GOOGLETRANSLATE(A68, ""en"", ""hi"")"),"67")</f>
        <v>67</v>
      </c>
      <c r="H68" s="8" t="str">
        <f>IFERROR(__xludf.DUMMYFUNCTION("GOOGLETRANSLATE(B68, ""en"", ""hi"")"),"musti_yuddha_17")</f>
        <v>musti_yuddha_17</v>
      </c>
      <c r="I68" s="8" t="str">
        <f>IFERROR(__xludf.DUMMYFUNCTION("GOOGLETRANSLATE(C68, ""en"", ""hi"")"),"चित्र में दिखाए गए खेल के अनुसार, निम्न रुख बनाए रखने का प्राथमिक उद्देश्य क्या है?")</f>
        <v>चित्र में दिखाए गए खेल के अनुसार, निम्न रुख बनाए रखने का प्राथमिक उद्देश्य क्या है?</v>
      </c>
      <c r="J68" s="8" t="str">
        <f>IFERROR(__xludf.DUMMYFUNCTION("GOOGLETRANSLATE(D68, ""en"", ""hi"")"),"क) संतुलन बढ़ाना, ख) गतिशीलता बढ़ाना, ग) शक्ति उत्पादन में सुधार करना, घ) प्रतिद्वंद्वी के प्रहार कोण को कम करना")</f>
        <v>क) संतुलन बढ़ाना, ख) गतिशीलता बढ़ाना, ग) शक्ति उत्पादन में सुधार करना, घ) प्रतिद्वंद्वी के प्रहार कोण को कम करना</v>
      </c>
      <c r="K68" s="8" t="str">
        <f>IFERROR(__xludf.DUMMYFUNCTION("GOOGLETRANSLATE(E68, ""en"", ""hi"")"),"क) संतुलन बढ़ाना, ग) बिजली उत्पादन में सुधार करना")</f>
        <v>क) संतुलन बढ़ाना, ग) बिजली उत्पादन में सुधार करना</v>
      </c>
    </row>
    <row r="69" ht="22.5" customHeight="1">
      <c r="A69" s="2">
        <v>68.0</v>
      </c>
      <c r="B69" s="3" t="s">
        <v>1490</v>
      </c>
      <c r="C69" s="3" t="s">
        <v>1500</v>
      </c>
      <c r="D69" s="3" t="s">
        <v>1501</v>
      </c>
      <c r="E69" s="3" t="s">
        <v>1502</v>
      </c>
      <c r="G69" s="8" t="str">
        <f>IFERROR(__xludf.DUMMYFUNCTION("GOOGLETRANSLATE(A69, ""en"", ""hi"")"),"68")</f>
        <v>68</v>
      </c>
      <c r="H69" s="8" t="str">
        <f>IFERROR(__xludf.DUMMYFUNCTION("GOOGLETRANSLATE(B69, ""en"", ""hi"")"),"musti_yuddha_17")</f>
        <v>musti_yuddha_17</v>
      </c>
      <c r="I69" s="8" t="str">
        <f>IFERROR(__xludf.DUMMYFUNCTION("GOOGLETRANSLATE(C69, ""en"", ""hi"")"),"चित्र में दिखाए गए खेल में से, सीधे मुक्के से बचने के लिए निम्नलिखित में से कौन सा खेल सबसे प्रभावी है?")</f>
        <v>चित्र में दिखाए गए खेल में से, सीधे मुक्के से बचने के लिए निम्नलिखित में से कौन सा खेल सबसे प्रभावी है?</v>
      </c>
      <c r="J69" s="8" t="str">
        <f>IFERROR(__xludf.DUMMYFUNCTION("GOOGLETRANSLATE(D69, ""en"", ""hi"")"),"a) फिसलना, b) उछलना, c) बुनाई, d) डकिंग")</f>
        <v>a) फिसलना, b) उछलना, c) बुनाई, d) डकिंग</v>
      </c>
      <c r="K69" s="8" t="str">
        <f>IFERROR(__xludf.DUMMYFUNCTION("GOOGLETRANSLATE(E69, ""en"", ""hi"")"),"a) फिसलन, c) बुनाई")</f>
        <v>a) फिसलन, c) बुनाई</v>
      </c>
    </row>
    <row r="70" ht="22.5" customHeight="1">
      <c r="A70" s="2">
        <v>69.0</v>
      </c>
      <c r="B70" s="3" t="s">
        <v>1503</v>
      </c>
      <c r="C70" s="3" t="s">
        <v>1504</v>
      </c>
      <c r="D70" s="3" t="s">
        <v>1505</v>
      </c>
      <c r="E70" s="3" t="s">
        <v>1506</v>
      </c>
      <c r="G70" s="8" t="str">
        <f>IFERROR(__xludf.DUMMYFUNCTION("GOOGLETRANSLATE(A70, ""en"", ""hi"")"),"69")</f>
        <v>69</v>
      </c>
      <c r="H70" s="8" t="str">
        <f>IFERROR(__xludf.DUMMYFUNCTION("GOOGLETRANSLATE(B70, ""en"", ""hi"")"),"musti_yuddha_18")</f>
        <v>musti_yuddha_18</v>
      </c>
      <c r="I70" s="8" t="str">
        <f>IFERROR(__xludf.DUMMYFUNCTION("GOOGLETRANSLATE(C70, ""en"", ""hi"")"),"चित्र में दिखाए गए खेल से, प्रशिक्षण में विज़ुअलाइज़ेशन तकनीकों की क्या भूमिका है?")</f>
        <v>चित्र में दिखाए गए खेल से, प्रशिक्षण में विज़ुअलाइज़ेशन तकनीकों की क्या भूमिका है?</v>
      </c>
      <c r="J70" s="8" t="str">
        <f>IFERROR(__xludf.DUMMYFUNCTION("GOOGLETRANSLATE(D70, ""en"", ""hi"")"),"क) फोकस बढ़ाना, ख) विभिन्न परिदृश्यों के लिए तैयारी करना, ग) चिंता कम करना, घ) तकनीक में सुधार करना")</f>
        <v>क) फोकस बढ़ाना, ख) विभिन्न परिदृश्यों के लिए तैयारी करना, ग) चिंता कम करना, घ) तकनीक में सुधार करना</v>
      </c>
      <c r="K70" s="8" t="str">
        <f>IFERROR(__xludf.DUMMYFUNCTION("GOOGLETRANSLATE(E70, ""en"", ""hi"")"),"क) फोकस बढ़ाना, ख) विभिन्न परिदृश्यों के लिए तैयारी करना")</f>
        <v>क) फोकस बढ़ाना, ख) विभिन्न परिदृश्यों के लिए तैयारी करना</v>
      </c>
    </row>
    <row r="71" ht="22.5" customHeight="1">
      <c r="A71" s="2">
        <v>70.0</v>
      </c>
      <c r="B71" s="3" t="s">
        <v>1503</v>
      </c>
      <c r="C71" s="3" t="s">
        <v>1507</v>
      </c>
      <c r="D71" s="3" t="s">
        <v>1508</v>
      </c>
      <c r="E71" s="3" t="s">
        <v>1509</v>
      </c>
      <c r="G71" s="8" t="str">
        <f>IFERROR(__xludf.DUMMYFUNCTION("GOOGLETRANSLATE(A71, ""en"", ""hi"")"),"70")</f>
        <v>70</v>
      </c>
      <c r="H71" s="8" t="str">
        <f>IFERROR(__xludf.DUMMYFUNCTION("GOOGLETRANSLATE(B71, ""en"", ""hi"")"),"musti_yuddha_18")</f>
        <v>musti_yuddha_18</v>
      </c>
      <c r="I71" s="8" t="str">
        <f>IFERROR(__xludf.DUMMYFUNCTION("GOOGLETRANSLATE(C71, ""en"", ""hi"")"),"चित्र में दिखाए गए खेल से, निम्नलिखित में से कौन सा पैड वर्क का मुख्य लाभ है?")</f>
        <v>चित्र में दिखाए गए खेल से, निम्नलिखित में से कौन सा पैड वर्क का मुख्य लाभ है?</v>
      </c>
      <c r="J71" s="8" t="str">
        <f>IFERROR(__xludf.DUMMYFUNCTION("GOOGLETRANSLATE(D71, ""en"", ""hi"")"),"a) परिशुद्धता, b) समय, c) शक्ति, d) धीरज")</f>
        <v>a) परिशुद्धता, b) समय, c) शक्ति, d) धीरज</v>
      </c>
      <c r="K71" s="8" t="str">
        <f>IFERROR(__xludf.DUMMYFUNCTION("GOOGLETRANSLATE(E71, ""en"", ""hi"")"),"क) परिशुद्धता, ख) समय निर्धारण")</f>
        <v>क) परिशुद्धता, ख) समय निर्धारण</v>
      </c>
    </row>
    <row r="72" ht="22.5" customHeight="1">
      <c r="A72" s="2">
        <v>71.0</v>
      </c>
      <c r="B72" s="3" t="s">
        <v>1503</v>
      </c>
      <c r="C72" s="3" t="s">
        <v>1510</v>
      </c>
      <c r="D72" s="3" t="s">
        <v>1511</v>
      </c>
      <c r="E72" s="3" t="s">
        <v>1512</v>
      </c>
      <c r="G72" s="8" t="str">
        <f>IFERROR(__xludf.DUMMYFUNCTION("GOOGLETRANSLATE(A72, ""en"", ""hi"")"),"71")</f>
        <v>71</v>
      </c>
      <c r="H72" s="8" t="str">
        <f>IFERROR(__xludf.DUMMYFUNCTION("GOOGLETRANSLATE(B72, ""en"", ""hi"")"),"musti_yuddha_18")</f>
        <v>musti_yuddha_18</v>
      </c>
      <c r="I72" s="8" t="str">
        <f>IFERROR(__xludf.DUMMYFUNCTION("GOOGLETRANSLATE(C72, ""en"", ""hi"")"),"चित्र में दिखाए गए खेल से, प्रशिक्षण में सिर की गति को शामिल करने का उद्देश्य क्या है?")</f>
        <v>चित्र में दिखाए गए खेल से, प्रशिक्षण में सिर की गति को शामिल करने का उद्देश्य क्या है?</v>
      </c>
      <c r="J72" s="8" t="str">
        <f>IFERROR(__xludf.DUMMYFUNCTION("GOOGLETRANSLATE(D72, ""en"", ""hi"")"),"क) हमलों से बचना, ख) जवाबी हमले के अवसर पैदा करना, ग) प्रतिद्वंद्वी को भ्रमित करना, घ) लय बनाए रखना")</f>
        <v>क) हमलों से बचना, ख) जवाबी हमले के अवसर पैदा करना, ग) प्रतिद्वंद्वी को भ्रमित करना, घ) लय बनाए रखना</v>
      </c>
      <c r="K72" s="8" t="str">
        <f>IFERROR(__xludf.DUMMYFUNCTION("GOOGLETRANSLATE(E72, ""en"", ""hi"")"),"क) हमलों से बचना, ख) जवाबी हमले के अवसर पैदा करना")</f>
        <v>क) हमलों से बचना, ख) जवाबी हमले के अवसर पैदा करना</v>
      </c>
    </row>
    <row r="73" ht="22.5" customHeight="1">
      <c r="A73" s="2">
        <v>72.0</v>
      </c>
      <c r="B73" s="3" t="s">
        <v>1503</v>
      </c>
      <c r="C73" s="3" t="s">
        <v>1513</v>
      </c>
      <c r="D73" s="3" t="s">
        <v>1514</v>
      </c>
      <c r="E73" s="3" t="s">
        <v>1515</v>
      </c>
      <c r="G73" s="8" t="str">
        <f>IFERROR(__xludf.DUMMYFUNCTION("GOOGLETRANSLATE(A73, ""en"", ""hi"")"),"72")</f>
        <v>72</v>
      </c>
      <c r="H73" s="8" t="str">
        <f>IFERROR(__xludf.DUMMYFUNCTION("GOOGLETRANSLATE(B73, ""en"", ""hi"")"),"musti_yuddha_18")</f>
        <v>musti_yuddha_18</v>
      </c>
      <c r="I73" s="8" t="str">
        <f>IFERROR(__xludf.DUMMYFUNCTION("GOOGLETRANSLATE(C73, ""en"", ""hi"")"),"चित्र में दिखाए गए खेल में से, पैर की गति में सुधार के लिए निम्नलिखित में से किस अभ्यास का उपयोग किया जाता है?")</f>
        <v>चित्र में दिखाए गए खेल में से, पैर की गति में सुधार के लिए निम्नलिखित में से किस अभ्यास का उपयोग किया जाता है?</v>
      </c>
      <c r="J73" s="8" t="str">
        <f>IFERROR(__xludf.DUMMYFUNCTION("GOOGLETRANSLATE(D73, ""en"", ""hi"")"),"a) सीढ़ी अभ्यास, b) शंकु अभ्यास, c) रस्सी कूद, d) प्लायोमेट्रिक्स")</f>
        <v>a) सीढ़ी अभ्यास, b) शंकु अभ्यास, c) रस्सी कूद, d) प्लायोमेट्रिक्स</v>
      </c>
      <c r="K73" s="8" t="str">
        <f>IFERROR(__xludf.DUMMYFUNCTION("GOOGLETRANSLATE(E73, ""en"", ""hi"")"),"क) सीढ़ी अभ्यास, ग) रस्सी कूद")</f>
        <v>क) सीढ़ी अभ्यास, ग) रस्सी कूद</v>
      </c>
    </row>
    <row r="74" ht="22.5" customHeight="1">
      <c r="A74" s="2">
        <v>73.0</v>
      </c>
      <c r="B74" s="3" t="s">
        <v>1516</v>
      </c>
      <c r="C74" s="3" t="s">
        <v>1517</v>
      </c>
      <c r="D74" s="3" t="s">
        <v>1518</v>
      </c>
      <c r="E74" s="3" t="s">
        <v>1519</v>
      </c>
      <c r="G74" s="8" t="str">
        <f>IFERROR(__xludf.DUMMYFUNCTION("GOOGLETRANSLATE(A74, ""en"", ""hi"")"),"73")</f>
        <v>73</v>
      </c>
      <c r="H74" s="8" t="str">
        <f>IFERROR(__xludf.DUMMYFUNCTION("GOOGLETRANSLATE(B74, ""en"", ""hi"")"),"musti_yuddha_19")</f>
        <v>musti_yuddha_19</v>
      </c>
      <c r="I74" s="8" t="str">
        <f>IFERROR(__xludf.DUMMYFUNCTION("GOOGLETRANSLATE(C74, ""en"", ""hi"")"),"चित्र में दिखाए गए खेल से, प्रभावी जवाबी हमले करने के लिए निम्नलिखित में से कौन सा महत्वपूर्ण है?")</f>
        <v>चित्र में दिखाए गए खेल से, प्रभावी जवाबी हमले करने के लिए निम्नलिखित में से कौन सा महत्वपूर्ण है?</v>
      </c>
      <c r="J74" s="8" t="str">
        <f>IFERROR(__xludf.DUMMYFUNCTION("GOOGLETRANSLATE(D74, ""en"", ""hi"")"),"a) समय, b) गति, c) शक्ति, d) परिशुद्धता")</f>
        <v>a) समय, b) गति, c) शक्ति, d) परिशुद्धता</v>
      </c>
      <c r="K74" s="8" t="str">
        <f>IFERROR(__xludf.DUMMYFUNCTION("GOOGLETRANSLATE(E74, ""en"", ""hi"")"),"a) समय निर्धारण, b) परिशुद्धता")</f>
        <v>a) समय निर्धारण, b) परिशुद्धता</v>
      </c>
    </row>
    <row r="75" ht="22.5" customHeight="1">
      <c r="A75" s="2">
        <v>74.0</v>
      </c>
      <c r="B75" s="3" t="s">
        <v>1516</v>
      </c>
      <c r="C75" s="3" t="s">
        <v>1520</v>
      </c>
      <c r="D75" s="3" t="s">
        <v>1521</v>
      </c>
      <c r="E75" s="3" t="s">
        <v>1522</v>
      </c>
      <c r="G75" s="8" t="str">
        <f>IFERROR(__xludf.DUMMYFUNCTION("GOOGLETRANSLATE(A75, ""en"", ""hi"")"),"74")</f>
        <v>74</v>
      </c>
      <c r="H75" s="8" t="str">
        <f>IFERROR(__xludf.DUMMYFUNCTION("GOOGLETRANSLATE(B75, ""en"", ""hi"")"),"musti_yuddha_19")</f>
        <v>musti_yuddha_19</v>
      </c>
      <c r="I75" s="8" t="str">
        <f>IFERROR(__xludf.DUMMYFUNCTION("GOOGLETRANSLATE(C75, ""en"", ""hi"")"),"चित्र में दिखाए गए खेल से, शैडोबॉक्सिंग का प्राथमिक उद्देश्य क्या है?")</f>
        <v>चित्र में दिखाए गए खेल से, शैडोबॉक्सिंग का प्राथमिक उद्देश्य क्या है?</v>
      </c>
      <c r="J75" s="8" t="str">
        <f>IFERROR(__xludf.DUMMYFUNCTION("GOOGLETRANSLATE(D75, ""en"", ""hi"")"),"क) संयोजनों का अभ्यास करना, ख) फुटवर्क में सुधार करना, ग) कंडीशनिंग को बढ़ाना, घ) लय विकसित करना")</f>
        <v>क) संयोजनों का अभ्यास करना, ख) फुटवर्क में सुधार करना, ग) कंडीशनिंग को बढ़ाना, घ) लय विकसित करना</v>
      </c>
      <c r="K75" s="8" t="str">
        <f>IFERROR(__xludf.DUMMYFUNCTION("GOOGLETRANSLATE(E75, ""en"", ""hi"")"),"क) संयोजनों का अभ्यास करना, ख) लय विकसित करना")</f>
        <v>क) संयोजनों का अभ्यास करना, ख) लय विकसित करना</v>
      </c>
    </row>
    <row r="76" ht="22.5" customHeight="1">
      <c r="A76" s="2">
        <v>75.0</v>
      </c>
      <c r="B76" s="3" t="s">
        <v>1516</v>
      </c>
      <c r="C76" s="3" t="s">
        <v>1523</v>
      </c>
      <c r="D76" s="3" t="s">
        <v>1524</v>
      </c>
      <c r="E76" s="3" t="s">
        <v>1525</v>
      </c>
      <c r="G76" s="8" t="str">
        <f>IFERROR(__xludf.DUMMYFUNCTION("GOOGLETRANSLATE(A76, ""en"", ""hi"")"),"75")</f>
        <v>75</v>
      </c>
      <c r="H76" s="8" t="str">
        <f>IFERROR(__xludf.DUMMYFUNCTION("GOOGLETRANSLATE(B76, ""en"", ""hi"")"),"musti_yuddha_19")</f>
        <v>musti_yuddha_19</v>
      </c>
      <c r="I76" s="8" t="str">
        <f>IFERROR(__xludf.DUMMYFUNCTION("GOOGLETRANSLATE(C76, ""en"", ""hi"")"),"चित्र में दिखाए गए खेल में, प्रतिद्वंद्वी का संतुलन बिगाड़ने के लिए आमतौर पर किस तकनीक का उपयोग किया जाता है?")</f>
        <v>चित्र में दिखाए गए खेल में, प्रतिद्वंद्वी का संतुलन बिगाड़ने के लिए आमतौर पर किस तकनीक का उपयोग किया जाता है?</v>
      </c>
      <c r="J76" s="8" t="str">
        <f>IFERROR(__xludf.DUMMYFUNCTION("GOOGLETRANSLATE(D76, ""en"", ""hi"")"),"a) लेग स्वीप, b) पुश, c) क्लिंच, d) ट्रिप")</f>
        <v>a) लेग स्वीप, b) पुश, c) क्लिंच, d) ट्रिप</v>
      </c>
      <c r="K76" s="8" t="str">
        <f>IFERROR(__xludf.DUMMYFUNCTION("GOOGLETRANSLATE(E76, ""en"", ""hi"")"),"a) लेग स्वीप, d) ट्रिप")</f>
        <v>a) लेग स्वीप, d) ट्रिप</v>
      </c>
    </row>
    <row r="77" ht="22.5" customHeight="1">
      <c r="A77" s="2">
        <v>76.0</v>
      </c>
      <c r="B77" s="3" t="s">
        <v>1516</v>
      </c>
      <c r="C77" s="3" t="s">
        <v>1526</v>
      </c>
      <c r="D77" s="3" t="s">
        <v>1527</v>
      </c>
      <c r="E77" s="3" t="s">
        <v>1528</v>
      </c>
      <c r="G77" s="8" t="str">
        <f>IFERROR(__xludf.DUMMYFUNCTION("GOOGLETRANSLATE(A77, ""en"", ""hi"")"),"76")</f>
        <v>76</v>
      </c>
      <c r="H77" s="8" t="str">
        <f>IFERROR(__xludf.DUMMYFUNCTION("GOOGLETRANSLATE(B77, ""en"", ""hi"")"),"musti_yuddha_19")</f>
        <v>musti_yuddha_19</v>
      </c>
      <c r="I77" s="8" t="str">
        <f>IFERROR(__xludf.DUMMYFUNCTION("GOOGLETRANSLATE(C77, ""en"", ""hi"")"),"चित्र में दिखाए गए खेल से, मैच के दौरान हाथ की स्थिति का क्या महत्व है?")</f>
        <v>चित्र में दिखाए गए खेल से, मैच के दौरान हाथ की स्थिति का क्या महत्व है?</v>
      </c>
      <c r="J77" s="8" t="str">
        <f>IFERROR(__xludf.DUMMYFUNCTION("GOOGLETRANSLATE(D77, ""en"", ""hi"")"),"क) चेहरे की सुरक्षा करना, ख) काउंटर स्थापित करना, ग) संतुलन बनाए रखना, घ) दूरी नियंत्रित करना")</f>
        <v>क) चेहरे की सुरक्षा करना, ख) काउंटर स्थापित करना, ग) संतुलन बनाए रखना, घ) दूरी नियंत्रित करना</v>
      </c>
      <c r="K77" s="8" t="str">
        <f>IFERROR(__xludf.DUMMYFUNCTION("GOOGLETRANSLATE(E77, ""en"", ""hi"")"),"क) चेहरे की सुरक्षा, ख) काउंटर स्थापित करना")</f>
        <v>क) चेहरे की सुरक्षा, ख) काउंटर स्थापित करना</v>
      </c>
    </row>
    <row r="78" ht="22.5" customHeight="1">
      <c r="A78" s="2">
        <v>77.0</v>
      </c>
      <c r="B78" s="3" t="s">
        <v>1529</v>
      </c>
      <c r="C78" s="3" t="s">
        <v>1530</v>
      </c>
      <c r="D78" s="3" t="s">
        <v>1440</v>
      </c>
      <c r="E78" s="3" t="s">
        <v>1531</v>
      </c>
      <c r="G78" s="8" t="str">
        <f>IFERROR(__xludf.DUMMYFUNCTION("GOOGLETRANSLATE(A78, ""en"", ""hi"")"),"77")</f>
        <v>77</v>
      </c>
      <c r="H78" s="8" t="str">
        <f>IFERROR(__xludf.DUMMYFUNCTION("GOOGLETRANSLATE(B78, ""en"", ""hi"")"),"musti_yuddha_20")</f>
        <v>musti_yuddha_20</v>
      </c>
      <c r="I78" s="8" t="str">
        <f>IFERROR(__xludf.DUMMYFUNCTION("GOOGLETRANSLATE(C78, ""en"", ""hi"")"),"चित्र में दिखाए गए खेल में, शरीर को निशाना बनाने के लिए आमतौर पर किस प्रकार के प्रहार का उपयोग किया जाता है?")</f>
        <v>चित्र में दिखाए गए खेल में, शरीर को निशाना बनाने के लिए आमतौर पर किस प्रकार के प्रहार का उपयोग किया जाता है?</v>
      </c>
      <c r="J78" s="8" t="str">
        <f>IFERROR(__xludf.DUMMYFUNCTION("GOOGLETRANSLATE(D78, ""en"", ""hi"")"),"a) हुक, b) अपरकट, c) क्रॉस, d) जैब")</f>
        <v>a) हुक, b) अपरकट, c) क्रॉस, d) जैब</v>
      </c>
      <c r="K78" s="8" t="str">
        <f>IFERROR(__xludf.DUMMYFUNCTION("GOOGLETRANSLATE(E78, ""en"", ""hi"")"),"a) हुक, c) क्रॉस")</f>
        <v>a) हुक, c) क्रॉस</v>
      </c>
    </row>
    <row r="79" ht="22.5" customHeight="1">
      <c r="A79" s="2">
        <v>78.0</v>
      </c>
      <c r="B79" s="3" t="s">
        <v>1529</v>
      </c>
      <c r="C79" s="3" t="s">
        <v>1532</v>
      </c>
      <c r="D79" s="3" t="s">
        <v>1533</v>
      </c>
      <c r="E79" s="3" t="s">
        <v>1534</v>
      </c>
      <c r="G79" s="8" t="str">
        <f>IFERROR(__xludf.DUMMYFUNCTION("GOOGLETRANSLATE(A79, ""en"", ""hi"")"),"78")</f>
        <v>78</v>
      </c>
      <c r="H79" s="8" t="str">
        <f>IFERROR(__xludf.DUMMYFUNCTION("GOOGLETRANSLATE(B79, ""en"", ""hi"")"),"musti_yuddha_20")</f>
        <v>musti_yuddha_20</v>
      </c>
      <c r="I79" s="8" t="str">
        <f>IFERROR(__xludf.DUMMYFUNCTION("GOOGLETRANSLATE(C79, ""en"", ""hi"")"),"चित्र में दिखाए गए खेल के आधार पर, मैच में फाइन्ट्स की क्या भूमिका है?")</f>
        <v>चित्र में दिखाए गए खेल के आधार पर, मैच में फाइन्ट्स की क्या भूमिका है?</v>
      </c>
      <c r="J79" s="8" t="str">
        <f>IFERROR(__xludf.DUMMYFUNCTION("GOOGLETRANSLATE(D79, ""en"", ""hi"")"),"क) मौके बनाना, ख) प्रतिद्वंद्वी को भ्रमित करना, ग) लय बिगाड़ना, घ) पावर शॉट लगाना")</f>
        <v>क) मौके बनाना, ख) प्रतिद्वंद्वी को भ्रमित करना, ग) लय बिगाड़ना, घ) पावर शॉट लगाना</v>
      </c>
      <c r="K79" s="8" t="str">
        <f>IFERROR(__xludf.DUMMYFUNCTION("GOOGLETRANSLATE(E79, ""en"", ""hi"")"),"क) मौके बनाना, ख) प्रतिद्वंद्वी को भ्रमित करना")</f>
        <v>क) मौके बनाना, ख) प्रतिद्वंद्वी को भ्रमित करना</v>
      </c>
    </row>
    <row r="80" ht="22.5" customHeight="1">
      <c r="A80" s="2">
        <v>79.0</v>
      </c>
      <c r="B80" s="3" t="s">
        <v>1529</v>
      </c>
      <c r="C80" s="3" t="s">
        <v>1535</v>
      </c>
      <c r="D80" s="3" t="s">
        <v>1536</v>
      </c>
      <c r="E80" s="3" t="s">
        <v>1537</v>
      </c>
      <c r="G80" s="8" t="str">
        <f>IFERROR(__xludf.DUMMYFUNCTION("GOOGLETRANSLATE(A80, ""en"", ""hi"")"),"79")</f>
        <v>79</v>
      </c>
      <c r="H80" s="8" t="str">
        <f>IFERROR(__xludf.DUMMYFUNCTION("GOOGLETRANSLATE(B80, ""en"", ""hi"")"),"musti_yuddha_20")</f>
        <v>musti_yuddha_20</v>
      </c>
      <c r="I80" s="8" t="str">
        <f>IFERROR(__xludf.DUMMYFUNCTION("GOOGLETRANSLATE(C80, ""en"", ""hi"")"),"चित्र में दिखाए गए खेल से, स्ट्राइक के दौरान मजबूत कोर बनाए रखने का उद्देश्य क्या है?")</f>
        <v>चित्र में दिखाए गए खेल से, स्ट्राइक के दौरान मजबूत कोर बनाए रखने का उद्देश्य क्या है?</v>
      </c>
      <c r="J80" s="8" t="str">
        <f>IFERROR(__xludf.DUMMYFUNCTION("GOOGLETRANSLATE(D80, ""en"", ""hi"")"),"क) शक्ति उत्पन्न करना, ख) संतुलन बनाए रखना, ग) जवाबी हमलों से सुरक्षा करना, घ) सहनशक्ति बढ़ाना")</f>
        <v>क) शक्ति उत्पन्न करना, ख) संतुलन बनाए रखना, ग) जवाबी हमलों से सुरक्षा करना, घ) सहनशक्ति बढ़ाना</v>
      </c>
      <c r="K80" s="8" t="str">
        <f>IFERROR(__xludf.DUMMYFUNCTION("GOOGLETRANSLATE(E80, ""en"", ""hi"")"),"क) बिजली पैदा करना, ख) संतुलन बनाए रखना")</f>
        <v>क) बिजली पैदा करना, ख) संतुलन बनाए रखना</v>
      </c>
    </row>
    <row r="81" ht="22.5" customHeight="1">
      <c r="A81" s="2">
        <v>80.0</v>
      </c>
      <c r="B81" s="3" t="s">
        <v>1529</v>
      </c>
      <c r="C81" s="3" t="s">
        <v>1538</v>
      </c>
      <c r="D81" s="3" t="s">
        <v>1539</v>
      </c>
      <c r="E81" s="3" t="s">
        <v>1540</v>
      </c>
      <c r="G81" s="8" t="str">
        <f>IFERROR(__xludf.DUMMYFUNCTION("GOOGLETRANSLATE(A81, ""en"", ""hi"")"),"80")</f>
        <v>80</v>
      </c>
      <c r="H81" s="8" t="str">
        <f>IFERROR(__xludf.DUMMYFUNCTION("GOOGLETRANSLATE(B81, ""en"", ""hi"")"),"musti_yuddha_20")</f>
        <v>musti_yuddha_20</v>
      </c>
      <c r="I81" s="8" t="str">
        <f>IFERROR(__xludf.DUMMYFUNCTION("GOOGLETRANSLATE(C81, ""en"", ""hi"")"),"चित्र में दिखाए गए खेल में से, निम्नलिखित में से कौन सा अभ्यास रक्षात्मक सजगता में सुधार के लिए आवश्यक है?")</f>
        <v>चित्र में दिखाए गए खेल में से, निम्नलिखित में से कौन सा अभ्यास रक्षात्मक सजगता में सुधार के लिए आवश्यक है?</v>
      </c>
      <c r="J81" s="8" t="str">
        <f>IFERROR(__xludf.DUMMYFUNCTION("GOOGLETRANSLATE(D81, ""en"", ""hi"")"),"a) स्पैरिंग, b) मिट वर्क, c) रिफ्लेक्स बॉल ट्रेनिंग, d) स्पीड बैग")</f>
        <v>a) स्पैरिंग, b) मिट वर्क, c) रिफ्लेक्स बॉल ट्रेनिंग, d) स्पीड बैग</v>
      </c>
      <c r="K81" s="8" t="str">
        <f>IFERROR(__xludf.DUMMYFUNCTION("GOOGLETRANSLATE(E81, ""en"", ""hi"")"),"a) स्पैरिंग, c) रिफ्लेक्स बॉल प्रशिक्षण")</f>
        <v>a) स्पैरिंग, c) रिफ्लेक्स बॉल प्रशिक्षण</v>
      </c>
    </row>
    <row r="82" ht="22.5" customHeight="1">
      <c r="A82" s="2">
        <v>81.0</v>
      </c>
      <c r="B82" s="3" t="s">
        <v>1541</v>
      </c>
      <c r="C82" s="3" t="s">
        <v>1542</v>
      </c>
      <c r="D82" s="3" t="s">
        <v>1543</v>
      </c>
      <c r="E82" s="3" t="s">
        <v>1544</v>
      </c>
      <c r="G82" s="8" t="str">
        <f>IFERROR(__xludf.DUMMYFUNCTION("GOOGLETRANSLATE(A82, ""en"", ""hi"")"),"81")</f>
        <v>81</v>
      </c>
      <c r="H82" s="8" t="str">
        <f>IFERROR(__xludf.DUMMYFUNCTION("GOOGLETRANSLATE(B82, ""en"", ""hi"")"),"musti_yuddha_21")</f>
        <v>musti_yuddha_21</v>
      </c>
      <c r="I82" s="8" t="str">
        <f>IFERROR(__xludf.DUMMYFUNCTION("GOOGLETRANSLATE(C82, ""en"", ""hi"")"),"चित्र में दिखाए गए खेल में, बॉडी स्ट्राइक के लिए अक्सर किस तकनीक का उपयोग किया जाता है?")</f>
        <v>चित्र में दिखाए गए खेल में, बॉडी स्ट्राइक के लिए अक्सर किस तकनीक का उपयोग किया जाता है?</v>
      </c>
      <c r="J82" s="8" t="str">
        <f>IFERROR(__xludf.DUMMYFUNCTION("GOOGLETRANSLATE(D82, ""en"", ""hi"")"),"a) जैब, b) फ़िंट, c) हुक, d) क्रॉस")</f>
        <v>a) जैब, b) फ़िंट, c) हुक, d) क्रॉस</v>
      </c>
      <c r="K82" s="8" t="str">
        <f>IFERROR(__xludf.DUMMYFUNCTION("GOOGLETRANSLATE(E82, ""en"", ""hi"")"),"b) फ़िंट, a) जैब")</f>
        <v>b) फ़िंट, a) जैब</v>
      </c>
    </row>
    <row r="83" ht="22.5" customHeight="1">
      <c r="A83" s="2">
        <v>82.0</v>
      </c>
      <c r="B83" s="3" t="s">
        <v>1541</v>
      </c>
      <c r="C83" s="3" t="s">
        <v>1545</v>
      </c>
      <c r="D83" s="3" t="s">
        <v>1546</v>
      </c>
      <c r="E83" s="3" t="s">
        <v>1547</v>
      </c>
      <c r="G83" s="8" t="str">
        <f>IFERROR(__xludf.DUMMYFUNCTION("GOOGLETRANSLATE(A83, ""en"", ""hi"")"),"82")</f>
        <v>82</v>
      </c>
      <c r="H83" s="8" t="str">
        <f>IFERROR(__xludf.DUMMYFUNCTION("GOOGLETRANSLATE(B83, ""en"", ""hi"")"),"musti_yuddha_21")</f>
        <v>musti_yuddha_21</v>
      </c>
      <c r="I83" s="8" t="str">
        <f>IFERROR(__xludf.DUMMYFUNCTION("GOOGLETRANSLATE(C83, ""en"", ""hi"")"),"चित्र में दिखाए गए खेल से, प्रतिद्वंद्वी के प्रहार से बचने के लिए निम्नलिखित में से कौन सा महत्वपूर्ण है?")</f>
        <v>चित्र में दिखाए गए खेल से, प्रतिद्वंद्वी के प्रहार से बचने के लिए निम्नलिखित में से कौन सा महत्वपूर्ण है?</v>
      </c>
      <c r="J83" s="8" t="str">
        <f>IFERROR(__xludf.DUMMYFUNCTION("GOOGLETRANSLATE(D83, ""en"", ""hi"")"),"a) सिर की गति, b) पैरों का काम, c) रक्षा, d) प्रतिकार")</f>
        <v>a) सिर की गति, b) पैरों का काम, c) रक्षा, d) प्रतिकार</v>
      </c>
      <c r="K83" s="8" t="str">
        <f>IFERROR(__xludf.DUMMYFUNCTION("GOOGLETRANSLATE(E83, ""en"", ""hi"")"),"क) सिर की गति, ख) पैरों का काम")</f>
        <v>क) सिर की गति, ख) पैरों का काम</v>
      </c>
    </row>
    <row r="84" ht="22.5" customHeight="1">
      <c r="A84" s="2">
        <v>83.0</v>
      </c>
      <c r="B84" s="3" t="s">
        <v>1541</v>
      </c>
      <c r="C84" s="3" t="s">
        <v>1548</v>
      </c>
      <c r="D84" s="3" t="s">
        <v>1549</v>
      </c>
      <c r="E84" s="3" t="s">
        <v>1550</v>
      </c>
      <c r="G84" s="8" t="str">
        <f>IFERROR(__xludf.DUMMYFUNCTION("GOOGLETRANSLATE(A84, ""en"", ""hi"")"),"83")</f>
        <v>83</v>
      </c>
      <c r="H84" s="8" t="str">
        <f>IFERROR(__xludf.DUMMYFUNCTION("GOOGLETRANSLATE(B84, ""en"", ""hi"")"),"musti_yuddha_21")</f>
        <v>musti_yuddha_21</v>
      </c>
      <c r="I84" s="8" t="str">
        <f>IFERROR(__xludf.DUMMYFUNCTION("GOOGLETRANSLATE(C84, ""en"", ""hi"")"),"चित्र में दिखाए गए खेल के अनुसार, वृत्ताकार फुटवर्क का उपयोग करने से क्या लाभ है?")</f>
        <v>चित्र में दिखाए गए खेल के अनुसार, वृत्ताकार फुटवर्क का उपयोग करने से क्या लाभ है?</v>
      </c>
      <c r="J84" s="8" t="str">
        <f>IFERROR(__xludf.DUMMYFUNCTION("GOOGLETRANSLATE(D84, ""en"", ""hi"")"),"क) कोण बनाना, ख) हमलों से बचना, ग) काउंटर सेट करना, घ) लय बनाए रखना")</f>
        <v>क) कोण बनाना, ख) हमलों से बचना, ग) काउंटर सेट करना, घ) लय बनाए रखना</v>
      </c>
      <c r="K84" s="8" t="str">
        <f>IFERROR(__xludf.DUMMYFUNCTION("GOOGLETRANSLATE(E84, ""en"", ""hi"")"),"क) कोण बनाना, ख) हमलों से बचना")</f>
        <v>क) कोण बनाना, ख) हमलों से बचना</v>
      </c>
    </row>
    <row r="85" ht="22.5" customHeight="1">
      <c r="A85" s="2">
        <v>84.0</v>
      </c>
      <c r="B85" s="3" t="s">
        <v>1541</v>
      </c>
      <c r="C85" s="3" t="s">
        <v>1551</v>
      </c>
      <c r="D85" s="3" t="s">
        <v>1552</v>
      </c>
      <c r="E85" s="3" t="s">
        <v>1553</v>
      </c>
      <c r="G85" s="8" t="str">
        <f>IFERROR(__xludf.DUMMYFUNCTION("GOOGLETRANSLATE(A85, ""en"", ""hi"")"),"84")</f>
        <v>84</v>
      </c>
      <c r="H85" s="8" t="str">
        <f>IFERROR(__xludf.DUMMYFUNCTION("GOOGLETRANSLATE(B85, ""en"", ""hi"")"),"musti_yuddha_21")</f>
        <v>musti_yuddha_21</v>
      </c>
      <c r="I85" s="8" t="str">
        <f>IFERROR(__xludf.DUMMYFUNCTION("GOOGLETRANSLATE(C85, ""en"", ""hi"")"),"चित्र में दिखाए गए खेल में से, मुट्ठियाँ कसने के लिए निम्नलिखित में से कौन सी पारंपरिक विधि है?")</f>
        <v>चित्र में दिखाए गए खेल में से, मुट्ठियाँ कसने के लिए निम्नलिखित में से कौन सी पारंपरिक विधि है?</v>
      </c>
      <c r="J85" s="8" t="str">
        <f>IFERROR(__xludf.DUMMYFUNCTION("GOOGLETRANSLATE(D85, ""en"", ""hi"")"),"a) बैग वर्क, b) नकल पुश-अप्स, c) सैंडबैग स्ट्राइकिंग, d) रॉक स्ट्राइकिंग")</f>
        <v>a) बैग वर्क, b) नकल पुश-अप्स, c) सैंडबैग स्ट्राइकिंग, d) रॉक स्ट्राइकिंग</v>
      </c>
      <c r="K85" s="8" t="str">
        <f>IFERROR(__xludf.DUMMYFUNCTION("GOOGLETRANSLATE(E85, ""en"", ""hi"")"),"b) नकल पुश-अप्स, c) सैंडबैग स्ट्राइकिंग")</f>
        <v>b) नकल पुश-अप्स, c) सैंडबैग स्ट्राइकिंग</v>
      </c>
    </row>
    <row r="86" ht="22.5" customHeight="1">
      <c r="A86" s="2">
        <v>85.0</v>
      </c>
      <c r="B86" s="3" t="s">
        <v>1554</v>
      </c>
      <c r="C86" s="3" t="s">
        <v>1555</v>
      </c>
      <c r="D86" s="3" t="s">
        <v>1556</v>
      </c>
      <c r="E86" s="3" t="s">
        <v>1423</v>
      </c>
      <c r="G86" s="8" t="str">
        <f>IFERROR(__xludf.DUMMYFUNCTION("GOOGLETRANSLATE(A86, ""en"", ""hi"")"),"85")</f>
        <v>85</v>
      </c>
      <c r="H86" s="8" t="str">
        <f>IFERROR(__xludf.DUMMYFUNCTION("GOOGLETRANSLATE(B86, ""en"", ""hi"")"),"musti_yuddha_22")</f>
        <v>musti_yuddha_22</v>
      </c>
      <c r="I86" s="8" t="str">
        <f>IFERROR(__xludf.DUMMYFUNCTION("GOOGLETRANSLATE(C86, ""en"", ""hi"")"),"चित्र में दिखाए गए खेल से, स्ट्राइकिंग संयोजनों का अभ्यास करने का उद्देश्य क्या है?")</f>
        <v>चित्र में दिखाए गए खेल से, स्ट्राइकिंग संयोजनों का अभ्यास करने का उद्देश्य क्या है?</v>
      </c>
      <c r="J86" s="8" t="str">
        <f>IFERROR(__xludf.DUMMYFUNCTION("GOOGLETRANSLATE(D86, ""en"", ""hi"")"),"क) प्रतिद्वंद्वी पर भारी पड़ना, ख) मौके बनाना, ग) गति बढ़ाना, घ) समय में सुधार करना")</f>
        <v>क) प्रतिद्वंद्वी पर भारी पड़ना, ख) मौके बनाना, ग) गति बढ़ाना, घ) समय में सुधार करना</v>
      </c>
      <c r="K86" s="8" t="str">
        <f>IFERROR(__xludf.DUMMYFUNCTION("GOOGLETRANSLATE(E86, ""en"", ""hi"")"),"क) प्रतिद्वंद्वी पर भारी पड़ना, ख) मौके बनाना")</f>
        <v>क) प्रतिद्वंद्वी पर भारी पड़ना, ख) मौके बनाना</v>
      </c>
    </row>
    <row r="87" ht="22.5" customHeight="1">
      <c r="A87" s="2">
        <v>86.0</v>
      </c>
      <c r="B87" s="3" t="s">
        <v>1554</v>
      </c>
      <c r="C87" s="3" t="s">
        <v>1557</v>
      </c>
      <c r="D87" s="3" t="s">
        <v>1558</v>
      </c>
      <c r="E87" s="3" t="s">
        <v>1559</v>
      </c>
      <c r="G87" s="8" t="str">
        <f>IFERROR(__xludf.DUMMYFUNCTION("GOOGLETRANSLATE(A87, ""en"", ""hi"")"),"86")</f>
        <v>86</v>
      </c>
      <c r="H87" s="8" t="str">
        <f>IFERROR(__xludf.DUMMYFUNCTION("GOOGLETRANSLATE(B87, ""en"", ""hi"")"),"musti_yuddha_22")</f>
        <v>musti_yuddha_22</v>
      </c>
      <c r="I87" s="8" t="str">
        <f>IFERROR(__xludf.DUMMYFUNCTION("GOOGLETRANSLATE(C87, ""en"", ""hi"")"),"चित्र में दिखाए गए खेल से, धीरज के लिए प्रशिक्षण करते समय निम्नलिखित में से किस पर मुख्य ध्यान दिया जाना चाहिए?")</f>
        <v>चित्र में दिखाए गए खेल से, धीरज के लिए प्रशिक्षण करते समय निम्नलिखित में से किस पर मुख्य ध्यान दिया जाना चाहिए?</v>
      </c>
      <c r="J87" s="8" t="str">
        <f>IFERROR(__xludf.DUMMYFUNCTION("GOOGLETRANSLATE(D87, ""en"", ""hi"")"),"क) लंबे स्पैरिंग सत्र, ख) उच्च-पुनरावृत्ति अभ्यास, ग) अंतराल प्रशिक्षण, घ) निरंतर बैग वर्क")</f>
        <v>क) लंबे स्पैरिंग सत्र, ख) उच्च-पुनरावृत्ति अभ्यास, ग) अंतराल प्रशिक्षण, घ) निरंतर बैग वर्क</v>
      </c>
      <c r="K87" s="8" t="str">
        <f>IFERROR(__xludf.DUMMYFUNCTION("GOOGLETRANSLATE(E87, ""en"", ""hi"")"),"क) लंबे स्पैरिंग सत्र, ख) अंतराल प्रशिक्षण")</f>
        <v>क) लंबे स्पैरिंग सत्र, ख) अंतराल प्रशिक्षण</v>
      </c>
    </row>
    <row r="88" ht="22.5" customHeight="1">
      <c r="A88" s="2">
        <v>87.0</v>
      </c>
      <c r="B88" s="3" t="s">
        <v>1554</v>
      </c>
      <c r="C88" s="3" t="s">
        <v>1560</v>
      </c>
      <c r="D88" s="3" t="s">
        <v>1561</v>
      </c>
      <c r="E88" s="3" t="s">
        <v>1562</v>
      </c>
      <c r="G88" s="8" t="str">
        <f>IFERROR(__xludf.DUMMYFUNCTION("GOOGLETRANSLATE(A88, ""en"", ""hi"")"),"87")</f>
        <v>87</v>
      </c>
      <c r="H88" s="8" t="str">
        <f>IFERROR(__xludf.DUMMYFUNCTION("GOOGLETRANSLATE(B88, ""en"", ""hi"")"),"musti_yuddha_22")</f>
        <v>musti_yuddha_22</v>
      </c>
      <c r="I88" s="8" t="str">
        <f>IFERROR(__xludf.DUMMYFUNCTION("GOOGLETRANSLATE(C88, ""en"", ""hi"")"),"चित्र में दिखाए गए खेल से, मैच के दौरान दूरी प्रबंधन का क्या महत्व है?")</f>
        <v>चित्र में दिखाए गए खेल से, मैच के दौरान दूरी प्रबंधन का क्या महत्व है?</v>
      </c>
      <c r="J88" s="8" t="str">
        <f>IFERROR(__xludf.DUMMYFUNCTION("GOOGLETRANSLATE(D88, ""en"", ""hi"")"),"क) गति को नियंत्रित करना, ख) आक्रमण की तैयारी करना, ग) जवाबी हमलों से बचना, घ) संतुलन बनाए रखना")</f>
        <v>क) गति को नियंत्रित करना, ख) आक्रमण की तैयारी करना, ग) जवाबी हमलों से बचना, घ) संतुलन बनाए रखना</v>
      </c>
      <c r="K88" s="8" t="str">
        <f>IFERROR(__xludf.DUMMYFUNCTION("GOOGLETRANSLATE(E88, ""en"", ""hi"")"),"क) गति को नियंत्रित करना, ख) आक्रमण की तैयारी करना")</f>
        <v>क) गति को नियंत्रित करना, ख) आक्रमण की तैयारी करना</v>
      </c>
    </row>
    <row r="89" ht="22.5" customHeight="1">
      <c r="A89" s="2">
        <v>88.0</v>
      </c>
      <c r="B89" s="3" t="s">
        <v>1554</v>
      </c>
      <c r="C89" s="3" t="s">
        <v>1563</v>
      </c>
      <c r="D89" s="3" t="s">
        <v>1564</v>
      </c>
      <c r="E89" s="3" t="s">
        <v>1565</v>
      </c>
      <c r="G89" s="8" t="str">
        <f>IFERROR(__xludf.DUMMYFUNCTION("GOOGLETRANSLATE(A89, ""en"", ""hi"")"),"88")</f>
        <v>88</v>
      </c>
      <c r="H89" s="8" t="str">
        <f>IFERROR(__xludf.DUMMYFUNCTION("GOOGLETRANSLATE(B89, ""en"", ""hi"")"),"musti_yuddha_22")</f>
        <v>musti_yuddha_22</v>
      </c>
      <c r="I89" s="8" t="str">
        <f>IFERROR(__xludf.DUMMYFUNCTION("GOOGLETRANSLATE(C89, ""en"", ""hi"")"),"चित्र में दिखाए गए खेल से, प्रतिद्वंद्वी के साथ दूरी कम करने का निम्नलिखित में से कौन सा तरीका सामान्य है?")</f>
        <v>चित्र में दिखाए गए खेल से, प्रतिद्वंद्वी के साथ दूरी कम करने का निम्नलिखित में से कौन सा तरीका सामान्य है?</v>
      </c>
      <c r="J89" s="8" t="str">
        <f>IFERROR(__xludf.DUMMYFUNCTION("GOOGLETRANSLATE(D89, ""en"", ""hi"")"),"a) अंदर की ओर कदम बढ़ाना, b) आगे की ओर झुकना, c) अंदर की ओर खिसकना, d) चक्कर लगाना")</f>
        <v>a) अंदर की ओर कदम बढ़ाना, b) आगे की ओर झुकना, c) अंदर की ओर खिसकना, d) चक्कर लगाना</v>
      </c>
      <c r="K89" s="8" t="str">
        <f>IFERROR(__xludf.DUMMYFUNCTION("GOOGLETRANSLATE(E89, ""en"", ""hi"")"),"क) अंदर कदम रखना, ख) अंदर सरकना")</f>
        <v>क) अंदर कदम रखना, ख) अंदर सरकना</v>
      </c>
    </row>
    <row r="90" ht="22.5" customHeight="1">
      <c r="A90" s="2">
        <v>89.0</v>
      </c>
      <c r="B90" s="3" t="s">
        <v>1566</v>
      </c>
      <c r="C90" s="3" t="s">
        <v>1567</v>
      </c>
      <c r="D90" s="3" t="s">
        <v>1568</v>
      </c>
      <c r="E90" s="3" t="s">
        <v>1569</v>
      </c>
      <c r="G90" s="8" t="str">
        <f>IFERROR(__xludf.DUMMYFUNCTION("GOOGLETRANSLATE(A90, ""en"", ""hi"")"),"89")</f>
        <v>89</v>
      </c>
      <c r="H90" s="8" t="str">
        <f>IFERROR(__xludf.DUMMYFUNCTION("GOOGLETRANSLATE(B90, ""en"", ""hi"")"),"musti_yuddha_23")</f>
        <v>musti_yuddha_23</v>
      </c>
      <c r="I90" s="8" t="str">
        <f>IFERROR(__xludf.DUMMYFUNCTION("GOOGLETRANSLATE(C90, ""en"", ""hi"")"),"चित्र में दिखाए गए खेल में से, पैर की ताकत बढ़ाने के लिए किस पारंपरिक व्यायाम का उपयोग किया जाता है?")</f>
        <v>चित्र में दिखाए गए खेल में से, पैर की ताकत बढ़ाने के लिए किस पारंपरिक व्यायाम का उपयोग किया जाता है?</v>
      </c>
      <c r="J90" s="8" t="str">
        <f>IFERROR(__xludf.DUMMYFUNCTION("GOOGLETRANSLATE(D90, ""en"", ""hi"")"),"a) स्क्वैट्स, b) लंजेस, c) लेग प्रेस, d) काफ रेज")</f>
        <v>a) स्क्वैट्स, b) लंजेस, c) लेग प्रेस, d) काफ रेज</v>
      </c>
      <c r="K90" s="8" t="str">
        <f>IFERROR(__xludf.DUMMYFUNCTION("GOOGLETRANSLATE(E90, ""en"", ""hi"")"),"a) स्क्वैट्स, b) लंजेस")</f>
        <v>a) स्क्वैट्स, b) लंजेस</v>
      </c>
    </row>
    <row r="91" ht="22.5" customHeight="1">
      <c r="A91" s="2">
        <v>90.0</v>
      </c>
      <c r="B91" s="3" t="s">
        <v>1566</v>
      </c>
      <c r="C91" s="3" t="s">
        <v>1570</v>
      </c>
      <c r="D91" s="3" t="s">
        <v>1571</v>
      </c>
      <c r="E91" s="3" t="s">
        <v>1572</v>
      </c>
      <c r="G91" s="8" t="str">
        <f>IFERROR(__xludf.DUMMYFUNCTION("GOOGLETRANSLATE(A91, ""en"", ""hi"")"),"90")</f>
        <v>90</v>
      </c>
      <c r="H91" s="8" t="str">
        <f>IFERROR(__xludf.DUMMYFUNCTION("GOOGLETRANSLATE(B91, ""en"", ""hi"")"),"musti_yuddha_23")</f>
        <v>musti_yuddha_23</v>
      </c>
      <c r="I91" s="8" t="str">
        <f>IFERROR(__xludf.DUMMYFUNCTION("GOOGLETRANSLATE(C91, ""en"", ""hi"")"),"चित्र में दिखाए गए खेल में से कौन सी तकनीक प्रतिद्वंद्वी की शक्ति को बेअसर करने के लिए प्रभावी है?")</f>
        <v>चित्र में दिखाए गए खेल में से कौन सी तकनीक प्रतिद्वंद्वी की शक्ति को बेअसर करने के लिए प्रभावी है?</v>
      </c>
      <c r="J91" s="8" t="str">
        <f>IFERROR(__xludf.DUMMYFUNCTION("GOOGLETRANSLATE(D91, ""en"", ""hi"")"),"a) क्लिंचिंग, b) ब्लॉकिंग, c) पैरीइंग, d) स्लिपिंग")</f>
        <v>a) क्लिंचिंग, b) ब्लॉकिंग, c) पैरीइंग, d) स्लिपिंग</v>
      </c>
      <c r="K91" s="8" t="str">
        <f>IFERROR(__xludf.DUMMYFUNCTION("GOOGLETRANSLATE(E91, ""en"", ""hi"")"),"a) क्लिंचिंग, b) पैरीइंग")</f>
        <v>a) क्लिंचिंग, b) पैरीइंग</v>
      </c>
    </row>
    <row r="92" ht="22.5" customHeight="1">
      <c r="A92" s="2">
        <v>91.0</v>
      </c>
      <c r="B92" s="3" t="s">
        <v>1566</v>
      </c>
      <c r="C92" s="3" t="s">
        <v>1573</v>
      </c>
      <c r="D92" s="3" t="s">
        <v>1574</v>
      </c>
      <c r="E92" s="3" t="s">
        <v>1575</v>
      </c>
      <c r="G92" s="8" t="str">
        <f>IFERROR(__xludf.DUMMYFUNCTION("GOOGLETRANSLATE(A92, ""en"", ""hi"")"),"91")</f>
        <v>91</v>
      </c>
      <c r="H92" s="8" t="str">
        <f>IFERROR(__xludf.DUMMYFUNCTION("GOOGLETRANSLATE(B92, ""en"", ""hi"")"),"musti_yuddha_23")</f>
        <v>musti_yuddha_23</v>
      </c>
      <c r="I92" s="8" t="str">
        <f>IFERROR(__xludf.DUMMYFUNCTION("GOOGLETRANSLATE(C92, ""en"", ""hi"")"),"चित्र में दिखाए गए खेल से, रक्षात्मक प्रशिक्षण के दौरान निम्नलिखित में से किस पर जोर दिया जाता है?")</f>
        <v>चित्र में दिखाए गए खेल से, रक्षात्मक प्रशिक्षण के दौरान निम्नलिखित में से किस पर जोर दिया जाता है?</v>
      </c>
      <c r="J92" s="8" t="str">
        <f>IFERROR(__xludf.DUMMYFUNCTION("GOOGLETRANSLATE(D92, ""en"", ""hi"")"),"a) ब्लॉकिंग, b) पैरीइंग, c) काउंटरिंग, d) फुटवर्क")</f>
        <v>a) ब्लॉकिंग, b) पैरीइंग, c) काउंटरिंग, d) फुटवर्क</v>
      </c>
      <c r="K92" s="8" t="str">
        <f>IFERROR(__xludf.DUMMYFUNCTION("GOOGLETRANSLATE(E92, ""en"", ""hi"")"),"a) ब्लॉकिंग, b) पैरीइंग")</f>
        <v>a) ब्लॉकिंग, b) पैरीइंग</v>
      </c>
    </row>
    <row r="93" ht="22.5" customHeight="1">
      <c r="A93" s="2">
        <v>92.0</v>
      </c>
      <c r="B93" s="3" t="s">
        <v>1566</v>
      </c>
      <c r="C93" s="3" t="s">
        <v>1576</v>
      </c>
      <c r="D93" s="3" t="s">
        <v>1577</v>
      </c>
      <c r="E93" s="3" t="s">
        <v>1578</v>
      </c>
      <c r="G93" s="8" t="str">
        <f>IFERROR(__xludf.DUMMYFUNCTION("GOOGLETRANSLATE(A93, ""en"", ""hi"")"),"92")</f>
        <v>92</v>
      </c>
      <c r="H93" s="8" t="str">
        <f>IFERROR(__xludf.DUMMYFUNCTION("GOOGLETRANSLATE(B93, ""en"", ""hi"")"),"musti_yuddha_23")</f>
        <v>musti_yuddha_23</v>
      </c>
      <c r="I93" s="8" t="str">
        <f>IFERROR(__xludf.DUMMYFUNCTION("GOOGLETRANSLATE(C93, ""en"", ""hi"")"),"चित्र में दिखाए गए खेल से, रक्षात्मक युद्धाभ्यास का अभ्यास करने का उद्देश्य क्या है?")</f>
        <v>चित्र में दिखाए गए खेल से, रक्षात्मक युद्धाभ्यास का अभ्यास करने का उद्देश्य क्या है?</v>
      </c>
      <c r="J93" s="8" t="str">
        <f>IFERROR(__xludf.DUMMYFUNCTION("GOOGLETRANSLATE(D93, ""en"", ""hi"")"),"क) हमलों से बचना, ख) काउंटर स्थापित करना, ग) क्षति को कम करना, घ) ऊर्जा संरक्षण")</f>
        <v>क) हमलों से बचना, ख) काउंटर स्थापित करना, ग) क्षति को कम करना, घ) ऊर्जा संरक्षण</v>
      </c>
      <c r="K93" s="8" t="str">
        <f>IFERROR(__xludf.DUMMYFUNCTION("GOOGLETRANSLATE(E93, ""en"", ""hi"")"),"क) हमलों से बचना, ख) काउंटर स्थापित करना")</f>
        <v>क) हमलों से बचना, ख) काउंटर स्थापित करना</v>
      </c>
    </row>
    <row r="94" ht="22.5" customHeight="1">
      <c r="A94" s="2">
        <v>93.0</v>
      </c>
      <c r="B94" s="3" t="s">
        <v>1579</v>
      </c>
      <c r="C94" s="3" t="s">
        <v>1580</v>
      </c>
      <c r="D94" s="3" t="s">
        <v>1581</v>
      </c>
      <c r="E94" s="3" t="s">
        <v>1582</v>
      </c>
      <c r="G94" s="8" t="str">
        <f>IFERROR(__xludf.DUMMYFUNCTION("GOOGLETRANSLATE(A94, ""en"", ""hi"")"),"93")</f>
        <v>93</v>
      </c>
      <c r="H94" s="8" t="str">
        <f>IFERROR(__xludf.DUMMYFUNCTION("GOOGLETRANSLATE(B94, ""en"", ""hi"")"),"musti_yuddha_24")</f>
        <v>musti_yuddha_24</v>
      </c>
      <c r="I94" s="8" t="str">
        <f>IFERROR(__xludf.DUMMYFUNCTION("GOOGLETRANSLATE(C94, ""en"", ""hi"")"),"चित्र में दिखाए गए खेल में, प्रतिद्वंद्वी को थका देने के लिए निम्नलिखित में से कौन सी रणनीति का उपयोग किया जाता है?")</f>
        <v>चित्र में दिखाए गए खेल में, प्रतिद्वंद्वी को थका देने के लिए निम्नलिखित में से कौन सी रणनीति का उपयोग किया जाता है?</v>
      </c>
      <c r="J94" s="8" t="str">
        <f>IFERROR(__xludf.DUMMYFUNCTION("GOOGLETRANSLATE(D94, ""en"", ""hi"")"),"क) क्लिंचिंग, ख) बॉडी शॉट्स, ग) सर्किलिंग, घ) हाई-वॉल्यूम पंचिंग")</f>
        <v>क) क्लिंचिंग, ख) बॉडी शॉट्स, ग) सर्किलिंग, घ) हाई-वॉल्यूम पंचिंग</v>
      </c>
      <c r="K94" s="8" t="str">
        <f>IFERROR(__xludf.DUMMYFUNCTION("GOOGLETRANSLATE(E94, ""en"", ""hi"")"),"b) बॉडी शॉट्स, d) उच्च-मात्रा वाले पंचिंग")</f>
        <v>b) बॉडी शॉट्स, d) उच्च-मात्रा वाले पंचिंग</v>
      </c>
    </row>
    <row r="95" ht="22.5" customHeight="1">
      <c r="A95" s="2">
        <v>94.0</v>
      </c>
      <c r="B95" s="3" t="s">
        <v>1579</v>
      </c>
      <c r="C95" s="3" t="s">
        <v>1583</v>
      </c>
      <c r="D95" s="3" t="s">
        <v>1584</v>
      </c>
      <c r="E95" s="3" t="s">
        <v>1585</v>
      </c>
      <c r="G95" s="8" t="str">
        <f>IFERROR(__xludf.DUMMYFUNCTION("GOOGLETRANSLATE(A95, ""en"", ""hi"")"),"94")</f>
        <v>94</v>
      </c>
      <c r="H95" s="8" t="str">
        <f>IFERROR(__xludf.DUMMYFUNCTION("GOOGLETRANSLATE(B95, ""en"", ""hi"")"),"musti_yuddha_24")</f>
        <v>musti_yuddha_24</v>
      </c>
      <c r="I95" s="8" t="str">
        <f>IFERROR(__xludf.DUMMYFUNCTION("GOOGLETRANSLATE(C95, ""en"", ""hi"")"),"चित्र में दिखाए गए खेल से, निम्नलिखित में से कौन सा पारंपरिक प्रशिक्षण का एक प्रमुख सिद्धांत है?")</f>
        <v>चित्र में दिखाए गए खेल से, निम्नलिखित में से कौन सा पारंपरिक प्रशिक्षण का एक प्रमुख सिद्धांत है?</v>
      </c>
      <c r="J95" s="8" t="str">
        <f>IFERROR(__xludf.DUMMYFUNCTION("GOOGLETRANSLATE(D95, ""en"", ""hi"")"),"a) सम्मान, b) अनुशासन, c) धैर्य, d) आक्रामकता")</f>
        <v>a) सम्मान, b) अनुशासन, c) धैर्य, d) आक्रामकता</v>
      </c>
      <c r="K95" s="8" t="str">
        <f>IFERROR(__xludf.DUMMYFUNCTION("GOOGLETRANSLATE(E95, ""en"", ""hi"")"),"क) सम्मान, ख) अनुशासन, ग) धैर्य")</f>
        <v>क) सम्मान, ख) अनुशासन, ग) धैर्य</v>
      </c>
    </row>
    <row r="96" ht="22.5" customHeight="1">
      <c r="A96" s="2">
        <v>95.0</v>
      </c>
      <c r="B96" s="3" t="s">
        <v>1579</v>
      </c>
      <c r="C96" s="3" t="s">
        <v>1586</v>
      </c>
      <c r="D96" s="3" t="s">
        <v>1587</v>
      </c>
      <c r="E96" s="3" t="s">
        <v>1588</v>
      </c>
      <c r="G96" s="8" t="str">
        <f>IFERROR(__xludf.DUMMYFUNCTION("GOOGLETRANSLATE(A96, ""en"", ""hi"")"),"95")</f>
        <v>95</v>
      </c>
      <c r="H96" s="8" t="str">
        <f>IFERROR(__xludf.DUMMYFUNCTION("GOOGLETRANSLATE(B96, ""en"", ""hi"")"),"musti_yuddha_24")</f>
        <v>musti_yuddha_24</v>
      </c>
      <c r="I96" s="8" t="str">
        <f>IFERROR(__xludf.DUMMYFUNCTION("GOOGLETRANSLATE(C96, ""en"", ""hi"")"),"चित्र में दिखाए गए खेल से, प्रशिक्षण में डबल-एंड बैग का उपयोग करने का मुख्य उद्देश्य क्या है?")</f>
        <v>चित्र में दिखाए गए खेल से, प्रशिक्षण में डबल-एंड बैग का उपयोग करने का मुख्य उद्देश्य क्या है?</v>
      </c>
      <c r="J96" s="8" t="str">
        <f>IFERROR(__xludf.DUMMYFUNCTION("GOOGLETRANSLATE(D96, ""en"", ""hi"")"),"a) सटीकता में सुधार, b) गति में वृद्धि, c) लय का विकास, d) शक्ति का निर्माण")</f>
        <v>a) सटीकता में सुधार, b) गति में वृद्धि, c) लय का विकास, d) शक्ति का निर्माण</v>
      </c>
      <c r="K96" s="8" t="str">
        <f>IFERROR(__xludf.DUMMYFUNCTION("GOOGLETRANSLATE(E96, ""en"", ""hi"")"),"a) सटीकता में सुधार, b) गति में वृद्धि")</f>
        <v>a) सटीकता में सुधार, b) गति में वृद्धि</v>
      </c>
    </row>
    <row r="97" ht="22.5" customHeight="1">
      <c r="A97" s="2">
        <v>96.0</v>
      </c>
      <c r="B97" s="3" t="s">
        <v>1579</v>
      </c>
      <c r="C97" s="3" t="s">
        <v>1589</v>
      </c>
      <c r="D97" s="3" t="s">
        <v>1590</v>
      </c>
      <c r="E97" s="3" t="s">
        <v>1591</v>
      </c>
      <c r="G97" s="8" t="str">
        <f>IFERROR(__xludf.DUMMYFUNCTION("GOOGLETRANSLATE(A97, ""en"", ""hi"")"),"96")</f>
        <v>96</v>
      </c>
      <c r="H97" s="8" t="str">
        <f>IFERROR(__xludf.DUMMYFUNCTION("GOOGLETRANSLATE(B97, ""en"", ""hi"")"),"musti_yuddha_24")</f>
        <v>musti_yuddha_24</v>
      </c>
      <c r="I97" s="8" t="str">
        <f>IFERROR(__xludf.DUMMYFUNCTION("GOOGLETRANSLATE(C97, ""en"", ""hi"")"),"चित्र में दिखाए गए खेल में, उच्च प्रहारों से बचाव के लिए आमतौर पर किस तकनीक का उपयोग किया जाता है?")</f>
        <v>चित्र में दिखाए गए खेल में, उच्च प्रहारों से बचाव के लिए आमतौर पर किस तकनीक का उपयोग किया जाता है?</v>
      </c>
      <c r="J97" s="8" t="str">
        <f>IFERROR(__xludf.DUMMYFUNCTION("GOOGLETRANSLATE(D97, ""en"", ""hi"")"),"a) हाई गार्ड, b) डकिंग, c) पैरीइंग, d) कवरिंग")</f>
        <v>a) हाई गार्ड, b) डकिंग, c) पैरीइंग, d) कवरिंग</v>
      </c>
      <c r="K97" s="8" t="str">
        <f>IFERROR(__xludf.DUMMYFUNCTION("GOOGLETRANSLATE(E97, ""en"", ""hi"")"),"a) हाई गार्ड, b) डकिंग")</f>
        <v>a) हाई गार्ड, b) डकिंग</v>
      </c>
    </row>
    <row r="98" ht="22.5" customHeight="1">
      <c r="A98" s="2">
        <v>97.0</v>
      </c>
      <c r="B98" s="3" t="s">
        <v>1592</v>
      </c>
      <c r="C98" s="3" t="s">
        <v>1593</v>
      </c>
      <c r="D98" s="3" t="s">
        <v>1594</v>
      </c>
      <c r="E98" s="3" t="s">
        <v>1595</v>
      </c>
      <c r="G98" s="8" t="str">
        <f>IFERROR(__xludf.DUMMYFUNCTION("GOOGLETRANSLATE(A98, ""en"", ""hi"")"),"97")</f>
        <v>97</v>
      </c>
      <c r="H98" s="8" t="str">
        <f>IFERROR(__xludf.DUMMYFUNCTION("GOOGLETRANSLATE(B98, ""en"", ""hi"")"),"musti_yuddha_25")</f>
        <v>musti_yuddha_25</v>
      </c>
      <c r="I98" s="8" t="str">
        <f>IFERROR(__xludf.DUMMYFUNCTION("GOOGLETRANSLATE(C98, ""en"", ""hi"")"),"चित्र में दिखाए गए खेल में से कौन सा प्रशिक्षण उपकरण हाथों और पैरों के बीच समन्वय सुधारने के लिए प्रभावी है?")</f>
        <v>चित्र में दिखाए गए खेल में से कौन सा प्रशिक्षण उपकरण हाथों और पैरों के बीच समन्वय सुधारने के लिए प्रभावी है?</v>
      </c>
      <c r="J98" s="8" t="str">
        <f>IFERROR(__xludf.DUMMYFUNCTION("GOOGLETRANSLATE(D98, ""en"", ""hi"")"),"a) स्पीड बैग, b) फोकस मिट्स, c) एजिलिटी लैडर, d) हैवी बैग")</f>
        <v>a) स्पीड बैग, b) फोकस मिट्स, c) एजिलिटी लैडर, d) हैवी बैग</v>
      </c>
      <c r="K98" s="8" t="str">
        <f>IFERROR(__xludf.DUMMYFUNCTION("GOOGLETRANSLATE(E98, ""en"", ""hi"")"),"a) स्पीड बैग, c) चपलता सीढ़ी")</f>
        <v>a) स्पीड बैग, c) चपलता सीढ़ी</v>
      </c>
    </row>
    <row r="99" ht="22.5" customHeight="1">
      <c r="A99" s="2">
        <v>98.0</v>
      </c>
      <c r="B99" s="3" t="s">
        <v>1592</v>
      </c>
      <c r="C99" s="3" t="s">
        <v>1596</v>
      </c>
      <c r="D99" s="3" t="s">
        <v>1597</v>
      </c>
      <c r="E99" s="3" t="s">
        <v>1598</v>
      </c>
      <c r="G99" s="8" t="str">
        <f>IFERROR(__xludf.DUMMYFUNCTION("GOOGLETRANSLATE(A99, ""en"", ""hi"")"),"98")</f>
        <v>98</v>
      </c>
      <c r="H99" s="8" t="str">
        <f>IFERROR(__xludf.DUMMYFUNCTION("GOOGLETRANSLATE(B99, ""en"", ""hi"")"),"musti_yuddha_25")</f>
        <v>musti_yuddha_25</v>
      </c>
      <c r="I99" s="8" t="str">
        <f>IFERROR(__xludf.DUMMYFUNCTION("GOOGLETRANSLATE(C99, ""en"", ""hi"")"),"चित्र में दिखाए गए खेल से, फिसलन वाली सतह पर फुटवर्क अभ्यास करने से क्या लाभ है?")</f>
        <v>चित्र में दिखाए गए खेल से, फिसलन वाली सतह पर फुटवर्क अभ्यास करने से क्या लाभ है?</v>
      </c>
      <c r="J99" s="8" t="str">
        <f>IFERROR(__xludf.DUMMYFUNCTION("GOOGLETRANSLATE(D99, ""en"", ""hi"")"),"क) संतुलन में सुधार, ख) गति में वृद्धि, ग) पैर की मांसपेशियों को मजबूत करना, घ) चपलता में वृद्धि")</f>
        <v>क) संतुलन में सुधार, ख) गति में वृद्धि, ग) पैर की मांसपेशियों को मजबूत करना, घ) चपलता में वृद्धि</v>
      </c>
      <c r="K99" s="8" t="str">
        <f>IFERROR(__xludf.DUMMYFUNCTION("GOOGLETRANSLATE(E99, ""en"", ""hi"")"),"a) संतुलन में सुधार, d) चपलता में वृद्धि")</f>
        <v>a) संतुलन में सुधार, d) चपलता में वृद्धि</v>
      </c>
    </row>
    <row r="100" ht="22.5" customHeight="1">
      <c r="A100" s="2">
        <v>99.0</v>
      </c>
      <c r="B100" s="3" t="s">
        <v>1592</v>
      </c>
      <c r="C100" s="3" t="s">
        <v>1599</v>
      </c>
      <c r="D100" s="3" t="s">
        <v>1600</v>
      </c>
      <c r="E100" s="3" t="s">
        <v>1601</v>
      </c>
      <c r="G100" s="8" t="str">
        <f>IFERROR(__xludf.DUMMYFUNCTION("GOOGLETRANSLATE(A100, ""en"", ""hi"")"),"99")</f>
        <v>99</v>
      </c>
      <c r="H100" s="8" t="str">
        <f>IFERROR(__xludf.DUMMYFUNCTION("GOOGLETRANSLATE(B100, ""en"", ""hi"")"),"musti_yuddha_25")</f>
        <v>musti_yuddha_25</v>
      </c>
      <c r="I100" s="8" t="str">
        <f>IFERROR(__xludf.DUMMYFUNCTION("GOOGLETRANSLATE(C100, ""en"", ""hi"")"),"चित्र में दिखाए गए खेल में से, प्रभावी क्लिंचिंग के लिए कौन सी तकनीक आवश्यक है?")</f>
        <v>चित्र में दिखाए गए खेल में से, प्रभावी क्लिंचिंग के लिए कौन सी तकनीक आवश्यक है?</v>
      </c>
      <c r="J100" s="8" t="str">
        <f>IFERROR(__xludf.DUMMYFUNCTION("GOOGLETRANSLATE(D100, ""en"", ""hi"")"),"क) कलाई नियंत्रण, ख) सिर की स्थिति, ग) हाथ फंसाना, घ) पैर की स्थिति")</f>
        <v>क) कलाई नियंत्रण, ख) सिर की स्थिति, ग) हाथ फंसाना, घ) पैर की स्थिति</v>
      </c>
      <c r="K100" s="8" t="str">
        <f>IFERROR(__xludf.DUMMYFUNCTION("GOOGLETRANSLATE(E100, ""en"", ""hi"")"),"क) कलाई नियंत्रण, ख) सिर की स्थिति")</f>
        <v>क) कलाई नियंत्रण, ख) सिर की स्थिति</v>
      </c>
    </row>
    <row r="101" ht="22.5" customHeight="1">
      <c r="A101" s="2">
        <v>100.0</v>
      </c>
      <c r="B101" s="3" t="s">
        <v>1592</v>
      </c>
      <c r="C101" s="3" t="s">
        <v>1602</v>
      </c>
      <c r="D101" s="3" t="s">
        <v>1603</v>
      </c>
      <c r="E101" s="3" t="s">
        <v>1604</v>
      </c>
      <c r="G101" s="8" t="str">
        <f>IFERROR(__xludf.DUMMYFUNCTION("GOOGLETRANSLATE(A101, ""en"", ""hi"")"),"100")</f>
        <v>100</v>
      </c>
      <c r="H101" s="8" t="str">
        <f>IFERROR(__xludf.DUMMYFUNCTION("GOOGLETRANSLATE(B101, ""en"", ""hi"")"),"musti_yuddha_25")</f>
        <v>musti_yuddha_25</v>
      </c>
      <c r="I101" s="8" t="str">
        <f>IFERROR(__xludf.DUMMYFUNCTION("GOOGLETRANSLATE(C101, ""en"", ""hi"")"),"चित्र में दिखाए गए खेल में से, प्रशिक्षण का कौन सा पहलू मानसिक दृढ़ता में सुधार पर केंद्रित है?")</f>
        <v>चित्र में दिखाए गए खेल में से, प्रशिक्षण का कौन सा पहलू मानसिक दृढ़ता में सुधार पर केंद्रित है?</v>
      </c>
      <c r="J101" s="8" t="str">
        <f>IFERROR(__xludf.DUMMYFUNCTION("GOOGLETRANSLATE(D101, ""en"", ""hi"")"),"a) विज़ुअलाइज़ेशन, b) स्पैरिंग, c) ध्यान, d) सहनशक्ति प्रशिक्षण")</f>
        <v>a) विज़ुअलाइज़ेशन, b) स्पैरिंग, c) ध्यान, d) सहनशक्ति प्रशिक्षण</v>
      </c>
      <c r="K101" s="8" t="str">
        <f>IFERROR(__xludf.DUMMYFUNCTION("GOOGLETRANSLATE(E101, ""en"", ""hi"")"),"a) विज़ुअलाइज़ेशन, c) ध्यान")</f>
        <v>a) विज़ुअलाइज़ेशन, c) ध्यान</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29.38"/>
    <col customWidth="1" min="9" max="10" width="37.63"/>
    <col customWidth="1" min="11" max="11" width="26.0"/>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1605</v>
      </c>
      <c r="C2" s="3" t="s">
        <v>1606</v>
      </c>
      <c r="D2" s="3" t="s">
        <v>1607</v>
      </c>
      <c r="E2" s="3" t="s">
        <v>1608</v>
      </c>
      <c r="G2" s="8" t="str">
        <f>IFERROR(__xludf.DUMMYFUNCTION("GOOGLETRANSLATE(A2, ""en"", ""hi"")"),"1")</f>
        <v>1</v>
      </c>
      <c r="H2" s="8" t="str">
        <f>IFERROR(__xludf.DUMMYFUNCTION("GOOGLETRANSLATE(B2, ""en"", ""hi"")"),"लागोरी_1")</f>
        <v>लागोरी_1</v>
      </c>
      <c r="I2" s="8" t="str">
        <f>IFERROR(__xludf.DUMMYFUNCTION("GOOGLETRANSLATE(C2, ""en"", ""hi"")"),"लागोरी में आक्रमणकारी टीम का प्राथमिक उद्देश्य क्या है?")</f>
        <v>लागोरी में आक्रमणकारी टीम का प्राथमिक उद्देश्य क्या है?</v>
      </c>
      <c r="J2" s="8" t="str">
        <f>IFERROR(__xludf.DUMMYFUNCTION("GOOGLETRANSLATE(D2, ""en"", ""hi"")"),"A) पिरामिड तोड़ो, B) पिरामिड की रक्षा करो, C) झंडे पर कब्जा करो, D) सभी विरोधियों को टैग करो")</f>
        <v>A) पिरामिड तोड़ो, B) पिरामिड की रक्षा करो, C) झंडे पर कब्जा करो, D) सभी विरोधियों को टैग करो</v>
      </c>
      <c r="K2" s="8" t="str">
        <f>IFERROR(__xludf.DUMMYFUNCTION("GOOGLETRANSLATE(E2, ""en"", ""hi"")"),"A) पिरामिड तोड़ो")</f>
        <v>A) पिरामिड तोड़ो</v>
      </c>
    </row>
    <row r="3" ht="22.5" customHeight="1">
      <c r="A3" s="2">
        <v>2.0</v>
      </c>
      <c r="B3" s="3" t="s">
        <v>1605</v>
      </c>
      <c r="C3" s="3" t="s">
        <v>1609</v>
      </c>
      <c r="D3" s="3" t="s">
        <v>1610</v>
      </c>
      <c r="E3" s="3" t="s">
        <v>1611</v>
      </c>
      <c r="G3" s="8" t="str">
        <f>IFERROR(__xludf.DUMMYFUNCTION("GOOGLETRANSLATE(A3, ""en"", ""hi"")"),"2")</f>
        <v>2</v>
      </c>
      <c r="H3" s="8" t="str">
        <f>IFERROR(__xludf.DUMMYFUNCTION("GOOGLETRANSLATE(B3, ""en"", ""hi"")"),"लागोरी_1")</f>
        <v>लागोरी_1</v>
      </c>
      <c r="I3" s="8" t="str">
        <f>IFERROR(__xludf.DUMMYFUNCTION("GOOGLETRANSLATE(C3, ""en"", ""hi"")"),"लागोरी में स्टैक बनाने के लिए पारंपरिक रूप से किस सामग्री का उपयोग किया जाता है?")</f>
        <v>लागोरी में स्टैक बनाने के लिए पारंपरिक रूप से किस सामग्री का उपयोग किया जाता है?</v>
      </c>
      <c r="J3" s="8" t="str">
        <f>IFERROR(__xludf.DUMMYFUNCTION("GOOGLETRANSLATE(D3, ""en"", ""hi"")"),"A) पत्थर, B) लकड़ी, C) प्लास्टिक, D) धातु")</f>
        <v>A) पत्थर, B) लकड़ी, C) प्लास्टिक, D) धातु</v>
      </c>
      <c r="K3" s="8" t="str">
        <f>IFERROR(__xludf.DUMMYFUNCTION("GOOGLETRANSLATE(E3, ""en"", ""hi"")"),"ए) पत्थर")</f>
        <v>ए) पत्थर</v>
      </c>
    </row>
    <row r="4" ht="22.5" customHeight="1">
      <c r="A4" s="2">
        <v>3.0</v>
      </c>
      <c r="B4" s="3" t="s">
        <v>1605</v>
      </c>
      <c r="C4" s="3" t="s">
        <v>1612</v>
      </c>
      <c r="D4" s="3" t="s">
        <v>1613</v>
      </c>
      <c r="E4" s="3" t="s">
        <v>1281</v>
      </c>
      <c r="G4" s="8" t="str">
        <f>IFERROR(__xludf.DUMMYFUNCTION("GOOGLETRANSLATE(A4, ""en"", ""hi"")"),"3")</f>
        <v>3</v>
      </c>
      <c r="H4" s="8" t="str">
        <f>IFERROR(__xludf.DUMMYFUNCTION("GOOGLETRANSLATE(B4, ""en"", ""hi"")"),"लागोरी_1")</f>
        <v>लागोरी_1</v>
      </c>
      <c r="I4" s="8" t="str">
        <f>IFERROR(__xludf.DUMMYFUNCTION("GOOGLETRANSLATE(C4, ""en"", ""hi"")"),"लागोरी के मानक खेल में आमतौर पर कितने पत्थर रखे जाते हैं?")</f>
        <v>लागोरी के मानक खेल में आमतौर पर कितने पत्थर रखे जाते हैं?</v>
      </c>
      <c r="J4" s="8" t="str">
        <f>IFERROR(__xludf.DUMMYFUNCTION("GOOGLETRANSLATE(D4, ""en"", ""hi"")"),"ए) 3, बी) 5, सी) 7, डी) 9")</f>
        <v>ए) 3, बी) 5, सी) 7, डी) 9</v>
      </c>
      <c r="K4" s="8" t="str">
        <f>IFERROR(__xludf.DUMMYFUNCTION("GOOGLETRANSLATE(E4, ""en"", ""hi"")"),"सी) 7")</f>
        <v>सी) 7</v>
      </c>
    </row>
    <row r="5" ht="22.5" customHeight="1">
      <c r="A5" s="2">
        <v>4.0</v>
      </c>
      <c r="B5" s="3" t="s">
        <v>1605</v>
      </c>
      <c r="C5" s="3" t="s">
        <v>1614</v>
      </c>
      <c r="D5" s="3" t="s">
        <v>1615</v>
      </c>
      <c r="E5" s="3" t="s">
        <v>1616</v>
      </c>
      <c r="G5" s="8" t="str">
        <f>IFERROR(__xludf.DUMMYFUNCTION("GOOGLETRANSLATE(A5, ""en"", ""hi"")"),"4")</f>
        <v>4</v>
      </c>
      <c r="H5" s="8" t="str">
        <f>IFERROR(__xludf.DUMMYFUNCTION("GOOGLETRANSLATE(B5, ""en"", ""hi"")"),"लागोरी_1")</f>
        <v>लागोरी_1</v>
      </c>
      <c r="I5" s="8" t="str">
        <f>IFERROR(__xludf.DUMMYFUNCTION("GOOGLETRANSLATE(C5, ""en"", ""hi"")"),"लागोरी बजाने के लिए कौन सा उपकरण आवश्यक है?")</f>
        <v>लागोरी बजाने के लिए कौन सा उपकरण आवश्यक है?</v>
      </c>
      <c r="J5" s="8" t="str">
        <f>IFERROR(__xludf.DUMMYFUNCTION("GOOGLETRANSLATE(D5, ""en"", ""hi"")"),"A) बल्ला, B) गेंद, C) नेट, D) फ्रिसबी")</f>
        <v>A) बल्ला, B) गेंद, C) नेट, D) फ्रिसबी</v>
      </c>
      <c r="K5" s="8" t="str">
        <f>IFERROR(__xludf.DUMMYFUNCTION("GOOGLETRANSLATE(E5, ""en"", ""hi"")"),"बी) गेंद")</f>
        <v>बी) गेंद</v>
      </c>
    </row>
    <row r="6" ht="22.5" customHeight="1">
      <c r="A6" s="2">
        <v>5.0</v>
      </c>
      <c r="B6" s="3" t="s">
        <v>1617</v>
      </c>
      <c r="C6" s="3" t="s">
        <v>1618</v>
      </c>
      <c r="D6" s="3" t="s">
        <v>1619</v>
      </c>
      <c r="E6" s="3" t="s">
        <v>1620</v>
      </c>
      <c r="G6" s="8" t="str">
        <f>IFERROR(__xludf.DUMMYFUNCTION("GOOGLETRANSLATE(A6, ""en"", ""hi"")"),"5")</f>
        <v>5</v>
      </c>
      <c r="H6" s="8" t="str">
        <f>IFERROR(__xludf.DUMMYFUNCTION("GOOGLETRANSLATE(B6, ""en"", ""hi"")"),"लागोरी_2")</f>
        <v>लागोरी_2</v>
      </c>
      <c r="I6" s="8" t="str">
        <f>IFERROR(__xludf.DUMMYFUNCTION("GOOGLETRANSLATE(C6, ""en"", ""hi"")"),"लागोरी में रक्षात्मक टीम की मुख्य भूमिका क्या है?")</f>
        <v>लागोरी में रक्षात्मक टीम की मुख्य भूमिका क्या है?</v>
      </c>
      <c r="J6" s="8" t="str">
        <f>IFERROR(__xludf.DUMMYFUNCTION("GOOGLETRANSLATE(D6, ""en"", ""hi"")"),"A) पिरामिड का पुनर्निर्माण करें, B) पिरामिड को तोड़ें, C) गेंद से टकराने से बचें, D) अंक अर्जित करें")</f>
        <v>A) पिरामिड का पुनर्निर्माण करें, B) पिरामिड को तोड़ें, C) गेंद से टकराने से बचें, D) अंक अर्जित करें</v>
      </c>
      <c r="K6" s="8" t="str">
        <f>IFERROR(__xludf.DUMMYFUNCTION("GOOGLETRANSLATE(E6, ""en"", ""hi"")"),"C) गेंद से टकराने से बचें")</f>
        <v>C) गेंद से टकराने से बचें</v>
      </c>
    </row>
    <row r="7" ht="22.5" customHeight="1">
      <c r="A7" s="2">
        <v>6.0</v>
      </c>
      <c r="B7" s="3" t="s">
        <v>1617</v>
      </c>
      <c r="C7" s="3" t="s">
        <v>1621</v>
      </c>
      <c r="D7" s="3" t="s">
        <v>1622</v>
      </c>
      <c r="E7" s="3" t="s">
        <v>1623</v>
      </c>
      <c r="G7" s="8" t="str">
        <f>IFERROR(__xludf.DUMMYFUNCTION("GOOGLETRANSLATE(A7, ""en"", ""hi"")"),"6")</f>
        <v>6</v>
      </c>
      <c r="H7" s="8" t="str">
        <f>IFERROR(__xludf.DUMMYFUNCTION("GOOGLETRANSLATE(B7, ""en"", ""hi"")"),"लागोरी_2")</f>
        <v>लागोरी_2</v>
      </c>
      <c r="I7" s="8" t="str">
        <f>IFERROR(__xludf.DUMMYFUNCTION("GOOGLETRANSLATE(C7, ""en"", ""hi"")"),"यदि रक्षात्मक टीम के किसी खिलाड़ी को गेंद लग जाए तो क्या होगा?")</f>
        <v>यदि रक्षात्मक टीम के किसी खिलाड़ी को गेंद लग जाए तो क्या होगा?</v>
      </c>
      <c r="J7" s="8" t="str">
        <f>IFERROR(__xludf.DUMMYFUNCTION("GOOGLETRANSLATE(D7, ""en"", ""hi"")"),"A) वे खेल से बाहर हो जाते हैं, B) वे टीम बदल लेते हैं, C) उन्हें एक अंक मिलता है, D) खेल पुनः शुरू हो जाता है")</f>
        <v>A) वे खेल से बाहर हो जाते हैं, B) वे टीम बदल लेते हैं, C) उन्हें एक अंक मिलता है, D) खेल पुनः शुरू हो जाता है</v>
      </c>
      <c r="K7" s="8" t="str">
        <f>IFERROR(__xludf.DUMMYFUNCTION("GOOGLETRANSLATE(E7, ""en"", ""hi"")"),"A) वे खेल से बाहर हो गए हैं")</f>
        <v>A) वे खेल से बाहर हो गए हैं</v>
      </c>
    </row>
    <row r="8" ht="22.5" customHeight="1">
      <c r="A8" s="2">
        <v>7.0</v>
      </c>
      <c r="B8" s="3" t="s">
        <v>1617</v>
      </c>
      <c r="C8" s="3" t="s">
        <v>1624</v>
      </c>
      <c r="D8" s="3" t="s">
        <v>1625</v>
      </c>
      <c r="E8" s="3" t="s">
        <v>1626</v>
      </c>
      <c r="G8" s="8" t="str">
        <f>IFERROR(__xludf.DUMMYFUNCTION("GOOGLETRANSLATE(A8, ""en"", ""hi"")"),"7")</f>
        <v>7</v>
      </c>
      <c r="H8" s="8" t="str">
        <f>IFERROR(__xludf.DUMMYFUNCTION("GOOGLETRANSLATE(B8, ""en"", ""hi"")"),"लागोरी_2")</f>
        <v>लागोरी_2</v>
      </c>
      <c r="I8" s="8" t="str">
        <f>IFERROR(__xludf.DUMMYFUNCTION("GOOGLETRANSLATE(C8, ""en"", ""hi"")"),"लागोरी में, जब सभी पत्थर गिरा दिए जाते हैं तो क्या शब्द प्रयोग किया जाता है?")</f>
        <v>लागोरी में, जब सभी पत्थर गिरा दिए जाते हैं तो क्या शब्द प्रयोग किया जाता है?</v>
      </c>
      <c r="J8" s="8" t="str">
        <f>IFERROR(__xludf.DUMMYFUNCTION("GOOGLETRANSLATE(D8, ""en"", ""hi"")"),"ए) लागोरी, बी) फुल डाउन, सी) स्ट्राइक, डी) ओवर")</f>
        <v>ए) लागोरी, बी) फुल डाउन, सी) स्ट्राइक, डी) ओवर</v>
      </c>
      <c r="K8" s="8" t="str">
        <f>IFERROR(__xludf.DUMMYFUNCTION("GOOGLETRANSLATE(E8, ""en"", ""hi"")"),"ए) लागोरी")</f>
        <v>ए) लागोरी</v>
      </c>
    </row>
    <row r="9" ht="22.5" customHeight="1">
      <c r="A9" s="2">
        <v>8.0</v>
      </c>
      <c r="B9" s="3" t="s">
        <v>1617</v>
      </c>
      <c r="C9" s="3" t="s">
        <v>1627</v>
      </c>
      <c r="D9" s="3" t="s">
        <v>1628</v>
      </c>
      <c r="E9" s="3" t="s">
        <v>1629</v>
      </c>
      <c r="G9" s="8" t="str">
        <f>IFERROR(__xludf.DUMMYFUNCTION("GOOGLETRANSLATE(A9, ""en"", ""hi"")"),"8")</f>
        <v>8</v>
      </c>
      <c r="H9" s="8" t="str">
        <f>IFERROR(__xludf.DUMMYFUNCTION("GOOGLETRANSLATE(B9, ""en"", ""hi"")"),"लागोरी_2")</f>
        <v>लागोरी_2</v>
      </c>
      <c r="I9" s="8" t="str">
        <f>IFERROR(__xludf.DUMMYFUNCTION("GOOGLETRANSLATE(C9, ""en"", ""hi"")"),"यदि आक्रमणकारी टीम लागोरी में पत्थरों को गिराने में असफल हो जाती है तो परिणाम क्या होगा?")</f>
        <v>यदि आक्रमणकारी टीम लागोरी में पत्थरों को गिराने में असफल हो जाती है तो परिणाम क्या होगा?</v>
      </c>
      <c r="J9" s="8" t="str">
        <f>IFERROR(__xludf.DUMMYFUNCTION("GOOGLETRANSLATE(D9, ""en"", ""hi"")"),"A) वे एक अंक खो देते हैं, B) बारी दूसरी टीम को मिल जाती है, C) उन्हें पुनः प्रयास करना होगा, D) उन्हें पेनल्टी मिलती है")</f>
        <v>A) वे एक अंक खो देते हैं, B) बारी दूसरी टीम को मिल जाती है, C) उन्हें पुनः प्रयास करना होगा, D) उन्हें पेनल्टी मिलती है</v>
      </c>
      <c r="K9" s="8" t="str">
        <f>IFERROR(__xludf.DUMMYFUNCTION("GOOGLETRANSLATE(E9, ""en"", ""hi"")"),"B) बारी दूसरी टीम को सौंप दी जाती है")</f>
        <v>B) बारी दूसरी टीम को सौंप दी जाती है</v>
      </c>
    </row>
    <row r="10" ht="22.5" customHeight="1">
      <c r="A10" s="2">
        <v>9.0</v>
      </c>
      <c r="B10" s="3" t="s">
        <v>1630</v>
      </c>
      <c r="C10" s="3" t="s">
        <v>1631</v>
      </c>
      <c r="D10" s="3" t="s">
        <v>1632</v>
      </c>
      <c r="E10" s="3" t="s">
        <v>1633</v>
      </c>
      <c r="G10" s="8" t="str">
        <f>IFERROR(__xludf.DUMMYFUNCTION("GOOGLETRANSLATE(A10, ""en"", ""hi"")"),"9")</f>
        <v>9</v>
      </c>
      <c r="H10" s="8" t="str">
        <f>IFERROR(__xludf.DUMMYFUNCTION("GOOGLETRANSLATE(B10, ""en"", ""hi"")"),"लागोरी_3")</f>
        <v>लागोरी_3</v>
      </c>
      <c r="I10" s="8" t="str">
        <f>IFERROR(__xludf.DUMMYFUNCTION("GOOGLETRANSLATE(C10, ""en"", ""hi"")"),"लागोरी में सफलता के लिए कौन सा कौशल सबसे महत्वपूर्ण है?")</f>
        <v>लागोरी में सफलता के लिए कौन सा कौशल सबसे महत्वपूर्ण है?</v>
      </c>
      <c r="J10" s="8" t="str">
        <f>IFERROR(__xludf.DUMMYFUNCTION("GOOGLETRANSLATE(D10, ""en"", ""hi"")"),"A) कूदना, B) दौड़ना, C) सटीकता से फेंकना, D) पकड़ना")</f>
        <v>A) कूदना, B) दौड़ना, C) सटीकता से फेंकना, D) पकड़ना</v>
      </c>
      <c r="K10" s="8" t="str">
        <f>IFERROR(__xludf.DUMMYFUNCTION("GOOGLETRANSLATE(E10, ""en"", ""hi"")"),"C) फेंकने की सटीकता")</f>
        <v>C) फेंकने की सटीकता</v>
      </c>
    </row>
    <row r="11" ht="22.5" customHeight="1">
      <c r="A11" s="2">
        <v>10.0</v>
      </c>
      <c r="B11" s="3" t="s">
        <v>1630</v>
      </c>
      <c r="C11" s="3" t="s">
        <v>1634</v>
      </c>
      <c r="D11" s="3" t="s">
        <v>1635</v>
      </c>
      <c r="E11" s="3" t="s">
        <v>1636</v>
      </c>
      <c r="G11" s="8" t="str">
        <f>IFERROR(__xludf.DUMMYFUNCTION("GOOGLETRANSLATE(A11, ""en"", ""hi"")"),"10")</f>
        <v>10</v>
      </c>
      <c r="H11" s="8" t="str">
        <f>IFERROR(__xludf.DUMMYFUNCTION("GOOGLETRANSLATE(B11, ""en"", ""hi"")"),"लागोरी_3")</f>
        <v>लागोरी_3</v>
      </c>
      <c r="I11" s="8" t="str">
        <f>IFERROR(__xludf.DUMMYFUNCTION("GOOGLETRANSLATE(C11, ""en"", ""hi"")"),"लागोरी में कोई टीम खेल कैसे जीतती है?")</f>
        <v>लागोरी में कोई टीम खेल कैसे जीतती है?</v>
      </c>
      <c r="J11" s="8" t="str">
        <f>IFERROR(__xludf.DUMMYFUNCTION("GOOGLETRANSLATE(D11, ""en"", ""hi"")"),"A) एक ही प्रयास में सभी पत्थरों को गिराकर, B) सभी विरोधियों को खत्म करके, C) पिरामिड का पुनर्निर्माण करके, D) सबसे अधिक अंक प्राप्त करके")</f>
        <v>A) एक ही प्रयास में सभी पत्थरों को गिराकर, B) सभी विरोधियों को खत्म करके, C) पिरामिड का पुनर्निर्माण करके, D) सबसे अधिक अंक प्राप्त करके</v>
      </c>
      <c r="K11" s="8" t="str">
        <f>IFERROR(__xludf.DUMMYFUNCTION("GOOGLETRANSLATE(E11, ""en"", ""hi"")"),"C) पिरामिड का पुनर्निर्माण करके")</f>
        <v>C) पिरामिड का पुनर्निर्माण करके</v>
      </c>
    </row>
    <row r="12" ht="22.5" customHeight="1">
      <c r="A12" s="2">
        <v>11.0</v>
      </c>
      <c r="B12" s="3" t="s">
        <v>1630</v>
      </c>
      <c r="C12" s="3" t="s">
        <v>1637</v>
      </c>
      <c r="D12" s="3" t="s">
        <v>1613</v>
      </c>
      <c r="E12" s="3" t="s">
        <v>1281</v>
      </c>
      <c r="G12" s="8" t="str">
        <f>IFERROR(__xludf.DUMMYFUNCTION("GOOGLETRANSLATE(A12, ""en"", ""hi"")"),"11")</f>
        <v>11</v>
      </c>
      <c r="H12" s="8" t="str">
        <f>IFERROR(__xludf.DUMMYFUNCTION("GOOGLETRANSLATE(B12, ""en"", ""hi"")"),"लागोरी_3")</f>
        <v>लागोरी_3</v>
      </c>
      <c r="I12" s="8" t="str">
        <f>IFERROR(__xludf.DUMMYFUNCTION("GOOGLETRANSLATE(C12, ""en"", ""hi"")"),"लागोरी के खेल में प्रत्येक टीम में आमतौर पर कितने खिलाड़ी होते हैं?")</f>
        <v>लागोरी के खेल में प्रत्येक टीम में आमतौर पर कितने खिलाड़ी होते हैं?</v>
      </c>
      <c r="J12" s="8" t="str">
        <f>IFERROR(__xludf.DUMMYFUNCTION("GOOGLETRANSLATE(D12, ""en"", ""hi"")"),"ए) 3, बी) 5, सी) 7, डी) 9")</f>
        <v>ए) 3, बी) 5, सी) 7, डी) 9</v>
      </c>
      <c r="K12" s="8" t="str">
        <f>IFERROR(__xludf.DUMMYFUNCTION("GOOGLETRANSLATE(E12, ""en"", ""hi"")"),"सी) 7")</f>
        <v>सी) 7</v>
      </c>
    </row>
    <row r="13" ht="22.5" customHeight="1">
      <c r="A13" s="2">
        <v>12.0</v>
      </c>
      <c r="B13" s="3" t="s">
        <v>1630</v>
      </c>
      <c r="C13" s="3" t="s">
        <v>1638</v>
      </c>
      <c r="D13" s="3" t="s">
        <v>1639</v>
      </c>
      <c r="E13" s="3" t="s">
        <v>1640</v>
      </c>
      <c r="G13" s="8" t="str">
        <f>IFERROR(__xludf.DUMMYFUNCTION("GOOGLETRANSLATE(A13, ""en"", ""hi"")"),"12")</f>
        <v>12</v>
      </c>
      <c r="H13" s="8" t="str">
        <f>IFERROR(__xludf.DUMMYFUNCTION("GOOGLETRANSLATE(B13, ""en"", ""hi"")"),"लागोरी_3")</f>
        <v>लागोरी_3</v>
      </c>
      <c r="I13" s="8" t="str">
        <f>IFERROR(__xludf.DUMMYFUNCTION("GOOGLETRANSLATE(C13, ""en"", ""hi"")"),"यदि रक्षात्मक टीम सफलतापूर्वक लागोरी में पिरामिड का पुनर्निर्माण कर ले तो क्या होगा?")</f>
        <v>यदि रक्षात्मक टीम सफलतापूर्वक लागोरी में पिरामिड का पुनर्निर्माण कर ले तो क्या होगा?</v>
      </c>
      <c r="J13" s="8" t="str">
        <f>IFERROR(__xludf.DUMMYFUNCTION("GOOGLETRANSLATE(D13, ""en"", ""hi"")"),"A) वे खेल जीत जाते हैं, B) खेल जारी रहता है, C) खेल बराबरी पर समाप्त होता है, D) वे पक्ष बदल लेते हैं")</f>
        <v>A) वे खेल जीत जाते हैं, B) खेल जारी रहता है, C) खेल बराबरी पर समाप्त होता है, D) वे पक्ष बदल लेते हैं</v>
      </c>
      <c r="K13" s="8" t="str">
        <f>IFERROR(__xludf.DUMMYFUNCTION("GOOGLETRANSLATE(E13, ""en"", ""hi"")"),"बी) खेल जारी है")</f>
        <v>बी) खेल जारी है</v>
      </c>
    </row>
    <row r="14" ht="22.5" customHeight="1">
      <c r="A14" s="2">
        <v>13.0</v>
      </c>
      <c r="B14" s="3" t="s">
        <v>1641</v>
      </c>
      <c r="C14" s="3" t="s">
        <v>1642</v>
      </c>
      <c r="D14" s="3" t="s">
        <v>1643</v>
      </c>
      <c r="E14" s="3" t="s">
        <v>1644</v>
      </c>
      <c r="G14" s="8" t="str">
        <f>IFERROR(__xludf.DUMMYFUNCTION("GOOGLETRANSLATE(A14, ""en"", ""hi"")"),"13")</f>
        <v>13</v>
      </c>
      <c r="H14" s="8" t="str">
        <f>IFERROR(__xludf.DUMMYFUNCTION("GOOGLETRANSLATE(B14, ""en"", ""hi"")"),"लागोरी_4")</f>
        <v>लागोरी_4</v>
      </c>
      <c r="I14" s="8" t="str">
        <f>IFERROR(__xludf.DUMMYFUNCTION("GOOGLETRANSLATE(C14, ""en"", ""hi"")"),"लागोरी में निम्नलिखित में से कौन सा कार्य अवैध है?")</f>
        <v>लागोरी में निम्नलिखित में से कौन सा कार्य अवैध है?</v>
      </c>
      <c r="J14" s="8" t="str">
        <f>IFERROR(__xludf.DUMMYFUNCTION("GOOGLETRANSLATE(D14, ""en"", ""hi"")"),"A) गेंद को अंडरआर्म फेंकना, B) गेंद को ओवरहैंड फेंकना, C) गेंद को हाथों से रोकना, D) गेंद को किक मारना")</f>
        <v>A) गेंद को अंडरआर्म फेंकना, B) गेंद को ओवरहैंड फेंकना, C) गेंद को हाथों से रोकना, D) गेंद को किक मारना</v>
      </c>
      <c r="K14" s="8" t="str">
        <f>IFERROR(__xludf.DUMMYFUNCTION("GOOGLETRANSLATE(E14, ""en"", ""hi"")"),"D) गेंद को किक मारना")</f>
        <v>D) गेंद को किक मारना</v>
      </c>
    </row>
    <row r="15" ht="22.5" customHeight="1">
      <c r="A15" s="2">
        <v>14.0</v>
      </c>
      <c r="B15" s="3" t="s">
        <v>1641</v>
      </c>
      <c r="C15" s="3" t="s">
        <v>1645</v>
      </c>
      <c r="D15" s="3" t="s">
        <v>1646</v>
      </c>
      <c r="E15" s="3" t="s">
        <v>1647</v>
      </c>
      <c r="G15" s="8" t="str">
        <f>IFERROR(__xludf.DUMMYFUNCTION("GOOGLETRANSLATE(A15, ""en"", ""hi"")"),"14")</f>
        <v>14</v>
      </c>
      <c r="H15" s="8" t="str">
        <f>IFERROR(__xludf.DUMMYFUNCTION("GOOGLETRANSLATE(B15, ""en"", ""hi"")"),"लागोरी_4")</f>
        <v>लागोरी_4</v>
      </c>
      <c r="I15" s="8" t="str">
        <f>IFERROR(__xludf.DUMMYFUNCTION("GOOGLETRANSLATE(C15, ""en"", ""hi"")"),"पत्थरों को गिराने के बाद हमलावर टीम क्या करती है?")</f>
        <v>पत्थरों को गिराने के बाद हमलावर टीम क्या करती है?</v>
      </c>
      <c r="J15" s="8" t="str">
        <f>IFERROR(__xludf.DUMMYFUNCTION("GOOGLETRANSLATE(D15, ""en"", ""hi"")"),"A) भागना और छिपना, B) पिरामिड का पुनर्निर्माण करना, C) विरोधियों पर गेंद फेंकना, D) क्षेत्र की रक्षा करना")</f>
        <v>A) भागना और छिपना, B) पिरामिड का पुनर्निर्माण करना, C) विरोधियों पर गेंद फेंकना, D) क्षेत्र की रक्षा करना</v>
      </c>
      <c r="K15" s="8" t="str">
        <f>IFERROR(__xludf.DUMMYFUNCTION("GOOGLETRANSLATE(E15, ""en"", ""hi"")"),"C) विरोधियों पर गेंद फेंकना")</f>
        <v>C) विरोधियों पर गेंद फेंकना</v>
      </c>
    </row>
    <row r="16" ht="22.5" customHeight="1">
      <c r="A16" s="2">
        <v>15.0</v>
      </c>
      <c r="B16" s="3" t="s">
        <v>1641</v>
      </c>
      <c r="C16" s="3" t="s">
        <v>1648</v>
      </c>
      <c r="D16" s="3" t="s">
        <v>1649</v>
      </c>
      <c r="E16" s="3" t="s">
        <v>1650</v>
      </c>
      <c r="G16" s="8" t="str">
        <f>IFERROR(__xludf.DUMMYFUNCTION("GOOGLETRANSLATE(A16, ""en"", ""hi"")"),"15")</f>
        <v>15</v>
      </c>
      <c r="H16" s="8" t="str">
        <f>IFERROR(__xludf.DUMMYFUNCTION("GOOGLETRANSLATE(B16, ""en"", ""hi"")"),"लागोरी_4")</f>
        <v>लागोरी_4</v>
      </c>
      <c r="I16" s="8" t="str">
        <f>IFERROR(__xludf.DUMMYFUNCTION("GOOGLETRANSLATE(C16, ""en"", ""hi"")"),"लागोरी में, रक्षात्मक टीम में खड़े अंतिम खिलाड़ी की भूमिका क्या है?")</f>
        <v>लागोरी में, रक्षात्मक टीम में खड़े अंतिम खिलाड़ी की भूमिका क्या है?</v>
      </c>
      <c r="J16" s="8" t="str">
        <f>IFERROR(__xludf.DUMMYFUNCTION("GOOGLETRANSLATE(D16, ""en"", ""hi"")"),"A) पिरामिड को गिराना, B) पिरामिड का पुनर्निर्माण करना, C) पिरामिड की रक्षा करना, D) गेंद को पकड़ना")</f>
        <v>A) पिरामिड को गिराना, B) पिरामिड का पुनर्निर्माण करना, C) पिरामिड की रक्षा करना, D) गेंद को पकड़ना</v>
      </c>
      <c r="K16" s="8" t="str">
        <f>IFERROR(__xludf.DUMMYFUNCTION("GOOGLETRANSLATE(E16, ""en"", ""hi"")"),"बी) पिरामिड का पुनर्निर्माण")</f>
        <v>बी) पिरामिड का पुनर्निर्माण</v>
      </c>
    </row>
    <row r="17" ht="22.5" customHeight="1">
      <c r="A17" s="2">
        <v>16.0</v>
      </c>
      <c r="B17" s="3" t="s">
        <v>1641</v>
      </c>
      <c r="C17" s="3" t="s">
        <v>1651</v>
      </c>
      <c r="D17" s="3" t="s">
        <v>1652</v>
      </c>
      <c r="E17" s="3" t="s">
        <v>1653</v>
      </c>
      <c r="G17" s="8" t="str">
        <f>IFERROR(__xludf.DUMMYFUNCTION("GOOGLETRANSLATE(A17, ""en"", ""hi"")"),"16")</f>
        <v>16</v>
      </c>
      <c r="H17" s="8" t="str">
        <f>IFERROR(__xludf.DUMMYFUNCTION("GOOGLETRANSLATE(B17, ""en"", ""hi"")"),"लागोरी_4")</f>
        <v>लागोरी_4</v>
      </c>
      <c r="I17" s="8" t="str">
        <f>IFERROR(__xludf.DUMMYFUNCTION("GOOGLETRANSLATE(C17, ""en"", ""hi"")"),"लागोरी में आमतौर पर किस प्रकार की गेंद का उपयोग किया जाता है?")</f>
        <v>लागोरी में आमतौर पर किस प्रकार की गेंद का उपयोग किया जाता है?</v>
      </c>
      <c r="J17" s="8" t="str">
        <f>IFERROR(__xludf.DUMMYFUNCTION("GOOGLETRANSLATE(D17, ""en"", ""hi"")"),"A) टेनिस बॉल, B) बास्केटबॉल, C) क्रिकेट बॉल, D) फुटबॉल")</f>
        <v>A) टेनिस बॉल, B) बास्केटबॉल, C) क्रिकेट बॉल, D) फुटबॉल</v>
      </c>
      <c r="K17" s="8" t="str">
        <f>IFERROR(__xludf.DUMMYFUNCTION("GOOGLETRANSLATE(E17, ""en"", ""hi"")"),"A) टेनिस बॉल")</f>
        <v>A) टेनिस बॉल</v>
      </c>
    </row>
    <row r="18" ht="22.5" customHeight="1">
      <c r="A18" s="2">
        <v>17.0</v>
      </c>
      <c r="B18" s="3" t="s">
        <v>1654</v>
      </c>
      <c r="C18" s="3" t="s">
        <v>1655</v>
      </c>
      <c r="D18" s="3" t="s">
        <v>1656</v>
      </c>
      <c r="E18" s="3" t="s">
        <v>1657</v>
      </c>
      <c r="G18" s="8" t="str">
        <f>IFERROR(__xludf.DUMMYFUNCTION("GOOGLETRANSLATE(A18, ""en"", ""hi"")"),"17")</f>
        <v>17</v>
      </c>
      <c r="H18" s="8" t="str">
        <f>IFERROR(__xludf.DUMMYFUNCTION("GOOGLETRANSLATE(B18, ""en"", ""hi"")"),"लागोरी_5")</f>
        <v>लागोरी_5</v>
      </c>
      <c r="I18" s="8" t="str">
        <f>IFERROR(__xludf.DUMMYFUNCTION("GOOGLETRANSLATE(C18, ""en"", ""hi"")"),"लागोरी में, जब पत्थरों का पुनर्निर्माण हो जाता है तो हमलावर टीम क्या करती है?")</f>
        <v>लागोरी में, जब पत्थरों का पुनर्निर्माण हो जाता है तो हमलावर टीम क्या करती है?</v>
      </c>
      <c r="J18" s="8" t="str">
        <f>IFERROR(__xludf.DUMMYFUNCTION("GOOGLETRANSLATE(D18, ""en"", ""hi"")"),"A) आक्रमण जारी रखें, B) भूमिकाएँ बदलें, C) पुनः निर्मित पत्थरों की रक्षा करें, D) खेल समाप्त करें")</f>
        <v>A) आक्रमण जारी रखें, B) भूमिकाएँ बदलें, C) पुनः निर्मित पत्थरों की रक्षा करें, D) खेल समाप्त करें</v>
      </c>
      <c r="K18" s="8" t="str">
        <f>IFERROR(__xludf.DUMMYFUNCTION("GOOGLETRANSLATE(E18, ""en"", ""hi"")"),"बी) भूमिकाएँ बदलें")</f>
        <v>बी) भूमिकाएँ बदलें</v>
      </c>
    </row>
    <row r="19" ht="22.5" customHeight="1">
      <c r="A19" s="2">
        <v>18.0</v>
      </c>
      <c r="B19" s="3" t="s">
        <v>1654</v>
      </c>
      <c r="C19" s="3" t="s">
        <v>1658</v>
      </c>
      <c r="D19" s="3" t="s">
        <v>1659</v>
      </c>
      <c r="E19" s="3" t="s">
        <v>1660</v>
      </c>
      <c r="G19" s="8" t="str">
        <f>IFERROR(__xludf.DUMMYFUNCTION("GOOGLETRANSLATE(A19, ""en"", ""hi"")"),"18")</f>
        <v>18</v>
      </c>
      <c r="H19" s="8" t="str">
        <f>IFERROR(__xludf.DUMMYFUNCTION("GOOGLETRANSLATE(B19, ""en"", ""hi"")"),"लागोरी_5")</f>
        <v>लागोरी_5</v>
      </c>
      <c r="I19" s="8" t="str">
        <f>IFERROR(__xludf.DUMMYFUNCTION("GOOGLETRANSLATE(C19, ""en"", ""hi"")"),"दक्षिण भारत में लागोरी के लिए पारंपरिक शब्द क्या है?")</f>
        <v>दक्षिण भारत में लागोरी के लिए पारंपरिक शब्द क्या है?</v>
      </c>
      <c r="J19" s="8" t="str">
        <f>IFERROR(__xludf.DUMMYFUNCTION("GOOGLETRANSLATE(D19, ""en"", ""hi"")"),"ए) सातोलिया, बी) लिंगोरचा, सी) पिट्टू, डी) चेंडा")</f>
        <v>ए) सातोलिया, बी) लिंगोरचा, सी) पिट्टू, डी) चेंडा</v>
      </c>
      <c r="K19" s="8" t="str">
        <f>IFERROR(__xludf.DUMMYFUNCTION("GOOGLETRANSLATE(E19, ""en"", ""hi"")"),"बी) लिंगोरचा")</f>
        <v>बी) लिंगोरचा</v>
      </c>
    </row>
    <row r="20" ht="22.5" customHeight="1">
      <c r="A20" s="2">
        <v>19.0</v>
      </c>
      <c r="B20" s="3" t="s">
        <v>1654</v>
      </c>
      <c r="C20" s="3" t="s">
        <v>1661</v>
      </c>
      <c r="D20" s="3" t="s">
        <v>1662</v>
      </c>
      <c r="E20" s="3" t="s">
        <v>1663</v>
      </c>
      <c r="G20" s="8" t="str">
        <f>IFERROR(__xludf.DUMMYFUNCTION("GOOGLETRANSLATE(A20, ""en"", ""hi"")"),"19")</f>
        <v>19</v>
      </c>
      <c r="H20" s="8" t="str">
        <f>IFERROR(__xludf.DUMMYFUNCTION("GOOGLETRANSLATE(B20, ""en"", ""hi"")"),"लागोरी_5")</f>
        <v>लागोरी_5</v>
      </c>
      <c r="I20" s="8" t="str">
        <f>IFERROR(__xludf.DUMMYFUNCTION("GOOGLETRANSLATE(C20, ""en"", ""hi"")"),"लागोरी में गेंद फेंकने के लिए आमतौर पर शरीर के किस हिस्से का उपयोग किया जाता है?")</f>
        <v>लागोरी में गेंद फेंकने के लिए आमतौर पर शरीर के किस हिस्से का उपयोग किया जाता है?</v>
      </c>
      <c r="J20" s="8" t="str">
        <f>IFERROR(__xludf.DUMMYFUNCTION("GOOGLETRANSLATE(D20, ""en"", ""hi"")"),"A) पैर, B) हाथ, C) सिर, D) कोहनी")</f>
        <v>A) पैर, B) हाथ, C) सिर, D) कोहनी</v>
      </c>
      <c r="K20" s="8" t="str">
        <f>IFERROR(__xludf.DUMMYFUNCTION("GOOGLETRANSLATE(E20, ""en"", ""hi"")"),"बी) हाथ")</f>
        <v>बी) हाथ</v>
      </c>
    </row>
    <row r="21" ht="22.5" customHeight="1">
      <c r="A21" s="2">
        <v>20.0</v>
      </c>
      <c r="B21" s="3" t="s">
        <v>1654</v>
      </c>
      <c r="C21" s="3" t="s">
        <v>1664</v>
      </c>
      <c r="D21" s="3" t="s">
        <v>1665</v>
      </c>
      <c r="E21" s="3" t="s">
        <v>1666</v>
      </c>
      <c r="G21" s="8" t="str">
        <f>IFERROR(__xludf.DUMMYFUNCTION("GOOGLETRANSLATE(A21, ""en"", ""hi"")"),"20")</f>
        <v>20</v>
      </c>
      <c r="H21" s="8" t="str">
        <f>IFERROR(__xludf.DUMMYFUNCTION("GOOGLETRANSLATE(B21, ""en"", ""hi"")"),"लागोरी_5")</f>
        <v>लागोरी_5</v>
      </c>
      <c r="I21" s="8" t="str">
        <f>IFERROR(__xludf.DUMMYFUNCTION("GOOGLETRANSLATE(C21, ""en"", ""hi"")"),"यदि कोई खिलाड़ी लागोरी में गेंद पकड़ लेता है तो क्या होता है?")</f>
        <v>यदि कोई खिलाड़ी लागोरी में गेंद पकड़ लेता है तो क्या होता है?</v>
      </c>
      <c r="J21" s="8" t="str">
        <f>IFERROR(__xludf.DUMMYFUNCTION("GOOGLETRANSLATE(D21, ""en"", ""hi"")"),"A) खेल फिर से शुरू होता है, B) पकड़ने वाले को एक अंक मिलता है, C) फेंकने वाली टीम एक बारी खो देती है, D) पकड़ने वाली टीम को गेंद मिल जाती है")</f>
        <v>A) खेल फिर से शुरू होता है, B) पकड़ने वाले को एक अंक मिलता है, C) फेंकने वाली टीम एक बारी खो देती है, D) पकड़ने वाली टीम को गेंद मिल जाती है</v>
      </c>
      <c r="K21" s="8" t="str">
        <f>IFERROR(__xludf.DUMMYFUNCTION("GOOGLETRANSLATE(E21, ""en"", ""hi"")"),"D) पकड़ने वाली टीम को गेंद मिलती है")</f>
        <v>D) पकड़ने वाली टीम को गेंद मिलती है</v>
      </c>
    </row>
    <row r="22" ht="22.5" customHeight="1">
      <c r="A22" s="2">
        <v>21.0</v>
      </c>
      <c r="B22" s="3" t="s">
        <v>1667</v>
      </c>
      <c r="C22" s="3" t="s">
        <v>1668</v>
      </c>
      <c r="D22" s="3" t="s">
        <v>1669</v>
      </c>
      <c r="E22" s="3" t="s">
        <v>1670</v>
      </c>
      <c r="G22" s="8" t="str">
        <f>IFERROR(__xludf.DUMMYFUNCTION("GOOGLETRANSLATE(A22, ""en"", ""hi"")"),"21")</f>
        <v>21</v>
      </c>
      <c r="H22" s="8" t="str">
        <f>IFERROR(__xludf.DUMMYFUNCTION("GOOGLETRANSLATE(B22, ""en"", ""hi"")"),"लागोरी_6")</f>
        <v>लागोरी_6</v>
      </c>
      <c r="I22" s="8" t="str">
        <f>IFERROR(__xludf.DUMMYFUNCTION("GOOGLETRANSLATE(C22, ""en"", ""hi"")"),"लागोरी में उस क्षेत्र के लिए क्या शब्द प्रयुक्त किया जाता है जहां पत्थरों को रखा जाता है?")</f>
        <v>लागोरी में उस क्षेत्र के लिए क्या शब्द प्रयुक्त किया जाता है जहां पत्थरों को रखा जाता है?</v>
      </c>
      <c r="J22" s="8" t="str">
        <f>IFERROR(__xludf.DUMMYFUNCTION("GOOGLETRANSLATE(D22, ""en"", ""hi"")"),"A) बेस, B) पिच, C) सेंटर, D) स्टैक ज़ोन")</f>
        <v>A) बेस, B) पिच, C) सेंटर, D) स्टैक ज़ोन</v>
      </c>
      <c r="K22" s="8" t="str">
        <f>IFERROR(__xludf.DUMMYFUNCTION("GOOGLETRANSLATE(E22, ""en"", ""hi"")"),"सी) केंद्र")</f>
        <v>सी) केंद्र</v>
      </c>
    </row>
    <row r="23" ht="22.5" customHeight="1">
      <c r="A23" s="2">
        <v>22.0</v>
      </c>
      <c r="B23" s="3" t="s">
        <v>1667</v>
      </c>
      <c r="C23" s="3" t="s">
        <v>1671</v>
      </c>
      <c r="D23" s="3" t="s">
        <v>1672</v>
      </c>
      <c r="E23" s="3" t="s">
        <v>1673</v>
      </c>
      <c r="G23" s="8" t="str">
        <f>IFERROR(__xludf.DUMMYFUNCTION("GOOGLETRANSLATE(A23, ""en"", ""hi"")"),"22")</f>
        <v>22</v>
      </c>
      <c r="H23" s="8" t="str">
        <f>IFERROR(__xludf.DUMMYFUNCTION("GOOGLETRANSLATE(B23, ""en"", ""hi"")"),"लागोरी_6")</f>
        <v>लागोरी_6</v>
      </c>
      <c r="I23" s="8" t="str">
        <f>IFERROR(__xludf.DUMMYFUNCTION("GOOGLETRANSLATE(C23, ""en"", ""hi"")"),"खेल के किस चरण में लागोरी टीम पिरामिड का पुनर्निर्माण करती है?")</f>
        <v>खेल के किस चरण में लागोरी टीम पिरामिड का पुनर्निर्माण करती है?</v>
      </c>
      <c r="J23" s="8" t="str">
        <f>IFERROR(__xludf.DUMMYFUNCTION("GOOGLETRANSLATE(D23, ""en"", ""hi"")"),"A) खेल शुरू होने से पहले, B) खेल के दौरान, C) पत्थर गिराने के बाद, D) खेल समाप्त होने के बाद")</f>
        <v>A) खेल शुरू होने से पहले, B) खेल के दौरान, C) पत्थर गिराने के बाद, D) खेल समाप्त होने के बाद</v>
      </c>
      <c r="K23" s="8" t="str">
        <f>IFERROR(__xludf.DUMMYFUNCTION("GOOGLETRANSLATE(E23, ""en"", ""hi"")"),"बी) खेल के दौरान")</f>
        <v>बी) खेल के दौरान</v>
      </c>
    </row>
    <row r="24" ht="22.5" customHeight="1">
      <c r="A24" s="2">
        <v>23.0</v>
      </c>
      <c r="B24" s="3" t="s">
        <v>1667</v>
      </c>
      <c r="C24" s="3" t="s">
        <v>1674</v>
      </c>
      <c r="D24" s="3" t="s">
        <v>1675</v>
      </c>
      <c r="E24" s="3" t="s">
        <v>342</v>
      </c>
      <c r="G24" s="8" t="str">
        <f>IFERROR(__xludf.DUMMYFUNCTION("GOOGLETRANSLATE(A24, ""en"", ""hi"")"),"23")</f>
        <v>23</v>
      </c>
      <c r="H24" s="8" t="str">
        <f>IFERROR(__xludf.DUMMYFUNCTION("GOOGLETRANSLATE(B24, ""en"", ""hi"")"),"लागोरी_6")</f>
        <v>लागोरी_6</v>
      </c>
      <c r="I24" s="8" t="str">
        <f>IFERROR(__xludf.DUMMYFUNCTION("GOOGLETRANSLATE(C24, ""en"", ""hi"")"),"क्या होता है जब लागोरी में पिरामिड का पुनर्निर्माण करते समय किसी रक्षात्मक खिलाड़ी को चोट लगती है?")</f>
        <v>क्या होता है जब लागोरी में पिरामिड का पुनर्निर्माण करते समय किसी रक्षात्मक खिलाड़ी को चोट लगती है?</v>
      </c>
      <c r="J24" s="8" t="str">
        <f>IFERROR(__xludf.DUMMYFUNCTION("GOOGLETRANSLATE(D24, ""en"", ""hi"")"),"A) वे पुनर्निर्माण जारी रखते हैं, B) वे बाहर हो जाते हैं, C) वे टीम बदल लेते हैं, D) वे एक अंक प्राप्त करते हैं")</f>
        <v>A) वे पुनर्निर्माण जारी रखते हैं, B) वे बाहर हो जाते हैं, C) वे टीम बदल लेते हैं, D) वे एक अंक प्राप्त करते हैं</v>
      </c>
      <c r="K24" s="8" t="str">
        <f>IFERROR(__xludf.DUMMYFUNCTION("GOOGLETRANSLATE(E24, ""en"", ""hi"")"),"बी) वे बाहर हैं")</f>
        <v>बी) वे बाहर हैं</v>
      </c>
    </row>
    <row r="25" ht="22.5" customHeight="1">
      <c r="A25" s="2">
        <v>24.0</v>
      </c>
      <c r="B25" s="3" t="s">
        <v>1667</v>
      </c>
      <c r="C25" s="3" t="s">
        <v>1676</v>
      </c>
      <c r="D25" s="3" t="s">
        <v>1677</v>
      </c>
      <c r="E25" s="3" t="s">
        <v>1678</v>
      </c>
      <c r="G25" s="8" t="str">
        <f>IFERROR(__xludf.DUMMYFUNCTION("GOOGLETRANSLATE(A25, ""en"", ""hi"")"),"24")</f>
        <v>24</v>
      </c>
      <c r="H25" s="8" t="str">
        <f>IFERROR(__xludf.DUMMYFUNCTION("GOOGLETRANSLATE(B25, ""en"", ""hi"")"),"लागोरी_6")</f>
        <v>लागोरी_6</v>
      </c>
      <c r="I25" s="8" t="str">
        <f>IFERROR(__xludf.DUMMYFUNCTION("GOOGLETRANSLATE(C25, ""en"", ""hi"")"),"पत्थरों को गिराने के तुरंत बाद आक्रमणकारी टीम को क्या करना चाहिए?")</f>
        <v>पत्थरों को गिराने के तुरंत बाद आक्रमणकारी टीम को क्या करना चाहिए?</v>
      </c>
      <c r="J25" s="8" t="str">
        <f>IFERROR(__xludf.DUMMYFUNCTION("GOOGLETRANSLATE(D25, ""en"", ""hi"")"),"A) भाग जाना, B) पत्थरों को छिपाना, C) पत्थरों का पुनर्निर्माण करना, D) अपने क्षेत्र की रक्षा करना")</f>
        <v>A) भाग जाना, B) पत्थरों को छिपाना, C) पत्थरों का पुनर्निर्माण करना, D) अपने क्षेत्र की रक्षा करना</v>
      </c>
      <c r="K25" s="8" t="str">
        <f>IFERROR(__xludf.DUMMYFUNCTION("GOOGLETRANSLATE(E25, ""en"", ""hi"")"),"ए) भाग जाना")</f>
        <v>ए) भाग जाना</v>
      </c>
    </row>
    <row r="26" ht="22.5" customHeight="1">
      <c r="A26" s="2">
        <v>25.0</v>
      </c>
      <c r="B26" s="3" t="s">
        <v>1679</v>
      </c>
      <c r="C26" s="3" t="s">
        <v>1680</v>
      </c>
      <c r="D26" s="3" t="s">
        <v>1681</v>
      </c>
      <c r="E26" s="3" t="s">
        <v>1682</v>
      </c>
      <c r="G26" s="8" t="str">
        <f>IFERROR(__xludf.DUMMYFUNCTION("GOOGLETRANSLATE(A26, ""en"", ""hi"")"),"25")</f>
        <v>25</v>
      </c>
      <c r="H26" s="8" t="str">
        <f>IFERROR(__xludf.DUMMYFUNCTION("GOOGLETRANSLATE(B26, ""en"", ""hi"")"),"लागोरी_7")</f>
        <v>लागोरी_7</v>
      </c>
      <c r="I26" s="8" t="str">
        <f>IFERROR(__xludf.DUMMYFUNCTION("GOOGLETRANSLATE(C26, ""en"", ""hi"")"),"लागोरी में निम्नलिखित में से कौन सी रणनीति आम है?")</f>
        <v>लागोरी में निम्नलिखित में से कौन सी रणनीति आम है?</v>
      </c>
      <c r="J26" s="8" t="str">
        <f>IFERROR(__xludf.DUMMYFUNCTION("GOOGLETRANSLATE(D26, ""en"", ""hi"")"),"A) गेंद को ऊँचा फेंकना, B) गेंद को नीचे फेंकना, C) टीम के साथियों के बीच गेंद को पास करना, D) केंद्र को अवरुद्ध करना")</f>
        <v>A) गेंद को ऊँचा फेंकना, B) गेंद को नीचे फेंकना, C) टीम के साथियों के बीच गेंद को पास करना, D) केंद्र को अवरुद्ध करना</v>
      </c>
      <c r="K26" s="8" t="str">
        <f>IFERROR(__xludf.DUMMYFUNCTION("GOOGLETRANSLATE(E26, ""en"", ""hi"")"),"C) टीम के साथियों के बीच गेंद पास करना")</f>
        <v>C) टीम के साथियों के बीच गेंद पास करना</v>
      </c>
    </row>
    <row r="27" ht="22.5" customHeight="1">
      <c r="A27" s="2">
        <v>26.0</v>
      </c>
      <c r="B27" s="3" t="s">
        <v>1679</v>
      </c>
      <c r="C27" s="3" t="s">
        <v>1683</v>
      </c>
      <c r="D27" s="3" t="s">
        <v>1684</v>
      </c>
      <c r="E27" s="3" t="s">
        <v>1685</v>
      </c>
      <c r="G27" s="8" t="str">
        <f>IFERROR(__xludf.DUMMYFUNCTION("GOOGLETRANSLATE(A27, ""en"", ""hi"")"),"26")</f>
        <v>26</v>
      </c>
      <c r="H27" s="8" t="str">
        <f>IFERROR(__xludf.DUMMYFUNCTION("GOOGLETRANSLATE(B27, ""en"", ""hi"")"),"लागोरी_7")</f>
        <v>लागोरी_7</v>
      </c>
      <c r="I27" s="8" t="str">
        <f>IFERROR(__xludf.DUMMYFUNCTION("GOOGLETRANSLATE(C27, ""en"", ""hi"")"),"लागोरी में रक्षात्मक टीम हमलावर टीम को स्कोर करने से कैसे रोक सकती है?")</f>
        <v>लागोरी में रक्षात्मक टीम हमलावर टीम को स्कोर करने से कैसे रोक सकती है?</v>
      </c>
      <c r="J27" s="8" t="str">
        <f>IFERROR(__xludf.DUMMYFUNCTION("GOOGLETRANSLATE(D27, ""en"", ""hi"")"),"A) पिरामिड को जल्दी से फिर से बनाना, B) हमलावरों पर गेंद फेंकना, C) पत्थरों को छिपाना, D) भाग जाना")</f>
        <v>A) पिरामिड को जल्दी से फिर से बनाना, B) हमलावरों पर गेंद फेंकना, C) पत्थरों को छिपाना, D) भाग जाना</v>
      </c>
      <c r="K27" s="8" t="str">
        <f>IFERROR(__xludf.DUMMYFUNCTION("GOOGLETRANSLATE(E27, ""en"", ""hi"")"),"A) पिरामिड का शीघ्र पुनर्निर्माण करें")</f>
        <v>A) पिरामिड का शीघ्र पुनर्निर्माण करें</v>
      </c>
    </row>
    <row r="28" ht="22.5" customHeight="1">
      <c r="A28" s="2">
        <v>27.0</v>
      </c>
      <c r="B28" s="3" t="s">
        <v>1679</v>
      </c>
      <c r="C28" s="3" t="s">
        <v>1686</v>
      </c>
      <c r="D28" s="3" t="s">
        <v>1687</v>
      </c>
      <c r="E28" s="3" t="s">
        <v>1688</v>
      </c>
      <c r="G28" s="8" t="str">
        <f>IFERROR(__xludf.DUMMYFUNCTION("GOOGLETRANSLATE(A28, ""en"", ""hi"")"),"27")</f>
        <v>27</v>
      </c>
      <c r="H28" s="8" t="str">
        <f>IFERROR(__xludf.DUMMYFUNCTION("GOOGLETRANSLATE(B28, ""en"", ""hi"")"),"लागोरी_7")</f>
        <v>लागोरी_7</v>
      </c>
      <c r="I28" s="8" t="str">
        <f>IFERROR(__xludf.DUMMYFUNCTION("GOOGLETRANSLATE(C28, ""en"", ""hi"")"),"लागोरी में रक्षात्मक टीम के लिए आवश्यक मुख्य कौशल क्या है?")</f>
        <v>लागोरी में रक्षात्मक टीम के लिए आवश्यक मुख्य कौशल क्या है?</v>
      </c>
      <c r="J28" s="8" t="str">
        <f>IFERROR(__xludf.DUMMYFUNCTION("GOOGLETRANSLATE(D28, ""en"", ""hi"")"),"A) गति, B) शक्ति, C) रणनीति, D) समन्वय")</f>
        <v>A) गति, B) शक्ति, C) रणनीति, D) समन्वय</v>
      </c>
      <c r="K28" s="8" t="str">
        <f>IFERROR(__xludf.DUMMYFUNCTION("GOOGLETRANSLATE(E28, ""en"", ""hi"")"),"डी) समन्वय")</f>
        <v>डी) समन्वय</v>
      </c>
    </row>
    <row r="29" ht="22.5" customHeight="1">
      <c r="A29" s="2">
        <v>28.0</v>
      </c>
      <c r="B29" s="3" t="s">
        <v>1679</v>
      </c>
      <c r="C29" s="3" t="s">
        <v>1689</v>
      </c>
      <c r="D29" s="3" t="s">
        <v>1690</v>
      </c>
      <c r="E29" s="3" t="s">
        <v>1691</v>
      </c>
      <c r="G29" s="8" t="str">
        <f>IFERROR(__xludf.DUMMYFUNCTION("GOOGLETRANSLATE(A29, ""en"", ""hi"")"),"28")</f>
        <v>28</v>
      </c>
      <c r="H29" s="8" t="str">
        <f>IFERROR(__xludf.DUMMYFUNCTION("GOOGLETRANSLATE(B29, ""en"", ""hi"")"),"लागोरी_7")</f>
        <v>लागोरी_7</v>
      </c>
      <c r="I29" s="8" t="str">
        <f>IFERROR(__xludf.DUMMYFUNCTION("GOOGLETRANSLATE(C29, ""en"", ""hi"")"),"लागोरी में, यदि आक्रमणकारी टीम फेंकते समय स्टैक से चूक जाती है तो क्या परिणाम होगा?")</f>
        <v>लागोरी में, यदि आक्रमणकारी टीम फेंकते समय स्टैक से चूक जाती है तो क्या परिणाम होगा?</v>
      </c>
      <c r="J29" s="8" t="str">
        <f>IFERROR(__xludf.DUMMYFUNCTION("GOOGLETRANSLATE(D29, ""en"", ""hi"")"),"A) वे एक बारी खो देते हैं, B) वे एक अंक प्राप्त करते हैं, C) रक्षात्मक टीम को गेंद मिल जाती है, D) खेल समाप्त हो जाता है")</f>
        <v>A) वे एक बारी खो देते हैं, B) वे एक अंक प्राप्त करते हैं, C) रक्षात्मक टीम को गेंद मिल जाती है, D) खेल समाप्त हो जाता है</v>
      </c>
      <c r="K29" s="8" t="str">
        <f>IFERROR(__xludf.DUMMYFUNCTION("GOOGLETRANSLATE(E29, ""en"", ""hi"")"),"A) वे एक बारी खो देते हैं")</f>
        <v>A) वे एक बारी खो देते हैं</v>
      </c>
    </row>
    <row r="30" ht="22.5" customHeight="1">
      <c r="A30" s="2">
        <v>29.0</v>
      </c>
      <c r="B30" s="3" t="s">
        <v>1692</v>
      </c>
      <c r="C30" s="3" t="s">
        <v>1693</v>
      </c>
      <c r="D30" s="3" t="s">
        <v>1694</v>
      </c>
      <c r="E30" s="3" t="s">
        <v>1695</v>
      </c>
      <c r="G30" s="8" t="str">
        <f>IFERROR(__xludf.DUMMYFUNCTION("GOOGLETRANSLATE(A30, ""en"", ""hi"")"),"29")</f>
        <v>29</v>
      </c>
      <c r="H30" s="8" t="str">
        <f>IFERROR(__xludf.DUMMYFUNCTION("GOOGLETRANSLATE(B30, ""en"", ""hi"")"),"लागोरी_8")</f>
        <v>लागोरी_8</v>
      </c>
      <c r="I30" s="8" t="str">
        <f>IFERROR(__xludf.DUMMYFUNCTION("GOOGLETRANSLATE(C30, ""en"", ""hi"")"),"लागोरी में हमलावरों का प्राथमिक उद्देश्य क्या है?")</f>
        <v>लागोरी में हमलावरों का प्राथमिक उद्देश्य क्या है?</v>
      </c>
      <c r="J30" s="8" t="str">
        <f>IFERROR(__xludf.DUMMYFUNCTION("GOOGLETRANSLATE(D30, ""en"", ""hi"")"),"A) पिरामिड का पुनर्निर्माण करें, B) पिरामिड को गिरा दें, C) पत्थरों की रक्षा करें, D) गेंद से टकराने से बचें")</f>
        <v>A) पिरामिड का पुनर्निर्माण करें, B) पिरामिड को गिरा दें, C) पत्थरों की रक्षा करें, D) गेंद से टकराने से बचें</v>
      </c>
      <c r="K30" s="8" t="str">
        <f>IFERROR(__xludf.DUMMYFUNCTION("GOOGLETRANSLATE(E30, ""en"", ""hi"")"),"बी) पिरामिड को गिराना")</f>
        <v>बी) पिरामिड को गिराना</v>
      </c>
    </row>
    <row r="31" ht="22.5" customHeight="1">
      <c r="A31" s="2">
        <v>30.0</v>
      </c>
      <c r="B31" s="3" t="s">
        <v>1692</v>
      </c>
      <c r="C31" s="3" t="s">
        <v>1696</v>
      </c>
      <c r="D31" s="3" t="s">
        <v>1697</v>
      </c>
      <c r="E31" s="3" t="s">
        <v>1650</v>
      </c>
      <c r="G31" s="8" t="str">
        <f>IFERROR(__xludf.DUMMYFUNCTION("GOOGLETRANSLATE(A31, ""en"", ""hi"")"),"30")</f>
        <v>30</v>
      </c>
      <c r="H31" s="8" t="str">
        <f>IFERROR(__xludf.DUMMYFUNCTION("GOOGLETRANSLATE(B31, ""en"", ""hi"")"),"लागोरी_8")</f>
        <v>लागोरी_8</v>
      </c>
      <c r="I31" s="8" t="str">
        <f>IFERROR(__xludf.DUMMYFUNCTION("GOOGLETRANSLATE(C31, ""en"", ""hi"")"),"लागोरी में हमलावरों द्वारा पत्थरों को गिरा देने के बाद रक्षकों को जीतने के लिए क्या करना चाहिए?")</f>
        <v>लागोरी में हमलावरों द्वारा पत्थरों को गिरा देने के बाद रक्षकों को जीतने के लिए क्या करना चाहिए?</v>
      </c>
      <c r="J31" s="8" t="str">
        <f>IFERROR(__xludf.DUMMYFUNCTION("GOOGLETRANSLATE(D31, ""en"", ""hi"")"),"A) हमलावरों पर गेंद से प्रहार करें, B) पिरामिड का पुनर्निर्माण करें, C) पिरामिड को पुनः गिरा दें, D) हमलावरों से दूर भागें")</f>
        <v>A) हमलावरों पर गेंद से प्रहार करें, B) पिरामिड का पुनर्निर्माण करें, C) पिरामिड को पुनः गिरा दें, D) हमलावरों से दूर भागें</v>
      </c>
      <c r="K31" s="8" t="str">
        <f>IFERROR(__xludf.DUMMYFUNCTION("GOOGLETRANSLATE(E31, ""en"", ""hi"")"),"बी) पिरामिड का पुनर्निर्माण")</f>
        <v>बी) पिरामिड का पुनर्निर्माण</v>
      </c>
    </row>
    <row r="32" ht="22.5" customHeight="1">
      <c r="A32" s="2">
        <v>31.0</v>
      </c>
      <c r="B32" s="3" t="s">
        <v>1692</v>
      </c>
      <c r="C32" s="3" t="s">
        <v>1698</v>
      </c>
      <c r="D32" s="3" t="s">
        <v>1699</v>
      </c>
      <c r="E32" s="3" t="s">
        <v>1700</v>
      </c>
      <c r="G32" s="8" t="str">
        <f>IFERROR(__xludf.DUMMYFUNCTION("GOOGLETRANSLATE(A32, ""en"", ""hi"")"),"31")</f>
        <v>31</v>
      </c>
      <c r="H32" s="8" t="str">
        <f>IFERROR(__xludf.DUMMYFUNCTION("GOOGLETRANSLATE(B32, ""en"", ""hi"")"),"लागोरी_8")</f>
        <v>लागोरी_8</v>
      </c>
      <c r="I32" s="8" t="str">
        <f>IFERROR(__xludf.DUMMYFUNCTION("GOOGLETRANSLATE(C32, ""en"", ""hi"")"),"लागोरी में सफल होने के लिए हमलावर किस रणनीति का उपयोग कर सकते हैं?")</f>
        <v>लागोरी में सफल होने के लिए हमलावर किस रणनीति का उपयोग कर सकते हैं?</v>
      </c>
      <c r="J32" s="8" t="str">
        <f>IFERROR(__xludf.DUMMYFUNCTION("GOOGLETRANSLATE(D32, ""en"", ""hi"")"),"ए) रक्षकों का ध्यान भटकाना, बी) पिरामिड का तेजी से पुनर्निर्माण करना, सी) एक दूसरे को गेंद फेंकना, डी) पिरामिड को गिराना और तेजी से उसका बचाव करना")</f>
        <v>ए) रक्षकों का ध्यान भटकाना, बी) पिरामिड का तेजी से पुनर्निर्माण करना, सी) एक दूसरे को गेंद फेंकना, डी) पिरामिड को गिराना और तेजी से उसका बचाव करना</v>
      </c>
      <c r="K32" s="8" t="str">
        <f>IFERROR(__xludf.DUMMYFUNCTION("GOOGLETRANSLATE(E32, ""en"", ""hi"")"),"D) पिरामिड को गिरा दें और जल्दी से उसकी रक्षा करें")</f>
        <v>D) पिरामिड को गिरा दें और जल्दी से उसकी रक्षा करें</v>
      </c>
    </row>
    <row r="33" ht="22.5" customHeight="1">
      <c r="A33" s="2">
        <v>32.0</v>
      </c>
      <c r="B33" s="3" t="s">
        <v>1692</v>
      </c>
      <c r="C33" s="3" t="s">
        <v>1701</v>
      </c>
      <c r="D33" s="3" t="s">
        <v>1702</v>
      </c>
      <c r="E33" s="3" t="s">
        <v>1703</v>
      </c>
      <c r="G33" s="8" t="str">
        <f>IFERROR(__xludf.DUMMYFUNCTION("GOOGLETRANSLATE(A33, ""en"", ""hi"")"),"32")</f>
        <v>32</v>
      </c>
      <c r="H33" s="8" t="str">
        <f>IFERROR(__xludf.DUMMYFUNCTION("GOOGLETRANSLATE(B33, ""en"", ""hi"")"),"लागोरी_8")</f>
        <v>लागोरी_8</v>
      </c>
      <c r="I33" s="8" t="str">
        <f>IFERROR(__xludf.DUMMYFUNCTION("GOOGLETRANSLATE(C33, ""en"", ""hi"")"),"लागोरी में डिफेंडर्स आउट होने से कैसे बच सकते हैं?")</f>
        <v>लागोरी में डिफेंडर्स आउट होने से कैसे बच सकते हैं?</v>
      </c>
      <c r="J33" s="8" t="str">
        <f>IFERROR(__xludf.DUMMYFUNCTION("GOOGLETRANSLATE(D33, ""en"", ""hi"")"),"A) बाधाओं के पीछे छिपकर, B) तेजी से भागकर, C) हमलावरों द्वारा फेंकी गई गेंद को चकमा देकर, D) पिरामिड तोड़कर")</f>
        <v>A) बाधाओं के पीछे छिपकर, B) तेजी से भागकर, C) हमलावरों द्वारा फेंकी गई गेंद को चकमा देकर, D) पिरामिड तोड़कर</v>
      </c>
      <c r="K33" s="8" t="str">
        <f>IFERROR(__xludf.DUMMYFUNCTION("GOOGLETRANSLATE(E33, ""en"", ""hi"")"),"C) हमलावरों द्वारा फेंकी गई गेंद को चकमा देकर")</f>
        <v>C) हमलावरों द्वारा फेंकी गई गेंद को चकमा देकर</v>
      </c>
    </row>
    <row r="34" ht="22.5" customHeight="1">
      <c r="A34" s="2">
        <v>33.0</v>
      </c>
      <c r="B34" s="3" t="s">
        <v>1704</v>
      </c>
      <c r="C34" s="3" t="s">
        <v>1705</v>
      </c>
      <c r="D34" s="3" t="s">
        <v>1706</v>
      </c>
      <c r="E34" s="3" t="s">
        <v>1707</v>
      </c>
      <c r="G34" s="8" t="str">
        <f>IFERROR(__xludf.DUMMYFUNCTION("GOOGLETRANSLATE(A34, ""en"", ""hi"")"),"33")</f>
        <v>33</v>
      </c>
      <c r="H34" s="8" t="str">
        <f>IFERROR(__xludf.DUMMYFUNCTION("GOOGLETRANSLATE(B34, ""en"", ""hi"")"),"लागोरी_9")</f>
        <v>लागोरी_9</v>
      </c>
      <c r="I34" s="8" t="str">
        <f>IFERROR(__xludf.DUMMYFUNCTION("GOOGLETRANSLATE(C34, ""en"", ""hi"")"),"37वें राष्ट्रीय खेल गोवा 2023 में लागोरी में किस टीम ने स्वर्ण पदक जीता?")</f>
        <v>37वें राष्ट्रीय खेल गोवा 2023 में लागोरी में किस टीम ने स्वर्ण पदक जीता?</v>
      </c>
      <c r="J34" s="8" t="str">
        <f>IFERROR(__xludf.DUMMYFUNCTION("GOOGLETRANSLATE(D34, ""en"", ""hi"")"),"ए) केरल, बी) गोवा, सी) महाराष्ट्र, डी) कर्नाटक")</f>
        <v>ए) केरल, बी) गोवा, सी) महाराष्ट्र, डी) कर्नाटक</v>
      </c>
      <c r="K34" s="8" t="str">
        <f>IFERROR(__xludf.DUMMYFUNCTION("GOOGLETRANSLATE(E34, ""en"", ""hi"")"),"बी) गोवा")</f>
        <v>बी) गोवा</v>
      </c>
    </row>
    <row r="35" ht="22.5" customHeight="1">
      <c r="A35" s="2">
        <v>34.0</v>
      </c>
      <c r="B35" s="3" t="s">
        <v>1704</v>
      </c>
      <c r="C35" s="3" t="s">
        <v>1708</v>
      </c>
      <c r="D35" s="3" t="s">
        <v>1709</v>
      </c>
      <c r="E35" s="3" t="s">
        <v>1710</v>
      </c>
      <c r="G35" s="8" t="str">
        <f>IFERROR(__xludf.DUMMYFUNCTION("GOOGLETRANSLATE(A35, ""en"", ""hi"")"),"34")</f>
        <v>34</v>
      </c>
      <c r="H35" s="8" t="str">
        <f>IFERROR(__xludf.DUMMYFUNCTION("GOOGLETRANSLATE(B35, ""en"", ""hi"")"),"लागोरी_9")</f>
        <v>लागोरी_9</v>
      </c>
      <c r="I35" s="8" t="str">
        <f>IFERROR(__xludf.DUMMYFUNCTION("GOOGLETRANSLATE(C35, ""en"", ""hi"")"),"गोवा लागोरी टीम ने किस वर्ष राष्ट्रीय खेलों में स्वर्ण पदक जीता?")</f>
        <v>गोवा लागोरी टीम ने किस वर्ष राष्ट्रीय खेलों में स्वर्ण पदक जीता?</v>
      </c>
      <c r="J35" s="8" t="str">
        <f>IFERROR(__xludf.DUMMYFUNCTION("GOOGLETRANSLATE(D35, ""en"", ""hi"")"),"ए) 2019, बी) 2021, सी) 2023, डी) 2025")</f>
        <v>ए) 2019, बी) 2021, सी) 2023, डी) 2025</v>
      </c>
      <c r="K35" s="8" t="str">
        <f>IFERROR(__xludf.DUMMYFUNCTION("GOOGLETRANSLATE(E35, ""en"", ""hi"")"),"सी) 2023")</f>
        <v>सी) 2023</v>
      </c>
    </row>
    <row r="36" ht="22.5" customHeight="1">
      <c r="A36" s="2">
        <v>35.0</v>
      </c>
      <c r="B36" s="3" t="s">
        <v>1704</v>
      </c>
      <c r="C36" s="3" t="s">
        <v>1711</v>
      </c>
      <c r="D36" s="3" t="s">
        <v>1712</v>
      </c>
      <c r="E36" s="3" t="s">
        <v>1713</v>
      </c>
      <c r="G36" s="8" t="str">
        <f>IFERROR(__xludf.DUMMYFUNCTION("GOOGLETRANSLATE(A36, ""en"", ""hi"")"),"35")</f>
        <v>35</v>
      </c>
      <c r="H36" s="8" t="str">
        <f>IFERROR(__xludf.DUMMYFUNCTION("GOOGLETRANSLATE(B36, ""en"", ""hi"")"),"लागोरी_9")</f>
        <v>लागोरी_9</v>
      </c>
      <c r="I36" s="8" t="str">
        <f>IFERROR(__xludf.DUMMYFUNCTION("GOOGLETRANSLATE(C36, ""en"", ""hi"")"),"37वें राष्ट्रीय खेल गोवा 2023 से संबंधित छवि में कौन सी उपलब्धि उजागर की गई है?")</f>
        <v>37वें राष्ट्रीय खेल गोवा 2023 से संबंधित छवि में कौन सी उपलब्धि उजागर की गई है?</v>
      </c>
      <c r="J36" s="8" t="str">
        <f>IFERROR(__xludf.DUMMYFUNCTION("GOOGLETRANSLATE(D36, ""en"", ""hi"")"),"A) क्रिकेट मैच जीतना, B) कबड्डी मैच जीतना, C) लागोरी टूर्नामेंट जीतना, D) फुटबॉल मैच जीतना")</f>
        <v>A) क्रिकेट मैच जीतना, B) कबड्डी मैच जीतना, C) लागोरी टूर्नामेंट जीतना, D) फुटबॉल मैच जीतना</v>
      </c>
      <c r="K36" s="8" t="str">
        <f>IFERROR(__xludf.DUMMYFUNCTION("GOOGLETRANSLATE(E36, ""en"", ""hi"")"),"C) लागोरी टूर्नामेंट जीतना")</f>
        <v>C) लागोरी टूर्नामेंट जीतना</v>
      </c>
    </row>
    <row r="37" ht="22.5" customHeight="1">
      <c r="A37" s="2">
        <v>36.0</v>
      </c>
      <c r="B37" s="3" t="s">
        <v>1704</v>
      </c>
      <c r="C37" s="3" t="s">
        <v>1714</v>
      </c>
      <c r="D37" s="3" t="s">
        <v>1715</v>
      </c>
      <c r="E37" s="3" t="s">
        <v>1716</v>
      </c>
      <c r="G37" s="8" t="str">
        <f>IFERROR(__xludf.DUMMYFUNCTION("GOOGLETRANSLATE(A37, ""en"", ""hi"")"),"36")</f>
        <v>36</v>
      </c>
      <c r="H37" s="8" t="str">
        <f>IFERROR(__xludf.DUMMYFUNCTION("GOOGLETRANSLATE(B37, ""en"", ""hi"")"),"लागोरी_9")</f>
        <v>लागोरी_9</v>
      </c>
      <c r="I37" s="8" t="str">
        <f>IFERROR(__xludf.DUMMYFUNCTION("GOOGLETRANSLATE(C37, ""en"", ""hi"")"),"निम्नलिखित में से किसने 37वें राष्ट्रीय खेल गोवा 2023 में योगासन स्पर्धा में शीर्ष स्थान प्राप्त किया?")</f>
        <v>निम्नलिखित में से किसने 37वें राष्ट्रीय खेल गोवा 2023 में योगासन स्पर्धा में शीर्ष स्थान प्राप्त किया?</v>
      </c>
      <c r="J37" s="8" t="str">
        <f>IFERROR(__xludf.DUMMYFUNCTION("GOOGLETRANSLATE(D37, ""en"", ""hi"")"),"A)शुभम देबनाथ, B)रोहित शर्मा,C)विराट कोहली,D)रमेश सिंह")</f>
        <v>A)शुभम देबनाथ, B)रोहित शर्मा,C)विराट कोहली,D)रमेश सिंह</v>
      </c>
      <c r="K37" s="8" t="str">
        <f>IFERROR(__xludf.DUMMYFUNCTION("GOOGLETRANSLATE(E37, ""en"", ""hi"")"),"A) शुभम देबनाथ")</f>
        <v>A) शुभम देबनाथ</v>
      </c>
    </row>
    <row r="38" ht="22.5" customHeight="1">
      <c r="A38" s="2">
        <v>37.0</v>
      </c>
      <c r="B38" s="3" t="s">
        <v>1717</v>
      </c>
      <c r="C38" s="3" t="s">
        <v>1718</v>
      </c>
      <c r="D38" s="3" t="s">
        <v>1719</v>
      </c>
      <c r="E38" s="3" t="s">
        <v>1720</v>
      </c>
      <c r="G38" s="8" t="str">
        <f>IFERROR(__xludf.DUMMYFUNCTION("GOOGLETRANSLATE(A38, ""en"", ""hi"")"),"37")</f>
        <v>37</v>
      </c>
      <c r="H38" s="8" t="str">
        <f>IFERROR(__xludf.DUMMYFUNCTION("GOOGLETRANSLATE(B38, ""en"", ""hi"")"),"लागोरी_10")</f>
        <v>लागोरी_10</v>
      </c>
      <c r="I38" s="8" t="str">
        <f>IFERROR(__xludf.DUMMYFUNCTION("GOOGLETRANSLATE(C38, ""en"", ""hi"")"),"चित्र में दर्शाए अनुसार, 63.67 अंकों के साथ कौन सा खिलाड़ी इस स्पर्धा में शीर्ष पर रहा?")</f>
        <v>चित्र में दर्शाए अनुसार, 63.67 अंकों के साथ कौन सा खिलाड़ी इस स्पर्धा में शीर्ष पर रहा?</v>
      </c>
      <c r="J38" s="8" t="str">
        <f>IFERROR(__xludf.DUMMYFUNCTION("GOOGLETRANSLATE(D38, ""en"", ""hi"")"),"ए) अभिषेक सिंह, बी) मोहम्मद शिएक, सी) शुभम देबनाथ, डी) रोहित शर्मा")</f>
        <v>ए) अभिषेक सिंह, बी) मोहम्मद शिएक, सी) शुभम देबनाथ, डी) रोहित शर्मा</v>
      </c>
      <c r="K38" s="8" t="str">
        <f>IFERROR(__xludf.DUMMYFUNCTION("GOOGLETRANSLATE(E38, ""en"", ""hi"")"),"C) शुभम देबनाथ")</f>
        <v>C) शुभम देबनाथ</v>
      </c>
    </row>
    <row r="39" ht="22.5" customHeight="1">
      <c r="A39" s="2">
        <v>38.0</v>
      </c>
      <c r="B39" s="3" t="s">
        <v>1717</v>
      </c>
      <c r="C39" s="3" t="s">
        <v>1721</v>
      </c>
      <c r="D39" s="3" t="s">
        <v>1722</v>
      </c>
      <c r="E39" s="3" t="s">
        <v>1723</v>
      </c>
      <c r="G39" s="8" t="str">
        <f>IFERROR(__xludf.DUMMYFUNCTION("GOOGLETRANSLATE(A39, ""en"", ""hi"")"),"38")</f>
        <v>38</v>
      </c>
      <c r="H39" s="8" t="str">
        <f>IFERROR(__xludf.DUMMYFUNCTION("GOOGLETRANSLATE(B39, ""en"", ""hi"")"),"लागोरी_10")</f>
        <v>लागोरी_10</v>
      </c>
      <c r="I39" s="8" t="str">
        <f>IFERROR(__xludf.DUMMYFUNCTION("GOOGLETRANSLATE(C39, ""en"", ""hi"")"),"चित्र में दिखाए गए शुभम देबनाथ ने किस राष्ट्रीय खेल प्रतियोगिता में गोवा का प्रतिनिधित्व किया?")</f>
        <v>चित्र में दिखाए गए शुभम देबनाथ ने किस राष्ट्रीय खेल प्रतियोगिता में गोवा का प्रतिनिधित्व किया?</v>
      </c>
      <c r="J39" s="8" t="str">
        <f>IFERROR(__xludf.DUMMYFUNCTION("GOOGLETRANSLATE(D39, ""en"", ""hi"")"),"ए) फुटबॉल, बी) कबड्डी, सी) लागोरी, डी) योगासन")</f>
        <v>ए) फुटबॉल, बी) कबड्डी, सी) लागोरी, डी) योगासन</v>
      </c>
      <c r="K39" s="8" t="str">
        <f>IFERROR(__xludf.DUMMYFUNCTION("GOOGLETRANSLATE(E39, ""en"", ""hi"")"),"D) योगासन")</f>
        <v>D) योगासन</v>
      </c>
    </row>
    <row r="40" ht="22.5" customHeight="1">
      <c r="A40" s="2">
        <v>39.0</v>
      </c>
      <c r="B40" s="3" t="s">
        <v>1717</v>
      </c>
      <c r="C40" s="3" t="s">
        <v>1724</v>
      </c>
      <c r="D40" s="3" t="s">
        <v>1725</v>
      </c>
      <c r="E40" s="3" t="s">
        <v>1726</v>
      </c>
      <c r="G40" s="8" t="str">
        <f>IFERROR(__xludf.DUMMYFUNCTION("GOOGLETRANSLATE(A40, ""en"", ""hi"")"),"39")</f>
        <v>39</v>
      </c>
      <c r="H40" s="8" t="str">
        <f>IFERROR(__xludf.DUMMYFUNCTION("GOOGLETRANSLATE(B40, ""en"", ""hi"")"),"लागोरी_10")</f>
        <v>लागोरी_10</v>
      </c>
      <c r="I40" s="8" t="str">
        <f>IFERROR(__xludf.DUMMYFUNCTION("GOOGLETRANSLATE(C40, ""en"", ""hi"")"),"चित्र में दिखाए गए शुभम देबनाथ राष्ट्रीय खेलों में भाग लेने के लिए किस राज्य से गोवा आये थे?")</f>
        <v>चित्र में दिखाए गए शुभम देबनाथ राष्ट्रीय खेलों में भाग लेने के लिए किस राज्य से गोवा आये थे?</v>
      </c>
      <c r="J40" s="8" t="str">
        <f>IFERROR(__xludf.DUMMYFUNCTION("GOOGLETRANSLATE(D40, ""en"", ""hi"")"),"A) महाराष्ट्र, B) पश्चिम बंगाल, C) हरियाणा, D) कर्नाटक")</f>
        <v>A) महाराष्ट्र, B) पश्चिम बंगाल, C) हरियाणा, D) कर्नाटक</v>
      </c>
      <c r="K40" s="8" t="str">
        <f>IFERROR(__xludf.DUMMYFUNCTION("GOOGLETRANSLATE(E40, ""en"", ""hi"")"),"बी) पश्चिम बंगाल")</f>
        <v>बी) पश्चिम बंगाल</v>
      </c>
    </row>
    <row r="41" ht="22.5" customHeight="1">
      <c r="A41" s="2">
        <v>40.0</v>
      </c>
      <c r="B41" s="3" t="s">
        <v>1717</v>
      </c>
      <c r="C41" s="3" t="s">
        <v>1727</v>
      </c>
      <c r="D41" s="3" t="s">
        <v>1728</v>
      </c>
      <c r="E41" s="3" t="s">
        <v>1729</v>
      </c>
      <c r="G41" s="8" t="str">
        <f>IFERROR(__xludf.DUMMYFUNCTION("GOOGLETRANSLATE(A41, ""en"", ""hi"")"),"40")</f>
        <v>40</v>
      </c>
      <c r="H41" s="8" t="str">
        <f>IFERROR(__xludf.DUMMYFUNCTION("GOOGLETRANSLATE(B41, ""en"", ""hi"")"),"लागोरी_10")</f>
        <v>लागोरी_10</v>
      </c>
      <c r="I41" s="8" t="str">
        <f>IFERROR(__xludf.DUMMYFUNCTION("GOOGLETRANSLATE(C41, ""en"", ""hi"")"),"चित्र में दर्शाई गई स्पर्धा में शुभम देबनाथ ने कौन सा पदक जीता?")</f>
        <v>चित्र में दर्शाई गई स्पर्धा में शुभम देबनाथ ने कौन सा पदक जीता?</v>
      </c>
      <c r="J41" s="8" t="str">
        <f>IFERROR(__xludf.DUMMYFUNCTION("GOOGLETRANSLATE(D41, ""en"", ""hi"")"),"A) स्वर्ण, B) रजत, C) कांस्य, D) कोई नहीं")</f>
        <v>A) स्वर्ण, B) रजत, C) कांस्य, D) कोई नहीं</v>
      </c>
      <c r="K41" s="8" t="str">
        <f>IFERROR(__xludf.DUMMYFUNCTION("GOOGLETRANSLATE(E41, ""en"", ""hi"")"),"A) सोना")</f>
        <v>A) सोना</v>
      </c>
    </row>
    <row r="42" ht="22.5" customHeight="1">
      <c r="A42" s="2">
        <v>41.0</v>
      </c>
      <c r="B42" s="3" t="s">
        <v>1730</v>
      </c>
      <c r="C42" s="3" t="s">
        <v>1731</v>
      </c>
      <c r="D42" s="3" t="s">
        <v>1732</v>
      </c>
      <c r="E42" s="3" t="s">
        <v>1733</v>
      </c>
      <c r="G42" s="8" t="str">
        <f>IFERROR(__xludf.DUMMYFUNCTION("GOOGLETRANSLATE(A42, ""en"", ""hi"")"),"41")</f>
        <v>41</v>
      </c>
      <c r="H42" s="8" t="str">
        <f>IFERROR(__xludf.DUMMYFUNCTION("GOOGLETRANSLATE(B42, ""en"", ""hi"")"),"लागोरी_11")</f>
        <v>लागोरी_11</v>
      </c>
      <c r="I42" s="8" t="str">
        <f>IFERROR(__xludf.DUMMYFUNCTION("GOOGLETRANSLATE(C42, ""en"", ""hi"")"),"छवि में लागोरी से संबंधित प्राथमिक गतिविधि क्या दर्शाई गई है?")</f>
        <v>छवि में लागोरी से संबंधित प्राथमिक गतिविधि क्या दर्शाई गई है?</v>
      </c>
      <c r="J42" s="8" t="str">
        <f>IFERROR(__xludf.DUMMYFUNCTION("GOOGLETRANSLATE(D42, ""en"", ""hi"")"),"A) पत्थर जमाते खिलाड़ी, B) गेंद फेंकते खिलाड़ी, C) दौड़ते खिलाड़ी, D) पिरामिड की रक्षा करते खिलाड़ी")</f>
        <v>A) पत्थर जमाते खिलाड़ी, B) गेंद फेंकते खिलाड़ी, C) दौड़ते खिलाड़ी, D) पिरामिड की रक्षा करते खिलाड़ी</v>
      </c>
      <c r="K42" s="8" t="str">
        <f>IFERROR(__xludf.DUMMYFUNCTION("GOOGLETRANSLATE(E42, ""en"", ""hi"")"),"A) खिलाड़ी पत्थर जमा रहे हैं")</f>
        <v>A) खिलाड़ी पत्थर जमा रहे हैं</v>
      </c>
    </row>
    <row r="43" ht="22.5" customHeight="1">
      <c r="A43" s="2">
        <v>42.0</v>
      </c>
      <c r="B43" s="3" t="s">
        <v>1730</v>
      </c>
      <c r="C43" s="3" t="s">
        <v>1734</v>
      </c>
      <c r="D43" s="3" t="s">
        <v>1735</v>
      </c>
      <c r="E43" s="3" t="s">
        <v>1736</v>
      </c>
      <c r="G43" s="8" t="str">
        <f>IFERROR(__xludf.DUMMYFUNCTION("GOOGLETRANSLATE(A43, ""en"", ""hi"")"),"42")</f>
        <v>42</v>
      </c>
      <c r="H43" s="8" t="str">
        <f>IFERROR(__xludf.DUMMYFUNCTION("GOOGLETRANSLATE(B43, ""en"", ""hi"")"),"लागोरी_11")</f>
        <v>लागोरी_11</v>
      </c>
      <c r="I43" s="8" t="str">
        <f>IFERROR(__xludf.DUMMYFUNCTION("GOOGLETRANSLATE(C43, ""en"", ""hi"")"),"लागोरी खेल से संबंधित छवि में किस राज्य का प्रतिनिधित्व किया गया है?")</f>
        <v>लागोरी खेल से संबंधित छवि में किस राज्य का प्रतिनिधित्व किया गया है?</v>
      </c>
      <c r="J43" s="8" t="str">
        <f>IFERROR(__xludf.DUMMYFUNCTION("GOOGLETRANSLATE(D43, ""en"", ""hi"")"),"ए) महाराष्ट्र, बी) कर्नाटक, सी) हरियाणा, डी) तमिलनाडु")</f>
        <v>ए) महाराष्ट्र, बी) कर्नाटक, सी) हरियाणा, डी) तमिलनाडु</v>
      </c>
      <c r="K43" s="8" t="str">
        <f>IFERROR(__xludf.DUMMYFUNCTION("GOOGLETRANSLATE(E43, ""en"", ""hi"")"),"C) हरियाणा")</f>
        <v>C) हरियाणा</v>
      </c>
    </row>
    <row r="44" ht="22.5" customHeight="1">
      <c r="A44" s="2">
        <v>43.0</v>
      </c>
      <c r="B44" s="3" t="s">
        <v>1730</v>
      </c>
      <c r="C44" s="3" t="s">
        <v>1737</v>
      </c>
      <c r="D44" s="3" t="s">
        <v>1738</v>
      </c>
      <c r="E44" s="3" t="s">
        <v>1739</v>
      </c>
      <c r="G44" s="8" t="str">
        <f>IFERROR(__xludf.DUMMYFUNCTION("GOOGLETRANSLATE(A44, ""en"", ""hi"")"),"43")</f>
        <v>43</v>
      </c>
      <c r="H44" s="8" t="str">
        <f>IFERROR(__xludf.DUMMYFUNCTION("GOOGLETRANSLATE(B44, ""en"", ""hi"")"),"लागोरी_11")</f>
        <v>लागोरी_11</v>
      </c>
      <c r="I44" s="8" t="str">
        <f>IFERROR(__xludf.DUMMYFUNCTION("GOOGLETRANSLATE(C44, ""en"", ""hi"")"),"लागोरी खेल के दौरान चित्र में दिखाई गई टीम का संभावित उद्देश्य क्या है?")</f>
        <v>लागोरी खेल के दौरान चित्र में दिखाई गई टीम का संभावित उद्देश्य क्या है?</v>
      </c>
      <c r="J44" s="8" t="str">
        <f>IFERROR(__xludf.DUMMYFUNCTION("GOOGLETRANSLATE(D44, ""en"", ""hi"")"),"A) पिरामिड को तोड़ना, B) पिरामिड का पुनर्निर्माण करना, C) पिरामिड की रक्षा करना, D) गेंद को पकड़ना")</f>
        <v>A) पिरामिड को तोड़ना, B) पिरामिड का पुनर्निर्माण करना, C) पिरामिड की रक्षा करना, D) गेंद को पकड़ना</v>
      </c>
      <c r="K44" s="8" t="str">
        <f>IFERROR(__xludf.DUMMYFUNCTION("GOOGLETRANSLATE(E44, ""en"", ""hi"")"),"बी) पिरामिड का पुनर्निर्माण करना")</f>
        <v>बी) पिरामिड का पुनर्निर्माण करना</v>
      </c>
    </row>
    <row r="45" ht="22.5" customHeight="1">
      <c r="A45" s="2">
        <v>44.0</v>
      </c>
      <c r="B45" s="3" t="s">
        <v>1730</v>
      </c>
      <c r="C45" s="3" t="s">
        <v>1740</v>
      </c>
      <c r="D45" s="3" t="s">
        <v>1741</v>
      </c>
      <c r="E45" s="3" t="s">
        <v>1742</v>
      </c>
      <c r="G45" s="8" t="str">
        <f>IFERROR(__xludf.DUMMYFUNCTION("GOOGLETRANSLATE(A45, ""en"", ""hi"")"),"44")</f>
        <v>44</v>
      </c>
      <c r="H45" s="8" t="str">
        <f>IFERROR(__xludf.DUMMYFUNCTION("GOOGLETRANSLATE(B45, ""en"", ""hi"")"),"लागोरी_11")</f>
        <v>लागोरी_11</v>
      </c>
      <c r="I45" s="8" t="str">
        <f>IFERROR(__xludf.DUMMYFUNCTION("GOOGLETRANSLATE(C45, ""en"", ""hi"")"),"चित्र में दर्शाया गया लागोरी खेल संभवतः किस प्रकार की घटना का हिस्सा है?")</f>
        <v>चित्र में दर्शाया गया लागोरी खेल संभवतः किस प्रकार की घटना का हिस्सा है?</v>
      </c>
      <c r="J45" s="8" t="str">
        <f>IFERROR(__xludf.DUMMYFUNCTION("GOOGLETRANSLATE(D45, ""en"", ""hi"")"),"ए) स्थानीय टूर्नामेंट, बी) राष्ट्रीय चैम्पियनशिप, सी) मैत्रीपूर्ण मैच, डी) प्रशिक्षण सत्र")</f>
        <v>ए) स्थानीय टूर्नामेंट, बी) राष्ट्रीय चैम्पियनशिप, सी) मैत्रीपूर्ण मैच, डी) प्रशिक्षण सत्र</v>
      </c>
      <c r="K45" s="8" t="str">
        <f>IFERROR(__xludf.DUMMYFUNCTION("GOOGLETRANSLATE(E45, ""en"", ""hi"")"),"बी) राष्ट्रीय चैम्पियनशिप")</f>
        <v>बी) राष्ट्रीय चैम्पियनशिप</v>
      </c>
    </row>
    <row r="46" ht="22.5" customHeight="1">
      <c r="A46" s="2">
        <v>45.0</v>
      </c>
      <c r="B46" s="3" t="s">
        <v>1743</v>
      </c>
      <c r="C46" s="3" t="s">
        <v>1744</v>
      </c>
      <c r="D46" s="3" t="s">
        <v>1745</v>
      </c>
      <c r="E46" s="3" t="s">
        <v>1746</v>
      </c>
      <c r="G46" s="8" t="str">
        <f>IFERROR(__xludf.DUMMYFUNCTION("GOOGLETRANSLATE(A46, ""en"", ""hi"")"),"45")</f>
        <v>45</v>
      </c>
      <c r="H46" s="8" t="str">
        <f>IFERROR(__xludf.DUMMYFUNCTION("GOOGLETRANSLATE(B46, ""en"", ""hi"")"),"लागोरी_12")</f>
        <v>लागोरी_12</v>
      </c>
      <c r="I46" s="8" t="str">
        <f>IFERROR(__xludf.DUMMYFUNCTION("GOOGLETRANSLATE(C46, ""en"", ""hi"")"),"लागोरी से संबंधित चित्र में कौन सी घटना दर्शाई गई है?")</f>
        <v>लागोरी से संबंधित चित्र में कौन सी घटना दर्शाई गई है?</v>
      </c>
      <c r="J46" s="8" t="str">
        <f>IFERROR(__xludf.DUMMYFUNCTION("GOOGLETRANSLATE(D46, ""en"", ""hi"")"),"A) स्कूल खेल दिवस, B) स्थानीय उत्सव, C) राष्ट्रीय चैम्पियनशिप, D) अभ्यास सत्र")</f>
        <v>A) स्कूल खेल दिवस, B) स्थानीय उत्सव, C) राष्ट्रीय चैम्पियनशिप, D) अभ्यास सत्र</v>
      </c>
      <c r="K46" s="8" t="str">
        <f>IFERROR(__xludf.DUMMYFUNCTION("GOOGLETRANSLATE(E46, ""en"", ""hi"")"),"सी) राष्ट्रीय चैम्पियनशिप")</f>
        <v>सी) राष्ट्रीय चैम्पियनशिप</v>
      </c>
    </row>
    <row r="47" ht="22.5" customHeight="1">
      <c r="A47" s="2">
        <v>46.0</v>
      </c>
      <c r="B47" s="3" t="s">
        <v>1743</v>
      </c>
      <c r="C47" s="3" t="s">
        <v>1747</v>
      </c>
      <c r="D47" s="3" t="s">
        <v>1748</v>
      </c>
      <c r="E47" s="3" t="s">
        <v>1749</v>
      </c>
      <c r="G47" s="8" t="str">
        <f>IFERROR(__xludf.DUMMYFUNCTION("GOOGLETRANSLATE(A47, ""en"", ""hi"")"),"46")</f>
        <v>46</v>
      </c>
      <c r="H47" s="8" t="str">
        <f>IFERROR(__xludf.DUMMYFUNCTION("GOOGLETRANSLATE(B47, ""en"", ""hi"")"),"लागोरी_12")</f>
        <v>लागोरी_12</v>
      </c>
      <c r="I47" s="8" t="str">
        <f>IFERROR(__xludf.DUMMYFUNCTION("GOOGLETRANSLATE(C47, ""en"", ""hi"")"),"लागोरी खेल के दौरान चित्र में खिलाड़ियों की मुख्य गतिविधि क्या है?")</f>
        <v>लागोरी खेल के दौरान चित्र में खिलाड़ियों की मुख्य गतिविधि क्या है?</v>
      </c>
      <c r="J47" s="8" t="str">
        <f>IFERROR(__xludf.DUMMYFUNCTION("GOOGLETRANSLATE(D47, ""en"", ""hi"")"),"A) गेंद फेंकना, B) पत्थरों को ढेर करना, C) भागना, D) पिरामिड का पुनर्निर्माण करना")</f>
        <v>A) गेंद फेंकना, B) पत्थरों को ढेर करना, C) भागना, D) पिरामिड का पुनर्निर्माण करना</v>
      </c>
      <c r="K47" s="8" t="str">
        <f>IFERROR(__xludf.DUMMYFUNCTION("GOOGLETRANSLATE(E47, ""en"", ""hi"")"),"B) पत्थरों को ढेर करना")</f>
        <v>B) पत्थरों को ढेर करना</v>
      </c>
    </row>
    <row r="48" ht="22.5" customHeight="1">
      <c r="A48" s="2">
        <v>47.0</v>
      </c>
      <c r="B48" s="3" t="s">
        <v>1743</v>
      </c>
      <c r="C48" s="3" t="s">
        <v>1750</v>
      </c>
      <c r="D48" s="3" t="s">
        <v>227</v>
      </c>
      <c r="E48" s="3" t="s">
        <v>261</v>
      </c>
      <c r="G48" s="8" t="str">
        <f>IFERROR(__xludf.DUMMYFUNCTION("GOOGLETRANSLATE(A48, ""en"", ""hi"")"),"47")</f>
        <v>47</v>
      </c>
      <c r="H48" s="8" t="str">
        <f>IFERROR(__xludf.DUMMYFUNCTION("GOOGLETRANSLATE(B48, ""en"", ""hi"")"),"लागोरी_12")</f>
        <v>लागोरी_12</v>
      </c>
      <c r="I48" s="8" t="str">
        <f>IFERROR(__xludf.DUMMYFUNCTION("GOOGLETRANSLATE(C48, ""en"", ""hi"")"),"चित्र में टीम द्वारा पहनी गई जर्सी का रंग क्या है?")</f>
        <v>चित्र में टीम द्वारा पहनी गई जर्सी का रंग क्या है?</v>
      </c>
      <c r="J48" s="8" t="str">
        <f>IFERROR(__xludf.DUMMYFUNCTION("GOOGLETRANSLATE(D48, ""en"", ""hi"")"),"A) लाल, B) नीला, C) हरा, D) पीला")</f>
        <v>A) लाल, B) नीला, C) हरा, D) पीला</v>
      </c>
      <c r="K48" s="8" t="str">
        <f>IFERROR(__xludf.DUMMYFUNCTION("GOOGLETRANSLATE(E48, ""en"", ""hi"")"),"ए) लाल")</f>
        <v>ए) लाल</v>
      </c>
    </row>
    <row r="49" ht="22.5" customHeight="1">
      <c r="A49" s="2">
        <v>48.0</v>
      </c>
      <c r="B49" s="3" t="s">
        <v>1743</v>
      </c>
      <c r="C49" s="3" t="s">
        <v>1751</v>
      </c>
      <c r="D49" s="3" t="s">
        <v>1752</v>
      </c>
      <c r="E49" s="3" t="s">
        <v>1753</v>
      </c>
      <c r="G49" s="8" t="str">
        <f>IFERROR(__xludf.DUMMYFUNCTION("GOOGLETRANSLATE(A49, ""en"", ""hi"")"),"48")</f>
        <v>48</v>
      </c>
      <c r="H49" s="8" t="str">
        <f>IFERROR(__xludf.DUMMYFUNCTION("GOOGLETRANSLATE(B49, ""en"", ""hi"")"),"लागोरी_12")</f>
        <v>लागोरी_12</v>
      </c>
      <c r="I49" s="8" t="str">
        <f>IFERROR(__xludf.DUMMYFUNCTION("GOOGLETRANSLATE(C49, ""en"", ""hi"")"),"जैसा कि चित्र में दिखाया गया है, लागोरी खेल में खिलाड़ियों का मुख्य उद्देश्य क्या है?")</f>
        <v>जैसा कि चित्र में दिखाया गया है, लागोरी खेल में खिलाड़ियों का मुख्य उद्देश्य क्या है?</v>
      </c>
      <c r="J49" s="8" t="str">
        <f>IFERROR(__xludf.DUMMYFUNCTION("GOOGLETRANSLATE(D49, ""en"", ""hi"")"),"A) गेंद से पिरामिड को मारना, B) पिरामिड की रक्षा करना, C) पत्थरों को फिर से जोड़ना, D) गेंद को पकड़ना")</f>
        <v>A) गेंद से पिरामिड को मारना, B) पिरामिड की रक्षा करना, C) पत्थरों को फिर से जोड़ना, D) गेंद को पकड़ना</v>
      </c>
      <c r="K49" s="8" t="str">
        <f>IFERROR(__xludf.DUMMYFUNCTION("GOOGLETRANSLATE(E49, ""en"", ""hi"")"),"C) पत्थरों का पुनर्निर्माण करना")</f>
        <v>C) पत्थरों का पुनर्निर्माण करना</v>
      </c>
    </row>
    <row r="50" ht="22.5" customHeight="1">
      <c r="A50" s="2">
        <v>49.0</v>
      </c>
      <c r="B50" s="3" t="s">
        <v>1754</v>
      </c>
      <c r="C50" s="3" t="s">
        <v>1755</v>
      </c>
      <c r="D50" s="3" t="s">
        <v>1756</v>
      </c>
      <c r="E50" s="3" t="s">
        <v>1757</v>
      </c>
      <c r="G50" s="8" t="str">
        <f>IFERROR(__xludf.DUMMYFUNCTION("GOOGLETRANSLATE(A50, ""en"", ""hi"")"),"49")</f>
        <v>49</v>
      </c>
      <c r="H50" s="8" t="str">
        <f>IFERROR(__xludf.DUMMYFUNCTION("GOOGLETRANSLATE(B50, ""en"", ""hi"")"),"लागोरी_13")</f>
        <v>लागोरी_13</v>
      </c>
      <c r="I50" s="8" t="str">
        <f>IFERROR(__xludf.DUMMYFUNCTION("GOOGLETRANSLATE(C50, ""en"", ""hi"")"),"महाराष्ट्र राज्य में लागोरी को सामान्यतः किस नाम से जाना जाता है?")</f>
        <v>महाराष्ट्र राज्य में लागोरी को सामान्यतः किस नाम से जाना जाता है?</v>
      </c>
      <c r="J50" s="8" t="str">
        <f>IFERROR(__xludf.DUMMYFUNCTION("GOOGLETRANSLATE(D50, ""en"", ""hi"")"),"ए) सतोलिया, बी) डब्बा काली, सी) पिट्टू, डी) लिंगोरचा")</f>
        <v>ए) सतोलिया, बी) डब्बा काली, सी) पिट्टू, डी) लिंगोरचा</v>
      </c>
      <c r="K50" s="8" t="str">
        <f>IFERROR(__xludf.DUMMYFUNCTION("GOOGLETRANSLATE(E50, ""en"", ""hi"")"),"D) लिंगोरचा")</f>
        <v>D) लिंगोरचा</v>
      </c>
    </row>
    <row r="51" ht="22.5" customHeight="1">
      <c r="A51" s="2">
        <v>50.0</v>
      </c>
      <c r="B51" s="3" t="s">
        <v>1754</v>
      </c>
      <c r="C51" s="3" t="s">
        <v>1758</v>
      </c>
      <c r="D51" s="3" t="s">
        <v>1759</v>
      </c>
      <c r="E51" s="3" t="s">
        <v>1760</v>
      </c>
      <c r="G51" s="8" t="str">
        <f>IFERROR(__xludf.DUMMYFUNCTION("GOOGLETRANSLATE(A51, ""en"", ""hi"")"),"50")</f>
        <v>50</v>
      </c>
      <c r="H51" s="8" t="str">
        <f>IFERROR(__xludf.DUMMYFUNCTION("GOOGLETRANSLATE(B51, ""en"", ""hi"")"),"लागोरी_13")</f>
        <v>लागोरी_13</v>
      </c>
      <c r="I51" s="8" t="str">
        <f>IFERROR(__xludf.DUMMYFUNCTION("GOOGLETRANSLATE(C51, ""en"", ""hi"")"),"उत्तर भारत में, विशेषकर पंजाब और हरियाणा जैसे क्षेत्रों में, लागोरी को क्या कहा जाता है?")</f>
        <v>उत्तर भारत में, विशेषकर पंजाब और हरियाणा जैसे क्षेत्रों में, लागोरी को क्या कहा जाता है?</v>
      </c>
      <c r="J51" s="8" t="str">
        <f>IFERROR(__xludf.DUMMYFUNCTION("GOOGLETRANSLATE(D51, ""en"", ""hi"")"),"ए) सतोलिया, बी) लिंगोरचा, सी) पिट्टू, डी) डब्बा काली")</f>
        <v>ए) सतोलिया, बी) लिंगोरचा, सी) पिट्टू, डी) डब्बा काली</v>
      </c>
      <c r="K51" s="8" t="str">
        <f>IFERROR(__xludf.DUMMYFUNCTION("GOOGLETRANSLATE(E51, ""en"", ""hi"")"),"C) पिट्टू")</f>
        <v>C) पिट्टू</v>
      </c>
    </row>
    <row r="52" ht="22.5" customHeight="1">
      <c r="A52" s="2">
        <v>51.0</v>
      </c>
      <c r="B52" s="3" t="s">
        <v>1754</v>
      </c>
      <c r="C52" s="3" t="s">
        <v>1761</v>
      </c>
      <c r="D52" s="3" t="s">
        <v>1762</v>
      </c>
      <c r="E52" s="3" t="s">
        <v>1763</v>
      </c>
      <c r="G52" s="8" t="str">
        <f>IFERROR(__xludf.DUMMYFUNCTION("GOOGLETRANSLATE(A52, ""en"", ""hi"")"),"51")</f>
        <v>51</v>
      </c>
      <c r="H52" s="8" t="str">
        <f>IFERROR(__xludf.DUMMYFUNCTION("GOOGLETRANSLATE(B52, ""en"", ""hi"")"),"लागोरी_13")</f>
        <v>लागोरी_13</v>
      </c>
      <c r="I52" s="8" t="str">
        <f>IFERROR(__xludf.DUMMYFUNCTION("GOOGLETRANSLATE(C52, ""en"", ""hi"")"),"कर्नाटक राज्य में लागोरी को क्या नाम दिया गया है?")</f>
        <v>कर्नाटक राज्य में लागोरी को क्या नाम दिया गया है?</v>
      </c>
      <c r="J52" s="8" t="str">
        <f>IFERROR(__xludf.DUMMYFUNCTION("GOOGLETRANSLATE(D52, ""en"", ""hi"")"),"ए) पिट्टू, बी) लिंगोरचा, सी) डब्बा काली, डी) किट्टी पुल")</f>
        <v>ए) पिट्टू, बी) लिंगोरचा, सी) डब्बा काली, डी) किट्टी पुल</v>
      </c>
      <c r="K52" s="8" t="str">
        <f>IFERROR(__xludf.DUMMYFUNCTION("GOOGLETRANSLATE(E52, ""en"", ""hi"")"),"C) डब्बा काली")</f>
        <v>C) डब्बा काली</v>
      </c>
    </row>
    <row r="53" ht="22.5" customHeight="1">
      <c r="A53" s="2">
        <v>52.0</v>
      </c>
      <c r="B53" s="3" t="s">
        <v>1754</v>
      </c>
      <c r="C53" s="3" t="s">
        <v>1764</v>
      </c>
      <c r="D53" s="3" t="s">
        <v>1765</v>
      </c>
      <c r="E53" s="3" t="s">
        <v>1766</v>
      </c>
      <c r="G53" s="8" t="str">
        <f>IFERROR(__xludf.DUMMYFUNCTION("GOOGLETRANSLATE(A53, ""en"", ""hi"")"),"52")</f>
        <v>52</v>
      </c>
      <c r="H53" s="8" t="str">
        <f>IFERROR(__xludf.DUMMYFUNCTION("GOOGLETRANSLATE(B53, ""en"", ""hi"")"),"लागोरी_13")</f>
        <v>लागोरी_13</v>
      </c>
      <c r="I53" s="8" t="str">
        <f>IFERROR(__xludf.DUMMYFUNCTION("GOOGLETRANSLATE(C53, ""en"", ""hi"")"),"निम्नलिखित में से कौन सा तमिलनाडु में लागोरी का दूसरा नाम है?")</f>
        <v>निम्नलिखित में से कौन सा तमिलनाडु में लागोरी का दूसरा नाम है?</v>
      </c>
      <c r="J53" s="8" t="str">
        <f>IFERROR(__xludf.DUMMYFUNCTION("GOOGLETRANSLATE(D53, ""en"", ""hi"")"),"ए) सेवन स्टोन्स, बी) सातोलिया, सी) डब्बा काली, डी) लिंगोरचा")</f>
        <v>ए) सेवन स्टोन्स, बी) सातोलिया, सी) डब्बा काली, डी) लिंगोरचा</v>
      </c>
      <c r="K53" s="8" t="str">
        <f>IFERROR(__xludf.DUMMYFUNCTION("GOOGLETRANSLATE(E53, ""en"", ""hi"")"),"A) सात पत्थर")</f>
        <v>A) सात पत्थर</v>
      </c>
    </row>
    <row r="54" ht="22.5" customHeight="1">
      <c r="A54" s="2">
        <v>53.0</v>
      </c>
      <c r="B54" s="3" t="s">
        <v>1767</v>
      </c>
      <c r="C54" s="3" t="s">
        <v>1768</v>
      </c>
      <c r="D54" s="3" t="s">
        <v>1769</v>
      </c>
      <c r="E54" s="3" t="s">
        <v>1770</v>
      </c>
      <c r="G54" s="8" t="str">
        <f>IFERROR(__xludf.DUMMYFUNCTION("GOOGLETRANSLATE(A54, ""en"", ""hi"")"),"53")</f>
        <v>53</v>
      </c>
      <c r="H54" s="8" t="str">
        <f>IFERROR(__xludf.DUMMYFUNCTION("GOOGLETRANSLATE(B54, ""en"", ""hi"")"),"लागोरी_14")</f>
        <v>लागोरी_14</v>
      </c>
      <c r="I54" s="8" t="str">
        <f>IFERROR(__xludf.DUMMYFUNCTION("GOOGLETRANSLATE(C54, ""en"", ""hi"")"),"गुजरात राज्य में लागोरी को किस नाम से जाना जाता है?")</f>
        <v>गुजरात राज्य में लागोरी को किस नाम से जाना जाता है?</v>
      </c>
      <c r="J54" s="8" t="str">
        <f>IFERROR(__xludf.DUMMYFUNCTION("GOOGLETRANSLATE(D54, ""en"", ""hi"")"),"ए) पिट्टू, बी) सातोलिया, सी) डब्बा काली, डी) लिंगोरचा")</f>
        <v>ए) पिट्टू, बी) सातोलिया, सी) डब्बा काली, डी) लिंगोरचा</v>
      </c>
      <c r="K54" s="8" t="str">
        <f>IFERROR(__xludf.DUMMYFUNCTION("GOOGLETRANSLATE(E54, ""en"", ""hi"")"),"बी) सतोलिया")</f>
        <v>बी) सतोलिया</v>
      </c>
    </row>
    <row r="55" ht="22.5" customHeight="1">
      <c r="A55" s="2">
        <v>54.0</v>
      </c>
      <c r="B55" s="3" t="s">
        <v>1767</v>
      </c>
      <c r="C55" s="3" t="s">
        <v>1771</v>
      </c>
      <c r="D55" s="3" t="s">
        <v>1772</v>
      </c>
      <c r="E55" s="3" t="s">
        <v>1773</v>
      </c>
      <c r="G55" s="8" t="str">
        <f>IFERROR(__xludf.DUMMYFUNCTION("GOOGLETRANSLATE(A55, ""en"", ""hi"")"),"54")</f>
        <v>54</v>
      </c>
      <c r="H55" s="8" t="str">
        <f>IFERROR(__xludf.DUMMYFUNCTION("GOOGLETRANSLATE(B55, ""en"", ""hi"")"),"लागोरी_14")</f>
        <v>लागोरी_14</v>
      </c>
      <c r="I55" s="8" t="str">
        <f>IFERROR(__xludf.DUMMYFUNCTION("GOOGLETRANSLATE(C55, ""en"", ""hi"")"),"आंध्र प्रदेश और तेलंगाना में लागोरी को क्या कहा जाता है?")</f>
        <v>आंध्र प्रदेश और तेलंगाना में लागोरी को क्या कहा जाता है?</v>
      </c>
      <c r="J55" s="8" t="str">
        <f>IFERROR(__xludf.DUMMYFUNCTION("GOOGLETRANSLATE(D55, ""en"", ""hi"")"),"ए) पिट्टू, बी) येदु पेंकुलु, सी) डब्बा काली, डी) लिंगोरचा")</f>
        <v>ए) पिट्टू, बी) येदु पेंकुलु, सी) डब्बा काली, डी) लिंगोरचा</v>
      </c>
      <c r="K55" s="8" t="str">
        <f>IFERROR(__xludf.DUMMYFUNCTION("GOOGLETRANSLATE(E55, ""en"", ""hi"")"),"B) येदु पेनकुलु")</f>
        <v>B) येदु पेनकुलु</v>
      </c>
    </row>
    <row r="56" ht="22.5" customHeight="1">
      <c r="A56" s="2">
        <v>55.0</v>
      </c>
      <c r="B56" s="3" t="s">
        <v>1767</v>
      </c>
      <c r="C56" s="3" t="s">
        <v>1774</v>
      </c>
      <c r="D56" s="3" t="s">
        <v>1775</v>
      </c>
      <c r="E56" s="3" t="s">
        <v>1776</v>
      </c>
      <c r="G56" s="8" t="str">
        <f>IFERROR(__xludf.DUMMYFUNCTION("GOOGLETRANSLATE(A56, ""en"", ""hi"")"),"55")</f>
        <v>55</v>
      </c>
      <c r="H56" s="8" t="str">
        <f>IFERROR(__xludf.DUMMYFUNCTION("GOOGLETRANSLATE(B56, ""en"", ""hi"")"),"लागोरी_14")</f>
        <v>लागोरी_14</v>
      </c>
      <c r="I56" s="8" t="str">
        <f>IFERROR(__xludf.DUMMYFUNCTION("GOOGLETRANSLATE(C56, ""en"", ""hi"")"),"पाकिस्तान में लागोरी का क्या नाम है?")</f>
        <v>पाकिस्तान में लागोरी का क्या नाम है?</v>
      </c>
      <c r="J56" s="8" t="str">
        <f>IFERROR(__xludf.DUMMYFUNCTION("GOOGLETRANSLATE(D56, ""en"", ""hi"")"),"ए) सतोलिया, बी) पिट्टू गरम, सी) लिंगोरचा, डी) डब्बा काली")</f>
        <v>ए) सतोलिया, बी) पिट्टू गरम, सी) लिंगोरचा, डी) डब्बा काली</v>
      </c>
      <c r="K56" s="8" t="str">
        <f>IFERROR(__xludf.DUMMYFUNCTION("GOOGLETRANSLATE(E56, ""en"", ""hi"")"),"बी) पिट्टू गरम")</f>
        <v>बी) पिट्टू गरम</v>
      </c>
    </row>
    <row r="57" ht="22.5" customHeight="1">
      <c r="A57" s="2">
        <v>56.0</v>
      </c>
      <c r="B57" s="3" t="s">
        <v>1767</v>
      </c>
      <c r="C57" s="3" t="s">
        <v>1777</v>
      </c>
      <c r="D57" s="3" t="s">
        <v>1778</v>
      </c>
      <c r="E57" s="3" t="s">
        <v>1779</v>
      </c>
      <c r="G57" s="8" t="str">
        <f>IFERROR(__xludf.DUMMYFUNCTION("GOOGLETRANSLATE(A57, ""en"", ""hi"")"),"56")</f>
        <v>56</v>
      </c>
      <c r="H57" s="8" t="str">
        <f>IFERROR(__xludf.DUMMYFUNCTION("GOOGLETRANSLATE(B57, ""en"", ""hi"")"),"लागोरी_14")</f>
        <v>लागोरी_14</v>
      </c>
      <c r="I57" s="8" t="str">
        <f>IFERROR(__xludf.DUMMYFUNCTION("GOOGLETRANSLATE(C57, ""en"", ""hi"")"),"बांग्लादेश में लागोरी के लिए कौन सा नाम प्रयोग किया जाता है?")</f>
        <v>बांग्लादेश में लागोरी के लिए कौन सा नाम प्रयोग किया जाता है?</v>
      </c>
      <c r="J57" s="8" t="str">
        <f>IFERROR(__xludf.DUMMYFUNCTION("GOOGLETRANSLATE(D57, ""en"", ""hi"")"),"ए) सातोलिया, बी) पिट्टू, सी) सेवन स्टोन्स, डी) लिंगोरचा")</f>
        <v>ए) सातोलिया, बी) पिट्टू, सी) सेवन स्टोन्स, डी) लिंगोरचा</v>
      </c>
      <c r="K57" s="8" t="str">
        <f>IFERROR(__xludf.DUMMYFUNCTION("GOOGLETRANSLATE(E57, ""en"", ""hi"")"),"बी) पिट्टू")</f>
        <v>बी) पिट्टू</v>
      </c>
    </row>
    <row r="58" ht="22.5" customHeight="1">
      <c r="A58" s="2">
        <v>57.0</v>
      </c>
      <c r="B58" s="3" t="s">
        <v>1780</v>
      </c>
      <c r="C58" s="3" t="s">
        <v>1781</v>
      </c>
      <c r="D58" s="3" t="s">
        <v>1782</v>
      </c>
      <c r="E58" s="3" t="s">
        <v>1783</v>
      </c>
      <c r="G58" s="8" t="str">
        <f>IFERROR(__xludf.DUMMYFUNCTION("GOOGLETRANSLATE(A58, ""en"", ""hi"")"),"57")</f>
        <v>57</v>
      </c>
      <c r="H58" s="8" t="str">
        <f>IFERROR(__xludf.DUMMYFUNCTION("GOOGLETRANSLATE(B58, ""en"", ""hi"")"),"लागोरी_15")</f>
        <v>लागोरी_15</v>
      </c>
      <c r="I58" s="8" t="str">
        <f>IFERROR(__xludf.DUMMYFUNCTION("GOOGLETRANSLATE(C58, ""en"", ""hi"")"),"भारतीय राज्य पश्चिम बंगाल में लागोरी को क्या कहा जाता है?")</f>
        <v>भारतीय राज्य पश्चिम बंगाल में लागोरी को क्या कहा जाता है?</v>
      </c>
      <c r="J58" s="8" t="str">
        <f>IFERROR(__xludf.DUMMYFUNCTION("GOOGLETRANSLATE(D58, ""en"", ""hi"")"),"ए) सतोलिया, बी) पिट्टू, सी) लट्टू, डी) लिंगोरचा")</f>
        <v>ए) सतोलिया, बी) पिट्टू, सी) लट्टू, डी) लिंगोरचा</v>
      </c>
      <c r="K58" s="8" t="str">
        <f>IFERROR(__xludf.DUMMYFUNCTION("GOOGLETRANSLATE(E58, ""en"", ""hi"")"),"C) लट्टू")</f>
        <v>C) लट्टू</v>
      </c>
    </row>
    <row r="59" ht="22.5" customHeight="1">
      <c r="A59" s="2">
        <v>58.0</v>
      </c>
      <c r="B59" s="3" t="s">
        <v>1780</v>
      </c>
      <c r="C59" s="3" t="s">
        <v>1784</v>
      </c>
      <c r="D59" s="3" t="s">
        <v>1785</v>
      </c>
      <c r="E59" s="3" t="s">
        <v>1786</v>
      </c>
      <c r="G59" s="8" t="str">
        <f>IFERROR(__xludf.DUMMYFUNCTION("GOOGLETRANSLATE(A59, ""en"", ""hi"")"),"58")</f>
        <v>58</v>
      </c>
      <c r="H59" s="8" t="str">
        <f>IFERROR(__xludf.DUMMYFUNCTION("GOOGLETRANSLATE(B59, ""en"", ""hi"")"),"लागोरी_15")</f>
        <v>लागोरी_15</v>
      </c>
      <c r="I59" s="8" t="str">
        <f>IFERROR(__xludf.DUMMYFUNCTION("GOOGLETRANSLATE(C59, ""en"", ""hi"")"),"ओडिशा राज्य में लागोरी खेल को क्या नाम दिया गया है?")</f>
        <v>ओडिशा राज्य में लागोरी खेल को क्या नाम दिया गया है?</v>
      </c>
      <c r="J59" s="8" t="str">
        <f>IFERROR(__xludf.DUMMYFUNCTION("GOOGLETRANSLATE(D59, ""en"", ""hi"")"),"ए) पिट्टू, बी) सतोलिया, सी) डब्बा काली, डी) गोली")</f>
        <v>ए) पिट्टू, बी) सतोलिया, सी) डब्बा काली, डी) गोली</v>
      </c>
      <c r="K59" s="8" t="str">
        <f>IFERROR(__xludf.DUMMYFUNCTION("GOOGLETRANSLATE(E59, ""en"", ""hi"")"),"D) गोली")</f>
        <v>D) गोली</v>
      </c>
    </row>
    <row r="60" ht="22.5" customHeight="1">
      <c r="A60" s="2">
        <v>59.0</v>
      </c>
      <c r="B60" s="3" t="s">
        <v>1780</v>
      </c>
      <c r="C60" s="3" t="s">
        <v>1787</v>
      </c>
      <c r="D60" s="3" t="s">
        <v>1788</v>
      </c>
      <c r="E60" s="3" t="s">
        <v>1789</v>
      </c>
      <c r="G60" s="8" t="str">
        <f>IFERROR(__xludf.DUMMYFUNCTION("GOOGLETRANSLATE(A60, ""en"", ""hi"")"),"59")</f>
        <v>59</v>
      </c>
      <c r="H60" s="8" t="str">
        <f>IFERROR(__xludf.DUMMYFUNCTION("GOOGLETRANSLATE(B60, ""en"", ""hi"")"),"लागोरी_15")</f>
        <v>लागोरी_15</v>
      </c>
      <c r="I60" s="8" t="str">
        <f>IFERROR(__xludf.DUMMYFUNCTION("GOOGLETRANSLATE(C60, ""en"", ""hi"")"),"केरल राज्य में लागोरी को किस नाम से जाना जाता है?")</f>
        <v>केरल राज्य में लागोरी को किस नाम से जाना जाता है?</v>
      </c>
      <c r="J60" s="8" t="str">
        <f>IFERROR(__xludf.DUMMYFUNCTION("GOOGLETRANSLATE(D60, ""en"", ""hi"")"),"ए) डब्बा काली, बी) सातोलिया, सी) लिंगोरचा, डी) पिट्टू")</f>
        <v>ए) डब्बा काली, बी) सातोलिया, सी) लिंगोरचा, डी) पिट्टू</v>
      </c>
      <c r="K60" s="8" t="str">
        <f>IFERROR(__xludf.DUMMYFUNCTION("GOOGLETRANSLATE(E60, ""en"", ""hi"")"),"A) डब्बा काली")</f>
        <v>A) डब्बा काली</v>
      </c>
    </row>
    <row r="61" ht="22.5" customHeight="1">
      <c r="A61" s="2">
        <v>60.0</v>
      </c>
      <c r="B61" s="3" t="s">
        <v>1780</v>
      </c>
      <c r="C61" s="3" t="s">
        <v>1790</v>
      </c>
      <c r="D61" s="3" t="s">
        <v>1791</v>
      </c>
      <c r="E61" s="3" t="s">
        <v>1792</v>
      </c>
      <c r="G61" s="8" t="str">
        <f>IFERROR(__xludf.DUMMYFUNCTION("GOOGLETRANSLATE(A61, ""en"", ""hi"")"),"60")</f>
        <v>60</v>
      </c>
      <c r="H61" s="8" t="str">
        <f>IFERROR(__xludf.DUMMYFUNCTION("GOOGLETRANSLATE(B61, ""en"", ""hi"")"),"लागोरी_15")</f>
        <v>लागोरी_15</v>
      </c>
      <c r="I61" s="8" t="str">
        <f>IFERROR(__xludf.DUMMYFUNCTION("GOOGLETRANSLATE(C61, ""en"", ""hi"")"),"फिलीपींस में लागोरी को किस नाम से जाना जाता है?")</f>
        <v>फिलीपींस में लागोरी को किस नाम से जाना जाता है?</v>
      </c>
      <c r="J61" s="8" t="str">
        <f>IFERROR(__xludf.DUMMYFUNCTION("GOOGLETRANSLATE(D61, ""en"", ""hi"")"),"ए) लुक्सोंग टिनिक, बी) तुम्बांग प्रेसो, सी) पैटिनटेरो, डी) पिट्टू गरम")</f>
        <v>ए) लुक्सोंग टिनिक, बी) तुम्बांग प्रेसो, सी) पैटिनटेरो, डी) पिट्टू गरम</v>
      </c>
      <c r="K61" s="8" t="str">
        <f>IFERROR(__xludf.DUMMYFUNCTION("GOOGLETRANSLATE(E61, ""en"", ""hi"")"),"B) तुम्बांग प्रेसो")</f>
        <v>B) तुम्बांग प्रेसो</v>
      </c>
    </row>
    <row r="62" ht="22.5" customHeight="1">
      <c r="A62" s="2">
        <v>61.0</v>
      </c>
      <c r="B62" s="3" t="s">
        <v>1793</v>
      </c>
      <c r="C62" s="3" t="s">
        <v>1794</v>
      </c>
      <c r="D62" s="3" t="s">
        <v>1759</v>
      </c>
      <c r="E62" s="3" t="s">
        <v>1660</v>
      </c>
      <c r="G62" s="8" t="str">
        <f>IFERROR(__xludf.DUMMYFUNCTION("GOOGLETRANSLATE(A62, ""en"", ""hi"")"),"61")</f>
        <v>61</v>
      </c>
      <c r="H62" s="8" t="str">
        <f>IFERROR(__xludf.DUMMYFUNCTION("GOOGLETRANSLATE(B62, ""en"", ""hi"")"),"लागोरी_16")</f>
        <v>लागोरी_16</v>
      </c>
      <c r="I62" s="8" t="str">
        <f>IFERROR(__xludf.DUMMYFUNCTION("GOOGLETRANSLATE(C62, ""en"", ""hi"")"),"महाराष्ट्र राज्य में लागोरी को पारंपरिक रूप से किस नाम से जाना जाता है?")</f>
        <v>महाराष्ट्र राज्य में लागोरी को पारंपरिक रूप से किस नाम से जाना जाता है?</v>
      </c>
      <c r="J62" s="8" t="str">
        <f>IFERROR(__xludf.DUMMYFUNCTION("GOOGLETRANSLATE(D62, ""en"", ""hi"")"),"ए) सतोलिया, बी) लिंगोरचा, सी) पिट्टू, डी) डब्बा काली")</f>
        <v>ए) सतोलिया, बी) लिंगोरचा, सी) पिट्टू, डी) डब्बा काली</v>
      </c>
      <c r="K62" s="8" t="str">
        <f>IFERROR(__xludf.DUMMYFUNCTION("GOOGLETRANSLATE(E62, ""en"", ""hi"")"),"बी) लिंगोरचा")</f>
        <v>बी) लिंगोरचा</v>
      </c>
    </row>
    <row r="63" ht="22.5" customHeight="1">
      <c r="A63" s="2">
        <v>62.0</v>
      </c>
      <c r="B63" s="3" t="s">
        <v>1793</v>
      </c>
      <c r="C63" s="3" t="s">
        <v>1795</v>
      </c>
      <c r="D63" s="3" t="s">
        <v>1796</v>
      </c>
      <c r="E63" s="3" t="s">
        <v>1797</v>
      </c>
      <c r="G63" s="8" t="str">
        <f>IFERROR(__xludf.DUMMYFUNCTION("GOOGLETRANSLATE(A63, ""en"", ""hi"")"),"62")</f>
        <v>62</v>
      </c>
      <c r="H63" s="8" t="str">
        <f>IFERROR(__xludf.DUMMYFUNCTION("GOOGLETRANSLATE(B63, ""en"", ""hi"")"),"लागोरी_16")</f>
        <v>लागोरी_16</v>
      </c>
      <c r="I63" s="8" t="str">
        <f>IFERROR(__xludf.DUMMYFUNCTION("GOOGLETRANSLATE(C63, ""en"", ""hi"")"),"किस राज्य में लागोरी को सामान्यतः 'पिट्टू' कहा जाता है?")</f>
        <v>किस राज्य में लागोरी को सामान्यतः 'पिट्टू' कहा जाता है?</v>
      </c>
      <c r="J63" s="8" t="str">
        <f>IFERROR(__xludf.DUMMYFUNCTION("GOOGLETRANSLATE(D63, ""en"", ""hi"")"),"ए) पंजाब, बी) गुजरात, सी) कर्नाटक, डी) तमिलनाडु")</f>
        <v>ए) पंजाब, बी) गुजरात, सी) कर्नाटक, डी) तमिलनाडु</v>
      </c>
      <c r="K63" s="8" t="str">
        <f>IFERROR(__xludf.DUMMYFUNCTION("GOOGLETRANSLATE(E63, ""en"", ""hi"")"),"A) पंजाब")</f>
        <v>A) पंजाब</v>
      </c>
    </row>
    <row r="64" ht="22.5" customHeight="1">
      <c r="A64" s="2">
        <v>63.0</v>
      </c>
      <c r="B64" s="3" t="s">
        <v>1793</v>
      </c>
      <c r="C64" s="3" t="s">
        <v>1606</v>
      </c>
      <c r="D64" s="3" t="s">
        <v>1607</v>
      </c>
      <c r="E64" s="3" t="s">
        <v>1608</v>
      </c>
      <c r="G64" s="8" t="str">
        <f>IFERROR(__xludf.DUMMYFUNCTION("GOOGLETRANSLATE(A64, ""en"", ""hi"")"),"63")</f>
        <v>63</v>
      </c>
      <c r="H64" s="8" t="str">
        <f>IFERROR(__xludf.DUMMYFUNCTION("GOOGLETRANSLATE(B64, ""en"", ""hi"")"),"लागोरी_16")</f>
        <v>लागोरी_16</v>
      </c>
      <c r="I64" s="8" t="str">
        <f>IFERROR(__xludf.DUMMYFUNCTION("GOOGLETRANSLATE(C64, ""en"", ""hi"")"),"लागोरी में आक्रमणकारी टीम का प्राथमिक उद्देश्य क्या है?")</f>
        <v>लागोरी में आक्रमणकारी टीम का प्राथमिक उद्देश्य क्या है?</v>
      </c>
      <c r="J64" s="8" t="str">
        <f>IFERROR(__xludf.DUMMYFUNCTION("GOOGLETRANSLATE(D64, ""en"", ""hi"")"),"A) पिरामिड तोड़ो, B) पिरामिड की रक्षा करो, C) झंडे पर कब्जा करो, D) सभी विरोधियों को टैग करो")</f>
        <v>A) पिरामिड तोड़ो, B) पिरामिड की रक्षा करो, C) झंडे पर कब्जा करो, D) सभी विरोधियों को टैग करो</v>
      </c>
      <c r="K64" s="8" t="str">
        <f>IFERROR(__xludf.DUMMYFUNCTION("GOOGLETRANSLATE(E64, ""en"", ""hi"")"),"A) पिरामिड तोड़ो")</f>
        <v>A) पिरामिड तोड़ो</v>
      </c>
    </row>
    <row r="65" ht="22.5" customHeight="1">
      <c r="A65" s="2">
        <v>64.0</v>
      </c>
      <c r="B65" s="3" t="s">
        <v>1793</v>
      </c>
      <c r="C65" s="3" t="s">
        <v>1798</v>
      </c>
      <c r="D65" s="3" t="s">
        <v>1610</v>
      </c>
      <c r="E65" s="3" t="s">
        <v>1611</v>
      </c>
      <c r="G65" s="8" t="str">
        <f>IFERROR(__xludf.DUMMYFUNCTION("GOOGLETRANSLATE(A65, ""en"", ""hi"")"),"64")</f>
        <v>64</v>
      </c>
      <c r="H65" s="8" t="str">
        <f>IFERROR(__xludf.DUMMYFUNCTION("GOOGLETRANSLATE(B65, ""en"", ""hi"")"),"लागोरी_16")</f>
        <v>लागोरी_16</v>
      </c>
      <c r="I65" s="8" t="str">
        <f>IFERROR(__xludf.DUMMYFUNCTION("GOOGLETRANSLATE(C65, ""en"", ""hi"")"),"लागोरी में स्टैक बनाने के लिए किस पारंपरिक सामग्री का उपयोग किया जाता है?")</f>
        <v>लागोरी में स्टैक बनाने के लिए किस पारंपरिक सामग्री का उपयोग किया जाता है?</v>
      </c>
      <c r="J65" s="8" t="str">
        <f>IFERROR(__xludf.DUMMYFUNCTION("GOOGLETRANSLATE(D65, ""en"", ""hi"")"),"A) पत्थर, B) लकड़ी, C) प्लास्टिक, D) धातु")</f>
        <v>A) पत्थर, B) लकड़ी, C) प्लास्टिक, D) धातु</v>
      </c>
      <c r="K65" s="8" t="str">
        <f>IFERROR(__xludf.DUMMYFUNCTION("GOOGLETRANSLATE(E65, ""en"", ""hi"")"),"ए) पत्थर")</f>
        <v>ए) पत्थर</v>
      </c>
    </row>
    <row r="66" ht="22.5" customHeight="1">
      <c r="A66" s="2">
        <v>65.0</v>
      </c>
      <c r="B66" s="3" t="s">
        <v>1799</v>
      </c>
      <c r="C66" s="3" t="s">
        <v>1612</v>
      </c>
      <c r="D66" s="3" t="s">
        <v>1613</v>
      </c>
      <c r="E66" s="3" t="s">
        <v>1281</v>
      </c>
      <c r="G66" s="8" t="str">
        <f>IFERROR(__xludf.DUMMYFUNCTION("GOOGLETRANSLATE(A66, ""en"", ""hi"")"),"65")</f>
        <v>65</v>
      </c>
      <c r="H66" s="8" t="str">
        <f>IFERROR(__xludf.DUMMYFUNCTION("GOOGLETRANSLATE(B66, ""en"", ""hi"")"),"लागोरी_17")</f>
        <v>लागोरी_17</v>
      </c>
      <c r="I66" s="8" t="str">
        <f>IFERROR(__xludf.DUMMYFUNCTION("GOOGLETRANSLATE(C66, ""en"", ""hi"")"),"लागोरी के मानक खेल में आमतौर पर कितने पत्थर रखे जाते हैं?")</f>
        <v>लागोरी के मानक खेल में आमतौर पर कितने पत्थर रखे जाते हैं?</v>
      </c>
      <c r="J66" s="8" t="str">
        <f>IFERROR(__xludf.DUMMYFUNCTION("GOOGLETRANSLATE(D66, ""en"", ""hi"")"),"ए) 3, बी) 5, सी) 7, डी) 9")</f>
        <v>ए) 3, बी) 5, सी) 7, डी) 9</v>
      </c>
      <c r="K66" s="8" t="str">
        <f>IFERROR(__xludf.DUMMYFUNCTION("GOOGLETRANSLATE(E66, ""en"", ""hi"")"),"सी) 7")</f>
        <v>सी) 7</v>
      </c>
    </row>
    <row r="67" ht="22.5" customHeight="1">
      <c r="A67" s="2">
        <v>66.0</v>
      </c>
      <c r="B67" s="3" t="s">
        <v>1799</v>
      </c>
      <c r="C67" s="3" t="s">
        <v>1614</v>
      </c>
      <c r="D67" s="3" t="s">
        <v>1615</v>
      </c>
      <c r="E67" s="3" t="s">
        <v>1616</v>
      </c>
      <c r="G67" s="8" t="str">
        <f>IFERROR(__xludf.DUMMYFUNCTION("GOOGLETRANSLATE(A67, ""en"", ""hi"")"),"66")</f>
        <v>66</v>
      </c>
      <c r="H67" s="8" t="str">
        <f>IFERROR(__xludf.DUMMYFUNCTION("GOOGLETRANSLATE(B67, ""en"", ""hi"")"),"लागोरी_17")</f>
        <v>लागोरी_17</v>
      </c>
      <c r="I67" s="8" t="str">
        <f>IFERROR(__xludf.DUMMYFUNCTION("GOOGLETRANSLATE(C67, ""en"", ""hi"")"),"लागोरी बजाने के लिए कौन सा उपकरण आवश्यक है?")</f>
        <v>लागोरी बजाने के लिए कौन सा उपकरण आवश्यक है?</v>
      </c>
      <c r="J67" s="8" t="str">
        <f>IFERROR(__xludf.DUMMYFUNCTION("GOOGLETRANSLATE(D67, ""en"", ""hi"")"),"A) बल्ला, B) गेंद, C) नेट, D) फ्रिसबी")</f>
        <v>A) बल्ला, B) गेंद, C) नेट, D) फ्रिसबी</v>
      </c>
      <c r="K67" s="8" t="str">
        <f>IFERROR(__xludf.DUMMYFUNCTION("GOOGLETRANSLATE(E67, ""en"", ""hi"")"),"बी) गेंद")</f>
        <v>बी) गेंद</v>
      </c>
    </row>
    <row r="68" ht="22.5" customHeight="1">
      <c r="A68" s="2">
        <v>67.0</v>
      </c>
      <c r="B68" s="3" t="s">
        <v>1799</v>
      </c>
      <c r="C68" s="3" t="s">
        <v>1618</v>
      </c>
      <c r="D68" s="3" t="s">
        <v>1619</v>
      </c>
      <c r="E68" s="3" t="s">
        <v>1620</v>
      </c>
      <c r="G68" s="8" t="str">
        <f>IFERROR(__xludf.DUMMYFUNCTION("GOOGLETRANSLATE(A68, ""en"", ""hi"")"),"67")</f>
        <v>67</v>
      </c>
      <c r="H68" s="8" t="str">
        <f>IFERROR(__xludf.DUMMYFUNCTION("GOOGLETRANSLATE(B68, ""en"", ""hi"")"),"लागोरी_17")</f>
        <v>लागोरी_17</v>
      </c>
      <c r="I68" s="8" t="str">
        <f>IFERROR(__xludf.DUMMYFUNCTION("GOOGLETRANSLATE(C68, ""en"", ""hi"")"),"लागोरी में रक्षात्मक टीम की मुख्य भूमिका क्या है?")</f>
        <v>लागोरी में रक्षात्मक टीम की मुख्य भूमिका क्या है?</v>
      </c>
      <c r="J68" s="8" t="str">
        <f>IFERROR(__xludf.DUMMYFUNCTION("GOOGLETRANSLATE(D68, ""en"", ""hi"")"),"A) पिरामिड का पुनर्निर्माण करें, B) पिरामिड को तोड़ें, C) गेंद से टकराने से बचें, D) अंक अर्जित करें")</f>
        <v>A) पिरामिड का पुनर्निर्माण करें, B) पिरामिड को तोड़ें, C) गेंद से टकराने से बचें, D) अंक अर्जित करें</v>
      </c>
      <c r="K68" s="8" t="str">
        <f>IFERROR(__xludf.DUMMYFUNCTION("GOOGLETRANSLATE(E68, ""en"", ""hi"")"),"C) गेंद से टकराने से बचें")</f>
        <v>C) गेंद से टकराने से बचें</v>
      </c>
    </row>
    <row r="69" ht="22.5" customHeight="1">
      <c r="A69" s="2">
        <v>68.0</v>
      </c>
      <c r="B69" s="3" t="s">
        <v>1799</v>
      </c>
      <c r="C69" s="3" t="s">
        <v>1621</v>
      </c>
      <c r="D69" s="3" t="s">
        <v>1622</v>
      </c>
      <c r="E69" s="3" t="s">
        <v>1623</v>
      </c>
      <c r="G69" s="8" t="str">
        <f>IFERROR(__xludf.DUMMYFUNCTION("GOOGLETRANSLATE(A69, ""en"", ""hi"")"),"68")</f>
        <v>68</v>
      </c>
      <c r="H69" s="8" t="str">
        <f>IFERROR(__xludf.DUMMYFUNCTION("GOOGLETRANSLATE(B69, ""en"", ""hi"")"),"लागोरी_17")</f>
        <v>लागोरी_17</v>
      </c>
      <c r="I69" s="8" t="str">
        <f>IFERROR(__xludf.DUMMYFUNCTION("GOOGLETRANSLATE(C69, ""en"", ""hi"")"),"यदि रक्षात्मक टीम के किसी खिलाड़ी को गेंद लग जाए तो क्या होगा?")</f>
        <v>यदि रक्षात्मक टीम के किसी खिलाड़ी को गेंद लग जाए तो क्या होगा?</v>
      </c>
      <c r="J69" s="8" t="str">
        <f>IFERROR(__xludf.DUMMYFUNCTION("GOOGLETRANSLATE(D69, ""en"", ""hi"")"),"A) वे खेल से बाहर हो जाते हैं, B) वे टीम बदल लेते हैं, C) उन्हें एक अंक मिलता है, D) खेल पुनः शुरू हो जाता है")</f>
        <v>A) वे खेल से बाहर हो जाते हैं, B) वे टीम बदल लेते हैं, C) उन्हें एक अंक मिलता है, D) खेल पुनः शुरू हो जाता है</v>
      </c>
      <c r="K69" s="8" t="str">
        <f>IFERROR(__xludf.DUMMYFUNCTION("GOOGLETRANSLATE(E69, ""en"", ""hi"")"),"A) वे खेल से बाहर हो गए हैं")</f>
        <v>A) वे खेल से बाहर हो गए हैं</v>
      </c>
    </row>
    <row r="70" ht="22.5" customHeight="1">
      <c r="A70" s="2">
        <v>69.0</v>
      </c>
      <c r="B70" s="3" t="s">
        <v>1800</v>
      </c>
      <c r="C70" s="3" t="s">
        <v>1801</v>
      </c>
      <c r="D70" s="3" t="s">
        <v>1625</v>
      </c>
      <c r="E70" s="3" t="s">
        <v>1626</v>
      </c>
      <c r="G70" s="8" t="str">
        <f>IFERROR(__xludf.DUMMYFUNCTION("GOOGLETRANSLATE(A70, ""en"", ""hi"")"),"69")</f>
        <v>69</v>
      </c>
      <c r="H70" s="8" t="str">
        <f>IFERROR(__xludf.DUMMYFUNCTION("GOOGLETRANSLATE(B70, ""en"", ""hi"")"),"लागोरी_18")</f>
        <v>लागोरी_18</v>
      </c>
      <c r="I70" s="8" t="str">
        <f>IFERROR(__xludf.DUMMYFUNCTION("GOOGLETRANSLATE(C70, ""en"", ""hi"")"),"जब लागोरी में सभी पत्थर गिरा दिए जाते हैं तो क्या शब्द प्रयोग किया जाता है?")</f>
        <v>जब लागोरी में सभी पत्थर गिरा दिए जाते हैं तो क्या शब्द प्रयोग किया जाता है?</v>
      </c>
      <c r="J70" s="8" t="str">
        <f>IFERROR(__xludf.DUMMYFUNCTION("GOOGLETRANSLATE(D70, ""en"", ""hi"")"),"ए) लागोरी, बी) फुल डाउन, सी) स्ट्राइक, डी) ओवर")</f>
        <v>ए) लागोरी, बी) फुल डाउन, सी) स्ट्राइक, डी) ओवर</v>
      </c>
      <c r="K70" s="8" t="str">
        <f>IFERROR(__xludf.DUMMYFUNCTION("GOOGLETRANSLATE(E70, ""en"", ""hi"")"),"ए) लागोरी")</f>
        <v>ए) लागोरी</v>
      </c>
    </row>
    <row r="71" ht="22.5" customHeight="1">
      <c r="A71" s="2">
        <v>70.0</v>
      </c>
      <c r="B71" s="3" t="s">
        <v>1800</v>
      </c>
      <c r="C71" s="3" t="s">
        <v>1802</v>
      </c>
      <c r="D71" s="3" t="s">
        <v>1628</v>
      </c>
      <c r="E71" s="3" t="s">
        <v>1629</v>
      </c>
      <c r="G71" s="8" t="str">
        <f>IFERROR(__xludf.DUMMYFUNCTION("GOOGLETRANSLATE(A71, ""en"", ""hi"")"),"70")</f>
        <v>70</v>
      </c>
      <c r="H71" s="8" t="str">
        <f>IFERROR(__xludf.DUMMYFUNCTION("GOOGLETRANSLATE(B71, ""en"", ""hi"")"),"लागोरी_18")</f>
        <v>लागोरी_18</v>
      </c>
      <c r="I71" s="8" t="str">
        <f>IFERROR(__xludf.DUMMYFUNCTION("GOOGLETRANSLATE(C71, ""en"", ""hi"")"),"यदि आक्रमणकारी टीम लागोरी में पत्थरों को गिराने में असफल हो जाए तो क्या होगा?")</f>
        <v>यदि आक्रमणकारी टीम लागोरी में पत्थरों को गिराने में असफल हो जाए तो क्या होगा?</v>
      </c>
      <c r="J71" s="8" t="str">
        <f>IFERROR(__xludf.DUMMYFUNCTION("GOOGLETRANSLATE(D71, ""en"", ""hi"")"),"A) वे एक अंक खो देते हैं, B) बारी दूसरी टीम को मिल जाती है, C) उन्हें पुनः प्रयास करना होगा, D) उन्हें पेनल्टी मिलती है")</f>
        <v>A) वे एक अंक खो देते हैं, B) बारी दूसरी टीम को मिल जाती है, C) उन्हें पुनः प्रयास करना होगा, D) उन्हें पेनल्टी मिलती है</v>
      </c>
      <c r="K71" s="8" t="str">
        <f>IFERROR(__xludf.DUMMYFUNCTION("GOOGLETRANSLATE(E71, ""en"", ""hi"")"),"B) बारी दूसरी टीम को सौंप दी जाती है")</f>
        <v>B) बारी दूसरी टीम को सौंप दी जाती है</v>
      </c>
    </row>
    <row r="72" ht="22.5" customHeight="1">
      <c r="A72" s="2">
        <v>71.0</v>
      </c>
      <c r="B72" s="3" t="s">
        <v>1800</v>
      </c>
      <c r="C72" s="3" t="s">
        <v>1631</v>
      </c>
      <c r="D72" s="3" t="s">
        <v>1632</v>
      </c>
      <c r="E72" s="3" t="s">
        <v>1633</v>
      </c>
      <c r="G72" s="8" t="str">
        <f>IFERROR(__xludf.DUMMYFUNCTION("GOOGLETRANSLATE(A72, ""en"", ""hi"")"),"71")</f>
        <v>71</v>
      </c>
      <c r="H72" s="8" t="str">
        <f>IFERROR(__xludf.DUMMYFUNCTION("GOOGLETRANSLATE(B72, ""en"", ""hi"")"),"लागोरी_18")</f>
        <v>लागोरी_18</v>
      </c>
      <c r="I72" s="8" t="str">
        <f>IFERROR(__xludf.DUMMYFUNCTION("GOOGLETRANSLATE(C72, ""en"", ""hi"")"),"लागोरी में सफलता के लिए कौन सा कौशल सबसे महत्वपूर्ण है?")</f>
        <v>लागोरी में सफलता के लिए कौन सा कौशल सबसे महत्वपूर्ण है?</v>
      </c>
      <c r="J72" s="8" t="str">
        <f>IFERROR(__xludf.DUMMYFUNCTION("GOOGLETRANSLATE(D72, ""en"", ""hi"")"),"A) कूदना, B) दौड़ना, C) सटीकता से फेंकना, D) पकड़ना")</f>
        <v>A) कूदना, B) दौड़ना, C) सटीकता से फेंकना, D) पकड़ना</v>
      </c>
      <c r="K72" s="8" t="str">
        <f>IFERROR(__xludf.DUMMYFUNCTION("GOOGLETRANSLATE(E72, ""en"", ""hi"")"),"C) फेंकने की सटीकता")</f>
        <v>C) फेंकने की सटीकता</v>
      </c>
    </row>
    <row r="73" ht="22.5" customHeight="1">
      <c r="A73" s="2">
        <v>72.0</v>
      </c>
      <c r="B73" s="3" t="s">
        <v>1800</v>
      </c>
      <c r="C73" s="3" t="s">
        <v>1803</v>
      </c>
      <c r="D73" s="3" t="s">
        <v>1635</v>
      </c>
      <c r="E73" s="3" t="s">
        <v>1636</v>
      </c>
      <c r="G73" s="8" t="str">
        <f>IFERROR(__xludf.DUMMYFUNCTION("GOOGLETRANSLATE(A73, ""en"", ""hi"")"),"72")</f>
        <v>72</v>
      </c>
      <c r="H73" s="8" t="str">
        <f>IFERROR(__xludf.DUMMYFUNCTION("GOOGLETRANSLATE(B73, ""en"", ""hi"")"),"लागोरी_18")</f>
        <v>लागोरी_18</v>
      </c>
      <c r="I73" s="8" t="str">
        <f>IFERROR(__xludf.DUMMYFUNCTION("GOOGLETRANSLATE(C73, ""en"", ""hi"")"),"लागोरी में कोई टीम खेल कैसे जीतती है?")</f>
        <v>लागोरी में कोई टीम खेल कैसे जीतती है?</v>
      </c>
      <c r="J73" s="8" t="str">
        <f>IFERROR(__xludf.DUMMYFUNCTION("GOOGLETRANSLATE(D73, ""en"", ""hi"")"),"A) एक ही प्रयास में सभी पत्थरों को गिराकर, B) सभी विरोधियों को खत्म करके, C) पिरामिड का पुनर्निर्माण करके, D) सबसे अधिक अंक प्राप्त करके")</f>
        <v>A) एक ही प्रयास में सभी पत्थरों को गिराकर, B) सभी विरोधियों को खत्म करके, C) पिरामिड का पुनर्निर्माण करके, D) सबसे अधिक अंक प्राप्त करके</v>
      </c>
      <c r="K73" s="8" t="str">
        <f>IFERROR(__xludf.DUMMYFUNCTION("GOOGLETRANSLATE(E73, ""en"", ""hi"")"),"C) पिरामिड का पुनर्निर्माण करके")</f>
        <v>C) पिरामिड का पुनर्निर्माण करके</v>
      </c>
    </row>
    <row r="74" ht="22.5" customHeight="1">
      <c r="A74" s="2">
        <v>73.0</v>
      </c>
      <c r="B74" s="3" t="s">
        <v>1804</v>
      </c>
      <c r="C74" s="3" t="s">
        <v>1637</v>
      </c>
      <c r="D74" s="3" t="s">
        <v>1613</v>
      </c>
      <c r="E74" s="3" t="s">
        <v>1281</v>
      </c>
      <c r="G74" s="8" t="str">
        <f>IFERROR(__xludf.DUMMYFUNCTION("GOOGLETRANSLATE(A74, ""en"", ""hi"")"),"73")</f>
        <v>73</v>
      </c>
      <c r="H74" s="8" t="str">
        <f>IFERROR(__xludf.DUMMYFUNCTION("GOOGLETRANSLATE(B74, ""en"", ""hi"")"),"लागोरी_19")</f>
        <v>लागोरी_19</v>
      </c>
      <c r="I74" s="8" t="str">
        <f>IFERROR(__xludf.DUMMYFUNCTION("GOOGLETRANSLATE(C74, ""en"", ""hi"")"),"लागोरी के खेल में प्रत्येक टीम में आमतौर पर कितने खिलाड़ी होते हैं?")</f>
        <v>लागोरी के खेल में प्रत्येक टीम में आमतौर पर कितने खिलाड़ी होते हैं?</v>
      </c>
      <c r="J74" s="8" t="str">
        <f>IFERROR(__xludf.DUMMYFUNCTION("GOOGLETRANSLATE(D74, ""en"", ""hi"")"),"ए) 3, बी) 5, सी) 7, डी) 9")</f>
        <v>ए) 3, बी) 5, सी) 7, डी) 9</v>
      </c>
      <c r="K74" s="8" t="str">
        <f>IFERROR(__xludf.DUMMYFUNCTION("GOOGLETRANSLATE(E74, ""en"", ""hi"")"),"सी) 7")</f>
        <v>सी) 7</v>
      </c>
    </row>
    <row r="75" ht="22.5" customHeight="1">
      <c r="A75" s="2">
        <v>74.0</v>
      </c>
      <c r="B75" s="3" t="s">
        <v>1804</v>
      </c>
      <c r="C75" s="3" t="s">
        <v>1638</v>
      </c>
      <c r="D75" s="3" t="s">
        <v>1639</v>
      </c>
      <c r="E75" s="3" t="s">
        <v>1640</v>
      </c>
      <c r="G75" s="8" t="str">
        <f>IFERROR(__xludf.DUMMYFUNCTION("GOOGLETRANSLATE(A75, ""en"", ""hi"")"),"74")</f>
        <v>74</v>
      </c>
      <c r="H75" s="8" t="str">
        <f>IFERROR(__xludf.DUMMYFUNCTION("GOOGLETRANSLATE(B75, ""en"", ""hi"")"),"लागोरी_19")</f>
        <v>लागोरी_19</v>
      </c>
      <c r="I75" s="8" t="str">
        <f>IFERROR(__xludf.DUMMYFUNCTION("GOOGLETRANSLATE(C75, ""en"", ""hi"")"),"यदि रक्षात्मक टीम सफलतापूर्वक लागोरी में पिरामिड का पुनर्निर्माण कर ले तो क्या होगा?")</f>
        <v>यदि रक्षात्मक टीम सफलतापूर्वक लागोरी में पिरामिड का पुनर्निर्माण कर ले तो क्या होगा?</v>
      </c>
      <c r="J75" s="8" t="str">
        <f>IFERROR(__xludf.DUMMYFUNCTION("GOOGLETRANSLATE(D75, ""en"", ""hi"")"),"A) वे खेल जीत जाते हैं, B) खेल जारी रहता है, C) खेल बराबरी पर समाप्त होता है, D) वे पक्ष बदल लेते हैं")</f>
        <v>A) वे खेल जीत जाते हैं, B) खेल जारी रहता है, C) खेल बराबरी पर समाप्त होता है, D) वे पक्ष बदल लेते हैं</v>
      </c>
      <c r="K75" s="8" t="str">
        <f>IFERROR(__xludf.DUMMYFUNCTION("GOOGLETRANSLATE(E75, ""en"", ""hi"")"),"बी) खेल जारी है")</f>
        <v>बी) खेल जारी है</v>
      </c>
    </row>
    <row r="76" ht="22.5" customHeight="1">
      <c r="A76" s="2">
        <v>75.0</v>
      </c>
      <c r="B76" s="3" t="s">
        <v>1804</v>
      </c>
      <c r="C76" s="3" t="s">
        <v>1805</v>
      </c>
      <c r="D76" s="3" t="s">
        <v>1643</v>
      </c>
      <c r="E76" s="3" t="s">
        <v>1644</v>
      </c>
      <c r="G76" s="8" t="str">
        <f>IFERROR(__xludf.DUMMYFUNCTION("GOOGLETRANSLATE(A76, ""en"", ""hi"")"),"75")</f>
        <v>75</v>
      </c>
      <c r="H76" s="8" t="str">
        <f>IFERROR(__xludf.DUMMYFUNCTION("GOOGLETRANSLATE(B76, ""en"", ""hi"")"),"लागोरी_19")</f>
        <v>लागोरी_19</v>
      </c>
      <c r="I76" s="8" t="str">
        <f>IFERROR(__xludf.DUMMYFUNCTION("GOOGLETRANSLATE(C76, ""en"", ""hi"")"),"लागोरी में कौन सी कार्रवाई अवैध है?")</f>
        <v>लागोरी में कौन सी कार्रवाई अवैध है?</v>
      </c>
      <c r="J76" s="8" t="str">
        <f>IFERROR(__xludf.DUMMYFUNCTION("GOOGLETRANSLATE(D76, ""en"", ""hi"")"),"A) गेंद को अंडरआर्म फेंकना, B) गेंद को ओवरहैंड फेंकना, C) गेंद को हाथों से रोकना, D) गेंद को किक मारना")</f>
        <v>A) गेंद को अंडरआर्म फेंकना, B) गेंद को ओवरहैंड फेंकना, C) गेंद को हाथों से रोकना, D) गेंद को किक मारना</v>
      </c>
      <c r="K76" s="8" t="str">
        <f>IFERROR(__xludf.DUMMYFUNCTION("GOOGLETRANSLATE(E76, ""en"", ""hi"")"),"D) गेंद को किक मारना")</f>
        <v>D) गेंद को किक मारना</v>
      </c>
    </row>
    <row r="77" ht="22.5" customHeight="1">
      <c r="A77" s="2">
        <v>76.0</v>
      </c>
      <c r="B77" s="3" t="s">
        <v>1804</v>
      </c>
      <c r="C77" s="3" t="s">
        <v>1806</v>
      </c>
      <c r="D77" s="3" t="s">
        <v>1646</v>
      </c>
      <c r="E77" s="3" t="s">
        <v>1647</v>
      </c>
      <c r="G77" s="8" t="str">
        <f>IFERROR(__xludf.DUMMYFUNCTION("GOOGLETRANSLATE(A77, ""en"", ""hi"")"),"76")</f>
        <v>76</v>
      </c>
      <c r="H77" s="8" t="str">
        <f>IFERROR(__xludf.DUMMYFUNCTION("GOOGLETRANSLATE(B77, ""en"", ""hi"")"),"लागोरी_19")</f>
        <v>लागोरी_19</v>
      </c>
      <c r="I77" s="8" t="str">
        <f>IFERROR(__xludf.DUMMYFUNCTION("GOOGLETRANSLATE(C77, ""en"", ""hi"")"),"लागोरी में पत्थरों को गिराने के बाद हमलावर टीम क्या करती है?")</f>
        <v>लागोरी में पत्थरों को गिराने के बाद हमलावर टीम क्या करती है?</v>
      </c>
      <c r="J77" s="8" t="str">
        <f>IFERROR(__xludf.DUMMYFUNCTION("GOOGLETRANSLATE(D77, ""en"", ""hi"")"),"A) भागना और छिपना, B) पिरामिड का पुनर्निर्माण करना, C) विरोधियों पर गेंद फेंकना, D) क्षेत्र की रक्षा करना")</f>
        <v>A) भागना और छिपना, B) पिरामिड का पुनर्निर्माण करना, C) विरोधियों पर गेंद फेंकना, D) क्षेत्र की रक्षा करना</v>
      </c>
      <c r="K77" s="8" t="str">
        <f>IFERROR(__xludf.DUMMYFUNCTION("GOOGLETRANSLATE(E77, ""en"", ""hi"")"),"C) विरोधियों पर गेंद फेंकना")</f>
        <v>C) विरोधियों पर गेंद फेंकना</v>
      </c>
    </row>
    <row r="78" ht="22.5" customHeight="1">
      <c r="A78" s="2">
        <v>77.0</v>
      </c>
      <c r="B78" s="3" t="s">
        <v>1807</v>
      </c>
      <c r="C78" s="3" t="s">
        <v>1808</v>
      </c>
      <c r="D78" s="3" t="s">
        <v>1649</v>
      </c>
      <c r="E78" s="3" t="s">
        <v>1650</v>
      </c>
      <c r="G78" s="8" t="str">
        <f>IFERROR(__xludf.DUMMYFUNCTION("GOOGLETRANSLATE(A78, ""en"", ""hi"")"),"77")</f>
        <v>77</v>
      </c>
      <c r="H78" s="8" t="str">
        <f>IFERROR(__xludf.DUMMYFUNCTION("GOOGLETRANSLATE(B78, ""en"", ""hi"")"),"लागोरी_20")</f>
        <v>लागोरी_20</v>
      </c>
      <c r="I78" s="8" t="str">
        <f>IFERROR(__xludf.DUMMYFUNCTION("GOOGLETRANSLATE(C78, ""en"", ""hi"")"),"लागोरी के दौरान रक्षात्मक टीम में खड़े अंतिम खिलाड़ी की भूमिका क्या है?")</f>
        <v>लागोरी के दौरान रक्षात्मक टीम में खड़े अंतिम खिलाड़ी की भूमिका क्या है?</v>
      </c>
      <c r="J78" s="8" t="str">
        <f>IFERROR(__xludf.DUMMYFUNCTION("GOOGLETRANSLATE(D78, ""en"", ""hi"")"),"A) पिरामिड को गिराना, B) पिरामिड का पुनर्निर्माण करना, C) पिरामिड की रक्षा करना, D) गेंद को पकड़ना")</f>
        <v>A) पिरामिड को गिराना, B) पिरामिड का पुनर्निर्माण करना, C) पिरामिड की रक्षा करना, D) गेंद को पकड़ना</v>
      </c>
      <c r="K78" s="8" t="str">
        <f>IFERROR(__xludf.DUMMYFUNCTION("GOOGLETRANSLATE(E78, ""en"", ""hi"")"),"बी) पिरामिड का पुनर्निर्माण")</f>
        <v>बी) पिरामिड का पुनर्निर्माण</v>
      </c>
    </row>
    <row r="79" ht="22.5" customHeight="1">
      <c r="A79" s="2">
        <v>78.0</v>
      </c>
      <c r="B79" s="3" t="s">
        <v>1807</v>
      </c>
      <c r="C79" s="3" t="s">
        <v>1651</v>
      </c>
      <c r="D79" s="3" t="s">
        <v>1652</v>
      </c>
      <c r="E79" s="3" t="s">
        <v>1653</v>
      </c>
      <c r="G79" s="8" t="str">
        <f>IFERROR(__xludf.DUMMYFUNCTION("GOOGLETRANSLATE(A79, ""en"", ""hi"")"),"78")</f>
        <v>78</v>
      </c>
      <c r="H79" s="8" t="str">
        <f>IFERROR(__xludf.DUMMYFUNCTION("GOOGLETRANSLATE(B79, ""en"", ""hi"")"),"लागोरी_20")</f>
        <v>लागोरी_20</v>
      </c>
      <c r="I79" s="8" t="str">
        <f>IFERROR(__xludf.DUMMYFUNCTION("GOOGLETRANSLATE(C79, ""en"", ""hi"")"),"लागोरी में आमतौर पर किस प्रकार की गेंद का उपयोग किया जाता है?")</f>
        <v>लागोरी में आमतौर पर किस प्रकार की गेंद का उपयोग किया जाता है?</v>
      </c>
      <c r="J79" s="8" t="str">
        <f>IFERROR(__xludf.DUMMYFUNCTION("GOOGLETRANSLATE(D79, ""en"", ""hi"")"),"A) टेनिस बॉल, B) बास्केटबॉल, C) क्रिकेट बॉल, D) फुटबॉल")</f>
        <v>A) टेनिस बॉल, B) बास्केटबॉल, C) क्रिकेट बॉल, D) फुटबॉल</v>
      </c>
      <c r="K79" s="8" t="str">
        <f>IFERROR(__xludf.DUMMYFUNCTION("GOOGLETRANSLATE(E79, ""en"", ""hi"")"),"A) टेनिस बॉल")</f>
        <v>A) टेनिस बॉल</v>
      </c>
    </row>
    <row r="80" ht="22.5" customHeight="1">
      <c r="A80" s="2">
        <v>79.0</v>
      </c>
      <c r="B80" s="3" t="s">
        <v>1807</v>
      </c>
      <c r="C80" s="3" t="s">
        <v>1676</v>
      </c>
      <c r="D80" s="3" t="s">
        <v>1677</v>
      </c>
      <c r="E80" s="3" t="s">
        <v>1678</v>
      </c>
      <c r="G80" s="8" t="str">
        <f>IFERROR(__xludf.DUMMYFUNCTION("GOOGLETRANSLATE(A80, ""en"", ""hi"")"),"79")</f>
        <v>79</v>
      </c>
      <c r="H80" s="8" t="str">
        <f>IFERROR(__xludf.DUMMYFUNCTION("GOOGLETRANSLATE(B80, ""en"", ""hi"")"),"लागोरी_20")</f>
        <v>लागोरी_20</v>
      </c>
      <c r="I80" s="8" t="str">
        <f>IFERROR(__xludf.DUMMYFUNCTION("GOOGLETRANSLATE(C80, ""en"", ""hi"")"),"पत्थरों को गिराने के तुरंत बाद आक्रमणकारी टीम को क्या करना चाहिए?")</f>
        <v>पत्थरों को गिराने के तुरंत बाद आक्रमणकारी टीम को क्या करना चाहिए?</v>
      </c>
      <c r="J80" s="8" t="str">
        <f>IFERROR(__xludf.DUMMYFUNCTION("GOOGLETRANSLATE(D80, ""en"", ""hi"")"),"A) भाग जाना, B) पत्थरों को छिपाना, C) पत्थरों का पुनर्निर्माण करना, D) अपने क्षेत्र की रक्षा करना")</f>
        <v>A) भाग जाना, B) पत्थरों को छिपाना, C) पत्थरों का पुनर्निर्माण करना, D) अपने क्षेत्र की रक्षा करना</v>
      </c>
      <c r="K80" s="8" t="str">
        <f>IFERROR(__xludf.DUMMYFUNCTION("GOOGLETRANSLATE(E80, ""en"", ""hi"")"),"ए) भाग जाना")</f>
        <v>ए) भाग जाना</v>
      </c>
    </row>
    <row r="81" ht="22.5" customHeight="1">
      <c r="A81" s="2">
        <v>80.0</v>
      </c>
      <c r="B81" s="3" t="s">
        <v>1807</v>
      </c>
      <c r="C81" s="3" t="s">
        <v>1809</v>
      </c>
      <c r="D81" s="3" t="s">
        <v>1687</v>
      </c>
      <c r="E81" s="3" t="s">
        <v>1688</v>
      </c>
      <c r="G81" s="8" t="str">
        <f>IFERROR(__xludf.DUMMYFUNCTION("GOOGLETRANSLATE(A81, ""en"", ""hi"")"),"80")</f>
        <v>80</v>
      </c>
      <c r="H81" s="8" t="str">
        <f>IFERROR(__xludf.DUMMYFUNCTION("GOOGLETRANSLATE(B81, ""en"", ""hi"")"),"लागोरी_20")</f>
        <v>लागोरी_20</v>
      </c>
      <c r="I81" s="8" t="str">
        <f>IFERROR(__xludf.DUMMYFUNCTION("GOOGLETRANSLATE(C81, ""en"", ""hi"")"),"लागोरी में रक्षात्मक टीम को चोट से बचने के लिए कौन सा कौशल महत्वपूर्ण है?")</f>
        <v>लागोरी में रक्षात्मक टीम को चोट से बचने के लिए कौन सा कौशल महत्वपूर्ण है?</v>
      </c>
      <c r="J81" s="8" t="str">
        <f>IFERROR(__xludf.DUMMYFUNCTION("GOOGLETRANSLATE(D81, ""en"", ""hi"")"),"A) गति, B) शक्ति, C) रणनीति, D) समन्वय")</f>
        <v>A) गति, B) शक्ति, C) रणनीति, D) समन्वय</v>
      </c>
      <c r="K81" s="8" t="str">
        <f>IFERROR(__xludf.DUMMYFUNCTION("GOOGLETRANSLATE(E81, ""en"", ""hi"")"),"डी) समन्वय")</f>
        <v>डी) समन्वय</v>
      </c>
    </row>
    <row r="82" ht="22.5" customHeight="1">
      <c r="A82" s="2">
        <v>81.0</v>
      </c>
      <c r="B82" s="3" t="s">
        <v>1810</v>
      </c>
      <c r="C82" s="3" t="s">
        <v>1811</v>
      </c>
      <c r="D82" s="3" t="s">
        <v>1669</v>
      </c>
      <c r="E82" s="3" t="s">
        <v>1670</v>
      </c>
      <c r="G82" s="8" t="str">
        <f>IFERROR(__xludf.DUMMYFUNCTION("GOOGLETRANSLATE(A82, ""en"", ""hi"")"),"81")</f>
        <v>81</v>
      </c>
      <c r="H82" s="8" t="str">
        <f>IFERROR(__xludf.DUMMYFUNCTION("GOOGLETRANSLATE(B82, ""en"", ""hi"")"),"लागोरी_21")</f>
        <v>लागोरी_21</v>
      </c>
      <c r="I82" s="8" t="str">
        <f>IFERROR(__xludf.DUMMYFUNCTION("GOOGLETRANSLATE(C82, ""en"", ""hi"")"),"लागोरी में उस क्षेत्र के लिए क्या शब्द प्रयुक्त होता है जहां पत्थरों को रखा जाता है?")</f>
        <v>लागोरी में उस क्षेत्र के लिए क्या शब्द प्रयुक्त होता है जहां पत्थरों को रखा जाता है?</v>
      </c>
      <c r="J82" s="8" t="str">
        <f>IFERROR(__xludf.DUMMYFUNCTION("GOOGLETRANSLATE(D82, ""en"", ""hi"")"),"A) बेस, B) पिच, C) सेंटर, D) स्टैक ज़ोन")</f>
        <v>A) बेस, B) पिच, C) सेंटर, D) स्टैक ज़ोन</v>
      </c>
      <c r="K82" s="8" t="str">
        <f>IFERROR(__xludf.DUMMYFUNCTION("GOOGLETRANSLATE(E82, ""en"", ""hi"")"),"सी) केंद्र")</f>
        <v>सी) केंद्र</v>
      </c>
    </row>
    <row r="83" ht="22.5" customHeight="1">
      <c r="A83" s="2">
        <v>82.0</v>
      </c>
      <c r="B83" s="3" t="s">
        <v>1810</v>
      </c>
      <c r="C83" s="3" t="s">
        <v>1812</v>
      </c>
      <c r="D83" s="3" t="s">
        <v>1765</v>
      </c>
      <c r="E83" s="3" t="s">
        <v>1766</v>
      </c>
      <c r="G83" s="8" t="str">
        <f>IFERROR(__xludf.DUMMYFUNCTION("GOOGLETRANSLATE(A83, ""en"", ""hi"")"),"82")</f>
        <v>82</v>
      </c>
      <c r="H83" s="8" t="str">
        <f>IFERROR(__xludf.DUMMYFUNCTION("GOOGLETRANSLATE(B83, ""en"", ""hi"")"),"लागोरी_21")</f>
        <v>लागोरी_21</v>
      </c>
      <c r="I83" s="8" t="str">
        <f>IFERROR(__xludf.DUMMYFUNCTION("GOOGLETRANSLATE(C83, ""en"", ""hi"")"),"तमिलनाडु में लागोरी को किस नाम से भी जाना जाता है?")</f>
        <v>तमिलनाडु में लागोरी को किस नाम से भी जाना जाता है?</v>
      </c>
      <c r="J83" s="8" t="str">
        <f>IFERROR(__xludf.DUMMYFUNCTION("GOOGLETRANSLATE(D83, ""en"", ""hi"")"),"ए) सेवन स्टोन्स, बी) सातोलिया, सी) डब्बा काली, डी) लिंगोरचा")</f>
        <v>ए) सेवन स्टोन्स, बी) सातोलिया, सी) डब्बा काली, डी) लिंगोरचा</v>
      </c>
      <c r="K83" s="8" t="str">
        <f>IFERROR(__xludf.DUMMYFUNCTION("GOOGLETRANSLATE(E83, ""en"", ""hi"")"),"A) सात पत्थर")</f>
        <v>A) सात पत्थर</v>
      </c>
    </row>
    <row r="84" ht="22.5" customHeight="1">
      <c r="A84" s="2">
        <v>83.0</v>
      </c>
      <c r="B84" s="3" t="s">
        <v>1810</v>
      </c>
      <c r="C84" s="3" t="s">
        <v>1813</v>
      </c>
      <c r="D84" s="3" t="s">
        <v>1772</v>
      </c>
      <c r="E84" s="3" t="s">
        <v>1773</v>
      </c>
      <c r="G84" s="8" t="str">
        <f>IFERROR(__xludf.DUMMYFUNCTION("GOOGLETRANSLATE(A84, ""en"", ""hi"")"),"83")</f>
        <v>83</v>
      </c>
      <c r="H84" s="8" t="str">
        <f>IFERROR(__xludf.DUMMYFUNCTION("GOOGLETRANSLATE(B84, ""en"", ""hi"")"),"लागोरी_21")</f>
        <v>लागोरी_21</v>
      </c>
      <c r="I84" s="8" t="str">
        <f>IFERROR(__xludf.DUMMYFUNCTION("GOOGLETRANSLATE(C84, ""en"", ""hi"")"),"आंध्र प्रदेश और तेलंगाना में लागोरी को क्या नाम दिया गया है?")</f>
        <v>आंध्र प्रदेश और तेलंगाना में लागोरी को क्या नाम दिया गया है?</v>
      </c>
      <c r="J84" s="8" t="str">
        <f>IFERROR(__xludf.DUMMYFUNCTION("GOOGLETRANSLATE(D84, ""en"", ""hi"")"),"ए) पिट्टू, बी) येदु पेंकुलु, सी) डब्बा काली, डी) लिंगोरचा")</f>
        <v>ए) पिट्टू, बी) येदु पेंकुलु, सी) डब्बा काली, डी) लिंगोरचा</v>
      </c>
      <c r="K84" s="8" t="str">
        <f>IFERROR(__xludf.DUMMYFUNCTION("GOOGLETRANSLATE(E84, ""en"", ""hi"")"),"B) येदु पेनकुलु")</f>
        <v>B) येदु पेनकुलु</v>
      </c>
    </row>
    <row r="85" ht="22.5" customHeight="1">
      <c r="A85" s="2">
        <v>84.0</v>
      </c>
      <c r="B85" s="3" t="s">
        <v>1810</v>
      </c>
      <c r="C85" s="3" t="s">
        <v>1814</v>
      </c>
      <c r="D85" s="3" t="s">
        <v>1769</v>
      </c>
      <c r="E85" s="3" t="s">
        <v>1770</v>
      </c>
      <c r="G85" s="8" t="str">
        <f>IFERROR(__xludf.DUMMYFUNCTION("GOOGLETRANSLATE(A85, ""en"", ""hi"")"),"84")</f>
        <v>84</v>
      </c>
      <c r="H85" s="8" t="str">
        <f>IFERROR(__xludf.DUMMYFUNCTION("GOOGLETRANSLATE(B85, ""en"", ""hi"")"),"लागोरी_21")</f>
        <v>लागोरी_21</v>
      </c>
      <c r="I85" s="8" t="str">
        <f>IFERROR(__xludf.DUMMYFUNCTION("GOOGLETRANSLATE(C85, ""en"", ""hi"")"),"गुजरात में लागोरी को क्या कहा जाता है?")</f>
        <v>गुजरात में लागोरी को क्या कहा जाता है?</v>
      </c>
      <c r="J85" s="8" t="str">
        <f>IFERROR(__xludf.DUMMYFUNCTION("GOOGLETRANSLATE(D85, ""en"", ""hi"")"),"ए) पिट्टू, बी) सातोलिया, सी) डब्बा काली, डी) लिंगोरचा")</f>
        <v>ए) पिट्टू, बी) सातोलिया, सी) डब्बा काली, डी) लिंगोरचा</v>
      </c>
      <c r="K85" s="8" t="str">
        <f>IFERROR(__xludf.DUMMYFUNCTION("GOOGLETRANSLATE(E85, ""en"", ""hi"")"),"बी) सतोलिया")</f>
        <v>बी) सतोलिया</v>
      </c>
    </row>
    <row r="86" ht="22.5" customHeight="1">
      <c r="A86" s="2">
        <v>85.0</v>
      </c>
      <c r="B86" s="3" t="s">
        <v>1815</v>
      </c>
      <c r="C86" s="3" t="s">
        <v>1816</v>
      </c>
      <c r="D86" s="3" t="s">
        <v>1782</v>
      </c>
      <c r="E86" s="3" t="s">
        <v>1783</v>
      </c>
      <c r="G86" s="8" t="str">
        <f>IFERROR(__xludf.DUMMYFUNCTION("GOOGLETRANSLATE(A86, ""en"", ""hi"")"),"85")</f>
        <v>85</v>
      </c>
      <c r="H86" s="8" t="str">
        <f>IFERROR(__xludf.DUMMYFUNCTION("GOOGLETRANSLATE(B86, ""en"", ""hi"")"),"लागोरी_22")</f>
        <v>लागोरी_22</v>
      </c>
      <c r="I86" s="8" t="str">
        <f>IFERROR(__xludf.DUMMYFUNCTION("GOOGLETRANSLATE(C86, ""en"", ""hi"")"),"भारतीय राज्य पश्चिम बंगाल में लागोरी को क्या नाम दिया गया है?")</f>
        <v>भारतीय राज्य पश्चिम बंगाल में लागोरी को क्या नाम दिया गया है?</v>
      </c>
      <c r="J86" s="8" t="str">
        <f>IFERROR(__xludf.DUMMYFUNCTION("GOOGLETRANSLATE(D86, ""en"", ""hi"")"),"ए) सतोलिया, बी) पिट्टू, सी) लट्टू, डी) लिंगोरचा")</f>
        <v>ए) सतोलिया, बी) पिट्टू, सी) लट्टू, डी) लिंगोरचा</v>
      </c>
      <c r="K86" s="8" t="str">
        <f>IFERROR(__xludf.DUMMYFUNCTION("GOOGLETRANSLATE(E86, ""en"", ""hi"")"),"C) लट्टू")</f>
        <v>C) लट्टू</v>
      </c>
    </row>
    <row r="87" ht="22.5" customHeight="1">
      <c r="A87" s="2">
        <v>86.0</v>
      </c>
      <c r="B87" s="3" t="s">
        <v>1815</v>
      </c>
      <c r="C87" s="3" t="s">
        <v>1817</v>
      </c>
      <c r="D87" s="3" t="s">
        <v>1762</v>
      </c>
      <c r="E87" s="3" t="s">
        <v>1763</v>
      </c>
      <c r="G87" s="8" t="str">
        <f>IFERROR(__xludf.DUMMYFUNCTION("GOOGLETRANSLATE(A87, ""en"", ""hi"")"),"86")</f>
        <v>86</v>
      </c>
      <c r="H87" s="8" t="str">
        <f>IFERROR(__xludf.DUMMYFUNCTION("GOOGLETRANSLATE(B87, ""en"", ""hi"")"),"लागोरी_22")</f>
        <v>लागोरी_22</v>
      </c>
      <c r="I87" s="8" t="str">
        <f>IFERROR(__xludf.DUMMYFUNCTION("GOOGLETRANSLATE(C87, ""en"", ""hi"")"),"कर्नाटक राज्य में लागोरी के लिए कौन सा नाम प्रयोग किया जाता है?")</f>
        <v>कर्नाटक राज्य में लागोरी के लिए कौन सा नाम प्रयोग किया जाता है?</v>
      </c>
      <c r="J87" s="8" t="str">
        <f>IFERROR(__xludf.DUMMYFUNCTION("GOOGLETRANSLATE(D87, ""en"", ""hi"")"),"ए) पिट्टू, बी) लिंगोरचा, सी) डब्बा काली, डी) किट्टी पुल")</f>
        <v>ए) पिट्टू, बी) लिंगोरचा, सी) डब्बा काली, डी) किट्टी पुल</v>
      </c>
      <c r="K87" s="8" t="str">
        <f>IFERROR(__xludf.DUMMYFUNCTION("GOOGLETRANSLATE(E87, ""en"", ""hi"")"),"C) डब्बा काली")</f>
        <v>C) डब्बा काली</v>
      </c>
    </row>
    <row r="88" ht="22.5" customHeight="1">
      <c r="A88" s="2">
        <v>87.0</v>
      </c>
      <c r="B88" s="3" t="s">
        <v>1815</v>
      </c>
      <c r="C88" s="3" t="s">
        <v>1818</v>
      </c>
      <c r="D88" s="3" t="s">
        <v>1819</v>
      </c>
      <c r="E88" s="3" t="s">
        <v>1820</v>
      </c>
      <c r="G88" s="8" t="str">
        <f>IFERROR(__xludf.DUMMYFUNCTION("GOOGLETRANSLATE(A88, ""en"", ""hi"")"),"87")</f>
        <v>87</v>
      </c>
      <c r="H88" s="8" t="str">
        <f>IFERROR(__xludf.DUMMYFUNCTION("GOOGLETRANSLATE(B88, ""en"", ""hi"")"),"लागोरी_22")</f>
        <v>लागोरी_22</v>
      </c>
      <c r="I88" s="8" t="str">
        <f>IFERROR(__xludf.DUMMYFUNCTION("GOOGLETRANSLATE(C88, ""en"", ""hi"")"),"लागोरी को किस क्षेत्र में 'पिट्टू गरम' के नाम से जाना जाता है?")</f>
        <v>लागोरी को किस क्षेत्र में 'पिट्टू गरम' के नाम से जाना जाता है?</v>
      </c>
      <c r="J88" s="8" t="str">
        <f>IFERROR(__xludf.DUMMYFUNCTION("GOOGLETRANSLATE(D88, ""en"", ""hi"")"),"A) भारत, B) पाकिस्तान, C) नेपाल, D) बांग्लादेश")</f>
        <v>A) भारत, B) पाकिस्तान, C) नेपाल, D) बांग्लादेश</v>
      </c>
      <c r="K88" s="8" t="str">
        <f>IFERROR(__xludf.DUMMYFUNCTION("GOOGLETRANSLATE(E88, ""en"", ""hi"")"),"बी) पाकिस्तान")</f>
        <v>बी) पाकिस्तान</v>
      </c>
    </row>
    <row r="89" ht="22.5" customHeight="1">
      <c r="A89" s="2">
        <v>88.0</v>
      </c>
      <c r="B89" s="3" t="s">
        <v>1815</v>
      </c>
      <c r="C89" s="3" t="s">
        <v>1821</v>
      </c>
      <c r="D89" s="3" t="s">
        <v>1822</v>
      </c>
      <c r="E89" s="3" t="s">
        <v>1823</v>
      </c>
      <c r="G89" s="8" t="str">
        <f>IFERROR(__xludf.DUMMYFUNCTION("GOOGLETRANSLATE(A89, ""en"", ""hi"")"),"88")</f>
        <v>88</v>
      </c>
      <c r="H89" s="8" t="str">
        <f>IFERROR(__xludf.DUMMYFUNCTION("GOOGLETRANSLATE(B89, ""en"", ""hi"")"),"लागोरी_22")</f>
        <v>लागोरी_22</v>
      </c>
      <c r="I89" s="8" t="str">
        <f>IFERROR(__xludf.DUMMYFUNCTION("GOOGLETRANSLATE(C89, ""en"", ""hi"")"),"उत्तर भारत में लागोरी के लिए पारंपरिक शब्द क्या है?")</f>
        <v>उत्तर भारत में लागोरी के लिए पारंपरिक शब्द क्या है?</v>
      </c>
      <c r="J89" s="8" t="str">
        <f>IFERROR(__xludf.DUMMYFUNCTION("GOOGLETRANSLATE(D89, ""en"", ""hi"")"),"ए) पिट्टू, बी) लिंगोरचा, सी) सातोलिया, डी) सेवन स्टोन्स")</f>
        <v>ए) पिट्टू, बी) लिंगोरचा, सी) सातोलिया, डी) सेवन स्टोन्स</v>
      </c>
      <c r="K89" s="8" t="str">
        <f>IFERROR(__xludf.DUMMYFUNCTION("GOOGLETRANSLATE(E89, ""en"", ""hi"")"),"A) पिट्टू")</f>
        <v>A) पिट्टू</v>
      </c>
    </row>
    <row r="90" ht="22.5" customHeight="1">
      <c r="A90" s="2">
        <v>89.0</v>
      </c>
      <c r="B90" s="3" t="s">
        <v>1824</v>
      </c>
      <c r="C90" s="3" t="s">
        <v>1777</v>
      </c>
      <c r="D90" s="3" t="s">
        <v>1778</v>
      </c>
      <c r="E90" s="3" t="s">
        <v>1779</v>
      </c>
      <c r="G90" s="8" t="str">
        <f>IFERROR(__xludf.DUMMYFUNCTION("GOOGLETRANSLATE(A90, ""en"", ""hi"")"),"89")</f>
        <v>89</v>
      </c>
      <c r="H90" s="8" t="str">
        <f>IFERROR(__xludf.DUMMYFUNCTION("GOOGLETRANSLATE(B90, ""en"", ""hi"")"),"लागोरी_23")</f>
        <v>लागोरी_23</v>
      </c>
      <c r="I90" s="8" t="str">
        <f>IFERROR(__xludf.DUMMYFUNCTION("GOOGLETRANSLATE(C90, ""en"", ""hi"")"),"बांग्लादेश में लागोरी के लिए कौन सा नाम प्रयोग किया जाता है?")</f>
        <v>बांग्लादेश में लागोरी के लिए कौन सा नाम प्रयोग किया जाता है?</v>
      </c>
      <c r="J90" s="8" t="str">
        <f>IFERROR(__xludf.DUMMYFUNCTION("GOOGLETRANSLATE(D90, ""en"", ""hi"")"),"ए) सातोलिया, बी) पिट्टू, सी) सेवन स्टोन्स, डी) लिंगोरचा")</f>
        <v>ए) सातोलिया, बी) पिट्टू, सी) सेवन स्टोन्स, डी) लिंगोरचा</v>
      </c>
      <c r="K90" s="8" t="str">
        <f>IFERROR(__xludf.DUMMYFUNCTION("GOOGLETRANSLATE(E90, ""en"", ""hi"")"),"बी) पिट्टू")</f>
        <v>बी) पिट्टू</v>
      </c>
    </row>
    <row r="91" ht="22.5" customHeight="1">
      <c r="A91" s="2">
        <v>90.0</v>
      </c>
      <c r="B91" s="3" t="s">
        <v>1824</v>
      </c>
      <c r="C91" s="3" t="s">
        <v>1825</v>
      </c>
      <c r="D91" s="3" t="s">
        <v>1826</v>
      </c>
      <c r="E91" s="3" t="s">
        <v>1827</v>
      </c>
      <c r="G91" s="8" t="str">
        <f>IFERROR(__xludf.DUMMYFUNCTION("GOOGLETRANSLATE(A91, ""en"", ""hi"")"),"90")</f>
        <v>90</v>
      </c>
      <c r="H91" s="8" t="str">
        <f>IFERROR(__xludf.DUMMYFUNCTION("GOOGLETRANSLATE(B91, ""en"", ""hi"")"),"लागोरी_23")</f>
        <v>लागोरी_23</v>
      </c>
      <c r="I91" s="8" t="str">
        <f>IFERROR(__xludf.DUMMYFUNCTION("GOOGLETRANSLATE(C91, ""en"", ""hi"")"),"श्रीलंका में लागोरी को सामान्यतः किस नाम से जाना जाता है?")</f>
        <v>श्रीलंका में लागोरी को सामान्यतः किस नाम से जाना जाता है?</v>
      </c>
      <c r="J91" s="8" t="str">
        <f>IFERROR(__xludf.DUMMYFUNCTION("GOOGLETRANSLATE(D91, ""en"", ""hi"")"),"ए) सातोलिया, बी) लिंगोरचा, सी) सेवन टाइल्स, डी) पिट्टू")</f>
        <v>ए) सातोलिया, बी) लिंगोरचा, सी) सेवन टाइल्स, डी) पिट्टू</v>
      </c>
      <c r="K91" s="8" t="str">
        <f>IFERROR(__xludf.DUMMYFUNCTION("GOOGLETRANSLATE(E91, ""en"", ""hi"")"),"C) सात टाइलें")</f>
        <v>C) सात टाइलें</v>
      </c>
    </row>
    <row r="92" ht="22.5" customHeight="1">
      <c r="A92" s="2">
        <v>91.0</v>
      </c>
      <c r="B92" s="3" t="s">
        <v>1824</v>
      </c>
      <c r="C92" s="3" t="s">
        <v>1828</v>
      </c>
      <c r="D92" s="3" t="s">
        <v>1829</v>
      </c>
      <c r="E92" s="3" t="s">
        <v>1830</v>
      </c>
      <c r="G92" s="8" t="str">
        <f>IFERROR(__xludf.DUMMYFUNCTION("GOOGLETRANSLATE(A92, ""en"", ""hi"")"),"91")</f>
        <v>91</v>
      </c>
      <c r="H92" s="8" t="str">
        <f>IFERROR(__xludf.DUMMYFUNCTION("GOOGLETRANSLATE(B92, ""en"", ""hi"")"),"लागोरी_23")</f>
        <v>लागोरी_23</v>
      </c>
      <c r="I92" s="8" t="str">
        <f>IFERROR(__xludf.DUMMYFUNCTION("GOOGLETRANSLATE(C92, ""en"", ""hi"")"),"लागोरी में रक्षात्मक टीम का मुख्य उद्देश्य क्या है?")</f>
        <v>लागोरी में रक्षात्मक टीम का मुख्य उद्देश्य क्या है?</v>
      </c>
      <c r="J92" s="8" t="str">
        <f>IFERROR(__xludf.DUMMYFUNCTION("GOOGLETRANSLATE(D92, ""en"", ""hi"")"),"A) पिरामिड का पुनर्निर्माण करें, B) पिरामिड को तोड़ें, C) टकराने से बचें, D) अंक अर्जित करें")</f>
        <v>A) पिरामिड का पुनर्निर्माण करें, B) पिरामिड को तोड़ें, C) टकराने से बचें, D) अंक अर्जित करें</v>
      </c>
      <c r="K92" s="8" t="str">
        <f>IFERROR(__xludf.DUMMYFUNCTION("GOOGLETRANSLATE(E92, ""en"", ""hi"")"),"A) पिरामिड का पुनर्निर्माण")</f>
        <v>A) पिरामिड का पुनर्निर्माण</v>
      </c>
    </row>
    <row r="93" ht="22.5" customHeight="1">
      <c r="A93" s="2">
        <v>92.0</v>
      </c>
      <c r="B93" s="3" t="s">
        <v>1824</v>
      </c>
      <c r="C93" s="3" t="s">
        <v>1831</v>
      </c>
      <c r="D93" s="3" t="s">
        <v>1832</v>
      </c>
      <c r="E93" s="3" t="s">
        <v>1833</v>
      </c>
      <c r="G93" s="8" t="str">
        <f>IFERROR(__xludf.DUMMYFUNCTION("GOOGLETRANSLATE(A93, ""en"", ""hi"")"),"92")</f>
        <v>92</v>
      </c>
      <c r="H93" s="8" t="str">
        <f>IFERROR(__xludf.DUMMYFUNCTION("GOOGLETRANSLATE(B93, ""en"", ""hi"")"),"लागोरी_23")</f>
        <v>लागोरी_23</v>
      </c>
      <c r="I93" s="8" t="str">
        <f>IFERROR(__xludf.DUMMYFUNCTION("GOOGLETRANSLATE(C93, ""en"", ""hi"")"),"कौन सा देश लागोरी को 'सात पत्थर' कहता है?")</f>
        <v>कौन सा देश लागोरी को 'सात पत्थर' कहता है?</v>
      </c>
      <c r="J93" s="8" t="str">
        <f>IFERROR(__xludf.DUMMYFUNCTION("GOOGLETRANSLATE(D93, ""en"", ""hi"")"),"ए) भारत, बी) पाकिस्तान, सी) नेपाल, डी) श्रीलंका")</f>
        <v>ए) भारत, बी) पाकिस्तान, सी) नेपाल, डी) श्रीलंका</v>
      </c>
      <c r="K93" s="8" t="str">
        <f>IFERROR(__xludf.DUMMYFUNCTION("GOOGLETRANSLATE(E93, ""en"", ""hi"")"),"D) श्रीलंका")</f>
        <v>D) श्रीलंका</v>
      </c>
    </row>
    <row r="94" ht="22.5" customHeight="1">
      <c r="A94" s="2">
        <v>93.0</v>
      </c>
      <c r="B94" s="3" t="s">
        <v>1834</v>
      </c>
      <c r="C94" s="3" t="s">
        <v>1835</v>
      </c>
      <c r="D94" s="3" t="s">
        <v>1836</v>
      </c>
      <c r="E94" s="3" t="s">
        <v>1837</v>
      </c>
      <c r="G94" s="8" t="str">
        <f>IFERROR(__xludf.DUMMYFUNCTION("GOOGLETRANSLATE(A94, ""en"", ""hi"")"),"93")</f>
        <v>93</v>
      </c>
      <c r="H94" s="8" t="str">
        <f>IFERROR(__xludf.DUMMYFUNCTION("GOOGLETRANSLATE(B94, ""en"", ""hi"")"),"लागोरी_24")</f>
        <v>लागोरी_24</v>
      </c>
      <c r="I94" s="8" t="str">
        <f>IFERROR(__xludf.DUMMYFUNCTION("GOOGLETRANSLATE(C94, ""en"", ""hi"")"),"लागोरी को किस राज्य में 'सतोलिया' के नाम से जाना जाता है?")</f>
        <v>लागोरी को किस राज्य में 'सतोलिया' के नाम से जाना जाता है?</v>
      </c>
      <c r="J94" s="8" t="str">
        <f>IFERROR(__xludf.DUMMYFUNCTION("GOOGLETRANSLATE(D94, ""en"", ""hi"")"),"ए) गुजरात, बी) तमिलनाडु, सी) महाराष्ट्र, डी) कर्नाटक")</f>
        <v>ए) गुजरात, बी) तमिलनाडु, सी) महाराष्ट्र, डी) कर्नाटक</v>
      </c>
      <c r="K94" s="8" t="str">
        <f>IFERROR(__xludf.DUMMYFUNCTION("GOOGLETRANSLATE(E94, ""en"", ""hi"")"),"C) महाराष्ट्र")</f>
        <v>C) महाराष्ट्र</v>
      </c>
    </row>
    <row r="95" ht="22.5" customHeight="1">
      <c r="A95" s="2">
        <v>94.0</v>
      </c>
      <c r="B95" s="3" t="s">
        <v>1834</v>
      </c>
      <c r="C95" s="3" t="s">
        <v>1838</v>
      </c>
      <c r="D95" s="3" t="s">
        <v>1839</v>
      </c>
      <c r="E95" s="3" t="s">
        <v>1840</v>
      </c>
      <c r="G95" s="8" t="str">
        <f>IFERROR(__xludf.DUMMYFUNCTION("GOOGLETRANSLATE(A95, ""en"", ""hi"")"),"94")</f>
        <v>94</v>
      </c>
      <c r="H95" s="8" t="str">
        <f>IFERROR(__xludf.DUMMYFUNCTION("GOOGLETRANSLATE(B95, ""en"", ""hi"")"),"लागोरी_24")</f>
        <v>लागोरी_24</v>
      </c>
      <c r="I95" s="8" t="str">
        <f>IFERROR(__xludf.DUMMYFUNCTION("GOOGLETRANSLATE(C95, ""en"", ""hi"")"),"कौन सा राज्य लागोरी को 'लट्टू' कहता है?")</f>
        <v>कौन सा राज्य लागोरी को 'लट्टू' कहता है?</v>
      </c>
      <c r="J95" s="8" t="str">
        <f>IFERROR(__xludf.DUMMYFUNCTION("GOOGLETRANSLATE(D95, ""en"", ""hi"")"),"A) पश्चिम बंगाल, B) पंजाब, C) हरियाणा, D) हिमाचल प्रदेश")</f>
        <v>A) पश्चिम बंगाल, B) पंजाब, C) हरियाणा, D) हिमाचल प्रदेश</v>
      </c>
      <c r="K95" s="8" t="str">
        <f>IFERROR(__xludf.DUMMYFUNCTION("GOOGLETRANSLATE(E95, ""en"", ""hi"")"),"ए) पश्चिम बंगाल")</f>
        <v>ए) पश्चिम बंगाल</v>
      </c>
    </row>
    <row r="96" ht="22.5" customHeight="1">
      <c r="A96" s="2">
        <v>95.0</v>
      </c>
      <c r="B96" s="3" t="s">
        <v>1834</v>
      </c>
      <c r="C96" s="3" t="s">
        <v>1841</v>
      </c>
      <c r="D96" s="3" t="s">
        <v>1842</v>
      </c>
      <c r="E96" s="3" t="s">
        <v>1843</v>
      </c>
      <c r="G96" s="8" t="str">
        <f>IFERROR(__xludf.DUMMYFUNCTION("GOOGLETRANSLATE(A96, ""en"", ""hi"")"),"95")</f>
        <v>95</v>
      </c>
      <c r="H96" s="8" t="str">
        <f>IFERROR(__xludf.DUMMYFUNCTION("GOOGLETRANSLATE(B96, ""en"", ""hi"")"),"लागोरी_24")</f>
        <v>लागोरी_24</v>
      </c>
      <c r="I96" s="8" t="str">
        <f>IFERROR(__xludf.DUMMYFUNCTION("GOOGLETRANSLATE(C96, ""en"", ""hi"")"),"लागोरी में आक्रमणकारी टीम अंक कैसे अर्जित करती है?")</f>
        <v>लागोरी में आक्रमणकारी टीम अंक कैसे अर्जित करती है?</v>
      </c>
      <c r="J96" s="8" t="str">
        <f>IFERROR(__xludf.DUMMYFUNCTION("GOOGLETRANSLATE(D96, ""en"", ""hi"")"),"A) विरोधियों पर प्रहार करके, B) पिरामिड का पुनर्निर्माण करके, C) प्रहार से बचकर, D) पिरामिड को तोड़कर")</f>
        <v>A) विरोधियों पर प्रहार करके, B) पिरामिड का पुनर्निर्माण करके, C) प्रहार से बचकर, D) पिरामिड को तोड़कर</v>
      </c>
      <c r="K96" s="8" t="str">
        <f>IFERROR(__xludf.DUMMYFUNCTION("GOOGLETRANSLATE(E96, ""en"", ""hi"")"),"D) पिरामिड को तोड़कर")</f>
        <v>D) पिरामिड को तोड़कर</v>
      </c>
    </row>
    <row r="97" ht="22.5" customHeight="1">
      <c r="A97" s="2">
        <v>96.0</v>
      </c>
      <c r="B97" s="3" t="s">
        <v>1834</v>
      </c>
      <c r="C97" s="3" t="s">
        <v>1844</v>
      </c>
      <c r="D97" s="3" t="s">
        <v>1845</v>
      </c>
      <c r="E97" s="3" t="s">
        <v>1846</v>
      </c>
      <c r="G97" s="8" t="str">
        <f>IFERROR(__xludf.DUMMYFUNCTION("GOOGLETRANSLATE(A97, ""en"", ""hi"")"),"96")</f>
        <v>96</v>
      </c>
      <c r="H97" s="8" t="str">
        <f>IFERROR(__xludf.DUMMYFUNCTION("GOOGLETRANSLATE(B97, ""en"", ""hi"")"),"लागोरी_24")</f>
        <v>लागोरी_24</v>
      </c>
      <c r="I97" s="8" t="str">
        <f>IFERROR(__xludf.DUMMYFUNCTION("GOOGLETRANSLATE(C97, ""en"", ""hi"")"),"तमिलनाडु और कर्नाटक में लागोरी का सामान्य नाम क्या है?")</f>
        <v>तमिलनाडु और कर्नाटक में लागोरी का सामान्य नाम क्या है?</v>
      </c>
      <c r="J97" s="8" t="str">
        <f>IFERROR(__xludf.DUMMYFUNCTION("GOOGLETRANSLATE(D97, ""en"", ""hi"")"),"ए) सेवन स्टोन्स, बी) डब्बा काली, सी) सातोलिया, डी) लिंगोरचा")</f>
        <v>ए) सेवन स्टोन्स, बी) डब्बा काली, सी) सातोलिया, डी) लिंगोरचा</v>
      </c>
      <c r="K97" s="8" t="str">
        <f>IFERROR(__xludf.DUMMYFUNCTION("GOOGLETRANSLATE(E97, ""en"", ""hi"")"),"बी) डब्बा काली")</f>
        <v>बी) डब्बा काली</v>
      </c>
    </row>
    <row r="98" ht="22.5" customHeight="1">
      <c r="A98" s="2">
        <v>97.0</v>
      </c>
      <c r="B98" s="3" t="s">
        <v>1847</v>
      </c>
      <c r="C98" s="3" t="s">
        <v>1848</v>
      </c>
      <c r="D98" s="3" t="s">
        <v>1849</v>
      </c>
      <c r="E98" s="3" t="s">
        <v>1850</v>
      </c>
      <c r="G98" s="8" t="str">
        <f>IFERROR(__xludf.DUMMYFUNCTION("GOOGLETRANSLATE(A98, ""en"", ""hi"")"),"97")</f>
        <v>97</v>
      </c>
      <c r="H98" s="8" t="str">
        <f>IFERROR(__xludf.DUMMYFUNCTION("GOOGLETRANSLATE(B98, ""en"", ""hi"")"),"लागोरी_25")</f>
        <v>लागोरी_25</v>
      </c>
      <c r="I98" s="8" t="str">
        <f>IFERROR(__xludf.DUMMYFUNCTION("GOOGLETRANSLATE(C98, ""en"", ""hi"")"),"किस राज्य में लागोरी को 'लिंगोरचा' कहा जाता है?")</f>
        <v>किस राज्य में लागोरी को 'लिंगोरचा' कहा जाता है?</v>
      </c>
      <c r="J98" s="8" t="str">
        <f>IFERROR(__xludf.DUMMYFUNCTION("GOOGLETRANSLATE(D98, ""en"", ""hi"")"),"A) गुजरात, B) कर्नाटक, C) आंध्र प्रदेश, D) तेलंगाना")</f>
        <v>A) गुजरात, B) कर्नाटक, C) आंध्र प्रदेश, D) तेलंगाना</v>
      </c>
      <c r="K98" s="8" t="str">
        <f>IFERROR(__xludf.DUMMYFUNCTION("GOOGLETRANSLATE(E98, ""en"", ""hi"")"),"बी) कर्नाटक")</f>
        <v>बी) कर्नाटक</v>
      </c>
    </row>
    <row r="99" ht="22.5" customHeight="1">
      <c r="A99" s="2">
        <v>98.0</v>
      </c>
      <c r="B99" s="3" t="s">
        <v>1847</v>
      </c>
      <c r="C99" s="3" t="s">
        <v>1851</v>
      </c>
      <c r="D99" s="3" t="s">
        <v>1852</v>
      </c>
      <c r="E99" s="3" t="s">
        <v>1853</v>
      </c>
      <c r="G99" s="8" t="str">
        <f>IFERROR(__xludf.DUMMYFUNCTION("GOOGLETRANSLATE(A99, ""en"", ""hi"")"),"98")</f>
        <v>98</v>
      </c>
      <c r="H99" s="8" t="str">
        <f>IFERROR(__xludf.DUMMYFUNCTION("GOOGLETRANSLATE(B99, ""en"", ""hi"")"),"लागोरी_25")</f>
        <v>लागोरी_25</v>
      </c>
      <c r="I99" s="8" t="str">
        <f>IFERROR(__xludf.DUMMYFUNCTION("GOOGLETRANSLATE(C99, ""en"", ""hi"")"),"लागोरी में पिरामिड को गिराने के लिए हमलावर टीम क्या प्रयोग करती है?")</f>
        <v>लागोरी में पिरामिड को गिराने के लिए हमलावर टीम क्या प्रयोग करती है?</v>
      </c>
      <c r="J99" s="8" t="str">
        <f>IFERROR(__xludf.DUMMYFUNCTION("GOOGLETRANSLATE(D99, ""en"", ""hi"")"),"A) एक बल्ला, B) एक गेंद, C) एक छड़ी, D) एक डिस्क")</f>
        <v>A) एक बल्ला, B) एक गेंद, C) एक छड़ी, D) एक डिस्क</v>
      </c>
      <c r="K99" s="8" t="str">
        <f>IFERROR(__xludf.DUMMYFUNCTION("GOOGLETRANSLATE(E99, ""en"", ""hi"")"),"बी) एक गेंद")</f>
        <v>बी) एक गेंद</v>
      </c>
    </row>
    <row r="100" ht="22.5" customHeight="1">
      <c r="A100" s="2">
        <v>99.0</v>
      </c>
      <c r="B100" s="3" t="s">
        <v>1847</v>
      </c>
      <c r="C100" s="3" t="s">
        <v>1854</v>
      </c>
      <c r="D100" s="3" t="s">
        <v>1855</v>
      </c>
      <c r="E100" s="3" t="s">
        <v>1856</v>
      </c>
      <c r="G100" s="8" t="str">
        <f>IFERROR(__xludf.DUMMYFUNCTION("GOOGLETRANSLATE(A100, ""en"", ""hi"")"),"99")</f>
        <v>99</v>
      </c>
      <c r="H100" s="8" t="str">
        <f>IFERROR(__xludf.DUMMYFUNCTION("GOOGLETRANSLATE(B100, ""en"", ""hi"")"),"लागोरी_25")</f>
        <v>लागोरी_25</v>
      </c>
      <c r="I100" s="8" t="str">
        <f>IFERROR(__xludf.DUMMYFUNCTION("GOOGLETRANSLATE(C100, ""en"", ""hi"")"),"क्या होता है जब आक्रमणकारी टीम लागोरी में पिरामिड तोड़ने में असफल हो जाती है?")</f>
        <v>क्या होता है जब आक्रमणकारी टीम लागोरी में पिरामिड तोड़ने में असफल हो जाती है?</v>
      </c>
      <c r="J100" s="8" t="str">
        <f>IFERROR(__xludf.DUMMYFUNCTION("GOOGLETRANSLATE(D100, ""en"", ""hi"")"),"A) वे अपनी बारी खो देते हैं, B) खेल समाप्त हो जाता है, C) बचाव करने वाली टीम को एक अंक मिलता है, D) आक्रमण करने वाली टीम को एक और प्रयास करने का मौका मिलता है")</f>
        <v>A) वे अपनी बारी खो देते हैं, B) खेल समाप्त हो जाता है, C) बचाव करने वाली टीम को एक अंक मिलता है, D) आक्रमण करने वाली टीम को एक और प्रयास करने का मौका मिलता है</v>
      </c>
      <c r="K100" s="8" t="str">
        <f>IFERROR(__xludf.DUMMYFUNCTION("GOOGLETRANSLATE(E100, ""en"", ""hi"")"),"A) वे अपनी बारी खो देते हैं")</f>
        <v>A) वे अपनी बारी खो देते हैं</v>
      </c>
    </row>
    <row r="101" ht="22.5" customHeight="1">
      <c r="A101" s="2">
        <v>100.0</v>
      </c>
      <c r="B101" s="3" t="s">
        <v>1847</v>
      </c>
      <c r="C101" s="3" t="s">
        <v>1857</v>
      </c>
      <c r="D101" s="3" t="s">
        <v>1858</v>
      </c>
      <c r="E101" s="3" t="s">
        <v>1859</v>
      </c>
      <c r="G101" s="8" t="str">
        <f>IFERROR(__xludf.DUMMYFUNCTION("GOOGLETRANSLATE(A101, ""en"", ""hi"")"),"100")</f>
        <v>100</v>
      </c>
      <c r="H101" s="8" t="str">
        <f>IFERROR(__xludf.DUMMYFUNCTION("GOOGLETRANSLATE(B101, ""en"", ""hi"")"),"लागोरी_25")</f>
        <v>लागोरी_25</v>
      </c>
      <c r="I101" s="8" t="str">
        <f>IFERROR(__xludf.DUMMYFUNCTION("GOOGLETRANSLATE(C101, ""en"", ""hi"")"),"लागोरी में रक्षात्मक टीम के लिए मुख्य नियम क्या है?")</f>
        <v>लागोरी में रक्षात्मक टीम के लिए मुख्य नियम क्या है?</v>
      </c>
      <c r="J101" s="8" t="str">
        <f>IFERROR(__xludf.DUMMYFUNCTION("GOOGLETRANSLATE(D101, ""en"", ""hi"")"),"A) बिना टकराए पिरामिड का पुनर्निर्माण करना, B) पिरामिड को गिराना, C) गेंद से टकराने से बचना, D) दौड़कर अंक अर्जित करना")</f>
        <v>A) बिना टकराए पिरामिड का पुनर्निर्माण करना, B) पिरामिड को गिराना, C) गेंद से टकराने से बचना, D) दौड़कर अंक अर्जित करना</v>
      </c>
      <c r="K101" s="8" t="str">
        <f>IFERROR(__xludf.DUMMYFUNCTION("GOOGLETRANSLATE(E101, ""en"", ""hi"")"),"A) बिना किसी नुकसान के पिरामिड का पुनर्निर्माण करना")</f>
        <v>A) बिना किसी नुकसान के पिरामिड का पुनर्निर्माण करना</v>
      </c>
    </row>
    <row r="102" ht="22.5" customHeight="1">
      <c r="A102" s="2">
        <v>101.0</v>
      </c>
      <c r="B102" s="3" t="s">
        <v>1860</v>
      </c>
      <c r="C102" s="3" t="s">
        <v>1861</v>
      </c>
      <c r="D102" s="3" t="s">
        <v>51</v>
      </c>
      <c r="E102" s="3" t="s">
        <v>52</v>
      </c>
      <c r="G102" s="8" t="str">
        <f>IFERROR(__xludf.DUMMYFUNCTION("GOOGLETRANSLATE(A102, ""en"", ""hi"")"),"101")</f>
        <v>101</v>
      </c>
      <c r="H102" s="8" t="str">
        <f>IFERROR(__xludf.DUMMYFUNCTION("GOOGLETRANSLATE(B102, ""en"", ""hi"")"),"लागोरी_26")</f>
        <v>लागोरी_26</v>
      </c>
      <c r="I102" s="8" t="str">
        <f>IFERROR(__xludf.DUMMYFUNCTION("GOOGLETRANSLATE(C102, ""en"", ""hi"")"),"चित्र में दिखाए गए खेल के लिए, एक मानक मैच में कितने प्रतिभागी होते हैं?")</f>
        <v>चित्र में दिखाए गए खेल के लिए, एक मानक मैच में कितने प्रतिभागी होते हैं?</v>
      </c>
      <c r="J102" s="8" t="str">
        <f>IFERROR(__xludf.DUMMYFUNCTION("GOOGLETRANSLATE(D102, ""en"", ""hi"")"),"ए) 1, बी) 2, सी) 3, डी) 4")</f>
        <v>ए) 1, बी) 2, सी) 3, डी) 4</v>
      </c>
      <c r="K102" s="8" t="str">
        <f>IFERROR(__xludf.DUMMYFUNCTION("GOOGLETRANSLATE(E102, ""en"", ""hi"")"),"बी) 2")</f>
        <v>बी) 2</v>
      </c>
    </row>
    <row r="103" ht="22.5" customHeight="1">
      <c r="A103" s="2">
        <v>102.0</v>
      </c>
      <c r="B103" s="3" t="s">
        <v>1860</v>
      </c>
      <c r="C103" s="3" t="s">
        <v>1862</v>
      </c>
      <c r="D103" s="3" t="s">
        <v>1863</v>
      </c>
      <c r="E103" s="3" t="s">
        <v>1864</v>
      </c>
      <c r="G103" s="8" t="str">
        <f>IFERROR(__xludf.DUMMYFUNCTION("GOOGLETRANSLATE(A103, ""en"", ""hi"")"),"102")</f>
        <v>102</v>
      </c>
      <c r="H103" s="8" t="str">
        <f>IFERROR(__xludf.DUMMYFUNCTION("GOOGLETRANSLATE(B103, ""en"", ""hi"")"),"लागोरी_26")</f>
        <v>लागोरी_26</v>
      </c>
      <c r="I103" s="8" t="str">
        <f>IFERROR(__xludf.DUMMYFUNCTION("GOOGLETRANSLATE(C103, ""en"", ""hi"")"),"चित्र में दिखाए गए खेल में मुख्य हथियार क्या है?")</f>
        <v>चित्र में दिखाए गए खेल में मुख्य हथियार क्या है?</v>
      </c>
      <c r="J103" s="8" t="str">
        <f>IFERROR(__xludf.DUMMYFUNCTION("GOOGLETRANSLATE(D103, ""en"", ""hi"")"),"A) तलवार, B) भाला, C) धनुष, D) खंजर")</f>
        <v>A) तलवार, B) भाला, C) धनुष, D) खंजर</v>
      </c>
      <c r="K103" s="8" t="str">
        <f>IFERROR(__xludf.DUMMYFUNCTION("GOOGLETRANSLATE(E103, ""en"", ""hi"")"),"ए) तलवार")</f>
        <v>ए) तलवार</v>
      </c>
    </row>
    <row r="104" ht="22.5" customHeight="1">
      <c r="A104" s="2">
        <v>103.0</v>
      </c>
      <c r="B104" s="3" t="s">
        <v>1860</v>
      </c>
      <c r="C104" s="3" t="s">
        <v>1239</v>
      </c>
      <c r="D104" s="3" t="s">
        <v>1865</v>
      </c>
      <c r="E104" s="3" t="s">
        <v>1866</v>
      </c>
      <c r="G104" s="8" t="str">
        <f>IFERROR(__xludf.DUMMYFUNCTION("GOOGLETRANSLATE(A104, ""en"", ""hi"")"),"103")</f>
        <v>103</v>
      </c>
      <c r="H104" s="8" t="str">
        <f>IFERROR(__xludf.DUMMYFUNCTION("GOOGLETRANSLATE(B104, ""en"", ""hi"")"),"लागोरी_26")</f>
        <v>लागोरी_26</v>
      </c>
      <c r="I104" s="8" t="str">
        <f>IFERROR(__xludf.DUMMYFUNCTION("GOOGLETRANSLATE(C104, ""en"", ""hi"")"),"चित्र में दिखाए गए खेल के लिए, एक मानक मैच कितने समय तक चलता है?")</f>
        <v>चित्र में दिखाए गए खेल के लिए, एक मानक मैच कितने समय तक चलता है?</v>
      </c>
      <c r="J104" s="8" t="str">
        <f>IFERROR(__xludf.DUMMYFUNCTION("GOOGLETRANSLATE(D104, ""en"", ""hi"")"),"A) 3 मिनट, B) 5 मिनट, C) 10 मिनट, D) 15 मिनट")</f>
        <v>A) 3 मिनट, B) 5 मिनट, C) 10 मिनट, D) 15 मिनट</v>
      </c>
      <c r="K104" s="8" t="str">
        <f>IFERROR(__xludf.DUMMYFUNCTION("GOOGLETRANSLATE(E104, ""en"", ""hi"")"),"बी) 5 मिनट")</f>
        <v>बी) 5 मिनट</v>
      </c>
    </row>
    <row r="105" ht="22.5" customHeight="1">
      <c r="A105" s="2">
        <v>104.0</v>
      </c>
      <c r="B105" s="3" t="s">
        <v>1860</v>
      </c>
      <c r="C105" s="3" t="s">
        <v>1867</v>
      </c>
      <c r="D105" s="3" t="s">
        <v>1868</v>
      </c>
      <c r="E105" s="3" t="s">
        <v>1869</v>
      </c>
      <c r="G105" s="8" t="str">
        <f>IFERROR(__xludf.DUMMYFUNCTION("GOOGLETRANSLATE(A105, ""en"", ""hi"")"),"104")</f>
        <v>104</v>
      </c>
      <c r="H105" s="8" t="str">
        <f>IFERROR(__xludf.DUMMYFUNCTION("GOOGLETRANSLATE(B105, ""en"", ""hi"")"),"लागोरी_26")</f>
        <v>लागोरी_26</v>
      </c>
      <c r="I105" s="8" t="str">
        <f>IFERROR(__xludf.DUMMYFUNCTION("GOOGLETRANSLATE(C105, ""en"", ""hi"")"),"चित्र में दिखाए गए खेल में मुख्य रूप से शरीर के किस भाग को लक्ष्य बनाया जाता है?")</f>
        <v>चित्र में दिखाए गए खेल में मुख्य रूप से शरीर के किस भाग को लक्ष्य बनाया जाता है?</v>
      </c>
      <c r="J105" s="8" t="str">
        <f>IFERROR(__xludf.DUMMYFUNCTION("GOOGLETRANSLATE(D105, ""en"", ""hi"")"),"A) पैर, B) भुजाएँ, C) सिर, D) धड़")</f>
        <v>A) पैर, B) भुजाएँ, C) सिर, D) धड़</v>
      </c>
      <c r="K105" s="8" t="str">
        <f>IFERROR(__xludf.DUMMYFUNCTION("GOOGLETRANSLATE(E105, ""en"", ""hi"")"),"डी) धड़")</f>
        <v>डी) धड़</v>
      </c>
    </row>
    <row r="106" ht="22.5" customHeight="1">
      <c r="A106" s="2">
        <v>105.0</v>
      </c>
      <c r="B106" s="3" t="s">
        <v>1870</v>
      </c>
      <c r="C106" s="3" t="s">
        <v>1871</v>
      </c>
      <c r="D106" s="3" t="s">
        <v>1872</v>
      </c>
      <c r="E106" s="3" t="s">
        <v>1873</v>
      </c>
      <c r="G106" s="8" t="str">
        <f>IFERROR(__xludf.DUMMYFUNCTION("GOOGLETRANSLATE(A106, ""en"", ""hi"")"),"105")</f>
        <v>105</v>
      </c>
      <c r="H106" s="8" t="str">
        <f>IFERROR(__xludf.DUMMYFUNCTION("GOOGLETRANSLATE(B106, ""en"", ""hi"")"),"लागोरी_27")</f>
        <v>लागोरी_27</v>
      </c>
      <c r="I106" s="8" t="str">
        <f>IFERROR(__xludf.DUMMYFUNCTION("GOOGLETRANSLATE(C106, ""en"", ""hi"")"),"चित्र में दिखाए गए खेल के लिए कौन सा सुरक्षात्मक गियर आवश्यक है?")</f>
        <v>चित्र में दिखाए गए खेल के लिए कौन सा सुरक्षात्मक गियर आवश्यक है?</v>
      </c>
      <c r="J106" s="8" t="str">
        <f>IFERROR(__xludf.DUMMYFUNCTION("GOOGLETRANSLATE(D106, ""en"", ""hi"")"),"A) हेलमेट, B) आर्म गार्ड, C) चेस्ट गार्ड, D) उपरोक्त सभी")</f>
        <v>A) हेलमेट, B) आर्म गार्ड, C) चेस्ट गार्ड, D) उपरोक्त सभी</v>
      </c>
      <c r="K106" s="8" t="str">
        <f>IFERROR(__xludf.DUMMYFUNCTION("GOOGLETRANSLATE(E106, ""en"", ""hi"")"),"D। उपरोक्त सभी")</f>
        <v>D। उपरोक्त सभी</v>
      </c>
    </row>
    <row r="107" ht="22.5" customHeight="1">
      <c r="A107" s="2">
        <v>106.0</v>
      </c>
      <c r="B107" s="3" t="s">
        <v>1870</v>
      </c>
      <c r="C107" s="3" t="s">
        <v>1874</v>
      </c>
      <c r="D107" s="3" t="s">
        <v>1875</v>
      </c>
      <c r="E107" s="3" t="s">
        <v>1876</v>
      </c>
      <c r="G107" s="8" t="str">
        <f>IFERROR(__xludf.DUMMYFUNCTION("GOOGLETRANSLATE(A107, ""en"", ""hi"")"),"106")</f>
        <v>106</v>
      </c>
      <c r="H107" s="8" t="str">
        <f>IFERROR(__xludf.DUMMYFUNCTION("GOOGLETRANSLATE(B107, ""en"", ""hi"")"),"लागोरी_27")</f>
        <v>लागोरी_27</v>
      </c>
      <c r="I107" s="8" t="str">
        <f>IFERROR(__xludf.DUMMYFUNCTION("GOOGLETRANSLATE(C107, ""en"", ""hi"")"),"चित्र में दिखाए गए खेल में प्राथमिक रुख को क्या कहा जाता है?")</f>
        <v>चित्र में दिखाए गए खेल में प्राथमिक रुख को क्या कहा जाता है?</v>
      </c>
      <c r="J107" s="8" t="str">
        <f>IFERROR(__xludf.DUMMYFUNCTION("GOOGLETRANSLATE(D107, ""en"", ""hi"")"),"A) तटस्थ रुख, B) आक्रामक रुख, C) रक्षात्मक रुख, D) आक्रामक रुख")</f>
        <v>A) तटस्थ रुख, B) आक्रामक रुख, C) रक्षात्मक रुख, D) आक्रामक रुख</v>
      </c>
      <c r="K107" s="8" t="str">
        <f>IFERROR(__xludf.DUMMYFUNCTION("GOOGLETRANSLATE(E107, ""en"", ""hi"")"),"C) रक्षात्मक रुख")</f>
        <v>C) रक्षात्मक रुख</v>
      </c>
    </row>
    <row r="108" ht="22.5" customHeight="1">
      <c r="A108" s="2">
        <v>107.0</v>
      </c>
      <c r="B108" s="3" t="s">
        <v>1870</v>
      </c>
      <c r="C108" s="3" t="s">
        <v>1877</v>
      </c>
      <c r="D108" s="3" t="s">
        <v>1878</v>
      </c>
      <c r="E108" s="3" t="s">
        <v>1879</v>
      </c>
      <c r="G108" s="8" t="str">
        <f>IFERROR(__xludf.DUMMYFUNCTION("GOOGLETRANSLATE(A108, ""en"", ""hi"")"),"107")</f>
        <v>107</v>
      </c>
      <c r="H108" s="8" t="str">
        <f>IFERROR(__xludf.DUMMYFUNCTION("GOOGLETRANSLATE(B108, ""en"", ""hi"")"),"लागोरी_27")</f>
        <v>लागोरी_27</v>
      </c>
      <c r="I108" s="8" t="str">
        <f>IFERROR(__xludf.DUMMYFUNCTION("GOOGLETRANSLATE(C108, ""en"", ""hi"")"),"चित्र में दिखाए गए खेल के लिए, यह मार्शल आर्ट पारंपरिक रूप से किस क्षेत्र से है?")</f>
        <v>चित्र में दिखाए गए खेल के लिए, यह मार्शल आर्ट पारंपरिक रूप से किस क्षेत्र से है?</v>
      </c>
      <c r="J108" s="8" t="str">
        <f>IFERROR(__xludf.DUMMYFUNCTION("GOOGLETRANSLATE(D108, ""en"", ""hi"")"),"ए) मणिपुर, बी) असम, सी) केरल, डी) पंजाब")</f>
        <v>ए) मणिपुर, बी) असम, सी) केरल, डी) पंजाब</v>
      </c>
      <c r="K108" s="8" t="str">
        <f>IFERROR(__xludf.DUMMYFUNCTION("GOOGLETRANSLATE(E108, ""en"", ""hi"")"),"ए) मणिपुर")</f>
        <v>ए) मणिपुर</v>
      </c>
    </row>
    <row r="109" ht="22.5" customHeight="1">
      <c r="A109" s="2">
        <v>108.0</v>
      </c>
      <c r="B109" s="3" t="s">
        <v>1870</v>
      </c>
      <c r="C109" s="3" t="s">
        <v>1880</v>
      </c>
      <c r="D109" s="3" t="s">
        <v>1881</v>
      </c>
      <c r="E109" s="3" t="s">
        <v>1882</v>
      </c>
      <c r="G109" s="8" t="str">
        <f>IFERROR(__xludf.DUMMYFUNCTION("GOOGLETRANSLATE(A109, ""en"", ""hi"")"),"108")</f>
        <v>108</v>
      </c>
      <c r="H109" s="8" t="str">
        <f>IFERROR(__xludf.DUMMYFUNCTION("GOOGLETRANSLATE(B109, ""en"", ""hi"")"),"लागोरी_27")</f>
        <v>लागोरी_27</v>
      </c>
      <c r="I109" s="8" t="str">
        <f>IFERROR(__xludf.DUMMYFUNCTION("GOOGLETRANSLATE(C109, ""en"", ""hi"")"),"चित्र में दिखाए गए खेल के लिए निम्नलिखित में से कौन सा पारंपरिक हथियार इस्तेमाल नहीं किया जाता है?")</f>
        <v>चित्र में दिखाए गए खेल के लिए निम्नलिखित में से कौन सा पारंपरिक हथियार इस्तेमाल नहीं किया जाता है?</v>
      </c>
      <c r="J109" s="8" t="str">
        <f>IFERROR(__xludf.DUMMYFUNCTION("GOOGLETRANSLATE(D109, ""en"", ""hi"")"),"A) भाला, B) ढाल, C) धनुष और बाण, D) नुनचाकू")</f>
        <v>A) भाला, B) ढाल, C) धनुष और बाण, D) नुनचाकू</v>
      </c>
      <c r="K109" s="8" t="str">
        <f>IFERROR(__xludf.DUMMYFUNCTION("GOOGLETRANSLATE(E109, ""en"", ""hi"")"),"D) नुनचाकू")</f>
        <v>D) नुनचाकू</v>
      </c>
    </row>
    <row r="110" ht="22.5" customHeight="1">
      <c r="A110" s="2">
        <v>109.0</v>
      </c>
      <c r="B110" s="3" t="s">
        <v>1883</v>
      </c>
      <c r="C110" s="3" t="s">
        <v>1884</v>
      </c>
      <c r="D110" s="3" t="s">
        <v>1885</v>
      </c>
      <c r="E110" s="3" t="s">
        <v>1886</v>
      </c>
      <c r="G110" s="8" t="str">
        <f>IFERROR(__xludf.DUMMYFUNCTION("GOOGLETRANSLATE(A110, ""en"", ""hi"")"),"109")</f>
        <v>109</v>
      </c>
      <c r="H110" s="8" t="str">
        <f>IFERROR(__xludf.DUMMYFUNCTION("GOOGLETRANSLATE(B110, ""en"", ""hi"")"),"लागोरी_28")</f>
        <v>लागोरी_28</v>
      </c>
      <c r="I110" s="8" t="str">
        <f>IFERROR(__xludf.DUMMYFUNCTION("GOOGLETRANSLATE(C110, ""en"", ""hi"")"),"चित्र में दर्शाए गए खेल में प्रतिस्पर्धा करने के लिए न्यूनतम आयु क्या है?")</f>
        <v>चित्र में दर्शाए गए खेल में प्रतिस्पर्धा करने के लिए न्यूनतम आयु क्या है?</v>
      </c>
      <c r="J110" s="8" t="str">
        <f>IFERROR(__xludf.DUMMYFUNCTION("GOOGLETRANSLATE(D110, ""en"", ""hi"")"),"A) 12 वर्ष, B) 14 वर्ष, C) 16 वर्ष, D) 18 वर्ष")</f>
        <v>A) 12 वर्ष, B) 14 वर्ष, C) 16 वर्ष, D) 18 वर्ष</v>
      </c>
      <c r="K110" s="8" t="str">
        <f>IFERROR(__xludf.DUMMYFUNCTION("GOOGLETRANSLATE(E110, ""en"", ""hi"")"),"सी) 16 वर्ष")</f>
        <v>सी) 16 वर्ष</v>
      </c>
    </row>
    <row r="111" ht="22.5" customHeight="1">
      <c r="A111" s="2">
        <v>110.0</v>
      </c>
      <c r="B111" s="3" t="s">
        <v>1883</v>
      </c>
      <c r="C111" s="3" t="s">
        <v>1887</v>
      </c>
      <c r="D111" s="3" t="s">
        <v>1888</v>
      </c>
      <c r="E111" s="3" t="s">
        <v>1873</v>
      </c>
      <c r="G111" s="8" t="str">
        <f>IFERROR(__xludf.DUMMYFUNCTION("GOOGLETRANSLATE(A111, ""en"", ""hi"")"),"110")</f>
        <v>110</v>
      </c>
      <c r="H111" s="8" t="str">
        <f>IFERROR(__xludf.DUMMYFUNCTION("GOOGLETRANSLATE(B111, ""en"", ""hi"")"),"लागोरी_28")</f>
        <v>लागोरी_28</v>
      </c>
      <c r="I111" s="8" t="str">
        <f>IFERROR(__xludf.DUMMYFUNCTION("GOOGLETRANSLATE(C111, ""en"", ""hi"")"),"चित्र में दिखाए गए खेल में, निम्नलिखित में से कौन सी सफलता के लिए प्रमुख विशेषता है?")</f>
        <v>चित्र में दिखाए गए खेल में, निम्नलिखित में से कौन सी सफलता के लिए प्रमुख विशेषता है?</v>
      </c>
      <c r="J111" s="8" t="str">
        <f>IFERROR(__xludf.DUMMYFUNCTION("GOOGLETRANSLATE(D111, ""en"", ""hi"")"),"A) गति, B) शक्ति, C) लचीलापन, D) उपरोक्त सभी")</f>
        <v>A) गति, B) शक्ति, C) लचीलापन, D) उपरोक्त सभी</v>
      </c>
      <c r="K111" s="8" t="str">
        <f>IFERROR(__xludf.DUMMYFUNCTION("GOOGLETRANSLATE(E111, ""en"", ""hi"")"),"D। उपरोक्त सभी")</f>
        <v>D। उपरोक्त सभी</v>
      </c>
    </row>
    <row r="112" ht="22.5" customHeight="1">
      <c r="A112" s="2">
        <v>111.0</v>
      </c>
      <c r="B112" s="3" t="s">
        <v>1883</v>
      </c>
      <c r="C112" s="3" t="s">
        <v>1889</v>
      </c>
      <c r="D112" s="3" t="s">
        <v>1890</v>
      </c>
      <c r="E112" s="3" t="s">
        <v>1891</v>
      </c>
      <c r="G112" s="8" t="str">
        <f>IFERROR(__xludf.DUMMYFUNCTION("GOOGLETRANSLATE(A112, ""en"", ""hi"")"),"111")</f>
        <v>111</v>
      </c>
      <c r="H112" s="8" t="str">
        <f>IFERROR(__xludf.DUMMYFUNCTION("GOOGLETRANSLATE(B112, ""en"", ""hi"")"),"लागोरी_28")</f>
        <v>लागोरी_28</v>
      </c>
      <c r="I112" s="8" t="str">
        <f>IFERROR(__xludf.DUMMYFUNCTION("GOOGLETRANSLATE(C112, ""en"", ""hi"")"),"चित्र में दिखाए गए खेल के लिए स्कोरिंग पद्धति क्या है?")</f>
        <v>चित्र में दिखाए गए खेल के लिए स्कोरिंग पद्धति क्या है?</v>
      </c>
      <c r="J112" s="8" t="str">
        <f>IFERROR(__xludf.DUMMYFUNCTION("GOOGLETRANSLATE(D112, ""en"", ""hi"")"),"ए) अंक प्रणाली, बी) नॉकआउट, सी) सबमिशन, डी) समय-आधारित")</f>
        <v>ए) अंक प्रणाली, बी) नॉकआउट, सी) सबमिशन, डी) समय-आधारित</v>
      </c>
      <c r="K112" s="8" t="str">
        <f>IFERROR(__xludf.DUMMYFUNCTION("GOOGLETRANSLATE(E112, ""en"", ""hi"")"),"ए) अंक प्रणाली")</f>
        <v>ए) अंक प्रणाली</v>
      </c>
    </row>
    <row r="113" ht="22.5" customHeight="1">
      <c r="A113" s="2">
        <v>112.0</v>
      </c>
      <c r="B113" s="3" t="s">
        <v>1883</v>
      </c>
      <c r="C113" s="3" t="s">
        <v>1892</v>
      </c>
      <c r="D113" s="3" t="s">
        <v>1893</v>
      </c>
      <c r="E113" s="3" t="s">
        <v>1894</v>
      </c>
      <c r="G113" s="8" t="str">
        <f>IFERROR(__xludf.DUMMYFUNCTION("GOOGLETRANSLATE(A113, ""en"", ""hi"")"),"112")</f>
        <v>112</v>
      </c>
      <c r="H113" s="8" t="str">
        <f>IFERROR(__xludf.DUMMYFUNCTION("GOOGLETRANSLATE(B113, ""en"", ""hi"")"),"लागोरी_28")</f>
        <v>लागोरी_28</v>
      </c>
      <c r="I113" s="8" t="str">
        <f>IFERROR(__xludf.DUMMYFUNCTION("GOOGLETRANSLATE(C113, ""en"", ""hi"")"),"चित्र में दिखाया गया खेल आमतौर पर किस मौसम में खेला जाता है?")</f>
        <v>चित्र में दिखाया गया खेल आमतौर पर किस मौसम में खेला जाता है?</v>
      </c>
      <c r="J113" s="8" t="str">
        <f>IFERROR(__xludf.DUMMYFUNCTION("GOOGLETRANSLATE(D113, ""en"", ""hi"")"),"A) शीत ऋतु, B) ग्रीष्म ऋतु, C) मानसून, D) सभी ऋतुएँ")</f>
        <v>A) शीत ऋतु, B) ग्रीष्म ऋतु, C) मानसून, D) सभी ऋतुएँ</v>
      </c>
      <c r="K113" s="8" t="str">
        <f>IFERROR(__xludf.DUMMYFUNCTION("GOOGLETRANSLATE(E113, ""en"", ""hi"")"),"D) सभी मौसम")</f>
        <v>D) सभी मौसम</v>
      </c>
    </row>
    <row r="114" ht="22.5" customHeight="1">
      <c r="A114" s="2">
        <v>113.0</v>
      </c>
      <c r="B114" s="3" t="s">
        <v>1895</v>
      </c>
      <c r="C114" s="3" t="s">
        <v>1896</v>
      </c>
      <c r="D114" s="3" t="s">
        <v>1897</v>
      </c>
      <c r="E114" s="3" t="s">
        <v>1898</v>
      </c>
      <c r="G114" s="8" t="str">
        <f>IFERROR(__xludf.DUMMYFUNCTION("GOOGLETRANSLATE(A114, ""en"", ""hi"")"),"113")</f>
        <v>113</v>
      </c>
      <c r="H114" s="8" t="str">
        <f>IFERROR(__xludf.DUMMYFUNCTION("GOOGLETRANSLATE(B114, ""en"", ""hi"")"),"लागोरी_29")</f>
        <v>लागोरी_29</v>
      </c>
      <c r="I114" s="8" t="str">
        <f>IFERROR(__xludf.DUMMYFUNCTION("GOOGLETRANSLATE(C114, ""en"", ""hi"")"),"चित्र में दिखाए गए खेल का प्राथमिक लक्ष्य क्या है?")</f>
        <v>चित्र में दिखाए गए खेल का प्राथमिक लक्ष्य क्या है?</v>
      </c>
      <c r="J114" s="8" t="str">
        <f>IFERROR(__xludf.DUMMYFUNCTION("GOOGLETRANSLATE(D114, ""en"", ""hi"")"),"A) क्षेत्र की रक्षा करें, B) प्रतिद्वंद्वी को गिरा दें, C) लक्ष्य पर प्रहार करें, D) हमलों को रोकें")</f>
        <v>A) क्षेत्र की रक्षा करें, B) प्रतिद्वंद्वी को गिरा दें, C) लक्ष्य पर प्रहार करें, D) हमलों को रोकें</v>
      </c>
      <c r="K114" s="8" t="str">
        <f>IFERROR(__xludf.DUMMYFUNCTION("GOOGLETRANSLATE(E114, ""en"", ""hi"")"),"बी) प्रतिद्वंद्वी को गिराना")</f>
        <v>बी) प्रतिद्वंद्वी को गिराना</v>
      </c>
    </row>
    <row r="115" ht="22.5" customHeight="1">
      <c r="A115" s="2">
        <v>114.0</v>
      </c>
      <c r="B115" s="3" t="s">
        <v>1895</v>
      </c>
      <c r="C115" s="3" t="s">
        <v>1899</v>
      </c>
      <c r="D115" s="3" t="s">
        <v>1900</v>
      </c>
      <c r="E115" s="3" t="s">
        <v>952</v>
      </c>
      <c r="G115" s="8" t="str">
        <f>IFERROR(__xludf.DUMMYFUNCTION("GOOGLETRANSLATE(A115, ""en"", ""hi"")"),"114")</f>
        <v>114</v>
      </c>
      <c r="H115" s="8" t="str">
        <f>IFERROR(__xludf.DUMMYFUNCTION("GOOGLETRANSLATE(B115, ""en"", ""hi"")"),"लागोरी_29")</f>
        <v>लागोरी_29</v>
      </c>
      <c r="I115" s="8" t="str">
        <f>IFERROR(__xludf.DUMMYFUNCTION("GOOGLETRANSLATE(C115, ""en"", ""hi"")"),"चित्र में दिखाए गए खेल में शारीरिक फिटनेस का कौन सा पहलू सबसे महत्वपूर्ण है?")</f>
        <v>चित्र में दिखाए गए खेल में शारीरिक फिटनेस का कौन सा पहलू सबसे महत्वपूर्ण है?</v>
      </c>
      <c r="J115" s="8" t="str">
        <f>IFERROR(__xludf.DUMMYFUNCTION("GOOGLETRANSLATE(D115, ""en"", ""hi"")"),"A) धीरज, B) चपलता, C) शक्ति, D) संतुलन")</f>
        <v>A) धीरज, B) चपलता, C) शक्ति, D) संतुलन</v>
      </c>
      <c r="K115" s="8" t="str">
        <f>IFERROR(__xludf.DUMMYFUNCTION("GOOGLETRANSLATE(E115, ""en"", ""hi"")"),"बी) चपलता")</f>
        <v>बी) चपलता</v>
      </c>
    </row>
    <row r="116" ht="22.5" customHeight="1">
      <c r="A116" s="2">
        <v>115.0</v>
      </c>
      <c r="B116" s="3" t="s">
        <v>1895</v>
      </c>
      <c r="C116" s="3" t="s">
        <v>1901</v>
      </c>
      <c r="D116" s="3" t="s">
        <v>1902</v>
      </c>
      <c r="E116" s="3" t="s">
        <v>1903</v>
      </c>
      <c r="G116" s="8" t="str">
        <f>IFERROR(__xludf.DUMMYFUNCTION("GOOGLETRANSLATE(A116, ""en"", ""hi"")"),"115")</f>
        <v>115</v>
      </c>
      <c r="H116" s="8" t="str">
        <f>IFERROR(__xludf.DUMMYFUNCTION("GOOGLETRANSLATE(B116, ""en"", ""hi"")"),"लागोरी_29")</f>
        <v>लागोरी_29</v>
      </c>
      <c r="I116" s="8" t="str">
        <f>IFERROR(__xludf.DUMMYFUNCTION("GOOGLETRANSLATE(C116, ""en"", ""hi"")"),"चित्र में दिखाए गए खेल के लिए पारंपरिक पोशाक को क्या कहा जाता है?")</f>
        <v>चित्र में दिखाए गए खेल के लिए पारंपरिक पोशाक को क्या कहा जाता है?</v>
      </c>
      <c r="J116" s="8" t="str">
        <f>IFERROR(__xludf.DUMMYFUNCTION("GOOGLETRANSLATE(D116, ""en"", ""hi"")"),"ए) डोबोक, बी) जीआई, सी) फैनेक, डी) लुंगिस")</f>
        <v>ए) डोबोक, बी) जीआई, सी) फैनेक, डी) लुंगिस</v>
      </c>
      <c r="K116" s="8" t="str">
        <f>IFERROR(__xludf.DUMMYFUNCTION("GOOGLETRANSLATE(E116, ""en"", ""hi"")"),"C) फानेक")</f>
        <v>C) फानेक</v>
      </c>
    </row>
    <row r="117" ht="22.5" customHeight="1">
      <c r="A117" s="2">
        <v>116.0</v>
      </c>
      <c r="B117" s="3" t="s">
        <v>1895</v>
      </c>
      <c r="C117" s="3" t="s">
        <v>1904</v>
      </c>
      <c r="D117" s="3" t="s">
        <v>1905</v>
      </c>
      <c r="E117" s="3" t="s">
        <v>1906</v>
      </c>
      <c r="G117" s="8" t="str">
        <f>IFERROR(__xludf.DUMMYFUNCTION("GOOGLETRANSLATE(A117, ""en"", ""hi"")"),"116")</f>
        <v>116</v>
      </c>
      <c r="H117" s="8" t="str">
        <f>IFERROR(__xludf.DUMMYFUNCTION("GOOGLETRANSLATE(B117, ""en"", ""hi"")"),"लागोरी_29")</f>
        <v>लागोरी_29</v>
      </c>
      <c r="I117" s="8" t="str">
        <f>IFERROR(__xludf.DUMMYFUNCTION("GOOGLETRANSLATE(C117, ""en"", ""hi"")"),"चित्र में दिखाए गए खेल के लिए विजेता का निर्धारण कैसे किया जाता है?")</f>
        <v>चित्र में दिखाए गए खेल के लिए विजेता का निर्धारण कैसे किया जाता है?</v>
      </c>
      <c r="J117" s="8" t="str">
        <f>IFERROR(__xludf.DUMMYFUNCTION("GOOGLETRANSLATE(D117, ""en"", ""hi"")"),"A) सबसे पहले 10 अंक प्राप्त करने वाला, B) नॉकआउट, C) जजों का निर्णय, D) प्रतिद्वंद्वी का हटना")</f>
        <v>A) सबसे पहले 10 अंक प्राप्त करने वाला, B) नॉकआउट, C) जजों का निर्णय, D) प्रतिद्वंद्वी का हटना</v>
      </c>
      <c r="K117" s="8" t="str">
        <f>IFERROR(__xludf.DUMMYFUNCTION("GOOGLETRANSLATE(E117, ""en"", ""hi"")"),"C) न्यायाधीशों का निर्णय")</f>
        <v>C) न्यायाधीशों का निर्णय</v>
      </c>
    </row>
    <row r="118" ht="22.5" customHeight="1">
      <c r="A118" s="2">
        <v>117.0</v>
      </c>
      <c r="B118" s="3" t="s">
        <v>1907</v>
      </c>
      <c r="C118" s="3" t="s">
        <v>1908</v>
      </c>
      <c r="D118" s="3" t="s">
        <v>1909</v>
      </c>
      <c r="E118" s="3" t="s">
        <v>1910</v>
      </c>
      <c r="G118" s="8" t="str">
        <f>IFERROR(__xludf.DUMMYFUNCTION("GOOGLETRANSLATE(A118, ""en"", ""hi"")"),"117")</f>
        <v>117</v>
      </c>
      <c r="H118" s="8" t="str">
        <f>IFERROR(__xludf.DUMMYFUNCTION("GOOGLETRANSLATE(B118, ""en"", ""hi"")"),"लागोरी_30")</f>
        <v>लागोरी_30</v>
      </c>
      <c r="I118" s="8" t="str">
        <f>IFERROR(__xludf.DUMMYFUNCTION("GOOGLETRANSLATE(C118, ""en"", ""hi"")"),"चित्र में दिखाए गए खेल में बचाव के लिए निम्नलिखित में से किसका उपयोग किया जाता है?")</f>
        <v>चित्र में दिखाए गए खेल में बचाव के लिए निम्नलिखित में से किसका उपयोग किया जाता है?</v>
      </c>
      <c r="J118" s="8" t="str">
        <f>IFERROR(__xludf.DUMMYFUNCTION("GOOGLETRANSLATE(D118, ""en"", ""hi"")"),"A) तलवार, B) भाला, C) ढाल, D) कोई नहीं")</f>
        <v>A) तलवार, B) भाला, C) ढाल, D) कोई नहीं</v>
      </c>
      <c r="K118" s="8" t="str">
        <f>IFERROR(__xludf.DUMMYFUNCTION("GOOGLETRANSLATE(E118, ""en"", ""hi"")"),"सी) ढाल")</f>
        <v>सी) ढाल</v>
      </c>
    </row>
    <row r="119" ht="22.5" customHeight="1">
      <c r="A119" s="2">
        <v>118.0</v>
      </c>
      <c r="B119" s="3" t="s">
        <v>1907</v>
      </c>
      <c r="C119" s="3" t="s">
        <v>1911</v>
      </c>
      <c r="D119" s="3" t="s">
        <v>1912</v>
      </c>
      <c r="E119" s="3" t="s">
        <v>1913</v>
      </c>
      <c r="G119" s="8" t="str">
        <f>IFERROR(__xludf.DUMMYFUNCTION("GOOGLETRANSLATE(A119, ""en"", ""hi"")"),"118")</f>
        <v>118</v>
      </c>
      <c r="H119" s="8" t="str">
        <f>IFERROR(__xludf.DUMMYFUNCTION("GOOGLETRANSLATE(B119, ""en"", ""hi"")"),"लागोरी_30")</f>
        <v>लागोरी_30</v>
      </c>
      <c r="I119" s="8" t="str">
        <f>IFERROR(__xludf.DUMMYFUNCTION("GOOGLETRANSLATE(C119, ""en"", ""hi"")"),"चित्र में दिखाए गए खेल के लिए, रक्षा हेतु कौन सा कौशल महत्वपूर्ण है?")</f>
        <v>चित्र में दिखाए गए खेल के लिए, रक्षा हेतु कौन सा कौशल महत्वपूर्ण है?</v>
      </c>
      <c r="J119" s="8" t="str">
        <f>IFERROR(__xludf.DUMMYFUNCTION("GOOGLETRANSLATE(D119, ""en"", ""hi"")"),"A) समय, B) शक्ति, C) धीरज, D) शक्ति")</f>
        <v>A) समय, B) शक्ति, C) धीरज, D) शक्ति</v>
      </c>
      <c r="K119" s="8" t="str">
        <f>IFERROR(__xludf.DUMMYFUNCTION("GOOGLETRANSLATE(E119, ""en"", ""hi"")"),"ए) समय")</f>
        <v>ए) समय</v>
      </c>
    </row>
    <row r="120" ht="22.5" customHeight="1">
      <c r="A120" s="2">
        <v>119.0</v>
      </c>
      <c r="B120" s="3" t="s">
        <v>1907</v>
      </c>
      <c r="C120" s="3" t="s">
        <v>1914</v>
      </c>
      <c r="D120" s="3" t="s">
        <v>1915</v>
      </c>
      <c r="E120" s="3" t="s">
        <v>1916</v>
      </c>
      <c r="G120" s="8" t="str">
        <f>IFERROR(__xludf.DUMMYFUNCTION("GOOGLETRANSLATE(A120, ""en"", ""hi"")"),"119")</f>
        <v>119</v>
      </c>
      <c r="H120" s="8" t="str">
        <f>IFERROR(__xludf.DUMMYFUNCTION("GOOGLETRANSLATE(B120, ""en"", ""hi"")"),"लागोरी_30")</f>
        <v>लागोरी_30</v>
      </c>
      <c r="I120" s="8" t="str">
        <f>IFERROR(__xludf.DUMMYFUNCTION("GOOGLETRANSLATE(C120, ""en"", ""hi"")"),"चित्र में दिखाए गए खेल में निम्नलिखित में से कौन सी चाल निषिद्ध है?")</f>
        <v>चित्र में दिखाए गए खेल में निम्नलिखित में से कौन सी चाल निषिद्ध है?</v>
      </c>
      <c r="J120" s="8" t="str">
        <f>IFERROR(__xludf.DUMMYFUNCTION("GOOGLETRANSLATE(D120, ""en"", ""hi"")"),"A) सिर पर प्रहार करना, B) तलवार पकड़ना, C) लात मारना, D) उपरोक्त सभी")</f>
        <v>A) सिर पर प्रहार करना, B) तलवार पकड़ना, C) लात मारना, D) उपरोक्त सभी</v>
      </c>
      <c r="K120" s="8" t="str">
        <f>IFERROR(__xludf.DUMMYFUNCTION("GOOGLETRANSLATE(E120, ""en"", ""hi"")"),"बी) तलवार पकड़ना")</f>
        <v>बी) तलवार पकड़ना</v>
      </c>
    </row>
    <row r="121" ht="22.5" customHeight="1">
      <c r="A121" s="2">
        <v>120.0</v>
      </c>
      <c r="B121" s="3" t="s">
        <v>1907</v>
      </c>
      <c r="C121" s="3" t="s">
        <v>1917</v>
      </c>
      <c r="D121" s="3" t="s">
        <v>1918</v>
      </c>
      <c r="E121" s="3" t="s">
        <v>1919</v>
      </c>
      <c r="G121" s="8" t="str">
        <f>IFERROR(__xludf.DUMMYFUNCTION("GOOGLETRANSLATE(A121, ""en"", ""hi"")"),"120")</f>
        <v>120</v>
      </c>
      <c r="H121" s="8" t="str">
        <f>IFERROR(__xludf.DUMMYFUNCTION("GOOGLETRANSLATE(B121, ""en"", ""hi"")"),"लागोरी_30")</f>
        <v>लागोरी_30</v>
      </c>
      <c r="I121" s="8" t="str">
        <f>IFERROR(__xludf.DUMMYFUNCTION("GOOGLETRANSLATE(C121, ""en"", ""hi"")"),"चित्र में दिखाए गए खेल के लिए, एक मानक मैच में कितने राउंड होते हैं?")</f>
        <v>चित्र में दिखाए गए खेल के लिए, एक मानक मैच में कितने राउंड होते हैं?</v>
      </c>
      <c r="J121" s="8" t="str">
        <f>IFERROR(__xludf.DUMMYFUNCTION("GOOGLETRANSLATE(D121, ""en"", ""hi"")"),"A) 1 राउंड, B) 2 राउंड, C) 3 राउंड, D) 5 राउंड")</f>
        <v>A) 1 राउंड, B) 2 राउंड, C) 3 राउंड, D) 5 राउंड</v>
      </c>
      <c r="K121" s="8" t="str">
        <f>IFERROR(__xludf.DUMMYFUNCTION("GOOGLETRANSLATE(E121, ""en"", ""hi"")"),"सी) 3 राउंड")</f>
        <v>सी) 3 राउंड</v>
      </c>
    </row>
    <row r="122" ht="22.5" customHeight="1">
      <c r="A122" s="2">
        <v>121.0</v>
      </c>
      <c r="B122" s="3" t="s">
        <v>1920</v>
      </c>
      <c r="C122" s="3" t="s">
        <v>1921</v>
      </c>
      <c r="D122" s="3" t="s">
        <v>1922</v>
      </c>
      <c r="E122" s="3" t="s">
        <v>1923</v>
      </c>
      <c r="G122" s="8" t="str">
        <f>IFERROR(__xludf.DUMMYFUNCTION("GOOGLETRANSLATE(A122, ""en"", ""hi"")"),"121")</f>
        <v>121</v>
      </c>
      <c r="H122" s="8" t="str">
        <f>IFERROR(__xludf.DUMMYFUNCTION("GOOGLETRANSLATE(B122, ""en"", ""hi"")"),"लागोरी_31")</f>
        <v>लागोरी_31</v>
      </c>
      <c r="I122" s="8" t="str">
        <f>IFERROR(__xludf.DUMMYFUNCTION("GOOGLETRANSLATE(C122, ""en"", ""hi"")"),"चित्र में दिखाए गए खेल में सफल आक्रमण के लिए क्या शब्द है?")</f>
        <v>चित्र में दिखाए गए खेल में सफल आक्रमण के लिए क्या शब्द है?</v>
      </c>
      <c r="J122" s="8" t="str">
        <f>IFERROR(__xludf.DUMMYFUNCTION("GOOGLETRANSLATE(D122, ""en"", ""hi"")"),"A) स्ट्राइक, B) हिट, C) पॉइंट, D) स्लैश")</f>
        <v>A) स्ट्राइक, B) हिट, C) पॉइंट, D) स्लैश</v>
      </c>
      <c r="K122" s="8" t="str">
        <f>IFERROR(__xludf.DUMMYFUNCTION("GOOGLETRANSLATE(E122, ""en"", ""hi"")"),"सी) बिंदु")</f>
        <v>सी) बिंदु</v>
      </c>
    </row>
    <row r="123" ht="22.5" customHeight="1">
      <c r="A123" s="2">
        <v>122.0</v>
      </c>
      <c r="B123" s="3" t="s">
        <v>1920</v>
      </c>
      <c r="C123" s="3" t="s">
        <v>1924</v>
      </c>
      <c r="D123" s="3" t="s">
        <v>1925</v>
      </c>
      <c r="E123" s="3" t="s">
        <v>1926</v>
      </c>
      <c r="G123" s="8" t="str">
        <f>IFERROR(__xludf.DUMMYFUNCTION("GOOGLETRANSLATE(A123, ""en"", ""hi"")"),"122")</f>
        <v>122</v>
      </c>
      <c r="H123" s="8" t="str">
        <f>IFERROR(__xludf.DUMMYFUNCTION("GOOGLETRANSLATE(B123, ""en"", ""hi"")"),"लागोरी_31")</f>
        <v>लागोरी_31</v>
      </c>
      <c r="I123" s="8" t="str">
        <f>IFERROR(__xludf.DUMMYFUNCTION("GOOGLETRANSLATE(C123, ""en"", ""hi"")"),"चित्र में दिखाए गए खेल के लिए प्रत्येक खिलाड़ी का प्राथमिक उद्देश्य क्या है?")</f>
        <v>चित्र में दिखाए गए खेल के लिए प्रत्येक खिलाड़ी का प्राथमिक उद्देश्य क्या है?</v>
      </c>
      <c r="J123" s="8" t="str">
        <f>IFERROR(__xludf.DUMMYFUNCTION("GOOGLETRANSLATE(D123, ""en"", ""hi"")"),"A) राउंड में जीवित रहना, B) सबसे अधिक अंक प्राप्त करना, C) अखाड़े की रक्षा करना, D) बिना चोट पहुंचाए हमला करना")</f>
        <v>A) राउंड में जीवित रहना, B) सबसे अधिक अंक प्राप्त करना, C) अखाड़े की रक्षा करना, D) बिना चोट पहुंचाए हमला करना</v>
      </c>
      <c r="K123" s="8" t="str">
        <f>IFERROR(__xludf.DUMMYFUNCTION("GOOGLETRANSLATE(E123, ""en"", ""hi"")"),"B) सबसे अधिक अंक प्राप्त करें")</f>
        <v>B) सबसे अधिक अंक प्राप्त करें</v>
      </c>
    </row>
    <row r="124" ht="22.5" customHeight="1">
      <c r="A124" s="2">
        <v>123.0</v>
      </c>
      <c r="B124" s="3" t="s">
        <v>1920</v>
      </c>
      <c r="C124" s="3" t="s">
        <v>1927</v>
      </c>
      <c r="D124" s="3" t="s">
        <v>1928</v>
      </c>
      <c r="E124" s="3" t="s">
        <v>1929</v>
      </c>
      <c r="G124" s="8" t="str">
        <f>IFERROR(__xludf.DUMMYFUNCTION("GOOGLETRANSLATE(A124, ""en"", ""hi"")"),"123")</f>
        <v>123</v>
      </c>
      <c r="H124" s="8" t="str">
        <f>IFERROR(__xludf.DUMMYFUNCTION("GOOGLETRANSLATE(B124, ""en"", ""hi"")"),"लागोरी_31")</f>
        <v>लागोरी_31</v>
      </c>
      <c r="I124" s="8" t="str">
        <f>IFERROR(__xludf.DUMMYFUNCTION("GOOGLETRANSLATE(C124, ""en"", ""hi"")"),"चित्र में दिखाए गए खेल में, निम्नलिखित में से कौन सी रणनीति मान्य है?")</f>
        <v>चित्र में दिखाए गए खेल में, निम्नलिखित में से कौन सी रणनीति मान्य है?</v>
      </c>
      <c r="J124" s="8" t="str">
        <f>IFERROR(__xludf.DUMMYFUNCTION("GOOGLETRANSLATE(D124, ""en"", ""hi"")"),"A) बार-बार पीछे हटना, B) आक्रामक हमले, C) रक्षात्मक अवरोधन, D) B और C दोनों")</f>
        <v>A) बार-बार पीछे हटना, B) आक्रामक हमले, C) रक्षात्मक अवरोधन, D) B और C दोनों</v>
      </c>
      <c r="K124" s="8" t="str">
        <f>IFERROR(__xludf.DUMMYFUNCTION("GOOGLETRANSLATE(E124, ""en"", ""hi"")"),"D) B और C दोनों")</f>
        <v>D) B और C दोनों</v>
      </c>
    </row>
    <row r="125" ht="22.5" customHeight="1">
      <c r="A125" s="2">
        <v>124.0</v>
      </c>
      <c r="B125" s="3" t="s">
        <v>1920</v>
      </c>
      <c r="C125" s="3" t="s">
        <v>1930</v>
      </c>
      <c r="D125" s="3" t="s">
        <v>1931</v>
      </c>
      <c r="E125" s="3" t="s">
        <v>1932</v>
      </c>
      <c r="G125" s="8" t="str">
        <f>IFERROR(__xludf.DUMMYFUNCTION("GOOGLETRANSLATE(A125, ""en"", ""hi"")"),"124")</f>
        <v>124</v>
      </c>
      <c r="H125" s="8" t="str">
        <f>IFERROR(__xludf.DUMMYFUNCTION("GOOGLETRANSLATE(B125, ""en"", ""hi"")"),"लागोरी_31")</f>
        <v>लागोरी_31</v>
      </c>
      <c r="I125" s="8" t="str">
        <f>IFERROR(__xludf.DUMMYFUNCTION("GOOGLETRANSLATE(C125, ""en"", ""hi"")"),"चित्र में दिखाए गए खेल के लिए, मैच आमतौर पर किस प्रकार की सतह पर खेला जाता है?")</f>
        <v>चित्र में दिखाए गए खेल के लिए, मैच आमतौर पर किस प्रकार की सतह पर खेला जाता है?</v>
      </c>
      <c r="J125" s="8" t="str">
        <f>IFERROR(__xludf.DUMMYFUNCTION("GOOGLETRANSLATE(D125, ""en"", ""hi"")"),"A) घास, B) रेत, C) लकड़ी का फर्श, D) गंदगी")</f>
        <v>A) घास, B) रेत, C) लकड़ी का फर्श, D) गंदगी</v>
      </c>
      <c r="K125" s="8" t="str">
        <f>IFERROR(__xludf.DUMMYFUNCTION("GOOGLETRANSLATE(E125, ""en"", ""hi"")"),"C) लकड़ी का फर्श")</f>
        <v>C) लकड़ी का फर्श</v>
      </c>
    </row>
    <row r="126" ht="22.5" customHeight="1">
      <c r="A126" s="2">
        <v>125.0</v>
      </c>
      <c r="B126" s="3" t="s">
        <v>1933</v>
      </c>
      <c r="C126" s="3" t="s">
        <v>1934</v>
      </c>
      <c r="D126" s="3" t="s">
        <v>1935</v>
      </c>
      <c r="E126" s="3" t="s">
        <v>1873</v>
      </c>
      <c r="G126" s="8" t="str">
        <f>IFERROR(__xludf.DUMMYFUNCTION("GOOGLETRANSLATE(A126, ""en"", ""hi"")"),"125")</f>
        <v>125</v>
      </c>
      <c r="H126" s="8" t="str">
        <f>IFERROR(__xludf.DUMMYFUNCTION("GOOGLETRANSLATE(B126, ""en"", ""hi"")"),"लागोरी_32")</f>
        <v>लागोरी_32</v>
      </c>
      <c r="I126" s="8" t="str">
        <f>IFERROR(__xludf.DUMMYFUNCTION("GOOGLETRANSLATE(C126, ""en"", ""hi"")"),"चित्र में दिखाए गए खेल में रेफरी की भूमिका क्या है?")</f>
        <v>चित्र में दिखाए गए खेल में रेफरी की भूमिका क्या है?</v>
      </c>
      <c r="J126" s="8" t="str">
        <f>IFERROR(__xludf.DUMMYFUNCTION("GOOGLETRANSLATE(D126, ""en"", ""hi"")"),"A) स्कोरकीपर, B) टाइमकीपर, C) नियम लागू करना, D) उपरोक्त सभी")</f>
        <v>A) स्कोरकीपर, B) टाइमकीपर, C) नियम लागू करना, D) उपरोक्त सभी</v>
      </c>
      <c r="K126" s="8" t="str">
        <f>IFERROR(__xludf.DUMMYFUNCTION("GOOGLETRANSLATE(E126, ""en"", ""hi"")"),"D। उपरोक्त सभी")</f>
        <v>D। उपरोक्त सभी</v>
      </c>
    </row>
    <row r="127" ht="22.5" customHeight="1">
      <c r="A127" s="2">
        <v>126.0</v>
      </c>
      <c r="B127" s="3" t="s">
        <v>1933</v>
      </c>
      <c r="C127" s="3" t="s">
        <v>1936</v>
      </c>
      <c r="D127" s="3" t="s">
        <v>1937</v>
      </c>
      <c r="E127" s="3" t="s">
        <v>1873</v>
      </c>
      <c r="G127" s="8" t="str">
        <f>IFERROR(__xludf.DUMMYFUNCTION("GOOGLETRANSLATE(A127, ""en"", ""hi"")"),"126")</f>
        <v>126</v>
      </c>
      <c r="H127" s="8" t="str">
        <f>IFERROR(__xludf.DUMMYFUNCTION("GOOGLETRANSLATE(B127, ""en"", ""hi"")"),"लागोरी_32")</f>
        <v>लागोरी_32</v>
      </c>
      <c r="I127" s="8" t="str">
        <f>IFERROR(__xludf.DUMMYFUNCTION("GOOGLETRANSLATE(C127, ""en"", ""hi"")"),"चित्र में दिखाए गए खेल में फुटवर्क का क्या महत्व है?")</f>
        <v>चित्र में दिखाए गए खेल में फुटवर्क का क्या महत्व है?</v>
      </c>
      <c r="J127" s="8" t="str">
        <f>IFERROR(__xludf.DUMMYFUNCTION("GOOGLETRANSLATE(D127, ""en"", ""hi"")"),"A) संतुलन बनाए रखें, B) चपलता बढ़ाएँ, C) हमलों से बचें, D) उपरोक्त सभी")</f>
        <v>A) संतुलन बनाए रखें, B) चपलता बढ़ाएँ, C) हमलों से बचें, D) उपरोक्त सभी</v>
      </c>
      <c r="K127" s="8" t="str">
        <f>IFERROR(__xludf.DUMMYFUNCTION("GOOGLETRANSLATE(E127, ""en"", ""hi"")"),"D। उपरोक्त सभी")</f>
        <v>D। उपरोक्त सभी</v>
      </c>
    </row>
    <row r="128" ht="22.5" customHeight="1">
      <c r="A128" s="2">
        <v>127.0</v>
      </c>
      <c r="B128" s="3" t="s">
        <v>1933</v>
      </c>
      <c r="C128" s="3" t="s">
        <v>1938</v>
      </c>
      <c r="D128" s="3" t="s">
        <v>1939</v>
      </c>
      <c r="E128" s="3" t="s">
        <v>1940</v>
      </c>
      <c r="G128" s="8" t="str">
        <f>IFERROR(__xludf.DUMMYFUNCTION("GOOGLETRANSLATE(A128, ""en"", ""hi"")"),"127")</f>
        <v>127</v>
      </c>
      <c r="H128" s="8" t="str">
        <f>IFERROR(__xludf.DUMMYFUNCTION("GOOGLETRANSLATE(B128, ""en"", ""hi"")"),"लागोरी_32")</f>
        <v>लागोरी_32</v>
      </c>
      <c r="I128" s="8" t="str">
        <f>IFERROR(__xludf.DUMMYFUNCTION("GOOGLETRANSLATE(C128, ""en"", ""hi"")"),"चित्र में दिखाए गए खेल के लिए, यदि कोई खिलाड़ी नियमों का उल्लंघन करता है तो क्या होगा?")</f>
        <v>चित्र में दिखाए गए खेल के लिए, यदि कोई खिलाड़ी नियमों का उल्लंघन करता है तो क्या होगा?</v>
      </c>
      <c r="J128" s="8" t="str">
        <f>IFERROR(__xludf.DUMMYFUNCTION("GOOGLETRANSLATE(D128, ""en"", ""hi"")"),"A) चेतावनी, B) अयोग्यता, C) अंक कटौती, D) उपरोक्त में से कोई भी")</f>
        <v>A) चेतावनी, B) अयोग्यता, C) अंक कटौती, D) उपरोक्त में से कोई भी</v>
      </c>
      <c r="K128" s="8" t="str">
        <f>IFERROR(__xludf.DUMMYFUNCTION("GOOGLETRANSLATE(E128, ""en"", ""hi"")"),"D) उपरोक्त में से कोई भी")</f>
        <v>D) उपरोक्त में से कोई भी</v>
      </c>
    </row>
    <row r="129" ht="22.5" customHeight="1">
      <c r="A129" s="2">
        <v>128.0</v>
      </c>
      <c r="B129" s="3" t="s">
        <v>1933</v>
      </c>
      <c r="C129" s="3" t="s">
        <v>1941</v>
      </c>
      <c r="D129" s="3" t="s">
        <v>1942</v>
      </c>
      <c r="E129" s="3" t="s">
        <v>1943</v>
      </c>
      <c r="G129" s="8" t="str">
        <f>IFERROR(__xludf.DUMMYFUNCTION("GOOGLETRANSLATE(A129, ""en"", ""hi"")"),"128")</f>
        <v>128</v>
      </c>
      <c r="H129" s="8" t="str">
        <f>IFERROR(__xludf.DUMMYFUNCTION("GOOGLETRANSLATE(B129, ""en"", ""hi"")"),"लागोरी_32")</f>
        <v>लागोरी_32</v>
      </c>
      <c r="I129" s="8" t="str">
        <f>IFERROR(__xludf.DUMMYFUNCTION("GOOGLETRANSLATE(C129, ""en"", ""hi"")"),"चित्र में दिखाए गए खेल में, बराबरी वाले मैच का समाधान कैसे किया जाता है?")</f>
        <v>चित्र में दिखाए गए खेल में, बराबरी वाले मैच का समाधान कैसे किया जाता है?</v>
      </c>
      <c r="J129" s="8" t="str">
        <f>IFERROR(__xludf.DUMMYFUNCTION("GOOGLETRANSLATE(D129, ""en"", ""hi"")"),"A) अतिरिक्त समय, B) अचानक मौत, C) रेफरी का निर्णय, D) सिक्का उछालना")</f>
        <v>A) अतिरिक्त समय, B) अचानक मौत, C) रेफरी का निर्णय, D) सिक्का उछालना</v>
      </c>
      <c r="K129" s="8" t="str">
        <f>IFERROR(__xludf.DUMMYFUNCTION("GOOGLETRANSLATE(E129, ""en"", ""hi"")"),"बी) अचानक मृत्यु")</f>
        <v>बी) अचानक मृत्यु</v>
      </c>
    </row>
    <row r="130" ht="22.5" customHeight="1">
      <c r="A130" s="2">
        <v>129.0</v>
      </c>
      <c r="B130" s="3" t="s">
        <v>1944</v>
      </c>
      <c r="C130" s="3" t="s">
        <v>1945</v>
      </c>
      <c r="D130" s="3" t="s">
        <v>1946</v>
      </c>
      <c r="E130" s="3" t="s">
        <v>1947</v>
      </c>
      <c r="G130" s="8" t="str">
        <f>IFERROR(__xludf.DUMMYFUNCTION("GOOGLETRANSLATE(A130, ""en"", ""hi"")"),"129")</f>
        <v>129</v>
      </c>
      <c r="H130" s="8" t="str">
        <f>IFERROR(__xludf.DUMMYFUNCTION("GOOGLETRANSLATE(B130, ""en"", ""hi"")"),"लागोरी_33")</f>
        <v>लागोरी_33</v>
      </c>
      <c r="I130" s="8" t="str">
        <f>IFERROR(__xludf.DUMMYFUNCTION("GOOGLETRANSLATE(C130, ""en"", ""hi"")"),"चित्र में दिखाए गए खेल में यदि किसी खिलाड़ी का हथियार टूट जाए तो क्या होगा?")</f>
        <v>चित्र में दिखाए गए खेल में यदि किसी खिलाड़ी का हथियार टूट जाए तो क्या होगा?</v>
      </c>
      <c r="J130" s="8" t="str">
        <f>IFERROR(__xludf.DUMMYFUNCTION("GOOGLETRANSLATE(D130, ""en"", ""hi"")"),"A) तत्काल हार, B) रेफरी मैच रोक देता है, C) प्रतिद्वंद्वी जीत जाता है, D) अयोग्यता")</f>
        <v>A) तत्काल हार, B) रेफरी मैच रोक देता है, C) प्रतिद्वंद्वी जीत जाता है, D) अयोग्यता</v>
      </c>
      <c r="K130" s="8" t="str">
        <f>IFERROR(__xludf.DUMMYFUNCTION("GOOGLETRANSLATE(E130, ""en"", ""hi"")"),"B) रेफरी मैच रोक देता है")</f>
        <v>B) रेफरी मैच रोक देता है</v>
      </c>
    </row>
    <row r="131" ht="22.5" customHeight="1">
      <c r="A131" s="2">
        <v>130.0</v>
      </c>
      <c r="B131" s="3" t="s">
        <v>1944</v>
      </c>
      <c r="C131" s="3" t="s">
        <v>1948</v>
      </c>
      <c r="D131" s="3" t="s">
        <v>1949</v>
      </c>
      <c r="E131" s="3" t="s">
        <v>1950</v>
      </c>
      <c r="G131" s="8" t="str">
        <f>IFERROR(__xludf.DUMMYFUNCTION("GOOGLETRANSLATE(A131, ""en"", ""hi"")"),"130")</f>
        <v>130</v>
      </c>
      <c r="H131" s="8" t="str">
        <f>IFERROR(__xludf.DUMMYFUNCTION("GOOGLETRANSLATE(B131, ""en"", ""hi"")"),"लागोरी_33")</f>
        <v>लागोरी_33</v>
      </c>
      <c r="I131" s="8" t="str">
        <f>IFERROR(__xludf.DUMMYFUNCTION("GOOGLETRANSLATE(C131, ""en"", ""hi"")"),"चित्र में दिखाए गए खेल के लिए ढाल का उद्देश्य क्या है?")</f>
        <v>चित्र में दिखाए गए खेल के लिए ढाल का उद्देश्य क्या है?</v>
      </c>
      <c r="J131" s="8" t="str">
        <f>IFERROR(__xludf.DUMMYFUNCTION("GOOGLETRANSLATE(D131, ""en"", ""hi"")"),"A) प्रतिद्वंद्वी पर हमला करना, B) हमलों को रोकना, C) प्रतिद्वंद्वी को ताना मारना, D) सिर की रक्षा करना")</f>
        <v>A) प्रतिद्वंद्वी पर हमला करना, B) हमलों को रोकना, C) प्रतिद्वंद्वी को ताना मारना, D) सिर की रक्षा करना</v>
      </c>
      <c r="K131" s="8" t="str">
        <f>IFERROR(__xludf.DUMMYFUNCTION("GOOGLETRANSLATE(E131, ""en"", ""hi"")"),"बी) हमलों को विक्षेपित करना")</f>
        <v>बी) हमलों को विक्षेपित करना</v>
      </c>
    </row>
    <row r="132" ht="22.5" customHeight="1">
      <c r="A132" s="2">
        <v>131.0</v>
      </c>
      <c r="B132" s="3" t="s">
        <v>1944</v>
      </c>
      <c r="C132" s="3" t="s">
        <v>1951</v>
      </c>
      <c r="D132" s="3" t="s">
        <v>1952</v>
      </c>
      <c r="E132" s="3" t="s">
        <v>1873</v>
      </c>
      <c r="G132" s="8" t="str">
        <f>IFERROR(__xludf.DUMMYFUNCTION("GOOGLETRANSLATE(A132, ""en"", ""hi"")"),"131")</f>
        <v>131</v>
      </c>
      <c r="H132" s="8" t="str">
        <f>IFERROR(__xludf.DUMMYFUNCTION("GOOGLETRANSLATE(B132, ""en"", ""hi"")"),"लागोरी_33")</f>
        <v>लागोरी_33</v>
      </c>
      <c r="I132" s="8" t="str">
        <f>IFERROR(__xludf.DUMMYFUNCTION("GOOGLETRANSLATE(C132, ""en"", ""hi"")"),"चित्र में दिखाए गए खेल के लिए, निम्नलिखित में से किससे अंक प्राप्त हो सकता है?")</f>
        <v>चित्र में दिखाए गए खेल के लिए, निम्नलिखित में से किससे अंक प्राप्त हो सकता है?</v>
      </c>
      <c r="J132" s="8" t="str">
        <f>IFERROR(__xludf.DUMMYFUNCTION("GOOGLETRANSLATE(D132, ""en"", ""hi"")"),"A) प्रतिद्वंद्वी के धड़ पर प्रहार करना, B) पैरों पर प्रहार करना, C) सिर पर प्रहार करना, D) उपरोक्त सभी")</f>
        <v>A) प्रतिद्वंद्वी के धड़ पर प्रहार करना, B) पैरों पर प्रहार करना, C) सिर पर प्रहार करना, D) उपरोक्त सभी</v>
      </c>
      <c r="K132" s="8" t="str">
        <f>IFERROR(__xludf.DUMMYFUNCTION("GOOGLETRANSLATE(E132, ""en"", ""hi"")"),"D। उपरोक्त सभी")</f>
        <v>D। उपरोक्त सभी</v>
      </c>
    </row>
    <row r="133" ht="22.5" customHeight="1">
      <c r="A133" s="2">
        <v>132.0</v>
      </c>
      <c r="B133" s="3" t="s">
        <v>1944</v>
      </c>
      <c r="C133" s="3" t="s">
        <v>1953</v>
      </c>
      <c r="D133" s="3" t="s">
        <v>51</v>
      </c>
      <c r="E133" s="3" t="s">
        <v>1254</v>
      </c>
      <c r="G133" s="8" t="str">
        <f>IFERROR(__xludf.DUMMYFUNCTION("GOOGLETRANSLATE(A133, ""en"", ""hi"")"),"132")</f>
        <v>132</v>
      </c>
      <c r="H133" s="8" t="str">
        <f>IFERROR(__xludf.DUMMYFUNCTION("GOOGLETRANSLATE(B133, ""en"", ""hi"")"),"लागोरी_33")</f>
        <v>लागोरी_33</v>
      </c>
      <c r="I133" s="8" t="str">
        <f>IFERROR(__xludf.DUMMYFUNCTION("GOOGLETRANSLATE(C133, ""en"", ""hi"")"),"चित्र में दिखाए गए खेल के लिए, आमतौर पर कितने जज मैच का स्कोर देते हैं?")</f>
        <v>चित्र में दिखाए गए खेल के लिए, आमतौर पर कितने जज मैच का स्कोर देते हैं?</v>
      </c>
      <c r="J133" s="8" t="str">
        <f>IFERROR(__xludf.DUMMYFUNCTION("GOOGLETRANSLATE(D133, ""en"", ""hi"")"),"ए) 1, बी) 2, सी) 3, डी) 4")</f>
        <v>ए) 1, बी) 2, सी) 3, डी) 4</v>
      </c>
      <c r="K133" s="8" t="str">
        <f>IFERROR(__xludf.DUMMYFUNCTION("GOOGLETRANSLATE(E133, ""en"", ""hi"")"),"सी) 3")</f>
        <v>सी) 3</v>
      </c>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31.75"/>
    <col customWidth="1" min="9" max="10" width="37.63"/>
    <col customWidth="1" min="11" max="11" width="27.25"/>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1954</v>
      </c>
      <c r="C2" s="3" t="s">
        <v>1955</v>
      </c>
      <c r="D2" s="3" t="s">
        <v>1956</v>
      </c>
      <c r="E2" s="3" t="s">
        <v>1957</v>
      </c>
      <c r="G2" s="8" t="str">
        <f>IFERROR(__xludf.DUMMYFUNCTION("GOOGLETRANSLATE(A2, ""en"", ""hi"")"),"1")</f>
        <v>1</v>
      </c>
      <c r="H2" s="8" t="str">
        <f>IFERROR(__xludf.DUMMYFUNCTION("GOOGLETRANSLATE(B2, ""en"", ""hi"")"),"पम्बरम_1")</f>
        <v>पम्बरम_1</v>
      </c>
      <c r="I2" s="8" t="str">
        <f>IFERROR(__xludf.DUMMYFUNCTION("GOOGLETRANSLATE(C2, ""en"", ""hi"")"),"चित्र में दिखाए गए खेल से, कताई लट्टू बनाने के लिए प्राथमिक सामग्री क्या है?")</f>
        <v>चित्र में दिखाए गए खेल से, कताई लट्टू बनाने के लिए प्राथमिक सामग्री क्या है?</v>
      </c>
      <c r="J2" s="8" t="str">
        <f>IFERROR(__xludf.DUMMYFUNCTION("GOOGLETRANSLATE(D2, ""en"", ""hi"")"),"a) लकड़ी, b) धातु, c) प्लास्टिक, d) मिट्टी")</f>
        <v>a) लकड़ी, b) धातु, c) प्लास्टिक, d) मिट्टी</v>
      </c>
      <c r="K2" s="8" t="str">
        <f>IFERROR(__xludf.DUMMYFUNCTION("GOOGLETRANSLATE(E2, ""en"", ""hi"")"),"एक लकड़ी")</f>
        <v>एक लकड़ी</v>
      </c>
    </row>
    <row r="3" ht="22.5" customHeight="1">
      <c r="A3" s="2">
        <v>2.0</v>
      </c>
      <c r="B3" s="3" t="s">
        <v>1954</v>
      </c>
      <c r="C3" s="3" t="s">
        <v>1958</v>
      </c>
      <c r="D3" s="3" t="s">
        <v>1959</v>
      </c>
      <c r="E3" s="3" t="s">
        <v>1960</v>
      </c>
      <c r="G3" s="8" t="str">
        <f>IFERROR(__xludf.DUMMYFUNCTION("GOOGLETRANSLATE(A3, ""en"", ""hi"")"),"2")</f>
        <v>2</v>
      </c>
      <c r="H3" s="8" t="str">
        <f>IFERROR(__xludf.DUMMYFUNCTION("GOOGLETRANSLATE(B3, ""en"", ""hi"")"),"पम्बरम_1")</f>
        <v>पम्बरम_1</v>
      </c>
      <c r="I3" s="8" t="str">
        <f>IFERROR(__xludf.DUMMYFUNCTION("GOOGLETRANSLATE(C3, ""en"", ""hi"")"),"चित्र में दिखाए गए खेल से घूर्णन गति कैसे शुरू होती है?")</f>
        <v>चित्र में दिखाए गए खेल से घूर्णन गति कैसे शुरू होती है?</v>
      </c>
      <c r="J3" s="8" t="str">
        <f>IFERROR(__xludf.DUMMYFUNCTION("GOOGLETRANSLATE(D3, ""en"", ""hi"")"),"a) हाथ से घुमाकर, b) तार खींचकर, c) फूंक मारकर, d) बटन दबाकर")</f>
        <v>a) हाथ से घुमाकर, b) तार खींचकर, c) फूंक मारकर, d) बटन दबाकर</v>
      </c>
      <c r="K3" s="8" t="str">
        <f>IFERROR(__xludf.DUMMYFUNCTION("GOOGLETRANSLATE(E3, ""en"", ""hi"")"),"ख) एक तार खींचकर")</f>
        <v>ख) एक तार खींचकर</v>
      </c>
    </row>
    <row r="4" ht="22.5" customHeight="1">
      <c r="A4" s="2">
        <v>3.0</v>
      </c>
      <c r="B4" s="3" t="s">
        <v>1954</v>
      </c>
      <c r="C4" s="3" t="s">
        <v>1961</v>
      </c>
      <c r="D4" s="3" t="s">
        <v>1962</v>
      </c>
      <c r="E4" s="3" t="s">
        <v>1963</v>
      </c>
      <c r="G4" s="8" t="str">
        <f>IFERROR(__xludf.DUMMYFUNCTION("GOOGLETRANSLATE(A4, ""en"", ""hi"")"),"3")</f>
        <v>3</v>
      </c>
      <c r="H4" s="8" t="str">
        <f>IFERROR(__xludf.DUMMYFUNCTION("GOOGLETRANSLATE(B4, ""en"", ""hi"")"),"पम्बरम_1")</f>
        <v>पम्बरम_1</v>
      </c>
      <c r="I4" s="8" t="str">
        <f>IFERROR(__xludf.DUMMYFUNCTION("GOOGLETRANSLATE(C4, ""en"", ""hi"")"),"चित्र में दिखाए गए खेल में से, निम्नलिखित में से कौन सा खेल खेलने के लिए एक सामान्य सतह है?")</f>
        <v>चित्र में दिखाए गए खेल में से, निम्नलिखित में से कौन सा खेल खेलने के लिए एक सामान्य सतह है?</v>
      </c>
      <c r="J4" s="8" t="str">
        <f>IFERROR(__xludf.DUMMYFUNCTION("GOOGLETRANSLATE(D4, ""en"", ""hi"")"),"a) घास, b) रेत, c) कंक्रीट, d) मिट्टी")</f>
        <v>a) घास, b) रेत, c) कंक्रीट, d) मिट्टी</v>
      </c>
      <c r="K4" s="8" t="str">
        <f>IFERROR(__xludf.DUMMYFUNCTION("GOOGLETRANSLATE(E4, ""en"", ""hi"")"),"ग) कंक्रीट")</f>
        <v>ग) कंक्रीट</v>
      </c>
    </row>
    <row r="5" ht="22.5" customHeight="1">
      <c r="A5" s="2">
        <v>4.0</v>
      </c>
      <c r="B5" s="3" t="s">
        <v>1954</v>
      </c>
      <c r="C5" s="3" t="s">
        <v>1964</v>
      </c>
      <c r="D5" s="3" t="s">
        <v>1965</v>
      </c>
      <c r="E5" s="3" t="s">
        <v>1966</v>
      </c>
      <c r="G5" s="8" t="str">
        <f>IFERROR(__xludf.DUMMYFUNCTION("GOOGLETRANSLATE(A5, ""en"", ""hi"")"),"4")</f>
        <v>4</v>
      </c>
      <c r="H5" s="8" t="str">
        <f>IFERROR(__xludf.DUMMYFUNCTION("GOOGLETRANSLATE(B5, ""en"", ""hi"")"),"पम्बरम_1")</f>
        <v>पम्बरम_1</v>
      </c>
      <c r="I5" s="8" t="str">
        <f>IFERROR(__xludf.DUMMYFUNCTION("GOOGLETRANSLATE(C5, ""en"", ""hi"")"),"चित्र में दिखाए गए खेल से मुख्यतः किस कौशल का परीक्षण किया जाता है?")</f>
        <v>चित्र में दिखाए गए खेल से मुख्यतः किस कौशल का परीक्षण किया जाता है?</v>
      </c>
      <c r="J5" s="8" t="str">
        <f>IFERROR(__xludf.DUMMYFUNCTION("GOOGLETRANSLATE(D5, ""en"", ""hi"")"),"a) शक्ति, b) संतुलन, c) चपलता, d) परिशुद्धता")</f>
        <v>a) शक्ति, b) संतुलन, c) चपलता, d) परिशुद्धता</v>
      </c>
      <c r="K5" s="8" t="str">
        <f>IFERROR(__xludf.DUMMYFUNCTION("GOOGLETRANSLATE(E5, ""en"", ""hi"")"),"घ) परिशुद्धता")</f>
        <v>घ) परिशुद्धता</v>
      </c>
    </row>
    <row r="6" ht="22.5" customHeight="1">
      <c r="A6" s="2">
        <v>5.0</v>
      </c>
      <c r="B6" s="3" t="s">
        <v>1967</v>
      </c>
      <c r="C6" s="3" t="s">
        <v>1968</v>
      </c>
      <c r="D6" s="3" t="s">
        <v>1969</v>
      </c>
      <c r="E6" s="3" t="s">
        <v>1970</v>
      </c>
      <c r="G6" s="8" t="str">
        <f>IFERROR(__xludf.DUMMYFUNCTION("GOOGLETRANSLATE(A6, ""en"", ""hi"")"),"5")</f>
        <v>5</v>
      </c>
      <c r="H6" s="8" t="str">
        <f>IFERROR(__xludf.DUMMYFUNCTION("GOOGLETRANSLATE(B6, ""en"", ""hi"")"),"पम्बरम_2")</f>
        <v>पम्बरम_2</v>
      </c>
      <c r="I6" s="8" t="str">
        <f>IFERROR(__xludf.DUMMYFUNCTION("GOOGLETRANSLATE(C6, ""en"", ""hi"")"),"चित्र में दिखाए गए खेल से, किसी अन्य खिलाड़ी के शीर्ष पर हिट करने का लक्ष्य क्या है?")</f>
        <v>चित्र में दिखाए गए खेल से, किसी अन्य खिलाड़ी के शीर्ष पर हिट करने का लक्ष्य क्या है?</v>
      </c>
      <c r="J6" s="8" t="str">
        <f>IFERROR(__xludf.DUMMYFUNCTION("GOOGLETRANSLATE(D6, ""en"", ""hi"")"),"क) इसे घूमने से रोकने के लिए, ख) इसे तोड़ने के लिए, ग) इसे खेल क्षेत्र से बाहर धकेलने के लिए, घ) इसे तेजी से घुमाने के लिए")</f>
        <v>क) इसे घूमने से रोकने के लिए, ख) इसे तोड़ने के लिए, ग) इसे खेल क्षेत्र से बाहर धकेलने के लिए, घ) इसे तेजी से घुमाने के लिए</v>
      </c>
      <c r="K6" s="8" t="str">
        <f>IFERROR(__xludf.DUMMYFUNCTION("GOOGLETRANSLATE(E6, ""en"", ""hi"")"),"a) इसे घूमने से रोकने के लिए")</f>
        <v>a) इसे घूमने से रोकने के लिए</v>
      </c>
    </row>
    <row r="7" ht="22.5" customHeight="1">
      <c r="A7" s="2">
        <v>6.0</v>
      </c>
      <c r="B7" s="3" t="s">
        <v>1967</v>
      </c>
      <c r="C7" s="3" t="s">
        <v>1971</v>
      </c>
      <c r="D7" s="3" t="s">
        <v>1972</v>
      </c>
      <c r="E7" s="3" t="s">
        <v>1973</v>
      </c>
      <c r="G7" s="8" t="str">
        <f>IFERROR(__xludf.DUMMYFUNCTION("GOOGLETRANSLATE(A7, ""en"", ""hi"")"),"6")</f>
        <v>6</v>
      </c>
      <c r="H7" s="8" t="str">
        <f>IFERROR(__xludf.DUMMYFUNCTION("GOOGLETRANSLATE(B7, ""en"", ""hi"")"),"पम्बरम_2")</f>
        <v>पम्बरम_2</v>
      </c>
      <c r="I7" s="8" t="str">
        <f>IFERROR(__xludf.DUMMYFUNCTION("GOOGLETRANSLATE(C7, ""en"", ""hi"")"),"चित्र में दिखाए गए खेल से खिलाड़ी यह कैसे तय करते हैं कि कौन पहले खेलेगा?")</f>
        <v>चित्र में दिखाए गए खेल से खिलाड़ी यह कैसे तय करते हैं कि कौन पहले खेलेगा?</v>
      </c>
      <c r="J7" s="8" t="str">
        <f>IFERROR(__xludf.DUMMYFUNCTION("GOOGLETRANSLATE(D7, ""en"", ""hi"")"),"a) उम्र के आधार पर, b) ताकत के आधार पर, c) सिक्का उछालकर, d) सबसे लंबे प्रारंभिक स्पिन के आधार पर")</f>
        <v>a) उम्र के आधार पर, b) ताकत के आधार पर, c) सिक्का उछालकर, d) सबसे लंबे प्रारंभिक स्पिन के आधार पर</v>
      </c>
      <c r="K7" s="8" t="str">
        <f>IFERROR(__xludf.DUMMYFUNCTION("GOOGLETRANSLATE(E7, ""en"", ""hi"")"),"d) सबसे लंबे प्रारंभिक स्पिन द्वारा")</f>
        <v>d) सबसे लंबे प्रारंभिक स्पिन द्वारा</v>
      </c>
    </row>
    <row r="8" ht="22.5" customHeight="1">
      <c r="A8" s="2">
        <v>7.0</v>
      </c>
      <c r="B8" s="3" t="s">
        <v>1967</v>
      </c>
      <c r="C8" s="3" t="s">
        <v>1974</v>
      </c>
      <c r="D8" s="3" t="s">
        <v>1975</v>
      </c>
      <c r="E8" s="3" t="s">
        <v>1976</v>
      </c>
      <c r="G8" s="8" t="str">
        <f>IFERROR(__xludf.DUMMYFUNCTION("GOOGLETRANSLATE(A8, ""en"", ""hi"")"),"7")</f>
        <v>7</v>
      </c>
      <c r="H8" s="8" t="str">
        <f>IFERROR(__xludf.DUMMYFUNCTION("GOOGLETRANSLATE(B8, ""en"", ""hi"")"),"पम्बरम_2")</f>
        <v>पम्बरम_2</v>
      </c>
      <c r="I8" s="8" t="str">
        <f>IFERROR(__xludf.DUMMYFUNCTION("GOOGLETRANSLATE(C8, ""en"", ""hi"")"),"चित्र में दिखाए गए खेल से, घूमते हुए लट्टू का विशिष्ट आकार क्या है?")</f>
        <v>चित्र में दिखाए गए खेल से, घूमते हुए लट्टू का विशिष्ट आकार क्या है?</v>
      </c>
      <c r="J8" s="8" t="str">
        <f>IFERROR(__xludf.DUMMYFUNCTION("GOOGLETRANSLATE(D8, ""en"", ""hi"")"),"a) घनाकार, b) बेलनाकार, c) शंक्वाकार, d) गोलाकार")</f>
        <v>a) घनाकार, b) बेलनाकार, c) शंक्वाकार, d) गोलाकार</v>
      </c>
      <c r="K8" s="8" t="str">
        <f>IFERROR(__xludf.DUMMYFUNCTION("GOOGLETRANSLATE(E8, ""en"", ""hi"")"),"c) शंक्वाकार")</f>
        <v>c) शंक्वाकार</v>
      </c>
    </row>
    <row r="9" ht="22.5" customHeight="1">
      <c r="A9" s="2">
        <v>8.0</v>
      </c>
      <c r="B9" s="3" t="s">
        <v>1967</v>
      </c>
      <c r="C9" s="3" t="s">
        <v>1977</v>
      </c>
      <c r="D9" s="3" t="s">
        <v>1978</v>
      </c>
      <c r="E9" s="3" t="s">
        <v>1979</v>
      </c>
      <c r="G9" s="8" t="str">
        <f>IFERROR(__xludf.DUMMYFUNCTION("GOOGLETRANSLATE(A9, ""en"", ""hi"")"),"8")</f>
        <v>8</v>
      </c>
      <c r="H9" s="8" t="str">
        <f>IFERROR(__xludf.DUMMYFUNCTION("GOOGLETRANSLATE(B9, ""en"", ""hi"")"),"पम्बरम_2")</f>
        <v>पम्बरम_2</v>
      </c>
      <c r="I9" s="8" t="str">
        <f>IFERROR(__xludf.DUMMYFUNCTION("GOOGLETRANSLATE(C9, ""en"", ""hi"")"),"चित्र में दिखाए गए खेल में, लॉन्च करने से पहले आमतौर पर शीर्ष पर क्या लपेटा जाता है?")</f>
        <v>चित्र में दिखाए गए खेल में, लॉन्च करने से पहले आमतौर पर शीर्ष पर क्या लपेटा जाता है?</v>
      </c>
      <c r="J9" s="8" t="str">
        <f>IFERROR(__xludf.DUMMYFUNCTION("GOOGLETRANSLATE(D9, ""en"", ""hi"")"),"a) कपड़े का एक टुकड़ा, b) एक रबर बैंड, c) एक धातु का तार, d) एक डोरी")</f>
        <v>a) कपड़े का एक टुकड़ा, b) एक रबर बैंड, c) एक धातु का तार, d) एक डोरी</v>
      </c>
      <c r="K9" s="8" t="str">
        <f>IFERROR(__xludf.DUMMYFUNCTION("GOOGLETRANSLATE(E9, ""en"", ""hi"")"),"d) एक स्ट्रिंग")</f>
        <v>d) एक स्ट्रिंग</v>
      </c>
    </row>
    <row r="10" ht="22.5" customHeight="1">
      <c r="A10" s="2">
        <v>9.0</v>
      </c>
      <c r="B10" s="3" t="s">
        <v>1980</v>
      </c>
      <c r="C10" s="3" t="s">
        <v>1981</v>
      </c>
      <c r="D10" s="3" t="s">
        <v>1982</v>
      </c>
      <c r="E10" s="3" t="s">
        <v>1983</v>
      </c>
      <c r="G10" s="8" t="str">
        <f>IFERROR(__xludf.DUMMYFUNCTION("GOOGLETRANSLATE(A10, ""en"", ""hi"")"),"9")</f>
        <v>9</v>
      </c>
      <c r="H10" s="8" t="str">
        <f>IFERROR(__xludf.DUMMYFUNCTION("GOOGLETRANSLATE(B10, ""en"", ""hi"")"),"पम्बरम_3")</f>
        <v>पम्बरम_3</v>
      </c>
      <c r="I10" s="8" t="str">
        <f>IFERROR(__xludf.DUMMYFUNCTION("GOOGLETRANSLATE(C10, ""en"", ""hi"")"),"चित्र में दिखाए गए खेल में से, किस प्रकार की सतह शीर्ष को घुमाने के लिए सबसे कम आदर्श है?")</f>
        <v>चित्र में दिखाए गए खेल में से, किस प्रकार की सतह शीर्ष को घुमाने के लिए सबसे कम आदर्श है?</v>
      </c>
      <c r="J10" s="8" t="str">
        <f>IFERROR(__xludf.DUMMYFUNCTION("GOOGLETRANSLATE(D10, ""en"", ""hi"")"),"a) घास, b) कंक्रीट, c) संगमरमर, d) लकड़ी का फर्श")</f>
        <v>a) घास, b) कंक्रीट, c) संगमरमर, d) लकड़ी का फर्श</v>
      </c>
      <c r="K10" s="8" t="str">
        <f>IFERROR(__xludf.DUMMYFUNCTION("GOOGLETRANSLATE(E10, ""en"", ""hi"")"),"क) घास")</f>
        <v>क) घास</v>
      </c>
    </row>
    <row r="11" ht="22.5" customHeight="1">
      <c r="A11" s="2">
        <v>10.0</v>
      </c>
      <c r="B11" s="3" t="s">
        <v>1980</v>
      </c>
      <c r="C11" s="3" t="s">
        <v>1984</v>
      </c>
      <c r="D11" s="3" t="s">
        <v>1985</v>
      </c>
      <c r="E11" s="3" t="s">
        <v>1986</v>
      </c>
      <c r="G11" s="8" t="str">
        <f>IFERROR(__xludf.DUMMYFUNCTION("GOOGLETRANSLATE(A11, ""en"", ""hi"")"),"10")</f>
        <v>10</v>
      </c>
      <c r="H11" s="8" t="str">
        <f>IFERROR(__xludf.DUMMYFUNCTION("GOOGLETRANSLATE(B11, ""en"", ""hi"")"),"पम्बरम_3")</f>
        <v>पम्बरम_3</v>
      </c>
      <c r="I11" s="8" t="str">
        <f>IFERROR(__xludf.DUMMYFUNCTION("GOOGLETRANSLATE(C11, ""en"", ""hi"")"),"चित्र में दिखाए गए खेल में से, इनमें से कौन सी विधि शीर्ष को अधिक समय तक घुमाने की पारंपरिक विधि है?")</f>
        <v>चित्र में दिखाए गए खेल में से, इनमें से कौन सी विधि शीर्ष को अधिक समय तक घुमाने की पारंपरिक विधि है?</v>
      </c>
      <c r="J11" s="8" t="str">
        <f>IFERROR(__xludf.DUMMYFUNCTION("GOOGLETRANSLATE(D11, ""en"", ""hi"")"),"a) छोटी डोरी, b) मजबूत खिंचाव, c) ऊर्ध्वाधर गिरावट, d) हल्का शीर्ष")</f>
        <v>a) छोटी डोरी, b) मजबूत खिंचाव, c) ऊर्ध्वाधर गिरावट, d) हल्का शीर्ष</v>
      </c>
      <c r="K11" s="8" t="str">
        <f>IFERROR(__xludf.DUMMYFUNCTION("GOOGLETRANSLATE(E11, ""en"", ""hi"")"),"b) अधिक मजबूत खिंचाव")</f>
        <v>b) अधिक मजबूत खिंचाव</v>
      </c>
    </row>
    <row r="12" ht="22.5" customHeight="1">
      <c r="A12" s="2">
        <v>11.0</v>
      </c>
      <c r="B12" s="3" t="s">
        <v>1980</v>
      </c>
      <c r="C12" s="3" t="s">
        <v>1987</v>
      </c>
      <c r="D12" s="3" t="s">
        <v>1988</v>
      </c>
      <c r="E12" s="3" t="s">
        <v>1989</v>
      </c>
      <c r="G12" s="8" t="str">
        <f>IFERROR(__xludf.DUMMYFUNCTION("GOOGLETRANSLATE(A12, ""en"", ""hi"")"),"11")</f>
        <v>11</v>
      </c>
      <c r="H12" s="8" t="str">
        <f>IFERROR(__xludf.DUMMYFUNCTION("GOOGLETRANSLATE(B12, ""en"", ""hi"")"),"पम्बरम_3")</f>
        <v>पम्बरम_3</v>
      </c>
      <c r="I12" s="8" t="str">
        <f>IFERROR(__xludf.DUMMYFUNCTION("GOOGLETRANSLATE(C12, ""en"", ""hi"")"),"चित्र में दिखाए गए खेल से, प्रतिस्पर्धी खेल में एक सामान्य लक्ष्य क्या है?")</f>
        <v>चित्र में दिखाए गए खेल से, प्रतिस्पर्धी खेल में एक सामान्य लक्ष्य क्या है?</v>
      </c>
      <c r="J12" s="8" t="str">
        <f>IFERROR(__xludf.DUMMYFUNCTION("GOOGLETRANSLATE(D12, ""en"", ""hi"")"),"a) सबसे लंबे समय तक घूमना, b) अन्य शीर्षों को तोड़ना, c) इसे स्थिर रखना, d) सबसे तेज आवाज करना")</f>
        <v>a) सबसे लंबे समय तक घूमना, b) अन्य शीर्षों को तोड़ना, c) इसे स्थिर रखना, d) सबसे तेज आवाज करना</v>
      </c>
      <c r="K12" s="8" t="str">
        <f>IFERROR(__xludf.DUMMYFUNCTION("GOOGLETRANSLATE(E12, ""en"", ""hi"")"),"a) सबसे लंबे समय तक घूमना")</f>
        <v>a) सबसे लंबे समय तक घूमना</v>
      </c>
    </row>
    <row r="13" ht="22.5" customHeight="1">
      <c r="A13" s="2">
        <v>12.0</v>
      </c>
      <c r="B13" s="3" t="s">
        <v>1980</v>
      </c>
      <c r="C13" s="3" t="s">
        <v>1990</v>
      </c>
      <c r="D13" s="3" t="s">
        <v>1991</v>
      </c>
      <c r="E13" s="3" t="s">
        <v>1992</v>
      </c>
      <c r="G13" s="8" t="str">
        <f>IFERROR(__xludf.DUMMYFUNCTION("GOOGLETRANSLATE(A13, ""en"", ""hi"")"),"12")</f>
        <v>12</v>
      </c>
      <c r="H13" s="8" t="str">
        <f>IFERROR(__xludf.DUMMYFUNCTION("GOOGLETRANSLATE(B13, ""en"", ""hi"")"),"पम्बरम_3")</f>
        <v>पम्बरम_3</v>
      </c>
      <c r="I13" s="8" t="str">
        <f>IFERROR(__xludf.DUMMYFUNCTION("GOOGLETRANSLATE(C13, ""en"", ""hi"")"),"चित्र में दिखाए गए खेल में से, निम्नलिखित में से कौन सा खेल में एक उन्नत कौशल है?")</f>
        <v>चित्र में दिखाए गए खेल में से, निम्नलिखित में से कौन सा खेल में एक उन्नत कौशल है?</v>
      </c>
      <c r="J13" s="8" t="str">
        <f>IFERROR(__xludf.DUMMYFUNCTION("GOOGLETRANSLATE(D13, ""en"", ""hi"")"),"क) कई टॉप फेंकना, ख) स्पिन की गति को नियंत्रित करना, ग) एक पैर पर स्पिन करना, घ) बिना स्ट्रिंग के स्पिन करना")</f>
        <v>क) कई टॉप फेंकना, ख) स्पिन की गति को नियंत्रित करना, ग) एक पैर पर स्पिन करना, घ) बिना स्ट्रिंग के स्पिन करना</v>
      </c>
      <c r="K13" s="8" t="str">
        <f>IFERROR(__xludf.DUMMYFUNCTION("GOOGLETRANSLATE(E13, ""en"", ""hi"")"),"b) स्पिन गति को नियंत्रित करना")</f>
        <v>b) स्पिन गति को नियंत्रित करना</v>
      </c>
    </row>
    <row r="14" ht="22.5" customHeight="1">
      <c r="A14" s="2">
        <v>13.0</v>
      </c>
      <c r="B14" s="3" t="s">
        <v>1993</v>
      </c>
      <c r="C14" s="3" t="s">
        <v>1994</v>
      </c>
      <c r="D14" s="3" t="s">
        <v>1995</v>
      </c>
      <c r="E14" s="3" t="s">
        <v>1996</v>
      </c>
      <c r="G14" s="8" t="str">
        <f>IFERROR(__xludf.DUMMYFUNCTION("GOOGLETRANSLATE(A14, ""en"", ""hi"")"),"13")</f>
        <v>13</v>
      </c>
      <c r="H14" s="8" t="str">
        <f>IFERROR(__xludf.DUMMYFUNCTION("GOOGLETRANSLATE(B14, ""en"", ""hi"")"),"पम्बरम_4")</f>
        <v>पम्बरम_4</v>
      </c>
      <c r="I14" s="8" t="str">
        <f>IFERROR(__xludf.DUMMYFUNCTION("GOOGLETRANSLATE(C14, ""en"", ""hi"")"),"चित्र में दिखाए गए खेल में से कौन सा कारक स्पिन अवधि को प्रभावित नहीं करता है?")</f>
        <v>चित्र में दिखाए गए खेल में से कौन सा कारक स्पिन अवधि को प्रभावित नहीं करता है?</v>
      </c>
      <c r="J14" s="8" t="str">
        <f>IFERROR(__xludf.DUMMYFUNCTION("GOOGLETRANSLATE(D14, ""en"", ""hi"")"),"a) लट्टू का वजन, b) सतह की खुरदरापन, c) खिलाड़ी की आयु, d) डोरी की लंबाई")</f>
        <v>a) लट्टू का वजन, b) सतह की खुरदरापन, c) खिलाड़ी की आयु, d) डोरी की लंबाई</v>
      </c>
      <c r="K14" s="8" t="str">
        <f>IFERROR(__xludf.DUMMYFUNCTION("GOOGLETRANSLATE(E14, ""en"", ""hi"")"),"c) खिलाड़ी की आयु")</f>
        <v>c) खिलाड़ी की आयु</v>
      </c>
    </row>
    <row r="15" ht="22.5" customHeight="1">
      <c r="A15" s="2">
        <v>14.0</v>
      </c>
      <c r="B15" s="3" t="s">
        <v>1993</v>
      </c>
      <c r="C15" s="3" t="s">
        <v>1997</v>
      </c>
      <c r="D15" s="3" t="s">
        <v>1998</v>
      </c>
      <c r="E15" s="3" t="s">
        <v>1999</v>
      </c>
      <c r="G15" s="8" t="str">
        <f>IFERROR(__xludf.DUMMYFUNCTION("GOOGLETRANSLATE(A15, ""en"", ""hi"")"),"14")</f>
        <v>14</v>
      </c>
      <c r="H15" s="8" t="str">
        <f>IFERROR(__xludf.DUMMYFUNCTION("GOOGLETRANSLATE(B15, ""en"", ""hi"")"),"पम्बरम_4")</f>
        <v>पम्बरम_4</v>
      </c>
      <c r="I15" s="8" t="str">
        <f>IFERROR(__xludf.DUMMYFUNCTION("GOOGLETRANSLATE(C15, ""en"", ""hi"")"),"चित्र में दिखाए गए खेल से, शीर्ष को अधिक टिकाऊ बनाने के लिए अक्सर क्या उपयोग किया जाता है?")</f>
        <v>चित्र में दिखाए गए खेल से, शीर्ष को अधिक टिकाऊ बनाने के लिए अक्सर क्या उपयोग किया जाता है?</v>
      </c>
      <c r="J15" s="8" t="str">
        <f>IFERROR(__xludf.DUMMYFUNCTION("GOOGLETRANSLATE(D15, ""en"", ""hi"")"),"a) एक धातु की नोक, b) एक मोटी डोरी, c) एक लकड़ी का आधार, d) एक रबर कोटिंग")</f>
        <v>a) एक धातु की नोक, b) एक मोटी डोरी, c) एक लकड़ी का आधार, d) एक रबर कोटिंग</v>
      </c>
      <c r="K15" s="8" t="str">
        <f>IFERROR(__xludf.DUMMYFUNCTION("GOOGLETRANSLATE(E15, ""en"", ""hi"")"),"a) एक धातु की नोक")</f>
        <v>a) एक धातु की नोक</v>
      </c>
    </row>
    <row r="16" ht="22.5" customHeight="1">
      <c r="A16" s="2">
        <v>15.0</v>
      </c>
      <c r="B16" s="3" t="s">
        <v>1993</v>
      </c>
      <c r="C16" s="3" t="s">
        <v>2000</v>
      </c>
      <c r="D16" s="3" t="s">
        <v>2001</v>
      </c>
      <c r="E16" s="3" t="s">
        <v>2002</v>
      </c>
      <c r="G16" s="8" t="str">
        <f>IFERROR(__xludf.DUMMYFUNCTION("GOOGLETRANSLATE(A16, ""en"", ""hi"")"),"15")</f>
        <v>15</v>
      </c>
      <c r="H16" s="8" t="str">
        <f>IFERROR(__xludf.DUMMYFUNCTION("GOOGLETRANSLATE(B16, ""en"", ""hi"")"),"पम्बरम_4")</f>
        <v>पम्बरम_4</v>
      </c>
      <c r="I16" s="8" t="str">
        <f>IFERROR(__xludf.DUMMYFUNCTION("GOOGLETRANSLATE(C16, ""en"", ""hi"")"),"चित्र में दिखाए गए खेल से खिलाड़ी निष्पक्ष खेल कैसे सुनिश्चित करते हैं?")</f>
        <v>चित्र में दिखाए गए खेल से खिलाड़ी निष्पक्ष खेल कैसे सुनिश्चित करते हैं?</v>
      </c>
      <c r="J16" s="8" t="str">
        <f>IFERROR(__xludf.DUMMYFUNCTION("GOOGLETRANSLATE(D16, ""en"", ""hi"")"),"क) शीर्ष को मापकर, ख) तार की लंबाई को मानकीकृत करके, ग) एक ही सतह का उपयोग करके, घ) खिलाड़ियों की आंखों पर पट्टी बांधकर")</f>
        <v>क) शीर्ष को मापकर, ख) तार की लंबाई को मानकीकृत करके, ग) एक ही सतह का उपयोग करके, घ) खिलाड़ियों की आंखों पर पट्टी बांधकर</v>
      </c>
      <c r="K16" s="8" t="str">
        <f>IFERROR(__xludf.DUMMYFUNCTION("GOOGLETRANSLATE(E16, ""en"", ""hi"")"),"b) स्ट्रिंग की लंबाई को मानकीकृत करके")</f>
        <v>b) स्ट्रिंग की लंबाई को मानकीकृत करके</v>
      </c>
    </row>
    <row r="17" ht="22.5" customHeight="1">
      <c r="A17" s="2">
        <v>16.0</v>
      </c>
      <c r="B17" s="3" t="s">
        <v>1993</v>
      </c>
      <c r="C17" s="3" t="s">
        <v>2003</v>
      </c>
      <c r="D17" s="3" t="s">
        <v>2004</v>
      </c>
      <c r="E17" s="3" t="s">
        <v>2005</v>
      </c>
      <c r="G17" s="8" t="str">
        <f>IFERROR(__xludf.DUMMYFUNCTION("GOOGLETRANSLATE(A17, ""en"", ""hi"")"),"16")</f>
        <v>16</v>
      </c>
      <c r="H17" s="8" t="str">
        <f>IFERROR(__xludf.DUMMYFUNCTION("GOOGLETRANSLATE(B17, ""en"", ""hi"")"),"पम्बरम_4")</f>
        <v>पम्बरम_4</v>
      </c>
      <c r="I17" s="8" t="str">
        <f>IFERROR(__xludf.DUMMYFUNCTION("GOOGLETRANSLATE(C17, ""en"", ""hi"")"),"चित्र में दिखाए गए खेल में स्पिनिंग गति बढ़ाने के लिए किस तकनीक का उपयोग किया जाता है?")</f>
        <v>चित्र में दिखाए गए खेल में स्पिनिंग गति बढ़ाने के लिए किस तकनीक का उपयोग किया जाता है?</v>
      </c>
      <c r="J17" s="8" t="str">
        <f>IFERROR(__xludf.DUMMYFUNCTION("GOOGLETRANSLATE(D17, ""en"", ""hi"")"),"क) भारी टॉप का उपयोग करना, ख) डोरी को तेजी से खींचना, ग) अधिक ऊंचाई से फेंकना, घ) लंबी डोरी का उपयोग करना")</f>
        <v>क) भारी टॉप का उपयोग करना, ख) डोरी को तेजी से खींचना, ग) अधिक ऊंचाई से फेंकना, घ) लंबी डोरी का उपयोग करना</v>
      </c>
      <c r="K17" s="8" t="str">
        <f>IFERROR(__xludf.DUMMYFUNCTION("GOOGLETRANSLATE(E17, ""en"", ""hi"")"),"b) डोरी को तेजी से खींचना")</f>
        <v>b) डोरी को तेजी से खींचना</v>
      </c>
    </row>
    <row r="18" ht="22.5" customHeight="1">
      <c r="A18" s="2">
        <v>17.0</v>
      </c>
      <c r="B18" s="3" t="s">
        <v>2006</v>
      </c>
      <c r="C18" s="3" t="s">
        <v>2007</v>
      </c>
      <c r="D18" s="3" t="s">
        <v>2008</v>
      </c>
      <c r="E18" s="3" t="s">
        <v>2009</v>
      </c>
      <c r="G18" s="8" t="str">
        <f>IFERROR(__xludf.DUMMYFUNCTION("GOOGLETRANSLATE(A18, ""en"", ""hi"")"),"17")</f>
        <v>17</v>
      </c>
      <c r="H18" s="8" t="str">
        <f>IFERROR(__xludf.DUMMYFUNCTION("GOOGLETRANSLATE(B18, ""en"", ""hi"")"),"पम्बरम_5")</f>
        <v>पम्बरम_5</v>
      </c>
      <c r="I18" s="8" t="str">
        <f>IFERROR(__xludf.DUMMYFUNCTION("GOOGLETRANSLATE(C18, ""en"", ""hi"")"),"चित्र में दिखाए गए खेल से, खेल में एक सामान्य चुनौती क्या है?")</f>
        <v>चित्र में दिखाए गए खेल से, खेल में एक सामान्य चुनौती क्या है?</v>
      </c>
      <c r="J18" s="8" t="str">
        <f>IFERROR(__xludf.DUMMYFUNCTION("GOOGLETRANSLATE(D18, ""en"", ""hi"")"),"क) एक पैर पर संतुलन बनाना, ख) लट्टू को विभिन्न सतहों पर घुमाना, ग) लट्टू को उल्टा घुमाना, घ) टूटी हुई डोरी से घुमाना")</f>
        <v>क) एक पैर पर संतुलन बनाना, ख) लट्टू को विभिन्न सतहों पर घुमाना, ग) लट्टू को उल्टा घुमाना, घ) टूटी हुई डोरी से घुमाना</v>
      </c>
      <c r="K18" s="8" t="str">
        <f>IFERROR(__xludf.DUMMYFUNCTION("GOOGLETRANSLATE(E18, ""en"", ""hi"")"),"b) शीर्ष को विभिन्न सतहों पर घुमाना")</f>
        <v>b) शीर्ष को विभिन्न सतहों पर घुमाना</v>
      </c>
    </row>
    <row r="19" ht="22.5" customHeight="1">
      <c r="A19" s="2">
        <v>18.0</v>
      </c>
      <c r="B19" s="3" t="s">
        <v>2006</v>
      </c>
      <c r="C19" s="3" t="s">
        <v>2010</v>
      </c>
      <c r="D19" s="3" t="s">
        <v>2011</v>
      </c>
      <c r="E19" s="3" t="s">
        <v>2012</v>
      </c>
      <c r="G19" s="8" t="str">
        <f>IFERROR(__xludf.DUMMYFUNCTION("GOOGLETRANSLATE(A19, ""en"", ""hi"")"),"18")</f>
        <v>18</v>
      </c>
      <c r="H19" s="8" t="str">
        <f>IFERROR(__xludf.DUMMYFUNCTION("GOOGLETRANSLATE(B19, ""en"", ""hi"")"),"पम्बरम_5")</f>
        <v>पम्बरम_5</v>
      </c>
      <c r="I19" s="8" t="str">
        <f>IFERROR(__xludf.DUMMYFUNCTION("GOOGLETRANSLATE(C19, ""en"", ""hi"")"),"चित्र में दिखाए गए खेल से, शीर्ष का कौन सा हिस्सा एक अच्छे स्पिन के लिए सबसे महत्वपूर्ण है?")</f>
        <v>चित्र में दिखाए गए खेल से, शीर्ष का कौन सा हिस्सा एक अच्छे स्पिन के लिए सबसे महत्वपूर्ण है?</v>
      </c>
      <c r="J19" s="8" t="str">
        <f>IFERROR(__xludf.DUMMYFUNCTION("GOOGLETRANSLATE(D19, ""en"", ""hi"")"),"a) आधार, b) डोरी, c) सिरा, d) शीर्ष")</f>
        <v>a) आधार, b) डोरी, c) सिरा, d) शीर्ष</v>
      </c>
      <c r="K19" s="8" t="str">
        <f>IFERROR(__xludf.DUMMYFUNCTION("GOOGLETRANSLATE(E19, ""en"", ""hi"")"),"ग) टिप")</f>
        <v>ग) टिप</v>
      </c>
    </row>
    <row r="20" ht="22.5" customHeight="1">
      <c r="A20" s="2">
        <v>19.0</v>
      </c>
      <c r="B20" s="3" t="s">
        <v>2006</v>
      </c>
      <c r="C20" s="3" t="s">
        <v>2013</v>
      </c>
      <c r="D20" s="3" t="s">
        <v>2014</v>
      </c>
      <c r="E20" s="3" t="s">
        <v>2015</v>
      </c>
      <c r="G20" s="8" t="str">
        <f>IFERROR(__xludf.DUMMYFUNCTION("GOOGLETRANSLATE(A20, ""en"", ""hi"")"),"19")</f>
        <v>19</v>
      </c>
      <c r="H20" s="8" t="str">
        <f>IFERROR(__xludf.DUMMYFUNCTION("GOOGLETRANSLATE(B20, ""en"", ""hi"")"),"पम्बरम_5")</f>
        <v>पम्बरम_5</v>
      </c>
      <c r="I20" s="8" t="str">
        <f>IFERROR(__xludf.DUMMYFUNCTION("GOOGLETRANSLATE(C20, ""en"", ""hi"")"),"चित्र में दिखाए गए खेल से, खिलाड़ी आमतौर पर स्पिन करने के बाद अपने टॉप्स को कैसे प्राप्त करते हैं?")</f>
        <v>चित्र में दिखाए गए खेल से, खिलाड़ी आमतौर पर स्पिन करने के बाद अपने टॉप्स को कैसे प्राप्त करते हैं?</v>
      </c>
      <c r="J20" s="8" t="str">
        <f>IFERROR(__xludf.DUMMYFUNCTION("GOOGLETRANSLATE(D20, ""en"", ""hi"")"),"क) इसे रुकने देकर, ख) घूमते समय इसे पकड़कर, ग) डोरी से इसे पीछे खींचकर, घ) छड़ी का प्रयोग करके")</f>
        <v>क) इसे रुकने देकर, ख) घूमते समय इसे पकड़कर, ग) डोरी से इसे पीछे खींचकर, घ) छड़ी का प्रयोग करके</v>
      </c>
      <c r="K20" s="8" t="str">
        <f>IFERROR(__xludf.DUMMYFUNCTION("GOOGLETRANSLATE(E20, ""en"", ""hi"")"),"b) स्पिन के बीच में पकड़कर")</f>
        <v>b) स्पिन के बीच में पकड़कर</v>
      </c>
    </row>
    <row r="21" ht="22.5" customHeight="1">
      <c r="A21" s="2">
        <v>20.0</v>
      </c>
      <c r="B21" s="3" t="s">
        <v>2006</v>
      </c>
      <c r="C21" s="3" t="s">
        <v>2016</v>
      </c>
      <c r="D21" s="3" t="s">
        <v>2017</v>
      </c>
      <c r="E21" s="3" t="s">
        <v>2018</v>
      </c>
      <c r="G21" s="8" t="str">
        <f>IFERROR(__xludf.DUMMYFUNCTION("GOOGLETRANSLATE(A21, ""en"", ""hi"")"),"20")</f>
        <v>20</v>
      </c>
      <c r="H21" s="8" t="str">
        <f>IFERROR(__xludf.DUMMYFUNCTION("GOOGLETRANSLATE(B21, ""en"", ""hi"")"),"पम्बरम_5")</f>
        <v>पम्बरम_5</v>
      </c>
      <c r="I21" s="8" t="str">
        <f>IFERROR(__xludf.DUMMYFUNCTION("GOOGLETRANSLATE(C21, ""en"", ""hi"")"),"चित्र में दिखाए गए खेल से, शीर्ष को सजाने का पारंपरिक तरीका क्या है?")</f>
        <v>चित्र में दिखाए गए खेल से, शीर्ष को सजाने का पारंपरिक तरीका क्या है?</v>
      </c>
      <c r="J21" s="8" t="str">
        <f>IFERROR(__xludf.DUMMYFUNCTION("GOOGLETRANSLATE(D21, ""en"", ""hi"")"),"a) पेंटिंग करना, b) स्टिकर लगाना, c) पैटर्न उकेरना, d) कपड़े में लपेटना")</f>
        <v>a) पेंटिंग करना, b) स्टिकर लगाना, c) पैटर्न उकेरना, d) कपड़े में लपेटना</v>
      </c>
      <c r="K21" s="8" t="str">
        <f>IFERROR(__xludf.DUMMYFUNCTION("GOOGLETRANSLATE(E21, ""en"", ""hi"")"),"a) इसे रंगना")</f>
        <v>a) इसे रंगना</v>
      </c>
    </row>
    <row r="22" ht="22.5" customHeight="1">
      <c r="A22" s="2">
        <v>21.0</v>
      </c>
      <c r="B22" s="3" t="s">
        <v>2019</v>
      </c>
      <c r="C22" s="3" t="s">
        <v>2020</v>
      </c>
      <c r="D22" s="3" t="s">
        <v>2021</v>
      </c>
      <c r="E22" s="3" t="s">
        <v>2022</v>
      </c>
      <c r="G22" s="8" t="str">
        <f>IFERROR(__xludf.DUMMYFUNCTION("GOOGLETRANSLATE(A22, ""en"", ""hi"")"),"21")</f>
        <v>21</v>
      </c>
      <c r="H22" s="8" t="str">
        <f>IFERROR(__xludf.DUMMYFUNCTION("GOOGLETRANSLATE(B22, ""en"", ""hi"")"),"पम्बरम_6")</f>
        <v>पम्बरम_6</v>
      </c>
      <c r="I22" s="8" t="str">
        <f>IFERROR(__xludf.DUMMYFUNCTION("GOOGLETRANSLATE(C22, ""en"", ""hi"")"),"चित्र में दिखाए गए खेल से, कई समुदायों में इस खेल का सांस्कृतिक महत्व क्या है?")</f>
        <v>चित्र में दिखाए गए खेल से, कई समुदायों में इस खेल का सांस्कृतिक महत्व क्या है?</v>
      </c>
      <c r="J22" s="8" t="str">
        <f>IFERROR(__xludf.DUMMYFUNCTION("GOOGLETRANSLATE(D22, ""en"", ""hi"")"),"a) शक्ति का प्रतीक है, b) बचपन की यादों का प्रतिनिधित्व करता है, c) त्योहारों से जुड़ा है, d) अनुष्ठानों में उपयोग किया जाता है")</f>
        <v>a) शक्ति का प्रतीक है, b) बचपन की यादों का प्रतिनिधित्व करता है, c) त्योहारों से जुड़ा है, d) अनुष्ठानों में उपयोग किया जाता है</v>
      </c>
      <c r="K22" s="8" t="str">
        <f>IFERROR(__xludf.DUMMYFUNCTION("GOOGLETRANSLATE(E22, ""en"", ""hi"")"),"b) बचपन की यादों का प्रतिनिधित्व करता है")</f>
        <v>b) बचपन की यादों का प्रतिनिधित्व करता है</v>
      </c>
    </row>
    <row r="23" ht="22.5" customHeight="1">
      <c r="A23" s="2">
        <v>22.0</v>
      </c>
      <c r="B23" s="3" t="s">
        <v>2019</v>
      </c>
      <c r="C23" s="3" t="s">
        <v>2023</v>
      </c>
      <c r="D23" s="3" t="s">
        <v>2024</v>
      </c>
      <c r="E23" s="3" t="s">
        <v>2025</v>
      </c>
      <c r="G23" s="8" t="str">
        <f>IFERROR(__xludf.DUMMYFUNCTION("GOOGLETRANSLATE(A23, ""en"", ""hi"")"),"22")</f>
        <v>22</v>
      </c>
      <c r="H23" s="8" t="str">
        <f>IFERROR(__xludf.DUMMYFUNCTION("GOOGLETRANSLATE(B23, ""en"", ""hi"")"),"पम्बरम_6")</f>
        <v>पम्बरम_6</v>
      </c>
      <c r="I23" s="8" t="str">
        <f>IFERROR(__xludf.DUMMYFUNCTION("GOOGLETRANSLATE(C23, ""en"", ""hi"")"),"चित्र में दिखाए गए खेल में से, निम्नलिखित में से कौन सा खेल का रूपांतर नहीं है?")</f>
        <v>चित्र में दिखाए गए खेल में से, निम्नलिखित में से कौन सा खेल का रूपांतर नहीं है?</v>
      </c>
      <c r="J23" s="8" t="str">
        <f>IFERROR(__xludf.DUMMYFUNCTION("GOOGLETRANSLATE(D23, ""en"", ""hi"")"),"क) टीम आधारित प्रतियोगिता, ख) दूरी के लिए स्पिन, ग) शोर के लिए स्पिन, घ) गति के लिए स्पिन")</f>
        <v>क) टीम आधारित प्रतियोगिता, ख) दूरी के लिए स्पिन, ग) शोर के लिए स्पिन, घ) गति के लिए स्पिन</v>
      </c>
      <c r="K23" s="8" t="str">
        <f>IFERROR(__xludf.DUMMYFUNCTION("GOOGLETRANSLATE(E23, ""en"", ""hi"")"),"c) शोर के लिए स्पिन")</f>
        <v>c) शोर के लिए स्पिन</v>
      </c>
    </row>
    <row r="24" ht="22.5" customHeight="1">
      <c r="A24" s="2">
        <v>23.0</v>
      </c>
      <c r="B24" s="3" t="s">
        <v>2019</v>
      </c>
      <c r="C24" s="3" t="s">
        <v>2026</v>
      </c>
      <c r="D24" s="3" t="s">
        <v>2027</v>
      </c>
      <c r="E24" s="3" t="s">
        <v>2028</v>
      </c>
      <c r="G24" s="8" t="str">
        <f>IFERROR(__xludf.DUMMYFUNCTION("GOOGLETRANSLATE(A24, ""en"", ""hi"")"),"23")</f>
        <v>23</v>
      </c>
      <c r="H24" s="8" t="str">
        <f>IFERROR(__xludf.DUMMYFUNCTION("GOOGLETRANSLATE(B24, ""en"", ""hi"")"),"पम्बरम_6")</f>
        <v>पम्बरम_6</v>
      </c>
      <c r="I24" s="8" t="str">
        <f>IFERROR(__xludf.DUMMYFUNCTION("GOOGLETRANSLATE(C24, ""en"", ""hi"")"),"छवि में दिखाए गए खेल से, शीर्ष आमतौर पर कैसे लॉन्च किया जाता है?")</f>
        <v>छवि में दिखाए गए खेल से, शीर्ष आमतौर पर कैसे लॉन्च किया जाता है?</v>
      </c>
      <c r="J24" s="8" t="str">
        <f>IFERROR(__xludf.DUMMYFUNCTION("GOOGLETRANSLATE(D24, ""en"", ""hi"")"),"a) क्षैतिज, b) ऊर्ध्वाधर, c) तिरछे, d) पार्श्व")</f>
        <v>a) क्षैतिज, b) ऊर्ध्वाधर, c) तिरछे, d) पार्श्व</v>
      </c>
      <c r="K24" s="8" t="str">
        <f>IFERROR(__xludf.DUMMYFUNCTION("GOOGLETRANSLATE(E24, ""en"", ""hi"")"),"ख) लंबवत")</f>
        <v>ख) लंबवत</v>
      </c>
    </row>
    <row r="25" ht="22.5" customHeight="1">
      <c r="A25" s="2">
        <v>24.0</v>
      </c>
      <c r="B25" s="3" t="s">
        <v>2019</v>
      </c>
      <c r="C25" s="3" t="s">
        <v>2029</v>
      </c>
      <c r="D25" s="3" t="s">
        <v>2030</v>
      </c>
      <c r="E25" s="3" t="s">
        <v>2031</v>
      </c>
      <c r="G25" s="8" t="str">
        <f>IFERROR(__xludf.DUMMYFUNCTION("GOOGLETRANSLATE(A25, ""en"", ""hi"")"),"24")</f>
        <v>24</v>
      </c>
      <c r="H25" s="8" t="str">
        <f>IFERROR(__xludf.DUMMYFUNCTION("GOOGLETRANSLATE(B25, ""en"", ""hi"")"),"पम्बरम_6")</f>
        <v>पम्बरम_6</v>
      </c>
      <c r="I25" s="8" t="str">
        <f>IFERROR(__xludf.DUMMYFUNCTION("GOOGLETRANSLATE(C25, ""en"", ""hi"")"),"चित्र में दिखाए गए खेल से, कौन सा कारक शीर्ष को डगमगाने और स्पिन खोने का कारण बन सकता है?")</f>
        <v>चित्र में दिखाए गए खेल से, कौन सा कारक शीर्ष को डगमगाने और स्पिन खोने का कारण बन सकता है?</v>
      </c>
      <c r="J25" s="8" t="str">
        <f>IFERROR(__xludf.DUMMYFUNCTION("GOOGLETRANSLATE(D25, ""en"", ""hi"")"),"a) असमान सतह, b) गलत स्ट्रिंग लंबाई, c) गलत भार वितरण, d) अत्यधिक गति")</f>
        <v>a) असमान सतह, b) गलत स्ट्रिंग लंबाई, c) गलत भार वितरण, d) अत्यधिक गति</v>
      </c>
      <c r="K25" s="8" t="str">
        <f>IFERROR(__xludf.DUMMYFUNCTION("GOOGLETRANSLATE(E25, ""en"", ""hi"")"),"ग) गलत वजन वितरण")</f>
        <v>ग) गलत वजन वितरण</v>
      </c>
    </row>
    <row r="26" ht="22.5" customHeight="1">
      <c r="A26" s="2">
        <v>25.0</v>
      </c>
      <c r="B26" s="3" t="s">
        <v>2032</v>
      </c>
      <c r="C26" s="3" t="s">
        <v>2033</v>
      </c>
      <c r="D26" s="3" t="s">
        <v>2034</v>
      </c>
      <c r="E26" s="3" t="s">
        <v>2035</v>
      </c>
      <c r="G26" s="8" t="str">
        <f>IFERROR(__xludf.DUMMYFUNCTION("GOOGLETRANSLATE(A26, ""en"", ""hi"")"),"25")</f>
        <v>25</v>
      </c>
      <c r="H26" s="8" t="str">
        <f>IFERROR(__xludf.DUMMYFUNCTION("GOOGLETRANSLATE(B26, ""en"", ""hi"")"),"पम्बरम_7")</f>
        <v>पम्बरम_7</v>
      </c>
      <c r="I26" s="8" t="str">
        <f>IFERROR(__xludf.DUMMYFUNCTION("GOOGLETRANSLATE(C26, ""en"", ""hi"")"),"चित्र में दिखाए गए खेल से, पेशेवर टॉप की एक सामान्य विशेषता क्या है?")</f>
        <v>चित्र में दिखाए गए खेल से, पेशेवर टॉप की एक सामान्य विशेषता क्या है?</v>
      </c>
      <c r="J26" s="8" t="str">
        <f>IFERROR(__xludf.DUMMYFUNCTION("GOOGLETRANSLATE(D26, ""en"", ""hi"")"),"a) लंबे टिप्स, b) भारी वजन, c) सुव्यवस्थित डिज़ाइन, d) जीवंत रंग")</f>
        <v>a) लंबे टिप्स, b) भारी वजन, c) सुव्यवस्थित डिज़ाइन, d) जीवंत रंग</v>
      </c>
      <c r="K26" s="8" t="str">
        <f>IFERROR(__xludf.DUMMYFUNCTION("GOOGLETRANSLATE(E26, ""en"", ""hi"")"),"c) सुव्यवस्थित डिजाइन")</f>
        <v>c) सुव्यवस्थित डिजाइन</v>
      </c>
    </row>
    <row r="27" ht="22.5" customHeight="1">
      <c r="A27" s="2">
        <v>26.0</v>
      </c>
      <c r="B27" s="3" t="s">
        <v>2032</v>
      </c>
      <c r="C27" s="3" t="s">
        <v>2036</v>
      </c>
      <c r="D27" s="3" t="s">
        <v>2037</v>
      </c>
      <c r="E27" s="3" t="s">
        <v>2038</v>
      </c>
      <c r="G27" s="8" t="str">
        <f>IFERROR(__xludf.DUMMYFUNCTION("GOOGLETRANSLATE(A27, ""en"", ""hi"")"),"26")</f>
        <v>26</v>
      </c>
      <c r="H27" s="8" t="str">
        <f>IFERROR(__xludf.DUMMYFUNCTION("GOOGLETRANSLATE(B27, ""en"", ""hi"")"),"पम्बरम_7")</f>
        <v>पम्बरम_7</v>
      </c>
      <c r="I27" s="8" t="str">
        <f>IFERROR(__xludf.DUMMYFUNCTION("GOOGLETRANSLATE(C27, ""en"", ""hi"")"),"चित्र में दिखाए गए खेल से, टूटी हुई डोरी का उपयोग करने का क्या परिणाम होता है?")</f>
        <v>चित्र में दिखाए गए खेल से, टूटी हुई डोरी का उपयोग करने का क्या परिणाम होता है?</v>
      </c>
      <c r="J27" s="8" t="str">
        <f>IFERROR(__xludf.DUMMYFUNCTION("GOOGLETRANSLATE(D27, ""en"", ""hi"")"),"a) कम स्पिन समय, b) बढ़ी हुई शीर्ष गति, c) बेहतर नियंत्रण, d) अधिक शोर")</f>
        <v>a) कम स्पिन समय, b) बढ़ी हुई शीर्ष गति, c) बेहतर नियंत्रण, d) अधिक शोर</v>
      </c>
      <c r="K27" s="8" t="str">
        <f>IFERROR(__xludf.DUMMYFUNCTION("GOOGLETRANSLATE(E27, ""en"", ""hi"")"),"a) कम स्पिन समय")</f>
        <v>a) कम स्पिन समय</v>
      </c>
    </row>
    <row r="28" ht="22.5" customHeight="1">
      <c r="A28" s="2">
        <v>27.0</v>
      </c>
      <c r="B28" s="3" t="s">
        <v>2032</v>
      </c>
      <c r="C28" s="3" t="s">
        <v>2039</v>
      </c>
      <c r="D28" s="3" t="s">
        <v>2040</v>
      </c>
      <c r="E28" s="3" t="s">
        <v>2041</v>
      </c>
      <c r="G28" s="8" t="str">
        <f>IFERROR(__xludf.DUMMYFUNCTION("GOOGLETRANSLATE(A28, ""en"", ""hi"")"),"27")</f>
        <v>27</v>
      </c>
      <c r="H28" s="8" t="str">
        <f>IFERROR(__xludf.DUMMYFUNCTION("GOOGLETRANSLATE(B28, ""en"", ""hi"")"),"पम्बरम_7")</f>
        <v>पम्बरम_7</v>
      </c>
      <c r="I28" s="8" t="str">
        <f>IFERROR(__xludf.DUMMYFUNCTION("GOOGLETRANSLATE(C28, ""en"", ""hi"")"),"चित्र में दिखाए गए खेल के आधार पर, किसी करीबी प्रतियोगिता में अक्सर निर्णायक कारक क्या होता है?")</f>
        <v>चित्र में दिखाए गए खेल के आधार पर, किसी करीबी प्रतियोगिता में अक्सर निर्णायक कारक क्या होता है?</v>
      </c>
      <c r="J28" s="8" t="str">
        <f>IFERROR(__xludf.DUMMYFUNCTION("GOOGLETRANSLATE(D28, ""en"", ""hi"")"),"a) शीर्ष डिज़ाइन, b) स्पिन गति, c) स्पिन अवधि, d) सतह का प्रकार")</f>
        <v>a) शीर्ष डिज़ाइन, b) स्पिन गति, c) स्पिन अवधि, d) सतह का प्रकार</v>
      </c>
      <c r="K28" s="8" t="str">
        <f>IFERROR(__xludf.DUMMYFUNCTION("GOOGLETRANSLATE(E28, ""en"", ""hi"")"),"c) स्पिन अवधि")</f>
        <v>c) स्पिन अवधि</v>
      </c>
    </row>
    <row r="29" ht="22.5" customHeight="1">
      <c r="A29" s="2">
        <v>28.0</v>
      </c>
      <c r="B29" s="3" t="s">
        <v>2032</v>
      </c>
      <c r="C29" s="3" t="s">
        <v>2042</v>
      </c>
      <c r="D29" s="3" t="s">
        <v>2043</v>
      </c>
      <c r="E29" s="3" t="s">
        <v>2044</v>
      </c>
      <c r="G29" s="8" t="str">
        <f>IFERROR(__xludf.DUMMYFUNCTION("GOOGLETRANSLATE(A29, ""en"", ""hi"")"),"28")</f>
        <v>28</v>
      </c>
      <c r="H29" s="8" t="str">
        <f>IFERROR(__xludf.DUMMYFUNCTION("GOOGLETRANSLATE(B29, ""en"", ""hi"")"),"पम्बरम_7")</f>
        <v>पम्बरम_7</v>
      </c>
      <c r="I29" s="8" t="str">
        <f>IFERROR(__xludf.DUMMYFUNCTION("GOOGLETRANSLATE(C29, ""en"", ""hi"")"),"चित्र में दिखाए गए खेल से, खिलाड़ी अपने टॉप की स्पिन अवधि कैसे बढ़ा सकते हैं?")</f>
        <v>चित्र में दिखाए गए खेल से, खिलाड़ी अपने टॉप की स्पिन अवधि कैसे बढ़ा सकते हैं?</v>
      </c>
      <c r="J29" s="8" t="str">
        <f>IFERROR(__xludf.DUMMYFUNCTION("GOOGLETRANSLATE(D29, ""en"", ""hi"")"),"a) पतली डोरी का उपयोग करके, b) शीर्ष का भार कम करके, c) नोक के आकार को अनुकूलित करके, d) घास पर घुमाकर")</f>
        <v>a) पतली डोरी का उपयोग करके, b) शीर्ष का भार कम करके, c) नोक के आकार को अनुकूलित करके, d) घास पर घुमाकर</v>
      </c>
      <c r="K29" s="8" t="str">
        <f>IFERROR(__xludf.DUMMYFUNCTION("GOOGLETRANSLATE(E29, ""en"", ""hi"")"),"c) टिप के आकार को अनुकूलित करके")</f>
        <v>c) टिप के आकार को अनुकूलित करके</v>
      </c>
    </row>
    <row r="30" ht="22.5" customHeight="1">
      <c r="A30" s="2">
        <v>29.0</v>
      </c>
      <c r="B30" s="3" t="s">
        <v>2045</v>
      </c>
      <c r="C30" s="3" t="s">
        <v>2046</v>
      </c>
      <c r="D30" s="3" t="s">
        <v>2047</v>
      </c>
      <c r="E30" s="3" t="s">
        <v>2048</v>
      </c>
      <c r="G30" s="8" t="str">
        <f>IFERROR(__xludf.DUMMYFUNCTION("GOOGLETRANSLATE(A30, ""en"", ""hi"")"),"29")</f>
        <v>29</v>
      </c>
      <c r="H30" s="8" t="str">
        <f>IFERROR(__xludf.DUMMYFUNCTION("GOOGLETRANSLATE(B30, ""en"", ""hi"")"),"पम्बरम_8")</f>
        <v>पम्बरम_8</v>
      </c>
      <c r="I30" s="8" t="str">
        <f>IFERROR(__xludf.DUMMYFUNCTION("GOOGLETRANSLATE(C30, ""en"", ""hi"")"),"छवि में दिखाए गए खेल में से, इनमें से कौन सा उन्नत प्रदर्शन के लिए एक लोकप्रिय संशोधन है?")</f>
        <v>छवि में दिखाए गए खेल में से, इनमें से कौन सा उन्नत प्रदर्शन के लिए एक लोकप्रिय संशोधन है?</v>
      </c>
      <c r="J30" s="8" t="str">
        <f>IFERROR(__xludf.DUMMYFUNCTION("GOOGLETRANSLATE(D30, ""en"", ""hi"")"),"क) ऊपरी सतह पर भार डालना, ख) रस्सी को छोटा करना, ग) लकड़ी की नोक का उपयोग करना, घ) सतह को घिसना")</f>
        <v>क) ऊपरी सतह पर भार डालना, ख) रस्सी को छोटा करना, ग) लकड़ी की नोक का उपयोग करना, घ) सतह को घिसना</v>
      </c>
      <c r="K30" s="8" t="str">
        <f>IFERROR(__xludf.DUMMYFUNCTION("GOOGLETRANSLATE(E30, ""en"", ""hi"")"),"a) शीर्ष पर भार जोड़ना")</f>
        <v>a) शीर्ष पर भार जोड़ना</v>
      </c>
    </row>
    <row r="31" ht="22.5" customHeight="1">
      <c r="A31" s="2">
        <v>30.0</v>
      </c>
      <c r="B31" s="3" t="s">
        <v>2045</v>
      </c>
      <c r="C31" s="3" t="s">
        <v>2049</v>
      </c>
      <c r="D31" s="3" t="s">
        <v>2050</v>
      </c>
      <c r="E31" s="3" t="s">
        <v>2051</v>
      </c>
      <c r="G31" s="8" t="str">
        <f>IFERROR(__xludf.DUMMYFUNCTION("GOOGLETRANSLATE(A31, ""en"", ""hi"")"),"30")</f>
        <v>30</v>
      </c>
      <c r="H31" s="8" t="str">
        <f>IFERROR(__xludf.DUMMYFUNCTION("GOOGLETRANSLATE(B31, ""en"", ""hi"")"),"पम्बरम_8")</f>
        <v>पम्बरम_8</v>
      </c>
      <c r="I31" s="8" t="str">
        <f>IFERROR(__xludf.DUMMYFUNCTION("GOOGLETRANSLATE(C31, ""en"", ""hi"")"),"चित्र में दिखाए गए खेल से, स्ट्रिंग की लंबाई का क्या महत्व है?")</f>
        <v>चित्र में दिखाए गए खेल से, स्ट्रिंग की लंबाई का क्या महत्व है?</v>
      </c>
      <c r="J31" s="8" t="str">
        <f>IFERROR(__xludf.DUMMYFUNCTION("GOOGLETRANSLATE(D31, ""en"", ""hi"")"),"a) टॉप के वजन को प्रभावित करता है, b) स्पिन की दिशा निर्धारित करता है, c) स्पिन की गति को प्रभावित करता है, d) टॉप का रंग बदलता है")</f>
        <v>a) टॉप के वजन को प्रभावित करता है, b) स्पिन की दिशा निर्धारित करता है, c) स्पिन की गति को प्रभावित करता है, d) टॉप का रंग बदलता है</v>
      </c>
      <c r="K31" s="8" t="str">
        <f>IFERROR(__xludf.DUMMYFUNCTION("GOOGLETRANSLATE(E31, ""en"", ""hi"")"),"c) स्पिन गति को प्रभावित करता है")</f>
        <v>c) स्पिन गति को प्रभावित करता है</v>
      </c>
    </row>
    <row r="32" ht="22.5" customHeight="1">
      <c r="A32" s="2">
        <v>31.0</v>
      </c>
      <c r="B32" s="3" t="s">
        <v>2045</v>
      </c>
      <c r="C32" s="3" t="s">
        <v>2052</v>
      </c>
      <c r="D32" s="3" t="s">
        <v>2053</v>
      </c>
      <c r="E32" s="3" t="s">
        <v>2054</v>
      </c>
      <c r="G32" s="8" t="str">
        <f>IFERROR(__xludf.DUMMYFUNCTION("GOOGLETRANSLATE(A32, ""en"", ""hi"")"),"31")</f>
        <v>31</v>
      </c>
      <c r="H32" s="8" t="str">
        <f>IFERROR(__xludf.DUMMYFUNCTION("GOOGLETRANSLATE(B32, ""en"", ""hi"")"),"पम्बरम_8")</f>
        <v>पम्बरम_8</v>
      </c>
      <c r="I32" s="8" t="str">
        <f>IFERROR(__xludf.DUMMYFUNCTION("GOOGLETRANSLATE(C32, ""en"", ""hi"")"),"चित्र में दिखाए गए खेल से, शीर्ष के पहनने और आंसू को कम करने का एक तरीका क्या है?")</f>
        <v>चित्र में दिखाए गए खेल से, शीर्ष के पहनने और आंसू को कम करने का एक तरीका क्या है?</v>
      </c>
      <c r="J32" s="8" t="str">
        <f>IFERROR(__xludf.DUMMYFUNCTION("GOOGLETRANSLATE(D32, ""en"", ""hi"")"),"क) खुरदरी सतहों से बचें, ख) मोटे धागे का प्रयोग करें, ग) इसे धीरे घुमाएं, घ) ठंडी जगह पर रखें")</f>
        <v>क) खुरदरी सतहों से बचें, ख) मोटे धागे का प्रयोग करें, ग) इसे धीरे घुमाएं, घ) ठंडी जगह पर रखें</v>
      </c>
      <c r="K32" s="8" t="str">
        <f>IFERROR(__xludf.DUMMYFUNCTION("GOOGLETRANSLATE(E32, ""en"", ""hi"")"),"क) खुरदरी सतहों से बचें")</f>
        <v>क) खुरदरी सतहों से बचें</v>
      </c>
    </row>
    <row r="33" ht="22.5" customHeight="1">
      <c r="A33" s="2">
        <v>32.0</v>
      </c>
      <c r="B33" s="3" t="s">
        <v>2045</v>
      </c>
      <c r="C33" s="3" t="s">
        <v>2055</v>
      </c>
      <c r="D33" s="3" t="s">
        <v>2056</v>
      </c>
      <c r="E33" s="3" t="s">
        <v>2057</v>
      </c>
      <c r="G33" s="8" t="str">
        <f>IFERROR(__xludf.DUMMYFUNCTION("GOOGLETRANSLATE(A33, ""en"", ""hi"")"),"32")</f>
        <v>32</v>
      </c>
      <c r="H33" s="8" t="str">
        <f>IFERROR(__xludf.DUMMYFUNCTION("GOOGLETRANSLATE(B33, ""en"", ""hi"")"),"पम्बरम_8")</f>
        <v>पम्बरम_8</v>
      </c>
      <c r="I33" s="8" t="str">
        <f>IFERROR(__xludf.DUMMYFUNCTION("GOOGLETRANSLATE(C33, ""en"", ""hi"")"),"चित्र में दिखाए गए खेल से, निम्नलिखित में से कौन सा एक आदर्श स्पिन प्राप्त करने में कारक नहीं है?")</f>
        <v>चित्र में दिखाए गए खेल से, निम्नलिखित में से कौन सा एक आदर्श स्पिन प्राप्त करने में कारक नहीं है?</v>
      </c>
      <c r="J33" s="8" t="str">
        <f>IFERROR(__xludf.DUMMYFUNCTION("GOOGLETRANSLATE(D33, ""en"", ""hi"")"),"a) लट्टू का संतुलन, b) डोरी का तनाव, c) फेंकने का कोण, d) खिलाड़ी की ऊँचाई")</f>
        <v>a) लट्टू का संतुलन, b) डोरी का तनाव, c) फेंकने का कोण, d) खिलाड़ी की ऊँचाई</v>
      </c>
      <c r="K33" s="8" t="str">
        <f>IFERROR(__xludf.DUMMYFUNCTION("GOOGLETRANSLATE(E33, ""en"", ""hi"")"),"d) खिलाड़ी की ऊंचाई")</f>
        <v>d) खिलाड़ी की ऊंचाई</v>
      </c>
    </row>
    <row r="34" ht="22.5" customHeight="1">
      <c r="A34" s="2">
        <v>33.0</v>
      </c>
      <c r="B34" s="3" t="s">
        <v>2058</v>
      </c>
      <c r="C34" s="3" t="s">
        <v>2059</v>
      </c>
      <c r="D34" s="3" t="s">
        <v>2060</v>
      </c>
      <c r="E34" s="3" t="s">
        <v>2061</v>
      </c>
      <c r="G34" s="8" t="str">
        <f>IFERROR(__xludf.DUMMYFUNCTION("GOOGLETRANSLATE(A34, ""en"", ""hi"")"),"33")</f>
        <v>33</v>
      </c>
      <c r="H34" s="8" t="str">
        <f>IFERROR(__xludf.DUMMYFUNCTION("GOOGLETRANSLATE(B34, ""en"", ""hi"")"),"पम्बरम_9")</f>
        <v>पम्बरम_9</v>
      </c>
      <c r="I34" s="8" t="str">
        <f>IFERROR(__xludf.DUMMYFUNCTION("GOOGLETRANSLATE(C34, ""en"", ""hi"")"),"चित्र में दिखाए गए खेल से, भारी टॉप का क्या प्रभाव है?")</f>
        <v>चित्र में दिखाए गए खेल से, भारी टॉप का क्या प्रभाव है?</v>
      </c>
      <c r="J34" s="8" t="str">
        <f>IFERROR(__xludf.DUMMYFUNCTION("GOOGLETRANSLATE(D34, ""en"", ""hi"")"),"a) धीमी गति से घूमता है, b) अधिक समय तक घूमता है, c) नियंत्रित करना आसान है, d) अधिक शोर करता है")</f>
        <v>a) धीमी गति से घूमता है, b) अधिक समय तक घूमता है, c) नियंत्रित करना आसान है, d) अधिक शोर करता है</v>
      </c>
      <c r="K34" s="8" t="str">
        <f>IFERROR(__xludf.DUMMYFUNCTION("GOOGLETRANSLATE(E34, ""en"", ""hi"")"),"b) अधिक समय तक घूमता है")</f>
        <v>b) अधिक समय तक घूमता है</v>
      </c>
    </row>
    <row r="35" ht="22.5" customHeight="1">
      <c r="A35" s="2">
        <v>34.0</v>
      </c>
      <c r="B35" s="3" t="s">
        <v>2058</v>
      </c>
      <c r="C35" s="3" t="s">
        <v>2062</v>
      </c>
      <c r="D35" s="3" t="s">
        <v>2063</v>
      </c>
      <c r="E35" s="3" t="s">
        <v>2064</v>
      </c>
      <c r="G35" s="8" t="str">
        <f>IFERROR(__xludf.DUMMYFUNCTION("GOOGLETRANSLATE(A35, ""en"", ""hi"")"),"34")</f>
        <v>34</v>
      </c>
      <c r="H35" s="8" t="str">
        <f>IFERROR(__xludf.DUMMYFUNCTION("GOOGLETRANSLATE(B35, ""en"", ""hi"")"),"पम्बरम_9")</f>
        <v>पम्बरम_9</v>
      </c>
      <c r="I35" s="8" t="str">
        <f>IFERROR(__xludf.DUMMYFUNCTION("GOOGLETRANSLATE(C35, ""en"", ""hi"")"),"चित्र में दिखाए गए खेल में नॉकआउट राउंड जीतने के लिए किस रणनीति का उपयोग किया जाता है?")</f>
        <v>चित्र में दिखाए गए खेल में नॉकआउट राउंड जीतने के लिए किस रणनीति का उपयोग किया जाता है?</v>
      </c>
      <c r="J35" s="8" t="str">
        <f>IFERROR(__xludf.DUMMYFUNCTION("GOOGLETRANSLATE(D35, ""en"", ""hi"")"),"a) सबसे लंबे समय तक घूमना, b) प्रतिद्वंद्वी के शीर्ष को मारना, c) सबसे तेज़ घूमना, d) अन्य शीर्षों से बचना")</f>
        <v>a) सबसे लंबे समय तक घूमना, b) प्रतिद्वंद्वी के शीर्ष को मारना, c) सबसे तेज़ घूमना, d) अन्य शीर्षों से बचना</v>
      </c>
      <c r="K35" s="8" t="str">
        <f>IFERROR(__xludf.DUMMYFUNCTION("GOOGLETRANSLATE(E35, ""en"", ""hi"")"),"ख) प्रतिद्वंद्वी के शीर्ष पर प्रहार करना")</f>
        <v>ख) प्रतिद्वंद्वी के शीर्ष पर प्रहार करना</v>
      </c>
    </row>
    <row r="36" ht="22.5" customHeight="1">
      <c r="A36" s="2">
        <v>35.0</v>
      </c>
      <c r="B36" s="3" t="s">
        <v>2058</v>
      </c>
      <c r="C36" s="3" t="s">
        <v>2065</v>
      </c>
      <c r="D36" s="3" t="s">
        <v>2066</v>
      </c>
      <c r="E36" s="3" t="s">
        <v>2067</v>
      </c>
      <c r="G36" s="8" t="str">
        <f>IFERROR(__xludf.DUMMYFUNCTION("GOOGLETRANSLATE(A36, ""en"", ""hi"")"),"35")</f>
        <v>35</v>
      </c>
      <c r="H36" s="8" t="str">
        <f>IFERROR(__xludf.DUMMYFUNCTION("GOOGLETRANSLATE(B36, ""en"", ""hi"")"),"पम्बरम_9")</f>
        <v>पम्बरम_9</v>
      </c>
      <c r="I36" s="8" t="str">
        <f>IFERROR(__xludf.DUMMYFUNCTION("GOOGLETRANSLATE(C36, ""en"", ""hi"")"),"चित्र में दिखाए गए खेल में से किस प्रकार का तार सबसे अच्छा स्पिन प्रदान करता है?")</f>
        <v>चित्र में दिखाए गए खेल में से किस प्रकार का तार सबसे अच्छा स्पिन प्रदान करता है?</v>
      </c>
      <c r="J36" s="8" t="str">
        <f>IFERROR(__xludf.DUMMYFUNCTION("GOOGLETRANSLATE(D36, ""en"", ""hi"")"),"क) मोटा और छोटा, ख) पतला और लंबा, ग) मध्यम और लचीला, घ) खुरदुरा और मजबूत")</f>
        <v>क) मोटा और छोटा, ख) पतला और लंबा, ग) मध्यम और लचीला, घ) खुरदुरा और मजबूत</v>
      </c>
      <c r="K36" s="8" t="str">
        <f>IFERROR(__xludf.DUMMYFUNCTION("GOOGLETRANSLATE(E36, ""en"", ""hi"")"),"ख) पतला और लंबा")</f>
        <v>ख) पतला और लंबा</v>
      </c>
    </row>
    <row r="37" ht="22.5" customHeight="1">
      <c r="A37" s="2">
        <v>36.0</v>
      </c>
      <c r="B37" s="3" t="s">
        <v>2058</v>
      </c>
      <c r="C37" s="3" t="s">
        <v>2068</v>
      </c>
      <c r="D37" s="3" t="s">
        <v>2069</v>
      </c>
      <c r="E37" s="3" t="s">
        <v>2070</v>
      </c>
      <c r="G37" s="8" t="str">
        <f>IFERROR(__xludf.DUMMYFUNCTION("GOOGLETRANSLATE(A37, ""en"", ""hi"")"),"36")</f>
        <v>36</v>
      </c>
      <c r="H37" s="8" t="str">
        <f>IFERROR(__xludf.DUMMYFUNCTION("GOOGLETRANSLATE(B37, ""en"", ""hi"")"),"पम्बरम_9")</f>
        <v>पम्बरम_9</v>
      </c>
      <c r="I37" s="8" t="str">
        <f>IFERROR(__xludf.DUMMYFUNCTION("GOOGLETRANSLATE(C37, ""en"", ""hi"")"),"चित्र में दिखाए गए खेल में निपुणता प्राप्त करने की कुंजी क्या है?")</f>
        <v>चित्र में दिखाए गए खेल में निपुणता प्राप्त करने की कुंजी क्या है?</v>
      </c>
      <c r="J37" s="8" t="str">
        <f>IFERROR(__xludf.DUMMYFUNCTION("GOOGLETRANSLATE(D37, ""en"", ""hi"")"),"क) कच्ची ताकत, ख) लगातार अभ्यास, ग) महंगे उपकरण, घ) सही सतह पर खेलना")</f>
        <v>क) कच्ची ताकत, ख) लगातार अभ्यास, ग) महंगे उपकरण, घ) सही सतह पर खेलना</v>
      </c>
      <c r="K37" s="8" t="str">
        <f>IFERROR(__xludf.DUMMYFUNCTION("GOOGLETRANSLATE(E37, ""en"", ""hi"")"),"ख) लगातार अभ्यास")</f>
        <v>ख) लगातार अभ्यास</v>
      </c>
    </row>
    <row r="38" ht="22.5" customHeight="1">
      <c r="A38" s="2">
        <v>37.0</v>
      </c>
      <c r="B38" s="3" t="s">
        <v>2071</v>
      </c>
      <c r="C38" s="3" t="s">
        <v>2072</v>
      </c>
      <c r="D38" s="3" t="s">
        <v>2073</v>
      </c>
      <c r="E38" s="3" t="s">
        <v>2074</v>
      </c>
      <c r="G38" s="8" t="str">
        <f>IFERROR(__xludf.DUMMYFUNCTION("GOOGLETRANSLATE(A38, ""en"", ""hi"")"),"37")</f>
        <v>37</v>
      </c>
      <c r="H38" s="8" t="str">
        <f>IFERROR(__xludf.DUMMYFUNCTION("GOOGLETRANSLATE(B38, ""en"", ""hi"")"),"पम्बरम_10")</f>
        <v>पम्बरम_10</v>
      </c>
      <c r="I38" s="8" t="str">
        <f>IFERROR(__xludf.DUMMYFUNCTION("GOOGLETRANSLATE(C38, ""en"", ""hi"")"),"चित्र में दिखाए गए खेल में, शुरुआती लोगों द्वारा की जाने वाली सामान्य गलती कौन सी है?")</f>
        <v>चित्र में दिखाए गए खेल में, शुरुआती लोगों द्वारा की जाने वाली सामान्य गलती कौन सी है?</v>
      </c>
      <c r="J38" s="8" t="str">
        <f>IFERROR(__xludf.DUMMYFUNCTION("GOOGLETRANSLATE(D38, ""en"", ""hi"")"),"क) बहुत अधिक तार का उपयोग करना, ख) पर्याप्त जोर से नहीं खींचना, ग) ऊपरी भाग को गलत तरीके से पकड़ना, घ) असमान सतह पर घूमना")</f>
        <v>क) बहुत अधिक तार का उपयोग करना, ख) पर्याप्त जोर से नहीं खींचना, ग) ऊपरी भाग को गलत तरीके से पकड़ना, घ) असमान सतह पर घूमना</v>
      </c>
      <c r="K38" s="8" t="str">
        <f>IFERROR(__xludf.DUMMYFUNCTION("GOOGLETRANSLATE(E38, ""en"", ""hi"")"),"c) ऊपरी भाग को गलत तरीके से पकड़ना")</f>
        <v>c) ऊपरी भाग को गलत तरीके से पकड़ना</v>
      </c>
    </row>
    <row r="39" ht="22.5" customHeight="1">
      <c r="A39" s="2">
        <v>38.0</v>
      </c>
      <c r="B39" s="3" t="s">
        <v>2071</v>
      </c>
      <c r="C39" s="3" t="s">
        <v>2075</v>
      </c>
      <c r="D39" s="3" t="s">
        <v>2076</v>
      </c>
      <c r="E39" s="3" t="s">
        <v>2077</v>
      </c>
      <c r="G39" s="8" t="str">
        <f>IFERROR(__xludf.DUMMYFUNCTION("GOOGLETRANSLATE(A39, ""en"", ""hi"")"),"38")</f>
        <v>38</v>
      </c>
      <c r="H39" s="8" t="str">
        <f>IFERROR(__xludf.DUMMYFUNCTION("GOOGLETRANSLATE(B39, ""en"", ""hi"")"),"पम्बरम_10")</f>
        <v>पम्बरम_10</v>
      </c>
      <c r="I39" s="8" t="str">
        <f>IFERROR(__xludf.DUMMYFUNCTION("GOOGLETRANSLATE(C39, ""en"", ""hi"")"),"चित्र में दिखाए गए खेल से, लट्टू को घुमाने के लिए प्रयुक्त होने वाले धागे की पारंपरिक लंबाई क्या है?")</f>
        <v>चित्र में दिखाए गए खेल से, लट्टू को घुमाने के लिए प्रयुक्त होने वाले धागे की पारंपरिक लंबाई क्या है?</v>
      </c>
      <c r="J39" s="8" t="str">
        <f>IFERROR(__xludf.DUMMYFUNCTION("GOOGLETRANSLATE(D39, ""en"", ""hi"")"),"a) 30 सेमी, b) 60 सेमी, c) 90 सेमी, d) 120 सेमी")</f>
        <v>a) 30 सेमी, b) 60 सेमी, c) 90 सेमी, d) 120 सेमी</v>
      </c>
      <c r="K39" s="8" t="str">
        <f>IFERROR(__xludf.DUMMYFUNCTION("GOOGLETRANSLATE(E39, ""en"", ""hi"")"),"ख) 60 सेमी")</f>
        <v>ख) 60 सेमी</v>
      </c>
    </row>
    <row r="40" ht="22.5" customHeight="1">
      <c r="A40" s="2">
        <v>39.0</v>
      </c>
      <c r="B40" s="3" t="s">
        <v>2071</v>
      </c>
      <c r="C40" s="3" t="s">
        <v>2078</v>
      </c>
      <c r="D40" s="3" t="s">
        <v>2079</v>
      </c>
      <c r="E40" s="3" t="s">
        <v>2080</v>
      </c>
      <c r="G40" s="8" t="str">
        <f>IFERROR(__xludf.DUMMYFUNCTION("GOOGLETRANSLATE(A40, ""en"", ""hi"")"),"39")</f>
        <v>39</v>
      </c>
      <c r="H40" s="8" t="str">
        <f>IFERROR(__xludf.DUMMYFUNCTION("GOOGLETRANSLATE(B40, ""en"", ""hi"")"),"पम्बरम_10")</f>
        <v>पम्बरम_10</v>
      </c>
      <c r="I40" s="8" t="str">
        <f>IFERROR(__xludf.DUMMYFUNCTION("GOOGLETRANSLATE(C40, ""en"", ""hi"")"),"चित्र में दिखाए गए खेल से, खेल शुरू करने का सामान्य तरीका क्या है?")</f>
        <v>चित्र में दिखाए गए खेल से, खेल शुरू करने का सामान्य तरीका क्या है?</v>
      </c>
      <c r="J40" s="8" t="str">
        <f>IFERROR(__xludf.DUMMYFUNCTION("GOOGLETRANSLATE(D40, ""en"", ""hi"")"),"a) सभी खिलाड़ी एक साथ घूमते हैं, b) खिलाड़ी बारी-बारी से घूमते हैं, c) खिलाड़ी जोड़ियों में घूमते हैं, d) रेफरी पहले घूमता है")</f>
        <v>a) सभी खिलाड़ी एक साथ घूमते हैं, b) खिलाड़ी बारी-बारी से घूमते हैं, c) खिलाड़ी जोड़ियों में घूमते हैं, d) रेफरी पहले घूमता है</v>
      </c>
      <c r="K40" s="8" t="str">
        <f>IFERROR(__xludf.DUMMYFUNCTION("GOOGLETRANSLATE(E40, ""en"", ""hi"")"),"a) सभी खिलाड़ी एक साथ घूमते हैं")</f>
        <v>a) सभी खिलाड़ी एक साथ घूमते हैं</v>
      </c>
    </row>
    <row r="41" ht="22.5" customHeight="1">
      <c r="A41" s="2">
        <v>40.0</v>
      </c>
      <c r="B41" s="3" t="s">
        <v>2071</v>
      </c>
      <c r="C41" s="3" t="s">
        <v>2081</v>
      </c>
      <c r="D41" s="3" t="s">
        <v>2082</v>
      </c>
      <c r="E41" s="3" t="s">
        <v>2083</v>
      </c>
      <c r="G41" s="8" t="str">
        <f>IFERROR(__xludf.DUMMYFUNCTION("GOOGLETRANSLATE(A41, ""en"", ""hi"")"),"40")</f>
        <v>40</v>
      </c>
      <c r="H41" s="8" t="str">
        <f>IFERROR(__xludf.DUMMYFUNCTION("GOOGLETRANSLATE(B41, ""en"", ""hi"")"),"पम्बरम_10")</f>
        <v>पम्बरम_10</v>
      </c>
      <c r="I41" s="8" t="str">
        <f>IFERROR(__xludf.DUMMYFUNCTION("GOOGLETRANSLATE(C41, ""en"", ""hi"")"),"चित्र में दिखाए गए खेल से, टॉप के रंग का क्या महत्व है?")</f>
        <v>चित्र में दिखाए गए खेल से, टॉप के रंग का क्या महत्व है?</v>
      </c>
      <c r="J41" s="8" t="str">
        <f>IFERROR(__xludf.DUMMYFUNCTION("GOOGLETRANSLATE(D41, ""en"", ""hi"")"),"a) खिलाड़ी के स्वामित्व को दर्शाता है, b) कौशल स्तर दर्शाता है, c) स्पिन गति को प्रभावित करता है, d) केवल सौंदर्यबोध के लिए")</f>
        <v>a) खिलाड़ी के स्वामित्व को दर्शाता है, b) कौशल स्तर दर्शाता है, c) स्पिन गति को प्रभावित करता है, d) केवल सौंदर्यबोध के लिए</v>
      </c>
      <c r="K41" s="8" t="str">
        <f>IFERROR(__xludf.DUMMYFUNCTION("GOOGLETRANSLATE(E41, ""en"", ""hi"")"),"a) खिलाड़ी के स्वामित्व को दर्शाता है")</f>
        <v>a) खिलाड़ी के स्वामित्व को दर्शाता है</v>
      </c>
    </row>
    <row r="42" ht="22.5" customHeight="1">
      <c r="A42" s="2">
        <v>41.0</v>
      </c>
      <c r="B42" s="3" t="s">
        <v>2084</v>
      </c>
      <c r="C42" s="3" t="s">
        <v>2085</v>
      </c>
      <c r="D42" s="3" t="s">
        <v>2086</v>
      </c>
      <c r="E42" s="3" t="s">
        <v>2087</v>
      </c>
      <c r="G42" s="8" t="str">
        <f>IFERROR(__xludf.DUMMYFUNCTION("GOOGLETRANSLATE(A42, ""en"", ""hi"")"),"41")</f>
        <v>41</v>
      </c>
      <c r="H42" s="8" t="str">
        <f>IFERROR(__xludf.DUMMYFUNCTION("GOOGLETRANSLATE(B42, ""en"", ""hi"")"),"पम्बरम_11")</f>
        <v>पम्बरम_11</v>
      </c>
      <c r="I42" s="8" t="str">
        <f>IFERROR(__xludf.DUMMYFUNCTION("GOOGLETRANSLATE(C42, ""en"", ""hi"")"),"चित्र में दिखाए गए खेल से, खेल के दौरान खिलाड़ी के रुख का क्या प्रभाव पड़ता है?")</f>
        <v>चित्र में दिखाए गए खेल से, खेल के दौरान खिलाड़ी के रुख का क्या प्रभाव पड़ता है?</v>
      </c>
      <c r="J42" s="8" t="str">
        <f>IFERROR(__xludf.DUMMYFUNCTION("GOOGLETRANSLATE(D42, ""en"", ""hi"")"),"a) स्पिन गति, b) स्पिन दिशा, c) स्पिन अवधि, d) टॉप का संतुलन")</f>
        <v>a) स्पिन गति, b) स्पिन दिशा, c) स्पिन अवधि, d) टॉप का संतुलन</v>
      </c>
      <c r="K42" s="8" t="str">
        <f>IFERROR(__xludf.DUMMYFUNCTION("GOOGLETRANSLATE(E42, ""en"", ""hi"")"),"b) स्पिन दिशा")</f>
        <v>b) स्पिन दिशा</v>
      </c>
    </row>
    <row r="43" ht="22.5" customHeight="1">
      <c r="A43" s="2">
        <v>42.0</v>
      </c>
      <c r="B43" s="3" t="s">
        <v>2084</v>
      </c>
      <c r="C43" s="3" t="s">
        <v>2088</v>
      </c>
      <c r="D43" s="3" t="s">
        <v>2089</v>
      </c>
      <c r="E43" s="3" t="s">
        <v>2090</v>
      </c>
      <c r="G43" s="8" t="str">
        <f>IFERROR(__xludf.DUMMYFUNCTION("GOOGLETRANSLATE(A43, ""en"", ""hi"")"),"42")</f>
        <v>42</v>
      </c>
      <c r="H43" s="8" t="str">
        <f>IFERROR(__xludf.DUMMYFUNCTION("GOOGLETRANSLATE(B43, ""en"", ""hi"")"),"पम्बरम_11")</f>
        <v>पम्बरम_11</v>
      </c>
      <c r="I43" s="8" t="str">
        <f>IFERROR(__xludf.DUMMYFUNCTION("GOOGLETRANSLATE(C43, ""en"", ""hi"")"),"चित्र में दिखाए गए खेल से, खेल में गुरुत्वाकर्षण की क्या भूमिका है?")</f>
        <v>चित्र में दिखाए गए खेल से, खेल में गुरुत्वाकर्षण की क्या भूमिका है?</v>
      </c>
      <c r="J43" s="8" t="str">
        <f>IFERROR(__xludf.DUMMYFUNCTION("GOOGLETRANSLATE(D43, ""en"", ""hi"")"),"a) प्रारंभिक स्पिन में मदद करता है, b) स्पिन समय को कम करता है, c) शीर्ष गति को बढ़ाता है, d) शीर्ष को संतुलित करता है")</f>
        <v>a) प्रारंभिक स्पिन में मदद करता है, b) स्पिन समय को कम करता है, c) शीर्ष गति को बढ़ाता है, d) शीर्ष को संतुलित करता है</v>
      </c>
      <c r="K43" s="8" t="str">
        <f>IFERROR(__xludf.DUMMYFUNCTION("GOOGLETRANSLATE(E43, ""en"", ""hi"")"),"a) प्रारंभिक स्पिन में मदद करता है")</f>
        <v>a) प्रारंभिक स्पिन में मदद करता है</v>
      </c>
    </row>
    <row r="44" ht="22.5" customHeight="1">
      <c r="A44" s="2">
        <v>43.0</v>
      </c>
      <c r="B44" s="3" t="s">
        <v>2084</v>
      </c>
      <c r="C44" s="3" t="s">
        <v>2091</v>
      </c>
      <c r="D44" s="3" t="s">
        <v>2092</v>
      </c>
      <c r="E44" s="3" t="s">
        <v>2093</v>
      </c>
      <c r="G44" s="8" t="str">
        <f>IFERROR(__xludf.DUMMYFUNCTION("GOOGLETRANSLATE(A44, ""en"", ""hi"")"),"43")</f>
        <v>43</v>
      </c>
      <c r="H44" s="8" t="str">
        <f>IFERROR(__xludf.DUMMYFUNCTION("GOOGLETRANSLATE(B44, ""en"", ""hi"")"),"पम्बरम_11")</f>
        <v>पम्बरम_11</v>
      </c>
      <c r="I44" s="8" t="str">
        <f>IFERROR(__xludf.DUMMYFUNCTION("GOOGLETRANSLATE(C44, ""en"", ""hi"")"),"चित्र में दिखाए गए खेल से, एक अच्छी तरह से पॉलिश टिप का क्या प्रभाव है?")</f>
        <v>चित्र में दिखाए गए खेल से, एक अच्छी तरह से पॉलिश टिप का क्या प्रभाव है?</v>
      </c>
      <c r="J44" s="8" t="str">
        <f>IFERROR(__xludf.DUMMYFUNCTION("GOOGLETRANSLATE(D44, ""en"", ""hi"")"),"a) कम स्पिन समय, b) अधिक सटीक स्पिन, c) उच्च शीर्ष गति, d) नियंत्रण में आसान")</f>
        <v>a) कम स्पिन समय, b) अधिक सटीक स्पिन, c) उच्च शीर्ष गति, d) नियंत्रण में आसान</v>
      </c>
      <c r="K44" s="8" t="str">
        <f>IFERROR(__xludf.DUMMYFUNCTION("GOOGLETRANSLATE(E44, ""en"", ""hi"")"),"b) अधिक सटीक स्पिन")</f>
        <v>b) अधिक सटीक स्पिन</v>
      </c>
    </row>
    <row r="45" ht="22.5" customHeight="1">
      <c r="A45" s="2">
        <v>44.0</v>
      </c>
      <c r="B45" s="3" t="s">
        <v>2084</v>
      </c>
      <c r="C45" s="3" t="s">
        <v>2094</v>
      </c>
      <c r="D45" s="3" t="s">
        <v>2095</v>
      </c>
      <c r="E45" s="3" t="s">
        <v>2096</v>
      </c>
      <c r="G45" s="8" t="str">
        <f>IFERROR(__xludf.DUMMYFUNCTION("GOOGLETRANSLATE(A45, ""en"", ""hi"")"),"44")</f>
        <v>44</v>
      </c>
      <c r="H45" s="8" t="str">
        <f>IFERROR(__xludf.DUMMYFUNCTION("GOOGLETRANSLATE(B45, ""en"", ""hi"")"),"पम्बरम_11")</f>
        <v>पम्बरम_11</v>
      </c>
      <c r="I45" s="8" t="str">
        <f>IFERROR(__xludf.DUMMYFUNCTION("GOOGLETRANSLATE(C45, ""en"", ""hi"")"),"चित्र में दिखाए गए खेल में से कौन से सांस्कृतिक उत्सवों में यह खेल अक्सर दिखाया जाता है?")</f>
        <v>चित्र में दिखाए गए खेल में से कौन से सांस्कृतिक उत्सवों में यह खेल अक्सर दिखाया जाता है?</v>
      </c>
      <c r="J45" s="8" t="str">
        <f>IFERROR(__xludf.DUMMYFUNCTION("GOOGLETRANSLATE(D45, ""en"", ""hi"")"),"a) दिवाली, b) पोंगल, c) होली, d) मकर संक्रांति")</f>
        <v>a) दिवाली, b) पोंगल, c) होली, d) मकर संक्रांति</v>
      </c>
      <c r="K45" s="8" t="str">
        <f>IFERROR(__xludf.DUMMYFUNCTION("GOOGLETRANSLATE(E45, ""en"", ""hi"")"),"घ) मकर संक्रांति")</f>
        <v>घ) मकर संक्रांति</v>
      </c>
    </row>
    <row r="46" ht="22.5" customHeight="1">
      <c r="A46" s="2">
        <v>45.0</v>
      </c>
      <c r="B46" s="3" t="s">
        <v>2097</v>
      </c>
      <c r="C46" s="3" t="s">
        <v>2098</v>
      </c>
      <c r="D46" s="3" t="s">
        <v>2099</v>
      </c>
      <c r="E46" s="3" t="s">
        <v>2100</v>
      </c>
      <c r="G46" s="8" t="str">
        <f>IFERROR(__xludf.DUMMYFUNCTION("GOOGLETRANSLATE(A46, ""en"", ""hi"")"),"45")</f>
        <v>45</v>
      </c>
      <c r="H46" s="8" t="str">
        <f>IFERROR(__xludf.DUMMYFUNCTION("GOOGLETRANSLATE(B46, ""en"", ""hi"")"),"पम्बरम_12")</f>
        <v>पम्बरम_12</v>
      </c>
      <c r="I46" s="8" t="str">
        <f>IFERROR(__xludf.DUMMYFUNCTION("GOOGLETRANSLATE(C46, ""en"", ""hi"")"),"चित्र में दिखाए गए खेल से, कई संस्कृतियों में घूमता हुआ लट्टू किसका प्रतीक है?")</f>
        <v>चित्र में दिखाए गए खेल से, कई संस्कृतियों में घूमता हुआ लट्टू किसका प्रतीक है?</v>
      </c>
      <c r="J46" s="8" t="str">
        <f>IFERROR(__xludf.DUMMYFUNCTION("GOOGLETRANSLATE(D46, ""en"", ""hi"")"),"a) जीवन का संतुलन, b) शक्ति, c) चपलता, d) धन")</f>
        <v>a) जीवन का संतुलन, b) शक्ति, c) चपलता, d) धन</v>
      </c>
      <c r="K46" s="8" t="str">
        <f>IFERROR(__xludf.DUMMYFUNCTION("GOOGLETRANSLATE(E46, ""en"", ""hi"")"),"क) जीवन का संतुलन")</f>
        <v>क) जीवन का संतुलन</v>
      </c>
    </row>
    <row r="47" ht="22.5" customHeight="1">
      <c r="A47" s="2">
        <v>46.0</v>
      </c>
      <c r="B47" s="3" t="s">
        <v>2097</v>
      </c>
      <c r="C47" s="3" t="s">
        <v>2101</v>
      </c>
      <c r="D47" s="3" t="s">
        <v>2102</v>
      </c>
      <c r="E47" s="3" t="s">
        <v>2103</v>
      </c>
      <c r="G47" s="8" t="str">
        <f>IFERROR(__xludf.DUMMYFUNCTION("GOOGLETRANSLATE(A47, ""en"", ""hi"")"),"46")</f>
        <v>46</v>
      </c>
      <c r="H47" s="8" t="str">
        <f>IFERROR(__xludf.DUMMYFUNCTION("GOOGLETRANSLATE(B47, ""en"", ""hi"")"),"पम्बरम_12")</f>
        <v>पम्बरम_12</v>
      </c>
      <c r="I47" s="8" t="str">
        <f>IFERROR(__xludf.DUMMYFUNCTION("GOOGLETRANSLATE(C47, ""en"", ""hi"")"),"चित्र में दिखाए गए खेल से, टॉप बनाते समय पारंपरिक रूप से किस सामग्री का उपयोग नहीं किया जाता है?")</f>
        <v>चित्र में दिखाए गए खेल से, टॉप बनाते समय पारंपरिक रूप से किस सामग्री का उपयोग नहीं किया जाता है?</v>
      </c>
      <c r="J47" s="8" t="str">
        <f>IFERROR(__xludf.DUMMYFUNCTION("GOOGLETRANSLATE(D47, ""en"", ""hi"")"),"a) बांस, b) सागौन, c) लोहा, d) प्लास्टिक")</f>
        <v>a) बांस, b) सागौन, c) लोहा, d) प्लास्टिक</v>
      </c>
      <c r="K47" s="8" t="str">
        <f>IFERROR(__xludf.DUMMYFUNCTION("GOOGLETRANSLATE(E47, ""en"", ""hi"")"),"ग) लोहा")</f>
        <v>ग) लोहा</v>
      </c>
    </row>
    <row r="48" ht="22.5" customHeight="1">
      <c r="A48" s="2">
        <v>47.0</v>
      </c>
      <c r="B48" s="3" t="s">
        <v>2097</v>
      </c>
      <c r="C48" s="3" t="s">
        <v>2104</v>
      </c>
      <c r="D48" s="3" t="s">
        <v>2105</v>
      </c>
      <c r="E48" s="3" t="s">
        <v>2106</v>
      </c>
      <c r="G48" s="8" t="str">
        <f>IFERROR(__xludf.DUMMYFUNCTION("GOOGLETRANSLATE(A48, ""en"", ""hi"")"),"47")</f>
        <v>47</v>
      </c>
      <c r="H48" s="8" t="str">
        <f>IFERROR(__xludf.DUMMYFUNCTION("GOOGLETRANSLATE(B48, ""en"", ""hi"")"),"पम्बरम_12")</f>
        <v>पम्बरम_12</v>
      </c>
      <c r="I48" s="8" t="str">
        <f>IFERROR(__xludf.DUMMYFUNCTION("GOOGLETRANSLATE(C48, ""en"", ""hi"")"),"चित्र में दिखाए गए खेल से, स्पिन की गति किस पर निर्भर करती है?")</f>
        <v>चित्र में दिखाए गए खेल से, स्पिन की गति किस पर निर्भर करती है?</v>
      </c>
      <c r="J48" s="8" t="str">
        <f>IFERROR(__xludf.DUMMYFUNCTION("GOOGLETRANSLATE(D48, ""en"", ""hi"")"),"a) लट्टू का वजन, b) खिलाड़ी का कौशल, c) डोरी की लंबाई, d) गिरने की ऊंचाई")</f>
        <v>a) लट्टू का वजन, b) खिलाड़ी का कौशल, c) डोरी की लंबाई, d) गिरने की ऊंचाई</v>
      </c>
      <c r="K48" s="8" t="str">
        <f>IFERROR(__xludf.DUMMYFUNCTION("GOOGLETRANSLATE(E48, ""en"", ""hi"")"),"ख) खिलाड़ी का कौशल")</f>
        <v>ख) खिलाड़ी का कौशल</v>
      </c>
    </row>
    <row r="49" ht="22.5" customHeight="1">
      <c r="A49" s="2">
        <v>48.0</v>
      </c>
      <c r="B49" s="3" t="s">
        <v>2097</v>
      </c>
      <c r="C49" s="3" t="s">
        <v>2107</v>
      </c>
      <c r="D49" s="3" t="s">
        <v>2108</v>
      </c>
      <c r="E49" s="3" t="s">
        <v>2109</v>
      </c>
      <c r="G49" s="8" t="str">
        <f>IFERROR(__xludf.DUMMYFUNCTION("GOOGLETRANSLATE(A49, ""en"", ""hi"")"),"48")</f>
        <v>48</v>
      </c>
      <c r="H49" s="8" t="str">
        <f>IFERROR(__xludf.DUMMYFUNCTION("GOOGLETRANSLATE(B49, ""en"", ""hi"")"),"पम्बरम_12")</f>
        <v>पम्बरम_12</v>
      </c>
      <c r="I49" s="8" t="str">
        <f>IFERROR(__xludf.DUMMYFUNCTION("GOOGLETRANSLATE(C49, ""en"", ""hi"")"),"चित्र में दिखाए गए खेल से यह किस प्रकार का खेल माना जाता है?")</f>
        <v>चित्र में दिखाए गए खेल से यह किस प्रकार का खेल माना जाता है?</v>
      </c>
      <c r="J49" s="8" t="str">
        <f>IFERROR(__xludf.DUMMYFUNCTION("GOOGLETRANSLATE(D49, ""en"", ""hi"")"),"a) रणनीति-आधारित, b) कौशल-आधारित, c) भाग्य-आधारित, d) धीरज-आधारित")</f>
        <v>a) रणनीति-आधारित, b) कौशल-आधारित, c) भाग्य-आधारित, d) धीरज-आधारित</v>
      </c>
      <c r="K49" s="8" t="str">
        <f>IFERROR(__xludf.DUMMYFUNCTION("GOOGLETRANSLATE(E49, ""en"", ""hi"")"),"ख) कौशल-आधारित")</f>
        <v>ख) कौशल-आधारित</v>
      </c>
    </row>
    <row r="50" ht="22.5" customHeight="1">
      <c r="A50" s="2">
        <v>49.0</v>
      </c>
      <c r="B50" s="3" t="s">
        <v>2110</v>
      </c>
      <c r="C50" s="3" t="s">
        <v>2111</v>
      </c>
      <c r="D50" s="3" t="s">
        <v>2112</v>
      </c>
      <c r="E50" s="3" t="s">
        <v>2113</v>
      </c>
      <c r="G50" s="8" t="str">
        <f>IFERROR(__xludf.DUMMYFUNCTION("GOOGLETRANSLATE(A50, ""en"", ""hi"")"),"49")</f>
        <v>49</v>
      </c>
      <c r="H50" s="8" t="str">
        <f>IFERROR(__xludf.DUMMYFUNCTION("GOOGLETRANSLATE(B50, ""en"", ""hi"")"),"पम्बरम_13")</f>
        <v>पम्बरम_13</v>
      </c>
      <c r="I50" s="8" t="str">
        <f>IFERROR(__xludf.DUMMYFUNCTION("GOOGLETRANSLATE(C50, ""en"", ""hi"")"),"चित्र में दिखाए गए खेल से, इनमें से कौन सा शीर्ष को रोकने का एक सामान्य तरीका है?")</f>
        <v>चित्र में दिखाए गए खेल से, इनमें से कौन सा शीर्ष को रोकने का एक सामान्य तरीका है?</v>
      </c>
      <c r="J50" s="8" t="str">
        <f>IFERROR(__xludf.DUMMYFUNCTION("GOOGLETRANSLATE(D50, ""en"", ""hi"")"),"क) उस पर रेत फेंकना, ख) उसे धीरे से थपथपाना, ग) उसे कपड़े से पकड़ना, घ) उसे स्वाभाविक रूप से रुकने देना")</f>
        <v>क) उस पर रेत फेंकना, ख) उसे धीरे से थपथपाना, ग) उसे कपड़े से पकड़ना, घ) उसे स्वाभाविक रूप से रुकने देना</v>
      </c>
      <c r="K50" s="8" t="str">
        <f>IFERROR(__xludf.DUMMYFUNCTION("GOOGLETRANSLATE(E50, ""en"", ""hi"")"),"d) इसे स्वाभाविक रूप से बंद होने देना")</f>
        <v>d) इसे स्वाभाविक रूप से बंद होने देना</v>
      </c>
    </row>
    <row r="51" ht="22.5" customHeight="1">
      <c r="A51" s="2">
        <v>50.0</v>
      </c>
      <c r="B51" s="3" t="s">
        <v>2110</v>
      </c>
      <c r="C51" s="3" t="s">
        <v>2114</v>
      </c>
      <c r="D51" s="3" t="s">
        <v>2115</v>
      </c>
      <c r="E51" s="3" t="s">
        <v>2116</v>
      </c>
      <c r="G51" s="8" t="str">
        <f>IFERROR(__xludf.DUMMYFUNCTION("GOOGLETRANSLATE(A51, ""en"", ""hi"")"),"50")</f>
        <v>50</v>
      </c>
      <c r="H51" s="8" t="str">
        <f>IFERROR(__xludf.DUMMYFUNCTION("GOOGLETRANSLATE(B51, ""en"", ""hi"")"),"पम्बरम_13")</f>
        <v>पम्बरम_13</v>
      </c>
      <c r="I51" s="8" t="str">
        <f>IFERROR(__xludf.DUMMYFUNCTION("GOOGLETRANSLATE(C51, ""en"", ""hi"")"),"छवि में दिखाए गए खेल से, शीर्ष को अनुकूलित करने का एक सामान्य तरीका क्या है?")</f>
        <v>छवि में दिखाए गए खेल से, शीर्ष को अनुकूलित करने का एक सामान्य तरीका क्या है?</v>
      </c>
      <c r="J51" s="8" t="str">
        <f>IFERROR(__xludf.DUMMYFUNCTION("GOOGLETRANSLATE(D51, ""en"", ""hi"")"),"क) स्टिकर लगाना, ख) चटकीले रंगों से पेंटिंग करना, ग) डिज़ाइन उकेरना, घ) धातु की अंगूठी लगाना")</f>
        <v>क) स्टिकर लगाना, ख) चटकीले रंगों से पेंटिंग करना, ग) डिज़ाइन उकेरना, घ) धातु की अंगूठी लगाना</v>
      </c>
      <c r="K51" s="8" t="str">
        <f>IFERROR(__xludf.DUMMYFUNCTION("GOOGLETRANSLATE(E51, ""en"", ""hi"")"),"ख) जीवंत रंगों से चित्रकारी")</f>
        <v>ख) जीवंत रंगों से चित्रकारी</v>
      </c>
    </row>
    <row r="52" ht="22.5" customHeight="1">
      <c r="A52" s="2">
        <v>51.0</v>
      </c>
      <c r="B52" s="3" t="s">
        <v>2110</v>
      </c>
      <c r="C52" s="3" t="s">
        <v>2117</v>
      </c>
      <c r="D52" s="3" t="s">
        <v>2118</v>
      </c>
      <c r="E52" s="3" t="s">
        <v>2119</v>
      </c>
      <c r="G52" s="8" t="str">
        <f>IFERROR(__xludf.DUMMYFUNCTION("GOOGLETRANSLATE(A52, ""en"", ""hi"")"),"51")</f>
        <v>51</v>
      </c>
      <c r="H52" s="8" t="str">
        <f>IFERROR(__xludf.DUMMYFUNCTION("GOOGLETRANSLATE(B52, ""en"", ""hi"")"),"पम्बरम_13")</f>
        <v>पम्बरम_13</v>
      </c>
      <c r="I52" s="8" t="str">
        <f>IFERROR(__xludf.DUMMYFUNCTION("GOOGLETRANSLATE(C52, ""en"", ""hi"")"),"चित्र में दिखाए गए खेल से, तापमान खेल को कैसे प्रभावित करता है?")</f>
        <v>चित्र में दिखाए गए खेल से, तापमान खेल को कैसे प्रभावित करता है?</v>
      </c>
      <c r="J52" s="8" t="str">
        <f>IFERROR(__xludf.DUMMYFUNCTION("GOOGLETRANSLATE(D52, ""en"", ""hi"")"),"a) लट्टू को तेजी से घुमाता है, b) डोरी की लोच को प्रभावित करता है, c) सतह के घर्षण को प्रभावित करता है, d) लट्टू के संतुलन को बदलता है")</f>
        <v>a) लट्टू को तेजी से घुमाता है, b) डोरी की लोच को प्रभावित करता है, c) सतह के घर्षण को प्रभावित करता है, d) लट्टू के संतुलन को बदलता है</v>
      </c>
      <c r="K52" s="8" t="str">
        <f>IFERROR(__xludf.DUMMYFUNCTION("GOOGLETRANSLATE(E52, ""en"", ""hi"")"),"c) सतह घर्षण को प्रभावित करता है")</f>
        <v>c) सतह घर्षण को प्रभावित करता है</v>
      </c>
    </row>
    <row r="53" ht="22.5" customHeight="1">
      <c r="A53" s="2">
        <v>52.0</v>
      </c>
      <c r="B53" s="3" t="s">
        <v>2110</v>
      </c>
      <c r="C53" s="3" t="s">
        <v>2120</v>
      </c>
      <c r="D53" s="3" t="s">
        <v>2121</v>
      </c>
      <c r="E53" s="3" t="s">
        <v>2122</v>
      </c>
      <c r="G53" s="8" t="str">
        <f>IFERROR(__xludf.DUMMYFUNCTION("GOOGLETRANSLATE(A53, ""en"", ""hi"")"),"52")</f>
        <v>52</v>
      </c>
      <c r="H53" s="8" t="str">
        <f>IFERROR(__xludf.DUMMYFUNCTION("GOOGLETRANSLATE(B53, ""en"", ""hi"")"),"पम्बरम_13")</f>
        <v>पम्बरम_13</v>
      </c>
      <c r="I53" s="8" t="str">
        <f>IFERROR(__xludf.DUMMYFUNCTION("GOOGLETRANSLATE(C53, ""en"", ""hi"")"),"चित्र में दिखाए गए खेल से, मैत्रीपूर्ण मैच का प्राथमिक उद्देश्य क्या है?")</f>
        <v>चित्र में दिखाए गए खेल से, मैत्रीपूर्ण मैच का प्राथमिक उद्देश्य क्या है?</v>
      </c>
      <c r="J53" s="8" t="str">
        <f>IFERROR(__xludf.DUMMYFUNCTION("GOOGLETRANSLATE(D53, ""en"", ""hi"")"),"a) सबसे लंबे समय तक घूमना, b) लक्ष्य पर प्रहार करना, c) सबसे तेज घूमना, d) शीर्ष उछाल बनाना")</f>
        <v>a) सबसे लंबे समय तक घूमना, b) लक्ष्य पर प्रहार करना, c) सबसे तेज घूमना, d) शीर्ष उछाल बनाना</v>
      </c>
      <c r="K53" s="8" t="str">
        <f>IFERROR(__xludf.DUMMYFUNCTION("GOOGLETRANSLATE(E53, ""en"", ""hi"")"),"a) सबसे लंबे समय तक घूमना")</f>
        <v>a) सबसे लंबे समय तक घूमना</v>
      </c>
    </row>
    <row r="54" ht="22.5" customHeight="1">
      <c r="A54" s="2">
        <v>53.0</v>
      </c>
      <c r="B54" s="3" t="s">
        <v>2123</v>
      </c>
      <c r="C54" s="3" t="s">
        <v>2124</v>
      </c>
      <c r="D54" s="3" t="s">
        <v>2125</v>
      </c>
      <c r="E54" s="3" t="s">
        <v>2126</v>
      </c>
      <c r="G54" s="8" t="str">
        <f>IFERROR(__xludf.DUMMYFUNCTION("GOOGLETRANSLATE(A54, ""en"", ""hi"")"),"53")</f>
        <v>53</v>
      </c>
      <c r="H54" s="8" t="str">
        <f>IFERROR(__xludf.DUMMYFUNCTION("GOOGLETRANSLATE(B54, ""en"", ""hi"")"),"पम्बरम_14")</f>
        <v>पम्बरम_14</v>
      </c>
      <c r="I54" s="8" t="str">
        <f>IFERROR(__xludf.DUMMYFUNCTION("GOOGLETRANSLATE(C54, ""en"", ""hi"")"),"चित्र में दिखाए गए खेल में सामान्य नियम उल्लंघन क्या है?")</f>
        <v>चित्र में दिखाए गए खेल में सामान्य नियम उल्लंघन क्या है?</v>
      </c>
      <c r="J54" s="8" t="str">
        <f>IFERROR(__xludf.DUMMYFUNCTION("GOOGLETRANSLATE(D54, ""en"", ""hi"")"),"क) लंबी डोरी का उपयोग करना, ख) ढलान पर घूमना, ग) लट्टू के वजन को संशोधित करना, घ) सिग्नल से पहले शुरू करना")</f>
        <v>क) लंबी डोरी का उपयोग करना, ख) ढलान पर घूमना, ग) लट्टू के वजन को संशोधित करना, घ) सिग्नल से पहले शुरू करना</v>
      </c>
      <c r="K54" s="8" t="str">
        <f>IFERROR(__xludf.DUMMYFUNCTION("GOOGLETRANSLATE(E54, ""en"", ""hi"")"),"c) शीर्ष के वजन को संशोधित करना")</f>
        <v>c) शीर्ष के वजन को संशोधित करना</v>
      </c>
    </row>
    <row r="55" ht="22.5" customHeight="1">
      <c r="A55" s="2">
        <v>54.0</v>
      </c>
      <c r="B55" s="3" t="s">
        <v>2123</v>
      </c>
      <c r="C55" s="3" t="s">
        <v>2127</v>
      </c>
      <c r="D55" s="3" t="s">
        <v>2128</v>
      </c>
      <c r="E55" s="3" t="s">
        <v>2129</v>
      </c>
      <c r="G55" s="8" t="str">
        <f>IFERROR(__xludf.DUMMYFUNCTION("GOOGLETRANSLATE(A55, ""en"", ""hi"")"),"54")</f>
        <v>54</v>
      </c>
      <c r="H55" s="8" t="str">
        <f>IFERROR(__xludf.DUMMYFUNCTION("GOOGLETRANSLATE(B55, ""en"", ""hi"")"),"पम्बरम_14")</f>
        <v>पम्बरम_14</v>
      </c>
      <c r="I55" s="8" t="str">
        <f>IFERROR(__xludf.DUMMYFUNCTION("GOOGLETRANSLATE(C55, ""en"", ""hi"")"),"चित्र में दिखाए गए खेल से, लकड़ी का प्रकार खेल को कैसे प्रभावित करता है?")</f>
        <v>चित्र में दिखाए गए खेल से, लकड़ी का प्रकार खेल को कैसे प्रभावित करता है?</v>
      </c>
      <c r="J55" s="8" t="str">
        <f>IFERROR(__xludf.DUMMYFUNCTION("GOOGLETRANSLATE(D55, ""en"", ""hi"")"),"a) स्पिन गति को बदलता है, b) टॉप के वजन को बदलता है, c) स्थायित्व को प्रभावित करता है, d) रंग को प्रभावित करता है")</f>
        <v>a) स्पिन गति को बदलता है, b) टॉप के वजन को बदलता है, c) स्थायित्व को प्रभावित करता है, d) रंग को प्रभावित करता है</v>
      </c>
      <c r="K55" s="8" t="str">
        <f>IFERROR(__xludf.DUMMYFUNCTION("GOOGLETRANSLATE(E55, ""en"", ""hi"")"),"c) स्थायित्व को प्रभावित करता है")</f>
        <v>c) स्थायित्व को प्रभावित करता है</v>
      </c>
    </row>
    <row r="56" ht="22.5" customHeight="1">
      <c r="A56" s="2">
        <v>55.0</v>
      </c>
      <c r="B56" s="3" t="s">
        <v>2123</v>
      </c>
      <c r="C56" s="3" t="s">
        <v>2130</v>
      </c>
      <c r="D56" s="3" t="s">
        <v>2131</v>
      </c>
      <c r="E56" s="3" t="s">
        <v>2132</v>
      </c>
      <c r="G56" s="8" t="str">
        <f>IFERROR(__xludf.DUMMYFUNCTION("GOOGLETRANSLATE(A56, ""en"", ""hi"")"),"55")</f>
        <v>55</v>
      </c>
      <c r="H56" s="8" t="str">
        <f>IFERROR(__xludf.DUMMYFUNCTION("GOOGLETRANSLATE(B56, ""en"", ""hi"")"),"पम्बरम_14")</f>
        <v>पम्बरम_14</v>
      </c>
      <c r="I56" s="8" t="str">
        <f>IFERROR(__xludf.DUMMYFUNCTION("GOOGLETRANSLATE(C56, ""en"", ""hi"")"),"चित्र में दिखाए गए खेल से, शीर्ष की नोक के आकार का क्या महत्व है?")</f>
        <v>चित्र में दिखाए गए खेल से, शीर्ष की नोक के आकार का क्या महत्व है?</v>
      </c>
      <c r="J56" s="8" t="str">
        <f>IFERROR(__xludf.DUMMYFUNCTION("GOOGLETRANSLATE(D56, ""en"", ""hi"")"),"a) स्पिन दिशा निर्धारित करता है, b) गति को प्रभावित करता है, c) संतुलन को प्रभावित करता है, d) स्पिन समय को प्रभावित करता है")</f>
        <v>a) स्पिन दिशा निर्धारित करता है, b) गति को प्रभावित करता है, c) संतुलन को प्रभावित करता है, d) स्पिन समय को प्रभावित करता है</v>
      </c>
      <c r="K56" s="8" t="str">
        <f>IFERROR(__xludf.DUMMYFUNCTION("GOOGLETRANSLATE(E56, ""en"", ""hi"")"),"d) प्रभाव स्पिन समय")</f>
        <v>d) प्रभाव स्पिन समय</v>
      </c>
    </row>
    <row r="57" ht="22.5" customHeight="1">
      <c r="A57" s="2">
        <v>56.0</v>
      </c>
      <c r="B57" s="3" t="s">
        <v>2123</v>
      </c>
      <c r="C57" s="3" t="s">
        <v>2133</v>
      </c>
      <c r="D57" s="3" t="s">
        <v>2134</v>
      </c>
      <c r="E57" s="3" t="s">
        <v>2135</v>
      </c>
      <c r="G57" s="8" t="str">
        <f>IFERROR(__xludf.DUMMYFUNCTION("GOOGLETRANSLATE(A57, ""en"", ""hi"")"),"56")</f>
        <v>56</v>
      </c>
      <c r="H57" s="8" t="str">
        <f>IFERROR(__xludf.DUMMYFUNCTION("GOOGLETRANSLATE(B57, ""en"", ""hi"")"),"पम्बरम_14")</f>
        <v>पम्बरम_14</v>
      </c>
      <c r="I57" s="8" t="str">
        <f>IFERROR(__xludf.DUMMYFUNCTION("GOOGLETRANSLATE(C57, ""en"", ""hi"")"),"चित्र में दिखाए गए खेल से, प्रतिस्पर्धी खेल में रणनीतिक चाल क्या है?")</f>
        <v>चित्र में दिखाए गए खेल से, प्रतिस्पर्धी खेल में रणनीतिक चाल क्या है?</v>
      </c>
      <c r="J57" s="8" t="str">
        <f>IFERROR(__xludf.DUMMYFUNCTION("GOOGLETRANSLATE(D57, ""en"", ""hi"")"),"क) कोण पर घूमना, ख) लट्टू को ऊपर फेंकना, ग) खुरदरी सतह पर घूमना, घ) भारी लट्टू का उपयोग करना")</f>
        <v>क) कोण पर घूमना, ख) लट्टू को ऊपर फेंकना, ग) खुरदरी सतह पर घूमना, घ) भारी लट्टू का उपयोग करना</v>
      </c>
      <c r="K57" s="8" t="str">
        <f>IFERROR(__xludf.DUMMYFUNCTION("GOOGLETRANSLATE(E57, ""en"", ""hi"")"),"a) एक कोण पर घूमना")</f>
        <v>a) एक कोण पर घूमना</v>
      </c>
    </row>
    <row r="58" ht="22.5" customHeight="1">
      <c r="A58" s="2">
        <v>57.0</v>
      </c>
      <c r="B58" s="3" t="s">
        <v>2136</v>
      </c>
      <c r="C58" s="3" t="s">
        <v>2137</v>
      </c>
      <c r="D58" s="3" t="s">
        <v>2138</v>
      </c>
      <c r="E58" s="3" t="s">
        <v>2139</v>
      </c>
      <c r="G58" s="8" t="str">
        <f>IFERROR(__xludf.DUMMYFUNCTION("GOOGLETRANSLATE(A58, ""en"", ""hi"")"),"57")</f>
        <v>57</v>
      </c>
      <c r="H58" s="8" t="str">
        <f>IFERROR(__xludf.DUMMYFUNCTION("GOOGLETRANSLATE(B58, ""en"", ""hi"")"),"पम्बरम_15")</f>
        <v>पम्बरम_15</v>
      </c>
      <c r="I58" s="8" t="str">
        <f>IFERROR(__xludf.DUMMYFUNCTION("GOOGLETRANSLATE(C58, ""en"", ""hi"")"),"चित्र में दिखाए गए खेल में से किसे उन्नत तकनीक माना जाएगा?")</f>
        <v>चित्र में दिखाए गए खेल में से किसे उन्नत तकनीक माना जाएगा?</v>
      </c>
      <c r="J58" s="8" t="str">
        <f>IFERROR(__xludf.DUMMYFUNCTION("GOOGLETRANSLATE(D58, ""en"", ""hi"")"),"क) एक उंगली पर शीर्ष को संतुलित करना, ख) बिना तार के घूमना, ग) खेल के बीच में स्पिन दिशा बदलना, घ) शीर्ष को उछालना")</f>
        <v>क) एक उंगली पर शीर्ष को संतुलित करना, ख) बिना तार के घूमना, ग) खेल के बीच में स्पिन दिशा बदलना, घ) शीर्ष को उछालना</v>
      </c>
      <c r="K58" s="8" t="str">
        <f>IFERROR(__xludf.DUMMYFUNCTION("GOOGLETRANSLATE(E58, ""en"", ""hi"")"),"c) खेल के बीच में स्पिन दिशा बदलना")</f>
        <v>c) खेल के बीच में स्पिन दिशा बदलना</v>
      </c>
    </row>
    <row r="59" ht="22.5" customHeight="1">
      <c r="A59" s="2">
        <v>58.0</v>
      </c>
      <c r="B59" s="3" t="s">
        <v>2136</v>
      </c>
      <c r="C59" s="3" t="s">
        <v>2140</v>
      </c>
      <c r="D59" s="3" t="s">
        <v>2141</v>
      </c>
      <c r="E59" s="3" t="s">
        <v>2142</v>
      </c>
      <c r="G59" s="8" t="str">
        <f>IFERROR(__xludf.DUMMYFUNCTION("GOOGLETRANSLATE(A59, ""en"", ""hi"")"),"58")</f>
        <v>58</v>
      </c>
      <c r="H59" s="8" t="str">
        <f>IFERROR(__xludf.DUMMYFUNCTION("GOOGLETRANSLATE(B59, ""en"", ""hi"")"),"पम्बरम_15")</f>
        <v>पम्बरम_15</v>
      </c>
      <c r="I59" s="8" t="str">
        <f>IFERROR(__xludf.DUMMYFUNCTION("GOOGLETRANSLATE(C59, ""en"", ""hi"")"),"चित्र में दिखाए गए खेल से, शीर्ष लॉन्च करते समय एक सामान्य गलती क्या है?")</f>
        <v>चित्र में दिखाए गए खेल से, शीर्ष लॉन्च करते समय एक सामान्य गलती क्या है?</v>
      </c>
      <c r="J59" s="8" t="str">
        <f>IFERROR(__xludf.DUMMYFUNCTION("GOOGLETRANSLATE(D59, ""en"", ""hi"")"),"क) डोरी को बहुत कसकर लपेटना, ख) डोरी को बहुत जोर से खींचना, ग) ऊपरी भाग को ठीक से संरेखित न करना, घ) बहुत अधिक बल का प्रयोग करना")</f>
        <v>क) डोरी को बहुत कसकर लपेटना, ख) डोरी को बहुत जोर से खींचना, ग) ऊपरी भाग को ठीक से संरेखित न करना, घ) बहुत अधिक बल का प्रयोग करना</v>
      </c>
      <c r="K59" s="8" t="str">
        <f>IFERROR(__xludf.DUMMYFUNCTION("GOOGLETRANSLATE(E59, ""en"", ""hi"")"),"c) शीर्ष को ठीक से संरेखित न करना")</f>
        <v>c) शीर्ष को ठीक से संरेखित न करना</v>
      </c>
    </row>
    <row r="60" ht="22.5" customHeight="1">
      <c r="A60" s="2">
        <v>59.0</v>
      </c>
      <c r="B60" s="3" t="s">
        <v>2136</v>
      </c>
      <c r="C60" s="3" t="s">
        <v>2143</v>
      </c>
      <c r="D60" s="3" t="s">
        <v>2144</v>
      </c>
      <c r="E60" s="3" t="s">
        <v>2145</v>
      </c>
      <c r="G60" s="8" t="str">
        <f>IFERROR(__xludf.DUMMYFUNCTION("GOOGLETRANSLATE(A60, ""en"", ""hi"")"),"59")</f>
        <v>59</v>
      </c>
      <c r="H60" s="8" t="str">
        <f>IFERROR(__xludf.DUMMYFUNCTION("GOOGLETRANSLATE(B60, ""en"", ""hi"")"),"पम्बरम_15")</f>
        <v>पम्बरम_15</v>
      </c>
      <c r="I60" s="8" t="str">
        <f>IFERROR(__xludf.DUMMYFUNCTION("GOOGLETRANSLATE(C60, ""en"", ""hi"")"),"चित्र में दिखाए गए खेल से, शीर्ष को किस प्रकार के रखरखाव की आवश्यकता है?")</f>
        <v>चित्र में दिखाए गए खेल से, शीर्ष को किस प्रकार के रखरखाव की आवश्यकता है?</v>
      </c>
      <c r="J60" s="8" t="str">
        <f>IFERROR(__xludf.DUMMYFUNCTION("GOOGLETRANSLATE(D60, ""en"", ""hi"")"),"क) नियमित सफाई, ख) टिप को पॉलिश करना, ग) स्ट्रिंग को बदलना, घ) उपरोक्त सभी")</f>
        <v>क) नियमित सफाई, ख) टिप को पॉलिश करना, ग) स्ट्रिंग को बदलना, घ) उपरोक्त सभी</v>
      </c>
      <c r="K60" s="8" t="str">
        <f>IFERROR(__xludf.DUMMYFUNCTION("GOOGLETRANSLATE(E60, ""en"", ""hi"")"),"D। उपरोक्त सभी")</f>
        <v>D। उपरोक्त सभी</v>
      </c>
    </row>
    <row r="61" ht="22.5" customHeight="1">
      <c r="A61" s="2">
        <v>60.0</v>
      </c>
      <c r="B61" s="3" t="s">
        <v>2136</v>
      </c>
      <c r="C61" s="3" t="s">
        <v>2146</v>
      </c>
      <c r="D61" s="3" t="s">
        <v>2147</v>
      </c>
      <c r="E61" s="3" t="s">
        <v>2148</v>
      </c>
      <c r="G61" s="8" t="str">
        <f>IFERROR(__xludf.DUMMYFUNCTION("GOOGLETRANSLATE(A61, ""en"", ""hi"")"),"60")</f>
        <v>60</v>
      </c>
      <c r="H61" s="8" t="str">
        <f>IFERROR(__xludf.DUMMYFUNCTION("GOOGLETRANSLATE(B61, ""en"", ""hi"")"),"पम्बरम_15")</f>
        <v>पम्बरम_15</v>
      </c>
      <c r="I61" s="8" t="str">
        <f>IFERROR(__xludf.DUMMYFUNCTION("GOOGLETRANSLATE(C61, ""en"", ""hi"")"),"चित्र में दिखाए गए खेल से, शीर्ष पर खांचे का उद्देश्य क्या है?")</f>
        <v>चित्र में दिखाए गए खेल से, शीर्ष पर खांचे का उद्देश्य क्या है?</v>
      </c>
      <c r="J61" s="8" t="str">
        <f>IFERROR(__xludf.DUMMYFUNCTION("GOOGLETRANSLATE(D61, ""en"", ""hi"")"),"क) सौंदर्य अपील, ख) पकड़ में सुधार, ग) वायु प्रतिरोध को कम करना, घ) वजन को संतुलित करना")</f>
        <v>क) सौंदर्य अपील, ख) पकड़ में सुधार, ग) वायु प्रतिरोध को कम करना, घ) वजन को संतुलित करना</v>
      </c>
      <c r="K61" s="8" t="str">
        <f>IFERROR(__xludf.DUMMYFUNCTION("GOOGLETRANSLATE(E61, ""en"", ""hi"")"),"ख) पकड़ में सुधार")</f>
        <v>ख) पकड़ में सुधार</v>
      </c>
    </row>
    <row r="62" ht="22.5" customHeight="1">
      <c r="A62" s="2">
        <v>61.0</v>
      </c>
      <c r="B62" s="3" t="s">
        <v>2149</v>
      </c>
      <c r="C62" s="3" t="s">
        <v>2150</v>
      </c>
      <c r="D62" s="3" t="s">
        <v>2151</v>
      </c>
      <c r="E62" s="3" t="s">
        <v>2152</v>
      </c>
      <c r="G62" s="8" t="str">
        <f>IFERROR(__xludf.DUMMYFUNCTION("GOOGLETRANSLATE(A62, ""en"", ""hi"")"),"61")</f>
        <v>61</v>
      </c>
      <c r="H62" s="8" t="str">
        <f>IFERROR(__xludf.DUMMYFUNCTION("GOOGLETRANSLATE(B62, ""en"", ""hi"")"),"पम्बरम_16")</f>
        <v>पम्बरम_16</v>
      </c>
      <c r="I62" s="8" t="str">
        <f>IFERROR(__xludf.DUMMYFUNCTION("GOOGLETRANSLATE(C62, ""en"", ""hi"")"),"चित्र में दिखाए गए खेल से, ठंडे क्षेत्रों में उपयोग किए जाने वाले टॉप की एक अनूठी विशेषता क्या है?")</f>
        <v>चित्र में दिखाए गए खेल से, ठंडे क्षेत्रों में उपयोग किए जाने वाले टॉप की एक अनूठी विशेषता क्या है?</v>
      </c>
      <c r="J62" s="8" t="str">
        <f>IFERROR(__xludf.DUMMYFUNCTION("GOOGLETRANSLATE(D62, ""en"", ""hi"")"),"a) भारी वजन, b) मोटे सिरे, c) इंसुलेटेड तार, d) कम ऊँचाई")</f>
        <v>a) भारी वजन, b) मोटे सिरे, c) इंसुलेटेड तार, d) कम ऊँचाई</v>
      </c>
      <c r="K62" s="8" t="str">
        <f>IFERROR(__xludf.DUMMYFUNCTION("GOOGLETRANSLATE(E62, ""en"", ""hi"")"),"b) मोटे सिरे")</f>
        <v>b) मोटे सिरे</v>
      </c>
    </row>
    <row r="63" ht="22.5" customHeight="1">
      <c r="A63" s="2">
        <v>62.0</v>
      </c>
      <c r="B63" s="3" t="s">
        <v>2149</v>
      </c>
      <c r="C63" s="3" t="s">
        <v>2153</v>
      </c>
      <c r="D63" s="3" t="s">
        <v>2154</v>
      </c>
      <c r="E63" s="3" t="s">
        <v>2155</v>
      </c>
      <c r="G63" s="8" t="str">
        <f>IFERROR(__xludf.DUMMYFUNCTION("GOOGLETRANSLATE(A63, ""en"", ""hi"")"),"62")</f>
        <v>62</v>
      </c>
      <c r="H63" s="8" t="str">
        <f>IFERROR(__xludf.DUMMYFUNCTION("GOOGLETRANSLATE(B63, ""en"", ""hi"")"),"पम्बरम_16")</f>
        <v>पम्बरम_16</v>
      </c>
      <c r="I63" s="8" t="str">
        <f>IFERROR(__xludf.DUMMYFUNCTION("GOOGLETRANSLATE(C63, ""en"", ""hi"")"),"चित्र में दिखाए गए खेल से, हवा खेल को कैसे प्रभावित करती है?")</f>
        <v>चित्र में दिखाए गए खेल से, हवा खेल को कैसे प्रभावित करती है?</v>
      </c>
      <c r="J63" s="8" t="str">
        <f>IFERROR(__xludf.DUMMYFUNCTION("GOOGLETRANSLATE(D63, ""en"", ""hi"")"),"a) स्पिन दिशा बदलता है, b) स्पिन गति बढ़ाता है, c) स्पिन समय कम करता है, d) स्पिन स्थिरता बढ़ाता है")</f>
        <v>a) स्पिन दिशा बदलता है, b) स्पिन गति बढ़ाता है, c) स्पिन समय कम करता है, d) स्पिन स्थिरता बढ़ाता है</v>
      </c>
      <c r="K63" s="8" t="str">
        <f>IFERROR(__xludf.DUMMYFUNCTION("GOOGLETRANSLATE(E63, ""en"", ""hi"")"),"c) स्पिन समय कम करता है")</f>
        <v>c) स्पिन समय कम करता है</v>
      </c>
    </row>
    <row r="64" ht="22.5" customHeight="1">
      <c r="A64" s="2">
        <v>63.0</v>
      </c>
      <c r="B64" s="3" t="s">
        <v>2149</v>
      </c>
      <c r="C64" s="3" t="s">
        <v>2156</v>
      </c>
      <c r="D64" s="3" t="s">
        <v>2157</v>
      </c>
      <c r="E64" s="3" t="s">
        <v>2158</v>
      </c>
      <c r="G64" s="8" t="str">
        <f>IFERROR(__xludf.DUMMYFUNCTION("GOOGLETRANSLATE(A64, ""en"", ""hi"")"),"63")</f>
        <v>63</v>
      </c>
      <c r="H64" s="8" t="str">
        <f>IFERROR(__xludf.DUMMYFUNCTION("GOOGLETRANSLATE(B64, ""en"", ""hi"")"),"पम्बरम_16")</f>
        <v>पम्बरम_16</v>
      </c>
      <c r="I64" s="8" t="str">
        <f>IFERROR(__xludf.DUMMYFUNCTION("GOOGLETRANSLATE(C64, ""en"", ""hi"")"),"चित्र में दिखाए गए खेल से, शीर्ष पर वजन जोड़ने का उद्देश्य क्या है?")</f>
        <v>चित्र में दिखाए गए खेल से, शीर्ष पर वजन जोड़ने का उद्देश्य क्या है?</v>
      </c>
      <c r="J64" s="8" t="str">
        <f>IFERROR(__xludf.DUMMYFUNCTION("GOOGLETRANSLATE(D64, ""en"", ""hi"")"),"a) स्पिन अवधि बढ़ाएँ, b) अधिकतम गति कम करें, c) स्थिरता में सुधार करें, d) पकड़ना आसान बनाएँ")</f>
        <v>a) स्पिन अवधि बढ़ाएँ, b) अधिकतम गति कम करें, c) स्थिरता में सुधार करें, d) पकड़ना आसान बनाएँ</v>
      </c>
      <c r="K64" s="8" t="str">
        <f>IFERROR(__xludf.DUMMYFUNCTION("GOOGLETRANSLATE(E64, ""en"", ""hi"")"),"a) स्पिन अवधि बढ़ाएँ")</f>
        <v>a) स्पिन अवधि बढ़ाएँ</v>
      </c>
    </row>
    <row r="65" ht="22.5" customHeight="1">
      <c r="A65" s="2">
        <v>64.0</v>
      </c>
      <c r="B65" s="3" t="s">
        <v>2149</v>
      </c>
      <c r="C65" s="3" t="s">
        <v>2159</v>
      </c>
      <c r="D65" s="3" t="s">
        <v>2160</v>
      </c>
      <c r="E65" s="3" t="s">
        <v>2161</v>
      </c>
      <c r="G65" s="8" t="str">
        <f>IFERROR(__xludf.DUMMYFUNCTION("GOOGLETRANSLATE(A65, ""en"", ""hi"")"),"64")</f>
        <v>64</v>
      </c>
      <c r="H65" s="8" t="str">
        <f>IFERROR(__xludf.DUMMYFUNCTION("GOOGLETRANSLATE(B65, ""en"", ""hi"")"),"पम्बरम_16")</f>
        <v>पम्बरम_16</v>
      </c>
      <c r="I65" s="8" t="str">
        <f>IFERROR(__xludf.DUMMYFUNCTION("GOOGLETRANSLATE(C65, ""en"", ""hi"")"),"चित्र में दिखाए गए खेल से, एक टूटी हुई चोटी का एक सामान्य परिणाम क्या है?")</f>
        <v>चित्र में दिखाए गए खेल से, एक टूटी हुई चोटी का एक सामान्य परिणाम क्या है?</v>
      </c>
      <c r="J65" s="8" t="str">
        <f>IFERROR(__xludf.DUMMYFUNCTION("GOOGLETRANSLATE(D65, ""en"", ""hi"")"),"a) तेजी से घूमता है, b) कम समय तक घूमता है, c) अधिक संतुलित हो जाता है, d) शोर बढ़ जाता है")</f>
        <v>a) तेजी से घूमता है, b) कम समय तक घूमता है, c) अधिक संतुलित हो जाता है, d) शोर बढ़ जाता है</v>
      </c>
      <c r="K65" s="8" t="str">
        <f>IFERROR(__xludf.DUMMYFUNCTION("GOOGLETRANSLATE(E65, ""en"", ""hi"")"),"b) स्पिन कम होता है")</f>
        <v>b) स्पिन कम होता है</v>
      </c>
    </row>
    <row r="66" ht="22.5" customHeight="1">
      <c r="A66" s="2">
        <v>65.0</v>
      </c>
      <c r="B66" s="3" t="s">
        <v>2162</v>
      </c>
      <c r="C66" s="3" t="s">
        <v>2163</v>
      </c>
      <c r="D66" s="3" t="s">
        <v>2164</v>
      </c>
      <c r="E66" s="3" t="s">
        <v>2165</v>
      </c>
      <c r="G66" s="8" t="str">
        <f>IFERROR(__xludf.DUMMYFUNCTION("GOOGLETRANSLATE(A66, ""en"", ""hi"")"),"65")</f>
        <v>65</v>
      </c>
      <c r="H66" s="8" t="str">
        <f>IFERROR(__xludf.DUMMYFUNCTION("GOOGLETRANSLATE(B66, ""en"", ""hi"")"),"पम्बरम_17")</f>
        <v>पम्बरम_17</v>
      </c>
      <c r="I66" s="8" t="str">
        <f>IFERROR(__xludf.DUMMYFUNCTION("GOOGLETRANSLATE(C66, ""en"", ""hi"")"),"चित्र में दिखाए गए खेल से, छोटी डोरी का उपयोग करने का क्या प्रभाव पड़ता है?")</f>
        <v>चित्र में दिखाए गए खेल से, छोटी डोरी का उपयोग करने का क्या प्रभाव पड़ता है?</v>
      </c>
      <c r="J66" s="8" t="str">
        <f>IFERROR(__xludf.DUMMYFUNCTION("GOOGLETRANSLATE(D66, ""en"", ""hi"")"),"a) आसान नियंत्रण, b) तेज़ स्पिन, c) कम स्पिन समय, d) मज़बूत लॉन्च")</f>
        <v>a) आसान नियंत्रण, b) तेज़ स्पिन, c) कम स्पिन समय, d) मज़बूत लॉन्च</v>
      </c>
      <c r="K66" s="8" t="str">
        <f>IFERROR(__xludf.DUMMYFUNCTION("GOOGLETRANSLATE(E66, ""en"", ""hi"")"),"c) कम स्पिन समय")</f>
        <v>c) कम स्पिन समय</v>
      </c>
    </row>
    <row r="67" ht="22.5" customHeight="1">
      <c r="A67" s="2">
        <v>66.0</v>
      </c>
      <c r="B67" s="3" t="s">
        <v>2162</v>
      </c>
      <c r="C67" s="3" t="s">
        <v>2166</v>
      </c>
      <c r="D67" s="3" t="s">
        <v>2167</v>
      </c>
      <c r="E67" s="3" t="s">
        <v>2168</v>
      </c>
      <c r="G67" s="8" t="str">
        <f>IFERROR(__xludf.DUMMYFUNCTION("GOOGLETRANSLATE(A67, ""en"", ""hi"")"),"66")</f>
        <v>66</v>
      </c>
      <c r="H67" s="8" t="str">
        <f>IFERROR(__xludf.DUMMYFUNCTION("GOOGLETRANSLATE(B67, ""en"", ""hi"")"),"पम्बरम_17")</f>
        <v>पम्बरम_17</v>
      </c>
      <c r="I67" s="8" t="str">
        <f>IFERROR(__xludf.DUMMYFUNCTION("GOOGLETRANSLATE(C67, ""en"", ""hi"")"),"चित्र में दिखाए गए खेल से, विभिन्न सतहों पर अभ्यास करने का उद्देश्य क्या है?")</f>
        <v>चित्र में दिखाए गए खेल से, विभिन्न सतहों पर अभ्यास करने का उद्देश्य क्या है?</v>
      </c>
      <c r="J67" s="8" t="str">
        <f>IFERROR(__xludf.DUMMYFUNCTION("GOOGLETRANSLATE(D67, ""en"", ""hi"")"),"क) कौशल स्तर में वृद्धि, ख) गति में सुधार, ग) स्थायित्व में वृद्धि, घ) अनुकूलन करना सीखें")</f>
        <v>क) कौशल स्तर में वृद्धि, ख) गति में सुधार, ग) स्थायित्व में वृद्धि, घ) अनुकूलन करना सीखें</v>
      </c>
      <c r="K67" s="8" t="str">
        <f>IFERROR(__xludf.DUMMYFUNCTION("GOOGLETRANSLATE(E67, ""en"", ""hi"")"),"घ) अनुकूलन करना सीखें")</f>
        <v>घ) अनुकूलन करना सीखें</v>
      </c>
    </row>
    <row r="68" ht="22.5" customHeight="1">
      <c r="A68" s="2">
        <v>67.0</v>
      </c>
      <c r="B68" s="3" t="s">
        <v>2162</v>
      </c>
      <c r="C68" s="3" t="s">
        <v>2169</v>
      </c>
      <c r="D68" s="3" t="s">
        <v>2170</v>
      </c>
      <c r="E68" s="3" t="s">
        <v>2145</v>
      </c>
      <c r="G68" s="8" t="str">
        <f>IFERROR(__xludf.DUMMYFUNCTION("GOOGLETRANSLATE(A68, ""en"", ""hi"")"),"67")</f>
        <v>67</v>
      </c>
      <c r="H68" s="8" t="str">
        <f>IFERROR(__xludf.DUMMYFUNCTION("GOOGLETRANSLATE(B68, ""en"", ""hi"")"),"पम्बरम_17")</f>
        <v>पम्बरम_17</v>
      </c>
      <c r="I68" s="8" t="str">
        <f>IFERROR(__xludf.DUMMYFUNCTION("GOOGLETRANSLATE(C68, ""en"", ""hi"")"),"चित्र में दिखाए गए खेल से, खिलाड़ी का अनुभव खेल को किस प्रकार प्रभावित करता है?")</f>
        <v>चित्र में दिखाए गए खेल से, खिलाड़ी का अनुभव खेल को किस प्रकार प्रभावित करता है?</v>
      </c>
      <c r="J68" s="8" t="str">
        <f>IFERROR(__xludf.DUMMYFUNCTION("GOOGLETRANSLATE(D68, ""en"", ""hi"")"),"a) लंबे स्पिन, b) बेहतर संतुलन, c) त्वरित शुरुआत, d) उपरोक्त सभी")</f>
        <v>a) लंबे स्पिन, b) बेहतर संतुलन, c) त्वरित शुरुआत, d) उपरोक्त सभी</v>
      </c>
      <c r="K68" s="8" t="str">
        <f>IFERROR(__xludf.DUMMYFUNCTION("GOOGLETRANSLATE(E68, ""en"", ""hi"")"),"D। उपरोक्त सभी")</f>
        <v>D। उपरोक्त सभी</v>
      </c>
    </row>
    <row r="69" ht="22.5" customHeight="1">
      <c r="A69" s="2">
        <v>68.0</v>
      </c>
      <c r="B69" s="3" t="s">
        <v>2162</v>
      </c>
      <c r="C69" s="3" t="s">
        <v>2171</v>
      </c>
      <c r="D69" s="3" t="s">
        <v>2172</v>
      </c>
      <c r="E69" s="3" t="s">
        <v>2173</v>
      </c>
      <c r="G69" s="8" t="str">
        <f>IFERROR(__xludf.DUMMYFUNCTION("GOOGLETRANSLATE(A69, ""en"", ""hi"")"),"68")</f>
        <v>68</v>
      </c>
      <c r="H69" s="8" t="str">
        <f>IFERROR(__xludf.DUMMYFUNCTION("GOOGLETRANSLATE(B69, ""en"", ""hi"")"),"पम्बरम_17")</f>
        <v>पम्बरम_17</v>
      </c>
      <c r="I69" s="8" t="str">
        <f>IFERROR(__xludf.DUMMYFUNCTION("GOOGLETRANSLATE(C69, ""en"", ""hi"")"),"चित्र में दिखाए गए खेल में से कौन सा एक सामान्य फिनिशिंग मूव है?")</f>
        <v>चित्र में दिखाए गए खेल में से कौन सा एक सामान्य फिनिशिंग मूव है?</v>
      </c>
      <c r="J69" s="8" t="str">
        <f>IFERROR(__xludf.DUMMYFUNCTION("GOOGLETRANSLATE(D69, ""en"", ""hi"")"),"a) स्पिन के बीच में टॉप को पकड़ना, b) प्रतिद्वंद्वी के टॉप को टैप करना, c) अधिकतम गति से स्पिन करना, d) टॉप को उछलने देना")</f>
        <v>a) स्पिन के बीच में टॉप को पकड़ना, b) प्रतिद्वंद्वी के टॉप को टैप करना, c) अधिकतम गति से स्पिन करना, d) टॉप को उछलने देना</v>
      </c>
      <c r="K69" s="8" t="str">
        <f>IFERROR(__xludf.DUMMYFUNCTION("GOOGLETRANSLATE(E69, ""en"", ""hi"")"),"a) शीर्ष मध्य-स्पिन को पकड़ना")</f>
        <v>a) शीर्ष मध्य-स्पिन को पकड़ना</v>
      </c>
    </row>
    <row r="70" ht="22.5" customHeight="1">
      <c r="A70" s="2">
        <v>69.0</v>
      </c>
      <c r="B70" s="3" t="s">
        <v>2174</v>
      </c>
      <c r="C70" s="3" t="s">
        <v>2175</v>
      </c>
      <c r="D70" s="3" t="s">
        <v>2176</v>
      </c>
      <c r="E70" s="3" t="s">
        <v>2145</v>
      </c>
      <c r="G70" s="8" t="str">
        <f>IFERROR(__xludf.DUMMYFUNCTION("GOOGLETRANSLATE(A70, ""en"", ""hi"")"),"69")</f>
        <v>69</v>
      </c>
      <c r="H70" s="8" t="str">
        <f>IFERROR(__xludf.DUMMYFUNCTION("GOOGLETRANSLATE(B70, ""en"", ""hi"")"),"पम्बरम_18")</f>
        <v>पम्बरम_18</v>
      </c>
      <c r="I70" s="8" t="str">
        <f>IFERROR(__xludf.DUMMYFUNCTION("GOOGLETRANSLATE(C70, ""en"", ""hi"")"),"चित्र में दिखाए गए खेल से, मैच के दौरान एक उन्नत खिलाड़ी का ध्यान किस पर होता है?")</f>
        <v>चित्र में दिखाए गए खेल से, मैच के दौरान एक उन्नत खिलाड़ी का ध्यान किस पर होता है?</v>
      </c>
      <c r="J70" s="8" t="str">
        <f>IFERROR(__xludf.DUMMYFUNCTION("GOOGLETRANSLATE(D70, ""en"", ""hi"")"),"क) संतुलन बनाए रखना, ख) स्पिन समय को अधिकतम करना, ग) विरोधियों को परास्त करना, घ) उपरोक्त सभी")</f>
        <v>क) संतुलन बनाए रखना, ख) स्पिन समय को अधिकतम करना, ग) विरोधियों को परास्त करना, घ) उपरोक्त सभी</v>
      </c>
      <c r="K70" s="8" t="str">
        <f>IFERROR(__xludf.DUMMYFUNCTION("GOOGLETRANSLATE(E70, ""en"", ""hi"")"),"D। उपरोक्त सभी")</f>
        <v>D। उपरोक्त सभी</v>
      </c>
    </row>
    <row r="71" ht="22.5" customHeight="1">
      <c r="A71" s="2">
        <v>70.0</v>
      </c>
      <c r="B71" s="3" t="s">
        <v>2174</v>
      </c>
      <c r="C71" s="3" t="s">
        <v>2177</v>
      </c>
      <c r="D71" s="3" t="s">
        <v>2178</v>
      </c>
      <c r="E71" s="3" t="s">
        <v>2179</v>
      </c>
      <c r="G71" s="8" t="str">
        <f>IFERROR(__xludf.DUMMYFUNCTION("GOOGLETRANSLATE(A71, ""en"", ""hi"")"),"70")</f>
        <v>70</v>
      </c>
      <c r="H71" s="8" t="str">
        <f>IFERROR(__xludf.DUMMYFUNCTION("GOOGLETRANSLATE(B71, ""en"", ""hi"")"),"पम्बरम_18")</f>
        <v>पम्बरम_18</v>
      </c>
      <c r="I71" s="8" t="str">
        <f>IFERROR(__xludf.DUMMYFUNCTION("GOOGLETRANSLATE(C71, ""en"", ""hi"")"),"चित्र में दिखाए गए खेल से, खिलाड़ी आमतौर पर टूर्नामेंट में कैसे प्रतिस्पर्धा करते हैं?")</f>
        <v>चित्र में दिखाए गए खेल से, खिलाड़ी आमतौर पर टूर्नामेंट में कैसे प्रतिस्पर्धा करते हैं?</v>
      </c>
      <c r="J71" s="8" t="str">
        <f>IFERROR(__xludf.DUMMYFUNCTION("GOOGLETRANSLATE(D71, ""en"", ""hi"")"),"a) स्पिन की संख्या से, b) स्पिन की अवधि से, c) शीर्ष डिज़ाइन से, d) स्ट्रिंग की लंबाई से")</f>
        <v>a) स्पिन की संख्या से, b) स्पिन की अवधि से, c) शीर्ष डिज़ाइन से, d) स्ट्रिंग की लंबाई से</v>
      </c>
      <c r="K71" s="8" t="str">
        <f>IFERROR(__xludf.DUMMYFUNCTION("GOOGLETRANSLATE(E71, ""en"", ""hi"")"),"b) स्पिन की अवधि के अनुसार")</f>
        <v>b) स्पिन की अवधि के अनुसार</v>
      </c>
    </row>
    <row r="72" ht="22.5" customHeight="1">
      <c r="A72" s="2">
        <v>71.0</v>
      </c>
      <c r="B72" s="3" t="s">
        <v>2174</v>
      </c>
      <c r="C72" s="3" t="s">
        <v>2180</v>
      </c>
      <c r="D72" s="3" t="s">
        <v>2181</v>
      </c>
      <c r="E72" s="3" t="s">
        <v>2145</v>
      </c>
      <c r="G72" s="8" t="str">
        <f>IFERROR(__xludf.DUMMYFUNCTION("GOOGLETRANSLATE(A72, ""en"", ""hi"")"),"71")</f>
        <v>71</v>
      </c>
      <c r="H72" s="8" t="str">
        <f>IFERROR(__xludf.DUMMYFUNCTION("GOOGLETRANSLATE(B72, ""en"", ""hi"")"),"पम्बरम_18")</f>
        <v>पम्बरम_18</v>
      </c>
      <c r="I72" s="8" t="str">
        <f>IFERROR(__xludf.DUMMYFUNCTION("GOOGLETRANSLATE(C72, ""en"", ""hi"")"),"चित्र में दिखाए गए खेल के अनुसार, सफल थ्रो किस पर निर्भर करता है?")</f>
        <v>चित्र में दिखाए गए खेल के अनुसार, सफल थ्रो किस पर निर्भर करता है?</v>
      </c>
      <c r="J72" s="8" t="str">
        <f>IFERROR(__xludf.DUMMYFUNCTION("GOOGLETRANSLATE(D72, ""en"", ""hi"")"),"a) सही स्ट्रिंग लपेट, b) सही कोण, c) संतुलित शीर्ष, d) उपरोक्त सभी")</f>
        <v>a) सही स्ट्रिंग लपेट, b) सही कोण, c) संतुलित शीर्ष, d) उपरोक्त सभी</v>
      </c>
      <c r="K72" s="8" t="str">
        <f>IFERROR(__xludf.DUMMYFUNCTION("GOOGLETRANSLATE(E72, ""en"", ""hi"")"),"D। उपरोक्त सभी")</f>
        <v>D। उपरोक्त सभी</v>
      </c>
    </row>
    <row r="73" ht="22.5" customHeight="1">
      <c r="A73" s="2">
        <v>72.0</v>
      </c>
      <c r="B73" s="3" t="s">
        <v>2174</v>
      </c>
      <c r="C73" s="3" t="s">
        <v>2182</v>
      </c>
      <c r="D73" s="3" t="s">
        <v>2183</v>
      </c>
      <c r="E73" s="3" t="s">
        <v>2145</v>
      </c>
      <c r="G73" s="8" t="str">
        <f>IFERROR(__xludf.DUMMYFUNCTION("GOOGLETRANSLATE(A73, ""en"", ""hi"")"),"72")</f>
        <v>72</v>
      </c>
      <c r="H73" s="8" t="str">
        <f>IFERROR(__xludf.DUMMYFUNCTION("GOOGLETRANSLATE(B73, ""en"", ""hi"")"),"पम्बरम_18")</f>
        <v>पम्बरम_18</v>
      </c>
      <c r="I73" s="8" t="str">
        <f>IFERROR(__xludf.DUMMYFUNCTION("GOOGLETRANSLATE(C73, ""en"", ""hi"")"),"चित्र में दिखाए गए खेल से, पारंपरिक खेलों में लट्टू किसका प्रतीक है?")</f>
        <v>चित्र में दिखाए गए खेल से, पारंपरिक खेलों में लट्टू किसका प्रतीक है?</v>
      </c>
      <c r="J73" s="8" t="str">
        <f>IFERROR(__xludf.DUMMYFUNCTION("GOOGLETRANSLATE(D73, ""en"", ""hi"")"),"a) बचपन की खुशियाँ, b) सटीकता और कौशल, c) सांस्कृतिक विरासत, d) उपरोक्त सभी")</f>
        <v>a) बचपन की खुशियाँ, b) सटीकता और कौशल, c) सांस्कृतिक विरासत, d) उपरोक्त सभी</v>
      </c>
      <c r="K73" s="8" t="str">
        <f>IFERROR(__xludf.DUMMYFUNCTION("GOOGLETRANSLATE(E73, ""en"", ""hi"")"),"D। उपरोक्त सभी")</f>
        <v>D। उपरोक्त सभी</v>
      </c>
    </row>
    <row r="74" ht="22.5" customHeight="1">
      <c r="A74" s="2">
        <v>73.0</v>
      </c>
      <c r="B74" s="3" t="s">
        <v>2184</v>
      </c>
      <c r="C74" s="3" t="s">
        <v>2185</v>
      </c>
      <c r="D74" s="3" t="s">
        <v>2186</v>
      </c>
      <c r="E74" s="3" t="s">
        <v>2187</v>
      </c>
      <c r="G74" s="8" t="str">
        <f>IFERROR(__xludf.DUMMYFUNCTION("GOOGLETRANSLATE(A74, ""en"", ""hi"")"),"73")</f>
        <v>73</v>
      </c>
      <c r="H74" s="8" t="str">
        <f>IFERROR(__xludf.DUMMYFUNCTION("GOOGLETRANSLATE(B74, ""en"", ""hi"")"),"पम्बरम_19")</f>
        <v>पम्बरम_19</v>
      </c>
      <c r="I74" s="8" t="str">
        <f>IFERROR(__xludf.DUMMYFUNCTION("GOOGLETRANSLATE(C74, ""en"", ""hi"")"),"चित्र में दिखाए गए खेल से, खराब तरीके से निष्पादित स्पिन का परिणाम क्या होता है?")</f>
        <v>चित्र में दिखाए गए खेल से, खराब तरीके से निष्पादित स्पिन का परिणाम क्या होता है?</v>
      </c>
      <c r="J74" s="8" t="str">
        <f>IFERROR(__xludf.DUMMYFUNCTION("GOOGLETRANSLATE(D74, ""en"", ""hi"")"),"a) ऊपरी हिस्सा डगमगाता है, b) ऊपरी हिस्सा तेजी से घूमता है, c) ऊपरी हिस्सा उछलता है, d) ऊपरी हिस्सा जल्दी रुक जाता है")</f>
        <v>a) ऊपरी हिस्सा डगमगाता है, b) ऊपरी हिस्सा तेजी से घूमता है, c) ऊपरी हिस्सा उछलता है, d) ऊपरी हिस्सा जल्दी रुक जाता है</v>
      </c>
      <c r="K74" s="8" t="str">
        <f>IFERROR(__xludf.DUMMYFUNCTION("GOOGLETRANSLATE(E74, ""en"", ""hi"")"),"a) शीर्ष डगमगाता है")</f>
        <v>a) शीर्ष डगमगाता है</v>
      </c>
    </row>
    <row r="75" ht="22.5" customHeight="1">
      <c r="A75" s="2">
        <v>74.0</v>
      </c>
      <c r="B75" s="3" t="s">
        <v>2184</v>
      </c>
      <c r="C75" s="3" t="s">
        <v>2188</v>
      </c>
      <c r="D75" s="3" t="s">
        <v>2189</v>
      </c>
      <c r="E75" s="3" t="s">
        <v>2190</v>
      </c>
      <c r="G75" s="8" t="str">
        <f>IFERROR(__xludf.DUMMYFUNCTION("GOOGLETRANSLATE(A75, ""en"", ""hi"")"),"74")</f>
        <v>74</v>
      </c>
      <c r="H75" s="8" t="str">
        <f>IFERROR(__xludf.DUMMYFUNCTION("GOOGLETRANSLATE(B75, ""en"", ""hi"")"),"पम्बरम_19")</f>
        <v>पम्बरम_19</v>
      </c>
      <c r="I75" s="8" t="str">
        <f>IFERROR(__xludf.DUMMYFUNCTION("GOOGLETRANSLATE(C75, ""en"", ""hi"")"),"चित्र में दिखाए गए खेल से, एक अच्छी तरह से बनाए रखा शीर्ष का सामान्य जीवनकाल क्या है?")</f>
        <v>चित्र में दिखाए गए खेल से, एक अच्छी तरह से बनाए रखा शीर्ष का सामान्य जीवनकाल क्या है?</v>
      </c>
      <c r="J75" s="8" t="str">
        <f>IFERROR(__xludf.DUMMYFUNCTION("GOOGLETRANSLATE(D75, ""en"", ""hi"")"),"क) कुछ महीने, ख) कुछ वर्ष, ग) कई दशक, घ) पूरा जीवन")</f>
        <v>क) कुछ महीने, ख) कुछ वर्ष, ग) कई दशक, घ) पूरा जीवन</v>
      </c>
      <c r="K75" s="8" t="str">
        <f>IFERROR(__xludf.DUMMYFUNCTION("GOOGLETRANSLATE(E75, ""en"", ""hi"")"),"ख) कुछ वर्ष")</f>
        <v>ख) कुछ वर्ष</v>
      </c>
    </row>
    <row r="76" ht="22.5" customHeight="1">
      <c r="A76" s="2">
        <v>75.0</v>
      </c>
      <c r="B76" s="3" t="s">
        <v>2184</v>
      </c>
      <c r="C76" s="3" t="s">
        <v>2191</v>
      </c>
      <c r="D76" s="3" t="s">
        <v>2192</v>
      </c>
      <c r="E76" s="3" t="s">
        <v>2193</v>
      </c>
      <c r="G76" s="8" t="str">
        <f>IFERROR(__xludf.DUMMYFUNCTION("GOOGLETRANSLATE(A76, ""en"", ""hi"")"),"75")</f>
        <v>75</v>
      </c>
      <c r="H76" s="8" t="str">
        <f>IFERROR(__xludf.DUMMYFUNCTION("GOOGLETRANSLATE(B76, ""en"", ""hi"")"),"पम्बरम_19")</f>
        <v>पम्बरम_19</v>
      </c>
      <c r="I76" s="8" t="str">
        <f>IFERROR(__xludf.DUMMYFUNCTION("GOOGLETRANSLATE(C76, ""en"", ""hi"")"),"चित्र में दिखाए गए खेल से, शीर्ष बनाने के लिए उपयोग की जाने वाली प्राथमिक सामग्री क्या है?")</f>
        <v>चित्र में दिखाए गए खेल से, शीर्ष बनाने के लिए उपयोग की जाने वाली प्राथमिक सामग्री क्या है?</v>
      </c>
      <c r="J76" s="8" t="str">
        <f>IFERROR(__xludf.DUMMYFUNCTION("GOOGLETRANSLATE(D76, ""en"", ""hi"")"),"a) प्लास्टिक, b) लकड़ी, c) धातु, d) रबर")</f>
        <v>a) प्लास्टिक, b) लकड़ी, c) धातु, d) रबर</v>
      </c>
      <c r="K76" s="8" t="str">
        <f>IFERROR(__xludf.DUMMYFUNCTION("GOOGLETRANSLATE(E76, ""en"", ""hi"")"),"ख) लकड़ी")</f>
        <v>ख) लकड़ी</v>
      </c>
    </row>
    <row r="77" ht="22.5" customHeight="1">
      <c r="A77" s="2">
        <v>76.0</v>
      </c>
      <c r="B77" s="3" t="s">
        <v>2184</v>
      </c>
      <c r="C77" s="3" t="s">
        <v>2194</v>
      </c>
      <c r="D77" s="3" t="s">
        <v>2195</v>
      </c>
      <c r="E77" s="3" t="s">
        <v>2196</v>
      </c>
      <c r="G77" s="8" t="str">
        <f>IFERROR(__xludf.DUMMYFUNCTION("GOOGLETRANSLATE(A77, ""en"", ""hi"")"),"76")</f>
        <v>76</v>
      </c>
      <c r="H77" s="8" t="str">
        <f>IFERROR(__xludf.DUMMYFUNCTION("GOOGLETRANSLATE(B77, ""en"", ""hi"")"),"पम्बरम_19")</f>
        <v>पम्बरम_19</v>
      </c>
      <c r="I77" s="8" t="str">
        <f>IFERROR(__xludf.DUMMYFUNCTION("GOOGLETRANSLATE(C77, ""en"", ""hi"")"),"चित्र में दिखाए गए खेल से, शीर्ष की नुकीली नोक का क्या कार्य है?")</f>
        <v>चित्र में दिखाए गए खेल से, शीर्ष की नुकीली नोक का क्या कार्य है?</v>
      </c>
      <c r="J77" s="8" t="str">
        <f>IFERROR(__xludf.DUMMYFUNCTION("GOOGLETRANSLATE(D77, ""en"", ""hi"")"),"a) संतुलन बनाए रखने के लिए, b) घूमने की गति बढ़ाने के लिए, c) घिसाव को रोकने के लिए, d) घर्षण को कम करने के लिए")</f>
        <v>a) संतुलन बनाए रखने के लिए, b) घूमने की गति बढ़ाने के लिए, c) घिसाव को रोकने के लिए, d) घर्षण को कम करने के लिए</v>
      </c>
      <c r="K77" s="8" t="str">
        <f>IFERROR(__xludf.DUMMYFUNCTION("GOOGLETRANSLATE(E77, ""en"", ""hi"")"),"a) संतुलन बनाए रखने के लिए")</f>
        <v>a) संतुलन बनाए रखने के लिए</v>
      </c>
    </row>
    <row r="78" ht="22.5" customHeight="1">
      <c r="A78" s="2">
        <v>77.0</v>
      </c>
      <c r="B78" s="3" t="s">
        <v>2197</v>
      </c>
      <c r="C78" s="3" t="s">
        <v>2198</v>
      </c>
      <c r="D78" s="3" t="s">
        <v>2199</v>
      </c>
      <c r="E78" s="3" t="s">
        <v>2200</v>
      </c>
      <c r="G78" s="8" t="str">
        <f>IFERROR(__xludf.DUMMYFUNCTION("GOOGLETRANSLATE(A78, ""en"", ""hi"")"),"77")</f>
        <v>77</v>
      </c>
      <c r="H78" s="8" t="str">
        <f>IFERROR(__xludf.DUMMYFUNCTION("GOOGLETRANSLATE(B78, ""en"", ""hi"")"),"पम्बरम_20")</f>
        <v>पम्बरम_20</v>
      </c>
      <c r="I78" s="8" t="str">
        <f>IFERROR(__xludf.DUMMYFUNCTION("GOOGLETRANSLATE(C78, ""en"", ""hi"")"),"चित्र में दिखाए गए खेल से, किसी खेल में विजेता का निर्धारण आमतौर पर कैसे किया जाता है?")</f>
        <v>चित्र में दिखाए गए खेल से, किसी खेल में विजेता का निर्धारण आमतौर पर कैसे किया जाता है?</v>
      </c>
      <c r="J78" s="8" t="str">
        <f>IFERROR(__xludf.DUMMYFUNCTION("GOOGLETRANSLATE(D78, ""en"", ""hi"")"),"a) घूमने की अवधि से, b) घूमने की संख्या से, c) टॉप के डिज़ाइन से, d) इस्तेमाल की गई डोरी की लंबाई से")</f>
        <v>a) घूमने की अवधि से, b) घूमने की संख्या से, c) टॉप के डिज़ाइन से, d) इस्तेमाल की गई डोरी की लंबाई से</v>
      </c>
      <c r="K78" s="8" t="str">
        <f>IFERROR(__xludf.DUMMYFUNCTION("GOOGLETRANSLATE(E78, ""en"", ""hi"")"),"a) स्पिन की अवधि से")</f>
        <v>a) स्पिन की अवधि से</v>
      </c>
    </row>
    <row r="79" ht="22.5" customHeight="1">
      <c r="A79" s="2">
        <v>78.0</v>
      </c>
      <c r="B79" s="3" t="s">
        <v>2197</v>
      </c>
      <c r="C79" s="3" t="s">
        <v>2201</v>
      </c>
      <c r="D79" s="3" t="s">
        <v>2202</v>
      </c>
      <c r="E79" s="3" t="s">
        <v>2203</v>
      </c>
      <c r="G79" s="8" t="str">
        <f>IFERROR(__xludf.DUMMYFUNCTION("GOOGLETRANSLATE(A79, ""en"", ""hi"")"),"78")</f>
        <v>78</v>
      </c>
      <c r="H79" s="8" t="str">
        <f>IFERROR(__xludf.DUMMYFUNCTION("GOOGLETRANSLATE(B79, ""en"", ""hi"")"),"पम्बरम_20")</f>
        <v>पम्बरम_20</v>
      </c>
      <c r="I79" s="8" t="str">
        <f>IFERROR(__xludf.DUMMYFUNCTION("GOOGLETRANSLATE(C79, ""en"", ""hi"")"),"चित्र में दिखाए गए खेल के अनुसार, किस प्रकार की सतह खेलने के लिए आदर्श है?")</f>
        <v>चित्र में दिखाए गए खेल के अनुसार, किस प्रकार की सतह खेलने के लिए आदर्श है?</v>
      </c>
      <c r="J79" s="8" t="str">
        <f>IFERROR(__xludf.DUMMYFUNCTION("GOOGLETRANSLATE(D79, ""en"", ""hi"")"),"a) चिकना और सपाट, b) खुरदुरा और असमान, c) नरम और घास जैसा, d) फिसलन भरा और गीला")</f>
        <v>a) चिकना और सपाट, b) खुरदुरा और असमान, c) नरम और घास जैसा, d) फिसलन भरा और गीला</v>
      </c>
      <c r="K79" s="8" t="str">
        <f>IFERROR(__xludf.DUMMYFUNCTION("GOOGLETRANSLATE(E79, ""en"", ""hi"")"),"क) चिकना और सपाट")</f>
        <v>क) चिकना और सपाट</v>
      </c>
    </row>
    <row r="80" ht="22.5" customHeight="1">
      <c r="A80" s="2">
        <v>79.0</v>
      </c>
      <c r="B80" s="3" t="s">
        <v>2197</v>
      </c>
      <c r="C80" s="3" t="s">
        <v>2204</v>
      </c>
      <c r="D80" s="3" t="s">
        <v>2205</v>
      </c>
      <c r="E80" s="3" t="s">
        <v>2145</v>
      </c>
      <c r="G80" s="8" t="str">
        <f>IFERROR(__xludf.DUMMYFUNCTION("GOOGLETRANSLATE(A80, ""en"", ""hi"")"),"79")</f>
        <v>79</v>
      </c>
      <c r="H80" s="8" t="str">
        <f>IFERROR(__xludf.DUMMYFUNCTION("GOOGLETRANSLATE(B80, ""en"", ""hi"")"),"पम्बरम_20")</f>
        <v>पम्बरम_20</v>
      </c>
      <c r="I80" s="8" t="str">
        <f>IFERROR(__xludf.DUMMYFUNCTION("GOOGLETRANSLATE(C80, ""en"", ""hi"")"),"चित्र में दिखाए गए खेल से, खेल में तार की क्या भूमिका है?")</f>
        <v>चित्र में दिखाए गए खेल से, खेल में तार की क्या भूमिका है?</v>
      </c>
      <c r="J80" s="8" t="str">
        <f>IFERROR(__xludf.DUMMYFUNCTION("GOOGLETRANSLATE(D80, ""en"", ""hi"")"),"a) स्पिन गति को नियंत्रित करता है, b) स्पिन अवधि निर्धारित करता है, c) स्पिन दिशा को प्रभावित करता है, d) उपरोक्त सभी")</f>
        <v>a) स्पिन गति को नियंत्रित करता है, b) स्पिन अवधि निर्धारित करता है, c) स्पिन दिशा को प्रभावित करता है, d) उपरोक्त सभी</v>
      </c>
      <c r="K80" s="8" t="str">
        <f>IFERROR(__xludf.DUMMYFUNCTION("GOOGLETRANSLATE(E80, ""en"", ""hi"")"),"D। उपरोक्त सभी")</f>
        <v>D। उपरोक्त सभी</v>
      </c>
    </row>
    <row r="81" ht="22.5" customHeight="1">
      <c r="A81" s="2">
        <v>80.0</v>
      </c>
      <c r="B81" s="3" t="s">
        <v>2197</v>
      </c>
      <c r="C81" s="3" t="s">
        <v>2206</v>
      </c>
      <c r="D81" s="3" t="s">
        <v>2207</v>
      </c>
      <c r="E81" s="3" t="s">
        <v>2208</v>
      </c>
      <c r="G81" s="8" t="str">
        <f>IFERROR(__xludf.DUMMYFUNCTION("GOOGLETRANSLATE(A81, ""en"", ""hi"")"),"80")</f>
        <v>80</v>
      </c>
      <c r="H81" s="8" t="str">
        <f>IFERROR(__xludf.DUMMYFUNCTION("GOOGLETRANSLATE(B81, ""en"", ""hi"")"),"पम्बरम_20")</f>
        <v>पम्बरम_20</v>
      </c>
      <c r="I81" s="8" t="str">
        <f>IFERROR(__xludf.DUMMYFUNCTION("GOOGLETRANSLATE(C81, ""en"", ""hi"")"),"चित्र में दिखाए गए खेल से, तेज स्पिन प्राप्त करने की सामान्य तकनीक क्या है?")</f>
        <v>चित्र में दिखाए गए खेल से, तेज स्पिन प्राप्त करने की सामान्य तकनीक क्या है?</v>
      </c>
      <c r="J81" s="8" t="str">
        <f>IFERROR(__xludf.DUMMYFUNCTION("GOOGLETRANSLATE(D81, ""en"", ""hi"")"),"क) लंबी डोरी का उपयोग करना, ख) डोरी को तेजी से खींचना, ग) डोरी को कसकर लपेटना, घ) ऊपरी हिस्से को जोर से फेंकना")</f>
        <v>क) लंबी डोरी का उपयोग करना, ख) डोरी को तेजी से खींचना, ग) डोरी को कसकर लपेटना, घ) ऊपरी हिस्से को जोर से फेंकना</v>
      </c>
      <c r="K81" s="8" t="str">
        <f>IFERROR(__xludf.DUMMYFUNCTION("GOOGLETRANSLATE(E81, ""en"", ""hi"")"),"ख) डोरी को तेजी से खींचना")</f>
        <v>ख) डोरी को तेजी से खींचना</v>
      </c>
    </row>
    <row r="82" ht="22.5" customHeight="1">
      <c r="A82" s="2">
        <v>81.0</v>
      </c>
      <c r="B82" s="3" t="s">
        <v>2209</v>
      </c>
      <c r="C82" s="3" t="s">
        <v>2210</v>
      </c>
      <c r="D82" s="3" t="s">
        <v>2211</v>
      </c>
      <c r="E82" s="3" t="s">
        <v>2212</v>
      </c>
      <c r="G82" s="8" t="str">
        <f>IFERROR(__xludf.DUMMYFUNCTION("GOOGLETRANSLATE(A82, ""en"", ""hi"")"),"81")</f>
        <v>81</v>
      </c>
      <c r="H82" s="8" t="str">
        <f>IFERROR(__xludf.DUMMYFUNCTION("GOOGLETRANSLATE(B82, ""en"", ""hi"")"),"पम्बरम_21")</f>
        <v>पम्बरम_21</v>
      </c>
      <c r="I82" s="8" t="str">
        <f>IFERROR(__xludf.DUMMYFUNCTION("GOOGLETRANSLATE(C82, ""en"", ""hi"")"),"चित्र में दिखाए गए खेल में से कौन सा खेल पारंपरिक रूप से भिन्न है?")</f>
        <v>चित्र में दिखाए गए खेल में से कौन सा खेल पारंपरिक रूप से भिन्न है?</v>
      </c>
      <c r="J82" s="8" t="str">
        <f>IFERROR(__xludf.DUMMYFUNCTION("GOOGLETRANSLATE(D82, ""en"", ""hi"")"),"क) टीम-आधारित स्पिनिंग, ख) लक्ष्य-आधारित स्पिनिंग, ग) रिले-शैली स्पिनिंग, घ) समयबद्ध स्पिनिंग")</f>
        <v>क) टीम-आधारित स्पिनिंग, ख) लक्ष्य-आधारित स्पिनिंग, ग) रिले-शैली स्पिनिंग, घ) समयबद्ध स्पिनिंग</v>
      </c>
      <c r="K82" s="8" t="str">
        <f>IFERROR(__xludf.DUMMYFUNCTION("GOOGLETRANSLATE(E82, ""en"", ""hi"")"),"ख) लक्ष्य-आधारित कताई")</f>
        <v>ख) लक्ष्य-आधारित कताई</v>
      </c>
    </row>
    <row r="83" ht="22.5" customHeight="1">
      <c r="A83" s="2">
        <v>82.0</v>
      </c>
      <c r="B83" s="3" t="s">
        <v>2209</v>
      </c>
      <c r="C83" s="3" t="s">
        <v>2213</v>
      </c>
      <c r="D83" s="3" t="s">
        <v>2214</v>
      </c>
      <c r="E83" s="3" t="s">
        <v>2215</v>
      </c>
      <c r="G83" s="8" t="str">
        <f>IFERROR(__xludf.DUMMYFUNCTION("GOOGLETRANSLATE(A83, ""en"", ""hi"")"),"82")</f>
        <v>82</v>
      </c>
      <c r="H83" s="8" t="str">
        <f>IFERROR(__xludf.DUMMYFUNCTION("GOOGLETRANSLATE(B83, ""en"", ""hi"")"),"पम्बरम_21")</f>
        <v>पम्बरम_21</v>
      </c>
      <c r="I83" s="8" t="str">
        <f>IFERROR(__xludf.DUMMYFUNCTION("GOOGLETRANSLATE(C83, ""en"", ""hi"")"),"चित्र में दिखाए गए खेल के अनुसार, यदि शीर्ष ठीक से नहीं घूमता तो क्या होता है?")</f>
        <v>चित्र में दिखाए गए खेल के अनुसार, यदि शीर्ष ठीक से नहीं घूमता तो क्या होता है?</v>
      </c>
      <c r="J83" s="8" t="str">
        <f>IFERROR(__xludf.DUMMYFUNCTION("GOOGLETRANSLATE(D83, ""en"", ""hi"")"),"a) यह तेजी से डगमगाता है और रुक जाता है, b) यह तेजी से घूमता है, c) यह सीधी रेखा में चलता है, d) यह तेज आवाज करता है")</f>
        <v>a) यह तेजी से डगमगाता है और रुक जाता है, b) यह तेजी से घूमता है, c) यह सीधी रेखा में चलता है, d) यह तेज आवाज करता है</v>
      </c>
      <c r="K83" s="8" t="str">
        <f>IFERROR(__xludf.DUMMYFUNCTION("GOOGLETRANSLATE(E83, ""en"", ""hi"")"),"a) यह डगमगाता है और जल्दी से रुक जाता है")</f>
        <v>a) यह डगमगाता है और जल्दी से रुक जाता है</v>
      </c>
    </row>
    <row r="84" ht="22.5" customHeight="1">
      <c r="A84" s="2">
        <v>83.0</v>
      </c>
      <c r="B84" s="3" t="s">
        <v>2209</v>
      </c>
      <c r="C84" s="3" t="s">
        <v>2216</v>
      </c>
      <c r="D84" s="3" t="s">
        <v>2217</v>
      </c>
      <c r="E84" s="3" t="s">
        <v>2218</v>
      </c>
      <c r="G84" s="8" t="str">
        <f>IFERROR(__xludf.DUMMYFUNCTION("GOOGLETRANSLATE(A84, ""en"", ""hi"")"),"83")</f>
        <v>83</v>
      </c>
      <c r="H84" s="8" t="str">
        <f>IFERROR(__xludf.DUMMYFUNCTION("GOOGLETRANSLATE(B84, ""en"", ""hi"")"),"पम्बरम_21")</f>
        <v>पम्बरम_21</v>
      </c>
      <c r="I84" s="8" t="str">
        <f>IFERROR(__xludf.DUMMYFUNCTION("GOOGLETRANSLATE(C84, ""en"", ""hi"")"),"चित्र में दिखाए गए खेल से, तार की मोटाई क्या प्रभावित करती है?")</f>
        <v>चित्र में दिखाए गए खेल से, तार की मोटाई क्या प्रभावित करती है?</v>
      </c>
      <c r="J84" s="8" t="str">
        <f>IFERROR(__xludf.DUMMYFUNCTION("GOOGLETRANSLATE(D84, ""en"", ""hi"")"),"a) स्पिन गति, b) स्पिन नियंत्रण, c) उपयोग में आसानी, d) स्पिन अवधि")</f>
        <v>a) स्पिन गति, b) स्पिन नियंत्रण, c) उपयोग में आसानी, d) स्पिन अवधि</v>
      </c>
      <c r="K84" s="8" t="str">
        <f>IFERROR(__xludf.DUMMYFUNCTION("GOOGLETRANSLATE(E84, ""en"", ""hi"")"),"a) स्पिन गति")</f>
        <v>a) स्पिन गति</v>
      </c>
    </row>
    <row r="85" ht="22.5" customHeight="1">
      <c r="A85" s="2">
        <v>84.0</v>
      </c>
      <c r="B85" s="3" t="s">
        <v>2209</v>
      </c>
      <c r="C85" s="3" t="s">
        <v>2219</v>
      </c>
      <c r="D85" s="3" t="s">
        <v>2220</v>
      </c>
      <c r="E85" s="3" t="s">
        <v>2221</v>
      </c>
      <c r="G85" s="8" t="str">
        <f>IFERROR(__xludf.DUMMYFUNCTION("GOOGLETRANSLATE(A85, ""en"", ""hi"")"),"84")</f>
        <v>84</v>
      </c>
      <c r="H85" s="8" t="str">
        <f>IFERROR(__xludf.DUMMYFUNCTION("GOOGLETRANSLATE(B85, ""en"", ""hi"")"),"पम्बरम_21")</f>
        <v>पम्बरम_21</v>
      </c>
      <c r="I85" s="8" t="str">
        <f>IFERROR(__xludf.DUMMYFUNCTION("GOOGLETRANSLATE(C85, ""en"", ""hi"")"),"चित्र में दिखाए गए खेल से, रेतीली सतह पर खेलने से खेल पर क्या प्रभाव पड़ता है?")</f>
        <v>चित्र में दिखाए गए खेल से, रेतीली सतह पर खेलने से खेल पर क्या प्रभाव पड़ता है?</v>
      </c>
      <c r="J85" s="8" t="str">
        <f>IFERROR(__xludf.DUMMYFUNCTION("GOOGLETRANSLATE(D85, ""en"", ""hi"")"),"a) स्पिन को धीमा करता है, b) स्पिन को तेज करता है, c) शीर्ष पर घिसाव बढ़ाता है, d) नियंत्रण बढ़ाता है")</f>
        <v>a) स्पिन को धीमा करता है, b) स्पिन को तेज करता है, c) शीर्ष पर घिसाव बढ़ाता है, d) नियंत्रण बढ़ाता है</v>
      </c>
      <c r="K85" s="8" t="str">
        <f>IFERROR(__xludf.DUMMYFUNCTION("GOOGLETRANSLATE(E85, ""en"", ""hi"")"),"a) स्पिन को धीमा कर देता है")</f>
        <v>a) स्पिन को धीमा कर देता है</v>
      </c>
    </row>
    <row r="86" ht="22.5" customHeight="1">
      <c r="A86" s="2">
        <v>85.0</v>
      </c>
      <c r="B86" s="3" t="s">
        <v>2222</v>
      </c>
      <c r="C86" s="3" t="s">
        <v>2223</v>
      </c>
      <c r="D86" s="3" t="s">
        <v>2224</v>
      </c>
      <c r="E86" s="3" t="s">
        <v>2145</v>
      </c>
      <c r="G86" s="8" t="str">
        <f>IFERROR(__xludf.DUMMYFUNCTION("GOOGLETRANSLATE(A86, ""en"", ""hi"")"),"85")</f>
        <v>85</v>
      </c>
      <c r="H86" s="8" t="str">
        <f>IFERROR(__xludf.DUMMYFUNCTION("GOOGLETRANSLATE(B86, ""en"", ""hi"")"),"पम्बरम_22")</f>
        <v>पम्बरम_22</v>
      </c>
      <c r="I86" s="8" t="str">
        <f>IFERROR(__xludf.DUMMYFUNCTION("GOOGLETRANSLATE(C86, ""en"", ""hi"")"),"चित्र में दिखाए गए खेल से, प्रतिस्पर्धी खेल में इनमें से कौन सा नियम सामान्य है?")</f>
        <v>चित्र में दिखाए गए खेल से, प्रतिस्पर्धी खेल में इनमें से कौन सा नियम सामान्य है?</v>
      </c>
      <c r="J86" s="8" t="str">
        <f>IFERROR(__xludf.DUMMYFUNCTION("GOOGLETRANSLATE(D86, ""en"", ""hi"")"),"क) घूमने के बाद ऊपरी भाग को न छूना, ख) केवल एक निश्चित लंबाई की डोरी का उपयोग करना, ग) चिह्नित स्थान से घूमना, घ) उपरोक्त सभी")</f>
        <v>क) घूमने के बाद ऊपरी भाग को न छूना, ख) केवल एक निश्चित लंबाई की डोरी का उपयोग करना, ग) चिह्नित स्थान से घूमना, घ) उपरोक्त सभी</v>
      </c>
      <c r="K86" s="8" t="str">
        <f>IFERROR(__xludf.DUMMYFUNCTION("GOOGLETRANSLATE(E86, ""en"", ""hi"")"),"D। उपरोक्त सभी")</f>
        <v>D। उपरोक्त सभी</v>
      </c>
    </row>
    <row r="87" ht="22.5" customHeight="1">
      <c r="A87" s="2">
        <v>86.0</v>
      </c>
      <c r="B87" s="3" t="s">
        <v>2222</v>
      </c>
      <c r="C87" s="3" t="s">
        <v>2225</v>
      </c>
      <c r="D87" s="3" t="s">
        <v>2226</v>
      </c>
      <c r="E87" s="3" t="s">
        <v>2227</v>
      </c>
      <c r="G87" s="8" t="str">
        <f>IFERROR(__xludf.DUMMYFUNCTION("GOOGLETRANSLATE(A87, ""en"", ""hi"")"),"86")</f>
        <v>86</v>
      </c>
      <c r="H87" s="8" t="str">
        <f>IFERROR(__xludf.DUMMYFUNCTION("GOOGLETRANSLATE(B87, ""en"", ""hi"")"),"पम्बरम_22")</f>
        <v>पम्बरम_22</v>
      </c>
      <c r="I87" s="8" t="str">
        <f>IFERROR(__xludf.DUMMYFUNCTION("GOOGLETRANSLATE(C87, ""en"", ""hi"")"),"चित्र में दिखाए गए खेल से, तार को कसकर लपेटने का उद्देश्य क्या है?")</f>
        <v>चित्र में दिखाए गए खेल से, तार को कसकर लपेटने का उद्देश्य क्या है?</v>
      </c>
      <c r="J87" s="8" t="str">
        <f>IFERROR(__xludf.DUMMYFUNCTION("GOOGLETRANSLATE(D87, ""en"", ""hi"")"),"a) स्पिन गति बढ़ाने के लिए, b) वायु प्रतिरोध को कम करने के लिए, c) संतुलन में सुधार करने के लिए, d) स्ट्रिंग की सुरक्षा के लिए")</f>
        <v>a) स्पिन गति बढ़ाने के लिए, b) वायु प्रतिरोध को कम करने के लिए, c) संतुलन में सुधार करने के लिए, d) स्ट्रिंग की सुरक्षा के लिए</v>
      </c>
      <c r="K87" s="8" t="str">
        <f>IFERROR(__xludf.DUMMYFUNCTION("GOOGLETRANSLATE(E87, ""en"", ""hi"")"),"a) स्पिन गति बढ़ाने के लिए")</f>
        <v>a) स्पिन गति बढ़ाने के लिए</v>
      </c>
    </row>
    <row r="88" ht="22.5" customHeight="1">
      <c r="A88" s="2">
        <v>87.0</v>
      </c>
      <c r="B88" s="3" t="s">
        <v>2222</v>
      </c>
      <c r="C88" s="3" t="s">
        <v>2228</v>
      </c>
      <c r="D88" s="3" t="s">
        <v>2229</v>
      </c>
      <c r="E88" s="3" t="s">
        <v>2230</v>
      </c>
      <c r="G88" s="8" t="str">
        <f>IFERROR(__xludf.DUMMYFUNCTION("GOOGLETRANSLATE(A88, ""en"", ""hi"")"),"87")</f>
        <v>87</v>
      </c>
      <c r="H88" s="8" t="str">
        <f>IFERROR(__xludf.DUMMYFUNCTION("GOOGLETRANSLATE(B88, ""en"", ""hi"")"),"पम्बरम_22")</f>
        <v>पम्बरम_22</v>
      </c>
      <c r="I88" s="8" t="str">
        <f>IFERROR(__xludf.DUMMYFUNCTION("GOOGLETRANSLATE(C88, ""en"", ""hi"")"),"चित्र में दिखाए गए खेल से, ढीली डोरी का क्या प्रभाव पड़ता है?")</f>
        <v>चित्र में दिखाए गए खेल से, ढीली डोरी का क्या प्रभाव पड़ता है?</v>
      </c>
      <c r="J88" s="8" t="str">
        <f>IFERROR(__xludf.DUMMYFUNCTION("GOOGLETRANSLATE(D88, ""en"", ""hi"")"),"a) धीमी स्पिन, b) तेज़ स्पिन, c) लंबी स्पिन अवधि, d) बेहतर नियंत्रण")</f>
        <v>a) धीमी स्पिन, b) तेज़ स्पिन, c) लंबी स्पिन अवधि, d) बेहतर नियंत्रण</v>
      </c>
      <c r="K88" s="8" t="str">
        <f>IFERROR(__xludf.DUMMYFUNCTION("GOOGLETRANSLATE(E88, ""en"", ""hi"")"),"a) धीमी स्पिन")</f>
        <v>a) धीमी स्पिन</v>
      </c>
    </row>
    <row r="89" ht="22.5" customHeight="1">
      <c r="A89" s="2">
        <v>88.0</v>
      </c>
      <c r="B89" s="3" t="s">
        <v>2222</v>
      </c>
      <c r="C89" s="3" t="s">
        <v>2231</v>
      </c>
      <c r="D89" s="3" t="s">
        <v>2232</v>
      </c>
      <c r="E89" s="3" t="s">
        <v>2233</v>
      </c>
      <c r="G89" s="8" t="str">
        <f>IFERROR(__xludf.DUMMYFUNCTION("GOOGLETRANSLATE(A89, ""en"", ""hi"")"),"88")</f>
        <v>88</v>
      </c>
      <c r="H89" s="8" t="str">
        <f>IFERROR(__xludf.DUMMYFUNCTION("GOOGLETRANSLATE(B89, ""en"", ""hi"")"),"पम्बरम_22")</f>
        <v>पम्बरम_22</v>
      </c>
      <c r="I89" s="8" t="str">
        <f>IFERROR(__xludf.DUMMYFUNCTION("GOOGLETRANSLATE(C89, ""en"", ""hi"")"),"चित्र में दिखाए गए खेल से, इनमें से कौन सा कारक एक आदर्श प्रक्षेपण के लिए महत्वपूर्ण है?")</f>
        <v>चित्र में दिखाए गए खेल से, इनमें से कौन सा कारक एक आदर्श प्रक्षेपण के लिए महत्वपूर्ण है?</v>
      </c>
      <c r="J89" s="8" t="str">
        <f>IFERROR(__xludf.DUMMYFUNCTION("GOOGLETRANSLATE(D89, ""en"", ""hi"")"),"a) फेंकने का कोण, b) डोरी की लंबाई, c) लट्टू का वजन, d) लट्टू का डिज़ाइन")</f>
        <v>a) फेंकने का कोण, b) डोरी की लंबाई, c) लट्टू का वजन, d) लट्टू का डिज़ाइन</v>
      </c>
      <c r="K89" s="8" t="str">
        <f>IFERROR(__xludf.DUMMYFUNCTION("GOOGLETRANSLATE(E89, ""en"", ""hi"")"),"a) फेंक का कोण")</f>
        <v>a) फेंक का कोण</v>
      </c>
    </row>
    <row r="90" ht="22.5" customHeight="1">
      <c r="A90" s="2">
        <v>89.0</v>
      </c>
      <c r="B90" s="3" t="s">
        <v>2234</v>
      </c>
      <c r="C90" s="3" t="s">
        <v>2235</v>
      </c>
      <c r="D90" s="3" t="s">
        <v>2236</v>
      </c>
      <c r="E90" s="3" t="s">
        <v>2237</v>
      </c>
      <c r="G90" s="8" t="str">
        <f>IFERROR(__xludf.DUMMYFUNCTION("GOOGLETRANSLATE(A90, ""en"", ""hi"")"),"89")</f>
        <v>89</v>
      </c>
      <c r="H90" s="8" t="str">
        <f>IFERROR(__xludf.DUMMYFUNCTION("GOOGLETRANSLATE(B90, ""en"", ""hi"")"),"पम्बरम_23")</f>
        <v>पम्बरम_23</v>
      </c>
      <c r="I90" s="8" t="str">
        <f>IFERROR(__xludf.DUMMYFUNCTION("GOOGLETRANSLATE(C90, ""en"", ""hi"")"),"चित्र में दिखाए गए खेल से, एक सफल खेल किस पर निर्भर करता है?")</f>
        <v>चित्र में दिखाए गए खेल से, एक सफल खेल किस पर निर्भर करता है?</v>
      </c>
      <c r="J90" s="8" t="str">
        <f>IFERROR(__xludf.DUMMYFUNCTION("GOOGLETRANSLATE(D90, ""en"", ""hi"")"),"a) स्थिरता, b) शक्ति, c) भाग्य, d) टीम वर्क")</f>
        <v>a) स्थिरता, b) शक्ति, c) भाग्य, d) टीम वर्क</v>
      </c>
      <c r="K90" s="8" t="str">
        <f>IFERROR(__xludf.DUMMYFUNCTION("GOOGLETRANSLATE(E90, ""en"", ""hi"")"),"क) संगति")</f>
        <v>क) संगति</v>
      </c>
    </row>
    <row r="91" ht="22.5" customHeight="1">
      <c r="A91" s="2">
        <v>90.0</v>
      </c>
      <c r="B91" s="3" t="s">
        <v>2234</v>
      </c>
      <c r="C91" s="3" t="s">
        <v>2238</v>
      </c>
      <c r="D91" s="3" t="s">
        <v>2239</v>
      </c>
      <c r="E91" s="3" t="s">
        <v>2240</v>
      </c>
      <c r="G91" s="8" t="str">
        <f>IFERROR(__xludf.DUMMYFUNCTION("GOOGLETRANSLATE(A91, ""en"", ""hi"")"),"90")</f>
        <v>90</v>
      </c>
      <c r="H91" s="8" t="str">
        <f>IFERROR(__xludf.DUMMYFUNCTION("GOOGLETRANSLATE(B91, ""en"", ""hi"")"),"पम्बरम_23")</f>
        <v>पम्बरम_23</v>
      </c>
      <c r="I91" s="8" t="str">
        <f>IFERROR(__xludf.DUMMYFUNCTION("GOOGLETRANSLATE(C91, ""en"", ""hi"")"),"चित्र में दिखाए गए खेल से, मैच में प्रतिद्वंद्वियों को मात देने की रणनीति क्या है?")</f>
        <v>चित्र में दिखाए गए खेल से, मैच में प्रतिद्वंद्वियों को मात देने की रणनीति क्या है?</v>
      </c>
      <c r="J91" s="8" t="str">
        <f>IFERROR(__xludf.DUMMYFUNCTION("GOOGLETRANSLATE(D91, ""en"", ""hi"")"),"a) ऊपरी हिस्से को एक कोण पर घुमाएँ, b) भारी ऊपरी हिस्से का उपयोग करें, c) अधिक बल से घुमाएँ, d) ऊपरी हिस्से को ज़मीन के करीब घुमाएँ")</f>
        <v>a) ऊपरी हिस्से को एक कोण पर घुमाएँ, b) भारी ऊपरी हिस्से का उपयोग करें, c) अधिक बल से घुमाएँ, d) ऊपरी हिस्से को ज़मीन के करीब घुमाएँ</v>
      </c>
      <c r="K91" s="8" t="str">
        <f>IFERROR(__xludf.DUMMYFUNCTION("GOOGLETRANSLATE(E91, ""en"", ""hi"")"),"b) भारी टॉप का उपयोग करें")</f>
        <v>b) भारी टॉप का उपयोग करें</v>
      </c>
    </row>
    <row r="92" ht="22.5" customHeight="1">
      <c r="A92" s="2">
        <v>91.0</v>
      </c>
      <c r="B92" s="3" t="s">
        <v>2234</v>
      </c>
      <c r="C92" s="3" t="s">
        <v>2241</v>
      </c>
      <c r="D92" s="3" t="s">
        <v>2242</v>
      </c>
      <c r="E92" s="3" t="s">
        <v>2243</v>
      </c>
      <c r="G92" s="8" t="str">
        <f>IFERROR(__xludf.DUMMYFUNCTION("GOOGLETRANSLATE(A92, ""en"", ""hi"")"),"91")</f>
        <v>91</v>
      </c>
      <c r="H92" s="8" t="str">
        <f>IFERROR(__xludf.DUMMYFUNCTION("GOOGLETRANSLATE(B92, ""en"", ""hi"")"),"पम्बरम_23")</f>
        <v>पम्बरम_23</v>
      </c>
      <c r="I92" s="8" t="str">
        <f>IFERROR(__xludf.DUMMYFUNCTION("GOOGLETRANSLATE(C92, ""en"", ""hi"")"),"चित्र में दिखाए गए खेल में अनुभवी खिलाड़ियों के लिए सामान्य तकनीक क्या है?")</f>
        <v>चित्र में दिखाए गए खेल में अनुभवी खिलाड़ियों के लिए सामान्य तकनीक क्या है?</v>
      </c>
      <c r="J92" s="8" t="str">
        <f>IFERROR(__xludf.DUMMYFUNCTION("GOOGLETRANSLATE(D92, ""en"", ""hi"")"),"क) स्पिन की दिशा बदलना, ख) खुरदरी सतहों पर स्पिन करना, ग) एकाधिक टॉप का उपयोग करना, घ) टॉप को झटके से फेंकना")</f>
        <v>क) स्पिन की दिशा बदलना, ख) खुरदरी सतहों पर स्पिन करना, ग) एकाधिक टॉप का उपयोग करना, घ) टॉप को झटके से फेंकना</v>
      </c>
      <c r="K92" s="8" t="str">
        <f>IFERROR(__xludf.DUMMYFUNCTION("GOOGLETRANSLATE(E92, ""en"", ""hi"")"),"d) झटके से टॉप फेंकना")</f>
        <v>d) झटके से टॉप फेंकना</v>
      </c>
    </row>
    <row r="93" ht="22.5" customHeight="1">
      <c r="A93" s="2">
        <v>92.0</v>
      </c>
      <c r="B93" s="3" t="s">
        <v>2234</v>
      </c>
      <c r="C93" s="3" t="s">
        <v>2244</v>
      </c>
      <c r="D93" s="3" t="s">
        <v>2245</v>
      </c>
      <c r="E93" s="3" t="s">
        <v>2246</v>
      </c>
      <c r="G93" s="8" t="str">
        <f>IFERROR(__xludf.DUMMYFUNCTION("GOOGLETRANSLATE(A93, ""en"", ""hi"")"),"92")</f>
        <v>92</v>
      </c>
      <c r="H93" s="8" t="str">
        <f>IFERROR(__xludf.DUMMYFUNCTION("GOOGLETRANSLATE(B93, ""en"", ""hi"")"),"पम्बरम_23")</f>
        <v>पम्बरम_23</v>
      </c>
      <c r="I93" s="8" t="str">
        <f>IFERROR(__xludf.DUMMYFUNCTION("GOOGLETRANSLATE(C93, ""en"", ""hi"")"),"चित्र में दिखाए गए खेल से, एक शुरुआती की गलती क्या है?")</f>
        <v>चित्र में दिखाए गए खेल से, एक शुरुआती की गलती क्या है?</v>
      </c>
      <c r="J93" s="8" t="str">
        <f>IFERROR(__xludf.DUMMYFUNCTION("GOOGLETRANSLATE(D93, ""en"", ""hi"")"),"क) डोरी को पर्याप्त जोर से न खींचना, ख) छोटी डोरी का उपयोग करना, ग) ऊपरी भाग को ढीला पकड़ना, घ) असमान सतह पर घूमना")</f>
        <v>क) डोरी को पर्याप्त जोर से न खींचना, ख) छोटी डोरी का उपयोग करना, ग) ऊपरी भाग को ढीला पकड़ना, घ) असमान सतह पर घूमना</v>
      </c>
      <c r="K93" s="8" t="str">
        <f>IFERROR(__xludf.DUMMYFUNCTION("GOOGLETRANSLATE(E93, ""en"", ""hi"")"),"c) ऊपरी भाग को ढीला पकड़े हुए")</f>
        <v>c) ऊपरी भाग को ढीला पकड़े हुए</v>
      </c>
    </row>
    <row r="94" ht="22.5" customHeight="1">
      <c r="A94" s="2">
        <v>93.0</v>
      </c>
      <c r="B94" s="3" t="s">
        <v>2247</v>
      </c>
      <c r="C94" s="3" t="s">
        <v>2248</v>
      </c>
      <c r="D94" s="3" t="s">
        <v>2249</v>
      </c>
      <c r="E94" s="3" t="s">
        <v>2145</v>
      </c>
      <c r="G94" s="8" t="str">
        <f>IFERROR(__xludf.DUMMYFUNCTION("GOOGLETRANSLATE(A94, ""en"", ""hi"")"),"93")</f>
        <v>93</v>
      </c>
      <c r="H94" s="8" t="str">
        <f>IFERROR(__xludf.DUMMYFUNCTION("GOOGLETRANSLATE(B94, ""en"", ""hi"")"),"पम्बरम_24")</f>
        <v>पम्बरम_24</v>
      </c>
      <c r="I94" s="8" t="str">
        <f>IFERROR(__xludf.DUMMYFUNCTION("GOOGLETRANSLATE(C94, ""en"", ""hi"")"),"चित्र में दिखाए गए खेल से, शीर्ष पारंपरिक रूप से कैसे सजाया जाता है?")</f>
        <v>चित्र में दिखाए गए खेल से, शीर्ष पारंपरिक रूप से कैसे सजाया जाता है?</v>
      </c>
      <c r="J94" s="8" t="str">
        <f>IFERROR(__xludf.DUMMYFUNCTION("GOOGLETRANSLATE(D94, ""en"", ""hi"")"),"a) चमकीले रंगों के साथ, b) धातु के छल्लों के साथ, c) नक्काशीदार पैटर्न के साथ, d) उपरोक्त सभी")</f>
        <v>a) चमकीले रंगों के साथ, b) धातु के छल्लों के साथ, c) नक्काशीदार पैटर्न के साथ, d) उपरोक्त सभी</v>
      </c>
      <c r="K94" s="8" t="str">
        <f>IFERROR(__xludf.DUMMYFUNCTION("GOOGLETRANSLATE(E94, ""en"", ""hi"")"),"D। उपरोक्त सभी")</f>
        <v>D। उपरोक्त सभी</v>
      </c>
    </row>
    <row r="95" ht="22.5" customHeight="1">
      <c r="A95" s="2">
        <v>94.0</v>
      </c>
      <c r="B95" s="3" t="s">
        <v>2247</v>
      </c>
      <c r="C95" s="3" t="s">
        <v>2250</v>
      </c>
      <c r="D95" s="3" t="s">
        <v>2251</v>
      </c>
      <c r="E95" s="3" t="s">
        <v>2252</v>
      </c>
      <c r="G95" s="8" t="str">
        <f>IFERROR(__xludf.DUMMYFUNCTION("GOOGLETRANSLATE(A95, ""en"", ""hi"")"),"94")</f>
        <v>94</v>
      </c>
      <c r="H95" s="8" t="str">
        <f>IFERROR(__xludf.DUMMYFUNCTION("GOOGLETRANSLATE(B95, ""en"", ""hi"")"),"पम्बरम_24")</f>
        <v>पम्बरम_24</v>
      </c>
      <c r="I95" s="8" t="str">
        <f>IFERROR(__xludf.DUMMYFUNCTION("GOOGLETRANSLATE(C95, ""en"", ""hi"")"),"चित्र में दिखाए गए खेल से, किसी खुरदुरे तार का उपयोग करने का क्या प्रभाव पड़ता है?")</f>
        <v>चित्र में दिखाए गए खेल से, किसी खुरदुरे तार का उपयोग करने का क्या प्रभाव पड़ता है?</v>
      </c>
      <c r="J95" s="8" t="str">
        <f>IFERROR(__xludf.DUMMYFUNCTION("GOOGLETRANSLATE(D95, ""en"", ""hi"")"),"a) घर्षण बढ़ाता है, b) घूमने का समय कम करता है, c) नियंत्रण बढ़ाता है, d) घुमाना कठिन बनाता है")</f>
        <v>a) घर्षण बढ़ाता है, b) घूमने का समय कम करता है, c) नियंत्रण बढ़ाता है, d) घुमाना कठिन बनाता है</v>
      </c>
      <c r="K95" s="8" t="str">
        <f>IFERROR(__xludf.DUMMYFUNCTION("GOOGLETRANSLATE(E95, ""en"", ""hi"")"),"a) घर्षण बढ़ाता है")</f>
        <v>a) घर्षण बढ़ाता है</v>
      </c>
    </row>
    <row r="96" ht="22.5" customHeight="1">
      <c r="A96" s="2">
        <v>95.0</v>
      </c>
      <c r="B96" s="3" t="s">
        <v>2247</v>
      </c>
      <c r="C96" s="3" t="s">
        <v>2253</v>
      </c>
      <c r="D96" s="3" t="s">
        <v>2254</v>
      </c>
      <c r="E96" s="3" t="s">
        <v>2255</v>
      </c>
      <c r="G96" s="8" t="str">
        <f>IFERROR(__xludf.DUMMYFUNCTION("GOOGLETRANSLATE(A96, ""en"", ""hi"")"),"95")</f>
        <v>95</v>
      </c>
      <c r="H96" s="8" t="str">
        <f>IFERROR(__xludf.DUMMYFUNCTION("GOOGLETRANSLATE(B96, ""en"", ""hi"")"),"पम्बरम_24")</f>
        <v>पम्बरम_24</v>
      </c>
      <c r="I96" s="8" t="str">
        <f>IFERROR(__xludf.DUMMYFUNCTION("GOOGLETRANSLATE(C96, ""en"", ""hi"")"),"चित्र में दिखाए गए खेल से, स्पिनिंग से पहले शीर्ष को संतुलित करने का उद्देश्य क्या है?")</f>
        <v>चित्र में दिखाए गए खेल से, स्पिनिंग से पहले शीर्ष को संतुलित करने का उद्देश्य क्या है?</v>
      </c>
      <c r="J96" s="8" t="str">
        <f>IFERROR(__xludf.DUMMYFUNCTION("GOOGLETRANSLATE(D96, ""en"", ""hi"")"),"a) सीधा घूमना सुनिश्चित करने के लिए, b) इसे तेजी से घुमाने के लिए, c) शोर कम करने के लिए, d) डगमगाने से रोकने के लिए")</f>
        <v>a) सीधा घूमना सुनिश्चित करने के लिए, b) इसे तेजी से घुमाने के लिए, c) शोर कम करने के लिए, d) डगमगाने से रोकने के लिए</v>
      </c>
      <c r="K96" s="8" t="str">
        <f>IFERROR(__xludf.DUMMYFUNCTION("GOOGLETRANSLATE(E96, ""en"", ""hi"")"),"d) डगमगाने से रोकने के लिए")</f>
        <v>d) डगमगाने से रोकने के लिए</v>
      </c>
    </row>
    <row r="97" ht="22.5" customHeight="1">
      <c r="A97" s="2">
        <v>96.0</v>
      </c>
      <c r="B97" s="3" t="s">
        <v>2247</v>
      </c>
      <c r="C97" s="3" t="s">
        <v>2256</v>
      </c>
      <c r="D97" s="3" t="s">
        <v>2257</v>
      </c>
      <c r="E97" s="3" t="s">
        <v>2145</v>
      </c>
      <c r="G97" s="8" t="str">
        <f>IFERROR(__xludf.DUMMYFUNCTION("GOOGLETRANSLATE(A97, ""en"", ""hi"")"),"96")</f>
        <v>96</v>
      </c>
      <c r="H97" s="8" t="str">
        <f>IFERROR(__xludf.DUMMYFUNCTION("GOOGLETRANSLATE(B97, ""en"", ""hi"")"),"पम्बरम_24")</f>
        <v>पम्बरम_24</v>
      </c>
      <c r="I97" s="8" t="str">
        <f>IFERROR(__xludf.DUMMYFUNCTION("GOOGLETRANSLATE(C97, ""en"", ""hi"")"),"चित्र में दिखाए गए खेल से, हवा चलने की स्थिति में खिलाड़ियों को किस चुनौती का सामना करना पड़ता है?")</f>
        <v>चित्र में दिखाए गए खेल से, हवा चलने की स्थिति में खिलाड़ियों को किस चुनौती का सामना करना पड़ता है?</v>
      </c>
      <c r="J97" s="8" t="str">
        <f>IFERROR(__xludf.DUMMYFUNCTION("GOOGLETRANSLATE(D97, ""en"", ""hi"")"),"a) संतुलन बनाए रखने में कठिनाई, b) स्पिन अवधि में कमी, c) टॉप लॉन्च करने में कठिनाई, d) उपरोक्त सभी")</f>
        <v>a) संतुलन बनाए रखने में कठिनाई, b) स्पिन अवधि में कमी, c) टॉप लॉन्च करने में कठिनाई, d) उपरोक्त सभी</v>
      </c>
      <c r="K97" s="8" t="str">
        <f>IFERROR(__xludf.DUMMYFUNCTION("GOOGLETRANSLATE(E97, ""en"", ""hi"")"),"D। उपरोक्त सभी")</f>
        <v>D। उपरोक्त सभी</v>
      </c>
    </row>
    <row r="98" ht="22.5" customHeight="1">
      <c r="A98" s="2">
        <v>97.0</v>
      </c>
      <c r="B98" s="3" t="s">
        <v>2258</v>
      </c>
      <c r="C98" s="3" t="s">
        <v>2259</v>
      </c>
      <c r="D98" s="3" t="s">
        <v>2260</v>
      </c>
      <c r="E98" s="3" t="s">
        <v>2261</v>
      </c>
      <c r="G98" s="8" t="str">
        <f>IFERROR(__xludf.DUMMYFUNCTION("GOOGLETRANSLATE(A98, ""en"", ""hi"")"),"97")</f>
        <v>97</v>
      </c>
      <c r="H98" s="8" t="str">
        <f>IFERROR(__xludf.DUMMYFUNCTION("GOOGLETRANSLATE(B98, ""en"", ""hi"")"),"पम्बरम_25")</f>
        <v>पम्बरम_25</v>
      </c>
      <c r="I98" s="8" t="str">
        <f>IFERROR(__xludf.DUMMYFUNCTION("GOOGLETRANSLATE(C98, ""en"", ""hi"")"),"चित्र में दिखाए गए खेल से, विभिन्न शीर्ष भार के साथ अभ्यास करने का उद्देश्य क्या है?")</f>
        <v>चित्र में दिखाए गए खेल से, विभिन्न शीर्ष भार के साथ अभ्यास करने का उद्देश्य क्या है?</v>
      </c>
      <c r="J98" s="8" t="str">
        <f>IFERROR(__xludf.DUMMYFUNCTION("GOOGLETRANSLATE(D98, ""en"", ""hi"")"),"क) यह समझने के लिए कि वजन स्पिन को कैसे प्रभावित करता है, ख) ताकत में सुधार करने के लिए, ग) सटीकता बढ़ाने के लिए, घ) सहनशक्ति बढ़ाने के लिए")</f>
        <v>क) यह समझने के लिए कि वजन स्पिन को कैसे प्रभावित करता है, ख) ताकत में सुधार करने के लिए, ग) सटीकता बढ़ाने के लिए, घ) सहनशक्ति बढ़ाने के लिए</v>
      </c>
      <c r="K98" s="8" t="str">
        <f>IFERROR(__xludf.DUMMYFUNCTION("GOOGLETRANSLATE(E98, ""en"", ""hi"")"),"a) यह समझने के लिए कि वजन स्पिन को कैसे प्रभावित करता है")</f>
        <v>a) यह समझने के लिए कि वजन स्पिन को कैसे प्रभावित करता है</v>
      </c>
    </row>
    <row r="99" ht="22.5" customHeight="1">
      <c r="A99" s="2">
        <v>98.0</v>
      </c>
      <c r="B99" s="3" t="s">
        <v>2258</v>
      </c>
      <c r="C99" s="3" t="s">
        <v>2262</v>
      </c>
      <c r="D99" s="3" t="s">
        <v>2263</v>
      </c>
      <c r="E99" s="3" t="s">
        <v>2145</v>
      </c>
      <c r="G99" s="8" t="str">
        <f>IFERROR(__xludf.DUMMYFUNCTION("GOOGLETRANSLATE(A99, ""en"", ""hi"")"),"98")</f>
        <v>98</v>
      </c>
      <c r="H99" s="8" t="str">
        <f>IFERROR(__xludf.DUMMYFUNCTION("GOOGLETRANSLATE(B99, ""en"", ""hi"")"),"पम्बरम_25")</f>
        <v>पम्बरम_25</v>
      </c>
      <c r="I99" s="8" t="str">
        <f>IFERROR(__xludf.DUMMYFUNCTION("GOOGLETRANSLATE(C99, ""en"", ""hi"")"),"चित्र में दिखाए गए खेल से, एक अच्छी तरह से निर्मित शीर्ष का संकेतक क्या है?")</f>
        <v>चित्र में दिखाए गए खेल से, एक अच्छी तरह से निर्मित शीर्ष का संकेतक क्या है?</v>
      </c>
      <c r="J99" s="8" t="str">
        <f>IFERROR(__xludf.DUMMYFUNCTION("GOOGLETRANSLATE(D99, ""en"", ""hi"")"),"a) चिकनी सतह, b) संतुलित वजन, c) तेज नोक, d) उपरोक्त सभी")</f>
        <v>a) चिकनी सतह, b) संतुलित वजन, c) तेज नोक, d) उपरोक्त सभी</v>
      </c>
      <c r="K99" s="8" t="str">
        <f>IFERROR(__xludf.DUMMYFUNCTION("GOOGLETRANSLATE(E99, ""en"", ""hi"")"),"D। उपरोक्त सभी")</f>
        <v>D। उपरोक्त सभी</v>
      </c>
    </row>
    <row r="100" ht="22.5" customHeight="1">
      <c r="A100" s="2">
        <v>99.0</v>
      </c>
      <c r="B100" s="3" t="s">
        <v>2258</v>
      </c>
      <c r="C100" s="3" t="s">
        <v>2264</v>
      </c>
      <c r="D100" s="3" t="s">
        <v>2265</v>
      </c>
      <c r="E100" s="3" t="s">
        <v>2266</v>
      </c>
      <c r="G100" s="8" t="str">
        <f>IFERROR(__xludf.DUMMYFUNCTION("GOOGLETRANSLATE(A100, ""en"", ""hi"")"),"99")</f>
        <v>99</v>
      </c>
      <c r="H100" s="8" t="str">
        <f>IFERROR(__xludf.DUMMYFUNCTION("GOOGLETRANSLATE(B100, ""en"", ""hi"")"),"पम्बरम_25")</f>
        <v>पम्बरम_25</v>
      </c>
      <c r="I100" s="8" t="str">
        <f>IFERROR(__xludf.DUMMYFUNCTION("GOOGLETRANSLATE(C100, ""en"", ""hi"")"),"चित्र में दिखाए गए खेल से, स्ट्रिंग की गुणवत्ता का परीक्षण करने का एक सामान्य तरीका क्या है?")</f>
        <v>चित्र में दिखाए गए खेल से, स्ट्रिंग की गुणवत्ता का परीक्षण करने का एक सामान्य तरीका क्या है?</v>
      </c>
      <c r="J100" s="8" t="str">
        <f>IFERROR(__xludf.DUMMYFUNCTION("GOOGLETRANSLATE(D100, ""en"", ""hi"")"),"a) इसकी लोच की जाँच करना, b) इसकी लंबाई मापना, c) इसका वजन करना, d) इसे ऊपर से लपेटना")</f>
        <v>a) इसकी लोच की जाँच करना, b) इसकी लंबाई मापना, c) इसका वजन करना, d) इसे ऊपर से लपेटना</v>
      </c>
      <c r="K100" s="8" t="str">
        <f>IFERROR(__xludf.DUMMYFUNCTION("GOOGLETRANSLATE(E100, ""en"", ""hi"")"),"a) इसकी लोच की जाँच करना")</f>
        <v>a) इसकी लोच की जाँच करना</v>
      </c>
    </row>
    <row r="101" ht="22.5" customHeight="1">
      <c r="A101" s="2">
        <v>100.0</v>
      </c>
      <c r="B101" s="3" t="s">
        <v>2258</v>
      </c>
      <c r="C101" s="3" t="s">
        <v>2267</v>
      </c>
      <c r="D101" s="3" t="s">
        <v>2268</v>
      </c>
      <c r="E101" s="3" t="s">
        <v>2145</v>
      </c>
      <c r="G101" s="8" t="str">
        <f>IFERROR(__xludf.DUMMYFUNCTION("GOOGLETRANSLATE(A101, ""en"", ""hi"")"),"100")</f>
        <v>100</v>
      </c>
      <c r="H101" s="8" t="str">
        <f>IFERROR(__xludf.DUMMYFUNCTION("GOOGLETRANSLATE(B101, ""en"", ""hi"")"),"पम्बरम_25")</f>
        <v>पम्बरम_25</v>
      </c>
      <c r="I101" s="8" t="str">
        <f>IFERROR(__xludf.DUMMYFUNCTION("GOOGLETRANSLATE(C101, ""en"", ""hi"")"),"चित्र में दिखाए गए खेल से, स्पिन की अवधि किस पर निर्भर करती है?")</f>
        <v>चित्र में दिखाए गए खेल से, स्पिन की अवधि किस पर निर्भर करती है?</v>
      </c>
      <c r="J101" s="8" t="str">
        <f>IFERROR(__xludf.DUMMYFUNCTION("GOOGLETRANSLATE(D101, ""en"", ""hi"")"),"a) लट्टू का डिज़ाइन, b) डोरी की लंबाई, c) घूमने का बल, d) उपरोक्त सभी")</f>
        <v>a) लट्टू का डिज़ाइन, b) डोरी की लंबाई, c) घूमने का बल, d) उपरोक्त सभी</v>
      </c>
      <c r="K101" s="8" t="str">
        <f>IFERROR(__xludf.DUMMYFUNCTION("GOOGLETRANSLATE(E101, ""en"", ""hi"")"),"D। उपरोक्त सभी")</f>
        <v>D। उपरोक्त सभी</v>
      </c>
    </row>
    <row r="102" ht="22.5" customHeight="1">
      <c r="A102" s="2">
        <v>101.0</v>
      </c>
      <c r="B102" s="3" t="s">
        <v>2269</v>
      </c>
      <c r="C102" s="3" t="s">
        <v>1861</v>
      </c>
      <c r="D102" s="3" t="s">
        <v>51</v>
      </c>
      <c r="E102" s="3" t="s">
        <v>52</v>
      </c>
      <c r="G102" s="8" t="str">
        <f>IFERROR(__xludf.DUMMYFUNCTION("GOOGLETRANSLATE(A102, ""en"", ""hi"")"),"101")</f>
        <v>101</v>
      </c>
      <c r="H102" s="8" t="str">
        <f>IFERROR(__xludf.DUMMYFUNCTION("GOOGLETRANSLATE(B102, ""en"", ""hi"")"),"पम्बरम_26")</f>
        <v>पम्बरम_26</v>
      </c>
      <c r="I102" s="8" t="str">
        <f>IFERROR(__xludf.DUMMYFUNCTION("GOOGLETRANSLATE(C102, ""en"", ""hi"")"),"चित्र में दिखाए गए खेल के लिए, एक मानक मैच में कितने प्रतिभागी होते हैं?")</f>
        <v>चित्र में दिखाए गए खेल के लिए, एक मानक मैच में कितने प्रतिभागी होते हैं?</v>
      </c>
      <c r="J102" s="8" t="str">
        <f>IFERROR(__xludf.DUMMYFUNCTION("GOOGLETRANSLATE(D102, ""en"", ""hi"")"),"ए) 1, बी) 2, सी) 3, डी) 4")</f>
        <v>ए) 1, बी) 2, सी) 3, डी) 4</v>
      </c>
      <c r="K102" s="8" t="str">
        <f>IFERROR(__xludf.DUMMYFUNCTION("GOOGLETRANSLATE(E102, ""en"", ""hi"")"),"बी) 2")</f>
        <v>बी) 2</v>
      </c>
    </row>
    <row r="103" ht="22.5" customHeight="1">
      <c r="A103" s="2">
        <v>102.0</v>
      </c>
      <c r="B103" s="3" t="s">
        <v>2269</v>
      </c>
      <c r="C103" s="3" t="s">
        <v>1862</v>
      </c>
      <c r="D103" s="3" t="s">
        <v>1863</v>
      </c>
      <c r="E103" s="3" t="s">
        <v>1864</v>
      </c>
      <c r="G103" s="8" t="str">
        <f>IFERROR(__xludf.DUMMYFUNCTION("GOOGLETRANSLATE(A103, ""en"", ""hi"")"),"102")</f>
        <v>102</v>
      </c>
      <c r="H103" s="8" t="str">
        <f>IFERROR(__xludf.DUMMYFUNCTION("GOOGLETRANSLATE(B103, ""en"", ""hi"")"),"पम्बरम_26")</f>
        <v>पम्बरम_26</v>
      </c>
      <c r="I103" s="8" t="str">
        <f>IFERROR(__xludf.DUMMYFUNCTION("GOOGLETRANSLATE(C103, ""en"", ""hi"")"),"चित्र में दिखाए गए खेल में मुख्य हथियार क्या है?")</f>
        <v>चित्र में दिखाए गए खेल में मुख्य हथियार क्या है?</v>
      </c>
      <c r="J103" s="8" t="str">
        <f>IFERROR(__xludf.DUMMYFUNCTION("GOOGLETRANSLATE(D103, ""en"", ""hi"")"),"A) तलवार, B) भाला, C) धनुष, D) खंजर")</f>
        <v>A) तलवार, B) भाला, C) धनुष, D) खंजर</v>
      </c>
      <c r="K103" s="8" t="str">
        <f>IFERROR(__xludf.DUMMYFUNCTION("GOOGLETRANSLATE(E103, ""en"", ""hi"")"),"ए) तलवार")</f>
        <v>ए) तलवार</v>
      </c>
    </row>
    <row r="104" ht="22.5" customHeight="1">
      <c r="A104" s="2">
        <v>103.0</v>
      </c>
      <c r="B104" s="3" t="s">
        <v>2269</v>
      </c>
      <c r="C104" s="3" t="s">
        <v>1239</v>
      </c>
      <c r="D104" s="3" t="s">
        <v>1865</v>
      </c>
      <c r="E104" s="3" t="s">
        <v>1866</v>
      </c>
      <c r="G104" s="8" t="str">
        <f>IFERROR(__xludf.DUMMYFUNCTION("GOOGLETRANSLATE(A104, ""en"", ""hi"")"),"103")</f>
        <v>103</v>
      </c>
      <c r="H104" s="8" t="str">
        <f>IFERROR(__xludf.DUMMYFUNCTION("GOOGLETRANSLATE(B104, ""en"", ""hi"")"),"पम्बरम_26")</f>
        <v>पम्बरम_26</v>
      </c>
      <c r="I104" s="8" t="str">
        <f>IFERROR(__xludf.DUMMYFUNCTION("GOOGLETRANSLATE(C104, ""en"", ""hi"")"),"चित्र में दिखाए गए खेल के लिए, एक मानक मैच कितने समय तक चलता है?")</f>
        <v>चित्र में दिखाए गए खेल के लिए, एक मानक मैच कितने समय तक चलता है?</v>
      </c>
      <c r="J104" s="8" t="str">
        <f>IFERROR(__xludf.DUMMYFUNCTION("GOOGLETRANSLATE(D104, ""en"", ""hi"")"),"A) 3 मिनट, B) 5 मिनट, C) 10 मिनट, D) 15 मिनट")</f>
        <v>A) 3 मिनट, B) 5 मिनट, C) 10 मिनट, D) 15 मिनट</v>
      </c>
      <c r="K104" s="8" t="str">
        <f>IFERROR(__xludf.DUMMYFUNCTION("GOOGLETRANSLATE(E104, ""en"", ""hi"")"),"बी) 5 मिनट")</f>
        <v>बी) 5 मिनट</v>
      </c>
    </row>
    <row r="105" ht="22.5" customHeight="1">
      <c r="A105" s="2">
        <v>104.0</v>
      </c>
      <c r="B105" s="3" t="s">
        <v>2269</v>
      </c>
      <c r="C105" s="3" t="s">
        <v>1867</v>
      </c>
      <c r="D105" s="3" t="s">
        <v>1868</v>
      </c>
      <c r="E105" s="3" t="s">
        <v>1869</v>
      </c>
      <c r="G105" s="8" t="str">
        <f>IFERROR(__xludf.DUMMYFUNCTION("GOOGLETRANSLATE(A105, ""en"", ""hi"")"),"104")</f>
        <v>104</v>
      </c>
      <c r="H105" s="8" t="str">
        <f>IFERROR(__xludf.DUMMYFUNCTION("GOOGLETRANSLATE(B105, ""en"", ""hi"")"),"पम्बरम_26")</f>
        <v>पम्बरम_26</v>
      </c>
      <c r="I105" s="8" t="str">
        <f>IFERROR(__xludf.DUMMYFUNCTION("GOOGLETRANSLATE(C105, ""en"", ""hi"")"),"चित्र में दिखाए गए खेल में मुख्य रूप से शरीर के किस भाग को लक्ष्य बनाया जाता है?")</f>
        <v>चित्र में दिखाए गए खेल में मुख्य रूप से शरीर के किस भाग को लक्ष्य बनाया जाता है?</v>
      </c>
      <c r="J105" s="8" t="str">
        <f>IFERROR(__xludf.DUMMYFUNCTION("GOOGLETRANSLATE(D105, ""en"", ""hi"")"),"A) पैर, B) भुजाएँ, C) सिर, D) धड़")</f>
        <v>A) पैर, B) भुजाएँ, C) सिर, D) धड़</v>
      </c>
      <c r="K105" s="8" t="str">
        <f>IFERROR(__xludf.DUMMYFUNCTION("GOOGLETRANSLATE(E105, ""en"", ""hi"")"),"डी) धड़")</f>
        <v>डी) धड़</v>
      </c>
    </row>
    <row r="106" ht="22.5" customHeight="1">
      <c r="A106" s="2">
        <v>105.0</v>
      </c>
      <c r="B106" s="3" t="s">
        <v>2270</v>
      </c>
      <c r="C106" s="3" t="s">
        <v>1871</v>
      </c>
      <c r="D106" s="3" t="s">
        <v>1872</v>
      </c>
      <c r="E106" s="3" t="s">
        <v>1873</v>
      </c>
      <c r="G106" s="8" t="str">
        <f>IFERROR(__xludf.DUMMYFUNCTION("GOOGLETRANSLATE(A106, ""en"", ""hi"")"),"105")</f>
        <v>105</v>
      </c>
      <c r="H106" s="8" t="str">
        <f>IFERROR(__xludf.DUMMYFUNCTION("GOOGLETRANSLATE(B106, ""en"", ""hi"")"),"पम्बरम_27")</f>
        <v>पम्बरम_27</v>
      </c>
      <c r="I106" s="8" t="str">
        <f>IFERROR(__xludf.DUMMYFUNCTION("GOOGLETRANSLATE(C106, ""en"", ""hi"")"),"चित्र में दिखाए गए खेल के लिए कौन सा सुरक्षात्मक गियर आवश्यक है?")</f>
        <v>चित्र में दिखाए गए खेल के लिए कौन सा सुरक्षात्मक गियर आवश्यक है?</v>
      </c>
      <c r="J106" s="8" t="str">
        <f>IFERROR(__xludf.DUMMYFUNCTION("GOOGLETRANSLATE(D106, ""en"", ""hi"")"),"A) हेलमेट, B) आर्म गार्ड, C) चेस्ट गार्ड, D) उपरोक्त सभी")</f>
        <v>A) हेलमेट, B) आर्म गार्ड, C) चेस्ट गार्ड, D) उपरोक्त सभी</v>
      </c>
      <c r="K106" s="8" t="str">
        <f>IFERROR(__xludf.DUMMYFUNCTION("GOOGLETRANSLATE(E106, ""en"", ""hi"")"),"D। उपरोक्त सभी")</f>
        <v>D। उपरोक्त सभी</v>
      </c>
    </row>
    <row r="107" ht="22.5" customHeight="1">
      <c r="A107" s="2">
        <v>106.0</v>
      </c>
      <c r="B107" s="3" t="s">
        <v>2270</v>
      </c>
      <c r="C107" s="3" t="s">
        <v>1874</v>
      </c>
      <c r="D107" s="3" t="s">
        <v>1875</v>
      </c>
      <c r="E107" s="3" t="s">
        <v>1876</v>
      </c>
      <c r="G107" s="8" t="str">
        <f>IFERROR(__xludf.DUMMYFUNCTION("GOOGLETRANSLATE(A107, ""en"", ""hi"")"),"106")</f>
        <v>106</v>
      </c>
      <c r="H107" s="8" t="str">
        <f>IFERROR(__xludf.DUMMYFUNCTION("GOOGLETRANSLATE(B107, ""en"", ""hi"")"),"पम्बरम_27")</f>
        <v>पम्बरम_27</v>
      </c>
      <c r="I107" s="8" t="str">
        <f>IFERROR(__xludf.DUMMYFUNCTION("GOOGLETRANSLATE(C107, ""en"", ""hi"")"),"चित्र में दिखाए गए खेल में प्राथमिक रुख को क्या कहा जाता है?")</f>
        <v>चित्र में दिखाए गए खेल में प्राथमिक रुख को क्या कहा जाता है?</v>
      </c>
      <c r="J107" s="8" t="str">
        <f>IFERROR(__xludf.DUMMYFUNCTION("GOOGLETRANSLATE(D107, ""en"", ""hi"")"),"A) तटस्थ रुख, B) आक्रामक रुख, C) रक्षात्मक रुख, D) आक्रामक रुख")</f>
        <v>A) तटस्थ रुख, B) आक्रामक रुख, C) रक्षात्मक रुख, D) आक्रामक रुख</v>
      </c>
      <c r="K107" s="8" t="str">
        <f>IFERROR(__xludf.DUMMYFUNCTION("GOOGLETRANSLATE(E107, ""en"", ""hi"")"),"C) रक्षात्मक रुख")</f>
        <v>C) रक्षात्मक रुख</v>
      </c>
    </row>
    <row r="108" ht="22.5" customHeight="1">
      <c r="A108" s="2">
        <v>107.0</v>
      </c>
      <c r="B108" s="3" t="s">
        <v>2270</v>
      </c>
      <c r="C108" s="3" t="s">
        <v>1877</v>
      </c>
      <c r="D108" s="3" t="s">
        <v>1878</v>
      </c>
      <c r="E108" s="3" t="s">
        <v>1879</v>
      </c>
      <c r="G108" s="8" t="str">
        <f>IFERROR(__xludf.DUMMYFUNCTION("GOOGLETRANSLATE(A108, ""en"", ""hi"")"),"107")</f>
        <v>107</v>
      </c>
      <c r="H108" s="8" t="str">
        <f>IFERROR(__xludf.DUMMYFUNCTION("GOOGLETRANSLATE(B108, ""en"", ""hi"")"),"पम्बरम_27")</f>
        <v>पम्बरम_27</v>
      </c>
      <c r="I108" s="8" t="str">
        <f>IFERROR(__xludf.DUMMYFUNCTION("GOOGLETRANSLATE(C108, ""en"", ""hi"")"),"चित्र में दिखाए गए खेल के लिए, यह मार्शल आर्ट पारंपरिक रूप से किस क्षेत्र से है?")</f>
        <v>चित्र में दिखाए गए खेल के लिए, यह मार्शल आर्ट पारंपरिक रूप से किस क्षेत्र से है?</v>
      </c>
      <c r="J108" s="8" t="str">
        <f>IFERROR(__xludf.DUMMYFUNCTION("GOOGLETRANSLATE(D108, ""en"", ""hi"")"),"ए) मणिपुर, बी) असम, सी) केरल, डी) पंजाब")</f>
        <v>ए) मणिपुर, बी) असम, सी) केरल, डी) पंजाब</v>
      </c>
      <c r="K108" s="8" t="str">
        <f>IFERROR(__xludf.DUMMYFUNCTION("GOOGLETRANSLATE(E108, ""en"", ""hi"")"),"ए) मणिपुर")</f>
        <v>ए) मणिपुर</v>
      </c>
    </row>
    <row r="109" ht="22.5" customHeight="1">
      <c r="A109" s="2">
        <v>108.0</v>
      </c>
      <c r="B109" s="3" t="s">
        <v>2270</v>
      </c>
      <c r="C109" s="3" t="s">
        <v>1880</v>
      </c>
      <c r="D109" s="3" t="s">
        <v>1881</v>
      </c>
      <c r="E109" s="3" t="s">
        <v>1882</v>
      </c>
      <c r="G109" s="8" t="str">
        <f>IFERROR(__xludf.DUMMYFUNCTION("GOOGLETRANSLATE(A109, ""en"", ""hi"")"),"108")</f>
        <v>108</v>
      </c>
      <c r="H109" s="8" t="str">
        <f>IFERROR(__xludf.DUMMYFUNCTION("GOOGLETRANSLATE(B109, ""en"", ""hi"")"),"पम्बरम_27")</f>
        <v>पम्बरम_27</v>
      </c>
      <c r="I109" s="8" t="str">
        <f>IFERROR(__xludf.DUMMYFUNCTION("GOOGLETRANSLATE(C109, ""en"", ""hi"")"),"चित्र में दिखाए गए खेल के लिए निम्नलिखित में से कौन सा पारंपरिक हथियार इस्तेमाल नहीं किया जाता है?")</f>
        <v>चित्र में दिखाए गए खेल के लिए निम्नलिखित में से कौन सा पारंपरिक हथियार इस्तेमाल नहीं किया जाता है?</v>
      </c>
      <c r="J109" s="8" t="str">
        <f>IFERROR(__xludf.DUMMYFUNCTION("GOOGLETRANSLATE(D109, ""en"", ""hi"")"),"A) भाला, B) ढाल, C) धनुष और बाण, D) नुनचाकू")</f>
        <v>A) भाला, B) ढाल, C) धनुष और बाण, D) नुनचाकू</v>
      </c>
      <c r="K109" s="8" t="str">
        <f>IFERROR(__xludf.DUMMYFUNCTION("GOOGLETRANSLATE(E109, ""en"", ""hi"")"),"D) नुनचाकू")</f>
        <v>D) नुनचाकू</v>
      </c>
    </row>
    <row r="110" ht="22.5" customHeight="1">
      <c r="A110" s="2">
        <v>109.0</v>
      </c>
      <c r="B110" s="3" t="s">
        <v>2271</v>
      </c>
      <c r="C110" s="3" t="s">
        <v>1884</v>
      </c>
      <c r="D110" s="3" t="s">
        <v>1885</v>
      </c>
      <c r="E110" s="3" t="s">
        <v>1886</v>
      </c>
      <c r="G110" s="8" t="str">
        <f>IFERROR(__xludf.DUMMYFUNCTION("GOOGLETRANSLATE(A110, ""en"", ""hi"")"),"109")</f>
        <v>109</v>
      </c>
      <c r="H110" s="8" t="str">
        <f>IFERROR(__xludf.DUMMYFUNCTION("GOOGLETRANSLATE(B110, ""en"", ""hi"")"),"पम्बरम_28")</f>
        <v>पम्बरम_28</v>
      </c>
      <c r="I110" s="8" t="str">
        <f>IFERROR(__xludf.DUMMYFUNCTION("GOOGLETRANSLATE(C110, ""en"", ""hi"")"),"चित्र में दर्शाए गए खेल में प्रतिस्पर्धा करने के लिए न्यूनतम आयु क्या है?")</f>
        <v>चित्र में दर्शाए गए खेल में प्रतिस्पर्धा करने के लिए न्यूनतम आयु क्या है?</v>
      </c>
      <c r="J110" s="8" t="str">
        <f>IFERROR(__xludf.DUMMYFUNCTION("GOOGLETRANSLATE(D110, ""en"", ""hi"")"),"A) 12 वर्ष, B) 14 वर्ष, C) 16 वर्ष, D) 18 वर्ष")</f>
        <v>A) 12 वर्ष, B) 14 वर्ष, C) 16 वर्ष, D) 18 वर्ष</v>
      </c>
      <c r="K110" s="8" t="str">
        <f>IFERROR(__xludf.DUMMYFUNCTION("GOOGLETRANSLATE(E110, ""en"", ""hi"")"),"सी) 16 वर्ष")</f>
        <v>सी) 16 वर्ष</v>
      </c>
    </row>
    <row r="111" ht="22.5" customHeight="1">
      <c r="A111" s="2">
        <v>110.0</v>
      </c>
      <c r="B111" s="3" t="s">
        <v>2271</v>
      </c>
      <c r="C111" s="3" t="s">
        <v>1887</v>
      </c>
      <c r="D111" s="3" t="s">
        <v>1888</v>
      </c>
      <c r="E111" s="3" t="s">
        <v>1873</v>
      </c>
      <c r="G111" s="8" t="str">
        <f>IFERROR(__xludf.DUMMYFUNCTION("GOOGLETRANSLATE(A111, ""en"", ""hi"")"),"110")</f>
        <v>110</v>
      </c>
      <c r="H111" s="8" t="str">
        <f>IFERROR(__xludf.DUMMYFUNCTION("GOOGLETRANSLATE(B111, ""en"", ""hi"")"),"पम्बरम_28")</f>
        <v>पम्बरम_28</v>
      </c>
      <c r="I111" s="8" t="str">
        <f>IFERROR(__xludf.DUMMYFUNCTION("GOOGLETRANSLATE(C111, ""en"", ""hi"")"),"चित्र में दिखाए गए खेल में, निम्नलिखित में से कौन सी सफलता के लिए प्रमुख विशेषता है?")</f>
        <v>चित्र में दिखाए गए खेल में, निम्नलिखित में से कौन सी सफलता के लिए प्रमुख विशेषता है?</v>
      </c>
      <c r="J111" s="8" t="str">
        <f>IFERROR(__xludf.DUMMYFUNCTION("GOOGLETRANSLATE(D111, ""en"", ""hi"")"),"A) गति, B) शक्ति, C) लचीलापन, D) उपरोक्त सभी")</f>
        <v>A) गति, B) शक्ति, C) लचीलापन, D) उपरोक्त सभी</v>
      </c>
      <c r="K111" s="8" t="str">
        <f>IFERROR(__xludf.DUMMYFUNCTION("GOOGLETRANSLATE(E111, ""en"", ""hi"")"),"D। उपरोक्त सभी")</f>
        <v>D। उपरोक्त सभी</v>
      </c>
    </row>
    <row r="112" ht="22.5" customHeight="1">
      <c r="A112" s="2">
        <v>111.0</v>
      </c>
      <c r="B112" s="3" t="s">
        <v>2271</v>
      </c>
      <c r="C112" s="3" t="s">
        <v>1889</v>
      </c>
      <c r="D112" s="3" t="s">
        <v>1890</v>
      </c>
      <c r="E112" s="3" t="s">
        <v>1891</v>
      </c>
      <c r="G112" s="8" t="str">
        <f>IFERROR(__xludf.DUMMYFUNCTION("GOOGLETRANSLATE(A112, ""en"", ""hi"")"),"111")</f>
        <v>111</v>
      </c>
      <c r="H112" s="8" t="str">
        <f>IFERROR(__xludf.DUMMYFUNCTION("GOOGLETRANSLATE(B112, ""en"", ""hi"")"),"पम्बरम_28")</f>
        <v>पम्बरम_28</v>
      </c>
      <c r="I112" s="8" t="str">
        <f>IFERROR(__xludf.DUMMYFUNCTION("GOOGLETRANSLATE(C112, ""en"", ""hi"")"),"चित्र में दिखाए गए खेल के लिए स्कोरिंग पद्धति क्या है?")</f>
        <v>चित्र में दिखाए गए खेल के लिए स्कोरिंग पद्धति क्या है?</v>
      </c>
      <c r="J112" s="8" t="str">
        <f>IFERROR(__xludf.DUMMYFUNCTION("GOOGLETRANSLATE(D112, ""en"", ""hi"")"),"ए) अंक प्रणाली, बी) नॉकआउट, सी) सबमिशन, डी) समय-आधारित")</f>
        <v>ए) अंक प्रणाली, बी) नॉकआउट, सी) सबमिशन, डी) समय-आधारित</v>
      </c>
      <c r="K112" s="8" t="str">
        <f>IFERROR(__xludf.DUMMYFUNCTION("GOOGLETRANSLATE(E112, ""en"", ""hi"")"),"ए) अंक प्रणाली")</f>
        <v>ए) अंक प्रणाली</v>
      </c>
    </row>
    <row r="113" ht="22.5" customHeight="1">
      <c r="A113" s="2">
        <v>112.0</v>
      </c>
      <c r="B113" s="3" t="s">
        <v>2271</v>
      </c>
      <c r="C113" s="3" t="s">
        <v>1892</v>
      </c>
      <c r="D113" s="3" t="s">
        <v>1893</v>
      </c>
      <c r="E113" s="3" t="s">
        <v>1894</v>
      </c>
      <c r="G113" s="8" t="str">
        <f>IFERROR(__xludf.DUMMYFUNCTION("GOOGLETRANSLATE(A113, ""en"", ""hi"")"),"112")</f>
        <v>112</v>
      </c>
      <c r="H113" s="8" t="str">
        <f>IFERROR(__xludf.DUMMYFUNCTION("GOOGLETRANSLATE(B113, ""en"", ""hi"")"),"पम्बरम_28")</f>
        <v>पम्बरम_28</v>
      </c>
      <c r="I113" s="8" t="str">
        <f>IFERROR(__xludf.DUMMYFUNCTION("GOOGLETRANSLATE(C113, ""en"", ""hi"")"),"चित्र में दिखाया गया खेल आमतौर पर किस मौसम में खेला जाता है?")</f>
        <v>चित्र में दिखाया गया खेल आमतौर पर किस मौसम में खेला जाता है?</v>
      </c>
      <c r="J113" s="8" t="str">
        <f>IFERROR(__xludf.DUMMYFUNCTION("GOOGLETRANSLATE(D113, ""en"", ""hi"")"),"A) शीत ऋतु, B) ग्रीष्म ऋतु, C) मानसून, D) सभी ऋतुएँ")</f>
        <v>A) शीत ऋतु, B) ग्रीष्म ऋतु, C) मानसून, D) सभी ऋतुएँ</v>
      </c>
      <c r="K113" s="8" t="str">
        <f>IFERROR(__xludf.DUMMYFUNCTION("GOOGLETRANSLATE(E113, ""en"", ""hi"")"),"D) सभी मौसम")</f>
        <v>D) सभी मौसम</v>
      </c>
    </row>
    <row r="114" ht="22.5" customHeight="1">
      <c r="A114" s="2">
        <v>113.0</v>
      </c>
      <c r="B114" s="3" t="s">
        <v>2272</v>
      </c>
      <c r="C114" s="3" t="s">
        <v>1896</v>
      </c>
      <c r="D114" s="3" t="s">
        <v>1897</v>
      </c>
      <c r="E114" s="3" t="s">
        <v>1898</v>
      </c>
      <c r="G114" s="8" t="str">
        <f>IFERROR(__xludf.DUMMYFUNCTION("GOOGLETRANSLATE(A114, ""en"", ""hi"")"),"113")</f>
        <v>113</v>
      </c>
      <c r="H114" s="8" t="str">
        <f>IFERROR(__xludf.DUMMYFUNCTION("GOOGLETRANSLATE(B114, ""en"", ""hi"")"),"पम्बरम_29")</f>
        <v>पम्बरम_29</v>
      </c>
      <c r="I114" s="8" t="str">
        <f>IFERROR(__xludf.DUMMYFUNCTION("GOOGLETRANSLATE(C114, ""en"", ""hi"")"),"चित्र में दिखाए गए खेल का प्राथमिक लक्ष्य क्या है?")</f>
        <v>चित्र में दिखाए गए खेल का प्राथमिक लक्ष्य क्या है?</v>
      </c>
      <c r="J114" s="8" t="str">
        <f>IFERROR(__xludf.DUMMYFUNCTION("GOOGLETRANSLATE(D114, ""en"", ""hi"")"),"A) क्षेत्र की रक्षा करें, B) प्रतिद्वंद्वी को गिरा दें, C) लक्ष्य पर प्रहार करें, D) हमलों को रोकें")</f>
        <v>A) क्षेत्र की रक्षा करें, B) प्रतिद्वंद्वी को गिरा दें, C) लक्ष्य पर प्रहार करें, D) हमलों को रोकें</v>
      </c>
      <c r="K114" s="8" t="str">
        <f>IFERROR(__xludf.DUMMYFUNCTION("GOOGLETRANSLATE(E114, ""en"", ""hi"")"),"बी) प्रतिद्वंद्वी को गिराना")</f>
        <v>बी) प्रतिद्वंद्वी को गिराना</v>
      </c>
    </row>
    <row r="115" ht="22.5" customHeight="1">
      <c r="A115" s="2">
        <v>114.0</v>
      </c>
      <c r="B115" s="3" t="s">
        <v>2272</v>
      </c>
      <c r="C115" s="3" t="s">
        <v>1899</v>
      </c>
      <c r="D115" s="3" t="s">
        <v>1900</v>
      </c>
      <c r="E115" s="3" t="s">
        <v>952</v>
      </c>
      <c r="G115" s="8" t="str">
        <f>IFERROR(__xludf.DUMMYFUNCTION("GOOGLETRANSLATE(A115, ""en"", ""hi"")"),"114")</f>
        <v>114</v>
      </c>
      <c r="H115" s="8" t="str">
        <f>IFERROR(__xludf.DUMMYFUNCTION("GOOGLETRANSLATE(B115, ""en"", ""hi"")"),"पम्बरम_29")</f>
        <v>पम्बरम_29</v>
      </c>
      <c r="I115" s="8" t="str">
        <f>IFERROR(__xludf.DUMMYFUNCTION("GOOGLETRANSLATE(C115, ""en"", ""hi"")"),"चित्र में दिखाए गए खेल में शारीरिक फिटनेस का कौन सा पहलू सबसे महत्वपूर्ण है?")</f>
        <v>चित्र में दिखाए गए खेल में शारीरिक फिटनेस का कौन सा पहलू सबसे महत्वपूर्ण है?</v>
      </c>
      <c r="J115" s="8" t="str">
        <f>IFERROR(__xludf.DUMMYFUNCTION("GOOGLETRANSLATE(D115, ""en"", ""hi"")"),"A) धीरज, B) चपलता, C) शक्ति, D) संतुलन")</f>
        <v>A) धीरज, B) चपलता, C) शक्ति, D) संतुलन</v>
      </c>
      <c r="K115" s="8" t="str">
        <f>IFERROR(__xludf.DUMMYFUNCTION("GOOGLETRANSLATE(E115, ""en"", ""hi"")"),"बी) चपलता")</f>
        <v>बी) चपलता</v>
      </c>
    </row>
    <row r="116" ht="22.5" customHeight="1">
      <c r="A116" s="2">
        <v>115.0</v>
      </c>
      <c r="B116" s="3" t="s">
        <v>2272</v>
      </c>
      <c r="C116" s="3" t="s">
        <v>1901</v>
      </c>
      <c r="D116" s="3" t="s">
        <v>1902</v>
      </c>
      <c r="E116" s="3" t="s">
        <v>1903</v>
      </c>
      <c r="G116" s="8" t="str">
        <f>IFERROR(__xludf.DUMMYFUNCTION("GOOGLETRANSLATE(A116, ""en"", ""hi"")"),"115")</f>
        <v>115</v>
      </c>
      <c r="H116" s="8" t="str">
        <f>IFERROR(__xludf.DUMMYFUNCTION("GOOGLETRANSLATE(B116, ""en"", ""hi"")"),"पम्बरम_29")</f>
        <v>पम्बरम_29</v>
      </c>
      <c r="I116" s="8" t="str">
        <f>IFERROR(__xludf.DUMMYFUNCTION("GOOGLETRANSLATE(C116, ""en"", ""hi"")"),"चित्र में दिखाए गए खेल के लिए पारंपरिक पोशाक को क्या कहा जाता है?")</f>
        <v>चित्र में दिखाए गए खेल के लिए पारंपरिक पोशाक को क्या कहा जाता है?</v>
      </c>
      <c r="J116" s="8" t="str">
        <f>IFERROR(__xludf.DUMMYFUNCTION("GOOGLETRANSLATE(D116, ""en"", ""hi"")"),"ए) डोबोक, बी) जीआई, सी) फैनेक, डी) लुंगिस")</f>
        <v>ए) डोबोक, बी) जीआई, सी) फैनेक, डी) लुंगिस</v>
      </c>
      <c r="K116" s="8" t="str">
        <f>IFERROR(__xludf.DUMMYFUNCTION("GOOGLETRANSLATE(E116, ""en"", ""hi"")"),"C) फानेक")</f>
        <v>C) फानेक</v>
      </c>
    </row>
    <row r="117" ht="22.5" customHeight="1">
      <c r="A117" s="2">
        <v>116.0</v>
      </c>
      <c r="B117" s="3" t="s">
        <v>2272</v>
      </c>
      <c r="C117" s="3" t="s">
        <v>1904</v>
      </c>
      <c r="D117" s="3" t="s">
        <v>1905</v>
      </c>
      <c r="E117" s="3" t="s">
        <v>1906</v>
      </c>
      <c r="G117" s="8" t="str">
        <f>IFERROR(__xludf.DUMMYFUNCTION("GOOGLETRANSLATE(A117, ""en"", ""hi"")"),"116")</f>
        <v>116</v>
      </c>
      <c r="H117" s="8" t="str">
        <f>IFERROR(__xludf.DUMMYFUNCTION("GOOGLETRANSLATE(B117, ""en"", ""hi"")"),"पम्बरम_29")</f>
        <v>पम्बरम_29</v>
      </c>
      <c r="I117" s="8" t="str">
        <f>IFERROR(__xludf.DUMMYFUNCTION("GOOGLETRANSLATE(C117, ""en"", ""hi"")"),"चित्र में दिखाए गए खेल के लिए विजेता का निर्धारण कैसे किया जाता है?")</f>
        <v>चित्र में दिखाए गए खेल के लिए विजेता का निर्धारण कैसे किया जाता है?</v>
      </c>
      <c r="J117" s="8" t="str">
        <f>IFERROR(__xludf.DUMMYFUNCTION("GOOGLETRANSLATE(D117, ""en"", ""hi"")"),"A) सबसे पहले 10 अंक प्राप्त करने वाला, B) नॉकआउट, C) जजों का निर्णय, D) प्रतिद्वंद्वी का हटना")</f>
        <v>A) सबसे पहले 10 अंक प्राप्त करने वाला, B) नॉकआउट, C) जजों का निर्णय, D) प्रतिद्वंद्वी का हटना</v>
      </c>
      <c r="K117" s="8" t="str">
        <f>IFERROR(__xludf.DUMMYFUNCTION("GOOGLETRANSLATE(E117, ""en"", ""hi"")"),"C) न्यायाधीशों का निर्णय")</f>
        <v>C) न्यायाधीशों का निर्णय</v>
      </c>
    </row>
    <row r="118" ht="22.5" customHeight="1">
      <c r="A118" s="2">
        <v>117.0</v>
      </c>
      <c r="B118" s="3" t="s">
        <v>2273</v>
      </c>
      <c r="C118" s="3" t="s">
        <v>1908</v>
      </c>
      <c r="D118" s="3" t="s">
        <v>1909</v>
      </c>
      <c r="E118" s="3" t="s">
        <v>1910</v>
      </c>
      <c r="G118" s="8" t="str">
        <f>IFERROR(__xludf.DUMMYFUNCTION("GOOGLETRANSLATE(A118, ""en"", ""hi"")"),"117")</f>
        <v>117</v>
      </c>
      <c r="H118" s="8" t="str">
        <f>IFERROR(__xludf.DUMMYFUNCTION("GOOGLETRANSLATE(B118, ""en"", ""hi"")"),"पम्बरम_30")</f>
        <v>पम्बरम_30</v>
      </c>
      <c r="I118" s="8" t="str">
        <f>IFERROR(__xludf.DUMMYFUNCTION("GOOGLETRANSLATE(C118, ""en"", ""hi"")"),"चित्र में दिखाए गए खेल में बचाव के लिए निम्नलिखित में से किसका उपयोग किया जाता है?")</f>
        <v>चित्र में दिखाए गए खेल में बचाव के लिए निम्नलिखित में से किसका उपयोग किया जाता है?</v>
      </c>
      <c r="J118" s="8" t="str">
        <f>IFERROR(__xludf.DUMMYFUNCTION("GOOGLETRANSLATE(D118, ""en"", ""hi"")"),"A) तलवार, B) भाला, C) ढाल, D) कोई नहीं")</f>
        <v>A) तलवार, B) भाला, C) ढाल, D) कोई नहीं</v>
      </c>
      <c r="K118" s="8" t="str">
        <f>IFERROR(__xludf.DUMMYFUNCTION("GOOGLETRANSLATE(E118, ""en"", ""hi"")"),"सी) ढाल")</f>
        <v>सी) ढाल</v>
      </c>
    </row>
    <row r="119" ht="22.5" customHeight="1">
      <c r="A119" s="2">
        <v>118.0</v>
      </c>
      <c r="B119" s="3" t="s">
        <v>2273</v>
      </c>
      <c r="C119" s="3" t="s">
        <v>1911</v>
      </c>
      <c r="D119" s="3" t="s">
        <v>1912</v>
      </c>
      <c r="E119" s="3" t="s">
        <v>1913</v>
      </c>
      <c r="G119" s="8" t="str">
        <f>IFERROR(__xludf.DUMMYFUNCTION("GOOGLETRANSLATE(A119, ""en"", ""hi"")"),"118")</f>
        <v>118</v>
      </c>
      <c r="H119" s="8" t="str">
        <f>IFERROR(__xludf.DUMMYFUNCTION("GOOGLETRANSLATE(B119, ""en"", ""hi"")"),"पम्बरम_30")</f>
        <v>पम्बरम_30</v>
      </c>
      <c r="I119" s="8" t="str">
        <f>IFERROR(__xludf.DUMMYFUNCTION("GOOGLETRANSLATE(C119, ""en"", ""hi"")"),"चित्र में दिखाए गए खेल के लिए, रक्षा हेतु कौन सा कौशल महत्वपूर्ण है?")</f>
        <v>चित्र में दिखाए गए खेल के लिए, रक्षा हेतु कौन सा कौशल महत्वपूर्ण है?</v>
      </c>
      <c r="J119" s="8" t="str">
        <f>IFERROR(__xludf.DUMMYFUNCTION("GOOGLETRANSLATE(D119, ""en"", ""hi"")"),"A) समय, B) शक्ति, C) धीरज, D) शक्ति")</f>
        <v>A) समय, B) शक्ति, C) धीरज, D) शक्ति</v>
      </c>
      <c r="K119" s="8" t="str">
        <f>IFERROR(__xludf.DUMMYFUNCTION("GOOGLETRANSLATE(E119, ""en"", ""hi"")"),"ए) समय")</f>
        <v>ए) समय</v>
      </c>
    </row>
    <row r="120" ht="22.5" customHeight="1">
      <c r="A120" s="2">
        <v>119.0</v>
      </c>
      <c r="B120" s="3" t="s">
        <v>2273</v>
      </c>
      <c r="C120" s="3" t="s">
        <v>1914</v>
      </c>
      <c r="D120" s="3" t="s">
        <v>1915</v>
      </c>
      <c r="E120" s="3" t="s">
        <v>1916</v>
      </c>
      <c r="G120" s="8" t="str">
        <f>IFERROR(__xludf.DUMMYFUNCTION("GOOGLETRANSLATE(A120, ""en"", ""hi"")"),"119")</f>
        <v>119</v>
      </c>
      <c r="H120" s="8" t="str">
        <f>IFERROR(__xludf.DUMMYFUNCTION("GOOGLETRANSLATE(B120, ""en"", ""hi"")"),"पम्बरम_30")</f>
        <v>पम्बरम_30</v>
      </c>
      <c r="I120" s="8" t="str">
        <f>IFERROR(__xludf.DUMMYFUNCTION("GOOGLETRANSLATE(C120, ""en"", ""hi"")"),"चित्र में दिखाए गए खेल में निम्नलिखित में से कौन सी चाल निषिद्ध है?")</f>
        <v>चित्र में दिखाए गए खेल में निम्नलिखित में से कौन सी चाल निषिद्ध है?</v>
      </c>
      <c r="J120" s="8" t="str">
        <f>IFERROR(__xludf.DUMMYFUNCTION("GOOGLETRANSLATE(D120, ""en"", ""hi"")"),"A) सिर पर प्रहार करना, B) तलवार पकड़ना, C) लात मारना, D) उपरोक्त सभी")</f>
        <v>A) सिर पर प्रहार करना, B) तलवार पकड़ना, C) लात मारना, D) उपरोक्त सभी</v>
      </c>
      <c r="K120" s="8" t="str">
        <f>IFERROR(__xludf.DUMMYFUNCTION("GOOGLETRANSLATE(E120, ""en"", ""hi"")"),"बी) तलवार पकड़ना")</f>
        <v>बी) तलवार पकड़ना</v>
      </c>
    </row>
    <row r="121" ht="22.5" customHeight="1">
      <c r="A121" s="2">
        <v>120.0</v>
      </c>
      <c r="B121" s="3" t="s">
        <v>2273</v>
      </c>
      <c r="C121" s="3" t="s">
        <v>1917</v>
      </c>
      <c r="D121" s="3" t="s">
        <v>1918</v>
      </c>
      <c r="E121" s="3" t="s">
        <v>1919</v>
      </c>
      <c r="G121" s="8" t="str">
        <f>IFERROR(__xludf.DUMMYFUNCTION("GOOGLETRANSLATE(A121, ""en"", ""hi"")"),"120")</f>
        <v>120</v>
      </c>
      <c r="H121" s="8" t="str">
        <f>IFERROR(__xludf.DUMMYFUNCTION("GOOGLETRANSLATE(B121, ""en"", ""hi"")"),"पम्बरम_30")</f>
        <v>पम्बरम_30</v>
      </c>
      <c r="I121" s="8" t="str">
        <f>IFERROR(__xludf.DUMMYFUNCTION("GOOGLETRANSLATE(C121, ""en"", ""hi"")"),"चित्र में दिखाए गए खेल के लिए, एक मानक मैच में कितने राउंड होते हैं?")</f>
        <v>चित्र में दिखाए गए खेल के लिए, एक मानक मैच में कितने राउंड होते हैं?</v>
      </c>
      <c r="J121" s="8" t="str">
        <f>IFERROR(__xludf.DUMMYFUNCTION("GOOGLETRANSLATE(D121, ""en"", ""hi"")"),"A) 1 राउंड, B) 2 राउंड, C) 3 राउंड, D) 5 राउंड")</f>
        <v>A) 1 राउंड, B) 2 राउंड, C) 3 राउंड, D) 5 राउंड</v>
      </c>
      <c r="K121" s="8" t="str">
        <f>IFERROR(__xludf.DUMMYFUNCTION("GOOGLETRANSLATE(E121, ""en"", ""hi"")"),"सी) 3 राउंड")</f>
        <v>सी) 3 राउंड</v>
      </c>
    </row>
    <row r="122" ht="22.5" customHeight="1">
      <c r="A122" s="2">
        <v>121.0</v>
      </c>
      <c r="B122" s="3" t="s">
        <v>2274</v>
      </c>
      <c r="C122" s="3" t="s">
        <v>1921</v>
      </c>
      <c r="D122" s="3" t="s">
        <v>1922</v>
      </c>
      <c r="E122" s="3" t="s">
        <v>1923</v>
      </c>
      <c r="G122" s="8" t="str">
        <f>IFERROR(__xludf.DUMMYFUNCTION("GOOGLETRANSLATE(A122, ""en"", ""hi"")"),"121")</f>
        <v>121</v>
      </c>
      <c r="H122" s="8" t="str">
        <f>IFERROR(__xludf.DUMMYFUNCTION("GOOGLETRANSLATE(B122, ""en"", ""hi"")"),"पम्बरम_31")</f>
        <v>पम्बरम_31</v>
      </c>
      <c r="I122" s="8" t="str">
        <f>IFERROR(__xludf.DUMMYFUNCTION("GOOGLETRANSLATE(C122, ""en"", ""hi"")"),"चित्र में दिखाए गए खेल में सफल आक्रमण के लिए क्या शब्द है?")</f>
        <v>चित्र में दिखाए गए खेल में सफल आक्रमण के लिए क्या शब्द है?</v>
      </c>
      <c r="J122" s="8" t="str">
        <f>IFERROR(__xludf.DUMMYFUNCTION("GOOGLETRANSLATE(D122, ""en"", ""hi"")"),"A) स्ट्राइक, B) हिट, C) पॉइंट, D) स्लैश")</f>
        <v>A) स्ट्राइक, B) हिट, C) पॉइंट, D) स्लैश</v>
      </c>
      <c r="K122" s="8" t="str">
        <f>IFERROR(__xludf.DUMMYFUNCTION("GOOGLETRANSLATE(E122, ""en"", ""hi"")"),"सी) बिंदु")</f>
        <v>सी) बिंदु</v>
      </c>
    </row>
    <row r="123" ht="22.5" customHeight="1">
      <c r="A123" s="2">
        <v>122.0</v>
      </c>
      <c r="B123" s="3" t="s">
        <v>2274</v>
      </c>
      <c r="C123" s="3" t="s">
        <v>1924</v>
      </c>
      <c r="D123" s="3" t="s">
        <v>1925</v>
      </c>
      <c r="E123" s="3" t="s">
        <v>1926</v>
      </c>
      <c r="G123" s="8" t="str">
        <f>IFERROR(__xludf.DUMMYFUNCTION("GOOGLETRANSLATE(A123, ""en"", ""hi"")"),"122")</f>
        <v>122</v>
      </c>
      <c r="H123" s="8" t="str">
        <f>IFERROR(__xludf.DUMMYFUNCTION("GOOGLETRANSLATE(B123, ""en"", ""hi"")"),"पम्बरम_31")</f>
        <v>पम्बरम_31</v>
      </c>
      <c r="I123" s="8" t="str">
        <f>IFERROR(__xludf.DUMMYFUNCTION("GOOGLETRANSLATE(C123, ""en"", ""hi"")"),"चित्र में दिखाए गए खेल के लिए प्रत्येक खिलाड़ी का प्राथमिक उद्देश्य क्या है?")</f>
        <v>चित्र में दिखाए गए खेल के लिए प्रत्येक खिलाड़ी का प्राथमिक उद्देश्य क्या है?</v>
      </c>
      <c r="J123" s="8" t="str">
        <f>IFERROR(__xludf.DUMMYFUNCTION("GOOGLETRANSLATE(D123, ""en"", ""hi"")"),"A) राउंड में जीवित रहना, B) सबसे अधिक अंक प्राप्त करना, C) अखाड़े की रक्षा करना, D) बिना चोट पहुंचाए हमला करना")</f>
        <v>A) राउंड में जीवित रहना, B) सबसे अधिक अंक प्राप्त करना, C) अखाड़े की रक्षा करना, D) बिना चोट पहुंचाए हमला करना</v>
      </c>
      <c r="K123" s="8" t="str">
        <f>IFERROR(__xludf.DUMMYFUNCTION("GOOGLETRANSLATE(E123, ""en"", ""hi"")"),"B) सबसे अधिक अंक प्राप्त करें")</f>
        <v>B) सबसे अधिक अंक प्राप्त करें</v>
      </c>
    </row>
    <row r="124" ht="22.5" customHeight="1">
      <c r="A124" s="2">
        <v>123.0</v>
      </c>
      <c r="B124" s="3" t="s">
        <v>2274</v>
      </c>
      <c r="C124" s="3" t="s">
        <v>1927</v>
      </c>
      <c r="D124" s="3" t="s">
        <v>1928</v>
      </c>
      <c r="E124" s="3" t="s">
        <v>1929</v>
      </c>
      <c r="G124" s="8" t="str">
        <f>IFERROR(__xludf.DUMMYFUNCTION("GOOGLETRANSLATE(A124, ""en"", ""hi"")"),"123")</f>
        <v>123</v>
      </c>
      <c r="H124" s="8" t="str">
        <f>IFERROR(__xludf.DUMMYFUNCTION("GOOGLETRANSLATE(B124, ""en"", ""hi"")"),"पम्बरम_31")</f>
        <v>पम्बरम_31</v>
      </c>
      <c r="I124" s="8" t="str">
        <f>IFERROR(__xludf.DUMMYFUNCTION("GOOGLETRANSLATE(C124, ""en"", ""hi"")"),"चित्र में दिखाए गए खेल में, निम्नलिखित में से कौन सी रणनीति मान्य है?")</f>
        <v>चित्र में दिखाए गए खेल में, निम्नलिखित में से कौन सी रणनीति मान्य है?</v>
      </c>
      <c r="J124" s="8" t="str">
        <f>IFERROR(__xludf.DUMMYFUNCTION("GOOGLETRANSLATE(D124, ""en"", ""hi"")"),"A) बार-बार पीछे हटना, B) आक्रामक हमले, C) रक्षात्मक अवरोधन, D) B और C दोनों")</f>
        <v>A) बार-बार पीछे हटना, B) आक्रामक हमले, C) रक्षात्मक अवरोधन, D) B और C दोनों</v>
      </c>
      <c r="K124" s="8" t="str">
        <f>IFERROR(__xludf.DUMMYFUNCTION("GOOGLETRANSLATE(E124, ""en"", ""hi"")"),"D) B और C दोनों")</f>
        <v>D) B और C दोनों</v>
      </c>
    </row>
    <row r="125" ht="22.5" customHeight="1">
      <c r="A125" s="2">
        <v>124.0</v>
      </c>
      <c r="B125" s="3" t="s">
        <v>2274</v>
      </c>
      <c r="C125" s="3" t="s">
        <v>1930</v>
      </c>
      <c r="D125" s="3" t="s">
        <v>1931</v>
      </c>
      <c r="E125" s="3" t="s">
        <v>1932</v>
      </c>
      <c r="G125" s="8" t="str">
        <f>IFERROR(__xludf.DUMMYFUNCTION("GOOGLETRANSLATE(A125, ""en"", ""hi"")"),"124")</f>
        <v>124</v>
      </c>
      <c r="H125" s="8" t="str">
        <f>IFERROR(__xludf.DUMMYFUNCTION("GOOGLETRANSLATE(B125, ""en"", ""hi"")"),"पम्बरम_31")</f>
        <v>पम्बरम_31</v>
      </c>
      <c r="I125" s="8" t="str">
        <f>IFERROR(__xludf.DUMMYFUNCTION("GOOGLETRANSLATE(C125, ""en"", ""hi"")"),"चित्र में दिखाए गए खेल के लिए, मैच आमतौर पर किस प्रकार की सतह पर खेला जाता है?")</f>
        <v>चित्र में दिखाए गए खेल के लिए, मैच आमतौर पर किस प्रकार की सतह पर खेला जाता है?</v>
      </c>
      <c r="J125" s="8" t="str">
        <f>IFERROR(__xludf.DUMMYFUNCTION("GOOGLETRANSLATE(D125, ""en"", ""hi"")"),"A) घास, B) रेत, C) लकड़ी का फर्श, D) गंदगी")</f>
        <v>A) घास, B) रेत, C) लकड़ी का फर्श, D) गंदगी</v>
      </c>
      <c r="K125" s="8" t="str">
        <f>IFERROR(__xludf.DUMMYFUNCTION("GOOGLETRANSLATE(E125, ""en"", ""hi"")"),"C) लकड़ी का फर्श")</f>
        <v>C) लकड़ी का फर्श</v>
      </c>
    </row>
    <row r="126" ht="22.5" customHeight="1">
      <c r="A126" s="2">
        <v>125.0</v>
      </c>
      <c r="B126" s="3" t="s">
        <v>2275</v>
      </c>
      <c r="C126" s="3" t="s">
        <v>1934</v>
      </c>
      <c r="D126" s="3" t="s">
        <v>1935</v>
      </c>
      <c r="E126" s="3" t="s">
        <v>1873</v>
      </c>
      <c r="G126" s="8" t="str">
        <f>IFERROR(__xludf.DUMMYFUNCTION("GOOGLETRANSLATE(A126, ""en"", ""hi"")"),"125")</f>
        <v>125</v>
      </c>
      <c r="H126" s="8" t="str">
        <f>IFERROR(__xludf.DUMMYFUNCTION("GOOGLETRANSLATE(B126, ""en"", ""hi"")"),"पम्बरम_32")</f>
        <v>पम्बरम_32</v>
      </c>
      <c r="I126" s="8" t="str">
        <f>IFERROR(__xludf.DUMMYFUNCTION("GOOGLETRANSLATE(C126, ""en"", ""hi"")"),"चित्र में दिखाए गए खेल में रेफरी की भूमिका क्या है?")</f>
        <v>चित्र में दिखाए गए खेल में रेफरी की भूमिका क्या है?</v>
      </c>
      <c r="J126" s="8" t="str">
        <f>IFERROR(__xludf.DUMMYFUNCTION("GOOGLETRANSLATE(D126, ""en"", ""hi"")"),"A) स्कोरकीपर, B) टाइमकीपर, C) नियम लागू करना, D) उपरोक्त सभी")</f>
        <v>A) स्कोरकीपर, B) टाइमकीपर, C) नियम लागू करना, D) उपरोक्त सभी</v>
      </c>
      <c r="K126" s="8" t="str">
        <f>IFERROR(__xludf.DUMMYFUNCTION("GOOGLETRANSLATE(E126, ""en"", ""hi"")"),"D। उपरोक्त सभी")</f>
        <v>D। उपरोक्त सभी</v>
      </c>
    </row>
    <row r="127" ht="22.5" customHeight="1">
      <c r="A127" s="2">
        <v>126.0</v>
      </c>
      <c r="B127" s="3" t="s">
        <v>2275</v>
      </c>
      <c r="C127" s="3" t="s">
        <v>1936</v>
      </c>
      <c r="D127" s="3" t="s">
        <v>1937</v>
      </c>
      <c r="E127" s="3" t="s">
        <v>1873</v>
      </c>
      <c r="G127" s="8" t="str">
        <f>IFERROR(__xludf.DUMMYFUNCTION("GOOGLETRANSLATE(A127, ""en"", ""hi"")"),"126")</f>
        <v>126</v>
      </c>
      <c r="H127" s="8" t="str">
        <f>IFERROR(__xludf.DUMMYFUNCTION("GOOGLETRANSLATE(B127, ""en"", ""hi"")"),"पम्बरम_32")</f>
        <v>पम्बरम_32</v>
      </c>
      <c r="I127" s="8" t="str">
        <f>IFERROR(__xludf.DUMMYFUNCTION("GOOGLETRANSLATE(C127, ""en"", ""hi"")"),"चित्र में दिखाए गए खेल में फुटवर्क का क्या महत्व है?")</f>
        <v>चित्र में दिखाए गए खेल में फुटवर्क का क्या महत्व है?</v>
      </c>
      <c r="J127" s="8" t="str">
        <f>IFERROR(__xludf.DUMMYFUNCTION("GOOGLETRANSLATE(D127, ""en"", ""hi"")"),"A) संतुलन बनाए रखें, B) चपलता बढ़ाएँ, C) हमलों से बचें, D) उपरोक्त सभी")</f>
        <v>A) संतुलन बनाए रखें, B) चपलता बढ़ाएँ, C) हमलों से बचें, D) उपरोक्त सभी</v>
      </c>
      <c r="K127" s="8" t="str">
        <f>IFERROR(__xludf.DUMMYFUNCTION("GOOGLETRANSLATE(E127, ""en"", ""hi"")"),"D। उपरोक्त सभी")</f>
        <v>D। उपरोक्त सभी</v>
      </c>
    </row>
    <row r="128" ht="22.5" customHeight="1">
      <c r="A128" s="2">
        <v>127.0</v>
      </c>
      <c r="B128" s="3" t="s">
        <v>2275</v>
      </c>
      <c r="C128" s="3" t="s">
        <v>1938</v>
      </c>
      <c r="D128" s="3" t="s">
        <v>1939</v>
      </c>
      <c r="E128" s="3" t="s">
        <v>1940</v>
      </c>
      <c r="G128" s="8" t="str">
        <f>IFERROR(__xludf.DUMMYFUNCTION("GOOGLETRANSLATE(A128, ""en"", ""hi"")"),"127")</f>
        <v>127</v>
      </c>
      <c r="H128" s="8" t="str">
        <f>IFERROR(__xludf.DUMMYFUNCTION("GOOGLETRANSLATE(B128, ""en"", ""hi"")"),"पम्बरम_32")</f>
        <v>पम्बरम_32</v>
      </c>
      <c r="I128" s="8" t="str">
        <f>IFERROR(__xludf.DUMMYFUNCTION("GOOGLETRANSLATE(C128, ""en"", ""hi"")"),"चित्र में दिखाए गए खेल के लिए, यदि कोई खिलाड़ी नियमों का उल्लंघन करता है तो क्या होगा?")</f>
        <v>चित्र में दिखाए गए खेल के लिए, यदि कोई खिलाड़ी नियमों का उल्लंघन करता है तो क्या होगा?</v>
      </c>
      <c r="J128" s="8" t="str">
        <f>IFERROR(__xludf.DUMMYFUNCTION("GOOGLETRANSLATE(D128, ""en"", ""hi"")"),"A) चेतावनी, B) अयोग्यता, C) अंक कटौती, D) उपरोक्त में से कोई भी")</f>
        <v>A) चेतावनी, B) अयोग्यता, C) अंक कटौती, D) उपरोक्त में से कोई भी</v>
      </c>
      <c r="K128" s="8" t="str">
        <f>IFERROR(__xludf.DUMMYFUNCTION("GOOGLETRANSLATE(E128, ""en"", ""hi"")"),"D) उपरोक्त में से कोई भी")</f>
        <v>D) उपरोक्त में से कोई भी</v>
      </c>
    </row>
    <row r="129" ht="22.5" customHeight="1">
      <c r="A129" s="2">
        <v>128.0</v>
      </c>
      <c r="B129" s="3" t="s">
        <v>2275</v>
      </c>
      <c r="C129" s="3" t="s">
        <v>1941</v>
      </c>
      <c r="D129" s="3" t="s">
        <v>1942</v>
      </c>
      <c r="E129" s="3" t="s">
        <v>1943</v>
      </c>
      <c r="G129" s="8" t="str">
        <f>IFERROR(__xludf.DUMMYFUNCTION("GOOGLETRANSLATE(A129, ""en"", ""hi"")"),"128")</f>
        <v>128</v>
      </c>
      <c r="H129" s="8" t="str">
        <f>IFERROR(__xludf.DUMMYFUNCTION("GOOGLETRANSLATE(B129, ""en"", ""hi"")"),"पम्बरम_32")</f>
        <v>पम्बरम_32</v>
      </c>
      <c r="I129" s="8" t="str">
        <f>IFERROR(__xludf.DUMMYFUNCTION("GOOGLETRANSLATE(C129, ""en"", ""hi"")"),"चित्र में दिखाए गए खेल में, बराबरी वाले मैच का समाधान कैसे किया जाता है?")</f>
        <v>चित्र में दिखाए गए खेल में, बराबरी वाले मैच का समाधान कैसे किया जाता है?</v>
      </c>
      <c r="J129" s="8" t="str">
        <f>IFERROR(__xludf.DUMMYFUNCTION("GOOGLETRANSLATE(D129, ""en"", ""hi"")"),"A) अतिरिक्त समय, B) अचानक मौत, C) रेफरी का निर्णय, D) सिक्का उछालना")</f>
        <v>A) अतिरिक्त समय, B) अचानक मौत, C) रेफरी का निर्णय, D) सिक्का उछालना</v>
      </c>
      <c r="K129" s="8" t="str">
        <f>IFERROR(__xludf.DUMMYFUNCTION("GOOGLETRANSLATE(E129, ""en"", ""hi"")"),"बी) अचानक मृत्यु")</f>
        <v>बी) अचानक मृत्यु</v>
      </c>
    </row>
    <row r="130" ht="22.5" customHeight="1">
      <c r="A130" s="2">
        <v>129.0</v>
      </c>
      <c r="B130" s="3" t="s">
        <v>2276</v>
      </c>
      <c r="C130" s="3" t="s">
        <v>1945</v>
      </c>
      <c r="D130" s="3" t="s">
        <v>1946</v>
      </c>
      <c r="E130" s="3" t="s">
        <v>1947</v>
      </c>
      <c r="G130" s="8" t="str">
        <f>IFERROR(__xludf.DUMMYFUNCTION("GOOGLETRANSLATE(A130, ""en"", ""hi"")"),"129")</f>
        <v>129</v>
      </c>
      <c r="H130" s="8" t="str">
        <f>IFERROR(__xludf.DUMMYFUNCTION("GOOGLETRANSLATE(B130, ""en"", ""hi"")"),"पम्बरम_33")</f>
        <v>पम्बरम_33</v>
      </c>
      <c r="I130" s="8" t="str">
        <f>IFERROR(__xludf.DUMMYFUNCTION("GOOGLETRANSLATE(C130, ""en"", ""hi"")"),"चित्र में दिखाए गए खेल में यदि किसी खिलाड़ी का हथियार टूट जाए तो क्या होगा?")</f>
        <v>चित्र में दिखाए गए खेल में यदि किसी खिलाड़ी का हथियार टूट जाए तो क्या होगा?</v>
      </c>
      <c r="J130" s="8" t="str">
        <f>IFERROR(__xludf.DUMMYFUNCTION("GOOGLETRANSLATE(D130, ""en"", ""hi"")"),"A) तत्काल हार, B) रेफरी मैच रोक देता है, C) प्रतिद्वंद्वी जीत जाता है, D) अयोग्यता")</f>
        <v>A) तत्काल हार, B) रेफरी मैच रोक देता है, C) प्रतिद्वंद्वी जीत जाता है, D) अयोग्यता</v>
      </c>
      <c r="K130" s="8" t="str">
        <f>IFERROR(__xludf.DUMMYFUNCTION("GOOGLETRANSLATE(E130, ""en"", ""hi"")"),"B) रेफरी मैच रोक देता है")</f>
        <v>B) रेफरी मैच रोक देता है</v>
      </c>
    </row>
    <row r="131" ht="22.5" customHeight="1">
      <c r="A131" s="2">
        <v>130.0</v>
      </c>
      <c r="B131" s="3" t="s">
        <v>2276</v>
      </c>
      <c r="C131" s="3" t="s">
        <v>1948</v>
      </c>
      <c r="D131" s="3" t="s">
        <v>1949</v>
      </c>
      <c r="E131" s="3" t="s">
        <v>1950</v>
      </c>
      <c r="G131" s="8" t="str">
        <f>IFERROR(__xludf.DUMMYFUNCTION("GOOGLETRANSLATE(A131, ""en"", ""hi"")"),"130")</f>
        <v>130</v>
      </c>
      <c r="H131" s="8" t="str">
        <f>IFERROR(__xludf.DUMMYFUNCTION("GOOGLETRANSLATE(B131, ""en"", ""hi"")"),"पम्बरम_33")</f>
        <v>पम्बरम_33</v>
      </c>
      <c r="I131" s="8" t="str">
        <f>IFERROR(__xludf.DUMMYFUNCTION("GOOGLETRANSLATE(C131, ""en"", ""hi"")"),"चित्र में दिखाए गए खेल के लिए ढाल का उद्देश्य क्या है?")</f>
        <v>चित्र में दिखाए गए खेल के लिए ढाल का उद्देश्य क्या है?</v>
      </c>
      <c r="J131" s="8" t="str">
        <f>IFERROR(__xludf.DUMMYFUNCTION("GOOGLETRANSLATE(D131, ""en"", ""hi"")"),"A) प्रतिद्वंद्वी पर हमला करना, B) हमलों को रोकना, C) प्रतिद्वंद्वी को ताना मारना, D) सिर की रक्षा करना")</f>
        <v>A) प्रतिद्वंद्वी पर हमला करना, B) हमलों को रोकना, C) प्रतिद्वंद्वी को ताना मारना, D) सिर की रक्षा करना</v>
      </c>
      <c r="K131" s="8" t="str">
        <f>IFERROR(__xludf.DUMMYFUNCTION("GOOGLETRANSLATE(E131, ""en"", ""hi"")"),"बी) हमलों को विक्षेपित करना")</f>
        <v>बी) हमलों को विक्षेपित करना</v>
      </c>
    </row>
    <row r="132" ht="22.5" customHeight="1">
      <c r="A132" s="2">
        <v>131.0</v>
      </c>
      <c r="B132" s="3" t="s">
        <v>2276</v>
      </c>
      <c r="C132" s="3" t="s">
        <v>1951</v>
      </c>
      <c r="D132" s="3" t="s">
        <v>1952</v>
      </c>
      <c r="E132" s="3" t="s">
        <v>1873</v>
      </c>
      <c r="G132" s="8" t="str">
        <f>IFERROR(__xludf.DUMMYFUNCTION("GOOGLETRANSLATE(A132, ""en"", ""hi"")"),"131")</f>
        <v>131</v>
      </c>
      <c r="H132" s="8" t="str">
        <f>IFERROR(__xludf.DUMMYFUNCTION("GOOGLETRANSLATE(B132, ""en"", ""hi"")"),"पम्बरम_33")</f>
        <v>पम्बरम_33</v>
      </c>
      <c r="I132" s="8" t="str">
        <f>IFERROR(__xludf.DUMMYFUNCTION("GOOGLETRANSLATE(C132, ""en"", ""hi"")"),"चित्र में दिखाए गए खेल के लिए, निम्नलिखित में से किससे अंक प्राप्त हो सकता है?")</f>
        <v>चित्र में दिखाए गए खेल के लिए, निम्नलिखित में से किससे अंक प्राप्त हो सकता है?</v>
      </c>
      <c r="J132" s="8" t="str">
        <f>IFERROR(__xludf.DUMMYFUNCTION("GOOGLETRANSLATE(D132, ""en"", ""hi"")"),"A) प्रतिद्वंद्वी के धड़ पर प्रहार करना, B) पैरों पर प्रहार करना, C) सिर पर प्रहार करना, D) उपरोक्त सभी")</f>
        <v>A) प्रतिद्वंद्वी के धड़ पर प्रहार करना, B) पैरों पर प्रहार करना, C) सिर पर प्रहार करना, D) उपरोक्त सभी</v>
      </c>
      <c r="K132" s="8" t="str">
        <f>IFERROR(__xludf.DUMMYFUNCTION("GOOGLETRANSLATE(E132, ""en"", ""hi"")"),"D। उपरोक्त सभी")</f>
        <v>D। उपरोक्त सभी</v>
      </c>
    </row>
    <row r="133" ht="22.5" customHeight="1">
      <c r="A133" s="2">
        <v>132.0</v>
      </c>
      <c r="B133" s="3" t="s">
        <v>2276</v>
      </c>
      <c r="C133" s="3" t="s">
        <v>1953</v>
      </c>
      <c r="D133" s="3" t="s">
        <v>51</v>
      </c>
      <c r="E133" s="3" t="s">
        <v>1254</v>
      </c>
      <c r="G133" s="8" t="str">
        <f>IFERROR(__xludf.DUMMYFUNCTION("GOOGLETRANSLATE(A133, ""en"", ""hi"")"),"132")</f>
        <v>132</v>
      </c>
      <c r="H133" s="8" t="str">
        <f>IFERROR(__xludf.DUMMYFUNCTION("GOOGLETRANSLATE(B133, ""en"", ""hi"")"),"पम्बरम_33")</f>
        <v>पम्बरम_33</v>
      </c>
      <c r="I133" s="8" t="str">
        <f>IFERROR(__xludf.DUMMYFUNCTION("GOOGLETRANSLATE(C133, ""en"", ""hi"")"),"चित्र में दिखाए गए खेल के लिए, आमतौर पर कितने जज मैच का स्कोर देते हैं?")</f>
        <v>चित्र में दिखाए गए खेल के लिए, आमतौर पर कितने जज मैच का स्कोर देते हैं?</v>
      </c>
      <c r="J133" s="8" t="str">
        <f>IFERROR(__xludf.DUMMYFUNCTION("GOOGLETRANSLATE(D133, ""en"", ""hi"")"),"ए) 1, बी) 2, सी) 3, डी) 4")</f>
        <v>ए) 1, बी) 2, सी) 3, डी) 4</v>
      </c>
      <c r="K133" s="8" t="str">
        <f>IFERROR(__xludf.DUMMYFUNCTION("GOOGLETRANSLATE(E133, ""en"", ""hi"")"),"सी) 3")</f>
        <v>सी) 3</v>
      </c>
    </row>
    <row r="134" ht="22.5" customHeight="1">
      <c r="A134" s="2">
        <v>133.0</v>
      </c>
      <c r="B134" s="3" t="s">
        <v>2277</v>
      </c>
      <c r="C134" s="3" t="s">
        <v>2278</v>
      </c>
      <c r="D134" s="3" t="s">
        <v>2279</v>
      </c>
      <c r="E134" s="3" t="s">
        <v>2280</v>
      </c>
      <c r="G134" s="8" t="str">
        <f>IFERROR(__xludf.DUMMYFUNCTION("GOOGLETRANSLATE(A134, ""en"", ""hi"")"),"133")</f>
        <v>133</v>
      </c>
      <c r="H134" s="8" t="str">
        <f>IFERROR(__xludf.DUMMYFUNCTION("GOOGLETRANSLATE(B134, ""en"", ""hi"")"),"पम्बरम_34")</f>
        <v>पम्बरम_34</v>
      </c>
      <c r="I134" s="8" t="str">
        <f>IFERROR(__xludf.DUMMYFUNCTION("GOOGLETRANSLATE(C134, ""en"", ""hi"")"),"चित्र में दिखाए गए खेल के लिए विवादों का समाधान कैसे किया जाता है?")</f>
        <v>चित्र में दिखाए गए खेल के लिए विवादों का समाधान कैसे किया जाता है?</v>
      </c>
      <c r="J134" s="8" t="str">
        <f>IFERROR(__xludf.DUMMYFUNCTION("GOOGLETRANSLATE(D134, ""en"", ""hi"")"),"A) सिक्का उछालना, B) मुख्य रेफरी का निर्णय, C) खिलाड़ी का निर्णय, D) राउंड को पुनः खेलना")</f>
        <v>A) सिक्का उछालना, B) मुख्य रेफरी का निर्णय, C) खिलाड़ी का निर्णय, D) राउंड को पुनः खेलना</v>
      </c>
      <c r="K134" s="8" t="str">
        <f>IFERROR(__xludf.DUMMYFUNCTION("GOOGLETRANSLATE(E134, ""en"", ""hi"")"),"बी) मुख्य रेफरी का निर्णय")</f>
        <v>बी) मुख्य रेफरी का निर्णय</v>
      </c>
    </row>
    <row r="135" ht="22.5" customHeight="1">
      <c r="A135" s="2">
        <v>134.0</v>
      </c>
      <c r="B135" s="3" t="s">
        <v>2277</v>
      </c>
      <c r="C135" s="3" t="s">
        <v>2281</v>
      </c>
      <c r="D135" s="3" t="s">
        <v>2282</v>
      </c>
      <c r="E135" s="3" t="s">
        <v>2283</v>
      </c>
      <c r="G135" s="8" t="str">
        <f>IFERROR(__xludf.DUMMYFUNCTION("GOOGLETRANSLATE(A135, ""en"", ""hi"")"),"134")</f>
        <v>134</v>
      </c>
      <c r="H135" s="8" t="str">
        <f>IFERROR(__xludf.DUMMYFUNCTION("GOOGLETRANSLATE(B135, ""en"", ""hi"")"),"पम्बरम_34")</f>
        <v>पम्बरम_34</v>
      </c>
      <c r="I135" s="8" t="str">
        <f>IFERROR(__xludf.DUMMYFUNCTION("GOOGLETRANSLATE(C135, ""en"", ""hi"")"),"चित्र में दिखाए गए खेल में, निम्नलिखित में से कौन सा स्कोरिंग प्रणाली का हिस्सा नहीं है?")</f>
        <v>चित्र में दिखाए गए खेल में, निम्नलिखित में से कौन सा स्कोरिंग प्रणाली का हिस्सा नहीं है?</v>
      </c>
      <c r="J135" s="8" t="str">
        <f>IFERROR(__xludf.DUMMYFUNCTION("GOOGLETRANSLATE(D135, ""en"", ""hi"")"),"A) परिशुद्धता, B) शक्ति, C) रूप, D) खेल भावना")</f>
        <v>A) परिशुद्धता, B) शक्ति, C) रूप, D) खेल भावना</v>
      </c>
      <c r="K135" s="8" t="str">
        <f>IFERROR(__xludf.DUMMYFUNCTION("GOOGLETRANSLATE(E135, ""en"", ""hi"")"),"डी) खेल भावना")</f>
        <v>डी) खेल भावना</v>
      </c>
    </row>
    <row r="136" ht="22.5" customHeight="1">
      <c r="A136" s="2">
        <v>135.0</v>
      </c>
      <c r="B136" s="3" t="s">
        <v>2277</v>
      </c>
      <c r="C136" s="3" t="s">
        <v>2284</v>
      </c>
      <c r="D136" s="3" t="s">
        <v>2285</v>
      </c>
      <c r="E136" s="3" t="s">
        <v>2286</v>
      </c>
      <c r="G136" s="8" t="str">
        <f>IFERROR(__xludf.DUMMYFUNCTION("GOOGLETRANSLATE(A136, ""en"", ""hi"")"),"135")</f>
        <v>135</v>
      </c>
      <c r="H136" s="8" t="str">
        <f>IFERROR(__xludf.DUMMYFUNCTION("GOOGLETRANSLATE(B136, ""en"", ""hi"")"),"पम्बरम_34")</f>
        <v>पम्बरम_34</v>
      </c>
      <c r="I136" s="8" t="str">
        <f>IFERROR(__xludf.DUMMYFUNCTION("GOOGLETRANSLATE(C136, ""en"", ""hi"")"),"चित्र में दिखाए गए खेल के लिए रक्षात्मक ब्लॉक का क्या अर्थ है?")</f>
        <v>चित्र में दिखाए गए खेल के लिए रक्षात्मक ब्लॉक का क्या अर्थ है?</v>
      </c>
      <c r="J136" s="8" t="str">
        <f>IFERROR(__xludf.DUMMYFUNCTION("GOOGLETRANSLATE(D136, ""en"", ""hi"")"),"A) पैरी, B) गार्ड, C) डिफ्लेक्ट, D) शील्ड")</f>
        <v>A) पैरी, B) गार्ड, C) डिफ्लेक्ट, D) शील्ड</v>
      </c>
      <c r="K136" s="8" t="str">
        <f>IFERROR(__xludf.DUMMYFUNCTION("GOOGLETRANSLATE(E136, ""en"", ""hi"")"),"ए) पैरी")</f>
        <v>ए) पैरी</v>
      </c>
    </row>
    <row r="137" ht="22.5" customHeight="1">
      <c r="A137" s="2">
        <v>136.0</v>
      </c>
      <c r="B137" s="3" t="s">
        <v>2277</v>
      </c>
      <c r="C137" s="3" t="s">
        <v>2287</v>
      </c>
      <c r="D137" s="3" t="s">
        <v>2288</v>
      </c>
      <c r="E137" s="3" t="s">
        <v>2289</v>
      </c>
      <c r="G137" s="8" t="str">
        <f>IFERROR(__xludf.DUMMYFUNCTION("GOOGLETRANSLATE(A137, ""en"", ""hi"")"),"136")</f>
        <v>136</v>
      </c>
      <c r="H137" s="8" t="str">
        <f>IFERROR(__xludf.DUMMYFUNCTION("GOOGLETRANSLATE(B137, ""en"", ""hi"")"),"पम्बरम_34")</f>
        <v>पम्बरम_34</v>
      </c>
      <c r="I137" s="8" t="str">
        <f>IFERROR(__xludf.DUMMYFUNCTION("GOOGLETRANSLATE(C137, ""en"", ""hi"")"),"चित्र में दिखाए गए खेल के लिए ड्रॉ का प्रबंधन कैसे किया जाता है?")</f>
        <v>चित्र में दिखाए गए खेल के लिए ड्रॉ का प्रबंधन कैसे किया जाता है?</v>
      </c>
      <c r="J137" s="8" t="str">
        <f>IFERROR(__xludf.DUMMYFUNCTION("GOOGLETRANSLATE(D137, ""en"", ""hi"")"),"A) मैच पुनः खेलना, B) दोनों खिलाड़ियों को पुरस्कार देना, C) अचानक मृत्यु, D) जजों का निर्णय")</f>
        <v>A) मैच पुनः खेलना, B) दोनों खिलाड़ियों को पुरस्कार देना, C) अचानक मृत्यु, D) जजों का निर्णय</v>
      </c>
      <c r="K137" s="8" t="str">
        <f>IFERROR(__xludf.DUMMYFUNCTION("GOOGLETRANSLATE(E137, ""en"", ""hi"")"),"C) अचानक मृत्यु")</f>
        <v>C) अचानक मृत्यु</v>
      </c>
    </row>
    <row r="138">
      <c r="A138" s="9"/>
      <c r="B138" s="5"/>
      <c r="C138" s="5"/>
      <c r="D138" s="5"/>
      <c r="E138" s="5"/>
    </row>
    <row r="139">
      <c r="A139" s="9"/>
      <c r="B139" s="5"/>
      <c r="C139" s="5"/>
      <c r="D139" s="5"/>
      <c r="E139" s="5"/>
    </row>
    <row r="140">
      <c r="A140" s="9"/>
      <c r="B140" s="5"/>
      <c r="C140" s="5"/>
      <c r="D140" s="5"/>
      <c r="E140" s="5"/>
    </row>
    <row r="141">
      <c r="A141" s="9"/>
      <c r="B141" s="5"/>
      <c r="C141" s="5"/>
      <c r="D141" s="5"/>
      <c r="E141" s="5"/>
    </row>
    <row r="142">
      <c r="A142" s="9"/>
      <c r="B142" s="5"/>
      <c r="C142" s="5"/>
      <c r="D142" s="5"/>
      <c r="E142" s="5"/>
    </row>
    <row r="143">
      <c r="A143" s="9"/>
      <c r="B143" s="5"/>
      <c r="C143" s="5"/>
      <c r="D143" s="5"/>
      <c r="E143" s="5"/>
    </row>
    <row r="144">
      <c r="A144" s="9"/>
      <c r="B144" s="5"/>
      <c r="C144" s="5"/>
      <c r="D144" s="5"/>
      <c r="E144" s="5"/>
    </row>
    <row r="145">
      <c r="A145" s="9"/>
      <c r="B145" s="5"/>
      <c r="C145" s="5"/>
      <c r="D145" s="5"/>
      <c r="E145" s="5"/>
    </row>
    <row r="146">
      <c r="A146" s="9"/>
      <c r="B146" s="5"/>
      <c r="C146" s="5"/>
      <c r="D146" s="5"/>
      <c r="E146" s="5"/>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31.88"/>
    <col customWidth="1" min="9" max="10" width="37.63"/>
    <col customWidth="1" min="11" max="11" width="23.75"/>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2290</v>
      </c>
      <c r="C2" s="3" t="s">
        <v>2291</v>
      </c>
      <c r="D2" s="3" t="s">
        <v>2292</v>
      </c>
      <c r="E2" s="3" t="s">
        <v>2293</v>
      </c>
      <c r="G2" s="8" t="str">
        <f>IFERROR(__xludf.DUMMYFUNCTION("GOOGLETRANSLATE(A2, ""en"", ""hi"")"),"1")</f>
        <v>1</v>
      </c>
      <c r="H2" s="8" t="str">
        <f>IFERROR(__xludf.DUMMYFUNCTION("GOOGLETRANSLATE(B2, ""en"", ""hi"")"),"धोप_खेल_1")</f>
        <v>धोप_खेल_1</v>
      </c>
      <c r="I2" s="8" t="str">
        <f>IFERROR(__xludf.DUMMYFUNCTION("GOOGLETRANSLATE(C2, ""en"", ""hi"")"),"चित्र में दिखाए गए खेल से, खेल का प्राथमिक उद्देश्य क्या है?")</f>
        <v>चित्र में दिखाए गए खेल से, खेल का प्राथमिक उद्देश्य क्या है?</v>
      </c>
      <c r="J2" s="8" t="str">
        <f>IFERROR(__xludf.DUMMYFUNCTION("GOOGLETRANSLATE(D2, ""en"", ""hi"")"),"क) दौड़कर स्कोर करना, ख) प्रतिद्वंद्वी को मारना, ग) गेंद पास करना, घ) झंडा पकड़ना")</f>
        <v>क) दौड़कर स्कोर करना, ख) प्रतिद्वंद्वी को मारना, ग) गेंद पास करना, घ) झंडा पकड़ना</v>
      </c>
      <c r="K2" s="8" t="str">
        <f>IFERROR(__xludf.DUMMYFUNCTION("GOOGLETRANSLATE(E2, ""en"", ""hi"")"),"a) दौड़कर स्कोर करना")</f>
        <v>a) दौड़कर स्कोर करना</v>
      </c>
    </row>
    <row r="3" ht="22.5" customHeight="1">
      <c r="A3" s="2">
        <v>2.0</v>
      </c>
      <c r="B3" s="3" t="s">
        <v>2290</v>
      </c>
      <c r="C3" s="3" t="s">
        <v>2294</v>
      </c>
      <c r="D3" s="3" t="s">
        <v>2295</v>
      </c>
      <c r="E3" s="3" t="s">
        <v>2296</v>
      </c>
      <c r="G3" s="8" t="str">
        <f>IFERROR(__xludf.DUMMYFUNCTION("GOOGLETRANSLATE(A3, ""en"", ""hi"")"),"2")</f>
        <v>2</v>
      </c>
      <c r="H3" s="8" t="str">
        <f>IFERROR(__xludf.DUMMYFUNCTION("GOOGLETRANSLATE(B3, ""en"", ""hi"")"),"धोप_खेल_1")</f>
        <v>धोप_खेल_1</v>
      </c>
      <c r="I3" s="8" t="str">
        <f>IFERROR(__xludf.DUMMYFUNCTION("GOOGLETRANSLATE(C3, ""en"", ""hi"")"),"चित्र में दिखाए गए खेल से, खेल शुरू करने के लिए क्या उपयोग किया जाता है?")</f>
        <v>चित्र में दिखाए गए खेल से, खेल शुरू करने के लिए क्या उपयोग किया जाता है?</v>
      </c>
      <c r="J3" s="8" t="str">
        <f>IFERROR(__xludf.DUMMYFUNCTION("GOOGLETRANSLATE(D3, ""en"", ""hi"")"),"a) सिक्का उछालना, b) सीटी बजाना, c) गेंद फेंकना, d) शुरुआती हॉर्न बजाना")</f>
        <v>a) सिक्का उछालना, b) सीटी बजाना, c) गेंद फेंकना, d) शुरुआती हॉर्न बजाना</v>
      </c>
      <c r="K3" s="8" t="str">
        <f>IFERROR(__xludf.DUMMYFUNCTION("GOOGLETRANSLATE(E3, ""en"", ""hi"")"),"ग) एक गेंद फेंकना")</f>
        <v>ग) एक गेंद फेंकना</v>
      </c>
    </row>
    <row r="4" ht="22.5" customHeight="1">
      <c r="A4" s="2">
        <v>3.0</v>
      </c>
      <c r="B4" s="3" t="s">
        <v>2290</v>
      </c>
      <c r="C4" s="3" t="s">
        <v>2297</v>
      </c>
      <c r="D4" s="3" t="s">
        <v>2298</v>
      </c>
      <c r="E4" s="3" t="s">
        <v>2299</v>
      </c>
      <c r="G4" s="8" t="str">
        <f>IFERROR(__xludf.DUMMYFUNCTION("GOOGLETRANSLATE(A4, ""en"", ""hi"")"),"3")</f>
        <v>3</v>
      </c>
      <c r="H4" s="8" t="str">
        <f>IFERROR(__xludf.DUMMYFUNCTION("GOOGLETRANSLATE(B4, ""en"", ""hi"")"),"धोप_खेल_1")</f>
        <v>धोप_खेल_1</v>
      </c>
      <c r="I4" s="8" t="str">
        <f>IFERROR(__xludf.DUMMYFUNCTION("GOOGLETRANSLATE(C4, ""en"", ""hi"")"),"चित्र में दिखाए गए खेल के अनुसार, प्रत्येक टीम में आमतौर पर कितने खिलाड़ी होते हैं?")</f>
        <v>चित्र में दिखाए गए खेल के अनुसार, प्रत्येक टीम में आमतौर पर कितने खिलाड़ी होते हैं?</v>
      </c>
      <c r="J4" s="8" t="str">
        <f>IFERROR(__xludf.DUMMYFUNCTION("GOOGLETRANSLATE(D4, ""en"", ""hi"")"),"a) 5 खिलाड़ी, b) 7 खिलाड़ी, c) 9 खिलाड़ी, d) 11 खिलाड़ी")</f>
        <v>a) 5 खिलाड़ी, b) 7 खिलाड़ी, c) 9 खिलाड़ी, d) 11 खिलाड़ी</v>
      </c>
      <c r="K4" s="8" t="str">
        <f>IFERROR(__xludf.DUMMYFUNCTION("GOOGLETRANSLATE(E4, ""en"", ""hi"")"),"b) 7 खिलाड़ी")</f>
        <v>b) 7 खिलाड़ी</v>
      </c>
    </row>
    <row r="5" ht="22.5" customHeight="1">
      <c r="A5" s="2">
        <v>4.0</v>
      </c>
      <c r="B5" s="3" t="s">
        <v>2290</v>
      </c>
      <c r="C5" s="3" t="s">
        <v>2300</v>
      </c>
      <c r="D5" s="3" t="s">
        <v>2301</v>
      </c>
      <c r="E5" s="3" t="s">
        <v>2302</v>
      </c>
      <c r="G5" s="8" t="str">
        <f>IFERROR(__xludf.DUMMYFUNCTION("GOOGLETRANSLATE(A5, ""en"", ""hi"")"),"4")</f>
        <v>4</v>
      </c>
      <c r="H5" s="8" t="str">
        <f>IFERROR(__xludf.DUMMYFUNCTION("GOOGLETRANSLATE(B5, ""en"", ""hi"")"),"धोप_खेल_1")</f>
        <v>धोप_खेल_1</v>
      </c>
      <c r="I5" s="8" t="str">
        <f>IFERROR(__xludf.DUMMYFUNCTION("GOOGLETRANSLATE(C5, ""en"", ""hi"")"),"चित्र में दिखाए गए खेल से, केंद्रीय रेखा का क्या महत्व है?")</f>
        <v>चित्र में दिखाए गए खेल से, केंद्रीय रेखा का क्या महत्व है?</v>
      </c>
      <c r="J5" s="8" t="str">
        <f>IFERROR(__xludf.DUMMYFUNCTION("GOOGLETRANSLATE(D5, ""en"", ""hi"")"),"a) मैदान को विभाजित करता है, b) स्कोरिंग क्षेत्र को चिह्नित करता है, c) फ़ाउल लाइन को इंगित करता है, d) टीम की सीमा को चिह्नित करता है")</f>
        <v>a) मैदान को विभाजित करता है, b) स्कोरिंग क्षेत्र को चिह्नित करता है, c) फ़ाउल लाइन को इंगित करता है, d) टीम की सीमा को चिह्नित करता है</v>
      </c>
      <c r="K5" s="8" t="str">
        <f>IFERROR(__xludf.DUMMYFUNCTION("GOOGLETRANSLATE(E5, ""en"", ""hi"")"),"a) क्षेत्र को विभाजित करता है")</f>
        <v>a) क्षेत्र को विभाजित करता है</v>
      </c>
    </row>
    <row r="6" ht="22.5" customHeight="1">
      <c r="A6" s="2">
        <v>5.0</v>
      </c>
      <c r="B6" s="3" t="s">
        <v>2303</v>
      </c>
      <c r="C6" s="3" t="s">
        <v>2304</v>
      </c>
      <c r="D6" s="3" t="s">
        <v>2305</v>
      </c>
      <c r="E6" s="3" t="s">
        <v>2306</v>
      </c>
      <c r="G6" s="8" t="str">
        <f>IFERROR(__xludf.DUMMYFUNCTION("GOOGLETRANSLATE(A6, ""en"", ""hi"")"),"5")</f>
        <v>5</v>
      </c>
      <c r="H6" s="8" t="str">
        <f>IFERROR(__xludf.DUMMYFUNCTION("GOOGLETRANSLATE(B6, ""en"", ""hi"")"),"धोप_खेल_2")</f>
        <v>धोप_खेल_2</v>
      </c>
      <c r="I6" s="8" t="str">
        <f>IFERROR(__xludf.DUMMYFUNCTION("GOOGLETRANSLATE(C6, ""en"", ""hi"")"),"चित्र में दिखाए गए खेल में आमतौर पर किस प्रकार की गेंद का उपयोग किया जाता है?")</f>
        <v>चित्र में दिखाए गए खेल में आमतौर पर किस प्रकार की गेंद का उपयोग किया जाता है?</v>
      </c>
      <c r="J6" s="8" t="str">
        <f>IFERROR(__xludf.DUMMYFUNCTION("GOOGLETRANSLATE(D6, ""en"", ""hi"")"),"a) चमड़े की गेंद, b) रबर की गेंद, c) लकड़ी की गेंद, d) प्लास्टिक की गेंद")</f>
        <v>a) चमड़े की गेंद, b) रबर की गेंद, c) लकड़ी की गेंद, d) प्लास्टिक की गेंद</v>
      </c>
      <c r="K6" s="8" t="str">
        <f>IFERROR(__xludf.DUMMYFUNCTION("GOOGLETRANSLATE(E6, ""en"", ""hi"")"),"b) रबर की गेंद")</f>
        <v>b) रबर की गेंद</v>
      </c>
    </row>
    <row r="7" ht="22.5" customHeight="1">
      <c r="A7" s="2">
        <v>6.0</v>
      </c>
      <c r="B7" s="3" t="s">
        <v>2303</v>
      </c>
      <c r="C7" s="3" t="s">
        <v>2307</v>
      </c>
      <c r="D7" s="3" t="s">
        <v>2308</v>
      </c>
      <c r="E7" s="3" t="s">
        <v>2309</v>
      </c>
      <c r="G7" s="8" t="str">
        <f>IFERROR(__xludf.DUMMYFUNCTION("GOOGLETRANSLATE(A7, ""en"", ""hi"")"),"6")</f>
        <v>6</v>
      </c>
      <c r="H7" s="8" t="str">
        <f>IFERROR(__xludf.DUMMYFUNCTION("GOOGLETRANSLATE(B7, ""en"", ""hi"")"),"धोप_खेल_2")</f>
        <v>धोप_खेल_2</v>
      </c>
      <c r="I7" s="8" t="str">
        <f>IFERROR(__xludf.DUMMYFUNCTION("GOOGLETRANSLATE(C7, ""en"", ""hi"")"),"चित्र में दिखाए गए खेल से स्कोरिंग के लिए मुख्य रणनीति क्या है?")</f>
        <v>चित्र में दिखाए गए खेल से स्कोरिंग के लिए मुख्य रणनीति क्या है?</v>
      </c>
      <c r="J7" s="8" t="str">
        <f>IFERROR(__xludf.DUMMYFUNCTION("GOOGLETRANSLATE(D7, ""en"", ""hi"")"),"क) गेंद को तेजी से पास करना, ख) प्रतिद्वंद्वी के स्पर्श से बचना, ग) प्रतिद्वंद्वी के क्षेत्र से भागना, घ) प्रतिद्वंद्वी के गोलपोस्ट पर गेंद मारना")</f>
        <v>क) गेंद को तेजी से पास करना, ख) प्रतिद्वंद्वी के स्पर्श से बचना, ग) प्रतिद्वंद्वी के क्षेत्र से भागना, घ) प्रतिद्वंद्वी के गोलपोस्ट पर गेंद मारना</v>
      </c>
      <c r="K7" s="8" t="str">
        <f>IFERROR(__xludf.DUMMYFUNCTION("GOOGLETRANSLATE(E7, ""en"", ""hi"")"),"c) प्रतिद्वंद्वी के क्षेत्र से होकर दौड़ना")</f>
        <v>c) प्रतिद्वंद्वी के क्षेत्र से होकर दौड़ना</v>
      </c>
    </row>
    <row r="8" ht="22.5" customHeight="1">
      <c r="A8" s="2">
        <v>7.0</v>
      </c>
      <c r="B8" s="3" t="s">
        <v>2303</v>
      </c>
      <c r="C8" s="3" t="s">
        <v>2310</v>
      </c>
      <c r="D8" s="3" t="s">
        <v>2311</v>
      </c>
      <c r="E8" s="3" t="s">
        <v>2312</v>
      </c>
      <c r="G8" s="8" t="str">
        <f>IFERROR(__xludf.DUMMYFUNCTION("GOOGLETRANSLATE(A8, ""en"", ""hi"")"),"7")</f>
        <v>7</v>
      </c>
      <c r="H8" s="8" t="str">
        <f>IFERROR(__xludf.DUMMYFUNCTION("GOOGLETRANSLATE(B8, ""en"", ""hi"")"),"धोप_खेल_2")</f>
        <v>धोप_खेल_2</v>
      </c>
      <c r="I8" s="8" t="str">
        <f>IFERROR(__xludf.DUMMYFUNCTION("GOOGLETRANSLATE(C8, ""en"", ""hi"")"),"चित्र में दिखाए गए खेल में से, विरोधियों को चकमा देने के लिए कौन सा कौशल सबसे महत्वपूर्ण है?")</f>
        <v>चित्र में दिखाए गए खेल में से, विरोधियों को चकमा देने के लिए कौन सा कौशल सबसे महत्वपूर्ण है?</v>
      </c>
      <c r="J8" s="8" t="str">
        <f>IFERROR(__xludf.DUMMYFUNCTION("GOOGLETRANSLATE(D8, ""en"", ""hi"")"),"क) चपलता, ख) शक्ति, ग) सहनशक्ति, घ) लचीलापन")</f>
        <v>क) चपलता, ख) शक्ति, ग) सहनशक्ति, घ) लचीलापन</v>
      </c>
      <c r="K8" s="8" t="str">
        <f>IFERROR(__xludf.DUMMYFUNCTION("GOOGLETRANSLATE(E8, ""en"", ""hi"")"),"क) चपलता")</f>
        <v>क) चपलता</v>
      </c>
    </row>
    <row r="9" ht="22.5" customHeight="1">
      <c r="A9" s="2">
        <v>8.0</v>
      </c>
      <c r="B9" s="3" t="s">
        <v>2303</v>
      </c>
      <c r="C9" s="3" t="s">
        <v>2313</v>
      </c>
      <c r="D9" s="3" t="s">
        <v>2314</v>
      </c>
      <c r="E9" s="3" t="s">
        <v>2315</v>
      </c>
      <c r="G9" s="8" t="str">
        <f>IFERROR(__xludf.DUMMYFUNCTION("GOOGLETRANSLATE(A9, ""en"", ""hi"")"),"8")</f>
        <v>8</v>
      </c>
      <c r="H9" s="8" t="str">
        <f>IFERROR(__xludf.DUMMYFUNCTION("GOOGLETRANSLATE(B9, ""en"", ""hi"")"),"धोप_खेल_2")</f>
        <v>धोप_खेल_2</v>
      </c>
      <c r="I9" s="8" t="str">
        <f>IFERROR(__xludf.DUMMYFUNCTION("GOOGLETRANSLATE(C9, ""en"", ""hi"")"),"चित्र में दिखाए गए खेल से, एक मैच की सामान्य अवधि क्या है?")</f>
        <v>चित्र में दिखाए गए खेल से, एक मैच की सामान्य अवधि क्या है?</v>
      </c>
      <c r="J9" s="8" t="str">
        <f>IFERROR(__xludf.DUMMYFUNCTION("GOOGLETRANSLATE(D9, ""en"", ""hi"")"),"a) 20 मिनट, b) 30 मिनट, c) 40 मिनट, d) 60 मिनट")</f>
        <v>a) 20 मिनट, b) 30 मिनट, c) 40 मिनट, d) 60 मिनट</v>
      </c>
      <c r="K9" s="8" t="str">
        <f>IFERROR(__xludf.DUMMYFUNCTION("GOOGLETRANSLATE(E9, ""en"", ""hi"")"),"ख) 30 मिनट")</f>
        <v>ख) 30 मिनट</v>
      </c>
    </row>
    <row r="10" ht="22.5" customHeight="1">
      <c r="A10" s="2">
        <v>9.0</v>
      </c>
      <c r="B10" s="3" t="s">
        <v>2316</v>
      </c>
      <c r="C10" s="3" t="s">
        <v>2317</v>
      </c>
      <c r="D10" s="3" t="s">
        <v>2318</v>
      </c>
      <c r="E10" s="3" t="s">
        <v>2319</v>
      </c>
      <c r="G10" s="8" t="str">
        <f>IFERROR(__xludf.DUMMYFUNCTION("GOOGLETRANSLATE(A10, ""en"", ""hi"")"),"9")</f>
        <v>9</v>
      </c>
      <c r="H10" s="8" t="str">
        <f>IFERROR(__xludf.DUMMYFUNCTION("GOOGLETRANSLATE(B10, ""en"", ""hi"")"),"धोप_खेल_3")</f>
        <v>धोप_खेल_3</v>
      </c>
      <c r="I10" s="8" t="str">
        <f>IFERROR(__xludf.DUMMYFUNCTION("GOOGLETRANSLATE(C10, ""en"", ""hi"")"),"चित्र में दिखाए गए खेल के अनुसार, जब कोई खिलाड़ी खेल की सीमा से बाहर कदम रखता है तो क्या होता है?")</f>
        <v>चित्र में दिखाए गए खेल के अनुसार, जब कोई खिलाड़ी खेल की सीमा से बाहर कदम रखता है तो क्या होता है?</v>
      </c>
      <c r="J10" s="8" t="str">
        <f>IFERROR(__xludf.DUMMYFUNCTION("GOOGLETRANSLATE(D10, ""en"", ""hi"")"),"a) टीम एक अंक खो देती है, b) खिलाड़ी को अयोग्य घोषित कर दिया जाता है, c) गेंद प्रतिद्वंद्वी को दे दी जाती है, d) फाउल घोषित कर दिया जाता है")</f>
        <v>a) टीम एक अंक खो देती है, b) खिलाड़ी को अयोग्य घोषित कर दिया जाता है, c) गेंद प्रतिद्वंद्वी को दे दी जाती है, d) फाउल घोषित कर दिया जाता है</v>
      </c>
      <c r="K10" s="8" t="str">
        <f>IFERROR(__xludf.DUMMYFUNCTION("GOOGLETRANSLATE(E10, ""en"", ""hi"")"),"ग) गेंद प्रतिद्वंद्वी को दे दी जाती है")</f>
        <v>ग) गेंद प्रतिद्वंद्वी को दे दी जाती है</v>
      </c>
    </row>
    <row r="11" ht="22.5" customHeight="1">
      <c r="A11" s="2">
        <v>10.0</v>
      </c>
      <c r="B11" s="3" t="s">
        <v>2316</v>
      </c>
      <c r="C11" s="3" t="s">
        <v>2320</v>
      </c>
      <c r="D11" s="3" t="s">
        <v>2321</v>
      </c>
      <c r="E11" s="3" t="s">
        <v>2322</v>
      </c>
      <c r="G11" s="8" t="str">
        <f>IFERROR(__xludf.DUMMYFUNCTION("GOOGLETRANSLATE(A11, ""en"", ""hi"")"),"10")</f>
        <v>10</v>
      </c>
      <c r="H11" s="8" t="str">
        <f>IFERROR(__xludf.DUMMYFUNCTION("GOOGLETRANSLATE(B11, ""en"", ""hi"")"),"धोप_खेल_3")</f>
        <v>धोप_खेल_3</v>
      </c>
      <c r="I11" s="8" t="str">
        <f>IFERROR(__xludf.DUMMYFUNCTION("GOOGLETRANSLATE(C11, ""en"", ""hi"")"),"चित्र में दिखाए गए खेल से विजेता का निर्धारण कैसे होता है?")</f>
        <v>चित्र में दिखाए गए खेल से विजेता का निर्धारण कैसे होता है?</v>
      </c>
      <c r="J11" s="8" t="str">
        <f>IFERROR(__xludf.DUMMYFUNCTION("GOOGLETRANSLATE(D11, ""en"", ""hi"")"),"a) बनाए गए रनों की संख्या से, b) बनाए गए अंकों से, c) टैग किए गए विरोधियों की संख्या से, d) बचे समय से")</f>
        <v>a) बनाए गए रनों की संख्या से, b) बनाए गए अंकों से, c) टैग किए गए विरोधियों की संख्या से, d) बचे समय से</v>
      </c>
      <c r="K11" s="8" t="str">
        <f>IFERROR(__xludf.DUMMYFUNCTION("GOOGLETRANSLATE(E11, ""en"", ""hi"")"),"ख) अर्जित अंकों के आधार पर")</f>
        <v>ख) अर्जित अंकों के आधार पर</v>
      </c>
    </row>
    <row r="12" ht="22.5" customHeight="1">
      <c r="A12" s="2">
        <v>11.0</v>
      </c>
      <c r="B12" s="3" t="s">
        <v>2316</v>
      </c>
      <c r="C12" s="3" t="s">
        <v>2323</v>
      </c>
      <c r="D12" s="3" t="s">
        <v>2324</v>
      </c>
      <c r="E12" s="3" t="s">
        <v>2325</v>
      </c>
      <c r="G12" s="8" t="str">
        <f>IFERROR(__xludf.DUMMYFUNCTION("GOOGLETRANSLATE(A12, ""en"", ""hi"")"),"11")</f>
        <v>11</v>
      </c>
      <c r="H12" s="8" t="str">
        <f>IFERROR(__xludf.DUMMYFUNCTION("GOOGLETRANSLATE(B12, ""en"", ""hi"")"),"धोप_खेल_3")</f>
        <v>धोप_खेल_3</v>
      </c>
      <c r="I12" s="8" t="str">
        <f>IFERROR(__xludf.DUMMYFUNCTION("GOOGLETRANSLATE(C12, ""en"", ""hi"")"),"चित्र में दिखाए गए खेल से, बचाव करने वाली टीम की भूमिका क्या है?")</f>
        <v>चित्र में दिखाए गए खेल से, बचाव करने वाली टीम की भूमिका क्या है?</v>
      </c>
      <c r="J12" s="8" t="str">
        <f>IFERROR(__xludf.DUMMYFUNCTION("GOOGLETRANSLATE(D12, ""en"", ""hi"")"),"a) धावकों को टैग करना, b) अंक अर्जित करना, c) गेंद को पास करना, d) गोल को रोकना")</f>
        <v>a) धावकों को टैग करना, b) अंक अर्जित करना, c) गेंद को पास करना, d) गोल को रोकना</v>
      </c>
      <c r="K12" s="8" t="str">
        <f>IFERROR(__xludf.DUMMYFUNCTION("GOOGLETRANSLATE(E12, ""en"", ""hi"")"),"a) धावकों को टैग करना")</f>
        <v>a) धावकों को टैग करना</v>
      </c>
    </row>
    <row r="13" ht="22.5" customHeight="1">
      <c r="A13" s="2">
        <v>12.0</v>
      </c>
      <c r="B13" s="3" t="s">
        <v>2316</v>
      </c>
      <c r="C13" s="3" t="s">
        <v>2326</v>
      </c>
      <c r="D13" s="3" t="s">
        <v>2327</v>
      </c>
      <c r="E13" s="3" t="s">
        <v>2328</v>
      </c>
      <c r="G13" s="8" t="str">
        <f>IFERROR(__xludf.DUMMYFUNCTION("GOOGLETRANSLATE(A13, ""en"", ""hi"")"),"12")</f>
        <v>12</v>
      </c>
      <c r="H13" s="8" t="str">
        <f>IFERROR(__xludf.DUMMYFUNCTION("GOOGLETRANSLATE(B13, ""en"", ""hi"")"),"धोप_खेल_3")</f>
        <v>धोप_खेल_3</v>
      </c>
      <c r="I13" s="8" t="str">
        <f>IFERROR(__xludf.DUMMYFUNCTION("GOOGLETRANSLATE(C13, ""en"", ""hi"")"),"चित्र में दिखाए गए खेल के अनुसार, जब गेंद प्रतिद्वंद्वी द्वारा पकड़ ली जाती है तो क्या होता है?")</f>
        <v>चित्र में दिखाए गए खेल के अनुसार, जब गेंद प्रतिद्वंद्वी द्वारा पकड़ ली जाती है तो क्या होता है?</v>
      </c>
      <c r="J13" s="8" t="str">
        <f>IFERROR(__xludf.DUMMYFUNCTION("GOOGLETRANSLATE(D13, ""en"", ""hi"")"),"a) खेल पुनः शुरू होता है, b) कैचर को एक अंक मिलता है, c) गेंद फेंकने वाला खिलाड़ी आउट हो जाता है, d) टीम को गेंद पर कब्ज़ा मिल जाता है")</f>
        <v>a) खेल पुनः शुरू होता है, b) कैचर को एक अंक मिलता है, c) गेंद फेंकने वाला खिलाड़ी आउट हो जाता है, d) टीम को गेंद पर कब्ज़ा मिल जाता है</v>
      </c>
      <c r="K13" s="8" t="str">
        <f>IFERROR(__xludf.DUMMYFUNCTION("GOOGLETRANSLATE(E13, ""en"", ""hi"")"),"d) टीम ने कब्ज़ा हासिल कर लिया")</f>
        <v>d) टीम ने कब्ज़ा हासिल कर लिया</v>
      </c>
    </row>
    <row r="14" ht="22.5" customHeight="1">
      <c r="A14" s="2">
        <v>13.0</v>
      </c>
      <c r="B14" s="3" t="s">
        <v>2329</v>
      </c>
      <c r="C14" s="3" t="s">
        <v>2330</v>
      </c>
      <c r="D14" s="3" t="s">
        <v>2331</v>
      </c>
      <c r="E14" s="3" t="s">
        <v>2332</v>
      </c>
      <c r="G14" s="8" t="str">
        <f>IFERROR(__xludf.DUMMYFUNCTION("GOOGLETRANSLATE(A14, ""en"", ""hi"")"),"13")</f>
        <v>13</v>
      </c>
      <c r="H14" s="8" t="str">
        <f>IFERROR(__xludf.DUMMYFUNCTION("GOOGLETRANSLATE(B14, ""en"", ""hi"")"),"धोप_खेल_4")</f>
        <v>धोप_खेल_4</v>
      </c>
      <c r="I14" s="8" t="str">
        <f>IFERROR(__xludf.DUMMYFUNCTION("GOOGLETRANSLATE(C14, ""en"", ""hi"")"),"चित्र में दिखाए गए खेल के आधार पर, एक टीम रक्षात्मक से आक्रामक स्थिति में कैसे परिवर्तित होती है?")</f>
        <v>चित्र में दिखाए गए खेल के आधार पर, एक टीम रक्षात्मक से आक्रामक स्थिति में कैसे परिवर्तित होती है?</v>
      </c>
      <c r="J14" s="8" t="str">
        <f>IFERROR(__xludf.DUMMYFUNCTION("GOOGLETRANSLATE(D14, ""en"", ""hi"")"),"a) गेंद पकड़कर, b) प्रतिद्वंद्वी को टैग करके, c) अंक प्राप्त करके, d) रेफरी के निर्णय द्वारा")</f>
        <v>a) गेंद पकड़कर, b) प्रतिद्वंद्वी को टैग करके, c) अंक प्राप्त करके, d) रेफरी के निर्णय द्वारा</v>
      </c>
      <c r="K14" s="8" t="str">
        <f>IFERROR(__xludf.DUMMYFUNCTION("GOOGLETRANSLATE(E14, ""en"", ""hi"")"),"a) गेंद पकड़कर")</f>
        <v>a) गेंद पकड़कर</v>
      </c>
    </row>
    <row r="15" ht="22.5" customHeight="1">
      <c r="A15" s="2">
        <v>14.0</v>
      </c>
      <c r="B15" s="3" t="s">
        <v>2329</v>
      </c>
      <c r="C15" s="3" t="s">
        <v>2333</v>
      </c>
      <c r="D15" s="3" t="s">
        <v>2334</v>
      </c>
      <c r="E15" s="3" t="s">
        <v>2335</v>
      </c>
      <c r="G15" s="8" t="str">
        <f>IFERROR(__xludf.DUMMYFUNCTION("GOOGLETRANSLATE(A15, ""en"", ""hi"")"),"14")</f>
        <v>14</v>
      </c>
      <c r="H15" s="8" t="str">
        <f>IFERROR(__xludf.DUMMYFUNCTION("GOOGLETRANSLATE(B15, ""en"", ""hi"")"),"धोप_खेल_4")</f>
        <v>धोप_खेल_4</v>
      </c>
      <c r="I15" s="8" t="str">
        <f>IFERROR(__xludf.DUMMYFUNCTION("GOOGLETRANSLATE(C15, ""en"", ""hi"")"),"चित्र में दिखाए गए खेल में खेल के दौरान कौन सी क्रिया की अनुमति नहीं है?")</f>
        <v>चित्र में दिखाए गए खेल में खेल के दौरान कौन सी क्रिया की अनुमति नहीं है?</v>
      </c>
      <c r="J15" s="8" t="str">
        <f>IFERROR(__xludf.DUMMYFUNCTION("GOOGLETRANSLATE(D15, ""en"", ""hi"")"),"क) गेंद के साथ दौड़ना, ख) गेंद पास करना, ग) प्रतिद्वंद्वी को टैग करना, घ) सीमा से बाहर कदम रखना")</f>
        <v>क) गेंद के साथ दौड़ना, ख) गेंद पास करना, ग) प्रतिद्वंद्वी को टैग करना, घ) सीमा से बाहर कदम रखना</v>
      </c>
      <c r="K15" s="8" t="str">
        <f>IFERROR(__xludf.DUMMYFUNCTION("GOOGLETRANSLATE(E15, ""en"", ""hi"")"),"a) गेंद के साथ दौड़ना")</f>
        <v>a) गेंद के साथ दौड़ना</v>
      </c>
    </row>
    <row r="16" ht="22.5" customHeight="1">
      <c r="A16" s="2">
        <v>15.0</v>
      </c>
      <c r="B16" s="3" t="s">
        <v>2329</v>
      </c>
      <c r="C16" s="3" t="s">
        <v>2336</v>
      </c>
      <c r="D16" s="3" t="s">
        <v>2337</v>
      </c>
      <c r="E16" s="3" t="s">
        <v>2338</v>
      </c>
      <c r="G16" s="8" t="str">
        <f>IFERROR(__xludf.DUMMYFUNCTION("GOOGLETRANSLATE(A16, ""en"", ""hi"")"),"15")</f>
        <v>15</v>
      </c>
      <c r="H16" s="8" t="str">
        <f>IFERROR(__xludf.DUMMYFUNCTION("GOOGLETRANSLATE(B16, ""en"", ""hi"")"),"धोप_खेल_4")</f>
        <v>धोप_खेल_4</v>
      </c>
      <c r="I16" s="8" t="str">
        <f>IFERROR(__xludf.DUMMYFUNCTION("GOOGLETRANSLATE(C16, ""en"", ""hi"")"),"चित्र में दिखाए गए खेल से, फाउल कैसे किया जाता है?")</f>
        <v>चित्र में दिखाए गए खेल से, फाउल कैसे किया जाता है?</v>
      </c>
      <c r="J16" s="8" t="str">
        <f>IFERROR(__xludf.DUMMYFUNCTION("GOOGLETRANSLATE(D16, ""en"", ""hi"")"),"क) प्रतिद्वंद्वी को मारकर, ख) केंद्रीय रेखा पार करके, ग) गेंद को बहुत देर तक रोककर, घ) सीमा से बाहर निकलकर")</f>
        <v>क) प्रतिद्वंद्वी को मारकर, ख) केंद्रीय रेखा पार करके, ग) गेंद को बहुत देर तक रोककर, घ) सीमा से बाहर निकलकर</v>
      </c>
      <c r="K16" s="8" t="str">
        <f>IFERROR(__xludf.DUMMYFUNCTION("GOOGLETRANSLATE(E16, ""en"", ""hi"")"),"b) केंद्रीय रेखा को पार करके")</f>
        <v>b) केंद्रीय रेखा को पार करके</v>
      </c>
    </row>
    <row r="17" ht="22.5" customHeight="1">
      <c r="A17" s="2">
        <v>16.0</v>
      </c>
      <c r="B17" s="3" t="s">
        <v>2329</v>
      </c>
      <c r="C17" s="3" t="s">
        <v>2339</v>
      </c>
      <c r="D17" s="3" t="s">
        <v>2340</v>
      </c>
      <c r="E17" s="3" t="s">
        <v>2341</v>
      </c>
      <c r="G17" s="8" t="str">
        <f>IFERROR(__xludf.DUMMYFUNCTION("GOOGLETRANSLATE(A17, ""en"", ""hi"")"),"16")</f>
        <v>16</v>
      </c>
      <c r="H17" s="8" t="str">
        <f>IFERROR(__xludf.DUMMYFUNCTION("GOOGLETRANSLATE(B17, ""en"", ""hi"")"),"धोप_खेल_4")</f>
        <v>धोप_खेल_4</v>
      </c>
      <c r="I17" s="8" t="str">
        <f>IFERROR(__xludf.DUMMYFUNCTION("GOOGLETRANSLATE(C17, ""en"", ""hi"")"),"चित्र में दिखाए गए खेल से, प्राथमिक रक्षात्मक रणनीति क्या है?")</f>
        <v>चित्र में दिखाए गए खेल से, प्राथमिक रक्षात्मक रणनीति क्या है?</v>
      </c>
      <c r="J17" s="8" t="str">
        <f>IFERROR(__xludf.DUMMYFUNCTION("GOOGLETRANSLATE(D17, ""en"", ""hi"")"),"a) गेंद को रोकना, b) प्रतिद्वंद्वी को टैग करना, c) गेंद को तेज़ी से पास करना, d) गोल को कवर करना")</f>
        <v>a) गेंद को रोकना, b) प्रतिद्वंद्वी को टैग करना, c) गेंद को तेज़ी से पास करना, d) गोल को कवर करना</v>
      </c>
      <c r="K17" s="8" t="str">
        <f>IFERROR(__xludf.DUMMYFUNCTION("GOOGLETRANSLATE(E17, ""en"", ""hi"")"),"ख) प्रतिद्वंद्वी को टैग करना")</f>
        <v>ख) प्रतिद्वंद्वी को टैग करना</v>
      </c>
    </row>
    <row r="18" ht="22.5" customHeight="1">
      <c r="A18" s="2">
        <v>17.0</v>
      </c>
      <c r="B18" s="3" t="s">
        <v>2342</v>
      </c>
      <c r="C18" s="3" t="s">
        <v>2343</v>
      </c>
      <c r="D18" s="3" t="s">
        <v>2344</v>
      </c>
      <c r="E18" s="3" t="s">
        <v>2345</v>
      </c>
      <c r="G18" s="8" t="str">
        <f>IFERROR(__xludf.DUMMYFUNCTION("GOOGLETRANSLATE(A18, ""en"", ""hi"")"),"17")</f>
        <v>17</v>
      </c>
      <c r="H18" s="8" t="str">
        <f>IFERROR(__xludf.DUMMYFUNCTION("GOOGLETRANSLATE(B18, ""en"", ""hi"")"),"धोप_खेल_5")</f>
        <v>धोप_खेल_5</v>
      </c>
      <c r="I18" s="8" t="str">
        <f>IFERROR(__xludf.DUMMYFUNCTION("GOOGLETRANSLATE(C18, ""en"", ""hi"")"),"चित्र में दिखाए गए खेल से, बचाव करने वाली टीम को गेंद फेंकने का उद्देश्य क्या है?")</f>
        <v>चित्र में दिखाए गए खेल से, बचाव करने वाली टीम को गेंद फेंकने का उद्देश्य क्या है?</v>
      </c>
      <c r="J18" s="8" t="str">
        <f>IFERROR(__xludf.DUMMYFUNCTION("GOOGLETRANSLATE(D18, ""en"", ""hi"")"),"क) खेल को पुनः शुरू करना, ख) कब्जा देना, ग) बचाव शुरू करना, घ) खेल समाप्त करना")</f>
        <v>क) खेल को पुनः शुरू करना, ख) कब्जा देना, ग) बचाव शुरू करना, घ) खेल समाप्त करना</v>
      </c>
      <c r="K18" s="8" t="str">
        <f>IFERROR(__xludf.DUMMYFUNCTION("GOOGLETRANSLATE(E18, ""en"", ""hi"")"),"c) बचाव शुरू करना")</f>
        <v>c) बचाव शुरू करना</v>
      </c>
    </row>
    <row r="19" ht="22.5" customHeight="1">
      <c r="A19" s="2">
        <v>18.0</v>
      </c>
      <c r="B19" s="3" t="s">
        <v>2342</v>
      </c>
      <c r="C19" s="3" t="s">
        <v>2346</v>
      </c>
      <c r="D19" s="3" t="s">
        <v>2347</v>
      </c>
      <c r="E19" s="3" t="s">
        <v>2348</v>
      </c>
      <c r="G19" s="8" t="str">
        <f>IFERROR(__xludf.DUMMYFUNCTION("GOOGLETRANSLATE(A19, ""en"", ""hi"")"),"18")</f>
        <v>18</v>
      </c>
      <c r="H19" s="8" t="str">
        <f>IFERROR(__xludf.DUMMYFUNCTION("GOOGLETRANSLATE(B19, ""en"", ""hi"")"),"धोप_खेल_5")</f>
        <v>धोप_खेल_5</v>
      </c>
      <c r="I19" s="8" t="str">
        <f>IFERROR(__xludf.DUMMYFUNCTION("GOOGLETRANSLATE(C19, ""en"", ""hi"")"),"चित्र में दिखाए गए खेल के लिए कौन सा उपकरण आवश्यक है?")</f>
        <v>चित्र में दिखाए गए खेल के लिए कौन सा उपकरण आवश्यक है?</v>
      </c>
      <c r="J19" s="8" t="str">
        <f>IFERROR(__xludf.DUMMYFUNCTION("GOOGLETRANSLATE(D19, ""en"", ""hi"")"),"a) हेलमेट, b) बल्ला, c) गेंद, d) दस्ताने")</f>
        <v>a) हेलमेट, b) बल्ला, c) गेंद, d) दस्ताने</v>
      </c>
      <c r="K19" s="8" t="str">
        <f>IFERROR(__xludf.DUMMYFUNCTION("GOOGLETRANSLATE(E19, ""en"", ""hi"")"),"ग) एक गेंद")</f>
        <v>ग) एक गेंद</v>
      </c>
    </row>
    <row r="20" ht="22.5" customHeight="1">
      <c r="A20" s="2">
        <v>19.0</v>
      </c>
      <c r="B20" s="3" t="s">
        <v>2342</v>
      </c>
      <c r="C20" s="3" t="s">
        <v>2349</v>
      </c>
      <c r="D20" s="3" t="s">
        <v>2350</v>
      </c>
      <c r="E20" s="3" t="s">
        <v>2351</v>
      </c>
      <c r="G20" s="8" t="str">
        <f>IFERROR(__xludf.DUMMYFUNCTION("GOOGLETRANSLATE(A20, ""en"", ""hi"")"),"19")</f>
        <v>19</v>
      </c>
      <c r="H20" s="8" t="str">
        <f>IFERROR(__xludf.DUMMYFUNCTION("GOOGLETRANSLATE(B20, ""en"", ""hi"")"),"धोप_खेल_5")</f>
        <v>धोप_खेल_5</v>
      </c>
      <c r="I20" s="8" t="str">
        <f>IFERROR(__xludf.DUMMYFUNCTION("GOOGLETRANSLATE(C20, ""en"", ""hi"")"),"चित्र में दिखाए गए खेल से स्कोरिंग की मुख्य विधि क्या है?")</f>
        <v>चित्र में दिखाए गए खेल से स्कोरिंग की मुख्य विधि क्या है?</v>
      </c>
      <c r="J20" s="8" t="str">
        <f>IFERROR(__xludf.DUMMYFUNCTION("GOOGLETRANSLATE(D20, ""en"", ""hi"")"),"a) गेंद को मारना, b) बेस के बीच दौड़ना, c) मैदान के पार गेंद को पास करना, d) दौड़कर स्कोर करना")</f>
        <v>a) गेंद को मारना, b) बेस के बीच दौड़ना, c) मैदान के पार गेंद को पास करना, d) दौड़कर स्कोर करना</v>
      </c>
      <c r="K20" s="8" t="str">
        <f>IFERROR(__xludf.DUMMYFUNCTION("GOOGLETRANSLATE(E20, ""en"", ""hi"")"),"d) दौड़कर स्कोर करना")</f>
        <v>d) दौड़कर स्कोर करना</v>
      </c>
    </row>
    <row r="21" ht="22.5" customHeight="1">
      <c r="A21" s="2">
        <v>20.0</v>
      </c>
      <c r="B21" s="3" t="s">
        <v>2342</v>
      </c>
      <c r="C21" s="3" t="s">
        <v>2352</v>
      </c>
      <c r="D21" s="3" t="s">
        <v>2353</v>
      </c>
      <c r="E21" s="3" t="s">
        <v>2354</v>
      </c>
      <c r="G21" s="8" t="str">
        <f>IFERROR(__xludf.DUMMYFUNCTION("GOOGLETRANSLATE(A21, ""en"", ""hi"")"),"20")</f>
        <v>20</v>
      </c>
      <c r="H21" s="8" t="str">
        <f>IFERROR(__xludf.DUMMYFUNCTION("GOOGLETRANSLATE(B21, ""en"", ""hi"")"),"धोप_खेल_5")</f>
        <v>धोप_खेल_5</v>
      </c>
      <c r="I21" s="8" t="str">
        <f>IFERROR(__xludf.DUMMYFUNCTION("GOOGLETRANSLATE(C21, ""en"", ""hi"")"),"चित्र में दिखाए गए खेल में कोई खिलाड़ी टैग होने से कैसे बचता है?")</f>
        <v>चित्र में दिखाए गए खेल में कोई खिलाड़ी टैग होने से कैसे बचता है?</v>
      </c>
      <c r="J21" s="8" t="str">
        <f>IFERROR(__xludf.DUMMYFUNCTION("GOOGLETRANSLATE(D21, ""en"", ""hi"")"),"a) तेज़ दौड़कर, b) चकमा देकर, c) छिपकर, d) गेंद फेंककर")</f>
        <v>a) तेज़ दौड़कर, b) चकमा देकर, c) छिपकर, d) गेंद फेंककर</v>
      </c>
      <c r="K21" s="8" t="str">
        <f>IFERROR(__xludf.DUMMYFUNCTION("GOOGLETRANSLATE(E21, ""en"", ""hi"")"),"ख) चकमा देकर")</f>
        <v>ख) चकमा देकर</v>
      </c>
    </row>
    <row r="22" ht="22.5" customHeight="1">
      <c r="A22" s="2">
        <v>21.0</v>
      </c>
      <c r="B22" s="3" t="s">
        <v>2355</v>
      </c>
      <c r="C22" s="3" t="s">
        <v>2356</v>
      </c>
      <c r="D22" s="3" t="s">
        <v>2357</v>
      </c>
      <c r="E22" s="3" t="s">
        <v>2358</v>
      </c>
      <c r="G22" s="8" t="str">
        <f>IFERROR(__xludf.DUMMYFUNCTION("GOOGLETRANSLATE(A22, ""en"", ""hi"")"),"21")</f>
        <v>21</v>
      </c>
      <c r="H22" s="8" t="str">
        <f>IFERROR(__xludf.DUMMYFUNCTION("GOOGLETRANSLATE(B22, ""en"", ""hi"")"),"धोप_खेल_6")</f>
        <v>धोप_खेल_6</v>
      </c>
      <c r="I22" s="8" t="str">
        <f>IFERROR(__xludf.DUMMYFUNCTION("GOOGLETRANSLATE(C22, ""en"", ""hi"")"),"चित्र में दिखाए गए खेल से, सीमा रेखाओं का क्या महत्व है?")</f>
        <v>चित्र में दिखाए गए खेल से, सीमा रेखाओं का क्या महत्व है?</v>
      </c>
      <c r="J22" s="8" t="str">
        <f>IFERROR(__xludf.DUMMYFUNCTION("GOOGLETRANSLATE(D22, ""en"", ""hi"")"),"क) स्कोरिंग क्षेत्र को चिह्नित करता है, ख) इंगित करता है कि खिलाड़ी कहां जा सकते हैं, ग) टीमों को विभाजित करता है, घ) गोल क्षेत्र को चिह्नित करता है")</f>
        <v>क) स्कोरिंग क्षेत्र को चिह्नित करता है, ख) इंगित करता है कि खिलाड़ी कहां जा सकते हैं, ग) टीमों को विभाजित करता है, घ) गोल क्षेत्र को चिह्नित करता है</v>
      </c>
      <c r="K22" s="8" t="str">
        <f>IFERROR(__xludf.DUMMYFUNCTION("GOOGLETRANSLATE(E22, ""en"", ""hi"")"),"b) इंगित करता है कि खिलाड़ी कहाँ जा सकते हैं")</f>
        <v>b) इंगित करता है कि खिलाड़ी कहाँ जा सकते हैं</v>
      </c>
    </row>
    <row r="23" ht="22.5" customHeight="1">
      <c r="A23" s="2">
        <v>22.0</v>
      </c>
      <c r="B23" s="3" t="s">
        <v>2355</v>
      </c>
      <c r="C23" s="3" t="s">
        <v>2359</v>
      </c>
      <c r="D23" s="3" t="s">
        <v>2360</v>
      </c>
      <c r="E23" s="3" t="s">
        <v>2361</v>
      </c>
      <c r="G23" s="8" t="str">
        <f>IFERROR(__xludf.DUMMYFUNCTION("GOOGLETRANSLATE(A23, ""en"", ""hi"")"),"22")</f>
        <v>22</v>
      </c>
      <c r="H23" s="8" t="str">
        <f>IFERROR(__xludf.DUMMYFUNCTION("GOOGLETRANSLATE(B23, ""en"", ""hi"")"),"धोप_खेल_6")</f>
        <v>धोप_खेल_6</v>
      </c>
      <c r="I23" s="8" t="str">
        <f>IFERROR(__xludf.DUMMYFUNCTION("GOOGLETRANSLATE(C23, ""en"", ""hi"")"),"चित्र में दिखाए गए खेल से, केंद्रीय सर्कल क्या भूमिका निभाता है?")</f>
        <v>चित्र में दिखाए गए खेल से, केंद्रीय सर्कल क्या भूमिका निभाता है?</v>
      </c>
      <c r="J23" s="8" t="str">
        <f>IFERROR(__xludf.DUMMYFUNCTION("GOOGLETRANSLATE(D23, ""en"", ""hi"")"),"क) यह वह स्थान है जहाँ खेल शुरू होता है, ख) यह स्कोरिंग क्षेत्र है, ग) यह वह स्थान है जहाँ खिलाड़ी आराम करते हैं, घ) यह रक्षा क्षेत्र है")</f>
        <v>क) यह वह स्थान है जहाँ खेल शुरू होता है, ख) यह स्कोरिंग क्षेत्र है, ग) यह वह स्थान है जहाँ खिलाड़ी आराम करते हैं, घ) यह रक्षा क्षेत्र है</v>
      </c>
      <c r="K23" s="8" t="str">
        <f>IFERROR(__xludf.DUMMYFUNCTION("GOOGLETRANSLATE(E23, ""en"", ""hi"")"),"क) यहीं से खेल शुरू होता है")</f>
        <v>क) यहीं से खेल शुरू होता है</v>
      </c>
    </row>
    <row r="24" ht="22.5" customHeight="1">
      <c r="A24" s="2">
        <v>23.0</v>
      </c>
      <c r="B24" s="3" t="s">
        <v>2355</v>
      </c>
      <c r="C24" s="3" t="s">
        <v>2362</v>
      </c>
      <c r="D24" s="3" t="s">
        <v>2363</v>
      </c>
      <c r="E24" s="3" t="s">
        <v>2364</v>
      </c>
      <c r="G24" s="8" t="str">
        <f>IFERROR(__xludf.DUMMYFUNCTION("GOOGLETRANSLATE(A24, ""en"", ""hi"")"),"23")</f>
        <v>23</v>
      </c>
      <c r="H24" s="8" t="str">
        <f>IFERROR(__xludf.DUMMYFUNCTION("GOOGLETRANSLATE(B24, ""en"", ""hi"")"),"धोप_खेल_6")</f>
        <v>धोप_खेल_6</v>
      </c>
      <c r="I24" s="8" t="str">
        <f>IFERROR(__xludf.DUMMYFUNCTION("GOOGLETRANSLATE(C24, ""en"", ""hi"")"),"चित्र में दिखाए गए खेल में स्कोर करने के बाद क्या क्रिया की जाती है?")</f>
        <v>चित्र में दिखाए गए खेल में स्कोर करने के बाद क्या क्रिया की जाती है?</v>
      </c>
      <c r="J24" s="8" t="str">
        <f>IFERROR(__xludf.DUMMYFUNCTION("GOOGLETRANSLATE(D24, ""en"", ""hi"")"),"a) खेल रुक जाता है, b) विरोधी टीम गेंद पर कब्ज़ा कर लेती है, c) टीम जश्न मनाती है, d) खेल समाप्त हो जाता है")</f>
        <v>a) खेल रुक जाता है, b) विरोधी टीम गेंद पर कब्ज़ा कर लेती है, c) टीम जश्न मनाती है, d) खेल समाप्त हो जाता है</v>
      </c>
      <c r="K24" s="8" t="str">
        <f>IFERROR(__xludf.DUMMYFUNCTION("GOOGLETRANSLATE(E24, ""en"", ""hi"")"),"b) विरोधी टीम कब्ज़ा कर लेती है")</f>
        <v>b) विरोधी टीम कब्ज़ा कर लेती है</v>
      </c>
    </row>
    <row r="25" ht="22.5" customHeight="1">
      <c r="A25" s="2">
        <v>24.0</v>
      </c>
      <c r="B25" s="3" t="s">
        <v>2355</v>
      </c>
      <c r="C25" s="3" t="s">
        <v>2365</v>
      </c>
      <c r="D25" s="3" t="s">
        <v>2366</v>
      </c>
      <c r="E25" s="3" t="s">
        <v>2367</v>
      </c>
      <c r="G25" s="8" t="str">
        <f>IFERROR(__xludf.DUMMYFUNCTION("GOOGLETRANSLATE(A25, ""en"", ""hi"")"),"24")</f>
        <v>24</v>
      </c>
      <c r="H25" s="8" t="str">
        <f>IFERROR(__xludf.DUMMYFUNCTION("GOOGLETRANSLATE(B25, ""en"", ""hi"")"),"धोप_खेल_6")</f>
        <v>धोप_खेल_6</v>
      </c>
      <c r="I25" s="8" t="str">
        <f>IFERROR(__xludf.DUMMYFUNCTION("GOOGLETRANSLATE(C25, ""en"", ""hi"")"),"चित्र में दिखाए गए खेल से, स्कोरिंग को रोकने का एक सामान्य तरीका क्या है?")</f>
        <v>चित्र में दिखाए गए खेल से, स्कोरिंग को रोकने का एक सामान्य तरीका क्या है?</v>
      </c>
      <c r="J25" s="8" t="str">
        <f>IFERROR(__xludf.DUMMYFUNCTION("GOOGLETRANSLATE(D25, ""en"", ""hi"")"),"a) धावक को रोकना, b) गेंद को पकड़ना, c) सीमा से बाहर कदम रखना, d) गेंद को पास करना")</f>
        <v>a) धावक को रोकना, b) गेंद को पकड़ना, c) सीमा से बाहर कदम रखना, d) गेंद को पास करना</v>
      </c>
      <c r="K25" s="8" t="str">
        <f>IFERROR(__xludf.DUMMYFUNCTION("GOOGLETRANSLATE(E25, ""en"", ""hi"")"),"a) धावक को रोकना")</f>
        <v>a) धावक को रोकना</v>
      </c>
    </row>
    <row r="26" ht="22.5" customHeight="1">
      <c r="A26" s="2">
        <v>25.0</v>
      </c>
      <c r="B26" s="3" t="s">
        <v>2368</v>
      </c>
      <c r="C26" s="3" t="s">
        <v>2369</v>
      </c>
      <c r="D26" s="3" t="s">
        <v>2370</v>
      </c>
      <c r="E26" s="3" t="s">
        <v>2371</v>
      </c>
      <c r="G26" s="8" t="str">
        <f>IFERROR(__xludf.DUMMYFUNCTION("GOOGLETRANSLATE(A26, ""en"", ""hi"")"),"25")</f>
        <v>25</v>
      </c>
      <c r="H26" s="8" t="str">
        <f>IFERROR(__xludf.DUMMYFUNCTION("GOOGLETRANSLATE(B26, ""en"", ""hi"")"),"धोप_खेल_7")</f>
        <v>धोप_खेल_7</v>
      </c>
      <c r="I26" s="8" t="str">
        <f>IFERROR(__xludf.DUMMYFUNCTION("GOOGLETRANSLATE(C26, ""en"", ""hi"")"),"चित्र में दिखाए गए खेल से, सफल टैग का परिणाम क्या है?")</f>
        <v>चित्र में दिखाए गए खेल से, सफल टैग का परिणाम क्या है?</v>
      </c>
      <c r="J26" s="8" t="str">
        <f>IFERROR(__xludf.DUMMYFUNCTION("GOOGLETRANSLATE(D26, ""en"", ""hi"")"),"a) टैग किया गया खिलाड़ी आउट हो जाता है, b) टीम स्कोर करती है, c) खेल पुनः शुरू होता है, d) टीम अंक खो देती है")</f>
        <v>a) टैग किया गया खिलाड़ी आउट हो जाता है, b) टीम स्कोर करती है, c) खेल पुनः शुरू होता है, d) टीम अंक खो देती है</v>
      </c>
      <c r="K26" s="8" t="str">
        <f>IFERROR(__xludf.DUMMYFUNCTION("GOOGLETRANSLATE(E26, ""en"", ""hi"")"),"a) टैग किया गया खिलाड़ी आउट हो गया है")</f>
        <v>a) टैग किया गया खिलाड़ी आउट हो गया है</v>
      </c>
    </row>
    <row r="27" ht="22.5" customHeight="1">
      <c r="A27" s="2">
        <v>26.0</v>
      </c>
      <c r="B27" s="3" t="s">
        <v>2368</v>
      </c>
      <c r="C27" s="3" t="s">
        <v>2372</v>
      </c>
      <c r="D27" s="3" t="s">
        <v>2373</v>
      </c>
      <c r="E27" s="3" t="s">
        <v>2374</v>
      </c>
      <c r="G27" s="8" t="str">
        <f>IFERROR(__xludf.DUMMYFUNCTION("GOOGLETRANSLATE(A27, ""en"", ""hi"")"),"26")</f>
        <v>26</v>
      </c>
      <c r="H27" s="8" t="str">
        <f>IFERROR(__xludf.DUMMYFUNCTION("GOOGLETRANSLATE(B27, ""en"", ""hi"")"),"धोप_खेल_7")</f>
        <v>धोप_खेल_7</v>
      </c>
      <c r="I27" s="8" t="str">
        <f>IFERROR(__xludf.DUMMYFUNCTION("GOOGLETRANSLATE(C27, ""en"", ""hi"")"),"चित्र में दिखाए गए खेल से, टीमवर्क किस प्रकार महत्वपूर्ण है?")</f>
        <v>चित्र में दिखाए गए खेल से, टीमवर्क किस प्रकार महत्वपूर्ण है?</v>
      </c>
      <c r="J27" s="8" t="str">
        <f>IFERROR(__xludf.DUMMYFUNCTION("GOOGLETRANSLATE(D27, ""en"", ""hi"")"),"a) गेंद पास करने के लिए, b) गोल की रक्षा के लिए, c) रणनीति बनाने के लिए, d) विरोधियों को टैग करने के लिए")</f>
        <v>a) गेंद पास करने के लिए, b) गोल की रक्षा के लिए, c) रणनीति बनाने के लिए, d) विरोधियों को टैग करने के लिए</v>
      </c>
      <c r="K27" s="8" t="str">
        <f>IFERROR(__xludf.DUMMYFUNCTION("GOOGLETRANSLATE(E27, ""en"", ""hi"")"),"c) रणनीति बनाने के लिए")</f>
        <v>c) रणनीति बनाने के लिए</v>
      </c>
    </row>
    <row r="28" ht="22.5" customHeight="1">
      <c r="A28" s="2">
        <v>27.0</v>
      </c>
      <c r="B28" s="3" t="s">
        <v>2368</v>
      </c>
      <c r="C28" s="3" t="s">
        <v>2375</v>
      </c>
      <c r="D28" s="3" t="s">
        <v>2376</v>
      </c>
      <c r="E28" s="3" t="s">
        <v>2377</v>
      </c>
      <c r="G28" s="8" t="str">
        <f>IFERROR(__xludf.DUMMYFUNCTION("GOOGLETRANSLATE(A28, ""en"", ""hi"")"),"27")</f>
        <v>27</v>
      </c>
      <c r="H28" s="8" t="str">
        <f>IFERROR(__xludf.DUMMYFUNCTION("GOOGLETRANSLATE(B28, ""en"", ""hi"")"),"धोप_खेल_7")</f>
        <v>धोप_खेल_7</v>
      </c>
      <c r="I28" s="8" t="str">
        <f>IFERROR(__xludf.DUMMYFUNCTION("GOOGLETRANSLATE(C28, ""en"", ""hi"")"),"चित्र में दिखाए गए खेल से कौन सी शारीरिक विशेषता सबसे अधिक लाभदायक है?")</f>
        <v>चित्र में दिखाए गए खेल से कौन सी शारीरिक विशेषता सबसे अधिक लाभदायक है?</v>
      </c>
      <c r="J28" s="8" t="str">
        <f>IFERROR(__xludf.DUMMYFUNCTION("GOOGLETRANSLATE(D28, ""en"", ""hi"")"),"a) गति, b) शक्ति, c) धीरज, d) चपलता")</f>
        <v>a) गति, b) शक्ति, c) धीरज, d) चपलता</v>
      </c>
      <c r="K28" s="8" t="str">
        <f>IFERROR(__xludf.DUMMYFUNCTION("GOOGLETRANSLATE(E28, ""en"", ""hi"")"),"क) गति")</f>
        <v>क) गति</v>
      </c>
    </row>
    <row r="29" ht="22.5" customHeight="1">
      <c r="A29" s="2">
        <v>28.0</v>
      </c>
      <c r="B29" s="3" t="s">
        <v>2368</v>
      </c>
      <c r="C29" s="3" t="s">
        <v>2378</v>
      </c>
      <c r="D29" s="3" t="s">
        <v>2379</v>
      </c>
      <c r="E29" s="3" t="s">
        <v>2380</v>
      </c>
      <c r="G29" s="8" t="str">
        <f>IFERROR(__xludf.DUMMYFUNCTION("GOOGLETRANSLATE(A29, ""en"", ""hi"")"),"28")</f>
        <v>28</v>
      </c>
      <c r="H29" s="8" t="str">
        <f>IFERROR(__xludf.DUMMYFUNCTION("GOOGLETRANSLATE(B29, ""en"", ""hi"")"),"धोप_खेल_7")</f>
        <v>धोप_खेल_7</v>
      </c>
      <c r="I29" s="8" t="str">
        <f>IFERROR(__xludf.DUMMYFUNCTION("GOOGLETRANSLATE(C29, ""en"", ""hi"")"),"चित्र में दिखाए गए खेल के अनुसार, यदि कोई टीम अधिक अंक प्राप्त कर ले तो क्या होगा?")</f>
        <v>चित्र में दिखाए गए खेल के अनुसार, यदि कोई टीम अधिक अंक प्राप्त कर ले तो क्या होगा?</v>
      </c>
      <c r="J29" s="8" t="str">
        <f>IFERROR(__xludf.DUMMYFUNCTION("GOOGLETRANSLATE(D29, ""en"", ""hi"")"),"a) खेल समाप्त हो जाता है, b) टीम तुरंत जीत जाती है, c) खेल जारी रहता है, d) टीम गेंद पर कब्जा खो देती है")</f>
        <v>a) खेल समाप्त हो जाता है, b) टीम तुरंत जीत जाती है, c) खेल जारी रहता है, d) टीम गेंद पर कब्जा खो देती है</v>
      </c>
      <c r="K29" s="8" t="str">
        <f>IFERROR(__xludf.DUMMYFUNCTION("GOOGLETRANSLATE(E29, ""en"", ""hi"")"),"c) खेल जारी है")</f>
        <v>c) खेल जारी है</v>
      </c>
    </row>
    <row r="30" ht="22.5" customHeight="1">
      <c r="A30" s="2">
        <v>29.0</v>
      </c>
      <c r="B30" s="3" t="s">
        <v>2381</v>
      </c>
      <c r="C30" s="3" t="s">
        <v>2382</v>
      </c>
      <c r="D30" s="3" t="s">
        <v>2383</v>
      </c>
      <c r="E30" s="3" t="s">
        <v>2384</v>
      </c>
      <c r="G30" s="8" t="str">
        <f>IFERROR(__xludf.DUMMYFUNCTION("GOOGLETRANSLATE(A30, ""en"", ""hi"")"),"29")</f>
        <v>29</v>
      </c>
      <c r="H30" s="8" t="str">
        <f>IFERROR(__xludf.DUMMYFUNCTION("GOOGLETRANSLATE(B30, ""en"", ""hi"")"),"धोप_खेल_8")</f>
        <v>धोप_खेल_8</v>
      </c>
      <c r="I30" s="8" t="str">
        <f>IFERROR(__xludf.DUMMYFUNCTION("GOOGLETRANSLATE(C30, ""en"", ""hi"")"),"चित्र में दिखाए गए खेल के अनुसार, रेफरी की सीटी का क्या महत्व है?")</f>
        <v>चित्र में दिखाए गए खेल के अनुसार, रेफरी की सीटी का क्या महत्व है?</v>
      </c>
      <c r="J30" s="8" t="str">
        <f>IFERROR(__xludf.DUMMYFUNCTION("GOOGLETRANSLATE(D30, ""en"", ""hi"")"),"a) खेल शुरू करता है, b) खेल समाप्त करता है, c) फ़ाउल का संकेत देता है, d) टाइम-आउट का संकेत देता है")</f>
        <v>a) खेल शुरू करता है, b) खेल समाप्त करता है, c) फ़ाउल का संकेत देता है, d) टाइम-आउट का संकेत देता है</v>
      </c>
      <c r="K30" s="8" t="str">
        <f>IFERROR(__xludf.DUMMYFUNCTION("GOOGLETRANSLATE(E30, ""en"", ""hi"")"),"c) बेईमानी का संकेत देता है")</f>
        <v>c) बेईमानी का संकेत देता है</v>
      </c>
    </row>
    <row r="31" ht="22.5" customHeight="1">
      <c r="A31" s="2">
        <v>30.0</v>
      </c>
      <c r="B31" s="3" t="s">
        <v>2381</v>
      </c>
      <c r="C31" s="3" t="s">
        <v>2385</v>
      </c>
      <c r="D31" s="3" t="s">
        <v>2386</v>
      </c>
      <c r="E31" s="3" t="s">
        <v>2387</v>
      </c>
      <c r="G31" s="8" t="str">
        <f>IFERROR(__xludf.DUMMYFUNCTION("GOOGLETRANSLATE(A31, ""en"", ""hi"")"),"30")</f>
        <v>30</v>
      </c>
      <c r="H31" s="8" t="str">
        <f>IFERROR(__xludf.DUMMYFUNCTION("GOOGLETRANSLATE(B31, ""en"", ""hi"")"),"धोप_खेल_8")</f>
        <v>धोप_खेल_8</v>
      </c>
      <c r="I31" s="8" t="str">
        <f>IFERROR(__xludf.DUMMYFUNCTION("GOOGLETRANSLATE(C31, ""en"", ""hi"")"),"चित्र में दिखाए गए खेल के अनुसार, सीमा से बाहर कदम रखने पर क्या दंड है?")</f>
        <v>चित्र में दिखाए गए खेल के अनुसार, सीमा से बाहर कदम रखने पर क्या दंड है?</v>
      </c>
      <c r="J31" s="8" t="str">
        <f>IFERROR(__xludf.DUMMYFUNCTION("GOOGLETRANSLATE(D31, ""en"", ""hi"")"),"a) टीम एक अंक खो देती है, b) खिलाड़ी अयोग्य घोषित कर दिया जाता है, c) टीम गेंद पर कब्ज़ा कर लेती है, d) खेल रुक जाता है")</f>
        <v>a) टीम एक अंक खो देती है, b) खिलाड़ी अयोग्य घोषित कर दिया जाता है, c) टीम गेंद पर कब्ज़ा कर लेती है, d) खेल रुक जाता है</v>
      </c>
      <c r="K31" s="8" t="str">
        <f>IFERROR(__xludf.DUMMYFUNCTION("GOOGLETRANSLATE(E31, ""en"", ""hi"")"),"b) खिलाड़ी को अयोग्य घोषित कर दिया गया है")</f>
        <v>b) खिलाड़ी को अयोग्य घोषित कर दिया गया है</v>
      </c>
    </row>
    <row r="32" ht="22.5" customHeight="1">
      <c r="A32" s="2">
        <v>31.0</v>
      </c>
      <c r="B32" s="3" t="s">
        <v>2381</v>
      </c>
      <c r="C32" s="3" t="s">
        <v>2388</v>
      </c>
      <c r="D32" s="3" t="s">
        <v>2389</v>
      </c>
      <c r="E32" s="3" t="s">
        <v>2145</v>
      </c>
      <c r="G32" s="8" t="str">
        <f>IFERROR(__xludf.DUMMYFUNCTION("GOOGLETRANSLATE(A32, ""en"", ""hi"")"),"31")</f>
        <v>31</v>
      </c>
      <c r="H32" s="8" t="str">
        <f>IFERROR(__xludf.DUMMYFUNCTION("GOOGLETRANSLATE(B32, ""en"", ""hi"")"),"धोप_खेल_8")</f>
        <v>धोप_खेल_8</v>
      </c>
      <c r="I32" s="8" t="str">
        <f>IFERROR(__xludf.DUMMYFUNCTION("GOOGLETRANSLATE(C32, ""en"", ""hi"")"),"चित्र में दिखाए गए खेल से कप्तान की भूमिका क्या है?")</f>
        <v>चित्र में दिखाए गए खेल से कप्तान की भूमिका क्या है?</v>
      </c>
      <c r="J32" s="8" t="str">
        <f>IFERROR(__xludf.DUMMYFUNCTION("GOOGLETRANSLATE(D32, ""en"", ""hi"")"),"क) टीम का नेतृत्व करना, ख) रणनीति तय करना, ग) रेफरी के साथ संवाद करना, घ) उपरोक्त सभी")</f>
        <v>क) टीम का नेतृत्व करना, ख) रणनीति तय करना, ग) रेफरी के साथ संवाद करना, घ) उपरोक्त सभी</v>
      </c>
      <c r="K32" s="8" t="str">
        <f>IFERROR(__xludf.DUMMYFUNCTION("GOOGLETRANSLATE(E32, ""en"", ""hi"")"),"D। उपरोक्त सभी")</f>
        <v>D। उपरोक्त सभी</v>
      </c>
    </row>
    <row r="33" ht="22.5" customHeight="1">
      <c r="A33" s="2">
        <v>32.0</v>
      </c>
      <c r="B33" s="3" t="s">
        <v>2381</v>
      </c>
      <c r="C33" s="3" t="s">
        <v>2390</v>
      </c>
      <c r="D33" s="3" t="s">
        <v>2391</v>
      </c>
      <c r="E33" s="3" t="s">
        <v>2392</v>
      </c>
      <c r="G33" s="8" t="str">
        <f>IFERROR(__xludf.DUMMYFUNCTION("GOOGLETRANSLATE(A33, ""en"", ""hi"")"),"32")</f>
        <v>32</v>
      </c>
      <c r="H33" s="8" t="str">
        <f>IFERROR(__xludf.DUMMYFUNCTION("GOOGLETRANSLATE(B33, ""en"", ""hi"")"),"धोप_खेल_8")</f>
        <v>धोप_खेल_8</v>
      </c>
      <c r="I33" s="8" t="str">
        <f>IFERROR(__xludf.DUMMYFUNCTION("GOOGLETRANSLATE(C33, ""en"", ""hi"")"),"चित्र में दिखाए गए खेल से, खेल को पुनः आरंभ करने का सामान्य तरीका क्या है?")</f>
        <v>चित्र में दिखाए गए खेल से, खेल को पुनः आरंभ करने का सामान्य तरीका क्या है?</v>
      </c>
      <c r="J33" s="8" t="str">
        <f>IFERROR(__xludf.DUMMYFUNCTION("GOOGLETRANSLATE(D33, ""en"", ""hi"")"),"a) थ्रो-इन, b) किक-ऑफ, c) बॉल ड्रॉप, d) सीटी बजाना")</f>
        <v>a) थ्रो-इन, b) किक-ऑफ, c) बॉल ड्रॉप, d) सीटी बजाना</v>
      </c>
      <c r="K33" s="8" t="str">
        <f>IFERROR(__xludf.DUMMYFUNCTION("GOOGLETRANSLATE(E33, ""en"", ""hi"")"),"a) एक थ्रो-इन")</f>
        <v>a) एक थ्रो-इन</v>
      </c>
    </row>
    <row r="34" ht="22.5" customHeight="1">
      <c r="A34" s="2">
        <v>33.0</v>
      </c>
      <c r="B34" s="3" t="s">
        <v>2393</v>
      </c>
      <c r="C34" s="3" t="s">
        <v>2394</v>
      </c>
      <c r="D34" s="3" t="s">
        <v>2395</v>
      </c>
      <c r="E34" s="3" t="s">
        <v>2145</v>
      </c>
      <c r="G34" s="8" t="str">
        <f>IFERROR(__xludf.DUMMYFUNCTION("GOOGLETRANSLATE(A34, ""en"", ""hi"")"),"33")</f>
        <v>33</v>
      </c>
      <c r="H34" s="8" t="str">
        <f>IFERROR(__xludf.DUMMYFUNCTION("GOOGLETRANSLATE(B34, ""en"", ""hi"")"),"dhop_khel_9")</f>
        <v>dhop_khel_9</v>
      </c>
      <c r="I34" s="8" t="str">
        <f>IFERROR(__xludf.DUMMYFUNCTION("GOOGLETRANSLATE(C34, ""en"", ""hi"")"),"चित्र में दिखाए गए खेल से, गति का क्या महत्व है?")</f>
        <v>चित्र में दिखाए गए खेल से, गति का क्या महत्व है?</v>
      </c>
      <c r="J34" s="8" t="str">
        <f>IFERROR(__xludf.DUMMYFUNCTION("GOOGLETRANSLATE(D34, ""en"", ""hi"")"),"a) त्वरित स्कोरिंग के लिए, b) टैग से बचने के लिए, c) ज़ोन के बीच दौड़ने के लिए, d) उपरोक्त सभी")</f>
        <v>a) त्वरित स्कोरिंग के लिए, b) टैग से बचने के लिए, c) ज़ोन के बीच दौड़ने के लिए, d) उपरोक्त सभी</v>
      </c>
      <c r="K34" s="8" t="str">
        <f>IFERROR(__xludf.DUMMYFUNCTION("GOOGLETRANSLATE(E34, ""en"", ""hi"")"),"D। उपरोक्त सभी")</f>
        <v>D। उपरोक्त सभी</v>
      </c>
    </row>
    <row r="35" ht="22.5" customHeight="1">
      <c r="A35" s="2">
        <v>34.0</v>
      </c>
      <c r="B35" s="3" t="s">
        <v>2393</v>
      </c>
      <c r="C35" s="3" t="s">
        <v>2396</v>
      </c>
      <c r="D35" s="3" t="s">
        <v>2397</v>
      </c>
      <c r="E35" s="3" t="s">
        <v>2145</v>
      </c>
      <c r="G35" s="8" t="str">
        <f>IFERROR(__xludf.DUMMYFUNCTION("GOOGLETRANSLATE(A35, ""en"", ""hi"")"),"34")</f>
        <v>34</v>
      </c>
      <c r="H35" s="8" t="str">
        <f>IFERROR(__xludf.DUMMYFUNCTION("GOOGLETRANSLATE(B35, ""en"", ""hi"")"),"dhop_khel_9")</f>
        <v>dhop_khel_9</v>
      </c>
      <c r="I35" s="8" t="str">
        <f>IFERROR(__xludf.DUMMYFUNCTION("GOOGLETRANSLATE(C35, ""en"", ""hi"")"),"चित्र में दिखाए गए खेल से टीम को किस प्रकार लाभ प्राप्त होता है?")</f>
        <v>चित्र में दिखाए गए खेल से टीम को किस प्रकार लाभ प्राप्त होता है?</v>
      </c>
      <c r="J35" s="8" t="str">
        <f>IFERROR(__xludf.DUMMYFUNCTION("GOOGLETRANSLATE(D35, ""en"", ""hi"")"),"a) अंक अर्जित करके, b) विरोधियों को टैग करके, c) गेंद पकड़कर, d) उपरोक्त सभी")</f>
        <v>a) अंक अर्जित करके, b) विरोधियों को टैग करके, c) गेंद पकड़कर, d) उपरोक्त सभी</v>
      </c>
      <c r="K35" s="8" t="str">
        <f>IFERROR(__xludf.DUMMYFUNCTION("GOOGLETRANSLATE(E35, ""en"", ""hi"")"),"D। उपरोक्त सभी")</f>
        <v>D। उपरोक्त सभी</v>
      </c>
    </row>
    <row r="36" ht="22.5" customHeight="1">
      <c r="A36" s="2">
        <v>35.0</v>
      </c>
      <c r="B36" s="3" t="s">
        <v>2393</v>
      </c>
      <c r="C36" s="3" t="s">
        <v>2398</v>
      </c>
      <c r="D36" s="3" t="s">
        <v>2399</v>
      </c>
      <c r="E36" s="3" t="s">
        <v>2400</v>
      </c>
      <c r="G36" s="8" t="str">
        <f>IFERROR(__xludf.DUMMYFUNCTION("GOOGLETRANSLATE(A36, ""en"", ""hi"")"),"35")</f>
        <v>35</v>
      </c>
      <c r="H36" s="8" t="str">
        <f>IFERROR(__xludf.DUMMYFUNCTION("GOOGLETRANSLATE(B36, ""en"", ""hi"")"),"dhop_khel_9")</f>
        <v>dhop_khel_9</v>
      </c>
      <c r="I36" s="8" t="str">
        <f>IFERROR(__xludf.DUMMYFUNCTION("GOOGLETRANSLATE(C36, ""en"", ""hi"")"),"चित्र में दिखाए गए खेल से, शारीरिक सहनशक्ति की क्या भूमिका है?")</f>
        <v>चित्र में दिखाए गए खेल से, शारीरिक सहनशक्ति की क्या भूमिका है?</v>
      </c>
      <c r="J36" s="8" t="str">
        <f>IFERROR(__xludf.DUMMYFUNCTION("GOOGLETRANSLATE(D36, ""en"", ""hi"")"),"क) लम्बी दूरी तक दौड़ने के लिए, ख) पूरे मैच में टिके रहने के लिए, ग) प्रभावी ढंग से बचाव करने के लिए, घ) गति बनाए रखने के लिए")</f>
        <v>क) लम्बी दूरी तक दौड़ने के लिए, ख) पूरे मैच में टिके रहने के लिए, ग) प्रभावी ढंग से बचाव करने के लिए, घ) गति बनाए रखने के लिए</v>
      </c>
      <c r="K36" s="8" t="str">
        <f>IFERROR(__xludf.DUMMYFUNCTION("GOOGLETRANSLATE(E36, ""en"", ""hi"")"),"b) पूरे मैच तक चलने के लिए")</f>
        <v>b) पूरे मैच तक चलने के लिए</v>
      </c>
    </row>
    <row r="37" ht="22.5" customHeight="1">
      <c r="A37" s="2">
        <v>36.0</v>
      </c>
      <c r="B37" s="3" t="s">
        <v>2393</v>
      </c>
      <c r="C37" s="3" t="s">
        <v>2401</v>
      </c>
      <c r="D37" s="3" t="s">
        <v>2402</v>
      </c>
      <c r="E37" s="3" t="s">
        <v>2403</v>
      </c>
      <c r="G37" s="8" t="str">
        <f>IFERROR(__xludf.DUMMYFUNCTION("GOOGLETRANSLATE(A37, ""en"", ""hi"")"),"36")</f>
        <v>36</v>
      </c>
      <c r="H37" s="8" t="str">
        <f>IFERROR(__xludf.DUMMYFUNCTION("GOOGLETRANSLATE(B37, ""en"", ""hi"")"),"dhop_khel_9")</f>
        <v>dhop_khel_9</v>
      </c>
      <c r="I37" s="8" t="str">
        <f>IFERROR(__xludf.DUMMYFUNCTION("GOOGLETRANSLATE(C37, ""en"", ""hi"")"),"चित्र में दिखाए गए खेल के अनुसार, जब कोई खिलाड़ी स्कोर करता है तो क्या होता है?")</f>
        <v>चित्र में दिखाए गए खेल के अनुसार, जब कोई खिलाड़ी स्कोर करता है तो क्या होता है?</v>
      </c>
      <c r="J37" s="8" t="str">
        <f>IFERROR(__xludf.DUMMYFUNCTION("GOOGLETRANSLATE(D37, ""en"", ""hi"")"),"a) टीम को अंक मिलते हैं, b) टीम गेंद पर से कब्जा खो देती है, c) खेल समाप्त हो जाता है, d) प्रतिद्वंद्वी गेंद ले लेता है")</f>
        <v>a) टीम को अंक मिलते हैं, b) टीम गेंद पर से कब्जा खो देती है, c) खेल समाप्त हो जाता है, d) प्रतिद्वंद्वी गेंद ले लेता है</v>
      </c>
      <c r="K37" s="8" t="str">
        <f>IFERROR(__xludf.DUMMYFUNCTION("GOOGLETRANSLATE(E37, ""en"", ""hi"")"),"a) टीम को अंक मिलते हैं")</f>
        <v>a) टीम को अंक मिलते हैं</v>
      </c>
    </row>
    <row r="38" ht="22.5" customHeight="1">
      <c r="A38" s="2">
        <v>37.0</v>
      </c>
      <c r="B38" s="3" t="s">
        <v>2404</v>
      </c>
      <c r="C38" s="3" t="s">
        <v>2405</v>
      </c>
      <c r="D38" s="3" t="s">
        <v>2406</v>
      </c>
      <c r="E38" s="3" t="s">
        <v>2145</v>
      </c>
      <c r="G38" s="8" t="str">
        <f>IFERROR(__xludf.DUMMYFUNCTION("GOOGLETRANSLATE(A38, ""en"", ""hi"")"),"37")</f>
        <v>37</v>
      </c>
      <c r="H38" s="8" t="str">
        <f>IFERROR(__xludf.DUMMYFUNCTION("GOOGLETRANSLATE(B38, ""en"", ""hi"")"),"धोप_खेल_10")</f>
        <v>धोप_खेल_10</v>
      </c>
      <c r="I38" s="8" t="str">
        <f>IFERROR(__xludf.DUMMYFUNCTION("GOOGLETRANSLATE(C38, ""en"", ""hi"")"),"चित्र में दिखाए गए खेल से, संचार टीम को किस प्रकार मदद करता है?")</f>
        <v>चित्र में दिखाए गए खेल से, संचार टीम को किस प्रकार मदद करता है?</v>
      </c>
      <c r="J38" s="8" t="str">
        <f>IFERROR(__xludf.DUMMYFUNCTION("GOOGLETRANSLATE(D38, ""en"", ""hi"")"),"a) रणनीति बनाकर, b) चालों का समन्वय करके, c) टीम के साथियों को सतर्क करके, d) उपरोक्त सभी")</f>
        <v>a) रणनीति बनाकर, b) चालों का समन्वय करके, c) टीम के साथियों को सतर्क करके, d) उपरोक्त सभी</v>
      </c>
      <c r="K38" s="8" t="str">
        <f>IFERROR(__xludf.DUMMYFUNCTION("GOOGLETRANSLATE(E38, ""en"", ""hi"")"),"D। उपरोक्त सभी")</f>
        <v>D। उपरोक्त सभी</v>
      </c>
    </row>
    <row r="39" ht="22.5" customHeight="1">
      <c r="A39" s="2">
        <v>38.0</v>
      </c>
      <c r="B39" s="3" t="s">
        <v>2404</v>
      </c>
      <c r="C39" s="3" t="s">
        <v>2407</v>
      </c>
      <c r="D39" s="3" t="s">
        <v>2408</v>
      </c>
      <c r="E39" s="3" t="s">
        <v>2409</v>
      </c>
      <c r="G39" s="8" t="str">
        <f>IFERROR(__xludf.DUMMYFUNCTION("GOOGLETRANSLATE(A39, ""en"", ""hi"")"),"38")</f>
        <v>38</v>
      </c>
      <c r="H39" s="8" t="str">
        <f>IFERROR(__xludf.DUMMYFUNCTION("GOOGLETRANSLATE(B39, ""en"", ""hi"")"),"धोप_खेल_10")</f>
        <v>धोप_खेल_10</v>
      </c>
      <c r="I39" s="8" t="str">
        <f>IFERROR(__xludf.DUMMYFUNCTION("GOOGLETRANSLATE(C39, ""en"", ""hi"")"),"चित्र में दिखाए गए खेल से, रक्षकों का मुख्य उद्देश्य क्या है?")</f>
        <v>चित्र में दिखाए गए खेल से, रक्षकों का मुख्य उद्देश्य क्या है?</v>
      </c>
      <c r="J39" s="8" t="str">
        <f>IFERROR(__xludf.DUMMYFUNCTION("GOOGLETRANSLATE(D39, ""en"", ""hi"")"),"a) स्कोरिंग रोकने के लिए, b) गेंद पास करने के लिए, c) अंक स्कोर करने के लिए, d) विरोधियों को रोकने के लिए")</f>
        <v>a) स्कोरिंग रोकने के लिए, b) गेंद पास करने के लिए, c) अंक स्कोर करने के लिए, d) विरोधियों को रोकने के लिए</v>
      </c>
      <c r="K39" s="8" t="str">
        <f>IFERROR(__xludf.DUMMYFUNCTION("GOOGLETRANSLATE(E39, ""en"", ""hi"")"),"a) स्कोरिंग को रोकने के लिए")</f>
        <v>a) स्कोरिंग को रोकने के लिए</v>
      </c>
    </row>
    <row r="40" ht="22.5" customHeight="1">
      <c r="A40" s="2">
        <v>39.0</v>
      </c>
      <c r="B40" s="3" t="s">
        <v>2404</v>
      </c>
      <c r="C40" s="3" t="s">
        <v>2410</v>
      </c>
      <c r="D40" s="3" t="s">
        <v>2411</v>
      </c>
      <c r="E40" s="3" t="s">
        <v>2412</v>
      </c>
      <c r="G40" s="8" t="str">
        <f>IFERROR(__xludf.DUMMYFUNCTION("GOOGLETRANSLATE(A40, ""en"", ""hi"")"),"39")</f>
        <v>39</v>
      </c>
      <c r="H40" s="8" t="str">
        <f>IFERROR(__xludf.DUMMYFUNCTION("GOOGLETRANSLATE(B40, ""en"", ""hi"")"),"धोप_खेल_10")</f>
        <v>धोप_खेल_10</v>
      </c>
      <c r="I40" s="8" t="str">
        <f>IFERROR(__xludf.DUMMYFUNCTION("GOOGLETRANSLATE(C40, ""en"", ""hi"")"),"चित्र में दिखाए गए खेल के अनुसार, फाउल का परिणाम क्या होता है?")</f>
        <v>चित्र में दिखाए गए खेल के अनुसार, फाउल का परिणाम क्या होता है?</v>
      </c>
      <c r="J40" s="8" t="str">
        <f>IFERROR(__xludf.DUMMYFUNCTION("GOOGLETRANSLATE(D40, ""en"", ""hi"")"),"a) टीम एक अंक खो देती है, b) खेल पुनः शुरू हो जाता है, c) प्रतिद्वंद्वी गेंद पर कब्ज़ा कर लेता है, d) खेल रुक जाता है")</f>
        <v>a) टीम एक अंक खो देती है, b) खेल पुनः शुरू हो जाता है, c) प्रतिद्वंद्वी गेंद पर कब्ज़ा कर लेता है, d) खेल रुक जाता है</v>
      </c>
      <c r="K40" s="8" t="str">
        <f>IFERROR(__xludf.DUMMYFUNCTION("GOOGLETRANSLATE(E40, ""en"", ""hi"")"),"c) प्रतिद्वंद्वी को कब्ज़ा मिल जाता है")</f>
        <v>c) प्रतिद्वंद्वी को कब्ज़ा मिल जाता है</v>
      </c>
    </row>
    <row r="41" ht="22.5" customHeight="1">
      <c r="A41" s="2">
        <v>40.0</v>
      </c>
      <c r="B41" s="3" t="s">
        <v>2404</v>
      </c>
      <c r="C41" s="3" t="s">
        <v>2413</v>
      </c>
      <c r="D41" s="3" t="s">
        <v>2414</v>
      </c>
      <c r="E41" s="3" t="s">
        <v>2415</v>
      </c>
      <c r="G41" s="8" t="str">
        <f>IFERROR(__xludf.DUMMYFUNCTION("GOOGLETRANSLATE(A41, ""en"", ""hi"")"),"40")</f>
        <v>40</v>
      </c>
      <c r="H41" s="8" t="str">
        <f>IFERROR(__xludf.DUMMYFUNCTION("GOOGLETRANSLATE(B41, ""en"", ""hi"")"),"धोप_खेल_10")</f>
        <v>धोप_खेल_10</v>
      </c>
      <c r="I41" s="8" t="str">
        <f>IFERROR(__xludf.DUMMYFUNCTION("GOOGLETRANSLATE(C41, ""en"", ""hi"")"),"चित्र में दिखाए गए खेल के आधार पर, प्रतिद्वंद्वी से बचने का सामान्य तरीका क्या है?")</f>
        <v>चित्र में दिखाए गए खेल के आधार पर, प्रतिद्वंद्वी से बचने का सामान्य तरीका क्या है?</v>
      </c>
      <c r="J41" s="8" t="str">
        <f>IFERROR(__xludf.DUMMYFUNCTION("GOOGLETRANSLATE(D41, ""en"", ""hi"")"),"क) दिशा में त्वरित परिवर्तन, ख) लंबी छलांग, ग) ऊंची किक, घ) तेज दौड़")</f>
        <v>क) दिशा में त्वरित परिवर्तन, ख) लंबी छलांग, ग) ऊंची किक, घ) तेज दौड़</v>
      </c>
      <c r="K41" s="8" t="str">
        <f>IFERROR(__xludf.DUMMYFUNCTION("GOOGLETRANSLATE(E41, ""en"", ""hi"")"),"क) दिशा में त्वरित परिवर्तन")</f>
        <v>क) दिशा में त्वरित परिवर्तन</v>
      </c>
    </row>
    <row r="42" ht="22.5" customHeight="1">
      <c r="A42" s="2">
        <v>41.0</v>
      </c>
      <c r="B42" s="3" t="s">
        <v>2416</v>
      </c>
      <c r="C42" s="3" t="s">
        <v>2417</v>
      </c>
      <c r="D42" s="3" t="s">
        <v>2418</v>
      </c>
      <c r="E42" s="3" t="s">
        <v>2419</v>
      </c>
      <c r="G42" s="8" t="str">
        <f>IFERROR(__xludf.DUMMYFUNCTION("GOOGLETRANSLATE(A42, ""en"", ""hi"")"),"41")</f>
        <v>41</v>
      </c>
      <c r="H42" s="8" t="str">
        <f>IFERROR(__xludf.DUMMYFUNCTION("GOOGLETRANSLATE(B42, ""en"", ""hi"")"),"धोप_खेल_11")</f>
        <v>धोप_खेल_11</v>
      </c>
      <c r="I42" s="8" t="str">
        <f>IFERROR(__xludf.DUMMYFUNCTION("GOOGLETRANSLATE(C42, ""en"", ""hi"")"),"चित्र में दिखाए गए खेल के अनुसार खिलाड़ियों के लिए कौन से उपकरण आवश्यक हैं?")</f>
        <v>चित्र में दिखाए गए खेल के अनुसार खिलाड़ियों के लिए कौन से उपकरण आवश्यक हैं?</v>
      </c>
      <c r="J42" s="8" t="str">
        <f>IFERROR(__xludf.DUMMYFUNCTION("GOOGLETRANSLATE(D42, ""en"", ""hi"")"),"a) सुरक्षात्मक गियर, b) एक गेंद, c) वर्दी, d) उपरोक्त सभी")</f>
        <v>a) सुरक्षात्मक गियर, b) एक गेंद, c) वर्दी, d) उपरोक्त सभी</v>
      </c>
      <c r="K42" s="8" t="str">
        <f>IFERROR(__xludf.DUMMYFUNCTION("GOOGLETRANSLATE(E42, ""en"", ""hi"")"),"ख) एक गेंद")</f>
        <v>ख) एक गेंद</v>
      </c>
    </row>
    <row r="43" ht="22.5" customHeight="1">
      <c r="A43" s="2">
        <v>42.0</v>
      </c>
      <c r="B43" s="3" t="s">
        <v>2416</v>
      </c>
      <c r="C43" s="3" t="s">
        <v>2420</v>
      </c>
      <c r="D43" s="3" t="s">
        <v>2421</v>
      </c>
      <c r="E43" s="3" t="s">
        <v>2422</v>
      </c>
      <c r="G43" s="8" t="str">
        <f>IFERROR(__xludf.DUMMYFUNCTION("GOOGLETRANSLATE(A43, ""en"", ""hi"")"),"42")</f>
        <v>42</v>
      </c>
      <c r="H43" s="8" t="str">
        <f>IFERROR(__xludf.DUMMYFUNCTION("GOOGLETRANSLATE(B43, ""en"", ""hi"")"),"धोप_खेल_11")</f>
        <v>धोप_खेल_11</v>
      </c>
      <c r="I43" s="8" t="str">
        <f>IFERROR(__xludf.DUMMYFUNCTION("GOOGLETRANSLATE(C43, ""en"", ""hi"")"),"चित्र में दिखाए गए खेल के अनुसार, सफल टैग के लिए क्या आवश्यक है?")</f>
        <v>चित्र में दिखाए गए खेल के अनुसार, सफल टैग के लिए क्या आवश्यक है?</v>
      </c>
      <c r="J43" s="8" t="str">
        <f>IFERROR(__xludf.DUMMYFUNCTION("GOOGLETRANSLATE(D43, ""en"", ""hi"")"),"a) सटीकता और समय, b) गति और शक्ति, c) चपलता और समन्वय, d) उपरोक्त सभी")</f>
        <v>a) सटीकता और समय, b) गति और शक्ति, c) चपलता और समन्वय, d) उपरोक्त सभी</v>
      </c>
      <c r="K43" s="8" t="str">
        <f>IFERROR(__xludf.DUMMYFUNCTION("GOOGLETRANSLATE(E43, ""en"", ""hi"")"),"क) सटीकता और समय")</f>
        <v>क) सटीकता और समय</v>
      </c>
    </row>
    <row r="44" ht="22.5" customHeight="1">
      <c r="A44" s="2">
        <v>43.0</v>
      </c>
      <c r="B44" s="3" t="s">
        <v>2416</v>
      </c>
      <c r="C44" s="3" t="s">
        <v>2423</v>
      </c>
      <c r="D44" s="3" t="s">
        <v>2424</v>
      </c>
      <c r="E44" s="3" t="s">
        <v>2425</v>
      </c>
      <c r="G44" s="8" t="str">
        <f>IFERROR(__xludf.DUMMYFUNCTION("GOOGLETRANSLATE(A44, ""en"", ""hi"")"),"43")</f>
        <v>43</v>
      </c>
      <c r="H44" s="8" t="str">
        <f>IFERROR(__xludf.DUMMYFUNCTION("GOOGLETRANSLATE(B44, ""en"", ""hi"")"),"धोप_खेल_11")</f>
        <v>धोप_खेल_11</v>
      </c>
      <c r="I44" s="8" t="str">
        <f>IFERROR(__xludf.DUMMYFUNCTION("GOOGLETRANSLATE(C44, ""en"", ""hi"")"),"चित्र में दिखाए गए खेल में साइडलाइन की क्या भूमिका है?")</f>
        <v>चित्र में दिखाए गए खेल में साइडलाइन की क्या भूमिका है?</v>
      </c>
      <c r="J44" s="8" t="str">
        <f>IFERROR(__xludf.DUMMYFUNCTION("GOOGLETRANSLATE(D44, ""en"", ""hi"")"),"क) सीमाओं को चिह्नित करना, ख) स्कोरिंग क्षेत्रों को निर्दिष्ट करना, ग) सुरक्षित क्षेत्रों को इंगित करना, घ) टीमों को अलग करना")</f>
        <v>क) सीमाओं को चिह्नित करना, ख) स्कोरिंग क्षेत्रों को निर्दिष्ट करना, ग) सुरक्षित क्षेत्रों को इंगित करना, घ) टीमों को अलग करना</v>
      </c>
      <c r="K44" s="8" t="str">
        <f>IFERROR(__xludf.DUMMYFUNCTION("GOOGLETRANSLATE(E44, ""en"", ""hi"")"),"a) सीमाओं को चिह्नित करने के लिए")</f>
        <v>a) सीमाओं को चिह्नित करने के लिए</v>
      </c>
    </row>
    <row r="45" ht="22.5" customHeight="1">
      <c r="A45" s="2">
        <v>44.0</v>
      </c>
      <c r="B45" s="3" t="s">
        <v>2416</v>
      </c>
      <c r="C45" s="3" t="s">
        <v>2426</v>
      </c>
      <c r="D45" s="3" t="s">
        <v>2427</v>
      </c>
      <c r="E45" s="3" t="s">
        <v>2428</v>
      </c>
      <c r="G45" s="8" t="str">
        <f>IFERROR(__xludf.DUMMYFUNCTION("GOOGLETRANSLATE(A45, ""en"", ""hi"")"),"44")</f>
        <v>44</v>
      </c>
      <c r="H45" s="8" t="str">
        <f>IFERROR(__xludf.DUMMYFUNCTION("GOOGLETRANSLATE(B45, ""en"", ""hi"")"),"धोप_खेल_11")</f>
        <v>धोप_खेल_11</v>
      </c>
      <c r="I45" s="8" t="str">
        <f>IFERROR(__xludf.DUMMYFUNCTION("GOOGLETRANSLATE(C45, ""en"", ""hi"")"),"चित्र में दिखाए गए खेल से, एक खिलाड़ी के लिए प्रमुख कौशल क्या है?")</f>
        <v>चित्र में दिखाए गए खेल से, एक खिलाड़ी के लिए प्रमुख कौशल क्या है?</v>
      </c>
      <c r="J45" s="8" t="str">
        <f>IFERROR(__xludf.DUMMYFUNCTION("GOOGLETRANSLATE(D45, ""en"", ""hi"")"),"क) त्वरित प्रतिक्रिया, ख) लंबी दूरी की दृष्टि, ग) उच्च सहनशक्ति, घ) मजबूत टैकलिंग")</f>
        <v>क) त्वरित प्रतिक्रिया, ख) लंबी दूरी की दृष्टि, ग) उच्च सहनशक्ति, घ) मजबूत टैकलिंग</v>
      </c>
      <c r="K45" s="8" t="str">
        <f>IFERROR(__xludf.DUMMYFUNCTION("GOOGLETRANSLATE(E45, ""en"", ""hi"")"),"a) त्वरित सजगता")</f>
        <v>a) त्वरित सजगता</v>
      </c>
    </row>
    <row r="46" ht="22.5" customHeight="1">
      <c r="A46" s="2">
        <v>45.0</v>
      </c>
      <c r="B46" s="3" t="s">
        <v>2429</v>
      </c>
      <c r="C46" s="3" t="s">
        <v>2430</v>
      </c>
      <c r="D46" s="3" t="s">
        <v>2431</v>
      </c>
      <c r="E46" s="3" t="s">
        <v>2432</v>
      </c>
      <c r="G46" s="8" t="str">
        <f>IFERROR(__xludf.DUMMYFUNCTION("GOOGLETRANSLATE(A46, ""en"", ""hi"")"),"45")</f>
        <v>45</v>
      </c>
      <c r="H46" s="8" t="str">
        <f>IFERROR(__xludf.DUMMYFUNCTION("GOOGLETRANSLATE(B46, ""en"", ""hi"")"),"धोप_खेल_12")</f>
        <v>धोप_खेल_12</v>
      </c>
      <c r="I46" s="8" t="str">
        <f>IFERROR(__xludf.DUMMYFUNCTION("GOOGLETRANSLATE(C46, ""en"", ""hi"")"),"चित्र में दिखाए गए खेल से, प्रतिद्वंद्वी को मात देने के लिए किस रणनीति का उपयोग किया जा सकता है?")</f>
        <v>चित्र में दिखाए गए खेल से, प्रतिद्वंद्वी को मात देने के लिए किस रणनीति का उपयोग किया जा सकता है?</v>
      </c>
      <c r="J46" s="8" t="str">
        <f>IFERROR(__xludf.DUMMYFUNCTION("GOOGLETRANSLATE(D46, ""en"", ""hi"")"),"क) छल और धोखे, ख) लंबे पास, ग) रक्षात्मक स्थिति, घ) आक्रामक दौड़")</f>
        <v>क) छल और धोखे, ख) लंबे पास, ग) रक्षात्मक स्थिति, घ) आक्रामक दौड़</v>
      </c>
      <c r="K46" s="8" t="str">
        <f>IFERROR(__xludf.DUMMYFUNCTION("GOOGLETRANSLATE(E46, ""en"", ""hi"")"),"क) छल और जालसाजी")</f>
        <v>क) छल और जालसाजी</v>
      </c>
    </row>
    <row r="47" ht="22.5" customHeight="1">
      <c r="A47" s="2">
        <v>46.0</v>
      </c>
      <c r="B47" s="3" t="s">
        <v>2429</v>
      </c>
      <c r="C47" s="3" t="s">
        <v>2433</v>
      </c>
      <c r="D47" s="3" t="s">
        <v>2434</v>
      </c>
      <c r="E47" s="3" t="s">
        <v>2435</v>
      </c>
      <c r="G47" s="8" t="str">
        <f>IFERROR(__xludf.DUMMYFUNCTION("GOOGLETRANSLATE(A47, ""en"", ""hi"")"),"46")</f>
        <v>46</v>
      </c>
      <c r="H47" s="8" t="str">
        <f>IFERROR(__xludf.DUMMYFUNCTION("GOOGLETRANSLATE(B47, ""en"", ""hi"")"),"धोप_खेल_12")</f>
        <v>धोप_खेल_12</v>
      </c>
      <c r="I47" s="8" t="str">
        <f>IFERROR(__xludf.DUMMYFUNCTION("GOOGLETRANSLATE(C47, ""en"", ""hi"")"),"चित्र में दिखाए गए खेल से आमतौर पर खेल की समाप्ति का संकेत कैसे मिलता है?")</f>
        <v>चित्र में दिखाए गए खेल से आमतौर पर खेल की समाप्ति का संकेत कैसे मिलता है?</v>
      </c>
      <c r="J47" s="8" t="str">
        <f>IFERROR(__xludf.DUMMYFUNCTION("GOOGLETRANSLATE(D47, ""en"", ""hi"")"),"क) सीटी बजाना, ख) अंतिम स्कोर की घोषणा, ग) हाथ मिलाना, घ) खिलाड़ियों का एकत्र होना")</f>
        <v>क) सीटी बजाना, ख) अंतिम स्कोर की घोषणा, ग) हाथ मिलाना, घ) खिलाड़ियों का एकत्र होना</v>
      </c>
      <c r="K47" s="8" t="str">
        <f>IFERROR(__xludf.DUMMYFUNCTION("GOOGLETRANSLATE(E47, ""en"", ""hi"")"),"क) सीटी बजाना")</f>
        <v>क) सीटी बजाना</v>
      </c>
    </row>
    <row r="48" ht="22.5" customHeight="1">
      <c r="A48" s="2">
        <v>47.0</v>
      </c>
      <c r="B48" s="3" t="s">
        <v>2429</v>
      </c>
      <c r="C48" s="3" t="s">
        <v>2436</v>
      </c>
      <c r="D48" s="3" t="s">
        <v>2437</v>
      </c>
      <c r="E48" s="3" t="s">
        <v>2438</v>
      </c>
      <c r="G48" s="8" t="str">
        <f>IFERROR(__xludf.DUMMYFUNCTION("GOOGLETRANSLATE(A48, ""en"", ""hi"")"),"47")</f>
        <v>47</v>
      </c>
      <c r="H48" s="8" t="str">
        <f>IFERROR(__xludf.DUMMYFUNCTION("GOOGLETRANSLATE(B48, ""en"", ""hi"")"),"धोप_खेल_12")</f>
        <v>धोप_खेल_12</v>
      </c>
      <c r="I48" s="8" t="str">
        <f>IFERROR(__xludf.DUMMYFUNCTION("GOOGLETRANSLATE(C48, ""en"", ""hi"")"),"चित्र में दिखाए गए खेल से, गोल क्षेत्र का प्राथमिक कार्य क्या है?")</f>
        <v>चित्र में दिखाए गए खेल से, गोल क्षेत्र का प्राथमिक कार्य क्या है?</v>
      </c>
      <c r="J48" s="8" t="str">
        <f>IFERROR(__xludf.DUMMYFUNCTION("GOOGLETRANSLATE(D48, ""en"", ""hi"")"),"a) स्कोरिंग, b) डिफेंस, c) प्रतिस्थापन, d) आराम")</f>
        <v>a) स्कोरिंग, b) डिफेंस, c) प्रतिस्थापन, d) आराम</v>
      </c>
      <c r="K48" s="8" t="str">
        <f>IFERROR(__xludf.DUMMYFUNCTION("GOOGLETRANSLATE(E48, ""en"", ""hi"")"),"क) स्कोरिंग")</f>
        <v>क) स्कोरिंग</v>
      </c>
    </row>
    <row r="49" ht="22.5" customHeight="1">
      <c r="A49" s="2">
        <v>48.0</v>
      </c>
      <c r="B49" s="3" t="s">
        <v>2429</v>
      </c>
      <c r="C49" s="3" t="s">
        <v>2439</v>
      </c>
      <c r="D49" s="3" t="s">
        <v>2440</v>
      </c>
      <c r="E49" s="3" t="s">
        <v>2441</v>
      </c>
      <c r="G49" s="8" t="str">
        <f>IFERROR(__xludf.DUMMYFUNCTION("GOOGLETRANSLATE(A49, ""en"", ""hi"")"),"48")</f>
        <v>48</v>
      </c>
      <c r="H49" s="8" t="str">
        <f>IFERROR(__xludf.DUMMYFUNCTION("GOOGLETRANSLATE(B49, ""en"", ""hi"")"),"धोप_खेल_12")</f>
        <v>धोप_खेल_12</v>
      </c>
      <c r="I49" s="8" t="str">
        <f>IFERROR(__xludf.DUMMYFUNCTION("GOOGLETRANSLATE(C49, ""en"", ""hi"")"),"चित्र में दिखाए गए खेल के अनुसार, मैच के दौरान कोच क्या भूमिका निभाते हैं?")</f>
        <v>चित्र में दिखाए गए खेल के अनुसार, मैच के दौरान कोच क्या भूमिका निभाते हैं?</v>
      </c>
      <c r="J49" s="8" t="str">
        <f>IFERROR(__xludf.DUMMYFUNCTION("GOOGLETRANSLATE(D49, ""en"", ""hi"")"),"क) निरीक्षण करना और सलाह देना, ख) टीम के साथ खेलना, ग) खेल का संचालन करना, घ) स्कोरिंग करना")</f>
        <v>क) निरीक्षण करना और सलाह देना, ख) टीम के साथ खेलना, ग) खेल का संचालन करना, घ) स्कोरिंग करना</v>
      </c>
      <c r="K49" s="8" t="str">
        <f>IFERROR(__xludf.DUMMYFUNCTION("GOOGLETRANSLATE(E49, ""en"", ""hi"")"),"क) निरीक्षण करना और सलाह देना")</f>
        <v>क) निरीक्षण करना और सलाह देना</v>
      </c>
    </row>
    <row r="50" ht="22.5" customHeight="1">
      <c r="A50" s="2">
        <v>49.0</v>
      </c>
      <c r="B50" s="3" t="s">
        <v>2442</v>
      </c>
      <c r="C50" s="3" t="s">
        <v>2443</v>
      </c>
      <c r="D50" s="3" t="s">
        <v>2444</v>
      </c>
      <c r="E50" s="3" t="s">
        <v>2445</v>
      </c>
      <c r="G50" s="8" t="str">
        <f>IFERROR(__xludf.DUMMYFUNCTION("GOOGLETRANSLATE(A50, ""en"", ""hi"")"),"49")</f>
        <v>49</v>
      </c>
      <c r="H50" s="8" t="str">
        <f>IFERROR(__xludf.DUMMYFUNCTION("GOOGLETRANSLATE(B50, ""en"", ""hi"")"),"धोप_खेल_13")</f>
        <v>धोप_खेल_13</v>
      </c>
      <c r="I50" s="8" t="str">
        <f>IFERROR(__xludf.DUMMYFUNCTION("GOOGLETRANSLATE(C50, ""en"", ""hi"")"),"चित्र में दिखाए गए खेल के अनुसार, खेल भावना के विपरीत आचरण के लिए सामान्य दंड क्या है?")</f>
        <v>चित्र में दिखाए गए खेल के अनुसार, खेल भावना के विपरीत आचरण के लिए सामान्य दंड क्या है?</v>
      </c>
      <c r="J50" s="8" t="str">
        <f>IFERROR(__xludf.DUMMYFUNCTION("GOOGLETRANSLATE(D50, ""en"", ""hi"")"),"क) निलंबन, ख) अंक कटौती, ग) प्रतिद्वंद्वी को फ्री थ्रो, घ) टीम अयोग्यता")</f>
        <v>क) निलंबन, ख) अंक कटौती, ग) प्रतिद्वंद्वी को फ्री थ्रो, घ) टीम अयोग्यता</v>
      </c>
      <c r="K50" s="8" t="str">
        <f>IFERROR(__xludf.DUMMYFUNCTION("GOOGLETRANSLATE(E50, ""en"", ""hi"")"),"क) निलंबन")</f>
        <v>क) निलंबन</v>
      </c>
    </row>
    <row r="51" ht="22.5" customHeight="1">
      <c r="A51" s="2">
        <v>50.0</v>
      </c>
      <c r="B51" s="3" t="s">
        <v>2442</v>
      </c>
      <c r="C51" s="3" t="s">
        <v>2446</v>
      </c>
      <c r="D51" s="3" t="s">
        <v>2447</v>
      </c>
      <c r="E51" s="3" t="s">
        <v>2145</v>
      </c>
      <c r="G51" s="8" t="str">
        <f>IFERROR(__xludf.DUMMYFUNCTION("GOOGLETRANSLATE(A51, ""en"", ""hi"")"),"50")</f>
        <v>50</v>
      </c>
      <c r="H51" s="8" t="str">
        <f>IFERROR(__xludf.DUMMYFUNCTION("GOOGLETRANSLATE(B51, ""en"", ""hi"")"),"धोप_खेल_13")</f>
        <v>धोप_खेल_13</v>
      </c>
      <c r="I51" s="8" t="str">
        <f>IFERROR(__xludf.DUMMYFUNCTION("GOOGLETRANSLATE(C51, ""en"", ""hi"")"),"चित्र में दिखाए गए खेल से खिलाड़ी अपनी टीम वर्क को कैसे बढ़ा सकते हैं?")</f>
        <v>चित्र में दिखाए गए खेल से खिलाड़ी अपनी टीम वर्क को कैसे बढ़ा सकते हैं?</v>
      </c>
      <c r="J51" s="8" t="str">
        <f>IFERROR(__xludf.DUMMYFUNCTION("GOOGLETRANSLATE(D51, ""en"", ""hi"")"),"क) नियमित अभ्यास, ख) प्रभावी संचार, ग) साझा रणनीतियाँ, घ) उपरोक्त सभी")</f>
        <v>क) नियमित अभ्यास, ख) प्रभावी संचार, ग) साझा रणनीतियाँ, घ) उपरोक्त सभी</v>
      </c>
      <c r="K51" s="8" t="str">
        <f>IFERROR(__xludf.DUMMYFUNCTION("GOOGLETRANSLATE(E51, ""en"", ""hi"")"),"D। उपरोक्त सभी")</f>
        <v>D। उपरोक्त सभी</v>
      </c>
    </row>
    <row r="52" ht="22.5" customHeight="1">
      <c r="A52" s="2">
        <v>51.0</v>
      </c>
      <c r="B52" s="3" t="s">
        <v>2442</v>
      </c>
      <c r="C52" s="3" t="s">
        <v>2448</v>
      </c>
      <c r="D52" s="3" t="s">
        <v>2449</v>
      </c>
      <c r="E52" s="3" t="s">
        <v>2450</v>
      </c>
      <c r="G52" s="8" t="str">
        <f>IFERROR(__xludf.DUMMYFUNCTION("GOOGLETRANSLATE(A52, ""en"", ""hi"")"),"51")</f>
        <v>51</v>
      </c>
      <c r="H52" s="8" t="str">
        <f>IFERROR(__xludf.DUMMYFUNCTION("GOOGLETRANSLATE(B52, ""en"", ""hi"")"),"धोप_खेल_13")</f>
        <v>धोप_खेल_13</v>
      </c>
      <c r="I52" s="8" t="str">
        <f>IFERROR(__xludf.DUMMYFUNCTION("GOOGLETRANSLATE(C52, ""en"", ""hi"")"),"चित्र में दिखाए गए खेल से, त्वरित निर्णय लेने का क्या प्रभाव पड़ता है?")</f>
        <v>चित्र में दिखाए गए खेल से, त्वरित निर्णय लेने का क्या प्रभाव पड़ता है?</v>
      </c>
      <c r="J52" s="8" t="str">
        <f>IFERROR(__xludf.DUMMYFUNCTION("GOOGLETRANSLATE(D52, ""en"", ""hi"")"),"a) इससे गेमप्ले बेहतर होता है, b) इससे खिलाड़ी की गति बढ़ती है, c) इससे खेल का समय कम होता है, d) इससे गलतियाँ कम होती हैं")</f>
        <v>a) इससे गेमप्ले बेहतर होता है, b) इससे खिलाड़ी की गति बढ़ती है, c) इससे खेल का समय कम होता है, d) इससे गलतियाँ कम होती हैं</v>
      </c>
      <c r="K52" s="8" t="str">
        <f>IFERROR(__xludf.DUMMYFUNCTION("GOOGLETRANSLATE(E52, ""en"", ""hi"")"),"a) इससे गेमप्ले बेहतर होता है")</f>
        <v>a) इससे गेमप्ले बेहतर होता है</v>
      </c>
    </row>
    <row r="53" ht="22.5" customHeight="1">
      <c r="A53" s="2">
        <v>52.0</v>
      </c>
      <c r="B53" s="3" t="s">
        <v>2442</v>
      </c>
      <c r="C53" s="3" t="s">
        <v>2451</v>
      </c>
      <c r="D53" s="3" t="s">
        <v>2452</v>
      </c>
      <c r="E53" s="3" t="s">
        <v>2145</v>
      </c>
      <c r="G53" s="8" t="str">
        <f>IFERROR(__xludf.DUMMYFUNCTION("GOOGLETRANSLATE(A53, ""en"", ""hi"")"),"52")</f>
        <v>52</v>
      </c>
      <c r="H53" s="8" t="str">
        <f>IFERROR(__xludf.DUMMYFUNCTION("GOOGLETRANSLATE(B53, ""en"", ""hi"")"),"धोप_खेल_13")</f>
        <v>धोप_खेल_13</v>
      </c>
      <c r="I53" s="8" t="str">
        <f>IFERROR(__xludf.DUMMYFUNCTION("GOOGLETRANSLATE(C53, ""en"", ""hi"")"),"चित्र में दिखाए गए खेल से लाभ प्राप्त करने का सामान्य तरीका क्या है?")</f>
        <v>चित्र में दिखाए गए खेल से लाभ प्राप्त करने का सामान्य तरीका क्या है?</v>
      </c>
      <c r="J53" s="8" t="str">
        <f>IFERROR(__xludf.DUMMYFUNCTION("GOOGLETRANSLATE(D53, ""en"", ""hi"")"),"a) तेज़ गति, b) सटीक पास, c) रणनीतिक स्थिति, d) उपरोक्त सभी")</f>
        <v>a) तेज़ गति, b) सटीक पास, c) रणनीतिक स्थिति, d) उपरोक्त सभी</v>
      </c>
      <c r="K53" s="8" t="str">
        <f>IFERROR(__xludf.DUMMYFUNCTION("GOOGLETRANSLATE(E53, ""en"", ""hi"")"),"D। उपरोक्त सभी")</f>
        <v>D। उपरोक्त सभी</v>
      </c>
    </row>
    <row r="54" ht="22.5" customHeight="1">
      <c r="A54" s="2">
        <v>53.0</v>
      </c>
      <c r="B54" s="3" t="s">
        <v>2453</v>
      </c>
      <c r="C54" s="3" t="s">
        <v>2454</v>
      </c>
      <c r="D54" s="3" t="s">
        <v>2455</v>
      </c>
      <c r="E54" s="3" t="s">
        <v>2145</v>
      </c>
      <c r="G54" s="8" t="str">
        <f>IFERROR(__xludf.DUMMYFUNCTION("GOOGLETRANSLATE(A54, ""en"", ""hi"")"),"53")</f>
        <v>53</v>
      </c>
      <c r="H54" s="8" t="str">
        <f>IFERROR(__xludf.DUMMYFUNCTION("GOOGLETRANSLATE(B54, ""en"", ""hi"")"),"धोप_खेल_14")</f>
        <v>धोप_खेल_14</v>
      </c>
      <c r="I54" s="8" t="str">
        <f>IFERROR(__xludf.DUMMYFUNCTION("GOOGLETRANSLATE(C54, ""en"", ""hi"")"),"चित्र में दिखाए गए खेल के अनुसार, खिलाड़ियों को टाइमआउट के दौरान किस पर ध्यान केंद्रित करना चाहिए?")</f>
        <v>चित्र में दिखाए गए खेल के अनुसार, खिलाड़ियों को टाइमआउट के दौरान किस पर ध्यान केंद्रित करना चाहिए?</v>
      </c>
      <c r="J54" s="8" t="str">
        <f>IFERROR(__xludf.DUMMYFUNCTION("GOOGLETRANSLATE(D54, ""en"", ""hi"")"),"क) रणनीति की समीक्षा करना, ख) आराम करना, ग) एक-दूसरे को प्रेरित करना, घ) उपरोक्त सभी")</f>
        <v>क) रणनीति की समीक्षा करना, ख) आराम करना, ग) एक-दूसरे को प्रेरित करना, घ) उपरोक्त सभी</v>
      </c>
      <c r="K54" s="8" t="str">
        <f>IFERROR(__xludf.DUMMYFUNCTION("GOOGLETRANSLATE(E54, ""en"", ""hi"")"),"D। उपरोक्त सभी")</f>
        <v>D। उपरोक्त सभी</v>
      </c>
    </row>
    <row r="55" ht="22.5" customHeight="1">
      <c r="A55" s="2">
        <v>54.0</v>
      </c>
      <c r="B55" s="3" t="s">
        <v>2453</v>
      </c>
      <c r="C55" s="3" t="s">
        <v>2456</v>
      </c>
      <c r="D55" s="3" t="s">
        <v>2457</v>
      </c>
      <c r="E55" s="3" t="s">
        <v>2409</v>
      </c>
      <c r="G55" s="8" t="str">
        <f>IFERROR(__xludf.DUMMYFUNCTION("GOOGLETRANSLATE(A55, ""en"", ""hi"")"),"54")</f>
        <v>54</v>
      </c>
      <c r="H55" s="8" t="str">
        <f>IFERROR(__xludf.DUMMYFUNCTION("GOOGLETRANSLATE(B55, ""en"", ""hi"")"),"धोप_खेल_14")</f>
        <v>धोप_खेल_14</v>
      </c>
      <c r="I55" s="8" t="str">
        <f>IFERROR(__xludf.DUMMYFUNCTION("GOOGLETRANSLATE(C55, ""en"", ""hi"")"),"चित्र में दिखाए गए खेल से, रक्षात्मक कौशल का क्या महत्व है?")</f>
        <v>चित्र में दिखाए गए खेल से, रक्षात्मक कौशल का क्या महत्व है?</v>
      </c>
      <c r="J55" s="8" t="str">
        <f>IFERROR(__xludf.DUMMYFUNCTION("GOOGLETRANSLATE(D55, ""en"", ""hi"")"),"क) स्कोरिंग रोकने के लिए, ख) गेंद को नियंत्रित करने के लिए, ग) टीम के साथियों का समर्थन करने के लिए, घ) रणनीति बनाने के लिए")</f>
        <v>क) स्कोरिंग रोकने के लिए, ख) गेंद को नियंत्रित करने के लिए, ग) टीम के साथियों का समर्थन करने के लिए, घ) रणनीति बनाने के लिए</v>
      </c>
      <c r="K55" s="8" t="str">
        <f>IFERROR(__xludf.DUMMYFUNCTION("GOOGLETRANSLATE(E55, ""en"", ""hi"")"),"a) स्कोरिंग को रोकने के लिए")</f>
        <v>a) स्कोरिंग को रोकने के लिए</v>
      </c>
    </row>
    <row r="56" ht="22.5" customHeight="1">
      <c r="A56" s="2">
        <v>55.0</v>
      </c>
      <c r="B56" s="3" t="s">
        <v>2453</v>
      </c>
      <c r="C56" s="3" t="s">
        <v>2458</v>
      </c>
      <c r="D56" s="3" t="s">
        <v>2459</v>
      </c>
      <c r="E56" s="3" t="s">
        <v>2460</v>
      </c>
      <c r="G56" s="8" t="str">
        <f>IFERROR(__xludf.DUMMYFUNCTION("GOOGLETRANSLATE(A56, ""en"", ""hi"")"),"55")</f>
        <v>55</v>
      </c>
      <c r="H56" s="8" t="str">
        <f>IFERROR(__xludf.DUMMYFUNCTION("GOOGLETRANSLATE(B56, ""en"", ""hi"")"),"धोप_खेल_14")</f>
        <v>धोप_खेल_14</v>
      </c>
      <c r="I56" s="8" t="str">
        <f>IFERROR(__xludf.DUMMYFUNCTION("GOOGLETRANSLATE(C56, ""en"", ""hi"")"),"चित्र में दिखाए गए खेल से, नए खिलाड़ियों के सामने आने वाली आम चुनौती क्या है?")</f>
        <v>चित्र में दिखाए गए खेल से, नए खिलाड़ियों के सामने आने वाली आम चुनौती क्या है?</v>
      </c>
      <c r="J56" s="8" t="str">
        <f>IFERROR(__xludf.DUMMYFUNCTION("GOOGLETRANSLATE(D56, ""en"", ""hi"")"),"क) खेल के नियमों को समझना, ख) गति विकसित करना, ग) तकनीक सीखना, घ) सहनशक्ति बनाए रखना")</f>
        <v>क) खेल के नियमों को समझना, ख) गति विकसित करना, ग) तकनीक सीखना, घ) सहनशक्ति बनाए रखना</v>
      </c>
      <c r="K56" s="8" t="str">
        <f>IFERROR(__xludf.DUMMYFUNCTION("GOOGLETRANSLATE(E56, ""en"", ""hi"")"),"a) खेल के नियमों को समझना")</f>
        <v>a) खेल के नियमों को समझना</v>
      </c>
    </row>
    <row r="57" ht="22.5" customHeight="1">
      <c r="A57" s="2">
        <v>56.0</v>
      </c>
      <c r="B57" s="3" t="s">
        <v>2453</v>
      </c>
      <c r="C57" s="3" t="s">
        <v>2461</v>
      </c>
      <c r="D57" s="3" t="s">
        <v>2462</v>
      </c>
      <c r="E57" s="3" t="s">
        <v>2145</v>
      </c>
      <c r="G57" s="8" t="str">
        <f>IFERROR(__xludf.DUMMYFUNCTION("GOOGLETRANSLATE(A57, ""en"", ""hi"")"),"56")</f>
        <v>56</v>
      </c>
      <c r="H57" s="8" t="str">
        <f>IFERROR(__xludf.DUMMYFUNCTION("GOOGLETRANSLATE(B57, ""en"", ""hi"")"),"धोप_खेल_14")</f>
        <v>धोप_खेल_14</v>
      </c>
      <c r="I57" s="8" t="str">
        <f>IFERROR(__xludf.DUMMYFUNCTION("GOOGLETRANSLATE(C57, ""en"", ""hi"")"),"चित्र में दिखाए गए खेल से, किसी खिलाड़ी के प्रदर्शन में शारीरिक कंडीशनिंग की क्या भूमिका है?")</f>
        <v>चित्र में दिखाए गए खेल से, किसी खिलाड़ी के प्रदर्शन में शारीरिक कंडीशनिंग की क्या भूमिका है?</v>
      </c>
      <c r="J57" s="8" t="str">
        <f>IFERROR(__xludf.DUMMYFUNCTION("GOOGLETRANSLATE(D57, ""en"", ""hi"")"),"a) सहनशक्ति और ताकत में सुधार करने के लिए, b) गति बढ़ाने के लिए, c) चपलता का समर्थन करने के लिए, d) उपरोक्त सभी")</f>
        <v>a) सहनशक्ति और ताकत में सुधार करने के लिए, b) गति बढ़ाने के लिए, c) चपलता का समर्थन करने के लिए, d) उपरोक्त सभी</v>
      </c>
      <c r="K57" s="8" t="str">
        <f>IFERROR(__xludf.DUMMYFUNCTION("GOOGLETRANSLATE(E57, ""en"", ""hi"")"),"D। उपरोक्त सभी")</f>
        <v>D। उपरोक्त सभी</v>
      </c>
    </row>
    <row r="58" ht="22.5" customHeight="1">
      <c r="A58" s="2">
        <v>57.0</v>
      </c>
      <c r="B58" s="3" t="s">
        <v>2463</v>
      </c>
      <c r="C58" s="3" t="s">
        <v>2464</v>
      </c>
      <c r="D58" s="3" t="s">
        <v>2465</v>
      </c>
      <c r="E58" s="3" t="s">
        <v>2145</v>
      </c>
      <c r="G58" s="8" t="str">
        <f>IFERROR(__xludf.DUMMYFUNCTION("GOOGLETRANSLATE(A58, ""en"", ""hi"")"),"57")</f>
        <v>57</v>
      </c>
      <c r="H58" s="8" t="str">
        <f>IFERROR(__xludf.DUMMYFUNCTION("GOOGLETRANSLATE(B58, ""en"", ""hi"")"),"धोप_खेल_15")</f>
        <v>धोप_खेल_15</v>
      </c>
      <c r="I58" s="8" t="str">
        <f>IFERROR(__xludf.DUMMYFUNCTION("GOOGLETRANSLATE(C58, ""en"", ""hi"")"),"चित्र में दिखाए गए खेल से, प्रभावी संचार से टीम को क्या लाभ होता है?")</f>
        <v>चित्र में दिखाए गए खेल से, प्रभावी संचार से टीम को क्या लाभ होता है?</v>
      </c>
      <c r="J58" s="8" t="str">
        <f>IFERROR(__xludf.DUMMYFUNCTION("GOOGLETRANSLATE(D58, ""en"", ""hi"")"),"a) आंदोलनों का समन्वय करके, b) रणनीतियों को स्पष्ट करके, c) मनोबल में सुधार करके, d) उपरोक्त सभी")</f>
        <v>a) आंदोलनों का समन्वय करके, b) रणनीतियों को स्पष्ट करके, c) मनोबल में सुधार करके, d) उपरोक्त सभी</v>
      </c>
      <c r="K58" s="8" t="str">
        <f>IFERROR(__xludf.DUMMYFUNCTION("GOOGLETRANSLATE(E58, ""en"", ""hi"")"),"D। उपरोक्त सभी")</f>
        <v>D। उपरोक्त सभी</v>
      </c>
    </row>
    <row r="59" ht="22.5" customHeight="1">
      <c r="A59" s="2">
        <v>58.0</v>
      </c>
      <c r="B59" s="3" t="s">
        <v>2463</v>
      </c>
      <c r="C59" s="3" t="s">
        <v>2466</v>
      </c>
      <c r="D59" s="3" t="s">
        <v>2467</v>
      </c>
      <c r="E59" s="3" t="s">
        <v>2468</v>
      </c>
      <c r="G59" s="8" t="str">
        <f>IFERROR(__xludf.DUMMYFUNCTION("GOOGLETRANSLATE(A59, ""en"", ""hi"")"),"58")</f>
        <v>58</v>
      </c>
      <c r="H59" s="8" t="str">
        <f>IFERROR(__xludf.DUMMYFUNCTION("GOOGLETRANSLATE(B59, ""en"", ""hi"")"),"धोप_खेल_15")</f>
        <v>धोप_खेल_15</v>
      </c>
      <c r="I59" s="8" t="str">
        <f>IFERROR(__xludf.DUMMYFUNCTION("GOOGLETRANSLATE(C59, ""en"", ""hi"")"),"चित्र में दिखाए गए खेल से, रेफरी का कार्य क्या है?")</f>
        <v>चित्र में दिखाए गए खेल से, रेफरी का कार्य क्या है?</v>
      </c>
      <c r="J59" s="8" t="str">
        <f>IFERROR(__xludf.DUMMYFUNCTION("GOOGLETRANSLATE(D59, ""en"", ""hi"")"),"a) नियमों को लागू करना, b) खिलाड़ियों को प्रशिक्षित करना, c) खेल का स्कोर बनाना, d) खिलाड़ियों को प्रशिक्षित करना")</f>
        <v>a) नियमों को लागू करना, b) खिलाड़ियों को प्रशिक्षित करना, c) खेल का स्कोर बनाना, d) खिलाड़ियों को प्रशिक्षित करना</v>
      </c>
      <c r="K59" s="8" t="str">
        <f>IFERROR(__xludf.DUMMYFUNCTION("GOOGLETRANSLATE(E59, ""en"", ""hi"")"),"a) नियमों को लागू करने के लिए")</f>
        <v>a) नियमों को लागू करने के लिए</v>
      </c>
    </row>
    <row r="60" ht="22.5" customHeight="1">
      <c r="A60" s="2">
        <v>59.0</v>
      </c>
      <c r="B60" s="3" t="s">
        <v>2463</v>
      </c>
      <c r="C60" s="3" t="s">
        <v>2469</v>
      </c>
      <c r="D60" s="3" t="s">
        <v>2470</v>
      </c>
      <c r="E60" s="3" t="s">
        <v>2145</v>
      </c>
      <c r="G60" s="8" t="str">
        <f>IFERROR(__xludf.DUMMYFUNCTION("GOOGLETRANSLATE(A60, ""en"", ""hi"")"),"59")</f>
        <v>59</v>
      </c>
      <c r="H60" s="8" t="str">
        <f>IFERROR(__xludf.DUMMYFUNCTION("GOOGLETRANSLATE(B60, ""en"", ""hi"")"),"धोप_खेल_15")</f>
        <v>धोप_खेल_15</v>
      </c>
      <c r="I60" s="8" t="str">
        <f>IFERROR(__xludf.DUMMYFUNCTION("GOOGLETRANSLATE(C60, ""en"", ""hi"")"),"चित्र में दिखाए गए खेल से, उचित जूते का क्या प्रभाव पड़ता है?")</f>
        <v>चित्र में दिखाए गए खेल से, उचित जूते का क्या प्रभाव पड़ता है?</v>
      </c>
      <c r="J60" s="8" t="str">
        <f>IFERROR(__xludf.DUMMYFUNCTION("GOOGLETRANSLATE(D60, ""en"", ""hi"")"),"a) यह पकड़ और स्थिरता बढ़ाता है, b) यह गति में सुधार करता है, c) यह चोटों को रोकता है, d) उपरोक्त सभी")</f>
        <v>a) यह पकड़ और स्थिरता बढ़ाता है, b) यह गति में सुधार करता है, c) यह चोटों को रोकता है, d) उपरोक्त सभी</v>
      </c>
      <c r="K60" s="8" t="str">
        <f>IFERROR(__xludf.DUMMYFUNCTION("GOOGLETRANSLATE(E60, ""en"", ""hi"")"),"D। उपरोक्त सभी")</f>
        <v>D। उपरोक्त सभी</v>
      </c>
    </row>
    <row r="61" ht="22.5" customHeight="1">
      <c r="A61" s="2">
        <v>60.0</v>
      </c>
      <c r="B61" s="3" t="s">
        <v>2463</v>
      </c>
      <c r="C61" s="3" t="s">
        <v>2471</v>
      </c>
      <c r="D61" s="3" t="s">
        <v>2472</v>
      </c>
      <c r="E61" s="3" t="s">
        <v>2473</v>
      </c>
      <c r="G61" s="8" t="str">
        <f>IFERROR(__xludf.DUMMYFUNCTION("GOOGLETRANSLATE(A61, ""en"", ""hi"")"),"60")</f>
        <v>60</v>
      </c>
      <c r="H61" s="8" t="str">
        <f>IFERROR(__xludf.DUMMYFUNCTION("GOOGLETRANSLATE(B61, ""en"", ""hi"")"),"धोप_खेल_15")</f>
        <v>धोप_खेल_15</v>
      </c>
      <c r="I61" s="8" t="str">
        <f>IFERROR(__xludf.DUMMYFUNCTION("GOOGLETRANSLATE(C61, ""en"", ""hi"")"),"चित्र में दिखाए गए खेल से, किसी खिलाड़ी की चपलता में सुधार करने का एक तरीका क्या है?")</f>
        <v>चित्र में दिखाए गए खेल से, किसी खिलाड़ी की चपलता में सुधार करने का एक तरीका क्या है?</v>
      </c>
      <c r="J61" s="8" t="str">
        <f>IFERROR(__xludf.DUMMYFUNCTION("GOOGLETRANSLATE(D61, ""en"", ""hi"")"),"क) अभ्यास और कसरत, ख) गेमप्ले वीडियो देखना, ग) रणनीति का अध्ययन करना, घ) संतुलित आहार खाना")</f>
        <v>क) अभ्यास और कसरत, ख) गेमप्ले वीडियो देखना, ग) रणनीति का अध्ययन करना, घ) संतुलित आहार खाना</v>
      </c>
      <c r="K61" s="8" t="str">
        <f>IFERROR(__xludf.DUMMYFUNCTION("GOOGLETRANSLATE(E61, ""en"", ""hi"")"),"क) अभ्यास और व्यायाम")</f>
        <v>क) अभ्यास और व्यायाम</v>
      </c>
    </row>
    <row r="62" ht="22.5" customHeight="1">
      <c r="A62" s="2">
        <v>61.0</v>
      </c>
      <c r="B62" s="3" t="s">
        <v>2474</v>
      </c>
      <c r="C62" s="3" t="s">
        <v>2475</v>
      </c>
      <c r="D62" s="3" t="s">
        <v>2476</v>
      </c>
      <c r="E62" s="3" t="s">
        <v>2477</v>
      </c>
      <c r="G62" s="8" t="str">
        <f>IFERROR(__xludf.DUMMYFUNCTION("GOOGLETRANSLATE(A62, ""en"", ""hi"")"),"61")</f>
        <v>61</v>
      </c>
      <c r="H62" s="8" t="str">
        <f>IFERROR(__xludf.DUMMYFUNCTION("GOOGLETRANSLATE(B62, ""en"", ""hi"")"),"धोप_खेल_16")</f>
        <v>धोप_खेल_16</v>
      </c>
      <c r="I62" s="8" t="str">
        <f>IFERROR(__xludf.DUMMYFUNCTION("GOOGLETRANSLATE(C62, ""en"", ""hi"")"),"चित्र में दिखाए गए खेल के अनुसार, गोलकीपर की भूमिका क्या है?")</f>
        <v>चित्र में दिखाए गए खेल के अनुसार, गोलकीपर की भूमिका क्या है?</v>
      </c>
      <c r="J62" s="8" t="str">
        <f>IFERROR(__xludf.DUMMYFUNCTION("GOOGLETRANSLATE(D62, ""en"", ""hi"")"),"क) गोल रोकने के लिए, ख) अंक अर्जित करने के लिए, ग) टीम की रणनीति का प्रबंधन करने के लिए, घ) खेल का संचालन करने के लिए")</f>
        <v>क) गोल रोकने के लिए, ख) अंक अर्जित करने के लिए, ग) टीम की रणनीति का प्रबंधन करने के लिए, घ) खेल का संचालन करने के लिए</v>
      </c>
      <c r="K62" s="8" t="str">
        <f>IFERROR(__xludf.DUMMYFUNCTION("GOOGLETRANSLATE(E62, ""en"", ""hi"")"),"a) लक्ष्यों को रोकने के लिए")</f>
        <v>a) लक्ष्यों को रोकने के लिए</v>
      </c>
    </row>
    <row r="63" ht="22.5" customHeight="1">
      <c r="A63" s="2">
        <v>62.0</v>
      </c>
      <c r="B63" s="3" t="s">
        <v>2474</v>
      </c>
      <c r="C63" s="3" t="s">
        <v>2478</v>
      </c>
      <c r="D63" s="3" t="s">
        <v>2479</v>
      </c>
      <c r="E63" s="3" t="s">
        <v>2480</v>
      </c>
      <c r="G63" s="8" t="str">
        <f>IFERROR(__xludf.DUMMYFUNCTION("GOOGLETRANSLATE(A63, ""en"", ""hi"")"),"62")</f>
        <v>62</v>
      </c>
      <c r="H63" s="8" t="str">
        <f>IFERROR(__xludf.DUMMYFUNCTION("GOOGLETRANSLATE(B63, ""en"", ""hi"")"),"धोप_खेल_16")</f>
        <v>धोप_खेल_16</v>
      </c>
      <c r="I63" s="8" t="str">
        <f>IFERROR(__xludf.DUMMYFUNCTION("GOOGLETRANSLATE(C63, ""en"", ""hi"")"),"चित्र में दिखाए गए खेल के अनुसार, खिलाड़ियों की स्थिति सामान्यतः कैसी होती है?")</f>
        <v>चित्र में दिखाए गए खेल के अनुसार, खिलाड़ियों की स्थिति सामान्यतः कैसी होती है?</v>
      </c>
      <c r="J63" s="8" t="str">
        <f>IFERROR(__xludf.DUMMYFUNCTION("GOOGLETRANSLATE(D63, ""en"", ""hi"")"),"a) उनके कौशल के आधार पर, b) ऊंचाई के आधार पर, c) उम्र के आधार पर, d) अनुभव के आधार पर")</f>
        <v>a) उनके कौशल के आधार पर, b) ऊंचाई के आधार पर, c) उम्र के आधार पर, d) अनुभव के आधार पर</v>
      </c>
      <c r="K63" s="8" t="str">
        <f>IFERROR(__xludf.DUMMYFUNCTION("GOOGLETRANSLATE(E63, ""en"", ""hi"")"),"a) उनके कौशल के आधार पर")</f>
        <v>a) उनके कौशल के आधार पर</v>
      </c>
    </row>
    <row r="64" ht="22.5" customHeight="1">
      <c r="A64" s="2">
        <v>63.0</v>
      </c>
      <c r="B64" s="3" t="s">
        <v>2474</v>
      </c>
      <c r="C64" s="3" t="s">
        <v>2481</v>
      </c>
      <c r="D64" s="3" t="s">
        <v>2482</v>
      </c>
      <c r="E64" s="3" t="s">
        <v>2483</v>
      </c>
      <c r="G64" s="8" t="str">
        <f>IFERROR(__xludf.DUMMYFUNCTION("GOOGLETRANSLATE(A64, ""en"", ""hi"")"),"63")</f>
        <v>63</v>
      </c>
      <c r="H64" s="8" t="str">
        <f>IFERROR(__xludf.DUMMYFUNCTION("GOOGLETRANSLATE(B64, ""en"", ""hi"")"),"धोप_खेल_16")</f>
        <v>धोप_खेल_16</v>
      </c>
      <c r="I64" s="8" t="str">
        <f>IFERROR(__xludf.DUMMYFUNCTION("GOOGLETRANSLATE(C64, ""en"", ""hi"")"),"चित्र में दिखाए गए खेल से बचाव के लिए सामान्य रणनीति क्या है?")</f>
        <v>चित्र में दिखाए गए खेल से बचाव के लिए सामान्य रणनीति क्या है?</v>
      </c>
      <c r="J64" s="8" t="str">
        <f>IFERROR(__xludf.DUMMYFUNCTION("GOOGLETRANSLATE(D64, ""en"", ""hi"")"),"a) विरोधियों को रोकना, b) तेजी से पास देना, c) आक्रामक तरीके से हमला करना, d) तेजी से दौड़ना")</f>
        <v>a) विरोधियों को रोकना, b) तेजी से पास देना, c) आक्रामक तरीके से हमला करना, d) तेजी से दौड़ना</v>
      </c>
      <c r="K64" s="8" t="str">
        <f>IFERROR(__xludf.DUMMYFUNCTION("GOOGLETRANSLATE(E64, ""en"", ""hi"")"),"a) विरोधियों को रोकना")</f>
        <v>a) विरोधियों को रोकना</v>
      </c>
    </row>
    <row r="65" ht="22.5" customHeight="1">
      <c r="A65" s="2">
        <v>64.0</v>
      </c>
      <c r="B65" s="3" t="s">
        <v>2474</v>
      </c>
      <c r="C65" s="3" t="s">
        <v>2484</v>
      </c>
      <c r="D65" s="3" t="s">
        <v>2485</v>
      </c>
      <c r="E65" s="3" t="s">
        <v>2486</v>
      </c>
      <c r="G65" s="8" t="str">
        <f>IFERROR(__xludf.DUMMYFUNCTION("GOOGLETRANSLATE(A65, ""en"", ""hi"")"),"64")</f>
        <v>64</v>
      </c>
      <c r="H65" s="8" t="str">
        <f>IFERROR(__xludf.DUMMYFUNCTION("GOOGLETRANSLATE(B65, ""en"", ""hi"")"),"धोप_खेल_16")</f>
        <v>धोप_खेल_16</v>
      </c>
      <c r="I65" s="8" t="str">
        <f>IFERROR(__xludf.DUMMYFUNCTION("GOOGLETRANSLATE(C65, ""en"", ""hi"")"),"चित्र में दिखाए गए खेल से, मध्य वृत्त का क्या महत्व है?")</f>
        <v>चित्र में दिखाए गए खेल से, मध्य वृत्त का क्या महत्व है?</v>
      </c>
      <c r="J65" s="8" t="str">
        <f>IFERROR(__xludf.DUMMYFUNCTION("GOOGLETRANSLATE(D65, ""en"", ""hi"")"),"a) यह वह स्थान है जहाँ खेल शुरू होता है, b) यह स्कोरिंग क्षेत्र है, c) यह मैदान के मध्य को चिह्नित करता है, d) यह प्रतिस्थापन क्षेत्र है")</f>
        <v>a) यह वह स्थान है जहाँ खेल शुरू होता है, b) यह स्कोरिंग क्षेत्र है, c) यह मैदान के मध्य को चिह्नित करता है, d) यह प्रतिस्थापन क्षेत्र है</v>
      </c>
      <c r="K65" s="8" t="str">
        <f>IFERROR(__xludf.DUMMYFUNCTION("GOOGLETRANSLATE(E65, ""en"", ""hi"")"),"क) यहीं से खेल शुरू होता है")</f>
        <v>क) यहीं से खेल शुरू होता है</v>
      </c>
    </row>
    <row r="66" ht="22.5" customHeight="1">
      <c r="A66" s="2">
        <v>65.0</v>
      </c>
      <c r="B66" s="3" t="s">
        <v>2487</v>
      </c>
      <c r="C66" s="3" t="s">
        <v>2488</v>
      </c>
      <c r="D66" s="3" t="s">
        <v>2489</v>
      </c>
      <c r="E66" s="3" t="s">
        <v>2490</v>
      </c>
      <c r="G66" s="8" t="str">
        <f>IFERROR(__xludf.DUMMYFUNCTION("GOOGLETRANSLATE(A66, ""en"", ""hi"")"),"65")</f>
        <v>65</v>
      </c>
      <c r="H66" s="8" t="str">
        <f>IFERROR(__xludf.DUMMYFUNCTION("GOOGLETRANSLATE(B66, ""en"", ""hi"")"),"धोप_खेल_17")</f>
        <v>धोप_खेल_17</v>
      </c>
      <c r="I66" s="8" t="str">
        <f>IFERROR(__xludf.DUMMYFUNCTION("GOOGLETRANSLATE(C66, ""en"", ""hi"")"),"चित्र में दिखाए गए खेल से, पासिंग कौशल का अभ्यास करने का एक विशिष्ट तरीका क्या है?")</f>
        <v>चित्र में दिखाए गए खेल से, पासिंग कौशल का अभ्यास करने का एक विशिष्ट तरीका क्या है?</v>
      </c>
      <c r="J66" s="8" t="str">
        <f>IFERROR(__xludf.DUMMYFUNCTION("GOOGLETRANSLATE(D66, ""en"", ""hi"")"),"क) लक्ष्य अभ्यास, ख) लंबी दूरी की थ्रो, ग) तेज ड्रिब्लिंग, घ) कूदने के अभ्यास")</f>
        <v>क) लक्ष्य अभ्यास, ख) लंबी दूरी की थ्रो, ग) तेज ड्रिब्लिंग, घ) कूदने के अभ्यास</v>
      </c>
      <c r="K66" s="8" t="str">
        <f>IFERROR(__xludf.DUMMYFUNCTION("GOOGLETRANSLATE(E66, ""en"", ""hi"")"),"क) लक्ष्य अभ्यास")</f>
        <v>क) लक्ष्य अभ्यास</v>
      </c>
    </row>
    <row r="67" ht="22.5" customHeight="1">
      <c r="A67" s="2">
        <v>66.0</v>
      </c>
      <c r="B67" s="3" t="s">
        <v>2487</v>
      </c>
      <c r="C67" s="3" t="s">
        <v>2491</v>
      </c>
      <c r="D67" s="3" t="s">
        <v>2492</v>
      </c>
      <c r="E67" s="3" t="s">
        <v>2145</v>
      </c>
      <c r="G67" s="8" t="str">
        <f>IFERROR(__xludf.DUMMYFUNCTION("GOOGLETRANSLATE(A67, ""en"", ""hi"")"),"66")</f>
        <v>66</v>
      </c>
      <c r="H67" s="8" t="str">
        <f>IFERROR(__xludf.DUMMYFUNCTION("GOOGLETRANSLATE(B67, ""en"", ""hi"")"),"धोप_खेल_17")</f>
        <v>धोप_खेल_17</v>
      </c>
      <c r="I67" s="8" t="str">
        <f>IFERROR(__xludf.DUMMYFUNCTION("GOOGLETRANSLATE(C67, ""en"", ""hi"")"),"चित्र में दिखाए गए खेल के आधार पर टाइमआउट का सामान्य कारण क्या है?")</f>
        <v>चित्र में दिखाए गए खेल के आधार पर टाइमआउट का सामान्य कारण क्या है?</v>
      </c>
      <c r="J67" s="8" t="str">
        <f>IFERROR(__xludf.DUMMYFUNCTION("GOOGLETRANSLATE(D67, ""en"", ""hi"")"),"क) चोटों का इलाज करना, ख) रणनीति बनाना, ग) खिलाड़ियों को आराम देना, घ) उपरोक्त सभी")</f>
        <v>क) चोटों का इलाज करना, ख) रणनीति बनाना, ग) खिलाड़ियों को आराम देना, घ) उपरोक्त सभी</v>
      </c>
      <c r="K67" s="8" t="str">
        <f>IFERROR(__xludf.DUMMYFUNCTION("GOOGLETRANSLATE(E67, ""en"", ""hi"")"),"D। उपरोक्त सभी")</f>
        <v>D। उपरोक्त सभी</v>
      </c>
    </row>
    <row r="68" ht="22.5" customHeight="1">
      <c r="A68" s="2">
        <v>67.0</v>
      </c>
      <c r="B68" s="3" t="s">
        <v>2487</v>
      </c>
      <c r="C68" s="3" t="s">
        <v>2493</v>
      </c>
      <c r="D68" s="3" t="s">
        <v>2494</v>
      </c>
      <c r="E68" s="3" t="s">
        <v>2495</v>
      </c>
      <c r="G68" s="8" t="str">
        <f>IFERROR(__xludf.DUMMYFUNCTION("GOOGLETRANSLATE(A68, ""en"", ""hi"")"),"67")</f>
        <v>67</v>
      </c>
      <c r="H68" s="8" t="str">
        <f>IFERROR(__xludf.DUMMYFUNCTION("GOOGLETRANSLATE(B68, ""en"", ""hi"")"),"धोप_खेल_17")</f>
        <v>धोप_खेल_17</v>
      </c>
      <c r="I68" s="8" t="str">
        <f>IFERROR(__xludf.DUMMYFUNCTION("GOOGLETRANSLATE(C68, ""en"", ""hi"")"),"चित्र में दिखाए गए खेल से, एक खेल को आम तौर पर कैसे विभाजित किया जाता है?")</f>
        <v>चित्र में दिखाए गए खेल से, एक खेल को आम तौर पर कैसे विभाजित किया जाता है?</v>
      </c>
      <c r="J68" s="8" t="str">
        <f>IFERROR(__xludf.DUMMYFUNCTION("GOOGLETRANSLATE(D68, ""en"", ""hi"")"),"a) आधे में, b) चौथाई में, c) अवधि में, d) राउंड में")</f>
        <v>a) आधे में, b) चौथाई में, c) अवधि में, d) राउंड में</v>
      </c>
      <c r="K68" s="8" t="str">
        <f>IFERROR(__xludf.DUMMYFUNCTION("GOOGLETRANSLATE(E68, ""en"", ""hi"")"),"a) आधे हिस्सों में")</f>
        <v>a) आधे हिस्सों में</v>
      </c>
    </row>
    <row r="69" ht="22.5" customHeight="1">
      <c r="A69" s="2">
        <v>68.0</v>
      </c>
      <c r="B69" s="3" t="s">
        <v>2487</v>
      </c>
      <c r="C69" s="3" t="s">
        <v>2496</v>
      </c>
      <c r="D69" s="3" t="s">
        <v>2497</v>
      </c>
      <c r="E69" s="3" t="s">
        <v>2145</v>
      </c>
      <c r="G69" s="8" t="str">
        <f>IFERROR(__xludf.DUMMYFUNCTION("GOOGLETRANSLATE(A69, ""en"", ""hi"")"),"68")</f>
        <v>68</v>
      </c>
      <c r="H69" s="8" t="str">
        <f>IFERROR(__xludf.DUMMYFUNCTION("GOOGLETRANSLATE(B69, ""en"", ""hi"")"),"धोप_खेल_17")</f>
        <v>धोप_खेल_17</v>
      </c>
      <c r="I69" s="8" t="str">
        <f>IFERROR(__xludf.DUMMYFUNCTION("GOOGLETRANSLATE(C69, ""en"", ""hi"")"),"चित्र में दिखाए गए खेल से, टीम कप्तान की भूमिका क्या है?")</f>
        <v>चित्र में दिखाए गए खेल से, टीम कप्तान की भूमिका क्या है?</v>
      </c>
      <c r="J69" s="8" t="str">
        <f>IFERROR(__xludf.DUMMYFUNCTION("GOOGLETRANSLATE(D69, ""en"", ""hi"")"),"a) टीम का नेतृत्व करना, b) रणनीतिक निर्णय लेना, c) रेफरी के साथ संवाद करना, d) उपरोक्त सभी")</f>
        <v>a) टीम का नेतृत्व करना, b) रणनीतिक निर्णय लेना, c) रेफरी के साथ संवाद करना, d) उपरोक्त सभी</v>
      </c>
      <c r="K69" s="8" t="str">
        <f>IFERROR(__xludf.DUMMYFUNCTION("GOOGLETRANSLATE(E69, ""en"", ""hi"")"),"D। उपरोक्त सभी")</f>
        <v>D। उपरोक्त सभी</v>
      </c>
    </row>
    <row r="70" ht="22.5" customHeight="1">
      <c r="A70" s="2">
        <v>69.0</v>
      </c>
      <c r="B70" s="3" t="s">
        <v>2498</v>
      </c>
      <c r="C70" s="3" t="s">
        <v>2499</v>
      </c>
      <c r="D70" s="3" t="s">
        <v>2500</v>
      </c>
      <c r="E70" s="3" t="s">
        <v>2501</v>
      </c>
      <c r="G70" s="8" t="str">
        <f>IFERROR(__xludf.DUMMYFUNCTION("GOOGLETRANSLATE(A70, ""en"", ""hi"")"),"69")</f>
        <v>69</v>
      </c>
      <c r="H70" s="8" t="str">
        <f>IFERROR(__xludf.DUMMYFUNCTION("GOOGLETRANSLATE(B70, ""en"", ""hi"")"),"धोप_खेल_18")</f>
        <v>धोप_खेल_18</v>
      </c>
      <c r="I70" s="8" t="str">
        <f>IFERROR(__xludf.DUMMYFUNCTION("GOOGLETRANSLATE(C70, ""en"", ""hi"")"),"चित्र में दिखाए गए खेल से, प्रभावी स्कोरिंग का एक प्रमुख पहलू क्या है?")</f>
        <v>चित्र में दिखाए गए खेल से, प्रभावी स्कोरिंग का एक प्रमुख पहलू क्या है?</v>
      </c>
      <c r="J70" s="8" t="str">
        <f>IFERROR(__xludf.DUMMYFUNCTION("GOOGLETRANSLATE(D70, ""en"", ""hi"")"),"a) परिशुद्धता, b) समय, c) शक्ति, d) गति")</f>
        <v>a) परिशुद्धता, b) समय, c) शक्ति, d) गति</v>
      </c>
      <c r="K70" s="8" t="str">
        <f>IFERROR(__xludf.DUMMYFUNCTION("GOOGLETRANSLATE(E70, ""en"", ""hi"")"),"ख) समय")</f>
        <v>ख) समय</v>
      </c>
    </row>
    <row r="71" ht="22.5" customHeight="1">
      <c r="A71" s="2">
        <v>70.0</v>
      </c>
      <c r="B71" s="3" t="s">
        <v>2498</v>
      </c>
      <c r="C71" s="3" t="s">
        <v>2502</v>
      </c>
      <c r="D71" s="3" t="s">
        <v>2503</v>
      </c>
      <c r="E71" s="3" t="s">
        <v>2504</v>
      </c>
      <c r="G71" s="8" t="str">
        <f>IFERROR(__xludf.DUMMYFUNCTION("GOOGLETRANSLATE(A71, ""en"", ""hi"")"),"70")</f>
        <v>70</v>
      </c>
      <c r="H71" s="8" t="str">
        <f>IFERROR(__xludf.DUMMYFUNCTION("GOOGLETRANSLATE(B71, ""en"", ""hi"")"),"धोप_खेल_18")</f>
        <v>धोप_खेल_18</v>
      </c>
      <c r="I71" s="8" t="str">
        <f>IFERROR(__xludf.DUMMYFUNCTION("GOOGLETRANSLATE(C71, ""en"", ""hi"")"),"चित्र में दिखाए गए खेल में से कौन सी सतह खेलने के लिए सबसे उपयुक्त है?")</f>
        <v>चित्र में दिखाए गए खेल में से कौन सी सतह खेलने के लिए सबसे उपयुक्त है?</v>
      </c>
      <c r="J71" s="8" t="str">
        <f>IFERROR(__xludf.DUMMYFUNCTION("GOOGLETRANSLATE(D71, ""en"", ""hi"")"),"a) घास का मैदान, b) मिट्टी का मैदान, c) लकड़ी का फर्श, d) कंक्रीट का फुटपाथ")</f>
        <v>a) घास का मैदान, b) मिट्टी का मैदान, c) लकड़ी का फर्श, d) कंक्रीट का फुटपाथ</v>
      </c>
      <c r="K71" s="8" t="str">
        <f>IFERROR(__xludf.DUMMYFUNCTION("GOOGLETRANSLATE(E71, ""en"", ""hi"")"),"ख) मिट्टी की जमीन")</f>
        <v>ख) मिट्टी की जमीन</v>
      </c>
    </row>
    <row r="72" ht="22.5" customHeight="1">
      <c r="A72" s="2">
        <v>71.0</v>
      </c>
      <c r="B72" s="3" t="s">
        <v>2498</v>
      </c>
      <c r="C72" s="3" t="s">
        <v>2291</v>
      </c>
      <c r="D72" s="3" t="s">
        <v>2505</v>
      </c>
      <c r="E72" s="3" t="s">
        <v>2506</v>
      </c>
      <c r="G72" s="8" t="str">
        <f>IFERROR(__xludf.DUMMYFUNCTION("GOOGLETRANSLATE(A72, ""en"", ""hi"")"),"71")</f>
        <v>71</v>
      </c>
      <c r="H72" s="8" t="str">
        <f>IFERROR(__xludf.DUMMYFUNCTION("GOOGLETRANSLATE(B72, ""en"", ""hi"")"),"धोप_खेल_18")</f>
        <v>धोप_खेल_18</v>
      </c>
      <c r="I72" s="8" t="str">
        <f>IFERROR(__xludf.DUMMYFUNCTION("GOOGLETRANSLATE(C72, ""en"", ""hi"")"),"चित्र में दिखाए गए खेल से, खेल का प्राथमिक उद्देश्य क्या है?")</f>
        <v>चित्र में दिखाए गए खेल से, खेल का प्राथमिक उद्देश्य क्या है?</v>
      </c>
      <c r="J72" s="8" t="str">
        <f>IFERROR(__xludf.DUMMYFUNCTION("GOOGLETRANSLATE(D72, ""en"", ""hi"")"),"a) गोल करना, b) विरोधियों को टैग करना, c) फिनिश लाइन पार करना, d) वस्तुएँ एकत्र करना")</f>
        <v>a) गोल करना, b) विरोधियों को टैग करना, c) फिनिश लाइन पार करना, d) वस्तुएँ एकत्र करना</v>
      </c>
      <c r="K72" s="8" t="str">
        <f>IFERROR(__xludf.DUMMYFUNCTION("GOOGLETRANSLATE(E72, ""en"", ""hi"")"),"b) विरोधियों को टैग करना")</f>
        <v>b) विरोधियों को टैग करना</v>
      </c>
    </row>
    <row r="73" ht="22.5" customHeight="1">
      <c r="A73" s="2">
        <v>72.0</v>
      </c>
      <c r="B73" s="3" t="s">
        <v>2498</v>
      </c>
      <c r="C73" s="3" t="s">
        <v>2507</v>
      </c>
      <c r="D73" s="3" t="s">
        <v>2508</v>
      </c>
      <c r="E73" s="3" t="s">
        <v>2509</v>
      </c>
      <c r="G73" s="8" t="str">
        <f>IFERROR(__xludf.DUMMYFUNCTION("GOOGLETRANSLATE(A73, ""en"", ""hi"")"),"72")</f>
        <v>72</v>
      </c>
      <c r="H73" s="8" t="str">
        <f>IFERROR(__xludf.DUMMYFUNCTION("GOOGLETRANSLATE(B73, ""en"", ""hi"")"),"धोप_खेल_18")</f>
        <v>धोप_खेल_18</v>
      </c>
      <c r="I73" s="8" t="str">
        <f>IFERROR(__xludf.DUMMYFUNCTION("GOOGLETRANSLATE(C73, ""en"", ""hi"")"),"चित्र में दिखाए गए खेल से, आमतौर पर एक टीम में कितने खिलाड़ी भाग लेते हैं?")</f>
        <v>चित्र में दिखाए गए खेल से, आमतौर पर एक टीम में कितने खिलाड़ी भाग लेते हैं?</v>
      </c>
      <c r="J73" s="8" t="str">
        <f>IFERROR(__xludf.DUMMYFUNCTION("GOOGLETRANSLATE(D73, ""en"", ""hi"")"),"a) 2-4 खिलाड़ी, b) 5-7 खिलाड़ी, c) 8-10 खिलाड़ी, d) 11-13 खिलाड़ी")</f>
        <v>a) 2-4 खिलाड़ी, b) 5-7 खिलाड़ी, c) 8-10 खिलाड़ी, d) 11-13 खिलाड़ी</v>
      </c>
      <c r="K73" s="8" t="str">
        <f>IFERROR(__xludf.DUMMYFUNCTION("GOOGLETRANSLATE(E73, ""en"", ""hi"")"),"ख) 5-7 खिलाड़ी")</f>
        <v>ख) 5-7 खिलाड़ी</v>
      </c>
    </row>
    <row r="74" ht="22.5" customHeight="1">
      <c r="A74" s="2">
        <v>73.0</v>
      </c>
      <c r="B74" s="3" t="s">
        <v>2510</v>
      </c>
      <c r="C74" s="3" t="s">
        <v>2511</v>
      </c>
      <c r="D74" s="3" t="s">
        <v>2512</v>
      </c>
      <c r="E74" s="3" t="s">
        <v>2513</v>
      </c>
      <c r="G74" s="8" t="str">
        <f>IFERROR(__xludf.DUMMYFUNCTION("GOOGLETRANSLATE(A74, ""en"", ""hi"")"),"73")</f>
        <v>73</v>
      </c>
      <c r="H74" s="8" t="str">
        <f>IFERROR(__xludf.DUMMYFUNCTION("GOOGLETRANSLATE(B74, ""en"", ""hi"")"),"धोप_खेल_19")</f>
        <v>धोप_खेल_19</v>
      </c>
      <c r="I74" s="8" t="str">
        <f>IFERROR(__xludf.DUMMYFUNCTION("GOOGLETRANSLATE(C74, ""en"", ""hi"")"),"चित्र में दिखाए गए खेल में प्रतिभागियों द्वारा पहनी जाने वाली पारंपरिक पोशाक क्या है?")</f>
        <v>चित्र में दिखाए गए खेल में प्रतिभागियों द्वारा पहनी जाने वाली पारंपरिक पोशाक क्या है?</v>
      </c>
      <c r="J74" s="8" t="str">
        <f>IFERROR(__xludf.DUMMYFUNCTION("GOOGLETRANSLATE(D74, ""en"", ""hi"")"),"क) शॉर्ट्स और टी-शर्ट, ख) पारंपरिक धोती और पगड़ी, ग) ट्रैकसूट, घ) जर्सी और शॉर्ट्स")</f>
        <v>क) शॉर्ट्स और टी-शर्ट, ख) पारंपरिक धोती और पगड़ी, ग) ट्रैकसूट, घ) जर्सी और शॉर्ट्स</v>
      </c>
      <c r="K74" s="8" t="str">
        <f>IFERROR(__xludf.DUMMYFUNCTION("GOOGLETRANSLATE(E74, ""en"", ""hi"")"),"ख) पारंपरिक धोती और पगड़ी")</f>
        <v>ख) पारंपरिक धोती और पगड़ी</v>
      </c>
    </row>
    <row r="75" ht="22.5" customHeight="1">
      <c r="A75" s="2">
        <v>74.0</v>
      </c>
      <c r="B75" s="3" t="s">
        <v>2510</v>
      </c>
      <c r="C75" s="3" t="s">
        <v>2514</v>
      </c>
      <c r="D75" s="3" t="s">
        <v>2515</v>
      </c>
      <c r="E75" s="3" t="s">
        <v>2377</v>
      </c>
      <c r="G75" s="8" t="str">
        <f>IFERROR(__xludf.DUMMYFUNCTION("GOOGLETRANSLATE(A75, ""en"", ""hi"")"),"74")</f>
        <v>74</v>
      </c>
      <c r="H75" s="8" t="str">
        <f>IFERROR(__xludf.DUMMYFUNCTION("GOOGLETRANSLATE(B75, ""en"", ""hi"")"),"धोप_खेल_19")</f>
        <v>धोप_खेल_19</v>
      </c>
      <c r="I75" s="8" t="str">
        <f>IFERROR(__xludf.DUMMYFUNCTION("GOOGLETRANSLATE(C75, ""en"", ""hi"")"),"चित्र में दिखाए गए खेल में सबसे महत्वपूर्ण कौशल क्या है?")</f>
        <v>चित्र में दिखाए गए खेल में सबसे महत्वपूर्ण कौशल क्या है?</v>
      </c>
      <c r="J75" s="8" t="str">
        <f>IFERROR(__xludf.DUMMYFUNCTION("GOOGLETRANSLATE(D75, ""en"", ""hi"")"),"a) गति, b) शक्ति, c) रणनीति, d) धीरज")</f>
        <v>a) गति, b) शक्ति, c) रणनीति, d) धीरज</v>
      </c>
      <c r="K75" s="8" t="str">
        <f>IFERROR(__xludf.DUMMYFUNCTION("GOOGLETRANSLATE(E75, ""en"", ""hi"")"),"क) गति")</f>
        <v>क) गति</v>
      </c>
    </row>
    <row r="76" ht="22.5" customHeight="1">
      <c r="A76" s="2">
        <v>75.0</v>
      </c>
      <c r="B76" s="3" t="s">
        <v>2510</v>
      </c>
      <c r="C76" s="3" t="s">
        <v>2516</v>
      </c>
      <c r="D76" s="3" t="s">
        <v>2517</v>
      </c>
      <c r="E76" s="3" t="s">
        <v>2518</v>
      </c>
      <c r="G76" s="8" t="str">
        <f>IFERROR(__xludf.DUMMYFUNCTION("GOOGLETRANSLATE(A76, ""en"", ""hi"")"),"75")</f>
        <v>75</v>
      </c>
      <c r="H76" s="8" t="str">
        <f>IFERROR(__xludf.DUMMYFUNCTION("GOOGLETRANSLATE(B76, ""en"", ""hi"")"),"धोप_खेल_19")</f>
        <v>धोप_खेल_19</v>
      </c>
      <c r="I76" s="8" t="str">
        <f>IFERROR(__xludf.DUMMYFUNCTION("GOOGLETRANSLATE(C76, ""en"", ""hi"")"),"चित्र में दिखाए गए खेल से, 'मोहोरी' की भूमिका क्या है?")</f>
        <v>चित्र में दिखाए गए खेल से, 'मोहोरी' की भूमिका क्या है?</v>
      </c>
      <c r="J76" s="8" t="str">
        <f>IFERROR(__xludf.DUMMYFUNCTION("GOOGLETRANSLATE(D76, ""en"", ""hi"")"),"a) आक्रामक खिलाड़ी, b) रक्षात्मक खिलाड़ी, c) रेफरी, d) कोच")</f>
        <v>a) आक्रामक खिलाड़ी, b) रक्षात्मक खिलाड़ी, c) रेफरी, d) कोच</v>
      </c>
      <c r="K76" s="8" t="str">
        <f>IFERROR(__xludf.DUMMYFUNCTION("GOOGLETRANSLATE(E76, ""en"", ""hi"")"),"a) आक्रामक खिलाड़ी")</f>
        <v>a) आक्रामक खिलाड़ी</v>
      </c>
    </row>
    <row r="77" ht="22.5" customHeight="1">
      <c r="A77" s="2">
        <v>76.0</v>
      </c>
      <c r="B77" s="3" t="s">
        <v>2510</v>
      </c>
      <c r="C77" s="3" t="s">
        <v>2519</v>
      </c>
      <c r="D77" s="3" t="s">
        <v>2520</v>
      </c>
      <c r="E77" s="3" t="s">
        <v>2521</v>
      </c>
      <c r="G77" s="8" t="str">
        <f>IFERROR(__xludf.DUMMYFUNCTION("GOOGLETRANSLATE(A77, ""en"", ""hi"")"),"76")</f>
        <v>76</v>
      </c>
      <c r="H77" s="8" t="str">
        <f>IFERROR(__xludf.DUMMYFUNCTION("GOOGLETRANSLATE(B77, ""en"", ""hi"")"),"धोप_खेल_19")</f>
        <v>धोप_खेल_19</v>
      </c>
      <c r="I77" s="8" t="str">
        <f>IFERROR(__xludf.DUMMYFUNCTION("GOOGLETRANSLATE(C77, ""en"", ""hi"")"),"चित्र में दिखाए गए खेल में से निम्नलिखित में से किसकी अनुमति नहीं है?")</f>
        <v>चित्र में दिखाए गए खेल में से निम्नलिखित में से किसकी अनुमति नहीं है?</v>
      </c>
      <c r="J77" s="8" t="str">
        <f>IFERROR(__xludf.DUMMYFUNCTION("GOOGLETRANSLATE(D77, ""en"", ""hi"")"),"क) दौड़ना, ख) कूदना, ग) विरोधियों को टैग करना, घ) उपकरण का उपयोग करना")</f>
        <v>क) दौड़ना, ख) कूदना, ग) विरोधियों को टैग करना, घ) उपकरण का उपयोग करना</v>
      </c>
      <c r="K77" s="8" t="str">
        <f>IFERROR(__xludf.DUMMYFUNCTION("GOOGLETRANSLATE(E77, ""en"", ""hi"")"),"घ) उपकरण का उपयोग करना")</f>
        <v>घ) उपकरण का उपयोग करना</v>
      </c>
    </row>
    <row r="78" ht="22.5" customHeight="1">
      <c r="A78" s="2">
        <v>77.0</v>
      </c>
      <c r="B78" s="3" t="s">
        <v>2522</v>
      </c>
      <c r="C78" s="3" t="s">
        <v>2523</v>
      </c>
      <c r="D78" s="3" t="s">
        <v>2524</v>
      </c>
      <c r="E78" s="3" t="s">
        <v>2525</v>
      </c>
      <c r="G78" s="8" t="str">
        <f>IFERROR(__xludf.DUMMYFUNCTION("GOOGLETRANSLATE(A78, ""en"", ""hi"")"),"77")</f>
        <v>77</v>
      </c>
      <c r="H78" s="8" t="str">
        <f>IFERROR(__xludf.DUMMYFUNCTION("GOOGLETRANSLATE(B78, ""en"", ""hi"")"),"धोप_खेल_20")</f>
        <v>धोप_खेल_20</v>
      </c>
      <c r="I78" s="8" t="str">
        <f>IFERROR(__xludf.DUMMYFUNCTION("GOOGLETRANSLATE(C78, ""en"", ""hi"")"),"चित्र में दिखाए गए खेल से, किसी दौर का अंत क्या निर्धारित करता है?")</f>
        <v>चित्र में दिखाए गए खेल से, किसी दौर का अंत क्या निर्धारित करता है?</v>
      </c>
      <c r="J78" s="8" t="str">
        <f>IFERROR(__xludf.DUMMYFUNCTION("GOOGLETRANSLATE(D78, ""en"", ""hi"")"),"a) एक निश्चित समय सीमा, b) सभी खिलाड़ियों को टैग आउट करना, c) एक निश्चित संख्या में अंक प्राप्त करना, d) एक रेखा पार करना")</f>
        <v>a) एक निश्चित समय सीमा, b) सभी खिलाड़ियों को टैग आउट करना, c) एक निश्चित संख्या में अंक प्राप्त करना, d) एक रेखा पार करना</v>
      </c>
      <c r="K78" s="8" t="str">
        <f>IFERROR(__xludf.DUMMYFUNCTION("GOOGLETRANSLATE(E78, ""en"", ""hi"")"),"b) सभी खिलाड़ी टैग आउट")</f>
        <v>b) सभी खिलाड़ी टैग आउट</v>
      </c>
    </row>
    <row r="79" ht="22.5" customHeight="1">
      <c r="A79" s="2">
        <v>78.0</v>
      </c>
      <c r="B79" s="3" t="s">
        <v>2522</v>
      </c>
      <c r="C79" s="3" t="s">
        <v>2526</v>
      </c>
      <c r="D79" s="3" t="s">
        <v>2527</v>
      </c>
      <c r="E79" s="3" t="s">
        <v>2528</v>
      </c>
      <c r="G79" s="8" t="str">
        <f>IFERROR(__xludf.DUMMYFUNCTION("GOOGLETRANSLATE(A79, ""en"", ""hi"")"),"78")</f>
        <v>78</v>
      </c>
      <c r="H79" s="8" t="str">
        <f>IFERROR(__xludf.DUMMYFUNCTION("GOOGLETRANSLATE(B79, ""en"", ""hi"")"),"धोप_खेल_20")</f>
        <v>धोप_खेल_20</v>
      </c>
      <c r="I79" s="8" t="str">
        <f>IFERROR(__xludf.DUMMYFUNCTION("GOOGLETRANSLATE(C79, ""en"", ""hi"")"),"चित्र में दिखाए गए खेल में से कौन सा खेल पारंपरिक रूप से किस मौसम में खेला जाता है?")</f>
        <v>चित्र में दिखाए गए खेल में से कौन सा खेल पारंपरिक रूप से किस मौसम में खेला जाता है?</v>
      </c>
      <c r="J79" s="8" t="str">
        <f>IFERROR(__xludf.DUMMYFUNCTION("GOOGLETRANSLATE(D79, ""en"", ""hi"")"),"a) ग्रीष्म, b) मानसून, c) शीत, d) वसंत")</f>
        <v>a) ग्रीष्म, b) मानसून, c) शीत, d) वसंत</v>
      </c>
      <c r="K79" s="8" t="str">
        <f>IFERROR(__xludf.DUMMYFUNCTION("GOOGLETRANSLATE(E79, ""en"", ""hi"")"),"एक गर्मी")</f>
        <v>एक गर्मी</v>
      </c>
    </row>
    <row r="80" ht="22.5" customHeight="1">
      <c r="A80" s="2">
        <v>79.0</v>
      </c>
      <c r="B80" s="3" t="s">
        <v>2522</v>
      </c>
      <c r="C80" s="3" t="s">
        <v>2529</v>
      </c>
      <c r="D80" s="3" t="s">
        <v>2530</v>
      </c>
      <c r="E80" s="3" t="s">
        <v>2531</v>
      </c>
      <c r="G80" s="8" t="str">
        <f>IFERROR(__xludf.DUMMYFUNCTION("GOOGLETRANSLATE(A80, ""en"", ""hi"")"),"79")</f>
        <v>79</v>
      </c>
      <c r="H80" s="8" t="str">
        <f>IFERROR(__xludf.DUMMYFUNCTION("GOOGLETRANSLATE(B80, ""en"", ""hi"")"),"धोप_खेल_20")</f>
        <v>धोप_खेल_20</v>
      </c>
      <c r="I80" s="8" t="str">
        <f>IFERROR(__xludf.DUMMYFUNCTION("GOOGLETRANSLATE(C80, ""en"", ""hi"")"),"चित्र में दिखाए गए खेल में खिलाड़ी आमतौर पर किस प्रकार के जूते पहनते हैं?")</f>
        <v>चित्र में दिखाए गए खेल में खिलाड़ी आमतौर पर किस प्रकार के जूते पहनते हैं?</v>
      </c>
      <c r="J80" s="8" t="str">
        <f>IFERROR(__xludf.DUMMYFUNCTION("GOOGLETRANSLATE(D80, ""en"", ""hi"")"),"a) नंगे पांव, b) सैंडल, c) स्नीकर्स, d) जूते")</f>
        <v>a) नंगे पांव, b) सैंडल, c) स्नीकर्स, d) जूते</v>
      </c>
      <c r="K80" s="8" t="str">
        <f>IFERROR(__xludf.DUMMYFUNCTION("GOOGLETRANSLATE(E80, ""en"", ""hi"")"),"क) नंगे पांव")</f>
        <v>क) नंगे पांव</v>
      </c>
    </row>
    <row r="81" ht="22.5" customHeight="1">
      <c r="A81" s="2">
        <v>80.0</v>
      </c>
      <c r="B81" s="3" t="s">
        <v>2522</v>
      </c>
      <c r="C81" s="3" t="s">
        <v>2532</v>
      </c>
      <c r="D81" s="3" t="s">
        <v>2533</v>
      </c>
      <c r="E81" s="3" t="s">
        <v>2534</v>
      </c>
      <c r="G81" s="8" t="str">
        <f>IFERROR(__xludf.DUMMYFUNCTION("GOOGLETRANSLATE(A81, ""en"", ""hi"")"),"80")</f>
        <v>80</v>
      </c>
      <c r="H81" s="8" t="str">
        <f>IFERROR(__xludf.DUMMYFUNCTION("GOOGLETRANSLATE(B81, ""en"", ""hi"")"),"धोप_खेल_20")</f>
        <v>धोप_खेल_20</v>
      </c>
      <c r="I81" s="8" t="str">
        <f>IFERROR(__xludf.DUMMYFUNCTION("GOOGLETRANSLATE(C81, ""en"", ""hi"")"),"चित्र में दिखाए गए खेल से, खेलने का प्राथमिक शारीरिक लाभ क्या है?")</f>
        <v>चित्र में दिखाए गए खेल से, खेलने का प्राथमिक शारीरिक लाभ क्या है?</v>
      </c>
      <c r="J81" s="8" t="str">
        <f>IFERROR(__xludf.DUMMYFUNCTION("GOOGLETRANSLATE(D81, ""en"", ""hi"")"),"a) बेहतर हृदय संबंधी फिटनेस, b) मांसपेशियों में वृद्धि, c) बेहतर लचीलापन, d) बेहतर संतुलन")</f>
        <v>a) बेहतर हृदय संबंधी फिटनेस, b) मांसपेशियों में वृद्धि, c) बेहतर लचीलापन, d) बेहतर संतुलन</v>
      </c>
      <c r="K81" s="8" t="str">
        <f>IFERROR(__xludf.DUMMYFUNCTION("GOOGLETRANSLATE(E81, ""en"", ""hi"")"),"a) बेहतर हृदय संबंधी फिटनेस")</f>
        <v>a) बेहतर हृदय संबंधी फिटनेस</v>
      </c>
    </row>
    <row r="82" ht="22.5" customHeight="1">
      <c r="A82" s="2">
        <v>81.0</v>
      </c>
      <c r="B82" s="3" t="s">
        <v>2535</v>
      </c>
      <c r="C82" s="3" t="s">
        <v>2536</v>
      </c>
      <c r="D82" s="3" t="s">
        <v>2537</v>
      </c>
      <c r="E82" s="3" t="s">
        <v>2538</v>
      </c>
      <c r="G82" s="8" t="str">
        <f>IFERROR(__xludf.DUMMYFUNCTION("GOOGLETRANSLATE(A82, ""en"", ""hi"")"),"81")</f>
        <v>81</v>
      </c>
      <c r="H82" s="8" t="str">
        <f>IFERROR(__xludf.DUMMYFUNCTION("GOOGLETRANSLATE(B82, ""en"", ""hi"")"),"धोप_खेल_21")</f>
        <v>धोप_खेल_21</v>
      </c>
      <c r="I82" s="8" t="str">
        <f>IFERROR(__xludf.DUMMYFUNCTION("GOOGLETRANSLATE(C82, ""en"", ""hi"")"),"चित्र में दिखाए गए खेल में से, यह खेल प्रायः किस सांस्कृतिक या क्षेत्रीय त्यौहार से जुड़ा हुआ है?")</f>
        <v>चित्र में दिखाए गए खेल में से, यह खेल प्रायः किस सांस्कृतिक या क्षेत्रीय त्यौहार से जुड़ा हुआ है?</v>
      </c>
      <c r="J82" s="8" t="str">
        <f>IFERROR(__xludf.DUMMYFUNCTION("GOOGLETRANSLATE(D82, ""en"", ""hi"")"),"ए) दिवाली, बी) बैसाखी, सी) बिहू, डी) पोंगल")</f>
        <v>ए) दिवाली, बी) बैसाखी, सी) बिहू, डी) पोंगल</v>
      </c>
      <c r="K82" s="8" t="str">
        <f>IFERROR(__xludf.DUMMYFUNCTION("GOOGLETRANSLATE(E82, ""en"", ""hi"")"),"ग) बिहू")</f>
        <v>ग) बिहू</v>
      </c>
    </row>
    <row r="83" ht="22.5" customHeight="1">
      <c r="A83" s="2">
        <v>82.0</v>
      </c>
      <c r="B83" s="3" t="s">
        <v>2535</v>
      </c>
      <c r="C83" s="3" t="s">
        <v>2539</v>
      </c>
      <c r="D83" s="3" t="s">
        <v>2540</v>
      </c>
      <c r="E83" s="3" t="s">
        <v>2541</v>
      </c>
      <c r="G83" s="8" t="str">
        <f>IFERROR(__xludf.DUMMYFUNCTION("GOOGLETRANSLATE(A83, ""en"", ""hi"")"),"82")</f>
        <v>82</v>
      </c>
      <c r="H83" s="8" t="str">
        <f>IFERROR(__xludf.DUMMYFUNCTION("GOOGLETRANSLATE(B83, ""en"", ""hi"")"),"धोप_खेल_21")</f>
        <v>धोप_खेल_21</v>
      </c>
      <c r="I83" s="8" t="str">
        <f>IFERROR(__xludf.DUMMYFUNCTION("GOOGLETRANSLATE(C83, ""en"", ""hi"")"),"चित्र में दिखाए गए खेल से विजेता का निर्धारण आमतौर पर कैसे होता है?")</f>
        <v>चित्र में दिखाए गए खेल से विजेता का निर्धारण आमतौर पर कैसे होता है?</v>
      </c>
      <c r="J83" s="8" t="str">
        <f>IFERROR(__xludf.DUMMYFUNCTION("GOOGLETRANSLATE(D83, ""en"", ""hi"")"),"क) सबसे अधिक अंक प्राप्त करके, ख) सभी प्रतिद्वंद्वियों को पीछे छोड़कर, ग) सबसे पहले फिनिश लाइन पार करके, घ) प्रतिद्वंद्वियों से अधिक समय तक टिककर")</f>
        <v>क) सबसे अधिक अंक प्राप्त करके, ख) सभी प्रतिद्वंद्वियों को पीछे छोड़कर, ग) सबसे पहले फिनिश लाइन पार करके, घ) प्रतिद्वंद्वियों से अधिक समय तक टिककर</v>
      </c>
      <c r="K83" s="8" t="str">
        <f>IFERROR(__xludf.DUMMYFUNCTION("GOOGLETRANSLATE(E83, ""en"", ""hi"")"),"b) सभी विरोधियों को टैग करके")</f>
        <v>b) सभी विरोधियों को टैग करके</v>
      </c>
    </row>
    <row r="84" ht="22.5" customHeight="1">
      <c r="A84" s="2">
        <v>83.0</v>
      </c>
      <c r="B84" s="3" t="s">
        <v>2535</v>
      </c>
      <c r="C84" s="3" t="s">
        <v>2542</v>
      </c>
      <c r="D84" s="3" t="s">
        <v>2543</v>
      </c>
      <c r="E84" s="3" t="s">
        <v>2544</v>
      </c>
      <c r="G84" s="8" t="str">
        <f>IFERROR(__xludf.DUMMYFUNCTION("GOOGLETRANSLATE(A84, ""en"", ""hi"")"),"83")</f>
        <v>83</v>
      </c>
      <c r="H84" s="8" t="str">
        <f>IFERROR(__xludf.DUMMYFUNCTION("GOOGLETRANSLATE(B84, ""en"", ""hi"")"),"धोप_खेल_21")</f>
        <v>धोप_खेल_21</v>
      </c>
      <c r="I84" s="8" t="str">
        <f>IFERROR(__xludf.DUMMYFUNCTION("GOOGLETRANSLATE(C84, ""en"", ""hi"")"),"चित्र में दिखाए गए खेल में प्रयुक्त प्राथमिक रक्षात्मक तकनीक क्या है?")</f>
        <v>चित्र में दिखाए गए खेल में प्रयुक्त प्राथमिक रक्षात्मक तकनीक क्या है?</v>
      </c>
      <c r="J84" s="8" t="str">
        <f>IFERROR(__xludf.DUMMYFUNCTION("GOOGLETRANSLATE(D84, ""en"", ""hi"")"),"a) चकमा देना, b) रोकना, c) पकड़ना, d) धक्का देना")</f>
        <v>a) चकमा देना, b) रोकना, c) पकड़ना, d) धक्का देना</v>
      </c>
      <c r="K84" s="8" t="str">
        <f>IFERROR(__xludf.DUMMYFUNCTION("GOOGLETRANSLATE(E84, ""en"", ""hi"")"),"क) चकमा देना")</f>
        <v>क) चकमा देना</v>
      </c>
    </row>
    <row r="85" ht="22.5" customHeight="1">
      <c r="A85" s="2">
        <v>84.0</v>
      </c>
      <c r="B85" s="3" t="s">
        <v>2535</v>
      </c>
      <c r="C85" s="3" t="s">
        <v>2545</v>
      </c>
      <c r="D85" s="3" t="s">
        <v>2546</v>
      </c>
      <c r="E85" s="3" t="s">
        <v>2547</v>
      </c>
      <c r="G85" s="8" t="str">
        <f>IFERROR(__xludf.DUMMYFUNCTION("GOOGLETRANSLATE(A85, ""en"", ""hi"")"),"84")</f>
        <v>84</v>
      </c>
      <c r="H85" s="8" t="str">
        <f>IFERROR(__xludf.DUMMYFUNCTION("GOOGLETRANSLATE(B85, ""en"", ""hi"")"),"धोप_खेल_21")</f>
        <v>धोप_खेल_21</v>
      </c>
      <c r="I85" s="8" t="str">
        <f>IFERROR(__xludf.DUMMYFUNCTION("GOOGLETRANSLATE(C85, ""en"", ""hi"")"),"चित्र में दिखाए गए खेल में शरीर का कौन सा अंग सबसे अधिक शामिल होता है?")</f>
        <v>चित्र में दिखाए गए खेल में शरीर का कौन सा अंग सबसे अधिक शामिल होता है?</v>
      </c>
      <c r="J85" s="8" t="str">
        <f>IFERROR(__xludf.DUMMYFUNCTION("GOOGLETRANSLATE(D85, ""en"", ""hi"")"),"a) हाथ, b) पैर, c) सिर, d) कंधे")</f>
        <v>a) हाथ, b) पैर, c) सिर, d) कंधे</v>
      </c>
      <c r="K85" s="8" t="str">
        <f>IFERROR(__xludf.DUMMYFUNCTION("GOOGLETRANSLATE(E85, ""en"", ""hi"")"),"ख) पैर")</f>
        <v>ख) पैर</v>
      </c>
    </row>
    <row r="86" ht="22.5" customHeight="1">
      <c r="A86" s="2">
        <v>85.0</v>
      </c>
      <c r="B86" s="3" t="s">
        <v>2548</v>
      </c>
      <c r="C86" s="3" t="s">
        <v>2549</v>
      </c>
      <c r="D86" s="3" t="s">
        <v>2550</v>
      </c>
      <c r="E86" s="3" t="s">
        <v>2551</v>
      </c>
      <c r="G86" s="8" t="str">
        <f>IFERROR(__xludf.DUMMYFUNCTION("GOOGLETRANSLATE(A86, ""en"", ""hi"")"),"85")</f>
        <v>85</v>
      </c>
      <c r="H86" s="8" t="str">
        <f>IFERROR(__xludf.DUMMYFUNCTION("GOOGLETRANSLATE(B86, ""en"", ""hi"")"),"धोप_खेल_22")</f>
        <v>धोप_खेल_22</v>
      </c>
      <c r="I86" s="8" t="str">
        <f>IFERROR(__xludf.DUMMYFUNCTION("GOOGLETRANSLATE(C86, ""en"", ""hi"")"),"चित्र में दिखाए गए खेल से, एक खेल की सामान्य अवधि क्या है?")</f>
        <v>चित्र में दिखाए गए खेल से, एक खेल की सामान्य अवधि क्या है?</v>
      </c>
      <c r="J86" s="8" t="str">
        <f>IFERROR(__xludf.DUMMYFUNCTION("GOOGLETRANSLATE(D86, ""en"", ""hi"")"),"a) 10-20 मिनट, b) 30-40 मिनट, c) 50-60 मिनट, d) 70-80 मिनट")</f>
        <v>a) 10-20 मिनट, b) 30-40 मिनट, c) 50-60 मिनट, d) 70-80 मिनट</v>
      </c>
      <c r="K86" s="8" t="str">
        <f>IFERROR(__xludf.DUMMYFUNCTION("GOOGLETRANSLATE(E86, ""en"", ""hi"")"),"ख) 30-40 मिनट")</f>
        <v>ख) 30-40 मिनट</v>
      </c>
    </row>
    <row r="87" ht="22.5" customHeight="1">
      <c r="A87" s="2">
        <v>86.0</v>
      </c>
      <c r="B87" s="3" t="s">
        <v>2548</v>
      </c>
      <c r="C87" s="3" t="s">
        <v>2552</v>
      </c>
      <c r="D87" s="3" t="s">
        <v>2553</v>
      </c>
      <c r="E87" s="3" t="s">
        <v>2554</v>
      </c>
      <c r="G87" s="8" t="str">
        <f>IFERROR(__xludf.DUMMYFUNCTION("GOOGLETRANSLATE(A87, ""en"", ""hi"")"),"86")</f>
        <v>86</v>
      </c>
      <c r="H87" s="8" t="str">
        <f>IFERROR(__xludf.DUMMYFUNCTION("GOOGLETRANSLATE(B87, ""en"", ""hi"")"),"धोप_खेल_22")</f>
        <v>धोप_खेल_22</v>
      </c>
      <c r="I87" s="8" t="str">
        <f>IFERROR(__xludf.DUMMYFUNCTION("GOOGLETRANSLATE(C87, ""en"", ""hi"")"),"चित्र में दिखाए गए खेल से, 'घेरा' का उद्देश्य क्या है?")</f>
        <v>चित्र में दिखाए गए खेल से, 'घेरा' का उद्देश्य क्या है?</v>
      </c>
      <c r="J87" s="8" t="str">
        <f>IFERROR(__xludf.DUMMYFUNCTION("GOOGLETRANSLATE(D87, ""en"", ""hi"")"),"क) खेल क्षेत्र को परिभाषित करना, ख) स्कोरिंग क्षेत्र के रूप में कार्य करना, ग) सुरक्षित क्षेत्र को निर्दिष्ट करना, घ) सीमा को चिह्नित करना")</f>
        <v>क) खेल क्षेत्र को परिभाषित करना, ख) स्कोरिंग क्षेत्र के रूप में कार्य करना, ग) सुरक्षित क्षेत्र को निर्दिष्ट करना, घ) सीमा को चिह्नित करना</v>
      </c>
      <c r="K87" s="8" t="str">
        <f>IFERROR(__xludf.DUMMYFUNCTION("GOOGLETRANSLATE(E87, ""en"", ""hi"")"),"a) खेल क्षेत्र को परिभाषित करने के लिए")</f>
        <v>a) खेल क्षेत्र को परिभाषित करने के लिए</v>
      </c>
    </row>
    <row r="88" ht="22.5" customHeight="1">
      <c r="A88" s="2">
        <v>87.0</v>
      </c>
      <c r="B88" s="3" t="s">
        <v>2548</v>
      </c>
      <c r="C88" s="3" t="s">
        <v>2555</v>
      </c>
      <c r="D88" s="3" t="s">
        <v>2556</v>
      </c>
      <c r="E88" s="3" t="s">
        <v>2557</v>
      </c>
      <c r="G88" s="8" t="str">
        <f>IFERROR(__xludf.DUMMYFUNCTION("GOOGLETRANSLATE(A88, ""en"", ""hi"")"),"87")</f>
        <v>87</v>
      </c>
      <c r="H88" s="8" t="str">
        <f>IFERROR(__xludf.DUMMYFUNCTION("GOOGLETRANSLATE(B88, ""en"", ""hi"")"),"धोप_खेल_22")</f>
        <v>धोप_खेल_22</v>
      </c>
      <c r="I88" s="8" t="str">
        <f>IFERROR(__xludf.DUMMYFUNCTION("GOOGLETRANSLATE(C88, ""en"", ""hi"")"),"चित्र में दिखाए गए खेल से, शुरुआत में टीम के गठन का क्या महत्व है?")</f>
        <v>चित्र में दिखाए गए खेल से, शुरुआत में टीम के गठन का क्या महत्व है?</v>
      </c>
      <c r="J88" s="8" t="str">
        <f>IFERROR(__xludf.DUMMYFUNCTION("GOOGLETRANSLATE(D88, ""en"", ""hi"")"),"क) विरोधियों को भ्रमित करने के लिए, ख) हमले की रणनीति बनाने के लिए, ग) टीम भावना प्रदर्शित करने के लिए, घ) स्थिति चिह्नित करने के लिए")</f>
        <v>क) विरोधियों को भ्रमित करने के लिए, ख) हमले की रणनीति बनाने के लिए, ग) टीम भावना प्रदर्शित करने के लिए, घ) स्थिति चिह्नित करने के लिए</v>
      </c>
      <c r="K88" s="8" t="str">
        <f>IFERROR(__xludf.DUMMYFUNCTION("GOOGLETRANSLATE(E88, ""en"", ""hi"")"),"ख) हमले की रणनीति बनाना")</f>
        <v>ख) हमले की रणनीति बनाना</v>
      </c>
    </row>
    <row r="89" ht="22.5" customHeight="1">
      <c r="A89" s="2">
        <v>88.0</v>
      </c>
      <c r="B89" s="3" t="s">
        <v>2548</v>
      </c>
      <c r="C89" s="3" t="s">
        <v>2558</v>
      </c>
      <c r="D89" s="3" t="s">
        <v>2559</v>
      </c>
      <c r="E89" s="3" t="s">
        <v>2560</v>
      </c>
      <c r="G89" s="8" t="str">
        <f>IFERROR(__xludf.DUMMYFUNCTION("GOOGLETRANSLATE(A89, ""en"", ""hi"")"),"88")</f>
        <v>88</v>
      </c>
      <c r="H89" s="8" t="str">
        <f>IFERROR(__xludf.DUMMYFUNCTION("GOOGLETRANSLATE(B89, ""en"", ""hi"")"),"धोप_खेल_22")</f>
        <v>धोप_खेल_22</v>
      </c>
      <c r="I89" s="8" t="str">
        <f>IFERROR(__xludf.DUMMYFUNCTION("GOOGLETRANSLATE(C89, ""en"", ""hi"")"),"चित्र में दिखाए गए खेल में, खिलाड़ी को खेल में बने रहने के लिए किन चीजों से बचना चाहिए?")</f>
        <v>चित्र में दिखाए गए खेल में, खिलाड़ी को खेल में बने रहने के लिए किन चीजों से बचना चाहिए?</v>
      </c>
      <c r="J89" s="8" t="str">
        <f>IFERROR(__xludf.DUMMYFUNCTION("GOOGLETRANSLATE(D89, ""en"", ""hi"")"),"क) हाथों से ज़मीन को छूना, ख) सीमा रेखा के बाहर कदम रखना, ग) साथियों से टकराना, घ) बहुत धीमी गति से चलना")</f>
        <v>क) हाथों से ज़मीन को छूना, ख) सीमा रेखा के बाहर कदम रखना, ग) साथियों से टकराना, घ) बहुत धीमी गति से चलना</v>
      </c>
      <c r="K89" s="8" t="str">
        <f>IFERROR(__xludf.DUMMYFUNCTION("GOOGLETRANSLATE(E89, ""en"", ""hi"")"),"ख) सीमा से बाहर कदम रखना")</f>
        <v>ख) सीमा से बाहर कदम रखना</v>
      </c>
    </row>
    <row r="90" ht="22.5" customHeight="1">
      <c r="A90" s="2">
        <v>89.0</v>
      </c>
      <c r="B90" s="3" t="s">
        <v>2561</v>
      </c>
      <c r="C90" s="3" t="s">
        <v>2562</v>
      </c>
      <c r="D90" s="3" t="s">
        <v>2563</v>
      </c>
      <c r="E90" s="3" t="s">
        <v>2564</v>
      </c>
      <c r="G90" s="8" t="str">
        <f>IFERROR(__xludf.DUMMYFUNCTION("GOOGLETRANSLATE(A90, ""en"", ""hi"")"),"89")</f>
        <v>89</v>
      </c>
      <c r="H90" s="8" t="str">
        <f>IFERROR(__xludf.DUMMYFUNCTION("GOOGLETRANSLATE(B90, ""en"", ""hi"")"),"धोप_खेल_23")</f>
        <v>धोप_खेल_23</v>
      </c>
      <c r="I90" s="8" t="str">
        <f>IFERROR(__xludf.DUMMYFUNCTION("GOOGLETRANSLATE(C90, ""en"", ""hi"")"),"चित्र में दिखाए गए खेल के अनुसार, किस प्रकार का भूभाग इस खेल के लिए आदर्श माना जाता है?")</f>
        <v>चित्र में दिखाए गए खेल के अनुसार, किस प्रकार का भूभाग इस खेल के लिए आदर्श माना जाता है?</v>
      </c>
      <c r="J90" s="8" t="str">
        <f>IFERROR(__xludf.DUMMYFUNCTION("GOOGLETRANSLATE(D90, ""en"", ""hi"")"),"a) समतल और चिकना, b) पहाड़ी और ऊबड़-खाबड़, c) गीला और कीचड़ भरा, d) रेतीला और सूखा")</f>
        <v>a) समतल और चिकना, b) पहाड़ी और ऊबड़-खाबड़, c) गीला और कीचड़ भरा, d) रेतीला और सूखा</v>
      </c>
      <c r="K90" s="8" t="str">
        <f>IFERROR(__xludf.DUMMYFUNCTION("GOOGLETRANSLATE(E90, ""en"", ""hi"")"),"a) सपाट और चिकना")</f>
        <v>a) सपाट और चिकना</v>
      </c>
    </row>
    <row r="91" ht="22.5" customHeight="1">
      <c r="A91" s="2">
        <v>90.0</v>
      </c>
      <c r="B91" s="3" t="s">
        <v>2561</v>
      </c>
      <c r="C91" s="3" t="s">
        <v>2565</v>
      </c>
      <c r="D91" s="3" t="s">
        <v>2566</v>
      </c>
      <c r="E91" s="3" t="s">
        <v>2567</v>
      </c>
      <c r="G91" s="8" t="str">
        <f>IFERROR(__xludf.DUMMYFUNCTION("GOOGLETRANSLATE(A91, ""en"", ""hi"")"),"90")</f>
        <v>90</v>
      </c>
      <c r="H91" s="8" t="str">
        <f>IFERROR(__xludf.DUMMYFUNCTION("GOOGLETRANSLATE(B91, ""en"", ""hi"")"),"धोप_खेल_23")</f>
        <v>धोप_खेल_23</v>
      </c>
      <c r="I91" s="8" t="str">
        <f>IFERROR(__xludf.DUMMYFUNCTION("GOOGLETRANSLATE(C91, ""en"", ""hi"")"),"चित्र में दिखाए गए खेल में से, निम्नलिखित में से कौन सी एक सामान्य टीम रणनीति है?")</f>
        <v>चित्र में दिखाए गए खेल में से, निम्नलिखित में से कौन सी एक सामान्य टीम रणनीति है?</v>
      </c>
      <c r="J91" s="8" t="str">
        <f>IFERROR(__xludf.DUMMYFUNCTION("GOOGLETRANSLATE(D91, ""en"", ""hi"")"),"क) मानव श्रृंखला बनाना, ख) विरोधियों को घेरना, ग) बारी-बारी से आक्रमण करना, घ) रक्षात्मक खेलना")</f>
        <v>क) मानव श्रृंखला बनाना, ख) विरोधियों को घेरना, ग) बारी-बारी से आक्रमण करना, घ) रक्षात्मक खेलना</v>
      </c>
      <c r="K91" s="8" t="str">
        <f>IFERROR(__xludf.DUMMYFUNCTION("GOOGLETRANSLATE(E91, ""en"", ""hi"")"),"c) बारी-बारी से हमला करना")</f>
        <v>c) बारी-बारी से हमला करना</v>
      </c>
    </row>
    <row r="92" ht="22.5" customHeight="1">
      <c r="A92" s="2">
        <v>91.0</v>
      </c>
      <c r="B92" s="3" t="s">
        <v>2561</v>
      </c>
      <c r="C92" s="3" t="s">
        <v>2568</v>
      </c>
      <c r="D92" s="3" t="s">
        <v>2569</v>
      </c>
      <c r="E92" s="3" t="s">
        <v>2570</v>
      </c>
      <c r="G92" s="8" t="str">
        <f>IFERROR(__xludf.DUMMYFUNCTION("GOOGLETRANSLATE(A92, ""en"", ""hi"")"),"91")</f>
        <v>91</v>
      </c>
      <c r="H92" s="8" t="str">
        <f>IFERROR(__xludf.DUMMYFUNCTION("GOOGLETRANSLATE(B92, ""en"", ""hi"")"),"धोप_खेल_23")</f>
        <v>धोप_खेल_23</v>
      </c>
      <c r="I92" s="8" t="str">
        <f>IFERROR(__xludf.DUMMYFUNCTION("GOOGLETRANSLATE(C92, ""en"", ""hi"")"),"चित्र में दिखाए गए खेल में प्रतिभागियों का सामान्य आयु वर्ग क्या है?")</f>
        <v>चित्र में दिखाए गए खेल में प्रतिभागियों का सामान्य आयु वर्ग क्या है?</v>
      </c>
      <c r="J92" s="8" t="str">
        <f>IFERROR(__xludf.DUMMYFUNCTION("GOOGLETRANSLATE(D92, ""en"", ""hi"")"),"a) बच्चे, b) किशोर, c) वयस्क, d) सभी उम्र के लोग")</f>
        <v>a) बच्चे, b) किशोर, c) वयस्क, d) सभी उम्र के लोग</v>
      </c>
      <c r="K92" s="8" t="str">
        <f>IFERROR(__xludf.DUMMYFUNCTION("GOOGLETRANSLATE(E92, ""en"", ""hi"")"),"घ) सभी आयु वर्ग")</f>
        <v>घ) सभी आयु वर्ग</v>
      </c>
    </row>
    <row r="93" ht="22.5" customHeight="1">
      <c r="A93" s="2">
        <v>92.0</v>
      </c>
      <c r="B93" s="3" t="s">
        <v>2561</v>
      </c>
      <c r="C93" s="3" t="s">
        <v>2571</v>
      </c>
      <c r="D93" s="3" t="s">
        <v>2572</v>
      </c>
      <c r="E93" s="3" t="s">
        <v>2573</v>
      </c>
      <c r="G93" s="8" t="str">
        <f>IFERROR(__xludf.DUMMYFUNCTION("GOOGLETRANSLATE(A93, ""en"", ""hi"")"),"92")</f>
        <v>92</v>
      </c>
      <c r="H93" s="8" t="str">
        <f>IFERROR(__xludf.DUMMYFUNCTION("GOOGLETRANSLATE(B93, ""en"", ""hi"")"),"धोप_खेल_23")</f>
        <v>धोप_खेल_23</v>
      </c>
      <c r="I93" s="8" t="str">
        <f>IFERROR(__xludf.DUMMYFUNCTION("GOOGLETRANSLATE(C93, ""en"", ""hi"")"),"चित्र में दिखाए गए खेल से, खेल के दौरान विवादों को निपटाने का एक सामान्य तरीका क्या है?")</f>
        <v>चित्र में दिखाए गए खेल से, खेल के दौरान विवादों को निपटाने का एक सामान्य तरीका क्या है?</v>
      </c>
      <c r="J93" s="8" t="str">
        <f>IFERROR(__xludf.DUMMYFUNCTION("GOOGLETRANSLATE(D93, ""en"", ""hi"")"),"a) राउंड को दोबारा खेलना, b) जज को रेफर करना, c) समाधान होने तक बहस करना, d) सिक्का उछालना")</f>
        <v>a) राउंड को दोबारा खेलना, b) जज को रेफर करना, c) समाधान होने तक बहस करना, d) सिक्का उछालना</v>
      </c>
      <c r="K93" s="8" t="str">
        <f>IFERROR(__xludf.DUMMYFUNCTION("GOOGLETRANSLATE(E93, ""en"", ""hi"")"),"ख) किसी न्यायाधीश को संदर्भित करें")</f>
        <v>ख) किसी न्यायाधीश को संदर्भित करें</v>
      </c>
    </row>
    <row r="94" ht="22.5" customHeight="1">
      <c r="A94" s="2">
        <v>93.0</v>
      </c>
      <c r="B94" s="3" t="s">
        <v>2574</v>
      </c>
      <c r="C94" s="3" t="s">
        <v>2575</v>
      </c>
      <c r="D94" s="3" t="s">
        <v>2576</v>
      </c>
      <c r="E94" s="3" t="s">
        <v>2577</v>
      </c>
      <c r="G94" s="8" t="str">
        <f>IFERROR(__xludf.DUMMYFUNCTION("GOOGLETRANSLATE(A94, ""en"", ""hi"")"),"93")</f>
        <v>93</v>
      </c>
      <c r="H94" s="8" t="str">
        <f>IFERROR(__xludf.DUMMYFUNCTION("GOOGLETRANSLATE(B94, ""en"", ""hi"")"),"dhop_khel_24")</f>
        <v>dhop_khel_24</v>
      </c>
      <c r="I94" s="8" t="str">
        <f>IFERROR(__xludf.DUMMYFUNCTION("GOOGLETRANSLATE(C94, ""en"", ""hi"")"),"चित्र में दिखाए गए खेल में से कौन सा खेल से पहले का सामान्य अनुष्ठान है?")</f>
        <v>चित्र में दिखाए गए खेल में से कौन सा खेल से पहले का सामान्य अनुष्ठान है?</v>
      </c>
      <c r="J94" s="8" t="str">
        <f>IFERROR(__xludf.DUMMYFUNCTION("GOOGLETRANSLATE(D94, ""en"", ""hi"")"),"क) स्ट्रेचिंग, ख) नारे लगाना, ग) ध्यान, घ) टीम हडल")</f>
        <v>क) स्ट्रेचिंग, ख) नारे लगाना, ग) ध्यान, घ) टीम हडल</v>
      </c>
      <c r="K94" s="8" t="str">
        <f>IFERROR(__xludf.DUMMYFUNCTION("GOOGLETRANSLATE(E94, ""en"", ""hi"")"),"d) टीम हडल")</f>
        <v>d) टीम हडल</v>
      </c>
    </row>
    <row r="95" ht="22.5" customHeight="1">
      <c r="A95" s="2">
        <v>94.0</v>
      </c>
      <c r="B95" s="3" t="s">
        <v>2574</v>
      </c>
      <c r="C95" s="3" t="s">
        <v>2578</v>
      </c>
      <c r="D95" s="3" t="s">
        <v>2579</v>
      </c>
      <c r="E95" s="3" t="s">
        <v>2580</v>
      </c>
      <c r="G95" s="8" t="str">
        <f>IFERROR(__xludf.DUMMYFUNCTION("GOOGLETRANSLATE(A95, ""en"", ""hi"")"),"94")</f>
        <v>94</v>
      </c>
      <c r="H95" s="8" t="str">
        <f>IFERROR(__xludf.DUMMYFUNCTION("GOOGLETRANSLATE(B95, ""en"", ""hi"")"),"dhop_khel_24")</f>
        <v>dhop_khel_24</v>
      </c>
      <c r="I95" s="8" t="str">
        <f>IFERROR(__xludf.DUMMYFUNCTION("GOOGLETRANSLATE(C95, ""en"", ""hi"")"),"चित्र में दिखाए गए खेल से, 'पाली' की भूमिका क्या है?")</f>
        <v>चित्र में दिखाए गए खेल से, 'पाली' की भूमिका क्या है?</v>
      </c>
      <c r="J95" s="8" t="str">
        <f>IFERROR(__xludf.DUMMYFUNCTION("GOOGLETRANSLATE(D95, ""en"", ""hi"")"),"क) हमले का नेतृत्व करना, ख) आधार की रक्षा करना, ग) समय बनाए रखना, घ) अंक अर्जित करना")</f>
        <v>क) हमले का नेतृत्व करना, ख) आधार की रक्षा करना, ग) समय बनाए रखना, घ) अंक अर्जित करना</v>
      </c>
      <c r="K95" s="8" t="str">
        <f>IFERROR(__xludf.DUMMYFUNCTION("GOOGLETRANSLATE(E95, ""en"", ""hi"")"),"a) हमले का नेतृत्व करना")</f>
        <v>a) हमले का नेतृत्व करना</v>
      </c>
    </row>
    <row r="96" ht="22.5" customHeight="1">
      <c r="A96" s="2">
        <v>95.0</v>
      </c>
      <c r="B96" s="3" t="s">
        <v>2574</v>
      </c>
      <c r="C96" s="3" t="s">
        <v>2581</v>
      </c>
      <c r="D96" s="3" t="s">
        <v>2582</v>
      </c>
      <c r="E96" s="3" t="s">
        <v>2583</v>
      </c>
      <c r="G96" s="8" t="str">
        <f>IFERROR(__xludf.DUMMYFUNCTION("GOOGLETRANSLATE(A96, ""en"", ""hi"")"),"95")</f>
        <v>95</v>
      </c>
      <c r="H96" s="8" t="str">
        <f>IFERROR(__xludf.DUMMYFUNCTION("GOOGLETRANSLATE(B96, ""en"", ""hi"")"),"dhop_khel_24")</f>
        <v>dhop_khel_24</v>
      </c>
      <c r="I96" s="8" t="str">
        <f>IFERROR(__xludf.DUMMYFUNCTION("GOOGLETRANSLATE(C96, ""en"", ""hi"")"),"चित्र में दिखाए गए खेल में से स्कोरिंग का विशिष्ट तरीका कौन सा है?")</f>
        <v>चित्र में दिखाए गए खेल में से स्कोरिंग का विशिष्ट तरीका कौन सा है?</v>
      </c>
      <c r="J96" s="8" t="str">
        <f>IFERROR(__xludf.DUMMYFUNCTION("GOOGLETRANSLATE(D96, ""en"", ""hi"")"),"a) प्रतिद्वंद्वी को छूना, b) रेखा पार करना, c) गेंद फेंकना, d) गोल मारना")</f>
        <v>a) प्रतिद्वंद्वी को छूना, b) रेखा पार करना, c) गेंद फेंकना, d) गोल मारना</v>
      </c>
      <c r="K96" s="8" t="str">
        <f>IFERROR(__xludf.DUMMYFUNCTION("GOOGLETRANSLATE(E96, ""en"", ""hi"")"),"a) प्रतिद्वंद्वी को छूना")</f>
        <v>a) प्रतिद्वंद्वी को छूना</v>
      </c>
    </row>
    <row r="97" ht="22.5" customHeight="1">
      <c r="A97" s="2">
        <v>96.0</v>
      </c>
      <c r="B97" s="3" t="s">
        <v>2574</v>
      </c>
      <c r="C97" s="3" t="s">
        <v>2584</v>
      </c>
      <c r="D97" s="3" t="s">
        <v>2585</v>
      </c>
      <c r="E97" s="3" t="s">
        <v>2586</v>
      </c>
      <c r="G97" s="8" t="str">
        <f>IFERROR(__xludf.DUMMYFUNCTION("GOOGLETRANSLATE(A97, ""en"", ""hi"")"),"96")</f>
        <v>96</v>
      </c>
      <c r="H97" s="8" t="str">
        <f>IFERROR(__xludf.DUMMYFUNCTION("GOOGLETRANSLATE(B97, ""en"", ""hi"")"),"dhop_khel_24")</f>
        <v>dhop_khel_24</v>
      </c>
      <c r="I97" s="8" t="str">
        <f>IFERROR(__xludf.DUMMYFUNCTION("GOOGLETRANSLATE(C97, ""en"", ""hi"")"),"चित्र में दिखाए गए खेल से निष्पक्ष खेल कैसे सुनिश्चित किया जाता है?")</f>
        <v>चित्र में दिखाए गए खेल से निष्पक्ष खेल कैसे सुनिश्चित किया जाता है?</v>
      </c>
      <c r="J97" s="8" t="str">
        <f>IFERROR(__xludf.DUMMYFUNCTION("GOOGLETRANSLATE(D97, ""en"", ""hi"")"),"क) सख्त नियम प्रवर्तन, ख) यादृच्छिक निरीक्षण, ग) सहकर्मी समीक्षा, घ) स्व-नियमन")</f>
        <v>क) सख्त नियम प्रवर्तन, ख) यादृच्छिक निरीक्षण, ग) सहकर्मी समीक्षा, घ) स्व-नियमन</v>
      </c>
      <c r="K97" s="8" t="str">
        <f>IFERROR(__xludf.DUMMYFUNCTION("GOOGLETRANSLATE(E97, ""en"", ""hi"")"),"क) सख्त नियमों का प्रवर्तन")</f>
        <v>क) सख्त नियमों का प्रवर्तन</v>
      </c>
    </row>
    <row r="98" ht="22.5" customHeight="1">
      <c r="A98" s="2">
        <v>97.0</v>
      </c>
      <c r="B98" s="3" t="s">
        <v>2587</v>
      </c>
      <c r="C98" s="3" t="s">
        <v>2588</v>
      </c>
      <c r="D98" s="3" t="s">
        <v>2589</v>
      </c>
      <c r="E98" s="3" t="s">
        <v>2590</v>
      </c>
      <c r="G98" s="8" t="str">
        <f>IFERROR(__xludf.DUMMYFUNCTION("GOOGLETRANSLATE(A98, ""en"", ""hi"")"),"97")</f>
        <v>97</v>
      </c>
      <c r="H98" s="8" t="str">
        <f>IFERROR(__xludf.DUMMYFUNCTION("GOOGLETRANSLATE(B98, ""en"", ""hi"")"),"धोप_खेल_25")</f>
        <v>धोप_खेल_25</v>
      </c>
      <c r="I98" s="8" t="str">
        <f>IFERROR(__xludf.DUMMYFUNCTION("GOOGLETRANSLATE(C98, ""en"", ""hi"")"),"चित्र में दिखाए गए खेल के अनुसार, राउंड के बीच आराम करने का मुख्य कारण क्या है?")</f>
        <v>चित्र में दिखाए गए खेल के अनुसार, राउंड के बीच आराम करने का मुख्य कारण क्या है?</v>
      </c>
      <c r="J98" s="8" t="str">
        <f>IFERROR(__xludf.DUMMYFUNCTION("GOOGLETRANSLATE(D98, ""en"", ""hi"")"),"a) रणनीति बनाना, b) हाइड्रेट करना, c) ऊर्जा पुनः प्राप्त करना, d) नियमों पर चर्चा करना")</f>
        <v>a) रणनीति बनाना, b) हाइड्रेट करना, c) ऊर्जा पुनः प्राप्त करना, d) नियमों पर चर्चा करना</v>
      </c>
      <c r="K98" s="8" t="str">
        <f>IFERROR(__xludf.DUMMYFUNCTION("GOOGLETRANSLATE(E98, ""en"", ""hi"")"),"c) ऊर्जा पुनः प्राप्त करने के लिए")</f>
        <v>c) ऊर्जा पुनः प्राप्त करने के लिए</v>
      </c>
    </row>
    <row r="99" ht="22.5" customHeight="1">
      <c r="A99" s="2">
        <v>98.0</v>
      </c>
      <c r="B99" s="3" t="s">
        <v>2587</v>
      </c>
      <c r="C99" s="3" t="s">
        <v>2591</v>
      </c>
      <c r="D99" s="3" t="s">
        <v>2592</v>
      </c>
      <c r="E99" s="3" t="s">
        <v>2593</v>
      </c>
      <c r="G99" s="8" t="str">
        <f>IFERROR(__xludf.DUMMYFUNCTION("GOOGLETRANSLATE(A99, ""en"", ""hi"")"),"98")</f>
        <v>98</v>
      </c>
      <c r="H99" s="8" t="str">
        <f>IFERROR(__xludf.DUMMYFUNCTION("GOOGLETRANSLATE(B99, ""en"", ""hi"")"),"धोप_खेल_25")</f>
        <v>धोप_खेल_25</v>
      </c>
      <c r="I99" s="8" t="str">
        <f>IFERROR(__xludf.DUMMYFUNCTION("GOOGLETRANSLATE(C99, ""en"", ""hi"")"),"चित्र में दिखाए गए खेल में से, निम्नलिखित में से कौन सी क्रिया को हतोत्साहित किया गया है?")</f>
        <v>चित्र में दिखाए गए खेल में से, निम्नलिखित में से कौन सी क्रिया को हतोत्साहित किया गया है?</v>
      </c>
      <c r="J99" s="8" t="str">
        <f>IFERROR(__xludf.DUMMYFUNCTION("GOOGLETRANSLATE(D99, ""en"", ""hi"")"),"क) टीमवर्क, ख) व्यक्तिगत प्रतिभा, ग) आक्रामक खेल, घ) धोखाधड़ी")</f>
        <v>क) टीमवर्क, ख) व्यक्तिगत प्रतिभा, ग) आक्रामक खेल, घ) धोखाधड़ी</v>
      </c>
      <c r="K99" s="8" t="str">
        <f>IFERROR(__xludf.DUMMYFUNCTION("GOOGLETRANSLATE(E99, ""en"", ""hi"")"),"घ) धोखाधड़ी")</f>
        <v>घ) धोखाधड़ी</v>
      </c>
    </row>
    <row r="100" ht="22.5" customHeight="1">
      <c r="A100" s="2">
        <v>99.0</v>
      </c>
      <c r="B100" s="3" t="s">
        <v>2587</v>
      </c>
      <c r="C100" s="3" t="s">
        <v>2594</v>
      </c>
      <c r="D100" s="3" t="s">
        <v>2595</v>
      </c>
      <c r="E100" s="3" t="s">
        <v>2596</v>
      </c>
      <c r="G100" s="8" t="str">
        <f>IFERROR(__xludf.DUMMYFUNCTION("GOOGLETRANSLATE(A100, ""en"", ""hi"")"),"99")</f>
        <v>99</v>
      </c>
      <c r="H100" s="8" t="str">
        <f>IFERROR(__xludf.DUMMYFUNCTION("GOOGLETRANSLATE(B100, ""en"", ""hi"")"),"धोप_खेल_25")</f>
        <v>धोप_खेल_25</v>
      </c>
      <c r="I100" s="8" t="str">
        <f>IFERROR(__xludf.DUMMYFUNCTION("GOOGLETRANSLATE(C100, ""en"", ""hi"")"),"चित्र में दिखाए गए खेल के अनुसार, प्रतिद्वंद्वी को टैग करने के बाद खिलाड़ी आमतौर पर क्या करता है?")</f>
        <v>चित्र में दिखाए गए खेल के अनुसार, प्रतिद्वंद्वी को टैग करने के बाद खिलाड़ी आमतौर पर क्या करता है?</v>
      </c>
      <c r="J100" s="8" t="str">
        <f>IFERROR(__xludf.DUMMYFUNCTION("GOOGLETRANSLATE(D100, ""en"", ""hi"")"),"a) बेस की ओर वापस दौड़ता है, b) स्थिर खड़ा रहता है, c) आराम करता है, d) टीम के साथ जश्न मनाता है")</f>
        <v>a) बेस की ओर वापस दौड़ता है, b) स्थिर खड़ा रहता है, c) आराम करता है, d) टीम के साथ जश्न मनाता है</v>
      </c>
      <c r="K100" s="8" t="str">
        <f>IFERROR(__xludf.DUMMYFUNCTION("GOOGLETRANSLATE(E100, ""en"", ""hi"")"),"a) बेस की ओर वापस दौड़ता है")</f>
        <v>a) बेस की ओर वापस दौड़ता है</v>
      </c>
    </row>
    <row r="101" ht="22.5" customHeight="1">
      <c r="A101" s="2">
        <v>100.0</v>
      </c>
      <c r="B101" s="3" t="s">
        <v>2587</v>
      </c>
      <c r="C101" s="3" t="s">
        <v>2597</v>
      </c>
      <c r="D101" s="3" t="s">
        <v>2598</v>
      </c>
      <c r="E101" s="3" t="s">
        <v>2599</v>
      </c>
      <c r="G101" s="8" t="str">
        <f>IFERROR(__xludf.DUMMYFUNCTION("GOOGLETRANSLATE(A101, ""en"", ""hi"")"),"100")</f>
        <v>100</v>
      </c>
      <c r="H101" s="8" t="str">
        <f>IFERROR(__xludf.DUMMYFUNCTION("GOOGLETRANSLATE(B101, ""en"", ""hi"")"),"धोप_खेल_25")</f>
        <v>धोप_खेल_25</v>
      </c>
      <c r="I101" s="8" t="str">
        <f>IFERROR(__xludf.DUMMYFUNCTION("GOOGLETRANSLATE(C101, ""en"", ""hi"")"),"चित्र में दिखाए गए खेल में से किसी खिलाड़ी में कौन सा गुण सबसे अधिक प्रशंसनीय है?")</f>
        <v>चित्र में दिखाए गए खेल में से किसी खिलाड़ी में कौन सा गुण सबसे अधिक प्रशंसनीय है?</v>
      </c>
      <c r="J101" s="8" t="str">
        <f>IFERROR(__xludf.DUMMYFUNCTION("GOOGLETRANSLATE(D101, ""en"", ""hi"")"),"a) बहादुरी, b) बुद्धिमत्ता, c) गति, d) खेल भावना")</f>
        <v>a) बहादुरी, b) बुद्धिमत्ता, c) गति, d) खेल भावना</v>
      </c>
      <c r="K101" s="8" t="str">
        <f>IFERROR(__xludf.DUMMYFUNCTION("GOOGLETRANSLATE(E101, ""en"", ""hi"")"),"घ) खेल भावना")</f>
        <v>घ) खेल भावना</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31.63"/>
    <col customWidth="1" min="9" max="10" width="37.63"/>
    <col customWidth="1" min="11" max="11" width="26.5"/>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2600</v>
      </c>
      <c r="C2" s="3" t="s">
        <v>2601</v>
      </c>
      <c r="D2" s="3" t="s">
        <v>2602</v>
      </c>
      <c r="E2" s="3" t="s">
        <v>2603</v>
      </c>
      <c r="G2" s="8" t="str">
        <f>IFERROR(__xludf.DUMMYFUNCTION("GOOGLETRANSLATE(A2, ""en"", ""hi"")"),"1")</f>
        <v>1</v>
      </c>
      <c r="H2" s="8" t="str">
        <f>IFERROR(__xludf.DUMMYFUNCTION("GOOGLETRANSLATE(B2, ""en"", ""hi"")"),"कांचे_1")</f>
        <v>कांचे_1</v>
      </c>
      <c r="I2" s="8" t="str">
        <f>IFERROR(__xludf.DUMMYFUNCTION("GOOGLETRANSLATE(C2, ""en"", ""hi"")"),"चित्र में दिखाए गए खेल से संबंधित खेल वस्तुएं आमतौर पर किस सामग्री से बनी होती हैं?")</f>
        <v>चित्र में दिखाए गए खेल से संबंधित खेल वस्तुएं आमतौर पर किस सामग्री से बनी होती हैं?</v>
      </c>
      <c r="J2" s="8" t="str">
        <f>IFERROR(__xludf.DUMMYFUNCTION("GOOGLETRANSLATE(D2, ""en"", ""hi"")"),"a) कांच, b) लकड़ी, c) धातु, d) प्लास्टिक")</f>
        <v>a) कांच, b) लकड़ी, c) धातु, d) प्लास्टिक</v>
      </c>
      <c r="K2" s="8" t="str">
        <f>IFERROR(__xludf.DUMMYFUNCTION("GOOGLETRANSLATE(E2, ""en"", ""hi"")"),"क) कांच")</f>
        <v>क) कांच</v>
      </c>
    </row>
    <row r="3" ht="22.5" customHeight="1">
      <c r="A3" s="2">
        <v>2.0</v>
      </c>
      <c r="B3" s="3" t="s">
        <v>2600</v>
      </c>
      <c r="C3" s="3" t="s">
        <v>2604</v>
      </c>
      <c r="D3" s="3" t="s">
        <v>2605</v>
      </c>
      <c r="E3" s="3" t="s">
        <v>2606</v>
      </c>
      <c r="G3" s="8" t="str">
        <f>IFERROR(__xludf.DUMMYFUNCTION("GOOGLETRANSLATE(A3, ""en"", ""hi"")"),"2")</f>
        <v>2</v>
      </c>
      <c r="H3" s="8" t="str">
        <f>IFERROR(__xludf.DUMMYFUNCTION("GOOGLETRANSLATE(B3, ""en"", ""hi"")"),"कांचे_1")</f>
        <v>कांचे_1</v>
      </c>
      <c r="I3" s="8" t="str">
        <f>IFERROR(__xludf.DUMMYFUNCTION("GOOGLETRANSLATE(C3, ""en"", ""hi"")"),"चित्र में दिखाए गए खेल से, प्राथमिक उद्देश्य क्या है?")</f>
        <v>चित्र में दिखाए गए खेल से, प्राथमिक उद्देश्य क्या है?</v>
      </c>
      <c r="J3" s="8" t="str">
        <f>IFERROR(__xludf.DUMMYFUNCTION("GOOGLETRANSLATE(D3, ""en"", ""hi"")"),"क) अन्य वस्तुओं को मारना, ख) अंक अर्जित करना, ग) अधिक वस्तुओं को एकत्रित करना, घ) गोल की रक्षा करना")</f>
        <v>क) अन्य वस्तुओं को मारना, ख) अंक अर्जित करना, ग) अधिक वस्तुओं को एकत्रित करना, घ) गोल की रक्षा करना</v>
      </c>
      <c r="K3" s="8" t="str">
        <f>IFERROR(__xludf.DUMMYFUNCTION("GOOGLETRANSLATE(E3, ""en"", ""hi"")"),"c) अधिक वस्तुएँ एकत्रित करना")</f>
        <v>c) अधिक वस्तुएँ एकत्रित करना</v>
      </c>
    </row>
    <row r="4" ht="22.5" customHeight="1">
      <c r="A4" s="2">
        <v>3.0</v>
      </c>
      <c r="B4" s="3" t="s">
        <v>2600</v>
      </c>
      <c r="C4" s="3" t="s">
        <v>2607</v>
      </c>
      <c r="D4" s="3" t="s">
        <v>2608</v>
      </c>
      <c r="E4" s="3" t="s">
        <v>2609</v>
      </c>
      <c r="G4" s="8" t="str">
        <f>IFERROR(__xludf.DUMMYFUNCTION("GOOGLETRANSLATE(A4, ""en"", ""hi"")"),"3")</f>
        <v>3</v>
      </c>
      <c r="H4" s="8" t="str">
        <f>IFERROR(__xludf.DUMMYFUNCTION("GOOGLETRANSLATE(B4, ""en"", ""hi"")"),"कांचे_1")</f>
        <v>कांचे_1</v>
      </c>
      <c r="I4" s="8" t="str">
        <f>IFERROR(__xludf.DUMMYFUNCTION("GOOGLETRANSLATE(C4, ""en"", ""hi"")"),"चित्र में दिखाए गए खेल में खिलाड़ियों की मानक संख्या कितनी होनी चाहिए?")</f>
        <v>चित्र में दिखाए गए खेल में खिलाड़ियों की मानक संख्या कितनी होनी चाहिए?</v>
      </c>
      <c r="J4" s="8" t="str">
        <f>IFERROR(__xludf.DUMMYFUNCTION("GOOGLETRANSLATE(D4, ""en"", ""hi"")"),"ए) 2, बी) 4, सी) 6, डी) 8")</f>
        <v>ए) 2, बी) 4, सी) 6, डी) 8</v>
      </c>
      <c r="K4" s="8" t="str">
        <f>IFERROR(__xludf.DUMMYFUNCTION("GOOGLETRANSLATE(E4, ""en"", ""hi"")"),"क) 2")</f>
        <v>क) 2</v>
      </c>
    </row>
    <row r="5" ht="22.5" customHeight="1">
      <c r="A5" s="2">
        <v>4.0</v>
      </c>
      <c r="B5" s="3" t="s">
        <v>2600</v>
      </c>
      <c r="C5" s="3" t="s">
        <v>2610</v>
      </c>
      <c r="D5" s="3" t="s">
        <v>2611</v>
      </c>
      <c r="E5" s="3" t="s">
        <v>2612</v>
      </c>
      <c r="G5" s="8" t="str">
        <f>IFERROR(__xludf.DUMMYFUNCTION("GOOGLETRANSLATE(A5, ""en"", ""hi"")"),"4")</f>
        <v>4</v>
      </c>
      <c r="H5" s="8" t="str">
        <f>IFERROR(__xludf.DUMMYFUNCTION("GOOGLETRANSLATE(B5, ""en"", ""hi"")"),"कांचे_1")</f>
        <v>कांचे_1</v>
      </c>
      <c r="I5" s="8" t="str">
        <f>IFERROR(__xludf.DUMMYFUNCTION("GOOGLETRANSLATE(C5, ""en"", ""hi"")"),"चित्र में दिखाए गए खेल से, ज़मीन पर खींचे गए छोटे वृत्तों के लिए आमतौर पर प्रयुक्त शब्द क्या है?")</f>
        <v>चित्र में दिखाए गए खेल से, ज़मीन पर खींचे गए छोटे वृत्तों के लिए आमतौर पर प्रयुक्त शब्द क्या है?</v>
      </c>
      <c r="J5" s="8" t="str">
        <f>IFERROR(__xludf.DUMMYFUNCTION("GOOGLETRANSLATE(D5, ""en"", ""hi"")"),"ए) कंचे, बी) सर्कल, सी) डब्बा, डी) गड्ढा")</f>
        <v>ए) कंचे, बी) सर्कल, सी) डब्बा, डी) गड्ढा</v>
      </c>
      <c r="K5" s="8" t="str">
        <f>IFERROR(__xludf.DUMMYFUNCTION("GOOGLETRANSLATE(E5, ""en"", ""hi"")"),"ग) डब्बा")</f>
        <v>ग) डब्बा</v>
      </c>
    </row>
    <row r="6" ht="22.5" customHeight="1">
      <c r="A6" s="2">
        <v>5.0</v>
      </c>
      <c r="B6" s="3" t="s">
        <v>2613</v>
      </c>
      <c r="C6" s="3" t="s">
        <v>2614</v>
      </c>
      <c r="D6" s="3" t="s">
        <v>2615</v>
      </c>
      <c r="E6" s="3" t="s">
        <v>2616</v>
      </c>
      <c r="G6" s="8" t="str">
        <f>IFERROR(__xludf.DUMMYFUNCTION("GOOGLETRANSLATE(A6, ""en"", ""hi"")"),"5")</f>
        <v>5</v>
      </c>
      <c r="H6" s="8" t="str">
        <f>IFERROR(__xludf.DUMMYFUNCTION("GOOGLETRANSLATE(B6, ""en"", ""hi"")"),"कांचे_2")</f>
        <v>कांचे_2</v>
      </c>
      <c r="I6" s="8" t="str">
        <f>IFERROR(__xludf.DUMMYFUNCTION("GOOGLETRANSLATE(C6, ""en"", ""hi"")"),"चित्र में दिखाए गए खेल में उत्कृष्टता प्राप्त करने के लिए मुख्यतः किस कौशल की आवश्यकता होती है?")</f>
        <v>चित्र में दिखाए गए खेल में उत्कृष्टता प्राप्त करने के लिए मुख्यतः किस कौशल की आवश्यकता होती है?</v>
      </c>
      <c r="J6" s="8" t="str">
        <f>IFERROR(__xludf.DUMMYFUNCTION("GOOGLETRANSLATE(D6, ""en"", ""hi"")"),"a) सटीकता, b) गति, c) शक्ति, d) धीरज")</f>
        <v>a) सटीकता, b) गति, c) शक्ति, d) धीरज</v>
      </c>
      <c r="K6" s="8" t="str">
        <f>IFERROR(__xludf.DUMMYFUNCTION("GOOGLETRANSLATE(E6, ""en"", ""hi"")"),"क) सटीकता")</f>
        <v>क) सटीकता</v>
      </c>
    </row>
    <row r="7" ht="22.5" customHeight="1">
      <c r="A7" s="2">
        <v>6.0</v>
      </c>
      <c r="B7" s="3" t="s">
        <v>2613</v>
      </c>
      <c r="C7" s="3" t="s">
        <v>2617</v>
      </c>
      <c r="D7" s="3" t="s">
        <v>2618</v>
      </c>
      <c r="E7" s="3" t="s">
        <v>2619</v>
      </c>
      <c r="G7" s="8" t="str">
        <f>IFERROR(__xludf.DUMMYFUNCTION("GOOGLETRANSLATE(A7, ""en"", ""hi"")"),"6")</f>
        <v>6</v>
      </c>
      <c r="H7" s="8" t="str">
        <f>IFERROR(__xludf.DUMMYFUNCTION("GOOGLETRANSLATE(B7, ""en"", ""hi"")"),"कांचे_2")</f>
        <v>कांचे_2</v>
      </c>
      <c r="I7" s="8" t="str">
        <f>IFERROR(__xludf.DUMMYFUNCTION("GOOGLETRANSLATE(C7, ""en"", ""hi"")"),"चित्र में दिखाए गए खेल में से, खेलने के लिए शरीर का कौन सा अंग सबसे अधिक उपयोग किया जाता है?")</f>
        <v>चित्र में दिखाए गए खेल में से, खेलने के लिए शरीर का कौन सा अंग सबसे अधिक उपयोग किया जाता है?</v>
      </c>
      <c r="J7" s="8" t="str">
        <f>IFERROR(__xludf.DUMMYFUNCTION("GOOGLETRANSLATE(D7, ""en"", ""hi"")"),"a) हाथ, b) पैर, c) कोहनी, d) घुटना")</f>
        <v>a) हाथ, b) पैर, c) कोहनी, d) घुटना</v>
      </c>
      <c r="K7" s="8" t="str">
        <f>IFERROR(__xludf.DUMMYFUNCTION("GOOGLETRANSLATE(E7, ""en"", ""hi"")"),"क) हाथ")</f>
        <v>क) हाथ</v>
      </c>
    </row>
    <row r="8" ht="22.5" customHeight="1">
      <c r="A8" s="2">
        <v>7.0</v>
      </c>
      <c r="B8" s="3" t="s">
        <v>2613</v>
      </c>
      <c r="C8" s="3" t="s">
        <v>2620</v>
      </c>
      <c r="D8" s="3" t="s">
        <v>2621</v>
      </c>
      <c r="E8" s="3" t="s">
        <v>2622</v>
      </c>
      <c r="G8" s="8" t="str">
        <f>IFERROR(__xludf.DUMMYFUNCTION("GOOGLETRANSLATE(A8, ""en"", ""hi"")"),"7")</f>
        <v>7</v>
      </c>
      <c r="H8" s="8" t="str">
        <f>IFERROR(__xludf.DUMMYFUNCTION("GOOGLETRANSLATE(B8, ""en"", ""hi"")"),"कांचे_2")</f>
        <v>कांचे_2</v>
      </c>
      <c r="I8" s="8" t="str">
        <f>IFERROR(__xludf.DUMMYFUNCTION("GOOGLETRANSLATE(C8, ""en"", ""hi"")"),"चित्र में दिखाए गए खेल में से कौन सी रणनीति किसी खिलाड़ी की जीत की संभावना बढ़ाएगी?")</f>
        <v>चित्र में दिखाए गए खेल में से कौन सी रणनीति किसी खिलाड़ी की जीत की संभावना बढ़ाएगी?</v>
      </c>
      <c r="J8" s="8" t="str">
        <f>IFERROR(__xludf.DUMMYFUNCTION("GOOGLETRANSLATE(D8, ""en"", ""hi"")"),"क) लक्ष्य पर सटीकता से प्रहार करना, ख) प्रतिद्वंद्वी का ध्यान भटकाना, ग) तेजी से आगे बढ़ना, घ) क्षेत्र की रक्षा करना")</f>
        <v>क) लक्ष्य पर सटीकता से प्रहार करना, ख) प्रतिद्वंद्वी का ध्यान भटकाना, ग) तेजी से आगे बढ़ना, घ) क्षेत्र की रक्षा करना</v>
      </c>
      <c r="K8" s="8" t="str">
        <f>IFERROR(__xludf.DUMMYFUNCTION("GOOGLETRANSLATE(E8, ""en"", ""hi"")"),"क) लक्ष्य पर सटीकता से प्रहार करना")</f>
        <v>क) लक्ष्य पर सटीकता से प्रहार करना</v>
      </c>
    </row>
    <row r="9" ht="22.5" customHeight="1">
      <c r="A9" s="2">
        <v>8.0</v>
      </c>
      <c r="B9" s="3" t="s">
        <v>2613</v>
      </c>
      <c r="C9" s="3" t="s">
        <v>2623</v>
      </c>
      <c r="D9" s="3" t="s">
        <v>2624</v>
      </c>
      <c r="E9" s="3" t="s">
        <v>2625</v>
      </c>
      <c r="G9" s="8" t="str">
        <f>IFERROR(__xludf.DUMMYFUNCTION("GOOGLETRANSLATE(A9, ""en"", ""hi"")"),"8")</f>
        <v>8</v>
      </c>
      <c r="H9" s="8" t="str">
        <f>IFERROR(__xludf.DUMMYFUNCTION("GOOGLETRANSLATE(B9, ""en"", ""hi"")"),"कांचे_2")</f>
        <v>कांचे_2</v>
      </c>
      <c r="I9" s="8" t="str">
        <f>IFERROR(__xludf.DUMMYFUNCTION("GOOGLETRANSLATE(C9, ""en"", ""hi"")"),"चित्र में दिखाए गए खेल से, खिलाड़ी आमतौर पर कितनी दूरी से निशाना लगाते हैं?")</f>
        <v>चित्र में दिखाए गए खेल से, खिलाड़ी आमतौर पर कितनी दूरी से निशाना लगाते हैं?</v>
      </c>
      <c r="J9" s="8" t="str">
        <f>IFERROR(__xludf.DUMMYFUNCTION("GOOGLETRANSLATE(D9, ""en"", ""hi"")"),"a) निकट दूरी, b) मध्यम दूरी, c) लंबी दूरी, d) खेल के अनुसार भिन्न होता है")</f>
        <v>a) निकट दूरी, b) मध्यम दूरी, c) लंबी दूरी, d) खेल के अनुसार भिन्न होता है</v>
      </c>
      <c r="K9" s="8" t="str">
        <f>IFERROR(__xludf.DUMMYFUNCTION("GOOGLETRANSLATE(E9, ""en"", ""hi"")"),"d) खेल के अनुसार भिन्न होता है")</f>
        <v>d) खेल के अनुसार भिन्न होता है</v>
      </c>
    </row>
    <row r="10" ht="22.5" customHeight="1">
      <c r="A10" s="2">
        <v>9.0</v>
      </c>
      <c r="B10" s="3" t="s">
        <v>2626</v>
      </c>
      <c r="C10" s="3" t="s">
        <v>2627</v>
      </c>
      <c r="D10" s="3" t="s">
        <v>2628</v>
      </c>
      <c r="E10" s="3" t="s">
        <v>2629</v>
      </c>
      <c r="G10" s="8" t="str">
        <f>IFERROR(__xludf.DUMMYFUNCTION("GOOGLETRANSLATE(A10, ""en"", ""hi"")"),"9")</f>
        <v>9</v>
      </c>
      <c r="H10" s="8" t="str">
        <f>IFERROR(__xludf.DUMMYFUNCTION("GOOGLETRANSLATE(B10, ""en"", ""hi"")"),"कांचे_3")</f>
        <v>कांचे_3</v>
      </c>
      <c r="I10" s="8" t="str">
        <f>IFERROR(__xludf.DUMMYFUNCTION("GOOGLETRANSLATE(C10, ""en"", ""hi"")"),"चित्र में दिखाए गए खेल से, आमतौर पर मोड़ कैसे निर्धारित किए जाते हैं?")</f>
        <v>चित्र में दिखाए गए खेल से, आमतौर पर मोड़ कैसे निर्धारित किए जाते हैं?</v>
      </c>
      <c r="J10" s="8" t="str">
        <f>IFERROR(__xludf.DUMMYFUNCTION("GOOGLETRANSLATE(D10, ""en"", ""hi"")"),"a) लॉटरी द्वारा, b) जज द्वारा, c) सहमति से, d) पिछला राउंड जीतकर")</f>
        <v>a) लॉटरी द्वारा, b) जज द्वारा, c) सहमति से, d) पिछला राउंड जीतकर</v>
      </c>
      <c r="K10" s="8" t="str">
        <f>IFERROR(__xludf.DUMMYFUNCTION("GOOGLETRANSLATE(E10, ""en"", ""hi"")"),"ग) समझौते से")</f>
        <v>ग) समझौते से</v>
      </c>
    </row>
    <row r="11" ht="22.5" customHeight="1">
      <c r="A11" s="2">
        <v>10.0</v>
      </c>
      <c r="B11" s="3" t="s">
        <v>2626</v>
      </c>
      <c r="C11" s="3" t="s">
        <v>2630</v>
      </c>
      <c r="D11" s="3" t="s">
        <v>2631</v>
      </c>
      <c r="E11" s="3" t="s">
        <v>2632</v>
      </c>
      <c r="G11" s="8" t="str">
        <f>IFERROR(__xludf.DUMMYFUNCTION("GOOGLETRANSLATE(A11, ""en"", ""hi"")"),"10")</f>
        <v>10</v>
      </c>
      <c r="H11" s="8" t="str">
        <f>IFERROR(__xludf.DUMMYFUNCTION("GOOGLETRANSLATE(B11, ""en"", ""hi"")"),"कांचे_3")</f>
        <v>कांचे_3</v>
      </c>
      <c r="I11" s="8" t="str">
        <f>IFERROR(__xludf.DUMMYFUNCTION("GOOGLETRANSLATE(C11, ""en"", ""hi"")"),"चित्र में दिखाए गए खेल के अनुसार, जब कोई खिलाड़ी किसी अन्य वस्तु पर सफलतापूर्वक प्रहार करता है तो क्या होता है?")</f>
        <v>चित्र में दिखाए गए खेल के अनुसार, जब कोई खिलाड़ी किसी अन्य वस्तु पर सफलतापूर्वक प्रहार करता है तो क्या होता है?</v>
      </c>
      <c r="J11" s="8" t="str">
        <f>IFERROR(__xludf.DUMMYFUNCTION("GOOGLETRANSLATE(D11, ""en"", ""hi"")"),"a) उन्हें एक और बारी मिलती है, b) वे खेल जीत जाते हैं, c) खेल समाप्त हो जाता है, d) वे अपनी बारी खो देते हैं")</f>
        <v>a) उन्हें एक और बारी मिलती है, b) वे खेल जीत जाते हैं, c) खेल समाप्त हो जाता है, d) वे अपनी बारी खो देते हैं</v>
      </c>
      <c r="K11" s="8" t="str">
        <f>IFERROR(__xludf.DUMMYFUNCTION("GOOGLETRANSLATE(E11, ""en"", ""hi"")"),"a) उन्हें एक और बारी मिलती है")</f>
        <v>a) उन्हें एक और बारी मिलती है</v>
      </c>
    </row>
    <row r="12" ht="22.5" customHeight="1">
      <c r="A12" s="2">
        <v>11.0</v>
      </c>
      <c r="B12" s="3" t="s">
        <v>2626</v>
      </c>
      <c r="C12" s="3" t="s">
        <v>2633</v>
      </c>
      <c r="D12" s="3" t="s">
        <v>2634</v>
      </c>
      <c r="E12" s="3" t="s">
        <v>2635</v>
      </c>
      <c r="G12" s="8" t="str">
        <f>IFERROR(__xludf.DUMMYFUNCTION("GOOGLETRANSLATE(A12, ""en"", ""hi"")"),"11")</f>
        <v>11</v>
      </c>
      <c r="H12" s="8" t="str">
        <f>IFERROR(__xludf.DUMMYFUNCTION("GOOGLETRANSLATE(B12, ""en"", ""hi"")"),"कांचे_3")</f>
        <v>कांचे_3</v>
      </c>
      <c r="I12" s="8" t="str">
        <f>IFERROR(__xludf.DUMMYFUNCTION("GOOGLETRANSLATE(C12, ""en"", ""hi"")"),"चित्र में दिखाए गए खेल में से किस प्रकार की सतह खेलने के लिए सबसे उपयुक्त है?")</f>
        <v>चित्र में दिखाए गए खेल में से किस प्रकार की सतह खेलने के लिए सबसे उपयुक्त है?</v>
      </c>
      <c r="J12" s="8" t="str">
        <f>IFERROR(__xludf.DUMMYFUNCTION("GOOGLETRANSLATE(D12, ""en"", ""hi"")"),"a) चिकना और कठोर, b) खुरदुरा और असमान, c) गीला और मुलायम, d) घास जैसा और मुलायम")</f>
        <v>a) चिकना और कठोर, b) खुरदुरा और असमान, c) गीला और मुलायम, d) घास जैसा और मुलायम</v>
      </c>
      <c r="K12" s="8" t="str">
        <f>IFERROR(__xludf.DUMMYFUNCTION("GOOGLETRANSLATE(E12, ""en"", ""hi"")"),"क) चिकना और कठोर")</f>
        <v>क) चिकना और कठोर</v>
      </c>
    </row>
    <row r="13" ht="22.5" customHeight="1">
      <c r="A13" s="2">
        <v>12.0</v>
      </c>
      <c r="B13" s="3" t="s">
        <v>2626</v>
      </c>
      <c r="C13" s="3" t="s">
        <v>2636</v>
      </c>
      <c r="D13" s="3" t="s">
        <v>2637</v>
      </c>
      <c r="E13" s="3" t="s">
        <v>2638</v>
      </c>
      <c r="G13" s="8" t="str">
        <f>IFERROR(__xludf.DUMMYFUNCTION("GOOGLETRANSLATE(A13, ""en"", ""hi"")"),"12")</f>
        <v>12</v>
      </c>
      <c r="H13" s="8" t="str">
        <f>IFERROR(__xludf.DUMMYFUNCTION("GOOGLETRANSLATE(B13, ""en"", ""hi"")"),"कांचे_3")</f>
        <v>कांचे_3</v>
      </c>
      <c r="I13" s="8" t="str">
        <f>IFERROR(__xludf.DUMMYFUNCTION("GOOGLETRANSLATE(C13, ""en"", ""hi"")"),"चित्र में दिखाए गए खेल के अनुसार, शॉट चूकने का क्या परिणाम होता है?")</f>
        <v>चित्र में दिखाए गए खेल के अनुसार, शॉट चूकने का क्या परिणाम होता है?</v>
      </c>
      <c r="J13" s="8" t="str">
        <f>IFERROR(__xludf.DUMMYFUNCTION("GOOGLETRANSLATE(D13, ""en"", ""hi"")"),"a) एक बारी खोना, b) अंक खोना, c) खेल समाप्त करना, d) फिर से शुरू करना")</f>
        <v>a) एक बारी खोना, b) अंक खोना, c) खेल समाप्त करना, d) फिर से शुरू करना</v>
      </c>
      <c r="K13" s="8" t="str">
        <f>IFERROR(__xludf.DUMMYFUNCTION("GOOGLETRANSLATE(E13, ""en"", ""hi"")"),"a) एक बारी खोना")</f>
        <v>a) एक बारी खोना</v>
      </c>
    </row>
    <row r="14" ht="22.5" customHeight="1">
      <c r="A14" s="2">
        <v>13.0</v>
      </c>
      <c r="B14" s="3" t="s">
        <v>2639</v>
      </c>
      <c r="C14" s="3" t="s">
        <v>2640</v>
      </c>
      <c r="D14" s="3" t="s">
        <v>2641</v>
      </c>
      <c r="E14" s="3" t="s">
        <v>2642</v>
      </c>
      <c r="G14" s="8" t="str">
        <f>IFERROR(__xludf.DUMMYFUNCTION("GOOGLETRANSLATE(A14, ""en"", ""hi"")"),"13")</f>
        <v>13</v>
      </c>
      <c r="H14" s="8" t="str">
        <f>IFERROR(__xludf.DUMMYFUNCTION("GOOGLETRANSLATE(B14, ""en"", ""hi"")"),"कांचे_4")</f>
        <v>कांचे_4</v>
      </c>
      <c r="I14" s="8" t="str">
        <f>IFERROR(__xludf.DUMMYFUNCTION("GOOGLETRANSLATE(C14, ""en"", ""hi"")"),"चित्र में दिखाए गए खेल से, वस्तु को प्रक्षेपित करने के लिए सबसे अधिक किस तकनीक का उपयोग किया जाता है?")</f>
        <v>चित्र में दिखाए गए खेल से, वस्तु को प्रक्षेपित करने के लिए सबसे अधिक किस तकनीक का उपयोग किया जाता है?</v>
      </c>
      <c r="J14" s="8" t="str">
        <f>IFERROR(__xludf.DUMMYFUNCTION("GOOGLETRANSLATE(D14, ""en"", ""hi"")"),"क) अंगूठे से झटका देना, ख) हाथ से फेंकना, ग) पैर से लात मारना, घ) हथेली से धक्का देना")</f>
        <v>क) अंगूठे से झटका देना, ख) हाथ से फेंकना, ग) पैर से लात मारना, घ) हथेली से धक्का देना</v>
      </c>
      <c r="K14" s="8" t="str">
        <f>IFERROR(__xludf.DUMMYFUNCTION("GOOGLETRANSLATE(E14, ""en"", ""hi"")"),"क) अंगूठे से झटका देना")</f>
        <v>क) अंगूठे से झटका देना</v>
      </c>
    </row>
    <row r="15" ht="22.5" customHeight="1">
      <c r="A15" s="2">
        <v>14.0</v>
      </c>
      <c r="B15" s="3" t="s">
        <v>2639</v>
      </c>
      <c r="C15" s="3" t="s">
        <v>2643</v>
      </c>
      <c r="D15" s="3" t="s">
        <v>2644</v>
      </c>
      <c r="E15" s="3" t="s">
        <v>2645</v>
      </c>
      <c r="G15" s="8" t="str">
        <f>IFERROR(__xludf.DUMMYFUNCTION("GOOGLETRANSLATE(A15, ""en"", ""hi"")"),"14")</f>
        <v>14</v>
      </c>
      <c r="H15" s="8" t="str">
        <f>IFERROR(__xludf.DUMMYFUNCTION("GOOGLETRANSLATE(B15, ""en"", ""hi"")"),"कांचे_4")</f>
        <v>कांचे_4</v>
      </c>
      <c r="I15" s="8" t="str">
        <f>IFERROR(__xludf.DUMMYFUNCTION("GOOGLETRANSLATE(C15, ""en"", ""hi"")"),"चित्र में दिखाए गए खेल में से कौन सा कारक शॉट के प्रक्षेप पथ को प्रभावित करने की सबसे अधिक संभावना रखता है?")</f>
        <v>चित्र में दिखाए गए खेल में से कौन सा कारक शॉट के प्रक्षेप पथ को प्रभावित करने की सबसे अधिक संभावना रखता है?</v>
      </c>
      <c r="J15" s="8" t="str">
        <f>IFERROR(__xludf.DUMMYFUNCTION("GOOGLETRANSLATE(D15, ""en"", ""hi"")"),"a) लगाया गया बल, b) वस्तु का रंग, c) दिन का समय, d) खिलाड़ियों की संख्या")</f>
        <v>a) लगाया गया बल, b) वस्तु का रंग, c) दिन का समय, d) खिलाड़ियों की संख्या</v>
      </c>
      <c r="K15" s="8" t="str">
        <f>IFERROR(__xludf.DUMMYFUNCTION("GOOGLETRANSLATE(E15, ""en"", ""hi"")"),"a) लगाया गया बल")</f>
        <v>a) लगाया गया बल</v>
      </c>
    </row>
    <row r="16" ht="22.5" customHeight="1">
      <c r="A16" s="2">
        <v>15.0</v>
      </c>
      <c r="B16" s="3" t="s">
        <v>2639</v>
      </c>
      <c r="C16" s="3" t="s">
        <v>2646</v>
      </c>
      <c r="D16" s="3" t="s">
        <v>2647</v>
      </c>
      <c r="E16" s="3" t="s">
        <v>2648</v>
      </c>
      <c r="G16" s="8" t="str">
        <f>IFERROR(__xludf.DUMMYFUNCTION("GOOGLETRANSLATE(A16, ""en"", ""hi"")"),"15")</f>
        <v>15</v>
      </c>
      <c r="H16" s="8" t="str">
        <f>IFERROR(__xludf.DUMMYFUNCTION("GOOGLETRANSLATE(B16, ""en"", ""hi"")"),"कांचे_4")</f>
        <v>कांचे_4</v>
      </c>
      <c r="I16" s="8" t="str">
        <f>IFERROR(__xludf.DUMMYFUNCTION("GOOGLETRANSLATE(C16, ""en"", ""hi"")"),"चित्र में दिखाए गए खेल के अनुसार, जब किसी खिलाड़ी की बारी आती है तो उसका लक्ष्य क्या होता है?")</f>
        <v>चित्र में दिखाए गए खेल के अनुसार, जब किसी खिलाड़ी की बारी आती है तो उसका लक्ष्य क्या होता है?</v>
      </c>
      <c r="J16" s="8" t="str">
        <f>IFERROR(__xludf.DUMMYFUNCTION("GOOGLETRANSLATE(D16, ""en"", ""hi"")"),"a) वस्तुओं को मारना और इकट्ठा करना, b) सभी वस्तुओं को दूर करना, c) वस्तुओं को संतुलित करना, d) वस्तुओं को छिपाना")</f>
        <v>a) वस्तुओं को मारना और इकट्ठा करना, b) सभी वस्तुओं को दूर करना, c) वस्तुओं को संतुलित करना, d) वस्तुओं को छिपाना</v>
      </c>
      <c r="K16" s="8" t="str">
        <f>IFERROR(__xludf.DUMMYFUNCTION("GOOGLETRANSLATE(E16, ""en"", ""hi"")"),"a) वस्तुओं को मारना और इकट्ठा करना")</f>
        <v>a) वस्तुओं को मारना और इकट्ठा करना</v>
      </c>
    </row>
    <row r="17" ht="22.5" customHeight="1">
      <c r="A17" s="2">
        <v>16.0</v>
      </c>
      <c r="B17" s="3" t="s">
        <v>2639</v>
      </c>
      <c r="C17" s="3" t="s">
        <v>2649</v>
      </c>
      <c r="D17" s="3" t="s">
        <v>2650</v>
      </c>
      <c r="E17" s="3" t="s">
        <v>2651</v>
      </c>
      <c r="G17" s="8" t="str">
        <f>IFERROR(__xludf.DUMMYFUNCTION("GOOGLETRANSLATE(A17, ""en"", ""hi"")"),"16")</f>
        <v>16</v>
      </c>
      <c r="H17" s="8" t="str">
        <f>IFERROR(__xludf.DUMMYFUNCTION("GOOGLETRANSLATE(B17, ""en"", ""hi"")"),"कांचे_4")</f>
        <v>कांचे_4</v>
      </c>
      <c r="I17" s="8" t="str">
        <f>IFERROR(__xludf.DUMMYFUNCTION("GOOGLETRANSLATE(C17, ""en"", ""hi"")"),"चित्र में दिखाए गए खेल से विजेता का निर्णय आमतौर पर कैसे होता है?")</f>
        <v>चित्र में दिखाए गए खेल से विजेता का निर्णय आमतौर पर कैसे होता है?</v>
      </c>
      <c r="J17" s="8" t="str">
        <f>IFERROR(__xludf.DUMMYFUNCTION("GOOGLETRANSLATE(D17, ""en"", ""hi"")"),"a) सबसे अधिक वस्तुएँ एकत्रित करके, b) एक विशिष्ट स्कोर तक पहुँचकर, c) खेल को पहले पूरा करके, d) सभी विरोधियों को समाप्त करके")</f>
        <v>a) सबसे अधिक वस्तुएँ एकत्रित करके, b) एक विशिष्ट स्कोर तक पहुँचकर, c) खेल को पहले पूरा करके, d) सभी विरोधियों को समाप्त करके</v>
      </c>
      <c r="K17" s="8" t="str">
        <f>IFERROR(__xludf.DUMMYFUNCTION("GOOGLETRANSLATE(E17, ""en"", ""hi"")"),"a) सबसे अधिक वस्तुएँ एकत्रित करके")</f>
        <v>a) सबसे अधिक वस्तुएँ एकत्रित करके</v>
      </c>
    </row>
    <row r="18" ht="22.5" customHeight="1">
      <c r="A18" s="2">
        <v>17.0</v>
      </c>
      <c r="B18" s="3" t="s">
        <v>2652</v>
      </c>
      <c r="C18" s="3" t="s">
        <v>2653</v>
      </c>
      <c r="D18" s="3" t="s">
        <v>2654</v>
      </c>
      <c r="E18" s="3" t="s">
        <v>2655</v>
      </c>
      <c r="G18" s="8" t="str">
        <f>IFERROR(__xludf.DUMMYFUNCTION("GOOGLETRANSLATE(A18, ""en"", ""hi"")"),"17")</f>
        <v>17</v>
      </c>
      <c r="H18" s="8" t="str">
        <f>IFERROR(__xludf.DUMMYFUNCTION("GOOGLETRANSLATE(B18, ""en"", ""hi"")"),"कांचे_5")</f>
        <v>कांचे_5</v>
      </c>
      <c r="I18" s="8" t="str">
        <f>IFERROR(__xludf.DUMMYFUNCTION("GOOGLETRANSLATE(C18, ""en"", ""hi"")"),"चित्र में दिखाए गए खेल में से किस प्रकार का शॉट सबसे कठिन माना जाएगा?")</f>
        <v>चित्र में दिखाए गए खेल में से किस प्रकार का शॉट सबसे कठिन माना जाएगा?</v>
      </c>
      <c r="J18" s="8" t="str">
        <f>IFERROR(__xludf.DUMMYFUNCTION("GOOGLETRANSLATE(D18, ""en"", ""hi"")"),"a) लंबी दूरी का शॉट, b) नज़दीकी शॉट, c) साइडवेज़ शॉट, d) अंडरहैंड शॉट")</f>
        <v>a) लंबी दूरी का शॉट, b) नज़दीकी शॉट, c) साइडवेज़ शॉट, d) अंडरहैंड शॉट</v>
      </c>
      <c r="K18" s="8" t="str">
        <f>IFERROR(__xludf.DUMMYFUNCTION("GOOGLETRANSLATE(E18, ""en"", ""hi"")"),"a) लंबी दूरी का शॉट")</f>
        <v>a) लंबी दूरी का शॉट</v>
      </c>
    </row>
    <row r="19" ht="22.5" customHeight="1">
      <c r="A19" s="2">
        <v>18.0</v>
      </c>
      <c r="B19" s="3" t="s">
        <v>2652</v>
      </c>
      <c r="C19" s="3" t="s">
        <v>2656</v>
      </c>
      <c r="D19" s="3" t="s">
        <v>2657</v>
      </c>
      <c r="E19" s="3" t="s">
        <v>2658</v>
      </c>
      <c r="G19" s="8" t="str">
        <f>IFERROR(__xludf.DUMMYFUNCTION("GOOGLETRANSLATE(A19, ""en"", ""hi"")"),"18")</f>
        <v>18</v>
      </c>
      <c r="H19" s="8" t="str">
        <f>IFERROR(__xludf.DUMMYFUNCTION("GOOGLETRANSLATE(B19, ""en"", ""hi"")"),"कांचे_5")</f>
        <v>कांचे_5</v>
      </c>
      <c r="I19" s="8" t="str">
        <f>IFERROR(__xludf.DUMMYFUNCTION("GOOGLETRANSLATE(C19, ""en"", ""hi"")"),"चित्र में दिखाए गए खेल से, पर्यावरण गेमप्ले को किस प्रकार प्रभावित करता है?")</f>
        <v>चित्र में दिखाए गए खेल से, पर्यावरण गेमप्ले को किस प्रकार प्रभावित करता है?</v>
      </c>
      <c r="J19" s="8" t="str">
        <f>IFERROR(__xludf.DUMMYFUNCTION("GOOGLETRANSLATE(D19, ""en"", ""hi"")"),"a) यह वस्तुओं की गति को प्रभावित कर सकता है, b) इसका कोई प्रभाव नहीं होता, c) यह खिलाड़ियों की संख्या निर्धारित करता है, d) यह नियमों को बदलता है")</f>
        <v>a) यह वस्तुओं की गति को प्रभावित कर सकता है, b) इसका कोई प्रभाव नहीं होता, c) यह खिलाड़ियों की संख्या निर्धारित करता है, d) यह नियमों को बदलता है</v>
      </c>
      <c r="K19" s="8" t="str">
        <f>IFERROR(__xludf.DUMMYFUNCTION("GOOGLETRANSLATE(E19, ""en"", ""hi"")"),"a) यह वस्तुओं की गति को प्रभावित कर सकता है")</f>
        <v>a) यह वस्तुओं की गति को प्रभावित कर सकता है</v>
      </c>
    </row>
    <row r="20" ht="22.5" customHeight="1">
      <c r="A20" s="2">
        <v>19.0</v>
      </c>
      <c r="B20" s="3" t="s">
        <v>2652</v>
      </c>
      <c r="C20" s="3" t="s">
        <v>2659</v>
      </c>
      <c r="D20" s="3" t="s">
        <v>2660</v>
      </c>
      <c r="E20" s="3" t="s">
        <v>2661</v>
      </c>
      <c r="G20" s="8" t="str">
        <f>IFERROR(__xludf.DUMMYFUNCTION("GOOGLETRANSLATE(A20, ""en"", ""hi"")"),"19")</f>
        <v>19</v>
      </c>
      <c r="H20" s="8" t="str">
        <f>IFERROR(__xludf.DUMMYFUNCTION("GOOGLETRANSLATE(B20, ""en"", ""hi"")"),"कांचे_5")</f>
        <v>कांचे_5</v>
      </c>
      <c r="I20" s="8" t="str">
        <f>IFERROR(__xludf.DUMMYFUNCTION("GOOGLETRANSLATE(C20, ""en"", ""hi"")"),"चित्र में दिखाए गए खेल में से, निम्नलिखित में से कौन सा गेमप्ले में एक सामान्य भिन्नता है?")</f>
        <v>चित्र में दिखाए गए खेल में से, निम्नलिखित में से कौन सा गेमप्ले में एक सामान्य भिन्नता है?</v>
      </c>
      <c r="J20" s="8" t="str">
        <f>IFERROR(__xludf.DUMMYFUNCTION("GOOGLETRANSLATE(D20, ""en"", ""hi"")"),"क) बड़ी वस्तुओं के साथ खेलना, ख) विभिन्न रंगों की वस्तुओं का उपयोग करना, ग) खेल क्षेत्र का आकार बदलना, घ) खेल के बीच में नियम बदलना")</f>
        <v>क) बड़ी वस्तुओं के साथ खेलना, ख) विभिन्न रंगों की वस्तुओं का उपयोग करना, ग) खेल क्षेत्र का आकार बदलना, घ) खेल के बीच में नियम बदलना</v>
      </c>
      <c r="K20" s="8" t="str">
        <f>IFERROR(__xludf.DUMMYFUNCTION("GOOGLETRANSLATE(E20, ""en"", ""hi"")"),"ग) खेल क्षेत्र का आकार बदलना")</f>
        <v>ग) खेल क्षेत्र का आकार बदलना</v>
      </c>
    </row>
    <row r="21" ht="22.5" customHeight="1">
      <c r="A21" s="2">
        <v>20.0</v>
      </c>
      <c r="B21" s="3" t="s">
        <v>2652</v>
      </c>
      <c r="C21" s="3" t="s">
        <v>2662</v>
      </c>
      <c r="D21" s="3" t="s">
        <v>2663</v>
      </c>
      <c r="E21" s="3" t="s">
        <v>2664</v>
      </c>
      <c r="G21" s="8" t="str">
        <f>IFERROR(__xludf.DUMMYFUNCTION("GOOGLETRANSLATE(A21, ""en"", ""hi"")"),"20")</f>
        <v>20</v>
      </c>
      <c r="H21" s="8" t="str">
        <f>IFERROR(__xludf.DUMMYFUNCTION("GOOGLETRANSLATE(B21, ""en"", ""hi"")"),"कांचे_5")</f>
        <v>कांचे_5</v>
      </c>
      <c r="I21" s="8" t="str">
        <f>IFERROR(__xludf.DUMMYFUNCTION("GOOGLETRANSLATE(C21, ""en"", ""hi"")"),"चित्र में दिखाए गए खेल से, रक्षात्मक खेल का महत्वपूर्ण पहलू क्या है?")</f>
        <v>चित्र में दिखाए गए खेल से, रक्षात्मक खेल का महत्वपूर्ण पहलू क्या है?</v>
      </c>
      <c r="J21" s="8" t="str">
        <f>IFERROR(__xludf.DUMMYFUNCTION("GOOGLETRANSLATE(D21, ""en"", ""hi"")"),"क) वस्तुओं को रणनीतिक रूप से रखना, ख) आक्रामक तरीके से हमला करना, ग) तेजी से आगे बढ़ना, घ) आंखों से संपर्क से बचना")</f>
        <v>क) वस्तुओं को रणनीतिक रूप से रखना, ख) आक्रामक तरीके से हमला करना, ग) तेजी से आगे बढ़ना, घ) आंखों से संपर्क से बचना</v>
      </c>
      <c r="K21" s="8" t="str">
        <f>IFERROR(__xludf.DUMMYFUNCTION("GOOGLETRANSLATE(E21, ""en"", ""hi"")"),"क) वस्तुओं को रणनीतिक रूप से स्थित करना")</f>
        <v>क) वस्तुओं को रणनीतिक रूप से स्थित करना</v>
      </c>
    </row>
    <row r="22" ht="22.5" customHeight="1">
      <c r="A22" s="2">
        <v>21.0</v>
      </c>
      <c r="B22" s="3" t="s">
        <v>2665</v>
      </c>
      <c r="C22" s="3" t="s">
        <v>2666</v>
      </c>
      <c r="D22" s="3" t="s">
        <v>2667</v>
      </c>
      <c r="E22" s="3" t="s">
        <v>2668</v>
      </c>
      <c r="G22" s="8" t="str">
        <f>IFERROR(__xludf.DUMMYFUNCTION("GOOGLETRANSLATE(A22, ""en"", ""hi"")"),"21")</f>
        <v>21</v>
      </c>
      <c r="H22" s="8" t="str">
        <f>IFERROR(__xludf.DUMMYFUNCTION("GOOGLETRANSLATE(B22, ""en"", ""hi"")"),"कांचे_6")</f>
        <v>कांचे_6</v>
      </c>
      <c r="I22" s="8" t="str">
        <f>IFERROR(__xludf.DUMMYFUNCTION("GOOGLETRANSLATE(C22, ""en"", ""hi"")"),"चित्र में दिखाए गए खेल से कोई खिलाड़ी अपनी सटीकता कैसे बढ़ा सकता है?")</f>
        <v>चित्र में दिखाए गए खेल से कोई खिलाड़ी अपनी सटीकता कैसे बढ़ा सकता है?</v>
      </c>
      <c r="J22" s="8" t="str">
        <f>IFERROR(__xludf.DUMMYFUNCTION("GOOGLETRANSLATE(D22, ""en"", ""hi"")"),"क) नियमित अभ्यास करना, ख) वस्तु का आकार बदलना, ग) दोनों हाथों का उपयोग करना, घ) पास खड़े रहना")</f>
        <v>क) नियमित अभ्यास करना, ख) वस्तु का आकार बदलना, ग) दोनों हाथों का उपयोग करना, घ) पास खड़े रहना</v>
      </c>
      <c r="K22" s="8" t="str">
        <f>IFERROR(__xludf.DUMMYFUNCTION("GOOGLETRANSLATE(E22, ""en"", ""hi"")"),"क) नियमित अभ्यास करना")</f>
        <v>क) नियमित अभ्यास करना</v>
      </c>
    </row>
    <row r="23" ht="22.5" customHeight="1">
      <c r="A23" s="2">
        <v>22.0</v>
      </c>
      <c r="B23" s="3" t="s">
        <v>2665</v>
      </c>
      <c r="C23" s="3" t="s">
        <v>2669</v>
      </c>
      <c r="D23" s="3" t="s">
        <v>2670</v>
      </c>
      <c r="E23" s="3" t="s">
        <v>2671</v>
      </c>
      <c r="G23" s="8" t="str">
        <f>IFERROR(__xludf.DUMMYFUNCTION("GOOGLETRANSLATE(A23, ""en"", ""hi"")"),"22")</f>
        <v>22</v>
      </c>
      <c r="H23" s="8" t="str">
        <f>IFERROR(__xludf.DUMMYFUNCTION("GOOGLETRANSLATE(B23, ""en"", ""hi"")"),"कांचे_6")</f>
        <v>कांचे_6</v>
      </c>
      <c r="I23" s="8" t="str">
        <f>IFERROR(__xludf.DUMMYFUNCTION("GOOGLETRANSLATE(C23, ""en"", ""hi"")"),"चित्र में दिखाए गए खेल के अनुसार, क्या होता है जब कोई खिलाड़ी लक्ष्य पर सफलतापूर्वक निशाना लगाता है, लेकिन गेंद को लेने से चूक जाता है?")</f>
        <v>चित्र में दिखाए गए खेल के अनुसार, क्या होता है जब कोई खिलाड़ी लक्ष्य पर सफलतापूर्वक निशाना लगाता है, लेकिन गेंद को लेने से चूक जाता है?</v>
      </c>
      <c r="J23" s="8" t="str">
        <f>IFERROR(__xludf.DUMMYFUNCTION("GOOGLETRANSLATE(D23, ""en"", ""hi"")"),"a) वे अपनी बारी खो देते हैं, b) वे आधे अंक अर्जित करते हैं, c) उन्हें एक और मौका मिलता है, d) बारी अगले खिलाड़ी की हो जाती है")</f>
        <v>a) वे अपनी बारी खो देते हैं, b) वे आधे अंक अर्जित करते हैं, c) उन्हें एक और मौका मिलता है, d) बारी अगले खिलाड़ी की हो जाती है</v>
      </c>
      <c r="K23" s="8" t="str">
        <f>IFERROR(__xludf.DUMMYFUNCTION("GOOGLETRANSLATE(E23, ""en"", ""hi"")"),"d) बारी अगले खिलाड़ी की होती है")</f>
        <v>d) बारी अगले खिलाड़ी की होती है</v>
      </c>
    </row>
    <row r="24" ht="22.5" customHeight="1">
      <c r="A24" s="2">
        <v>23.0</v>
      </c>
      <c r="B24" s="3" t="s">
        <v>2665</v>
      </c>
      <c r="C24" s="3" t="s">
        <v>2672</v>
      </c>
      <c r="D24" s="3" t="s">
        <v>2673</v>
      </c>
      <c r="E24" s="3" t="s">
        <v>2674</v>
      </c>
      <c r="G24" s="8" t="str">
        <f>IFERROR(__xludf.DUMMYFUNCTION("GOOGLETRANSLATE(A24, ""en"", ""hi"")"),"23")</f>
        <v>23</v>
      </c>
      <c r="H24" s="8" t="str">
        <f>IFERROR(__xludf.DUMMYFUNCTION("GOOGLETRANSLATE(B24, ""en"", ""hi"")"),"कांचे_6")</f>
        <v>कांचे_6</v>
      </c>
      <c r="I24" s="8" t="str">
        <f>IFERROR(__xludf.DUMMYFUNCTION("GOOGLETRANSLATE(C24, ""en"", ""hi"")"),"चित्र में दिखाए गए खेल से, 'लैगिंग' शब्द का क्या तात्पर्य है?")</f>
        <v>चित्र में दिखाए गए खेल से, 'लैगिंग' शब्द का क्या तात्पर्य है?</v>
      </c>
      <c r="J24" s="8" t="str">
        <f>IFERROR(__xludf.DUMMYFUNCTION("GOOGLETRANSLATE(D24, ""en"", ""hi"")"),"क) बारी का क्रम तय करने के लिए प्रारंभिक शॉट, ख) शॉट चूकना, ग) खेल जीतना, घ) अधिक वस्तुएँ एकत्रित करना")</f>
        <v>क) बारी का क्रम तय करने के लिए प्रारंभिक शॉट, ख) शॉट चूकना, ग) खेल जीतना, घ) अधिक वस्तुएँ एकत्रित करना</v>
      </c>
      <c r="K24" s="8" t="str">
        <f>IFERROR(__xludf.DUMMYFUNCTION("GOOGLETRANSLATE(E24, ""en"", ""hi"")"),"a) बारी का क्रम तय करने के लिए प्रारंभिक शॉट")</f>
        <v>a) बारी का क्रम तय करने के लिए प्रारंभिक शॉट</v>
      </c>
    </row>
    <row r="25" ht="22.5" customHeight="1">
      <c r="A25" s="2">
        <v>24.0</v>
      </c>
      <c r="B25" s="3" t="s">
        <v>2665</v>
      </c>
      <c r="C25" s="3" t="s">
        <v>2675</v>
      </c>
      <c r="D25" s="3" t="s">
        <v>2676</v>
      </c>
      <c r="E25" s="3" t="s">
        <v>2677</v>
      </c>
      <c r="G25" s="8" t="str">
        <f>IFERROR(__xludf.DUMMYFUNCTION("GOOGLETRANSLATE(A25, ""en"", ""hi"")"),"24")</f>
        <v>24</v>
      </c>
      <c r="H25" s="8" t="str">
        <f>IFERROR(__xludf.DUMMYFUNCTION("GOOGLETRANSLATE(B25, ""en"", ""hi"")"),"कांचे_6")</f>
        <v>कांचे_6</v>
      </c>
      <c r="I25" s="8" t="str">
        <f>IFERROR(__xludf.DUMMYFUNCTION("GOOGLETRANSLATE(C25, ""en"", ""hi"")"),"चित्र में दिखाए गए खेल से, आमतौर पर विवादों का समाधान कैसे किया जाता है?")</f>
        <v>चित्र में दिखाए गए खेल से, आमतौर पर विवादों का समाधान कैसे किया जाता है?</v>
      </c>
      <c r="J25" s="8" t="str">
        <f>IFERROR(__xludf.DUMMYFUNCTION("GOOGLETRANSLATE(D25, ""en"", ""hi"")"),"a) खिलाड़ियों के बीच आम सहमति से, b) जज द्वारा, c) बारी को दोबारा खेलकर, d) नियम पुस्तिका से परामर्श करके")</f>
        <v>a) खिलाड़ियों के बीच आम सहमति से, b) जज द्वारा, c) बारी को दोबारा खेलकर, d) नियम पुस्तिका से परामर्श करके</v>
      </c>
      <c r="K25" s="8" t="str">
        <f>IFERROR(__xludf.DUMMYFUNCTION("GOOGLETRANSLATE(E25, ""en"", ""hi"")"),"a) खिलाड़ियों के बीच आम सहमति से")</f>
        <v>a) खिलाड़ियों के बीच आम सहमति से</v>
      </c>
    </row>
    <row r="26" ht="22.5" customHeight="1">
      <c r="A26" s="2">
        <v>25.0</v>
      </c>
      <c r="B26" s="3" t="s">
        <v>2678</v>
      </c>
      <c r="C26" s="3" t="s">
        <v>2679</v>
      </c>
      <c r="D26" s="3" t="s">
        <v>2680</v>
      </c>
      <c r="E26" s="3" t="s">
        <v>2681</v>
      </c>
      <c r="G26" s="8" t="str">
        <f>IFERROR(__xludf.DUMMYFUNCTION("GOOGLETRANSLATE(A26, ""en"", ""hi"")"),"25")</f>
        <v>25</v>
      </c>
      <c r="H26" s="8" t="str">
        <f>IFERROR(__xludf.DUMMYFUNCTION("GOOGLETRANSLATE(B26, ""en"", ""hi"")"),"कांचे_7")</f>
        <v>कांचे_7</v>
      </c>
      <c r="I26" s="8" t="str">
        <f>IFERROR(__xludf.DUMMYFUNCTION("GOOGLETRANSLATE(C26, ""en"", ""hi"")"),"चित्र में दिखाए गए खेल से, टाई तोड़ने का सबसे आम तरीका क्या है?")</f>
        <v>चित्र में दिखाए गए खेल से, टाई तोड़ने का सबसे आम तरीका क्या है?</v>
      </c>
      <c r="J26" s="8" t="str">
        <f>IFERROR(__xludf.DUMMYFUNCTION("GOOGLETRANSLATE(D26, ""en"", ""hi"")"),"क) अचानक मौत का दौर, ख) एकत्रित वस्तुओं की गिनती, ग) खेल को फिर से खेलना, घ) इसे ड्रा घोषित करना")</f>
        <v>क) अचानक मौत का दौर, ख) एकत्रित वस्तुओं की गिनती, ग) खेल को फिर से खेलना, घ) इसे ड्रा घोषित करना</v>
      </c>
      <c r="K26" s="8" t="str">
        <f>IFERROR(__xludf.DUMMYFUNCTION("GOOGLETRANSLATE(E26, ""en"", ""hi"")"),"a) अचानक मौत का दौर")</f>
        <v>a) अचानक मौत का दौर</v>
      </c>
    </row>
    <row r="27" ht="22.5" customHeight="1">
      <c r="A27" s="2">
        <v>26.0</v>
      </c>
      <c r="B27" s="3" t="s">
        <v>2678</v>
      </c>
      <c r="C27" s="3" t="s">
        <v>2597</v>
      </c>
      <c r="D27" s="3" t="s">
        <v>2682</v>
      </c>
      <c r="E27" s="3" t="s">
        <v>1362</v>
      </c>
      <c r="G27" s="8" t="str">
        <f>IFERROR(__xludf.DUMMYFUNCTION("GOOGLETRANSLATE(A27, ""en"", ""hi"")"),"26")</f>
        <v>26</v>
      </c>
      <c r="H27" s="8" t="str">
        <f>IFERROR(__xludf.DUMMYFUNCTION("GOOGLETRANSLATE(B27, ""en"", ""hi"")"),"कांचे_7")</f>
        <v>कांचे_7</v>
      </c>
      <c r="I27" s="8" t="str">
        <f>IFERROR(__xludf.DUMMYFUNCTION("GOOGLETRANSLATE(C27, ""en"", ""hi"")"),"चित्र में दिखाए गए खेल में से किसी खिलाड़ी में कौन सा गुण सबसे अधिक प्रशंसनीय है?")</f>
        <v>चित्र में दिखाए गए खेल में से किसी खिलाड़ी में कौन सा गुण सबसे अधिक प्रशंसनीय है?</v>
      </c>
      <c r="J27" s="8" t="str">
        <f>IFERROR(__xludf.DUMMYFUNCTION("GOOGLETRANSLATE(D27, ""en"", ""hi"")"),"a) परिशुद्धता, b) गति, c) शक्ति, d) धीरज")</f>
        <v>a) परिशुद्धता, b) गति, c) शक्ति, d) धीरज</v>
      </c>
      <c r="K27" s="8" t="str">
        <f>IFERROR(__xludf.DUMMYFUNCTION("GOOGLETRANSLATE(E27, ""en"", ""hi"")"),"क) परिशुद्धता")</f>
        <v>क) परिशुद्धता</v>
      </c>
    </row>
    <row r="28" ht="22.5" customHeight="1">
      <c r="A28" s="2">
        <v>27.0</v>
      </c>
      <c r="B28" s="3" t="s">
        <v>2678</v>
      </c>
      <c r="C28" s="3" t="s">
        <v>2683</v>
      </c>
      <c r="D28" s="3" t="s">
        <v>2684</v>
      </c>
      <c r="E28" s="3" t="s">
        <v>2685</v>
      </c>
      <c r="G28" s="8" t="str">
        <f>IFERROR(__xludf.DUMMYFUNCTION("GOOGLETRANSLATE(A28, ""en"", ""hi"")"),"27")</f>
        <v>27</v>
      </c>
      <c r="H28" s="8" t="str">
        <f>IFERROR(__xludf.DUMMYFUNCTION("GOOGLETRANSLATE(B28, ""en"", ""hi"")"),"कांचे_7")</f>
        <v>कांचे_7</v>
      </c>
      <c r="I28" s="8" t="str">
        <f>IFERROR(__xludf.DUMMYFUNCTION("GOOGLETRANSLATE(C28, ""en"", ""hi"")"),"चित्र में दिखाए गए खेल से, प्रयुक्त वस्तुओं का विशिष्ट आकार क्या है?")</f>
        <v>चित्र में दिखाए गए खेल से, प्रयुक्त वस्तुओं का विशिष्ट आकार क्या है?</v>
      </c>
      <c r="J28" s="8" t="str">
        <f>IFERROR(__xludf.DUMMYFUNCTION("GOOGLETRANSLATE(D28, ""en"", ""hi"")"),"a) गोल, b) वर्गाकार, c) आयताकार, d) त्रिकोणीय")</f>
        <v>a) गोल, b) वर्गाकार, c) आयताकार, d) त्रिकोणीय</v>
      </c>
      <c r="K28" s="8" t="str">
        <f>IFERROR(__xludf.DUMMYFUNCTION("GOOGLETRANSLATE(E28, ""en"", ""hi"")"),"आस-पास")</f>
        <v>आस-पास</v>
      </c>
    </row>
    <row r="29" ht="22.5" customHeight="1">
      <c r="A29" s="2">
        <v>28.0</v>
      </c>
      <c r="B29" s="3" t="s">
        <v>2678</v>
      </c>
      <c r="C29" s="3" t="s">
        <v>2686</v>
      </c>
      <c r="D29" s="3" t="s">
        <v>2687</v>
      </c>
      <c r="E29" s="3" t="s">
        <v>2688</v>
      </c>
      <c r="G29" s="8" t="str">
        <f>IFERROR(__xludf.DUMMYFUNCTION("GOOGLETRANSLATE(A29, ""en"", ""hi"")"),"28")</f>
        <v>28</v>
      </c>
      <c r="H29" s="8" t="str">
        <f>IFERROR(__xludf.DUMMYFUNCTION("GOOGLETRANSLATE(B29, ""en"", ""hi"")"),"कांचे_7")</f>
        <v>कांचे_7</v>
      </c>
      <c r="I29" s="8" t="str">
        <f>IFERROR(__xludf.DUMMYFUNCTION("GOOGLETRANSLATE(C29, ""en"", ""hi"")"),"चित्र में दिखाए गए खेल के अनुसार, एक खिलाड़ी अपनी बारी हारने के बाद कैसे वापसी कर सकता है?")</f>
        <v>चित्र में दिखाए गए खेल के अनुसार, एक खिलाड़ी अपनी बारी हारने के बाद कैसे वापसी कर सकता है?</v>
      </c>
      <c r="J29" s="8" t="str">
        <f>IFERROR(__xludf.DUMMYFUNCTION("GOOGLETRANSLATE(D29, ""en"", ""hi"")"),"क) अगले दौर की प्रतीक्षा करके, ख) फैसले को चुनौती देकर, ग) अतिरिक्त दांव लगाकर, घ) खेल छोड़कर")</f>
        <v>क) अगले दौर की प्रतीक्षा करके, ख) फैसले को चुनौती देकर, ग) अतिरिक्त दांव लगाकर, घ) खेल छोड़कर</v>
      </c>
      <c r="K29" s="8" t="str">
        <f>IFERROR(__xludf.DUMMYFUNCTION("GOOGLETRANSLATE(E29, ""en"", ""hi"")"),"a) अगले दौर की प्रतीक्षा करके")</f>
        <v>a) अगले दौर की प्रतीक्षा करके</v>
      </c>
    </row>
    <row r="30" ht="22.5" customHeight="1">
      <c r="A30" s="2">
        <v>29.0</v>
      </c>
      <c r="B30" s="3" t="s">
        <v>2689</v>
      </c>
      <c r="C30" s="3" t="s">
        <v>2690</v>
      </c>
      <c r="D30" s="3" t="s">
        <v>2691</v>
      </c>
      <c r="E30" s="3" t="s">
        <v>2692</v>
      </c>
      <c r="G30" s="8" t="str">
        <f>IFERROR(__xludf.DUMMYFUNCTION("GOOGLETRANSLATE(A30, ""en"", ""hi"")"),"29")</f>
        <v>29</v>
      </c>
      <c r="H30" s="8" t="str">
        <f>IFERROR(__xludf.DUMMYFUNCTION("GOOGLETRANSLATE(B30, ""en"", ""hi"")"),"कांचे_8")</f>
        <v>कांचे_8</v>
      </c>
      <c r="I30" s="8" t="str">
        <f>IFERROR(__xludf.DUMMYFUNCTION("GOOGLETRANSLATE(C30, ""en"", ""hi"")"),"चित्र में दिखाए गए खेल में कौन सा कारक कठिनाई स्तर को महत्वपूर्ण रूप से बदल सकता है?")</f>
        <v>चित्र में दिखाए गए खेल में कौन सा कारक कठिनाई स्तर को महत्वपूर्ण रूप से बदल सकता है?</v>
      </c>
      <c r="J30" s="8" t="str">
        <f>IFERROR(__xludf.DUMMYFUNCTION("GOOGLETRANSLATE(D30, ""en"", ""hi"")"),"क) वस्तुओं का आकार, ख) मौसम की स्थिति, ग) खिलाड़ियों की संख्या, घ) सतह का प्रकार")</f>
        <v>क) वस्तुओं का आकार, ख) मौसम की स्थिति, ग) खिलाड़ियों की संख्या, घ) सतह का प्रकार</v>
      </c>
      <c r="K30" s="8" t="str">
        <f>IFERROR(__xludf.DUMMYFUNCTION("GOOGLETRANSLATE(E30, ""en"", ""hi"")"),"घ) सतह का प्रकार")</f>
        <v>घ) सतह का प्रकार</v>
      </c>
    </row>
    <row r="31" ht="22.5" customHeight="1">
      <c r="A31" s="2">
        <v>30.0</v>
      </c>
      <c r="B31" s="3" t="s">
        <v>2689</v>
      </c>
      <c r="C31" s="3" t="s">
        <v>2693</v>
      </c>
      <c r="D31" s="3" t="s">
        <v>2694</v>
      </c>
      <c r="E31" s="3" t="s">
        <v>2695</v>
      </c>
      <c r="G31" s="8" t="str">
        <f>IFERROR(__xludf.DUMMYFUNCTION("GOOGLETRANSLATE(A31, ""en"", ""hi"")"),"30")</f>
        <v>30</v>
      </c>
      <c r="H31" s="8" t="str">
        <f>IFERROR(__xludf.DUMMYFUNCTION("GOOGLETRANSLATE(B31, ""en"", ""hi"")"),"कांचे_8")</f>
        <v>कांचे_8</v>
      </c>
      <c r="I31" s="8" t="str">
        <f>IFERROR(__xludf.DUMMYFUNCTION("GOOGLETRANSLATE(C31, ""en"", ""hi"")"),"चित्र में दिखाए गए खेल से, शॉट पूरी तरह से चूकने के लिए सामान्य शब्द क्या है?")</f>
        <v>चित्र में दिखाए गए खेल से, शॉट पूरी तरह से चूकने के लिए सामान्य शब्द क्या है?</v>
      </c>
      <c r="J31" s="8" t="str">
        <f>IFERROR(__xludf.DUMMYFUNCTION("GOOGLETRANSLATE(D31, ""en"", ""hi"")"),"a) रिक्त, b) चूक, c) शून्य, d) दोष")</f>
        <v>a) रिक्त, b) चूक, c) शून्य, d) दोष</v>
      </c>
      <c r="K31" s="8" t="str">
        <f>IFERROR(__xludf.DUMMYFUNCTION("GOOGLETRANSLATE(E31, ""en"", ""hi"")"),"ख) मिस")</f>
        <v>ख) मिस</v>
      </c>
    </row>
    <row r="32" ht="22.5" customHeight="1">
      <c r="A32" s="2">
        <v>31.0</v>
      </c>
      <c r="B32" s="3" t="s">
        <v>2689</v>
      </c>
      <c r="C32" s="3" t="s">
        <v>2696</v>
      </c>
      <c r="D32" s="3" t="s">
        <v>2697</v>
      </c>
      <c r="E32" s="3" t="s">
        <v>2698</v>
      </c>
      <c r="G32" s="8" t="str">
        <f>IFERROR(__xludf.DUMMYFUNCTION("GOOGLETRANSLATE(A32, ""en"", ""hi"")"),"31")</f>
        <v>31</v>
      </c>
      <c r="H32" s="8" t="str">
        <f>IFERROR(__xludf.DUMMYFUNCTION("GOOGLETRANSLATE(B32, ""en"", ""hi"")"),"कांचे_8")</f>
        <v>कांचे_8</v>
      </c>
      <c r="I32" s="8" t="str">
        <f>IFERROR(__xludf.DUMMYFUNCTION("GOOGLETRANSLATE(C32, ""en"", ""hi"")"),"चित्र में दिखाए गए खेल से, खेल की शुरुआत में वस्तुओं को आमतौर पर किस प्रकार व्यवस्थित किया जाता है?")</f>
        <v>चित्र में दिखाए गए खेल से, खेल की शुरुआत में वस्तुओं को आमतौर पर किस प्रकार व्यवस्थित किया जाता है?</v>
      </c>
      <c r="J32" s="8" t="str">
        <f>IFERROR(__xludf.DUMMYFUNCTION("GOOGLETRANSLATE(D32, ""en"", ""hi"")"),"a) एक समूह में, b) एक पंक्ति में, c) बेतरतीब ढंग से बिखरे हुए, d) एक वृत्त में")</f>
        <v>a) एक समूह में, b) एक पंक्ति में, c) बेतरतीब ढंग से बिखरे हुए, d) एक वृत्त में</v>
      </c>
      <c r="K32" s="8" t="str">
        <f>IFERROR(__xludf.DUMMYFUNCTION("GOOGLETRANSLATE(E32, ""en"", ""hi"")"),"a) एक समूह में")</f>
        <v>a) एक समूह में</v>
      </c>
    </row>
    <row r="33" ht="22.5" customHeight="1">
      <c r="A33" s="2">
        <v>32.0</v>
      </c>
      <c r="B33" s="3" t="s">
        <v>2689</v>
      </c>
      <c r="C33" s="3" t="s">
        <v>2699</v>
      </c>
      <c r="D33" s="3" t="s">
        <v>2700</v>
      </c>
      <c r="E33" s="3" t="s">
        <v>2701</v>
      </c>
      <c r="G33" s="8" t="str">
        <f>IFERROR(__xludf.DUMMYFUNCTION("GOOGLETRANSLATE(A33, ""en"", ""hi"")"),"32")</f>
        <v>32</v>
      </c>
      <c r="H33" s="8" t="str">
        <f>IFERROR(__xludf.DUMMYFUNCTION("GOOGLETRANSLATE(B33, ""en"", ""hi"")"),"कांचे_8")</f>
        <v>कांचे_8</v>
      </c>
      <c r="I33" s="8" t="str">
        <f>IFERROR(__xludf.DUMMYFUNCTION("GOOGLETRANSLATE(C33, ""en"", ""hi"")"),"चित्र में दिखाए गए खेल से, बड़ी वस्तुओं के उपयोग का क्या प्रभाव पड़ता है?")</f>
        <v>चित्र में दिखाए गए खेल से, बड़ी वस्तुओं के उपयोग का क्या प्रभाव पड़ता है?</v>
      </c>
      <c r="J33" s="8" t="str">
        <f>IFERROR(__xludf.DUMMYFUNCTION("GOOGLETRANSLATE(D33, ""en"", ""hi"")"),"a) यह खेल को आसान बनाता है, b) यह खेल को कठिन बनाता है, c) इसका कोई प्रभाव नहीं पड़ता, d) यह खेल को गति देता है")</f>
        <v>a) यह खेल को आसान बनाता है, b) यह खेल को कठिन बनाता है, c) इसका कोई प्रभाव नहीं पड़ता, d) यह खेल को गति देता है</v>
      </c>
      <c r="K33" s="8" t="str">
        <f>IFERROR(__xludf.DUMMYFUNCTION("GOOGLETRANSLATE(E33, ""en"", ""hi"")"),"b) यह खेल को कठिन बनाता है")</f>
        <v>b) यह खेल को कठिन बनाता है</v>
      </c>
    </row>
    <row r="34" ht="22.5" customHeight="1">
      <c r="A34" s="2">
        <v>33.0</v>
      </c>
      <c r="B34" s="3" t="s">
        <v>2702</v>
      </c>
      <c r="C34" s="3" t="s">
        <v>2703</v>
      </c>
      <c r="D34" s="3" t="s">
        <v>2704</v>
      </c>
      <c r="E34" s="3" t="s">
        <v>2705</v>
      </c>
      <c r="G34" s="8" t="str">
        <f>IFERROR(__xludf.DUMMYFUNCTION("GOOGLETRANSLATE(A34, ""en"", ""hi"")"),"33")</f>
        <v>33</v>
      </c>
      <c r="H34" s="8" t="str">
        <f>IFERROR(__xludf.DUMMYFUNCTION("GOOGLETRANSLATE(B34, ""en"", ""hi"")"),"कांचे_9")</f>
        <v>कांचे_9</v>
      </c>
      <c r="I34" s="8" t="str">
        <f>IFERROR(__xludf.DUMMYFUNCTION("GOOGLETRANSLATE(C34, ""en"", ""hi"")"),"चित्र में दिखाए गए खेल में से किस क्रिया के परिणामस्वरूप दंड मिलेगा?")</f>
        <v>चित्र में दिखाए गए खेल में से किस क्रिया के परिणामस्वरूप दंड मिलेगा?</v>
      </c>
      <c r="J34" s="8" t="str">
        <f>IFERROR(__xludf.DUMMYFUNCTION("GOOGLETRANSLATE(D34, ""en"", ""hi"")"),"क) दूसरे खिलाड़ी की बारी में हस्तक्षेप करना, ख) शॉट लगाने में बहुत अधिक समय लेना, ग) खेल के दौरान बात करना, घ) अलग तकनीक का उपयोग करना")</f>
        <v>क) दूसरे खिलाड़ी की बारी में हस्तक्षेप करना, ख) शॉट लगाने में बहुत अधिक समय लेना, ग) खेल के दौरान बात करना, घ) अलग तकनीक का उपयोग करना</v>
      </c>
      <c r="K34" s="8" t="str">
        <f>IFERROR(__xludf.DUMMYFUNCTION("GOOGLETRANSLATE(E34, ""en"", ""hi"")"),"a) दूसरे खिलाड़ी की बारी में हस्तक्षेप करना")</f>
        <v>a) दूसरे खिलाड़ी की बारी में हस्तक्षेप करना</v>
      </c>
    </row>
    <row r="35" ht="22.5" customHeight="1">
      <c r="A35" s="2">
        <v>34.0</v>
      </c>
      <c r="B35" s="3" t="s">
        <v>2702</v>
      </c>
      <c r="C35" s="3" t="s">
        <v>2706</v>
      </c>
      <c r="D35" s="3" t="s">
        <v>2707</v>
      </c>
      <c r="E35" s="3" t="s">
        <v>2708</v>
      </c>
      <c r="G35" s="8" t="str">
        <f>IFERROR(__xludf.DUMMYFUNCTION("GOOGLETRANSLATE(A35, ""en"", ""hi"")"),"34")</f>
        <v>34</v>
      </c>
      <c r="H35" s="8" t="str">
        <f>IFERROR(__xludf.DUMMYFUNCTION("GOOGLETRANSLATE(B35, ""en"", ""hi"")"),"कांचे_9")</f>
        <v>कांचे_9</v>
      </c>
      <c r="I35" s="8" t="str">
        <f>IFERROR(__xludf.DUMMYFUNCTION("GOOGLETRANSLATE(C35, ""en"", ""hi"")"),"चित्र में दिखाए गए खेल से, विरोधियों को विचलित करने की एक सामान्य तकनीक क्या है?")</f>
        <v>चित्र में दिखाए गए खेल से, विरोधियों को विचलित करने की एक सामान्य तकनीक क्या है?</v>
      </c>
      <c r="J35" s="8" t="str">
        <f>IFERROR(__xludf.DUMMYFUNCTION("GOOGLETRANSLATE(D35, ""en"", ""hi"")"),"a) जोर से बात करना, b) इधर-उधर घूमना, c) नकली शॉट लेना, d) कोई नहीं, ध्यान भटकाने की अनुमति नहीं है")</f>
        <v>a) जोर से बात करना, b) इधर-उधर घूमना, c) नकली शॉट लेना, d) कोई नहीं, ध्यान भटकाने की अनुमति नहीं है</v>
      </c>
      <c r="K35" s="8" t="str">
        <f>IFERROR(__xludf.DUMMYFUNCTION("GOOGLETRANSLATE(E35, ""en"", ""hi"")"),"ग) नकली शॉट")</f>
        <v>ग) नकली शॉट</v>
      </c>
    </row>
    <row r="36" ht="22.5" customHeight="1">
      <c r="A36" s="2">
        <v>35.0</v>
      </c>
      <c r="B36" s="3" t="s">
        <v>2702</v>
      </c>
      <c r="C36" s="3" t="s">
        <v>2709</v>
      </c>
      <c r="D36" s="3" t="s">
        <v>2710</v>
      </c>
      <c r="E36" s="3" t="s">
        <v>2711</v>
      </c>
      <c r="G36" s="8" t="str">
        <f>IFERROR(__xludf.DUMMYFUNCTION("GOOGLETRANSLATE(A36, ""en"", ""hi"")"),"35")</f>
        <v>35</v>
      </c>
      <c r="H36" s="8" t="str">
        <f>IFERROR(__xludf.DUMMYFUNCTION("GOOGLETRANSLATE(B36, ""en"", ""hi"")"),"कांचे_9")</f>
        <v>कांचे_9</v>
      </c>
      <c r="I36" s="8" t="str">
        <f>IFERROR(__xludf.DUMMYFUNCTION("GOOGLETRANSLATE(C36, ""en"", ""hi"")"),"चित्र में दिखाए गए खेल के अनुसार, खेल क्षेत्र को आमतौर पर कैसे चिह्नित किया जाता है?")</f>
        <v>चित्र में दिखाए गए खेल के अनुसार, खेल क्षेत्र को आमतौर पर कैसे चिह्नित किया जाता है?</v>
      </c>
      <c r="J36" s="8" t="str">
        <f>IFERROR(__xludf.DUMMYFUNCTION("GOOGLETRANSLATE(D36, ""en"", ""hi"")"),"a) चाक से, b) पेंट से, c) रस्सियों से, d) पत्थरों से")</f>
        <v>a) चाक से, b) पेंट से, c) रस्सियों से, d) पत्थरों से</v>
      </c>
      <c r="K36" s="8" t="str">
        <f>IFERROR(__xludf.DUMMYFUNCTION("GOOGLETRANSLATE(E36, ""en"", ""hi"")"),"a) चाक से")</f>
        <v>a) चाक से</v>
      </c>
    </row>
    <row r="37" ht="22.5" customHeight="1">
      <c r="A37" s="2">
        <v>36.0</v>
      </c>
      <c r="B37" s="3" t="s">
        <v>2702</v>
      </c>
      <c r="C37" s="3" t="s">
        <v>2712</v>
      </c>
      <c r="D37" s="3" t="s">
        <v>2713</v>
      </c>
      <c r="E37" s="3" t="s">
        <v>2714</v>
      </c>
      <c r="G37" s="8" t="str">
        <f>IFERROR(__xludf.DUMMYFUNCTION("GOOGLETRANSLATE(A37, ""en"", ""hi"")"),"36")</f>
        <v>36</v>
      </c>
      <c r="H37" s="8" t="str">
        <f>IFERROR(__xludf.DUMMYFUNCTION("GOOGLETRANSLATE(B37, ""en"", ""hi"")"),"कांचे_9")</f>
        <v>कांचे_9</v>
      </c>
      <c r="I37" s="8" t="str">
        <f>IFERROR(__xludf.DUMMYFUNCTION("GOOGLETRANSLATE(C37, ""en"", ""hi"")"),"चित्र में दिखाए गए खेल के अनुसार, यदि खेल की वस्तुएं निर्धारित क्षेत्र से बाहर चली जाएं तो क्या होगा?")</f>
        <v>चित्र में दिखाए गए खेल के अनुसार, यदि खेल की वस्तुएं निर्धारित क्षेत्र से बाहर चली जाएं तो क्या होगा?</v>
      </c>
      <c r="J37" s="8" t="str">
        <f>IFERROR(__xludf.DUMMYFUNCTION("GOOGLETRANSLATE(D37, ""en"", ""hi"")"),"a) बारी जब्त कर ली जाती है, b) वस्तुएँ वापस कर दी जाती हैं, c) खिलाड़ी को दंडित किया जाता है, d) खेल पुनः शुरू किया जाता है")</f>
        <v>a) बारी जब्त कर ली जाती है, b) वस्तुएँ वापस कर दी जाती हैं, c) खिलाड़ी को दंडित किया जाता है, d) खेल पुनः शुरू किया जाता है</v>
      </c>
      <c r="K37" s="8" t="str">
        <f>IFERROR(__xludf.DUMMYFUNCTION("GOOGLETRANSLATE(E37, ""en"", ""hi"")"),"a) बारी जब्त कर ली जाती है")</f>
        <v>a) बारी जब्त कर ली जाती है</v>
      </c>
    </row>
    <row r="38" ht="22.5" customHeight="1">
      <c r="A38" s="2">
        <v>37.0</v>
      </c>
      <c r="B38" s="3" t="s">
        <v>2715</v>
      </c>
      <c r="C38" s="3" t="s">
        <v>2716</v>
      </c>
      <c r="D38" s="3" t="s">
        <v>2717</v>
      </c>
      <c r="E38" s="3" t="s">
        <v>2718</v>
      </c>
      <c r="G38" s="8" t="str">
        <f>IFERROR(__xludf.DUMMYFUNCTION("GOOGLETRANSLATE(A38, ""en"", ""hi"")"),"37")</f>
        <v>37</v>
      </c>
      <c r="H38" s="8" t="str">
        <f>IFERROR(__xludf.DUMMYFUNCTION("GOOGLETRANSLATE(B38, ""en"", ""hi"")"),"कांचे_10")</f>
        <v>कांचे_10</v>
      </c>
      <c r="I38" s="8" t="str">
        <f>IFERROR(__xludf.DUMMYFUNCTION("GOOGLETRANSLATE(C38, ""en"", ""hi"")"),"चित्र में दिखाए गए खेल के आधार पर, खिलाड़ियों द्वारा किसी विशेष हाथ की तकनीक का उपयोग करने का मुख्य कारण क्या है?")</f>
        <v>चित्र में दिखाए गए खेल के आधार पर, खिलाड़ियों द्वारा किसी विशेष हाथ की तकनीक का उपयोग करने का मुख्य कारण क्या है?</v>
      </c>
      <c r="J38" s="8" t="str">
        <f>IFERROR(__xludf.DUMMYFUNCTION("GOOGLETRANSLATE(D38, ""en"", ""hi"")"),"a) बेहतर नियंत्रण के लिए, b) गति के लिए, c) शैली के लिए, d) परंपरा के लिए")</f>
        <v>a) बेहतर नियंत्रण के लिए, b) गति के लिए, c) शैली के लिए, d) परंपरा के लिए</v>
      </c>
      <c r="K38" s="8" t="str">
        <f>IFERROR(__xludf.DUMMYFUNCTION("GOOGLETRANSLATE(E38, ""en"", ""hi"")"),"a) बेहतर नियंत्रण के लिए")</f>
        <v>a) बेहतर नियंत्रण के लिए</v>
      </c>
    </row>
    <row r="39" ht="22.5" customHeight="1">
      <c r="A39" s="2">
        <v>38.0</v>
      </c>
      <c r="B39" s="3" t="s">
        <v>2715</v>
      </c>
      <c r="C39" s="3" t="s">
        <v>2719</v>
      </c>
      <c r="D39" s="3" t="s">
        <v>2720</v>
      </c>
      <c r="E39" s="3" t="s">
        <v>2721</v>
      </c>
      <c r="G39" s="8" t="str">
        <f>IFERROR(__xludf.DUMMYFUNCTION("GOOGLETRANSLATE(A39, ""en"", ""hi"")"),"38")</f>
        <v>38</v>
      </c>
      <c r="H39" s="8" t="str">
        <f>IFERROR(__xludf.DUMMYFUNCTION("GOOGLETRANSLATE(B39, ""en"", ""hi"")"),"कांचे_10")</f>
        <v>कांचे_10</v>
      </c>
      <c r="I39" s="8" t="str">
        <f>IFERROR(__xludf.DUMMYFUNCTION("GOOGLETRANSLATE(C39, ""en"", ""hi"")"),"चित्र में दिखाए गए खेल से, खेल के अंत में विजेता की पहचान कैसे की जाती है?")</f>
        <v>चित्र में दिखाए गए खेल से, खेल के अंत में विजेता की पहचान कैसे की जाती है?</v>
      </c>
      <c r="J39" s="8" t="str">
        <f>IFERROR(__xludf.DUMMYFUNCTION("GOOGLETRANSLATE(D39, ""en"", ""hi"")"),"a) एकत्रित वस्तुओं की संख्या से, b) ली गई बारी की संख्या से, c) चूकने वालों की संख्या से, d) सबसे तेज़ जयकार से")</f>
        <v>a) एकत्रित वस्तुओं की संख्या से, b) ली गई बारी की संख्या से, c) चूकने वालों की संख्या से, d) सबसे तेज़ जयकार से</v>
      </c>
      <c r="K39" s="8" t="str">
        <f>IFERROR(__xludf.DUMMYFUNCTION("GOOGLETRANSLATE(E39, ""en"", ""hi"")"),"a) एकत्रित वस्तुओं की संख्या से")</f>
        <v>a) एकत्रित वस्तुओं की संख्या से</v>
      </c>
    </row>
    <row r="40" ht="22.5" customHeight="1">
      <c r="A40" s="2">
        <v>39.0</v>
      </c>
      <c r="B40" s="3" t="s">
        <v>2715</v>
      </c>
      <c r="C40" s="3" t="s">
        <v>2722</v>
      </c>
      <c r="D40" s="3" t="s">
        <v>2723</v>
      </c>
      <c r="E40" s="3" t="s">
        <v>2724</v>
      </c>
      <c r="G40" s="8" t="str">
        <f>IFERROR(__xludf.DUMMYFUNCTION("GOOGLETRANSLATE(A40, ""en"", ""hi"")"),"39")</f>
        <v>39</v>
      </c>
      <c r="H40" s="8" t="str">
        <f>IFERROR(__xludf.DUMMYFUNCTION("GOOGLETRANSLATE(B40, ""en"", ""hi"")"),"कांचे_10")</f>
        <v>कांचे_10</v>
      </c>
      <c r="I40" s="8" t="str">
        <f>IFERROR(__xludf.DUMMYFUNCTION("GOOGLETRANSLATE(C40, ""en"", ""hi"")"),"चित्र में दिखाए गए खेल के अनुसार, प्रतिद्वंद्वी के कंचे पर निशाना साधते समय प्राथमिक उद्देश्य क्या होता है?")</f>
        <v>चित्र में दिखाए गए खेल के अनुसार, प्रतिद्वंद्वी के कंचे पर निशाना साधते समय प्राथमिक उद्देश्य क्या होता है?</v>
      </c>
      <c r="J40" s="8" t="str">
        <f>IFERROR(__xludf.DUMMYFUNCTION("GOOGLETRANSLATE(D40, ""en"", ""hi"")"),"a) इसे गोले से बाहर धकेलना, b) इसे मारकर इसकी स्थिति बदलना, c) इससे बचना, d) इसे दूसरे कंचे के ऊपर से कूदवाना")</f>
        <v>a) इसे गोले से बाहर धकेलना, b) इसे मारकर इसकी स्थिति बदलना, c) इससे बचना, d) इसे दूसरे कंचे के ऊपर से कूदवाना</v>
      </c>
      <c r="K40" s="8" t="str">
        <f>IFERROR(__xludf.DUMMYFUNCTION("GOOGLETRANSLATE(E40, ""en"", ""hi"")"),"a) इसे घेरे से बाहर धकेलना")</f>
        <v>a) इसे घेरे से बाहर धकेलना</v>
      </c>
    </row>
    <row r="41" ht="22.5" customHeight="1">
      <c r="A41" s="2">
        <v>40.0</v>
      </c>
      <c r="B41" s="3" t="s">
        <v>2715</v>
      </c>
      <c r="C41" s="3" t="s">
        <v>2725</v>
      </c>
      <c r="D41" s="3" t="s">
        <v>2726</v>
      </c>
      <c r="E41" s="3" t="s">
        <v>2727</v>
      </c>
      <c r="G41" s="8" t="str">
        <f>IFERROR(__xludf.DUMMYFUNCTION("GOOGLETRANSLATE(A41, ""en"", ""hi"")"),"40")</f>
        <v>40</v>
      </c>
      <c r="H41" s="8" t="str">
        <f>IFERROR(__xludf.DUMMYFUNCTION("GOOGLETRANSLATE(B41, ""en"", ""hi"")"),"कांचे_10")</f>
        <v>कांचे_10</v>
      </c>
      <c r="I41" s="8" t="str">
        <f>IFERROR(__xludf.DUMMYFUNCTION("GOOGLETRANSLATE(C41, ""en"", ""hi"")"),"चित्र में दिखाए गए खेल में से, कंचे को उछालने के लिए आमतौर पर किस तकनीक का उपयोग किया जाता है?")</f>
        <v>चित्र में दिखाए गए खेल में से, कंचे को उछालने के लिए आमतौर पर किस तकनीक का उपयोग किया जाता है?</v>
      </c>
      <c r="J41" s="8" t="str">
        <f>IFERROR(__xludf.DUMMYFUNCTION("GOOGLETRANSLATE(D41, ""en"", ""hi"")"),"a) अंगूठा झटका, b) उंगली धक्का, c) कलाई झटका, d) हथेली रोल")</f>
        <v>a) अंगूठा झटका, b) उंगली धक्का, c) कलाई झटका, d) हथेली रोल</v>
      </c>
      <c r="K41" s="8" t="str">
        <f>IFERROR(__xludf.DUMMYFUNCTION("GOOGLETRANSLATE(E41, ""en"", ""hi"")"),"a) अंगूठा झटका")</f>
        <v>a) अंगूठा झटका</v>
      </c>
    </row>
    <row r="42" ht="22.5" customHeight="1">
      <c r="A42" s="2">
        <v>41.0</v>
      </c>
      <c r="B42" s="3" t="s">
        <v>2728</v>
      </c>
      <c r="C42" s="3" t="s">
        <v>2729</v>
      </c>
      <c r="D42" s="3" t="s">
        <v>2730</v>
      </c>
      <c r="E42" s="3" t="s">
        <v>2731</v>
      </c>
      <c r="G42" s="8" t="str">
        <f>IFERROR(__xludf.DUMMYFUNCTION("GOOGLETRANSLATE(A42, ""en"", ""hi"")"),"41")</f>
        <v>41</v>
      </c>
      <c r="H42" s="8" t="str">
        <f>IFERROR(__xludf.DUMMYFUNCTION("GOOGLETRANSLATE(B42, ""en"", ""hi"")"),"कांचे_11")</f>
        <v>कांचे_11</v>
      </c>
      <c r="I42" s="8" t="str">
        <f>IFERROR(__xludf.DUMMYFUNCTION("GOOGLETRANSLATE(C42, ""en"", ""hi"")"),"चित्र में दिखाए गए खेल से, प्रारंभिक वृत्त आमतौर पर मैदान पर कैसे खींचा जाता है?")</f>
        <v>चित्र में दिखाए गए खेल से, प्रारंभिक वृत्त आमतौर पर मैदान पर कैसे खींचा जाता है?</v>
      </c>
      <c r="J42" s="8" t="str">
        <f>IFERROR(__xludf.DUMMYFUNCTION("GOOGLETRANSLATE(D42, ""en"", ""hi"")"),"a) छड़ी से, b) रस्सी का उपयोग करके, c) जूते से निशान बनाकर, d) चाक या मार्कर से")</f>
        <v>a) छड़ी से, b) रस्सी का उपयोग करके, c) जूते से निशान बनाकर, d) चाक या मार्कर से</v>
      </c>
      <c r="K42" s="8" t="str">
        <f>IFERROR(__xludf.DUMMYFUNCTION("GOOGLETRANSLATE(E42, ""en"", ""hi"")"),"घ) चाक या मार्कर से")</f>
        <v>घ) चाक या मार्कर से</v>
      </c>
    </row>
    <row r="43" ht="22.5" customHeight="1">
      <c r="A43" s="2">
        <v>42.0</v>
      </c>
      <c r="B43" s="3" t="s">
        <v>2728</v>
      </c>
      <c r="C43" s="3" t="s">
        <v>2732</v>
      </c>
      <c r="D43" s="3" t="s">
        <v>2733</v>
      </c>
      <c r="E43" s="3" t="s">
        <v>2734</v>
      </c>
      <c r="G43" s="8" t="str">
        <f>IFERROR(__xludf.DUMMYFUNCTION("GOOGLETRANSLATE(A43, ""en"", ""hi"")"),"42")</f>
        <v>42</v>
      </c>
      <c r="H43" s="8" t="str">
        <f>IFERROR(__xludf.DUMMYFUNCTION("GOOGLETRANSLATE(B43, ""en"", ""hi"")"),"कांचे_11")</f>
        <v>कांचे_11</v>
      </c>
      <c r="I43" s="8" t="str">
        <f>IFERROR(__xludf.DUMMYFUNCTION("GOOGLETRANSLATE(C43, ""en"", ""hi"")"),"चित्र में दिखाए गए खेल में से, निम्नलिखित में से कौन सी सतह खेलने के लिए आदर्श है?")</f>
        <v>चित्र में दिखाए गए खेल में से, निम्नलिखित में से कौन सी सतह खेलने के लिए आदर्श है?</v>
      </c>
      <c r="J43" s="8" t="str">
        <f>IFERROR(__xludf.DUMMYFUNCTION("GOOGLETRANSLATE(D43, ""en"", ""hi"")"),"a) कड़ी मिट्टी, b) घास, c) बजरी, d) रेत")</f>
        <v>a) कड़ी मिट्टी, b) घास, c) बजरी, d) रेत</v>
      </c>
      <c r="K43" s="8" t="str">
        <f>IFERROR(__xludf.DUMMYFUNCTION("GOOGLETRANSLATE(E43, ""en"", ""hi"")"),"क) कठोर मिट्टी")</f>
        <v>क) कठोर मिट्टी</v>
      </c>
    </row>
    <row r="44" ht="22.5" customHeight="1">
      <c r="A44" s="2">
        <v>43.0</v>
      </c>
      <c r="B44" s="3" t="s">
        <v>2728</v>
      </c>
      <c r="C44" s="3" t="s">
        <v>2735</v>
      </c>
      <c r="D44" s="3" t="s">
        <v>2736</v>
      </c>
      <c r="E44" s="3" t="s">
        <v>2737</v>
      </c>
      <c r="G44" s="8" t="str">
        <f>IFERROR(__xludf.DUMMYFUNCTION("GOOGLETRANSLATE(A44, ""en"", ""hi"")"),"43")</f>
        <v>43</v>
      </c>
      <c r="H44" s="8" t="str">
        <f>IFERROR(__xludf.DUMMYFUNCTION("GOOGLETRANSLATE(B44, ""en"", ""hi"")"),"कांचे_11")</f>
        <v>कांचे_11</v>
      </c>
      <c r="I44" s="8" t="str">
        <f>IFERROR(__xludf.DUMMYFUNCTION("GOOGLETRANSLATE(C44, ""en"", ""hi"")"),"चित्र में दिखाए गए खेल के अनुसार, यदि शॉट के बाद खिलाड़ी का कंचा सर्कल के बाहर गिर जाए तो क्या होगा?")</f>
        <v>चित्र में दिखाए गए खेल के अनुसार, यदि शॉट के बाद खिलाड़ी का कंचा सर्कल के बाहर गिर जाए तो क्या होगा?</v>
      </c>
      <c r="J44" s="8" t="str">
        <f>IFERROR(__xludf.DUMMYFUNCTION("GOOGLETRANSLATE(D44, ""en"", ""hi"")"),"a) खिलाड़ी को एक और बारी मिलती है, b) शॉट जब्त कर लिया जाता है, c) खिलाड़ी जीत जाता है, d) कंचा वापस सर्कल में आ जाता है")</f>
        <v>a) खिलाड़ी को एक और बारी मिलती है, b) शॉट जब्त कर लिया जाता है, c) खिलाड़ी जीत जाता है, d) कंचा वापस सर्कल में आ जाता है</v>
      </c>
      <c r="K44" s="8" t="str">
        <f>IFERROR(__xludf.DUMMYFUNCTION("GOOGLETRANSLATE(E44, ""en"", ""hi"")"),"b) शॉट जब्त कर लिया गया है")</f>
        <v>b) शॉट जब्त कर लिया गया है</v>
      </c>
    </row>
    <row r="45" ht="22.5" customHeight="1">
      <c r="A45" s="2">
        <v>44.0</v>
      </c>
      <c r="B45" s="3" t="s">
        <v>2728</v>
      </c>
      <c r="C45" s="3" t="s">
        <v>2738</v>
      </c>
      <c r="D45" s="3" t="s">
        <v>2739</v>
      </c>
      <c r="E45" s="3" t="s">
        <v>2740</v>
      </c>
      <c r="G45" s="8" t="str">
        <f>IFERROR(__xludf.DUMMYFUNCTION("GOOGLETRANSLATE(A45, ""en"", ""hi"")"),"44")</f>
        <v>44</v>
      </c>
      <c r="H45" s="8" t="str">
        <f>IFERROR(__xludf.DUMMYFUNCTION("GOOGLETRANSLATE(B45, ""en"", ""hi"")"),"कांचे_11")</f>
        <v>कांचे_11</v>
      </c>
      <c r="I45" s="8" t="str">
        <f>IFERROR(__xludf.DUMMYFUNCTION("GOOGLETRANSLATE(C45, ""en"", ""hi"")"),"चित्र में दिखाए गए खेल से, बड़े मार्बल, जिसे 'किंग' मार्बल भी कहा जाता है, का क्या महत्व है?")</f>
        <v>चित्र में दिखाए गए खेल से, बड़े मार्बल, जिसे 'किंग' मार्बल भी कहा जाता है, का क्या महत्व है?</v>
      </c>
      <c r="J45" s="8" t="str">
        <f>IFERROR(__xludf.DUMMYFUNCTION("GOOGLETRANSLATE(D45, ""en"", ""hi"")"),"a) इसका उपयोग अन्य कंचों पर प्रहार करने के लिए किया जाता है, b) यह अंतिम कंचा है जिसे खटखटाया जाता है, c) इसकी कोई विशेष भूमिका नहीं है, d) यह विजेता का निर्धारण करता है")</f>
        <v>a) इसका उपयोग अन्य कंचों पर प्रहार करने के लिए किया जाता है, b) यह अंतिम कंचा है जिसे खटखटाया जाता है, c) इसकी कोई विशेष भूमिका नहीं है, d) यह विजेता का निर्धारण करता है</v>
      </c>
      <c r="K45" s="8" t="str">
        <f>IFERROR(__xludf.DUMMYFUNCTION("GOOGLETRANSLATE(E45, ""en"", ""hi"")"),"a) इसका उपयोग अन्य कंचों पर प्रहार करने के लिए किया जाता है")</f>
        <v>a) इसका उपयोग अन्य कंचों पर प्रहार करने के लिए किया जाता है</v>
      </c>
    </row>
    <row r="46" ht="22.5" customHeight="1">
      <c r="A46" s="2">
        <v>45.0</v>
      </c>
      <c r="B46" s="3" t="s">
        <v>2741</v>
      </c>
      <c r="C46" s="3" t="s">
        <v>2742</v>
      </c>
      <c r="D46" s="3" t="s">
        <v>2743</v>
      </c>
      <c r="E46" s="3" t="s">
        <v>2744</v>
      </c>
      <c r="G46" s="8" t="str">
        <f>IFERROR(__xludf.DUMMYFUNCTION("GOOGLETRANSLATE(A46, ""en"", ""hi"")"),"45")</f>
        <v>45</v>
      </c>
      <c r="H46" s="8" t="str">
        <f>IFERROR(__xludf.DUMMYFUNCTION("GOOGLETRANSLATE(B46, ""en"", ""hi"")"),"कांचे_12")</f>
        <v>कांचे_12</v>
      </c>
      <c r="I46" s="8" t="str">
        <f>IFERROR(__xludf.DUMMYFUNCTION("GOOGLETRANSLATE(C46, ""en"", ""hi"")"),"चित्र में दिखाए गए खेल के अनुसार, खेल की शुरुआत में आमतौर पर सर्कल के अंदर कितने कंचे रखे जाते हैं?")</f>
        <v>चित्र में दिखाए गए खेल के अनुसार, खेल की शुरुआत में आमतौर पर सर्कल के अंदर कितने कंचे रखे जाते हैं?</v>
      </c>
      <c r="J46" s="8" t="str">
        <f>IFERROR(__xludf.DUMMYFUNCTION("GOOGLETRANSLATE(D46, ""en"", ""hi"")"),"ए) 1, बी) 5, सी) 10, डी) 20")</f>
        <v>ए) 1, बी) 5, सी) 10, डी) 20</v>
      </c>
      <c r="K46" s="8" t="str">
        <f>IFERROR(__xludf.DUMMYFUNCTION("GOOGLETRANSLATE(E46, ""en"", ""hi"")"),"बी) 5")</f>
        <v>बी) 5</v>
      </c>
    </row>
    <row r="47" ht="22.5" customHeight="1">
      <c r="A47" s="2">
        <v>46.0</v>
      </c>
      <c r="B47" s="3" t="s">
        <v>2741</v>
      </c>
      <c r="C47" s="3" t="s">
        <v>2745</v>
      </c>
      <c r="D47" s="3" t="s">
        <v>2746</v>
      </c>
      <c r="E47" s="3" t="s">
        <v>2616</v>
      </c>
      <c r="G47" s="8" t="str">
        <f>IFERROR(__xludf.DUMMYFUNCTION("GOOGLETRANSLATE(A47, ""en"", ""hi"")"),"46")</f>
        <v>46</v>
      </c>
      <c r="H47" s="8" t="str">
        <f>IFERROR(__xludf.DUMMYFUNCTION("GOOGLETRANSLATE(B47, ""en"", ""hi"")"),"कांचे_12")</f>
        <v>कांचे_12</v>
      </c>
      <c r="I47" s="8" t="str">
        <f>IFERROR(__xludf.DUMMYFUNCTION("GOOGLETRANSLATE(C47, ""en"", ""hi"")"),"चित्र में दिखाए गए खेल में से कौन सा कौशल सफल स्ट्राइक के लिए सबसे महत्वपूर्ण है?")</f>
        <v>चित्र में दिखाए गए खेल में से कौन सा कौशल सफल स्ट्राइक के लिए सबसे महत्वपूर्ण है?</v>
      </c>
      <c r="J47" s="8" t="str">
        <f>IFERROR(__xludf.DUMMYFUNCTION("GOOGLETRANSLATE(D47, ""en"", ""hi"")"),"a) सटीकता, b) गति, c) शक्ति, d) समय")</f>
        <v>a) सटीकता, b) गति, c) शक्ति, d) समय</v>
      </c>
      <c r="K47" s="8" t="str">
        <f>IFERROR(__xludf.DUMMYFUNCTION("GOOGLETRANSLATE(E47, ""en"", ""hi"")"),"क) सटीकता")</f>
        <v>क) सटीकता</v>
      </c>
    </row>
    <row r="48" ht="22.5" customHeight="1">
      <c r="A48" s="2">
        <v>47.0</v>
      </c>
      <c r="B48" s="3" t="s">
        <v>2741</v>
      </c>
      <c r="C48" s="3" t="s">
        <v>2747</v>
      </c>
      <c r="D48" s="3" t="s">
        <v>2748</v>
      </c>
      <c r="E48" s="3" t="s">
        <v>2749</v>
      </c>
      <c r="G48" s="8" t="str">
        <f>IFERROR(__xludf.DUMMYFUNCTION("GOOGLETRANSLATE(A48, ""en"", ""hi"")"),"47")</f>
        <v>47</v>
      </c>
      <c r="H48" s="8" t="str">
        <f>IFERROR(__xludf.DUMMYFUNCTION("GOOGLETRANSLATE(B48, ""en"", ""hi"")"),"कांचे_12")</f>
        <v>कांचे_12</v>
      </c>
      <c r="I48" s="8" t="str">
        <f>IFERROR(__xludf.DUMMYFUNCTION("GOOGLETRANSLATE(C48, ""en"", ""hi"")"),"चित्र में दिखाए गए खेल से, जब कई कंचे एक साथ पास हों तो मुख्य रणनीति क्या है?")</f>
        <v>चित्र में दिखाए गए खेल से, जब कई कंचे एक साथ पास हों तो मुख्य रणनीति क्या है?</v>
      </c>
      <c r="J48" s="8" t="str">
        <f>IFERROR(__xludf.DUMMYFUNCTION("GOOGLETRANSLATE(D48, ""en"", ""hi"")"),"क) बीच वाले मार्बल पर प्रहार करें, ख) जितना संभव हो सके उतने मार्बल को बाहर कर दें, ग) किसी भी मार्बल पर प्रहार करने से बचें, घ) मार्बल को कम से कम बल से उछालें")</f>
        <v>क) बीच वाले मार्बल पर प्रहार करें, ख) जितना संभव हो सके उतने मार्बल को बाहर कर दें, ग) किसी भी मार्बल पर प्रहार करने से बचें, घ) मार्बल को कम से कम बल से उछालें</v>
      </c>
      <c r="K48" s="8" t="str">
        <f>IFERROR(__xludf.DUMMYFUNCTION("GOOGLETRANSLATE(E48, ""en"", ""hi"")"),"ख) जितना संभव हो सके उतने लोगों को बाहर करें")</f>
        <v>ख) जितना संभव हो सके उतने लोगों को बाहर करें</v>
      </c>
    </row>
    <row r="49" ht="22.5" customHeight="1">
      <c r="A49" s="2">
        <v>48.0</v>
      </c>
      <c r="B49" s="3" t="s">
        <v>2741</v>
      </c>
      <c r="C49" s="3" t="s">
        <v>2750</v>
      </c>
      <c r="D49" s="3" t="s">
        <v>2751</v>
      </c>
      <c r="E49" s="3" t="s">
        <v>2752</v>
      </c>
      <c r="G49" s="8" t="str">
        <f>IFERROR(__xludf.DUMMYFUNCTION("GOOGLETRANSLATE(A49, ""en"", ""hi"")"),"48")</f>
        <v>48</v>
      </c>
      <c r="H49" s="8" t="str">
        <f>IFERROR(__xludf.DUMMYFUNCTION("GOOGLETRANSLATE(B49, ""en"", ""hi"")"),"कांचे_12")</f>
        <v>कांचे_12</v>
      </c>
      <c r="I49" s="8" t="str">
        <f>IFERROR(__xludf.DUMMYFUNCTION("GOOGLETRANSLATE(C49, ""en"", ""hi"")"),"चित्र में दिखाए गए खेल में से, निम्नलिखित में से किसे फाउल माना जाता है?")</f>
        <v>चित्र में दिखाए गए खेल में से, निम्नलिखित में से किसे फाउल माना जाता है?</v>
      </c>
      <c r="J49" s="8" t="str">
        <f>IFERROR(__xludf.DUMMYFUNCTION("GOOGLETRANSLATE(D49, ""en"", ""hi"")"),"क) फ्लिक करने से पहले लाइन पार करना, ख) सभी मार्बल मिस करना, ग) कई मार्बल मारना, घ) मार्बल को बहुत हल्के से मारना")</f>
        <v>क) फ्लिक करने से पहले लाइन पार करना, ख) सभी मार्बल मिस करना, ग) कई मार्बल मारना, घ) मार्बल को बहुत हल्के से मारना</v>
      </c>
      <c r="K49" s="8" t="str">
        <f>IFERROR(__xludf.DUMMYFUNCTION("GOOGLETRANSLATE(E49, ""en"", ""hi"")"),"a) फ़्लिक करने से पहले रेखा पार करना")</f>
        <v>a) फ़्लिक करने से पहले रेखा पार करना</v>
      </c>
    </row>
    <row r="50" ht="22.5" customHeight="1">
      <c r="A50" s="2">
        <v>49.0</v>
      </c>
      <c r="B50" s="3" t="s">
        <v>2753</v>
      </c>
      <c r="C50" s="3" t="s">
        <v>2754</v>
      </c>
      <c r="D50" s="3" t="s">
        <v>2755</v>
      </c>
      <c r="E50" s="3" t="s">
        <v>2756</v>
      </c>
      <c r="G50" s="8" t="str">
        <f>IFERROR(__xludf.DUMMYFUNCTION("GOOGLETRANSLATE(A50, ""en"", ""hi"")"),"49")</f>
        <v>49</v>
      </c>
      <c r="H50" s="8" t="str">
        <f>IFERROR(__xludf.DUMMYFUNCTION("GOOGLETRANSLATE(B50, ""en"", ""hi"")"),"कांचे_13")</f>
        <v>कांचे_13</v>
      </c>
      <c r="I50" s="8" t="str">
        <f>IFERROR(__xludf.DUMMYFUNCTION("GOOGLETRANSLATE(C50, ""en"", ""hi"")"),"चित्र में दिखाए गए खेल के अनुसार, क्या होता है जब स्ट्राइक के बाद खिलाड़ी का कंचा सर्कल के अंदर रहता है?")</f>
        <v>चित्र में दिखाए गए खेल के अनुसार, क्या होता है जब स्ट्राइक के बाद खिलाड़ी का कंचा सर्कल के अंदर रहता है?</v>
      </c>
      <c r="J50" s="8" t="str">
        <f>IFERROR(__xludf.DUMMYFUNCTION("GOOGLETRANSLATE(D50, ""en"", ""hi"")"),"a) खिलाड़ी एक बारी खो देता है, b) खिलाड़ी को एक और मौका मिलता है, c) कंचा खेल से हटा दिया जाता है, d) कंचा खेल में बना रहता है")</f>
        <v>a) खिलाड़ी एक बारी खो देता है, b) खिलाड़ी को एक और मौका मिलता है, c) कंचा खेल से हटा दिया जाता है, d) कंचा खेल में बना रहता है</v>
      </c>
      <c r="K50" s="8" t="str">
        <f>IFERROR(__xludf.DUMMYFUNCTION("GOOGLETRANSLATE(E50, ""en"", ""hi"")"),"d) कंचा खेल में बना रहता है")</f>
        <v>d) कंचा खेल में बना रहता है</v>
      </c>
    </row>
    <row r="51" ht="22.5" customHeight="1">
      <c r="A51" s="2">
        <v>50.0</v>
      </c>
      <c r="B51" s="3" t="s">
        <v>2753</v>
      </c>
      <c r="C51" s="3" t="s">
        <v>2757</v>
      </c>
      <c r="D51" s="3" t="s">
        <v>2758</v>
      </c>
      <c r="E51" s="3" t="s">
        <v>2759</v>
      </c>
      <c r="G51" s="8" t="str">
        <f>IFERROR(__xludf.DUMMYFUNCTION("GOOGLETRANSLATE(A51, ""en"", ""hi"")"),"50")</f>
        <v>50</v>
      </c>
      <c r="H51" s="8" t="str">
        <f>IFERROR(__xludf.DUMMYFUNCTION("GOOGLETRANSLATE(B51, ""en"", ""hi"")"),"कांचे_13")</f>
        <v>कांचे_13</v>
      </c>
      <c r="I51" s="8" t="str">
        <f>IFERROR(__xludf.DUMMYFUNCTION("GOOGLETRANSLATE(C51, ""en"", ""hi"")"),"चित्र में दिखाए गए खेल से, फ़्लिक करने से पहले कंचे को पकड़ने का सबसे अच्छा तरीका क्या है?")</f>
        <v>चित्र में दिखाए गए खेल से, फ़्लिक करने से पहले कंचे को पकड़ने का सबसे अच्छा तरीका क्या है?</v>
      </c>
      <c r="J51" s="8" t="str">
        <f>IFERROR(__xludf.DUMMYFUNCTION("GOOGLETRANSLATE(D51, ""en"", ""hi"")"),"क) अंगूठे और तर्जनी के बीच, ख) हाथ की हथेली में, ग) तर्जनी और मध्यमा के बीच, घ) अंगूठे और मध्यमा के बीच")</f>
        <v>क) अंगूठे और तर्जनी के बीच, ख) हाथ की हथेली में, ग) तर्जनी और मध्यमा के बीच, घ) अंगूठे और मध्यमा के बीच</v>
      </c>
      <c r="K51" s="8" t="str">
        <f>IFERROR(__xludf.DUMMYFUNCTION("GOOGLETRANSLATE(E51, ""en"", ""hi"")"),"क) अंगूठे और तर्जनी के बीच")</f>
        <v>क) अंगूठे और तर्जनी के बीच</v>
      </c>
    </row>
    <row r="52" ht="22.5" customHeight="1">
      <c r="A52" s="2">
        <v>51.0</v>
      </c>
      <c r="B52" s="3" t="s">
        <v>2753</v>
      </c>
      <c r="C52" s="3" t="s">
        <v>2760</v>
      </c>
      <c r="D52" s="3" t="s">
        <v>2761</v>
      </c>
      <c r="E52" s="3" t="s">
        <v>2762</v>
      </c>
      <c r="G52" s="8" t="str">
        <f>IFERROR(__xludf.DUMMYFUNCTION("GOOGLETRANSLATE(A52, ""en"", ""hi"")"),"51")</f>
        <v>51</v>
      </c>
      <c r="H52" s="8" t="str">
        <f>IFERROR(__xludf.DUMMYFUNCTION("GOOGLETRANSLATE(B52, ""en"", ""hi"")"),"कांचे_13")</f>
        <v>कांचे_13</v>
      </c>
      <c r="I52" s="8" t="str">
        <f>IFERROR(__xludf.DUMMYFUNCTION("GOOGLETRANSLATE(C52, ""en"", ""hi"")"),"चित्र में दिखाए गए खेल से, निम्नलिखित में से कौन सा कारक मार्बल स्ट्राइक के परिणाम को प्रभावित करता है?")</f>
        <v>चित्र में दिखाए गए खेल से, निम्नलिखित में से कौन सा कारक मार्बल स्ट्राइक के परिणाम को प्रभावित करता है?</v>
      </c>
      <c r="J52" s="8" t="str">
        <f>IFERROR(__xludf.DUMMYFUNCTION("GOOGLETRANSLATE(D52, ""en"", ""hi"")"),"a) फ़्लिक का कोण, b) कंचे का रंग, c) वृत्त का आकार, d) खिलाड़ियों की संख्या")</f>
        <v>a) फ़्लिक का कोण, b) कंचे का रंग, c) वृत्त का आकार, d) खिलाड़ियों की संख्या</v>
      </c>
      <c r="K52" s="8" t="str">
        <f>IFERROR(__xludf.DUMMYFUNCTION("GOOGLETRANSLATE(E52, ""en"", ""hi"")"),"a) झटका का कोण")</f>
        <v>a) झटका का कोण</v>
      </c>
    </row>
    <row r="53" ht="22.5" customHeight="1">
      <c r="A53" s="2">
        <v>52.0</v>
      </c>
      <c r="B53" s="3" t="s">
        <v>2753</v>
      </c>
      <c r="C53" s="3" t="s">
        <v>2763</v>
      </c>
      <c r="D53" s="3" t="s">
        <v>2764</v>
      </c>
      <c r="E53" s="3" t="s">
        <v>2765</v>
      </c>
      <c r="G53" s="8" t="str">
        <f>IFERROR(__xludf.DUMMYFUNCTION("GOOGLETRANSLATE(A53, ""en"", ""hi"")"),"52")</f>
        <v>52</v>
      </c>
      <c r="H53" s="8" t="str">
        <f>IFERROR(__xludf.DUMMYFUNCTION("GOOGLETRANSLATE(B53, ""en"", ""hi"")"),"कांचे_13")</f>
        <v>कांचे_13</v>
      </c>
      <c r="I53" s="8" t="str">
        <f>IFERROR(__xludf.DUMMYFUNCTION("GOOGLETRANSLATE(C53, ""en"", ""hi"")"),"चित्र में दिखाए गए खेल में किस खिलाड़ी को पहली बारी मिलती है?")</f>
        <v>चित्र में दिखाए गए खेल में किस खिलाड़ी को पहली बारी मिलती है?</v>
      </c>
      <c r="J53" s="8" t="str">
        <f>IFERROR(__xludf.DUMMYFUNCTION("GOOGLETRANSLATE(D53, ""en"", ""hi"")"),"a) सबसे कम उम्र का खिलाड़ी, b) सबसे बड़ा कंचा रखने वाला खिलाड़ी, c) सबसे छोटी छड़ी निकालने वाला खिलाड़ी, d) सिक्का उछालने वाला खिलाड़ी")</f>
        <v>a) सबसे कम उम्र का खिलाड़ी, b) सबसे बड़ा कंचा रखने वाला खिलाड़ी, c) सबसे छोटी छड़ी निकालने वाला खिलाड़ी, d) सिक्का उछालने वाला खिलाड़ी</v>
      </c>
      <c r="K53" s="8" t="str">
        <f>IFERROR(__xludf.DUMMYFUNCTION("GOOGLETRANSLATE(E53, ""en"", ""hi"")"),"d) वह खिलाड़ी जो सिक्का उछालकर जीतता है")</f>
        <v>d) वह खिलाड़ी जो सिक्का उछालकर जीतता है</v>
      </c>
    </row>
    <row r="54" ht="22.5" customHeight="1">
      <c r="A54" s="2">
        <v>53.0</v>
      </c>
      <c r="B54" s="3" t="s">
        <v>2766</v>
      </c>
      <c r="C54" s="3" t="s">
        <v>2767</v>
      </c>
      <c r="D54" s="3" t="s">
        <v>2768</v>
      </c>
      <c r="E54" s="3" t="s">
        <v>2769</v>
      </c>
      <c r="G54" s="8" t="str">
        <f>IFERROR(__xludf.DUMMYFUNCTION("GOOGLETRANSLATE(A54, ""en"", ""hi"")"),"53")</f>
        <v>53</v>
      </c>
      <c r="H54" s="8" t="str">
        <f>IFERROR(__xludf.DUMMYFUNCTION("GOOGLETRANSLATE(B54, ""en"", ""hi"")"),"कांचे_14")</f>
        <v>कांचे_14</v>
      </c>
      <c r="I54" s="8" t="str">
        <f>IFERROR(__xludf.DUMMYFUNCTION("GOOGLETRANSLATE(C54, ""en"", ""hi"")"),"चित्र में दिखाए गए खेल के अनुसार, क्या होता है जब कोई खिलाड़ी सर्कल से सभी कंचों को सफलतापूर्वक बाहर निकाल देता है?")</f>
        <v>चित्र में दिखाए गए खेल के अनुसार, क्या होता है जब कोई खिलाड़ी सर्कल से सभी कंचों को सफलतापूर्वक बाहर निकाल देता है?</v>
      </c>
      <c r="J54" s="8" t="str">
        <f>IFERROR(__xludf.DUMMYFUNCTION("GOOGLETRANSLATE(D54, ""en"", ""hi"")"),"a) खेल रीसेट हो जाता है, b) खिलाड़ी खेल जीत जाता है, c) खिलाड़ी को एक अतिरिक्त बारी मिलती है, d) खिलाड़ी एक बारी खो देता है")</f>
        <v>a) खेल रीसेट हो जाता है, b) खिलाड़ी खेल जीत जाता है, c) खिलाड़ी को एक अतिरिक्त बारी मिलती है, d) खिलाड़ी एक बारी खो देता है</v>
      </c>
      <c r="K54" s="8" t="str">
        <f>IFERROR(__xludf.DUMMYFUNCTION("GOOGLETRANSLATE(E54, ""en"", ""hi"")"),"b) खिलाड़ी खेल जीतता है")</f>
        <v>b) खिलाड़ी खेल जीतता है</v>
      </c>
    </row>
    <row r="55" ht="22.5" customHeight="1">
      <c r="A55" s="2">
        <v>54.0</v>
      </c>
      <c r="B55" s="3" t="s">
        <v>2766</v>
      </c>
      <c r="C55" s="3" t="s">
        <v>2770</v>
      </c>
      <c r="D55" s="3" t="s">
        <v>2771</v>
      </c>
      <c r="E55" s="3" t="s">
        <v>2772</v>
      </c>
      <c r="G55" s="8" t="str">
        <f>IFERROR(__xludf.DUMMYFUNCTION("GOOGLETRANSLATE(A55, ""en"", ""hi"")"),"54")</f>
        <v>54</v>
      </c>
      <c r="H55" s="8" t="str">
        <f>IFERROR(__xludf.DUMMYFUNCTION("GOOGLETRANSLATE(B55, ""en"", ""hi"")"),"कांचे_14")</f>
        <v>कांचे_14</v>
      </c>
      <c r="I55" s="8" t="str">
        <f>IFERROR(__xludf.DUMMYFUNCTION("GOOGLETRANSLATE(C55, ""en"", ""hi"")"),"चित्र में दिखाए गए खेल के अनुसार, खेल चक्र का सामान्य आकार क्या है?")</f>
        <v>चित्र में दिखाए गए खेल के अनुसार, खेल चक्र का सामान्य आकार क्या है?</v>
      </c>
      <c r="J55" s="8" t="str">
        <f>IFERROR(__xludf.DUMMYFUNCTION("GOOGLETRANSLATE(D55, ""en"", ""hi"")"),"a) 1 फुट व्यास, b) 2 फुट व्यास, c) 3 फुट व्यास, d) 4 फुट व्यास")</f>
        <v>a) 1 फुट व्यास, b) 2 फुट व्यास, c) 3 फुट व्यास, d) 4 फुट व्यास</v>
      </c>
      <c r="K55" s="8" t="str">
        <f>IFERROR(__xludf.DUMMYFUNCTION("GOOGLETRANSLATE(E55, ""en"", ""hi"")"),"c) 3 फीट व्यास")</f>
        <v>c) 3 फीट व्यास</v>
      </c>
    </row>
    <row r="56" ht="22.5" customHeight="1">
      <c r="A56" s="2">
        <v>55.0</v>
      </c>
      <c r="B56" s="3" t="s">
        <v>2766</v>
      </c>
      <c r="C56" s="3" t="s">
        <v>2773</v>
      </c>
      <c r="D56" s="3" t="s">
        <v>2774</v>
      </c>
      <c r="E56" s="3" t="s">
        <v>2775</v>
      </c>
      <c r="G56" s="8" t="str">
        <f>IFERROR(__xludf.DUMMYFUNCTION("GOOGLETRANSLATE(A56, ""en"", ""hi"")"),"55")</f>
        <v>55</v>
      </c>
      <c r="H56" s="8" t="str">
        <f>IFERROR(__xludf.DUMMYFUNCTION("GOOGLETRANSLATE(B56, ""en"", ""hi"")"),"कांचे_14")</f>
        <v>कांचे_14</v>
      </c>
      <c r="I56" s="8" t="str">
        <f>IFERROR(__xludf.DUMMYFUNCTION("GOOGLETRANSLATE(C56, ""en"", ""hi"")"),"चित्र में दिखाए गए खेल के अनुसार, यदि किसी खिलाड़ी का कंचा किसी अन्य खिलाड़ी द्वारा गिरा दिया जाए तो इसका क्या परिणाम होगा?")</f>
        <v>चित्र में दिखाए गए खेल के अनुसार, यदि किसी खिलाड़ी का कंचा किसी अन्य खिलाड़ी द्वारा गिरा दिया जाए तो इसका क्या परिणाम होगा?</v>
      </c>
      <c r="J56" s="8" t="str">
        <f>IFERROR(__xludf.DUMMYFUNCTION("GOOGLETRANSLATE(D56, ""en"", ""hi"")"),"a) खिलाड़ी कंचा खो देता है, b) खिलाड़ी को एक अतिरिक्त बारी मिलती है, c) कंचा खिलाड़ी को वापस कर दिया जाता है, d) कंचा वापस गोले में रख दिया जाता है")</f>
        <v>a) खिलाड़ी कंचा खो देता है, b) खिलाड़ी को एक अतिरिक्त बारी मिलती है, c) कंचा खिलाड़ी को वापस कर दिया जाता है, d) कंचा वापस गोले में रख दिया जाता है</v>
      </c>
      <c r="K56" s="8" t="str">
        <f>IFERROR(__xludf.DUMMYFUNCTION("GOOGLETRANSLATE(E56, ""en"", ""hi"")"),"a) खिलाड़ी मार्बल हार जाता है")</f>
        <v>a) खिलाड़ी मार्बल हार जाता है</v>
      </c>
    </row>
    <row r="57" ht="22.5" customHeight="1">
      <c r="A57" s="2">
        <v>56.0</v>
      </c>
      <c r="B57" s="3" t="s">
        <v>2766</v>
      </c>
      <c r="C57" s="3" t="s">
        <v>2776</v>
      </c>
      <c r="D57" s="3" t="s">
        <v>2777</v>
      </c>
      <c r="E57" s="3" t="s">
        <v>2778</v>
      </c>
      <c r="G57" s="8" t="str">
        <f>IFERROR(__xludf.DUMMYFUNCTION("GOOGLETRANSLATE(A57, ""en"", ""hi"")"),"56")</f>
        <v>56</v>
      </c>
      <c r="H57" s="8" t="str">
        <f>IFERROR(__xludf.DUMMYFUNCTION("GOOGLETRANSLATE(B57, ""en"", ""hi"")"),"कांचे_14")</f>
        <v>कांचे_14</v>
      </c>
      <c r="I57" s="8" t="str">
        <f>IFERROR(__xludf.DUMMYFUNCTION("GOOGLETRANSLATE(C57, ""en"", ""hi"")"),"चित्र में दिखाए गए खेल से, 'शूटर' मार्बल की क्या भूमिका है?")</f>
        <v>चित्र में दिखाए गए खेल से, 'शूटर' मार्बल की क्या भूमिका है?</v>
      </c>
      <c r="J57" s="8" t="str">
        <f>IFERROR(__xludf.DUMMYFUNCTION("GOOGLETRANSLATE(D57, ""en"", ""hi"")"),"क) खेल शुरू करना, ख) अन्य कंचों को घेरे से बाहर करना, ग) सीमा चिन्हित करना, घ) लक्ष्य के रूप में उपयोग करना")</f>
        <v>क) खेल शुरू करना, ख) अन्य कंचों को घेरे से बाहर करना, ग) सीमा चिन्हित करना, घ) लक्ष्य के रूप में उपयोग करना</v>
      </c>
      <c r="K57" s="8" t="str">
        <f>IFERROR(__xludf.DUMMYFUNCTION("GOOGLETRANSLATE(E57, ""en"", ""hi"")"),"b) अन्य कंचों को घेरे से बाहर गिराना")</f>
        <v>b) अन्य कंचों को घेरे से बाहर गिराना</v>
      </c>
    </row>
    <row r="58" ht="22.5" customHeight="1">
      <c r="A58" s="2">
        <v>57.0</v>
      </c>
      <c r="B58" s="3" t="s">
        <v>2779</v>
      </c>
      <c r="C58" s="3" t="s">
        <v>2780</v>
      </c>
      <c r="D58" s="3" t="s">
        <v>2781</v>
      </c>
      <c r="E58" s="3" t="s">
        <v>2603</v>
      </c>
      <c r="G58" s="8" t="str">
        <f>IFERROR(__xludf.DUMMYFUNCTION("GOOGLETRANSLATE(A58, ""en"", ""hi"")"),"57")</f>
        <v>57</v>
      </c>
      <c r="H58" s="8" t="str">
        <f>IFERROR(__xludf.DUMMYFUNCTION("GOOGLETRANSLATE(B58, ""en"", ""hi"")"),"कांचे_15")</f>
        <v>कांचे_15</v>
      </c>
      <c r="I58" s="8" t="str">
        <f>IFERROR(__xludf.DUMMYFUNCTION("GOOGLETRANSLATE(C58, ""en"", ""hi"")"),"चित्र में दिखाए गए खेल से, पारंपरिक मार्बल आमतौर पर किस सामग्री से बनाए जाते हैं?")</f>
        <v>चित्र में दिखाए गए खेल से, पारंपरिक मार्बल आमतौर पर किस सामग्री से बनाए जाते हैं?</v>
      </c>
      <c r="J58" s="8" t="str">
        <f>IFERROR(__xludf.DUMMYFUNCTION("GOOGLETRANSLATE(D58, ""en"", ""hi"")"),"a) कांच, b) प्लास्टिक, c) धातु, d) मिट्टी")</f>
        <v>a) कांच, b) प्लास्टिक, c) धातु, d) मिट्टी</v>
      </c>
      <c r="K58" s="8" t="str">
        <f>IFERROR(__xludf.DUMMYFUNCTION("GOOGLETRANSLATE(E58, ""en"", ""hi"")"),"क) कांच")</f>
        <v>क) कांच</v>
      </c>
    </row>
    <row r="59" ht="22.5" customHeight="1">
      <c r="A59" s="2">
        <v>58.0</v>
      </c>
      <c r="B59" s="3" t="s">
        <v>2779</v>
      </c>
      <c r="C59" s="3" t="s">
        <v>2782</v>
      </c>
      <c r="D59" s="3" t="s">
        <v>2783</v>
      </c>
      <c r="E59" s="3" t="s">
        <v>2784</v>
      </c>
      <c r="G59" s="8" t="str">
        <f>IFERROR(__xludf.DUMMYFUNCTION("GOOGLETRANSLATE(A59, ""en"", ""hi"")"),"58")</f>
        <v>58</v>
      </c>
      <c r="H59" s="8" t="str">
        <f>IFERROR(__xludf.DUMMYFUNCTION("GOOGLETRANSLATE(B59, ""en"", ""hi"")"),"कांचे_15")</f>
        <v>कांचे_15</v>
      </c>
      <c r="I59" s="8" t="str">
        <f>IFERROR(__xludf.DUMMYFUNCTION("GOOGLETRANSLATE(C59, ""en"", ""hi"")"),"चित्र में दिखाए गए खेल में से, शूटिंग के लिए कंचे का चयन करते समय कौन सा कारक सबसे कम महत्वपूर्ण है?")</f>
        <v>चित्र में दिखाए गए खेल में से, शूटिंग के लिए कंचे का चयन करते समय कौन सा कारक सबसे कम महत्वपूर्ण है?</v>
      </c>
      <c r="J59" s="8" t="str">
        <f>IFERROR(__xludf.DUMMYFUNCTION("GOOGLETRANSLATE(D59, ""en"", ""hi"")"),"a) रंग, b) वजन, c) आकार, d) आकृति")</f>
        <v>a) रंग, b) वजन, c) आकार, d) आकृति</v>
      </c>
      <c r="K59" s="8" t="str">
        <f>IFERROR(__xludf.DUMMYFUNCTION("GOOGLETRANSLATE(E59, ""en"", ""hi"")"),"क) रंग")</f>
        <v>क) रंग</v>
      </c>
    </row>
    <row r="60" ht="22.5" customHeight="1">
      <c r="A60" s="2">
        <v>59.0</v>
      </c>
      <c r="B60" s="3" t="s">
        <v>2779</v>
      </c>
      <c r="C60" s="3" t="s">
        <v>2539</v>
      </c>
      <c r="D60" s="3" t="s">
        <v>2785</v>
      </c>
      <c r="E60" s="3" t="s">
        <v>2786</v>
      </c>
      <c r="G60" s="8" t="str">
        <f>IFERROR(__xludf.DUMMYFUNCTION("GOOGLETRANSLATE(A60, ""en"", ""hi"")"),"59")</f>
        <v>59</v>
      </c>
      <c r="H60" s="8" t="str">
        <f>IFERROR(__xludf.DUMMYFUNCTION("GOOGLETRANSLATE(B60, ""en"", ""hi"")"),"कांचे_15")</f>
        <v>कांचे_15</v>
      </c>
      <c r="I60" s="8" t="str">
        <f>IFERROR(__xludf.DUMMYFUNCTION("GOOGLETRANSLATE(C60, ""en"", ""hi"")"),"चित्र में दिखाए गए खेल से विजेता का निर्धारण आमतौर पर कैसे होता है?")</f>
        <v>चित्र में दिखाए गए खेल से विजेता का निर्धारण आमतौर पर कैसे होता है?</v>
      </c>
      <c r="J60" s="8" t="str">
        <f>IFERROR(__xludf.DUMMYFUNCTION("GOOGLETRANSLATE(D60, ""en"", ""hi"")"),"a) एकत्रित किए गए कंचों की संख्या से, b) कंचे द्वारा तय की गई दूरी से, c) लिए गए घुमावों की संख्या से, d) शॉट्स की सटीकता से")</f>
        <v>a) एकत्रित किए गए कंचों की संख्या से, b) कंचे द्वारा तय की गई दूरी से, c) लिए गए घुमावों की संख्या से, d) शॉट्स की सटीकता से</v>
      </c>
      <c r="K60" s="8" t="str">
        <f>IFERROR(__xludf.DUMMYFUNCTION("GOOGLETRANSLATE(E60, ""en"", ""hi"")"),"a) एकत्रित किए गए कंचों की संख्या से")</f>
        <v>a) एकत्रित किए गए कंचों की संख्या से</v>
      </c>
    </row>
    <row r="61" ht="22.5" customHeight="1">
      <c r="A61" s="2">
        <v>60.0</v>
      </c>
      <c r="B61" s="3" t="s">
        <v>2779</v>
      </c>
      <c r="C61" s="3" t="s">
        <v>2787</v>
      </c>
      <c r="D61" s="3" t="s">
        <v>2788</v>
      </c>
      <c r="E61" s="3" t="s">
        <v>2789</v>
      </c>
      <c r="G61" s="8" t="str">
        <f>IFERROR(__xludf.DUMMYFUNCTION("GOOGLETRANSLATE(A61, ""en"", ""hi"")"),"60")</f>
        <v>60</v>
      </c>
      <c r="H61" s="8" t="str">
        <f>IFERROR(__xludf.DUMMYFUNCTION("GOOGLETRANSLATE(B61, ""en"", ""hi"")"),"कांचे_15")</f>
        <v>कांचे_15</v>
      </c>
      <c r="I61" s="8" t="str">
        <f>IFERROR(__xludf.DUMMYFUNCTION("GOOGLETRANSLATE(C61, ""en"", ""hi"")"),"चित्र में दिखाए गए खेल से, जब कई कंचे किनारे के करीब हों, तो निम्नलिखित में से कौन सी रणनीति सबसे प्रभावी है?")</f>
        <v>चित्र में दिखाए गए खेल से, जब कई कंचे किनारे के करीब हों, तो निम्नलिखित में से कौन सी रणनीति सबसे प्रभावी है?</v>
      </c>
      <c r="J61" s="8" t="str">
        <f>IFERROR(__xludf.DUMMYFUNCTION("GOOGLETRANSLATE(D61, ""en"", ""hi"")"),"क) निकटतम मार्बल पर निशाना लगाएँ, ख) अधिकतम बल से झटका दें, ग) अन्य मार्बलों को हिलाने से बचाने के लिए हल्के से झटका दें, घ) अन्य मार्बलों को गिराने से बचाने के लिए मार्बल को एक कोण पर मारें")</f>
        <v>क) निकटतम मार्बल पर निशाना लगाएँ, ख) अधिकतम बल से झटका दें, ग) अन्य मार्बलों को हिलाने से बचाने के लिए हल्के से झटका दें, घ) अन्य मार्बलों को गिराने से बचाने के लिए मार्बल को एक कोण पर मारें</v>
      </c>
      <c r="K61" s="8" t="str">
        <f>IFERROR(__xludf.DUMMYFUNCTION("GOOGLETRANSLATE(E61, ""en"", ""hi"")"),"d) दूसरों को गिरने से बचाने के लिए कंचे को एक कोण पर मारें")</f>
        <v>d) दूसरों को गिरने से बचाने के लिए कंचे को एक कोण पर मारें</v>
      </c>
    </row>
    <row r="62" ht="22.5" customHeight="1">
      <c r="A62" s="2">
        <v>61.0</v>
      </c>
      <c r="B62" s="3" t="s">
        <v>2790</v>
      </c>
      <c r="C62" s="3" t="s">
        <v>2791</v>
      </c>
      <c r="D62" s="3" t="s">
        <v>2792</v>
      </c>
      <c r="E62" s="3" t="s">
        <v>2793</v>
      </c>
      <c r="G62" s="8" t="str">
        <f>IFERROR(__xludf.DUMMYFUNCTION("GOOGLETRANSLATE(A62, ""en"", ""hi"")"),"61")</f>
        <v>61</v>
      </c>
      <c r="H62" s="8" t="str">
        <f>IFERROR(__xludf.DUMMYFUNCTION("GOOGLETRANSLATE(B62, ""en"", ""hi"")"),"कांचे_16")</f>
        <v>कांचे_16</v>
      </c>
      <c r="I62" s="8" t="str">
        <f>IFERROR(__xludf.DUMMYFUNCTION("GOOGLETRANSLATE(C62, ""en"", ""hi"")"),"चित्र में दिखाए गए खेल के अनुसार, यदि किसी खिलाड़ी के मार्बल के नॉकआउट होने का खतरा हो तो उसे क्या करना चाहिए?")</f>
        <v>चित्र में दिखाए गए खेल के अनुसार, यदि किसी खिलाड़ी के मार्बल के नॉकआउट होने का खतरा हो तो उसे क्या करना चाहिए?</v>
      </c>
      <c r="J62" s="8" t="str">
        <f>IFERROR(__xludf.DUMMYFUNCTION("GOOGLETRANSLATE(D62, ""en"", ""hi"")"),"क) मार्बल की रक्षा करें, ख) मार्बल को केंद्र के करीब ले जाएं, ग) अन्य मार्बल से टकराने से बचें, घ) अगले मोड़ के लिए मार्बल को रणनीतिक रूप से रखें")</f>
        <v>क) मार्बल की रक्षा करें, ख) मार्बल को केंद्र के करीब ले जाएं, ग) अन्य मार्बल से टकराने से बचें, घ) अगले मोड़ के लिए मार्बल को रणनीतिक रूप से रखें</v>
      </c>
      <c r="K62" s="8" t="str">
        <f>IFERROR(__xludf.DUMMYFUNCTION("GOOGLETRANSLATE(E62, ""en"", ""hi"")"),"d) अगली बारी के लिए मार्बल को रणनीतिक रूप से रखें")</f>
        <v>d) अगली बारी के लिए मार्बल को रणनीतिक रूप से रखें</v>
      </c>
    </row>
    <row r="63" ht="22.5" customHeight="1">
      <c r="A63" s="2">
        <v>62.0</v>
      </c>
      <c r="B63" s="3" t="s">
        <v>2790</v>
      </c>
      <c r="C63" s="3" t="s">
        <v>2794</v>
      </c>
      <c r="D63" s="3" t="s">
        <v>2795</v>
      </c>
      <c r="E63" s="3" t="s">
        <v>2796</v>
      </c>
      <c r="G63" s="8" t="str">
        <f>IFERROR(__xludf.DUMMYFUNCTION("GOOGLETRANSLATE(A63, ""en"", ""hi"")"),"62")</f>
        <v>62</v>
      </c>
      <c r="H63" s="8" t="str">
        <f>IFERROR(__xludf.DUMMYFUNCTION("GOOGLETRANSLATE(B63, ""en"", ""hi"")"),"कांचे_16")</f>
        <v>कांचे_16</v>
      </c>
      <c r="I63" s="8" t="str">
        <f>IFERROR(__xludf.DUMMYFUNCTION("GOOGLETRANSLATE(C63, ""en"", ""hi"")"),"चित्र में दिखाए गए खेल से, खेल में विवादों को सुलझाने का सबसे आम तरीका क्या है?")</f>
        <v>चित्र में दिखाए गए खेल से, खेल में विवादों को सुलझाने का सबसे आम तरीका क्या है?</v>
      </c>
      <c r="J63" s="8" t="str">
        <f>IFERROR(__xludf.DUMMYFUNCTION("GOOGLETRANSLATE(D63, ""en"", ""hi"")"),"क) रेफरी का उपयोग करें, ख) राउंड को दोबारा खेलें, ग) आपसी निर्णय पर सहमत हों, घ) नियम पुस्तिका देखें")</f>
        <v>क) रेफरी का उपयोग करें, ख) राउंड को दोबारा खेलें, ग) आपसी निर्णय पर सहमत हों, घ) नियम पुस्तिका देखें</v>
      </c>
      <c r="K63" s="8" t="str">
        <f>IFERROR(__xludf.DUMMYFUNCTION("GOOGLETRANSLATE(E63, ""en"", ""hi"")"),"ग) आपसी निर्णय पर सहमत होना")</f>
        <v>ग) आपसी निर्णय पर सहमत होना</v>
      </c>
    </row>
    <row r="64" ht="22.5" customHeight="1">
      <c r="A64" s="2">
        <v>63.0</v>
      </c>
      <c r="B64" s="3" t="s">
        <v>2790</v>
      </c>
      <c r="C64" s="3" t="s">
        <v>2797</v>
      </c>
      <c r="D64" s="3" t="s">
        <v>2798</v>
      </c>
      <c r="E64" s="3" t="s">
        <v>2799</v>
      </c>
      <c r="G64" s="8" t="str">
        <f>IFERROR(__xludf.DUMMYFUNCTION("GOOGLETRANSLATE(A64, ""en"", ""hi"")"),"63")</f>
        <v>63</v>
      </c>
      <c r="H64" s="8" t="str">
        <f>IFERROR(__xludf.DUMMYFUNCTION("GOOGLETRANSLATE(B64, ""en"", ""hi"")"),"कांचे_16")</f>
        <v>कांचे_16</v>
      </c>
      <c r="I64" s="8" t="str">
        <f>IFERROR(__xludf.DUMMYFUNCTION("GOOGLETRANSLATE(C64, ""en"", ""hi"")"),"चित्र में दिखाए गए खेल से, कौन सा कारक शॉट की सटीकता को प्रभावित कर सकता है?")</f>
        <v>चित्र में दिखाए गए खेल से, कौन सा कारक शॉट की सटीकता को प्रभावित कर सकता है?</v>
      </c>
      <c r="J64" s="8" t="str">
        <f>IFERROR(__xludf.DUMMYFUNCTION("GOOGLETRANSLATE(D64, ""en"", ""hi"")"),"a) हवा, b) संगमरमर का रंग, c) खिलाड़ी का रुख, d) खिलाड़ियों की संख्या")</f>
        <v>a) हवा, b) संगमरमर का रंग, c) खिलाड़ी का रुख, d) खिलाड़ियों की संख्या</v>
      </c>
      <c r="K64" s="8" t="str">
        <f>IFERROR(__xludf.DUMMYFUNCTION("GOOGLETRANSLATE(E64, ""en"", ""hi"")"),"c) खिलाड़ी का रुख")</f>
        <v>c) खिलाड़ी का रुख</v>
      </c>
    </row>
    <row r="65" ht="22.5" customHeight="1">
      <c r="A65" s="2">
        <v>64.0</v>
      </c>
      <c r="B65" s="3" t="s">
        <v>2790</v>
      </c>
      <c r="C65" s="3" t="s">
        <v>2800</v>
      </c>
      <c r="D65" s="3" t="s">
        <v>2801</v>
      </c>
      <c r="E65" s="3" t="s">
        <v>2802</v>
      </c>
      <c r="G65" s="8" t="str">
        <f>IFERROR(__xludf.DUMMYFUNCTION("GOOGLETRANSLATE(A65, ""en"", ""hi"")"),"64")</f>
        <v>64</v>
      </c>
      <c r="H65" s="8" t="str">
        <f>IFERROR(__xludf.DUMMYFUNCTION("GOOGLETRANSLATE(B65, ""en"", ""hi"")"),"कांचे_16")</f>
        <v>कांचे_16</v>
      </c>
      <c r="I65" s="8" t="str">
        <f>IFERROR(__xludf.DUMMYFUNCTION("GOOGLETRANSLATE(C65, ""en"", ""hi"")"),"चित्र में दिखाए गए खेल से, एक खिलाड़ी को अपना शूटिंग मार्बल चुनते समय क्या विचार करना चाहिए?")</f>
        <v>चित्र में दिखाए गए खेल से, एक खिलाड़ी को अपना शूटिंग मार्बल चुनते समय क्या विचार करना चाहिए?</v>
      </c>
      <c r="J65" s="8" t="str">
        <f>IFERROR(__xludf.DUMMYFUNCTION("GOOGLETRANSLATE(D65, ""en"", ""hi"")"),"क) वजन और आकार, ख) रंग और डिजाइन, ग) ब्रांड और सामग्री, घ) लागत और दुर्लभता")</f>
        <v>क) वजन और आकार, ख) रंग और डिजाइन, ग) ब्रांड और सामग्री, घ) लागत और दुर्लभता</v>
      </c>
      <c r="K65" s="8" t="str">
        <f>IFERROR(__xludf.DUMMYFUNCTION("GOOGLETRANSLATE(E65, ""en"", ""hi"")"),"क) वजन और आकार")</f>
        <v>क) वजन और आकार</v>
      </c>
    </row>
    <row r="66" ht="22.5" customHeight="1">
      <c r="A66" s="2">
        <v>65.0</v>
      </c>
      <c r="B66" s="3" t="s">
        <v>2803</v>
      </c>
      <c r="C66" s="3" t="s">
        <v>2804</v>
      </c>
      <c r="D66" s="3" t="s">
        <v>2805</v>
      </c>
      <c r="E66" s="3" t="s">
        <v>2806</v>
      </c>
      <c r="G66" s="8" t="str">
        <f>IFERROR(__xludf.DUMMYFUNCTION("GOOGLETRANSLATE(A66, ""en"", ""hi"")"),"65")</f>
        <v>65</v>
      </c>
      <c r="H66" s="8" t="str">
        <f>IFERROR(__xludf.DUMMYFUNCTION("GOOGLETRANSLATE(B66, ""en"", ""hi"")"),"कांचे_17")</f>
        <v>कांचे_17</v>
      </c>
      <c r="I66" s="8" t="str">
        <f>IFERROR(__xludf.DUMMYFUNCTION("GOOGLETRANSLATE(C66, ""en"", ""hi"")"),"चित्र में दिखाए गए खेल से, यदि सभी कंचे बाहर हो जाएं तो विजेता का निर्धारण करने के लिए आमतौर पर क्या उपयोग किया जाता है?")</f>
        <v>चित्र में दिखाए गए खेल से, यदि सभी कंचे बाहर हो जाएं तो विजेता का निर्धारण करने के लिए आमतौर पर क्या उपयोग किया जाता है?</v>
      </c>
      <c r="J66" s="8" t="str">
        <f>IFERROR(__xludf.DUMMYFUNCTION("GOOGLETRANSLATE(D66, ""en"", ""hi"")"),"क) अंतिम राउंड, ख) एकत्रित कंचों की संख्या, ग) अंतिम शॉट की दूरी, घ) शॉट्स की सटीकता")</f>
        <v>क) अंतिम राउंड, ख) एकत्रित कंचों की संख्या, ग) अंतिम शॉट की दूरी, घ) शॉट्स की सटीकता</v>
      </c>
      <c r="K66" s="8" t="str">
        <f>IFERROR(__xludf.DUMMYFUNCTION("GOOGLETRANSLATE(E66, ""en"", ""hi"")"),"b) एकत्रित किए गए कंचों की संख्या")</f>
        <v>b) एकत्रित किए गए कंचों की संख्या</v>
      </c>
    </row>
    <row r="67" ht="22.5" customHeight="1">
      <c r="A67" s="2">
        <v>66.0</v>
      </c>
      <c r="B67" s="3" t="s">
        <v>2803</v>
      </c>
      <c r="C67" s="3" t="s">
        <v>2807</v>
      </c>
      <c r="D67" s="3" t="s">
        <v>2808</v>
      </c>
      <c r="E67" s="3" t="s">
        <v>2809</v>
      </c>
      <c r="G67" s="8" t="str">
        <f>IFERROR(__xludf.DUMMYFUNCTION("GOOGLETRANSLATE(A67, ""en"", ""hi"")"),"66")</f>
        <v>66</v>
      </c>
      <c r="H67" s="8" t="str">
        <f>IFERROR(__xludf.DUMMYFUNCTION("GOOGLETRANSLATE(B67, ""en"", ""hi"")"),"कांचे_17")</f>
        <v>कांचे_17</v>
      </c>
      <c r="I67" s="8" t="str">
        <f>IFERROR(__xludf.DUMMYFUNCTION("GOOGLETRANSLATE(C67, ""en"", ""hi"")"),"चित्र में दिखाए गए खेल से, खेल में विभिन्न आकार के कंचों का क्या उद्देश्य है?")</f>
        <v>चित्र में दिखाए गए खेल से, खेल में विभिन्न आकार के कंचों का क्या उद्देश्य है?</v>
      </c>
      <c r="J67" s="8" t="str">
        <f>IFERROR(__xludf.DUMMYFUNCTION("GOOGLETRANSLATE(D67, ""en"", ""hi"")"),"क) चुनौती पैदा करना, ख) खिलाड़ियों में अंतर करना, ग) खेल का क्रम निर्धारित करना, घ) सीमाएं चिह्नित करना")</f>
        <v>क) चुनौती पैदा करना, ख) खिलाड़ियों में अंतर करना, ग) खेल का क्रम निर्धारित करना, घ) सीमाएं चिह्नित करना</v>
      </c>
      <c r="K67" s="8" t="str">
        <f>IFERROR(__xludf.DUMMYFUNCTION("GOOGLETRANSLATE(E67, ""en"", ""hi"")"),"a) एक चुनौती पैदा करना")</f>
        <v>a) एक चुनौती पैदा करना</v>
      </c>
    </row>
    <row r="68" ht="22.5" customHeight="1">
      <c r="A68" s="2">
        <v>67.0</v>
      </c>
      <c r="B68" s="3" t="s">
        <v>2803</v>
      </c>
      <c r="C68" s="3" t="s">
        <v>2810</v>
      </c>
      <c r="D68" s="3" t="s">
        <v>2811</v>
      </c>
      <c r="E68" s="3" t="s">
        <v>2812</v>
      </c>
      <c r="G68" s="8" t="str">
        <f>IFERROR(__xludf.DUMMYFUNCTION("GOOGLETRANSLATE(A68, ""en"", ""hi"")"),"67")</f>
        <v>67</v>
      </c>
      <c r="H68" s="8" t="str">
        <f>IFERROR(__xludf.DUMMYFUNCTION("GOOGLETRANSLATE(B68, ""en"", ""hi"")"),"कांचे_17")</f>
        <v>कांचे_17</v>
      </c>
      <c r="I68" s="8" t="str">
        <f>IFERROR(__xludf.DUMMYFUNCTION("GOOGLETRANSLATE(C68, ""en"", ""hi"")"),"चित्र में दिखाए गए खेल से, एक खिलाड़ी को सबसे प्रभावी फ्लिक के लिए अपने हाथ की स्थिति किस प्रकार रखनी चाहिए?")</f>
        <v>चित्र में दिखाए गए खेल से, एक खिलाड़ी को सबसे प्रभावी फ्लिक के लिए अपने हाथ की स्थिति किस प्रकार रखनी चाहिए?</v>
      </c>
      <c r="J68" s="8" t="str">
        <f>IFERROR(__xludf.DUMMYFUNCTION("GOOGLETRANSLATE(D68, ""en"", ""hi"")"),"क) उँगलियाँ चौड़ी करके, ख) अंगूठे और तर्जनी से कंचे को पकड़कर, ग) हथेली नीचे की ओर करके, घ) कलाई को बंद करके")</f>
        <v>क) उँगलियाँ चौड़ी करके, ख) अंगूठे और तर्जनी से कंचे को पकड़कर, ग) हथेली नीचे की ओर करके, घ) कलाई को बंद करके</v>
      </c>
      <c r="K68" s="8" t="str">
        <f>IFERROR(__xludf.DUMMYFUNCTION("GOOGLETRANSLATE(E68, ""en"", ""hi"")"),"ख) अंगूठे और तर्जनी उंगली से कंचे को पकड़ें")</f>
        <v>ख) अंगूठे और तर्जनी उंगली से कंचे को पकड़ें</v>
      </c>
    </row>
    <row r="69" ht="22.5" customHeight="1">
      <c r="A69" s="2">
        <v>68.0</v>
      </c>
      <c r="B69" s="3" t="s">
        <v>2803</v>
      </c>
      <c r="C69" s="3" t="s">
        <v>2813</v>
      </c>
      <c r="D69" s="3" t="s">
        <v>2814</v>
      </c>
      <c r="E69" s="3" t="s">
        <v>2815</v>
      </c>
      <c r="G69" s="8" t="str">
        <f>IFERROR(__xludf.DUMMYFUNCTION("GOOGLETRANSLATE(A69, ""en"", ""hi"")"),"68")</f>
        <v>68</v>
      </c>
      <c r="H69" s="8" t="str">
        <f>IFERROR(__xludf.DUMMYFUNCTION("GOOGLETRANSLATE(B69, ""en"", ""hi"")"),"कांचे_17")</f>
        <v>कांचे_17</v>
      </c>
      <c r="I69" s="8" t="str">
        <f>IFERROR(__xludf.DUMMYFUNCTION("GOOGLETRANSLATE(C69, ""en"", ""hi"")"),"चित्र में दिखाए गए खेल में, खेल के दौरान किस क्रिया को फाउल माना जाता है?")</f>
        <v>चित्र में दिखाए गए खेल में, खेल के दौरान किस क्रिया को फाउल माना जाता है?</v>
      </c>
      <c r="J69" s="8" t="str">
        <f>IFERROR(__xludf.DUMMYFUNCTION("GOOGLETRANSLATE(D69, ""en"", ""hi"")"),"क) फ़्लिक करते समय लाइन को छूना, ख) लक्ष्य मार्बल से चूकना, ग) विभिन्न रंगों के मार्बल का उपयोग करना, घ) बहुत ज़ोर से फ़्लिक करना")</f>
        <v>क) फ़्लिक करते समय लाइन को छूना, ख) लक्ष्य मार्बल से चूकना, ग) विभिन्न रंगों के मार्बल का उपयोग करना, घ) बहुत ज़ोर से फ़्लिक करना</v>
      </c>
      <c r="K69" s="8" t="str">
        <f>IFERROR(__xludf.DUMMYFUNCTION("GOOGLETRANSLATE(E69, ""en"", ""hi"")"),"a) फ़्लिक करते समय लाइन को छूना")</f>
        <v>a) फ़्लिक करते समय लाइन को छूना</v>
      </c>
    </row>
    <row r="70" ht="22.5" customHeight="1">
      <c r="A70" s="2">
        <v>69.0</v>
      </c>
      <c r="B70" s="3" t="s">
        <v>2816</v>
      </c>
      <c r="C70" s="3" t="s">
        <v>2817</v>
      </c>
      <c r="D70" s="3" t="s">
        <v>2818</v>
      </c>
      <c r="E70" s="3" t="s">
        <v>2819</v>
      </c>
      <c r="G70" s="8" t="str">
        <f>IFERROR(__xludf.DUMMYFUNCTION("GOOGLETRANSLATE(A70, ""en"", ""hi"")"),"69")</f>
        <v>69</v>
      </c>
      <c r="H70" s="8" t="str">
        <f>IFERROR(__xludf.DUMMYFUNCTION("GOOGLETRANSLATE(B70, ""en"", ""hi"")"),"कांचे_18")</f>
        <v>कांचे_18</v>
      </c>
      <c r="I70" s="8" t="str">
        <f>IFERROR(__xludf.DUMMYFUNCTION("GOOGLETRANSLATE(C70, ""en"", ""hi"")"),"चित्र में दिखाए गए खेल से, खेल चक्र को सामान्यतः किस प्रकार चिह्नित किया जाता है?")</f>
        <v>चित्र में दिखाए गए खेल से, खेल चक्र को सामान्यतः किस प्रकार चिह्नित किया जाता है?</v>
      </c>
      <c r="J70" s="8" t="str">
        <f>IFERROR(__xludf.DUMMYFUNCTION("GOOGLETRANSLATE(D70, ""en"", ""hi"")"),"क) स्टेंसिल का उपयोग करके, ख) धागे या रस्सी से, ग) चाक या मार्कर से चित्र बनाकर, घ) परिधि के चारों ओर वस्तुएँ रखकर")</f>
        <v>क) स्टेंसिल का उपयोग करके, ख) धागे या रस्सी से, ग) चाक या मार्कर से चित्र बनाकर, घ) परिधि के चारों ओर वस्तुएँ रखकर</v>
      </c>
      <c r="K70" s="8" t="str">
        <f>IFERROR(__xludf.DUMMYFUNCTION("GOOGLETRANSLATE(E70, ""en"", ""hi"")"),"c) चाक या मार्कर से चित्र बनाकर")</f>
        <v>c) चाक या मार्कर से चित्र बनाकर</v>
      </c>
    </row>
    <row r="71" ht="22.5" customHeight="1">
      <c r="A71" s="2">
        <v>70.0</v>
      </c>
      <c r="B71" s="3" t="s">
        <v>2816</v>
      </c>
      <c r="C71" s="3" t="s">
        <v>2820</v>
      </c>
      <c r="D71" s="3" t="s">
        <v>2821</v>
      </c>
      <c r="E71" s="3" t="s">
        <v>2822</v>
      </c>
      <c r="G71" s="8" t="str">
        <f>IFERROR(__xludf.DUMMYFUNCTION("GOOGLETRANSLATE(A71, ""en"", ""hi"")"),"70")</f>
        <v>70</v>
      </c>
      <c r="H71" s="8" t="str">
        <f>IFERROR(__xludf.DUMMYFUNCTION("GOOGLETRANSLATE(B71, ""en"", ""hi"")"),"कांचे_18")</f>
        <v>कांचे_18</v>
      </c>
      <c r="I71" s="8" t="str">
        <f>IFERROR(__xludf.DUMMYFUNCTION("GOOGLETRANSLATE(C71, ""en"", ""hi"")"),"चित्र में दिखाए गए खेल से, कंचे पर नियंत्रण बढ़ाने की प्रभावी तकनीक क्या है?")</f>
        <v>चित्र में दिखाए गए खेल से, कंचे पर नियंत्रण बढ़ाने की प्रभावी तकनीक क्या है?</v>
      </c>
      <c r="J71" s="8" t="str">
        <f>IFERROR(__xludf.DUMMYFUNCTION("GOOGLETRANSLATE(D71, ""en"", ""hi"")"),"क) विभिन्न सतहों पर अभ्यास करें, ख) विभिन्न भारों के कंचों का उपयोग करें, ग) एकसमान बल से झटका दें, घ) कंचे का रंग बदलें")</f>
        <v>क) विभिन्न सतहों पर अभ्यास करें, ख) विभिन्न भारों के कंचों का उपयोग करें, ग) एकसमान बल से झटका दें, घ) कंचे का रंग बदलें</v>
      </c>
      <c r="K71" s="8" t="str">
        <f>IFERROR(__xludf.DUMMYFUNCTION("GOOGLETRANSLATE(E71, ""en"", ""hi"")"),"c) लगातार बल से झटका")</f>
        <v>c) लगातार बल से झटका</v>
      </c>
    </row>
    <row r="72" ht="22.5" customHeight="1">
      <c r="A72" s="2">
        <v>71.0</v>
      </c>
      <c r="B72" s="3" t="s">
        <v>2816</v>
      </c>
      <c r="C72" s="3" t="s">
        <v>2823</v>
      </c>
      <c r="D72" s="3" t="s">
        <v>2824</v>
      </c>
      <c r="E72" s="3" t="s">
        <v>2825</v>
      </c>
      <c r="G72" s="8" t="str">
        <f>IFERROR(__xludf.DUMMYFUNCTION("GOOGLETRANSLATE(A72, ""en"", ""hi"")"),"71")</f>
        <v>71</v>
      </c>
      <c r="H72" s="8" t="str">
        <f>IFERROR(__xludf.DUMMYFUNCTION("GOOGLETRANSLATE(B72, ""en"", ""hi"")"),"कांचे_18")</f>
        <v>कांचे_18</v>
      </c>
      <c r="I72" s="8" t="str">
        <f>IFERROR(__xludf.DUMMYFUNCTION("GOOGLETRANSLATE(C72, ""en"", ""hi"")"),"चित्र में दिखाए गए खेल में, प्रारंभिक शॉट के लिए अक्सर किस प्रकार के मार्बल का उपयोग किया जाता है?")</f>
        <v>चित्र में दिखाए गए खेल में, प्रारंभिक शॉट के लिए अक्सर किस प्रकार के मार्बल का उपयोग किया जाता है?</v>
      </c>
      <c r="J72" s="8" t="str">
        <f>IFERROR(__xludf.DUMMYFUNCTION("GOOGLETRANSLATE(D72, ""en"", ""hi"")"),"a) सबसे बड़ा संगमरमर, b) सबसे छोटा संगमरमर, c) एक अद्वितीय रंग वाला संगमरमर, d) एक विशेष डिजाइन वाला संगमरमर")</f>
        <v>a) सबसे बड़ा संगमरमर, b) सबसे छोटा संगमरमर, c) एक अद्वितीय रंग वाला संगमरमर, d) एक विशेष डिजाइन वाला संगमरमर</v>
      </c>
      <c r="K72" s="8" t="str">
        <f>IFERROR(__xludf.DUMMYFUNCTION("GOOGLETRANSLATE(E72, ""en"", ""hi"")"),"a) सबसे बड़ा संगमरमर")</f>
        <v>a) सबसे बड़ा संगमरमर</v>
      </c>
    </row>
    <row r="73" ht="22.5" customHeight="1">
      <c r="A73" s="2">
        <v>72.0</v>
      </c>
      <c r="B73" s="3" t="s">
        <v>2816</v>
      </c>
      <c r="C73" s="3" t="s">
        <v>2826</v>
      </c>
      <c r="D73" s="3" t="s">
        <v>2827</v>
      </c>
      <c r="E73" s="3" t="s">
        <v>2828</v>
      </c>
      <c r="G73" s="8" t="str">
        <f>IFERROR(__xludf.DUMMYFUNCTION("GOOGLETRANSLATE(A73, ""en"", ""hi"")"),"72")</f>
        <v>72</v>
      </c>
      <c r="H73" s="8" t="str">
        <f>IFERROR(__xludf.DUMMYFUNCTION("GOOGLETRANSLATE(B73, ""en"", ""hi"")"),"कांचे_18")</f>
        <v>कांचे_18</v>
      </c>
      <c r="I73" s="8" t="str">
        <f>IFERROR(__xludf.DUMMYFUNCTION("GOOGLETRANSLATE(C73, ""en"", ""hi"")"),"चित्र में दिखाए गए खेल के अनुसार, यदि खिलाड़ी इस बात पर सहमत न हो सकें कि कोई कंचा गिरा है या नहीं, तो उन्हें क्या करना चाहिए?")</f>
        <v>चित्र में दिखाए गए खेल के अनुसार, यदि खिलाड़ी इस बात पर सहमत न हो सकें कि कोई कंचा गिरा है या नहीं, तो उन्हें क्या करना चाहिए?</v>
      </c>
      <c r="J73" s="8" t="str">
        <f>IFERROR(__xludf.DUMMYFUNCTION("GOOGLETRANSLATE(D73, ""en"", ""hi"")"),"क) राउंड को दोबारा खेलना, ख) रेफरी की मदद लेना, ग) आपसी सहमति से निर्णय लेना, घ) गिराए गए कंचों की गिनती करना")</f>
        <v>क) राउंड को दोबारा खेलना, ख) रेफरी की मदद लेना, ग) आपसी सहमति से निर्णय लेना, घ) गिराए गए कंचों की गिनती करना</v>
      </c>
      <c r="K73" s="8" t="str">
        <f>IFERROR(__xludf.DUMMYFUNCTION("GOOGLETRANSLATE(E73, ""en"", ""hi"")"),"ग) आपसी सहमति से निर्णय लें")</f>
        <v>ग) आपसी सहमति से निर्णय लें</v>
      </c>
    </row>
    <row r="74" ht="22.5" customHeight="1">
      <c r="A74" s="2">
        <v>73.0</v>
      </c>
      <c r="B74" s="3" t="s">
        <v>2829</v>
      </c>
      <c r="C74" s="3" t="s">
        <v>2830</v>
      </c>
      <c r="D74" s="3" t="s">
        <v>2831</v>
      </c>
      <c r="E74" s="3" t="s">
        <v>2832</v>
      </c>
      <c r="G74" s="8" t="str">
        <f>IFERROR(__xludf.DUMMYFUNCTION("GOOGLETRANSLATE(A74, ""en"", ""hi"")"),"73")</f>
        <v>73</v>
      </c>
      <c r="H74" s="8" t="str">
        <f>IFERROR(__xludf.DUMMYFUNCTION("GOOGLETRANSLATE(B74, ""en"", ""hi"")"),"कांचे_19")</f>
        <v>कांचे_19</v>
      </c>
      <c r="I74" s="8" t="str">
        <f>IFERROR(__xludf.DUMMYFUNCTION("GOOGLETRANSLATE(C74, ""en"", ""hi"")"),"चित्र में दिखाए गए खेल से, अभ्यास दौर का उद्देश्य क्या है?")</f>
        <v>चित्र में दिखाए गए खेल से, अभ्यास दौर का उद्देश्य क्या है?</v>
      </c>
      <c r="J74" s="8" t="str">
        <f>IFERROR(__xludf.DUMMYFUNCTION("GOOGLETRANSLATE(D74, ""en"", ""hi"")"),"a) वार्म अप करना, b) शुरुआती क्रम निर्धारित करना, c) कंचे चुनना, d) वृत्त को चिह्नित करना")</f>
        <v>a) वार्म अप करना, b) शुरुआती क्रम निर्धारित करना, c) कंचे चुनना, d) वृत्त को चिह्नित करना</v>
      </c>
      <c r="K74" s="8" t="str">
        <f>IFERROR(__xludf.DUMMYFUNCTION("GOOGLETRANSLATE(E74, ""en"", ""hi"")"),"a) गर्म करने के लिए")</f>
        <v>a) गर्म करने के लिए</v>
      </c>
    </row>
    <row r="75" ht="22.5" customHeight="1">
      <c r="A75" s="2">
        <v>74.0</v>
      </c>
      <c r="B75" s="3" t="s">
        <v>2829</v>
      </c>
      <c r="C75" s="3" t="s">
        <v>2833</v>
      </c>
      <c r="D75" s="3" t="s">
        <v>2834</v>
      </c>
      <c r="E75" s="3" t="s">
        <v>2835</v>
      </c>
      <c r="G75" s="8" t="str">
        <f>IFERROR(__xludf.DUMMYFUNCTION("GOOGLETRANSLATE(A75, ""en"", ""hi"")"),"74")</f>
        <v>74</v>
      </c>
      <c r="H75" s="8" t="str">
        <f>IFERROR(__xludf.DUMMYFUNCTION("GOOGLETRANSLATE(B75, ""en"", ""hi"")"),"कांचे_19")</f>
        <v>कांचे_19</v>
      </c>
      <c r="I75" s="8" t="str">
        <f>IFERROR(__xludf.DUMMYFUNCTION("GOOGLETRANSLATE(C75, ""en"", ""hi"")"),"चित्र में दिखाए गए खेल के अनुसार, यदि किसी खिलाड़ी का कंचा गोले के अंदर गिरता है, लेकिन किसी अन्य कंचे पर नहीं गिरता है, तो क्या होगा?")</f>
        <v>चित्र में दिखाए गए खेल के अनुसार, यदि किसी खिलाड़ी का कंचा गोले के अंदर गिरता है, लेकिन किसी अन्य कंचे पर नहीं गिरता है, तो क्या होगा?</v>
      </c>
      <c r="J75" s="8" t="str">
        <f>IFERROR(__xludf.DUMMYFUNCTION("GOOGLETRANSLATE(D75, ""en"", ""hi"")"),"a) खिलाड़ी अपनी बारी खो देता है, b) कंचा हटा दिया जाता है, c) खिलाड़ी को एक और मौका मिलता है, d) कंचा घेरे के बाहर रख दिया जाता है")</f>
        <v>a) खिलाड़ी अपनी बारी खो देता है, b) कंचा हटा दिया जाता है, c) खिलाड़ी को एक और मौका मिलता है, d) कंचा घेरे के बाहर रख दिया जाता है</v>
      </c>
      <c r="K75" s="8" t="str">
        <f>IFERROR(__xludf.DUMMYFUNCTION("GOOGLETRANSLATE(E75, ""en"", ""hi"")"),"a) खिलाड़ी अपनी बारी खो देता है")</f>
        <v>a) खिलाड़ी अपनी बारी खो देता है</v>
      </c>
    </row>
    <row r="76" ht="22.5" customHeight="1">
      <c r="A76" s="2">
        <v>75.0</v>
      </c>
      <c r="B76" s="3" t="s">
        <v>2829</v>
      </c>
      <c r="C76" s="3" t="s">
        <v>2836</v>
      </c>
      <c r="D76" s="3" t="s">
        <v>2837</v>
      </c>
      <c r="E76" s="3" t="s">
        <v>2838</v>
      </c>
      <c r="G76" s="8" t="str">
        <f>IFERROR(__xludf.DUMMYFUNCTION("GOOGLETRANSLATE(A76, ""en"", ""hi"")"),"75")</f>
        <v>75</v>
      </c>
      <c r="H76" s="8" t="str">
        <f>IFERROR(__xludf.DUMMYFUNCTION("GOOGLETRANSLATE(B76, ""en"", ""hi"")"),"कांचे_19")</f>
        <v>कांचे_19</v>
      </c>
      <c r="I76" s="8" t="str">
        <f>IFERROR(__xludf.DUMMYFUNCTION("GOOGLETRANSLATE(C76, ""en"", ""hi"")"),"चित्र में दिखाए गए खेल में से, शूटिंग मार्बल के लिए कौन सी विशेषता सबसे महत्वपूर्ण है?")</f>
        <v>चित्र में दिखाए गए खेल में से, शूटिंग मार्बल के लिए कौन सी विशेषता सबसे महत्वपूर्ण है?</v>
      </c>
      <c r="J76" s="8" t="str">
        <f>IFERROR(__xludf.DUMMYFUNCTION("GOOGLETRANSLATE(D76, ""en"", ""hi"")"),"a) वजन, b) रंग, c) बनावट, d) डिज़ाइन")</f>
        <v>a) वजन, b) रंग, c) बनावट, d) डिज़ाइन</v>
      </c>
      <c r="K76" s="8" t="str">
        <f>IFERROR(__xludf.DUMMYFUNCTION("GOOGLETRANSLATE(E76, ""en"", ""hi"")"),"एक वजन")</f>
        <v>एक वजन</v>
      </c>
    </row>
    <row r="77" ht="22.5" customHeight="1">
      <c r="A77" s="2">
        <v>76.0</v>
      </c>
      <c r="B77" s="3" t="s">
        <v>2829</v>
      </c>
      <c r="C77" s="3" t="s">
        <v>2839</v>
      </c>
      <c r="D77" s="3" t="s">
        <v>2840</v>
      </c>
      <c r="E77" s="3" t="s">
        <v>2841</v>
      </c>
      <c r="G77" s="8" t="str">
        <f>IFERROR(__xludf.DUMMYFUNCTION("GOOGLETRANSLATE(A77, ""en"", ""hi"")"),"76")</f>
        <v>76</v>
      </c>
      <c r="H77" s="8" t="str">
        <f>IFERROR(__xludf.DUMMYFUNCTION("GOOGLETRANSLATE(B77, ""en"", ""hi"")"),"कांचे_19")</f>
        <v>कांचे_19</v>
      </c>
      <c r="I77" s="8" t="str">
        <f>IFERROR(__xludf.DUMMYFUNCTION("GOOGLETRANSLATE(C77, ""en"", ""hi"")"),"चित्र में दिखाए गए खेल के अनुसार, निष्पक्ष खेल सुनिश्चित करने के लिए खिलाड़ी को क्या करना चाहिए?")</f>
        <v>चित्र में दिखाए गए खेल के अनुसार, निष्पक्ष खेल सुनिश्चित करने के लिए खिलाड़ी को क्या करना चाहिए?</v>
      </c>
      <c r="J77" s="8" t="str">
        <f>IFERROR(__xludf.DUMMYFUNCTION("GOOGLETRANSLATE(D77, ""en"", ""hi"")"),"क) आधिकारिक नियमों का पालन करें, ख) समान कंचों का उपयोग करें, ग) समतल सतह पर खेलें, घ) नियमों पर पहले से सहमति बना लें")</f>
        <v>क) आधिकारिक नियमों का पालन करें, ख) समान कंचों का उपयोग करें, ग) समतल सतह पर खेलें, घ) नियमों पर पहले से सहमति बना लें</v>
      </c>
      <c r="K77" s="8" t="str">
        <f>IFERROR(__xludf.DUMMYFUNCTION("GOOGLETRANSLATE(E77, ""en"", ""hi"")"),"d) नियमों पर पहले से सहमति बना लें")</f>
        <v>d) नियमों पर पहले से सहमति बना लें</v>
      </c>
    </row>
    <row r="78" ht="22.5" customHeight="1">
      <c r="A78" s="2">
        <v>77.0</v>
      </c>
      <c r="B78" s="3" t="s">
        <v>2842</v>
      </c>
      <c r="C78" s="3" t="s">
        <v>2843</v>
      </c>
      <c r="D78" s="3" t="s">
        <v>2844</v>
      </c>
      <c r="E78" s="3" t="s">
        <v>2845</v>
      </c>
      <c r="G78" s="8" t="str">
        <f>IFERROR(__xludf.DUMMYFUNCTION("GOOGLETRANSLATE(A78, ""en"", ""hi"")"),"77")</f>
        <v>77</v>
      </c>
      <c r="H78" s="8" t="str">
        <f>IFERROR(__xludf.DUMMYFUNCTION("GOOGLETRANSLATE(B78, ""en"", ""hi"")"),"कांचे_20")</f>
        <v>कांचे_20</v>
      </c>
      <c r="I78" s="8" t="str">
        <f>IFERROR(__xludf.DUMMYFUNCTION("GOOGLETRANSLATE(C78, ""en"", ""hi"")"),"चित्र में दिखाए गए खेल से खिलाड़ी निष्पक्ष खेल के लिए वृत्त का आकार कैसे निर्धारित कर सकते हैं?")</f>
        <v>चित्र में दिखाए गए खेल से खिलाड़ी निष्पक्ष खेल के लिए वृत्त का आकार कैसे निर्धारित कर सकते हैं?</v>
      </c>
      <c r="J78" s="8" t="str">
        <f>IFERROR(__xludf.DUMMYFUNCTION("GOOGLETRANSLATE(D78, ""en"", ""hi"")"),"क) आम सहमति से, ख) मानक माप उपकरण का उपयोग करके, ग) खिलाड़ियों की संख्या से, घ) कंचों के आकार से")</f>
        <v>क) आम सहमति से, ख) मानक माप उपकरण का उपयोग करके, ग) खिलाड़ियों की संख्या से, घ) कंचों के आकार से</v>
      </c>
      <c r="K78" s="8" t="str">
        <f>IFERROR(__xludf.DUMMYFUNCTION("GOOGLETRANSLATE(E78, ""en"", ""hi"")"),"क) सर्वसम्मति से")</f>
        <v>क) सर्वसम्मति से</v>
      </c>
    </row>
    <row r="79" ht="22.5" customHeight="1">
      <c r="A79" s="2">
        <v>78.0</v>
      </c>
      <c r="B79" s="3" t="s">
        <v>2842</v>
      </c>
      <c r="C79" s="3" t="s">
        <v>2846</v>
      </c>
      <c r="D79" s="3" t="s">
        <v>2847</v>
      </c>
      <c r="E79" s="3" t="s">
        <v>2848</v>
      </c>
      <c r="G79" s="8" t="str">
        <f>IFERROR(__xludf.DUMMYFUNCTION("GOOGLETRANSLATE(A79, ""en"", ""hi"")"),"78")</f>
        <v>78</v>
      </c>
      <c r="H79" s="8" t="str">
        <f>IFERROR(__xludf.DUMMYFUNCTION("GOOGLETRANSLATE(B79, ""en"", ""hi"")"),"कांचे_20")</f>
        <v>कांचे_20</v>
      </c>
      <c r="I79" s="8" t="str">
        <f>IFERROR(__xludf.DUMMYFUNCTION("GOOGLETRANSLATE(C79, ""en"", ""hi"")"),"चित्र में दिखाए गए खेल से, कंचों की संख्या गेमप्ले को कैसे प्रभावित करती है?")</f>
        <v>चित्र में दिखाए गए खेल से, कंचों की संख्या गेमप्ले को कैसे प्रभावित करती है?</v>
      </c>
      <c r="J79" s="8" t="str">
        <f>IFERROR(__xludf.DUMMYFUNCTION("GOOGLETRANSLATE(D79, ""en"", ""hi"")"),"a) अधिक कंचे खेल को कठिन बनाते हैं, b) कम कंचे खेल को तेज़ बनाते हैं, c) अधिक कंचे खेल को आसान बनाते हैं, d) कम कंचे खेल को कठिन बनाते हैं")</f>
        <v>a) अधिक कंचे खेल को कठिन बनाते हैं, b) कम कंचे खेल को तेज़ बनाते हैं, c) अधिक कंचे खेल को आसान बनाते हैं, d) कम कंचे खेल को कठिन बनाते हैं</v>
      </c>
      <c r="K79" s="8" t="str">
        <f>IFERROR(__xludf.DUMMYFUNCTION("GOOGLETRANSLATE(E79, ""en"", ""hi"")"),"a) अधिक कंचे कठिनाई बढ़ाते हैं")</f>
        <v>a) अधिक कंचे कठिनाई बढ़ाते हैं</v>
      </c>
    </row>
    <row r="80" ht="22.5" customHeight="1">
      <c r="A80" s="2">
        <v>79.0</v>
      </c>
      <c r="B80" s="3" t="s">
        <v>2842</v>
      </c>
      <c r="C80" s="3" t="s">
        <v>2849</v>
      </c>
      <c r="D80" s="3" t="s">
        <v>2850</v>
      </c>
      <c r="E80" s="3" t="s">
        <v>2851</v>
      </c>
      <c r="G80" s="8" t="str">
        <f>IFERROR(__xludf.DUMMYFUNCTION("GOOGLETRANSLATE(A80, ""en"", ""hi"")"),"79")</f>
        <v>79</v>
      </c>
      <c r="H80" s="8" t="str">
        <f>IFERROR(__xludf.DUMMYFUNCTION("GOOGLETRANSLATE(B80, ""en"", ""hi"")"),"कांचे_20")</f>
        <v>कांचे_20</v>
      </c>
      <c r="I80" s="8" t="str">
        <f>IFERROR(__xludf.DUMMYFUNCTION("GOOGLETRANSLATE(C80, ""en"", ""hi"")"),"चित्र में दिखाए गए खेल से, मार्बल फ़्लिकिंग की सटीकता का अभ्यास करने का एक सामान्य तरीका क्या है?")</f>
        <v>चित्र में दिखाए गए खेल से, मार्बल फ़्लिकिंग की सटीकता का अभ्यास करने का एक सामान्य तरीका क्या है?</v>
      </c>
      <c r="J80" s="8" t="str">
        <f>IFERROR(__xludf.DUMMYFUNCTION("GOOGLETRANSLATE(D80, ""en"", ""hi"")"),"क) विभिन्न दूरियों पर लक्ष्य स्थापित करें, ख) विभिन्न आकारों के कंचों का उपयोग करें, ग) बड़े वृत्त के साथ अभ्यास करें, घ) विभिन्न कोणों से कंचों को उछालें")</f>
        <v>क) विभिन्न दूरियों पर लक्ष्य स्थापित करें, ख) विभिन्न आकारों के कंचों का उपयोग करें, ग) बड़े वृत्त के साथ अभ्यास करें, घ) विभिन्न कोणों से कंचों को उछालें</v>
      </c>
      <c r="K80" s="8" t="str">
        <f>IFERROR(__xludf.DUMMYFUNCTION("GOOGLETRANSLATE(E80, ""en"", ""hi"")"),"क) विभिन्न दूरियों पर लक्ष्य स्थापित करें")</f>
        <v>क) विभिन्न दूरियों पर लक्ष्य स्थापित करें</v>
      </c>
    </row>
    <row r="81" ht="22.5" customHeight="1">
      <c r="A81" s="2">
        <v>80.0</v>
      </c>
      <c r="B81" s="3" t="s">
        <v>2842</v>
      </c>
      <c r="C81" s="3" t="s">
        <v>2852</v>
      </c>
      <c r="D81" s="3" t="s">
        <v>2853</v>
      </c>
      <c r="E81" s="3" t="s">
        <v>2854</v>
      </c>
      <c r="G81" s="8" t="str">
        <f>IFERROR(__xludf.DUMMYFUNCTION("GOOGLETRANSLATE(A81, ""en"", ""hi"")"),"80")</f>
        <v>80</v>
      </c>
      <c r="H81" s="8" t="str">
        <f>IFERROR(__xludf.DUMMYFUNCTION("GOOGLETRANSLATE(B81, ""en"", ""hi"")"),"कांचे_20")</f>
        <v>कांचे_20</v>
      </c>
      <c r="I81" s="8" t="str">
        <f>IFERROR(__xludf.DUMMYFUNCTION("GOOGLETRANSLATE(C81, ""en"", ""hi"")"),"चित्र में दिखाए गए खेल से, खेल के दौरान कंचे को संभालने के संबंध में सामान्य नियम क्या है?")</f>
        <v>चित्र में दिखाए गए खेल से, खेल के दौरान कंचे को संभालने के संबंध में सामान्य नियम क्या है?</v>
      </c>
      <c r="J81" s="8" t="str">
        <f>IFERROR(__xludf.DUMMYFUNCTION("GOOGLETRANSLATE(D81, ""en"", ""hi"")"),"क) एक समय में केवल एक ही कंचा पकड़ा जा सकता है, ख) कंचों को हाथ के किसी भी भाग से पकड़ा जा सकता है, ग) खिलाड़ियों को दस्ताने पहनने चाहिए, घ) कंचों को एक विशिष्ट क्रम में रखा जाना चाहिए")</f>
        <v>क) एक समय में केवल एक ही कंचा पकड़ा जा सकता है, ख) कंचों को हाथ के किसी भी भाग से पकड़ा जा सकता है, ग) खिलाड़ियों को दस्ताने पहनने चाहिए, घ) कंचों को एक विशिष्ट क्रम में रखा जाना चाहिए</v>
      </c>
      <c r="K81" s="8" t="str">
        <f>IFERROR(__xludf.DUMMYFUNCTION("GOOGLETRANSLATE(E81, ""en"", ""hi"")"),"a) एक समय में केवल एक ही कंचा संभाला जा सकता है")</f>
        <v>a) एक समय में केवल एक ही कंचा संभाला जा सकता है</v>
      </c>
    </row>
    <row r="82" ht="22.5" customHeight="1">
      <c r="A82" s="2">
        <v>81.0</v>
      </c>
      <c r="B82" s="3" t="s">
        <v>2855</v>
      </c>
      <c r="C82" s="3" t="s">
        <v>2856</v>
      </c>
      <c r="D82" s="3" t="s">
        <v>2857</v>
      </c>
      <c r="E82" s="3" t="s">
        <v>2858</v>
      </c>
      <c r="G82" s="8" t="str">
        <f>IFERROR(__xludf.DUMMYFUNCTION("GOOGLETRANSLATE(A82, ""en"", ""hi"")"),"81")</f>
        <v>81</v>
      </c>
      <c r="H82" s="8" t="str">
        <f>IFERROR(__xludf.DUMMYFUNCTION("GOOGLETRANSLATE(B82, ""en"", ""hi"")"),"कांचे_21")</f>
        <v>कांचे_21</v>
      </c>
      <c r="I82" s="8" t="str">
        <f>IFERROR(__xludf.DUMMYFUNCTION("GOOGLETRANSLATE(C82, ""en"", ""hi"")"),"चित्र में दिखाए गए खेल के आधार पर खिलाड़ियों को यह कैसे तय करना चाहिए कि खेल में कौन पहले जाएगा?")</f>
        <v>चित्र में दिखाए गए खेल के आधार पर खिलाड़ियों को यह कैसे तय करना चाहिए कि खेल में कौन पहले जाएगा?</v>
      </c>
      <c r="J82" s="8" t="str">
        <f>IFERROR(__xludf.DUMMYFUNCTION("GOOGLETRANSLATE(D82, ""en"", ""hi"")"),"a) लॉटरी द्वारा, b) आयु के अनुसार, c) कंचे के आकार के अनुसार, d) यादृच्छिक चयन द्वारा")</f>
        <v>a) लॉटरी द्वारा, b) आयु के अनुसार, c) कंचे के आकार के अनुसार, d) यादृच्छिक चयन द्वारा</v>
      </c>
      <c r="K82" s="8" t="str">
        <f>IFERROR(__xludf.DUMMYFUNCTION("GOOGLETRANSLATE(E82, ""en"", ""hi"")"),"a) लॉटरी द्वारा")</f>
        <v>a) लॉटरी द्वारा</v>
      </c>
    </row>
    <row r="83" ht="22.5" customHeight="1">
      <c r="A83" s="2">
        <v>82.0</v>
      </c>
      <c r="B83" s="3" t="s">
        <v>2855</v>
      </c>
      <c r="C83" s="3" t="s">
        <v>2859</v>
      </c>
      <c r="D83" s="3" t="s">
        <v>2860</v>
      </c>
      <c r="E83" s="3" t="s">
        <v>2861</v>
      </c>
      <c r="G83" s="8" t="str">
        <f>IFERROR(__xludf.DUMMYFUNCTION("GOOGLETRANSLATE(A83, ""en"", ""hi"")"),"82")</f>
        <v>82</v>
      </c>
      <c r="H83" s="8" t="str">
        <f>IFERROR(__xludf.DUMMYFUNCTION("GOOGLETRANSLATE(B83, ""en"", ""hi"")"),"कांचे_21")</f>
        <v>कांचे_21</v>
      </c>
      <c r="I83" s="8" t="str">
        <f>IFERROR(__xludf.DUMMYFUNCTION("GOOGLETRANSLATE(C83, ""en"", ""hi"")"),"चित्र में दिखाए गए खेल से, कंचों के समूह पर निशाना साधते समय सामान्य रणनीति क्या है?")</f>
        <v>चित्र में दिखाए गए खेल से, कंचों के समूह पर निशाना साधते समय सामान्य रणनीति क्या है?</v>
      </c>
      <c r="J83" s="8" t="str">
        <f>IFERROR(__xludf.DUMMYFUNCTION("GOOGLETRANSLATE(D83, ""en"", ""hi"")"),"क) बीच वाले मार्बल पर निशाना लगाएँ, ख) किनारे के सबसे करीब वाले मार्बल पर निशाना लगाएँ, ग) बिखरने से बचने के लिए हल्के से झटका दें, घ) सबसे अधिक रंग वाले मार्बल पर निशाना लगाएँ")</f>
        <v>क) बीच वाले मार्बल पर निशाना लगाएँ, ख) किनारे के सबसे करीब वाले मार्बल पर निशाना लगाएँ, ग) बिखरने से बचने के लिए हल्के से झटका दें, घ) सबसे अधिक रंग वाले मार्बल पर निशाना लगाएँ</v>
      </c>
      <c r="K83" s="8" t="str">
        <f>IFERROR(__xludf.DUMMYFUNCTION("GOOGLETRANSLATE(E83, ""en"", ""hi"")"),"a) केंद्र के मार्बल पर निशाना लगाएँ")</f>
        <v>a) केंद्र के मार्बल पर निशाना लगाएँ</v>
      </c>
    </row>
    <row r="84" ht="22.5" customHeight="1">
      <c r="A84" s="2">
        <v>83.0</v>
      </c>
      <c r="B84" s="3" t="s">
        <v>2855</v>
      </c>
      <c r="C84" s="3" t="s">
        <v>2862</v>
      </c>
      <c r="D84" s="3" t="s">
        <v>2863</v>
      </c>
      <c r="E84" s="3" t="s">
        <v>2864</v>
      </c>
      <c r="G84" s="8" t="str">
        <f>IFERROR(__xludf.DUMMYFUNCTION("GOOGLETRANSLATE(A84, ""en"", ""hi"")"),"83")</f>
        <v>83</v>
      </c>
      <c r="H84" s="8" t="str">
        <f>IFERROR(__xludf.DUMMYFUNCTION("GOOGLETRANSLATE(B84, ""en"", ""hi"")"),"कांचे_21")</f>
        <v>कांचे_21</v>
      </c>
      <c r="I84" s="8" t="str">
        <f>IFERROR(__xludf.DUMMYFUNCTION("GOOGLETRANSLATE(C84, ""en"", ""hi"")"),"चित्र में दिखाए गए खेल के अनुसार, यदि खिलाड़ियों को खेल की सतह में कोई दोष दिखाई दे तो उन्हें क्या करना चाहिए?")</f>
        <v>चित्र में दिखाए गए खेल के अनुसार, यदि खिलाड़ियों को खेल की सतह में कोई दोष दिखाई दे तो उन्हें क्या करना चाहिए?</v>
      </c>
      <c r="J84" s="8" t="str">
        <f>IFERROR(__xludf.DUMMYFUNCTION("GOOGLETRANSLATE(D84, ""en"", ""hi"")"),"क) नियमों को समायोजित करें, ख) दोष को ठीक करें, ग) इसे अनदेखा करें, घ) खेल क्षेत्र बदलें")</f>
        <v>क) नियमों को समायोजित करें, ख) दोष को ठीक करें, ग) इसे अनदेखा करें, घ) खेल क्षेत्र बदलें</v>
      </c>
      <c r="K84" s="8" t="str">
        <f>IFERROR(__xludf.DUMMYFUNCTION("GOOGLETRANSLATE(E84, ""en"", ""hi"")"),"ख) दोष को ठीक करें")</f>
        <v>ख) दोष को ठीक करें</v>
      </c>
    </row>
    <row r="85" ht="22.5" customHeight="1">
      <c r="A85" s="2">
        <v>84.0</v>
      </c>
      <c r="B85" s="3" t="s">
        <v>2855</v>
      </c>
      <c r="C85" s="3" t="s">
        <v>2865</v>
      </c>
      <c r="D85" s="3" t="s">
        <v>2866</v>
      </c>
      <c r="E85" s="3" t="s">
        <v>2867</v>
      </c>
      <c r="G85" s="8" t="str">
        <f>IFERROR(__xludf.DUMMYFUNCTION("GOOGLETRANSLATE(A85, ""en"", ""hi"")"),"84")</f>
        <v>84</v>
      </c>
      <c r="H85" s="8" t="str">
        <f>IFERROR(__xludf.DUMMYFUNCTION("GOOGLETRANSLATE(B85, ""en"", ""hi"")"),"कांचे_21")</f>
        <v>कांचे_21</v>
      </c>
      <c r="I85" s="8" t="str">
        <f>IFERROR(__xludf.DUMMYFUNCTION("GOOGLETRANSLATE(C85, ""en"", ""hi"")"),"चित्र में दिखाए गए खेल से, जब एक कंचे को घेरे से बाहर गिरा दिया जाता है तो कौन सी क्रिया की अनुमति है?")</f>
        <v>चित्र में दिखाए गए खेल से, जब एक कंचे को घेरे से बाहर गिरा दिया जाता है तो कौन सी क्रिया की अनुमति है?</v>
      </c>
      <c r="J85" s="8" t="str">
        <f>IFERROR(__xludf.DUMMYFUNCTION("GOOGLETRANSLATE(D85, ""en"", ""hi"")"),"a) खिलाड़ी इसे वापस ले लेता है, b) मार्बल प्रतिद्वंद्वी को दे दिया जाता है, c) मार्बल बाहर छोड़ दिया जाता है, d) मार्बल वापस सर्कल में रख दिया जाता है")</f>
        <v>a) खिलाड़ी इसे वापस ले लेता है, b) मार्बल प्रतिद्वंद्वी को दे दिया जाता है, c) मार्बल बाहर छोड़ दिया जाता है, d) मार्बल वापस सर्कल में रख दिया जाता है</v>
      </c>
      <c r="K85" s="8" t="str">
        <f>IFERROR(__xludf.DUMMYFUNCTION("GOOGLETRANSLATE(E85, ""en"", ""hi"")"),"c) कंचा बाहर छोड़ दिया जाता है")</f>
        <v>c) कंचा बाहर छोड़ दिया जाता है</v>
      </c>
    </row>
    <row r="86" ht="22.5" customHeight="1">
      <c r="A86" s="2">
        <v>85.0</v>
      </c>
      <c r="B86" s="3" t="s">
        <v>2868</v>
      </c>
      <c r="C86" s="3" t="s">
        <v>2869</v>
      </c>
      <c r="D86" s="3" t="s">
        <v>2870</v>
      </c>
      <c r="E86" s="3" t="s">
        <v>2871</v>
      </c>
      <c r="G86" s="8" t="str">
        <f>IFERROR(__xludf.DUMMYFUNCTION("GOOGLETRANSLATE(A86, ""en"", ""hi"")"),"85")</f>
        <v>85</v>
      </c>
      <c r="H86" s="8" t="str">
        <f>IFERROR(__xludf.DUMMYFUNCTION("GOOGLETRANSLATE(B86, ""en"", ""hi"")"),"कांचे_22")</f>
        <v>कांचे_22</v>
      </c>
      <c r="I86" s="8" t="str">
        <f>IFERROR(__xludf.DUMMYFUNCTION("GOOGLETRANSLATE(C86, ""en"", ""hi"")"),"चित्र में दिखाए गए खेल से, 'चुनौती' दौर की क्या भूमिका है?")</f>
        <v>चित्र में दिखाए गए खेल से, 'चुनौती' दौर की क्या भूमिका है?</v>
      </c>
      <c r="J86" s="8" t="str">
        <f>IFERROR(__xludf.DUMMYFUNCTION("GOOGLETRANSLATE(D86, ""en"", ""hi"")"),"क) विवादों को सुलझाने के लिए, ख) कौशल का अभ्यास करने के लिए, ग) विजेता का निर्धारण करने के लिए, घ) खिलाड़ियों को वार्म-अप करने के लिए")</f>
        <v>क) विवादों को सुलझाने के लिए, ख) कौशल का अभ्यास करने के लिए, ग) विजेता का निर्धारण करने के लिए, घ) खिलाड़ियों को वार्म-अप करने के लिए</v>
      </c>
      <c r="K86" s="8" t="str">
        <f>IFERROR(__xludf.DUMMYFUNCTION("GOOGLETRANSLATE(E86, ""en"", ""hi"")"),"क) विवादों को सुलझाने के लिए")</f>
        <v>क) विवादों को सुलझाने के लिए</v>
      </c>
    </row>
    <row r="87" ht="22.5" customHeight="1">
      <c r="A87" s="2">
        <v>86.0</v>
      </c>
      <c r="B87" s="3" t="s">
        <v>2868</v>
      </c>
      <c r="C87" s="3" t="s">
        <v>2872</v>
      </c>
      <c r="D87" s="3" t="s">
        <v>2873</v>
      </c>
      <c r="E87" s="3" t="s">
        <v>2874</v>
      </c>
      <c r="G87" s="8" t="str">
        <f>IFERROR(__xludf.DUMMYFUNCTION("GOOGLETRANSLATE(A87, ""en"", ""hi"")"),"86")</f>
        <v>86</v>
      </c>
      <c r="H87" s="8" t="str">
        <f>IFERROR(__xludf.DUMMYFUNCTION("GOOGLETRANSLATE(B87, ""en"", ""hi"")"),"कांचे_22")</f>
        <v>कांचे_22</v>
      </c>
      <c r="I87" s="8" t="str">
        <f>IFERROR(__xludf.DUMMYFUNCTION("GOOGLETRANSLATE(C87, ""en"", ""hi"")"),"चित्र में दिखाए गए खेल में विजेता खिलाड़ी का जश्न आमतौर पर कैसे मनाया जाता है?")</f>
        <v>चित्र में दिखाए गए खेल में विजेता खिलाड़ी का जश्न आमतौर पर कैसे मनाया जाता है?</v>
      </c>
      <c r="J87" s="8" t="str">
        <f>IFERROR(__xludf.DUMMYFUNCTION("GOOGLETRANSLATE(D87, ""en"", ""hi"")"),"a) हाथ मिलाकर, b) पुरस्कार देकर, c) तालियों से, d) औपचारिक खेल द्वारा")</f>
        <v>a) हाथ मिलाकर, b) पुरस्कार देकर, c) तालियों से, d) औपचारिक खेल द्वारा</v>
      </c>
      <c r="K87" s="8" t="str">
        <f>IFERROR(__xludf.DUMMYFUNCTION("GOOGLETRANSLATE(E87, ""en"", ""hi"")"),"ख) पुरस्कार के साथ")</f>
        <v>ख) पुरस्कार के साथ</v>
      </c>
    </row>
    <row r="88" ht="22.5" customHeight="1">
      <c r="A88" s="2">
        <v>87.0</v>
      </c>
      <c r="B88" s="3" t="s">
        <v>2868</v>
      </c>
      <c r="C88" s="3" t="s">
        <v>2875</v>
      </c>
      <c r="D88" s="3" t="s">
        <v>2876</v>
      </c>
      <c r="E88" s="3" t="s">
        <v>2877</v>
      </c>
      <c r="G88" s="8" t="str">
        <f>IFERROR(__xludf.DUMMYFUNCTION("GOOGLETRANSLATE(A88, ""en"", ""hi"")"),"87")</f>
        <v>87</v>
      </c>
      <c r="H88" s="8" t="str">
        <f>IFERROR(__xludf.DUMMYFUNCTION("GOOGLETRANSLATE(B88, ""en"", ""hi"")"),"कांचे_22")</f>
        <v>कांचे_22</v>
      </c>
      <c r="I88" s="8" t="str">
        <f>IFERROR(__xludf.DUMMYFUNCTION("GOOGLETRANSLATE(C88, ""en"", ""hi"")"),"चित्र में दिखाए गए खेल के अनुसार, यदि कोई खिलाड़ी गलती से अपना कंचा घेरे से बाहर फेंक दे तो उसे क्या करना चाहिए?")</f>
        <v>चित्र में दिखाए गए खेल के अनुसार, यदि कोई खिलाड़ी गलती से अपना कंचा घेरे से बाहर फेंक दे तो उसे क्या करना चाहिए?</v>
      </c>
      <c r="J88" s="8" t="str">
        <f>IFERROR(__xludf.DUMMYFUNCTION("GOOGLETRANSLATE(D88, ""en"", ""hi"")"),"a) अपनी बारी गँवा दें, b) पुनः प्रयास करें, c) मार्बल वापस कर दें, d) उसे पुनः प्राप्त करें और जारी रखें")</f>
        <v>a) अपनी बारी गँवा दें, b) पुनः प्रयास करें, c) मार्बल वापस कर दें, d) उसे पुनः प्राप्त करें और जारी रखें</v>
      </c>
      <c r="K88" s="8" t="str">
        <f>IFERROR(__xludf.DUMMYFUNCTION("GOOGLETRANSLATE(E88, ""en"", ""hi"")"),"a) अपनी बारी गँवा देना")</f>
        <v>a) अपनी बारी गँवा देना</v>
      </c>
    </row>
    <row r="89" ht="22.5" customHeight="1">
      <c r="A89" s="2">
        <v>88.0</v>
      </c>
      <c r="B89" s="3" t="s">
        <v>2868</v>
      </c>
      <c r="C89" s="3" t="s">
        <v>2849</v>
      </c>
      <c r="D89" s="3" t="s">
        <v>2878</v>
      </c>
      <c r="E89" s="3" t="s">
        <v>2879</v>
      </c>
      <c r="G89" s="8" t="str">
        <f>IFERROR(__xludf.DUMMYFUNCTION("GOOGLETRANSLATE(A89, ""en"", ""hi"")"),"88")</f>
        <v>88</v>
      </c>
      <c r="H89" s="8" t="str">
        <f>IFERROR(__xludf.DUMMYFUNCTION("GOOGLETRANSLATE(B89, ""en"", ""hi"")"),"कांचे_22")</f>
        <v>कांचे_22</v>
      </c>
      <c r="I89" s="8" t="str">
        <f>IFERROR(__xludf.DUMMYFUNCTION("GOOGLETRANSLATE(C89, ""en"", ""hi"")"),"चित्र में दिखाए गए खेल से, मार्बल फ़्लिकिंग की सटीकता का अभ्यास करने का एक सामान्य तरीका क्या है?")</f>
        <v>चित्र में दिखाए गए खेल से, मार्बल फ़्लिकिंग की सटीकता का अभ्यास करने का एक सामान्य तरीका क्या है?</v>
      </c>
      <c r="J89" s="8" t="str">
        <f>IFERROR(__xludf.DUMMYFUNCTION("GOOGLETRANSLATE(D89, ""en"", ""hi"")"),"क) लक्ष्य के साथ अभ्यास बोर्ड का उपयोग करें, ख) विभिन्न आकार के कंचों के साथ खेलें, ग) विभिन्न सतहों पर अभ्यास करें, घ) खेल के घेरे का आकार समायोजित करें")</f>
        <v>क) लक्ष्य के साथ अभ्यास बोर्ड का उपयोग करें, ख) विभिन्न आकार के कंचों के साथ खेलें, ग) विभिन्न सतहों पर अभ्यास करें, घ) खेल के घेरे का आकार समायोजित करें</v>
      </c>
      <c r="K89" s="8" t="str">
        <f>IFERROR(__xludf.DUMMYFUNCTION("GOOGLETRANSLATE(E89, ""en"", ""hi"")"),"a) लक्ष्य के साथ अभ्यास बोर्ड का उपयोग करें")</f>
        <v>a) लक्ष्य के साथ अभ्यास बोर्ड का उपयोग करें</v>
      </c>
    </row>
    <row r="90" ht="22.5" customHeight="1">
      <c r="A90" s="2">
        <v>89.0</v>
      </c>
      <c r="B90" s="3" t="s">
        <v>2880</v>
      </c>
      <c r="C90" s="3" t="s">
        <v>2881</v>
      </c>
      <c r="D90" s="3" t="s">
        <v>2882</v>
      </c>
      <c r="E90" s="3" t="s">
        <v>2883</v>
      </c>
      <c r="G90" s="8" t="str">
        <f>IFERROR(__xludf.DUMMYFUNCTION("GOOGLETRANSLATE(A90, ""en"", ""hi"")"),"89")</f>
        <v>89</v>
      </c>
      <c r="H90" s="8" t="str">
        <f>IFERROR(__xludf.DUMMYFUNCTION("GOOGLETRANSLATE(B90, ""en"", ""hi"")"),"कांचे_23")</f>
        <v>कांचे_23</v>
      </c>
      <c r="I90" s="8" t="str">
        <f>IFERROR(__xludf.DUMMYFUNCTION("GOOGLETRANSLATE(C90, ""en"", ""hi"")"),"चित्र में दिखाए गए खेल के अनुसार, खेल के दौरान कंचों को संभालने का सामान्य नियम क्या है?")</f>
        <v>चित्र में दिखाए गए खेल के अनुसार, खेल के दौरान कंचों को संभालने का सामान्य नियम क्या है?</v>
      </c>
      <c r="J90" s="8" t="str">
        <f>IFERROR(__xludf.DUMMYFUNCTION("GOOGLETRANSLATE(D90, ""en"", ""hi"")"),"क) खिलाड़ियों को अपने हाथों से कंचों को नहीं छूना चाहिए, ख) कंचों को घेरे के भीतर से ही उछालना चाहिए, ग) खिलाड़ियों को केवल एक हाथ का उपयोग करना चाहिए, घ) कंचों को थैले में रखना चाहिए")</f>
        <v>क) खिलाड़ियों को अपने हाथों से कंचों को नहीं छूना चाहिए, ख) कंचों को घेरे के भीतर से ही उछालना चाहिए, ग) खिलाड़ियों को केवल एक हाथ का उपयोग करना चाहिए, घ) कंचों को थैले में रखना चाहिए</v>
      </c>
      <c r="K90" s="8" t="str">
        <f>IFERROR(__xludf.DUMMYFUNCTION("GOOGLETRANSLATE(E90, ""en"", ""hi"")"),"b) कंचों को गोले के भीतर से ही उछालना चाहिए")</f>
        <v>b) कंचों को गोले के भीतर से ही उछालना चाहिए</v>
      </c>
    </row>
    <row r="91" ht="22.5" customHeight="1">
      <c r="A91" s="2">
        <v>90.0</v>
      </c>
      <c r="B91" s="3" t="s">
        <v>2880</v>
      </c>
      <c r="C91" s="3" t="s">
        <v>2884</v>
      </c>
      <c r="D91" s="3" t="s">
        <v>2885</v>
      </c>
      <c r="E91" s="3" t="s">
        <v>2886</v>
      </c>
      <c r="G91" s="8" t="str">
        <f>IFERROR(__xludf.DUMMYFUNCTION("GOOGLETRANSLATE(A91, ""en"", ""hi"")"),"90")</f>
        <v>90</v>
      </c>
      <c r="H91" s="8" t="str">
        <f>IFERROR(__xludf.DUMMYFUNCTION("GOOGLETRANSLATE(B91, ""en"", ""hi"")"),"कांचे_23")</f>
        <v>कांचे_23</v>
      </c>
      <c r="I91" s="8" t="str">
        <f>IFERROR(__xludf.DUMMYFUNCTION("GOOGLETRANSLATE(C91, ""en"", ""hi"")"),"चित्र में दिखाए गए खेल से खिलाड़ी कंचे गिराने की अपनी संभावनाओं को कैसे बेहतर बना सकते हैं?")</f>
        <v>चित्र में दिखाए गए खेल से खिलाड़ी कंचे गिराने की अपनी संभावनाओं को कैसे बेहतर बना सकते हैं?</v>
      </c>
      <c r="J91" s="8" t="str">
        <f>IFERROR(__xludf.DUMMYFUNCTION("GOOGLETRANSLATE(D91, ""en"", ""hi"")"),"क) अलग-अलग कंचों के साथ अभ्यास करके, ख) बड़े गोले का उपयोग करके, ग) टीम में खेलकर, घ) अपनी फ़्लिकिंग तकनीक का अभ्यास करके")</f>
        <v>क) अलग-अलग कंचों के साथ अभ्यास करके, ख) बड़े गोले का उपयोग करके, ग) टीम में खेलकर, घ) अपनी फ़्लिकिंग तकनीक का अभ्यास करके</v>
      </c>
      <c r="K91" s="8" t="str">
        <f>IFERROR(__xludf.DUMMYFUNCTION("GOOGLETRANSLATE(E91, ""en"", ""hi"")"),"d) अपनी फ़्लिकिंग तकनीक का अभ्यास करके")</f>
        <v>d) अपनी फ़्लिकिंग तकनीक का अभ्यास करके</v>
      </c>
    </row>
    <row r="92" ht="22.5" customHeight="1">
      <c r="A92" s="2">
        <v>91.0</v>
      </c>
      <c r="B92" s="3" t="s">
        <v>2880</v>
      </c>
      <c r="C92" s="3" t="s">
        <v>2887</v>
      </c>
      <c r="D92" s="3" t="s">
        <v>2888</v>
      </c>
      <c r="E92" s="3" t="s">
        <v>2889</v>
      </c>
      <c r="G92" s="8" t="str">
        <f>IFERROR(__xludf.DUMMYFUNCTION("GOOGLETRANSLATE(A92, ""en"", ""hi"")"),"91")</f>
        <v>91</v>
      </c>
      <c r="H92" s="8" t="str">
        <f>IFERROR(__xludf.DUMMYFUNCTION("GOOGLETRANSLATE(B92, ""en"", ""hi"")"),"कांचे_23")</f>
        <v>कांचे_23</v>
      </c>
      <c r="I92" s="8" t="str">
        <f>IFERROR(__xludf.DUMMYFUNCTION("GOOGLETRANSLATE(C92, ""en"", ""hi"")"),"चित्र में दिखाए गए खेल से, 'मार्कर' मार्बल का उद्देश्य क्या है?")</f>
        <v>चित्र में दिखाए गए खेल से, 'मार्कर' मार्बल का उद्देश्य क्या है?</v>
      </c>
      <c r="J92" s="8" t="str">
        <f>IFERROR(__xludf.DUMMYFUNCTION("GOOGLETRANSLATE(D92, ""en"", ""hi"")"),"क) प्रारंभिक स्थिति को इंगित करने के लिए, ख) लक्ष्य के रूप में कार्य करने के लिए, ग) विजेता का प्रतिनिधित्व करने के लिए, घ) स्कोर रखने के लिए")</f>
        <v>क) प्रारंभिक स्थिति को इंगित करने के लिए, ख) लक्ष्य के रूप में कार्य करने के लिए, ग) विजेता का प्रतिनिधित्व करने के लिए, घ) स्कोर रखने के लिए</v>
      </c>
      <c r="K92" s="8" t="str">
        <f>IFERROR(__xludf.DUMMYFUNCTION("GOOGLETRANSLATE(E92, ""en"", ""hi"")"),"ख) लक्ष्य के रूप में कार्य करना")</f>
        <v>ख) लक्ष्य के रूप में कार्य करना</v>
      </c>
    </row>
    <row r="93" ht="22.5" customHeight="1">
      <c r="A93" s="2">
        <v>92.0</v>
      </c>
      <c r="B93" s="3" t="s">
        <v>2880</v>
      </c>
      <c r="C93" s="3" t="s">
        <v>2890</v>
      </c>
      <c r="D93" s="3" t="s">
        <v>2891</v>
      </c>
      <c r="E93" s="3" t="s">
        <v>2892</v>
      </c>
      <c r="G93" s="8" t="str">
        <f>IFERROR(__xludf.DUMMYFUNCTION("GOOGLETRANSLATE(A93, ""en"", ""hi"")"),"92")</f>
        <v>92</v>
      </c>
      <c r="H93" s="8" t="str">
        <f>IFERROR(__xludf.DUMMYFUNCTION("GOOGLETRANSLATE(B93, ""en"", ""hi"")"),"कांचे_23")</f>
        <v>कांचे_23</v>
      </c>
      <c r="I93" s="8" t="str">
        <f>IFERROR(__xludf.DUMMYFUNCTION("GOOGLETRANSLATE(C93, ""en"", ""hi"")"),"चित्र में दिखाए गए खेल से, पेशेवर खेल में उपयोग किए जाने वाले कंचों की एक सामान्य विशेषता क्या है?")</f>
        <v>चित्र में दिखाए गए खेल से, पेशेवर खेल में उपयोग किए जाने वाले कंचों की एक सामान्य विशेषता क्या है?</v>
      </c>
      <c r="J93" s="8" t="str">
        <f>IFERROR(__xludf.DUMMYFUNCTION("GOOGLETRANSLATE(D93, ""en"", ""hi"")"),"क) एक समान आकार और वजन, ख) अद्वितीय रंग और डिजाइन, ग) अंधेरे में चमकने वाले गुण, घ) अलग-अलग बनावट")</f>
        <v>क) एक समान आकार और वजन, ख) अद्वितीय रंग और डिजाइन, ग) अंधेरे में चमकने वाले गुण, घ) अलग-अलग बनावट</v>
      </c>
      <c r="K93" s="8" t="str">
        <f>IFERROR(__xludf.DUMMYFUNCTION("GOOGLETRANSLATE(E93, ""en"", ""hi"")"),"a) एक समान आकार और वजन")</f>
        <v>a) एक समान आकार और वजन</v>
      </c>
    </row>
    <row r="94" ht="22.5" customHeight="1">
      <c r="A94" s="2">
        <v>93.0</v>
      </c>
      <c r="B94" s="3" t="s">
        <v>2893</v>
      </c>
      <c r="C94" s="3" t="s">
        <v>2894</v>
      </c>
      <c r="D94" s="3" t="s">
        <v>2895</v>
      </c>
      <c r="E94" s="3" t="s">
        <v>2896</v>
      </c>
      <c r="G94" s="8" t="str">
        <f>IFERROR(__xludf.DUMMYFUNCTION("GOOGLETRANSLATE(A94, ""en"", ""hi"")"),"93")</f>
        <v>93</v>
      </c>
      <c r="H94" s="8" t="str">
        <f>IFERROR(__xludf.DUMMYFUNCTION("GOOGLETRANSLATE(B94, ""en"", ""hi"")"),"कांचे_24")</f>
        <v>कांचे_24</v>
      </c>
      <c r="I94" s="8" t="str">
        <f>IFERROR(__xludf.DUMMYFUNCTION("GOOGLETRANSLATE(C94, ""en"", ""hi"")"),"चित्र में दिखाए गए खेल से खिलाड़ी कैसे सुनिश्चित कर सकते हैं कि उनके कंचे अच्छी स्थिति में हैं?")</f>
        <v>चित्र में दिखाए गए खेल से खिलाड़ी कैसे सुनिश्चित कर सकते हैं कि उनके कंचे अच्छी स्थिति में हैं?</v>
      </c>
      <c r="J94" s="8" t="str">
        <f>IFERROR(__xludf.DUMMYFUNCTION("GOOGLETRANSLATE(D94, ""en"", ""hi"")"),"क) उन्हें नियमित रूप से साफ करें, ख) उन्हें एक विशिष्ट क्रम में संग्रहित करें, ग) क्षतिग्रस्त मार्बल्स को बदलें, घ) एक ही रंग के मार्बल्स का उपयोग करें")</f>
        <v>क) उन्हें नियमित रूप से साफ करें, ख) उन्हें एक विशिष्ट क्रम में संग्रहित करें, ग) क्षतिग्रस्त मार्बल्स को बदलें, घ) एक ही रंग के मार्बल्स का उपयोग करें</v>
      </c>
      <c r="K94" s="8" t="str">
        <f>IFERROR(__xludf.DUMMYFUNCTION("GOOGLETRANSLATE(E94, ""en"", ""hi"")"),"क) उन्हें नियमित रूप से साफ करें")</f>
        <v>क) उन्हें नियमित रूप से साफ करें</v>
      </c>
    </row>
    <row r="95" ht="22.5" customHeight="1">
      <c r="A95" s="2">
        <v>94.0</v>
      </c>
      <c r="B95" s="3" t="s">
        <v>2893</v>
      </c>
      <c r="C95" s="3" t="s">
        <v>2897</v>
      </c>
      <c r="D95" s="3" t="s">
        <v>2898</v>
      </c>
      <c r="E95" s="3" t="s">
        <v>2899</v>
      </c>
      <c r="G95" s="8" t="str">
        <f>IFERROR(__xludf.DUMMYFUNCTION("GOOGLETRANSLATE(A95, ""en"", ""hi"")"),"94")</f>
        <v>94</v>
      </c>
      <c r="H95" s="8" t="str">
        <f>IFERROR(__xludf.DUMMYFUNCTION("GOOGLETRANSLATE(B95, ""en"", ""hi"")"),"कांचे_24")</f>
        <v>कांचे_24</v>
      </c>
      <c r="I95" s="8" t="str">
        <f>IFERROR(__xludf.DUMMYFUNCTION("GOOGLETRANSLATE(C95, ""en"", ""hi"")"),"चित्र में दिखाए गए खेल के आधार पर खेल के घेरे का आकार तय करने में मुख्य कारक क्या है?")</f>
        <v>चित्र में दिखाए गए खेल के आधार पर खेल के घेरे का आकार तय करने में मुख्य कारक क्या है?</v>
      </c>
      <c r="J95" s="8" t="str">
        <f>IFERROR(__xludf.DUMMYFUNCTION("GOOGLETRANSLATE(D95, ""en"", ""hi"")"),"a) खिलाड़ियों की संख्या, b) कंचों का आकार, c) सतह का प्रकार, d) उपलब्ध स्थान")</f>
        <v>a) खिलाड़ियों की संख्या, b) कंचों का आकार, c) सतह का प्रकार, d) उपलब्ध स्थान</v>
      </c>
      <c r="K95" s="8" t="str">
        <f>IFERROR(__xludf.DUMMYFUNCTION("GOOGLETRANSLATE(E95, ""en"", ""hi"")"),"घ) उपलब्ध स्थान")</f>
        <v>घ) उपलब्ध स्थान</v>
      </c>
    </row>
    <row r="96" ht="22.5" customHeight="1">
      <c r="A96" s="2">
        <v>95.0</v>
      </c>
      <c r="B96" s="3" t="s">
        <v>2893</v>
      </c>
      <c r="C96" s="3" t="s">
        <v>2900</v>
      </c>
      <c r="D96" s="3" t="s">
        <v>2901</v>
      </c>
      <c r="E96" s="3" t="s">
        <v>2902</v>
      </c>
      <c r="G96" s="8" t="str">
        <f>IFERROR(__xludf.DUMMYFUNCTION("GOOGLETRANSLATE(A96, ""en"", ""hi"")"),"95")</f>
        <v>95</v>
      </c>
      <c r="H96" s="8" t="str">
        <f>IFERROR(__xludf.DUMMYFUNCTION("GOOGLETRANSLATE(B96, ""en"", ""hi"")"),"कांचे_24")</f>
        <v>कांचे_24</v>
      </c>
      <c r="I96" s="8" t="str">
        <f>IFERROR(__xludf.DUMMYFUNCTION("GOOGLETRANSLATE(C96, ""en"", ""hi"")"),"चित्र में दिखाए गए खेल के अनुसार, खेल के दौरान नियमों को समायोजित करने का सामान्य कारण क्या है?")</f>
        <v>चित्र में दिखाए गए खेल के अनुसार, खेल के दौरान नियमों को समायोजित करने का सामान्य कारण क्या है?</v>
      </c>
      <c r="J96" s="8" t="str">
        <f>IFERROR(__xludf.DUMMYFUNCTION("GOOGLETRANSLATE(D96, ""en"", ""hi"")"),"क) विभिन्न कौशल स्तरों को समायोजित करने के लिए, ख) खेल को छोटा करने के लिए, ग) अधिक खिलाड़ियों को शामिल करने के लिए, घ) खेल के उद्देश्य को बदलने के लिए")</f>
        <v>क) विभिन्न कौशल स्तरों को समायोजित करने के लिए, ख) खेल को छोटा करने के लिए, ग) अधिक खिलाड़ियों को शामिल करने के लिए, घ) खेल के उद्देश्य को बदलने के लिए</v>
      </c>
      <c r="K96" s="8" t="str">
        <f>IFERROR(__xludf.DUMMYFUNCTION("GOOGLETRANSLATE(E96, ""en"", ""hi"")"),"a) विभिन्न कौशल स्तरों को समायोजित करने के लिए")</f>
        <v>a) विभिन्न कौशल स्तरों को समायोजित करने के लिए</v>
      </c>
    </row>
    <row r="97" ht="22.5" customHeight="1">
      <c r="A97" s="2">
        <v>96.0</v>
      </c>
      <c r="B97" s="3" t="s">
        <v>2893</v>
      </c>
      <c r="C97" s="3" t="s">
        <v>2903</v>
      </c>
      <c r="D97" s="3" t="s">
        <v>2904</v>
      </c>
      <c r="E97" s="3" t="s">
        <v>2905</v>
      </c>
      <c r="G97" s="8" t="str">
        <f>IFERROR(__xludf.DUMMYFUNCTION("GOOGLETRANSLATE(A97, ""en"", ""hi"")"),"96")</f>
        <v>96</v>
      </c>
      <c r="H97" s="8" t="str">
        <f>IFERROR(__xludf.DUMMYFUNCTION("GOOGLETRANSLATE(B97, ""en"", ""hi"")"),"कांचे_24")</f>
        <v>कांचे_24</v>
      </c>
      <c r="I97" s="8" t="str">
        <f>IFERROR(__xludf.DUMMYFUNCTION("GOOGLETRANSLATE(C97, ""en"", ""hi"")"),"चित्र में दिखाए गए खेल से, खेल शुरू करने का सबसे आम तरीका क्या है?")</f>
        <v>चित्र में दिखाए गए खेल से, खेल शुरू करने का सबसे आम तरीका क्या है?</v>
      </c>
      <c r="J97" s="8" t="str">
        <f>IFERROR(__xludf.DUMMYFUNCTION("GOOGLETRANSLATE(D97, ""en"", ""hi"")"),"क) लॉटरी निकालकर, ख) सिक्का उछालकर, ग) सबसे उम्रदराज खिलाड़ी को पहले खेलने का मौका देकर, घ) सबसे अधिक कंचे वाले खिलाड़ी को पहले खेलने का मौका देकर")</f>
        <v>क) लॉटरी निकालकर, ख) सिक्का उछालकर, ग) सबसे उम्रदराज खिलाड़ी को पहले खेलने का मौका देकर, घ) सबसे अधिक कंचे वाले खिलाड़ी को पहले खेलने का मौका देकर</v>
      </c>
      <c r="K97" s="8" t="str">
        <f>IFERROR(__xludf.DUMMYFUNCTION("GOOGLETRANSLATE(E97, ""en"", ""hi"")"),"b) सिक्का उछालकर")</f>
        <v>b) सिक्का उछालकर</v>
      </c>
    </row>
    <row r="98" ht="22.5" customHeight="1">
      <c r="A98" s="2">
        <v>97.0</v>
      </c>
      <c r="B98" s="3" t="s">
        <v>2906</v>
      </c>
      <c r="C98" s="3" t="s">
        <v>2907</v>
      </c>
      <c r="D98" s="3" t="s">
        <v>2908</v>
      </c>
      <c r="E98" s="3" t="s">
        <v>2909</v>
      </c>
      <c r="G98" s="8" t="str">
        <f>IFERROR(__xludf.DUMMYFUNCTION("GOOGLETRANSLATE(A98, ""en"", ""hi"")"),"97")</f>
        <v>97</v>
      </c>
      <c r="H98" s="8" t="str">
        <f>IFERROR(__xludf.DUMMYFUNCTION("GOOGLETRANSLATE(B98, ""en"", ""hi"")"),"कांचे_25")</f>
        <v>कांचे_25</v>
      </c>
      <c r="I98" s="8" t="str">
        <f>IFERROR(__xludf.DUMMYFUNCTION("GOOGLETRANSLATE(C98, ""en"", ""hi"")"),"चित्र में दिखाए गए खेल से, फ्लिक की दूरी को नियंत्रित करने का अभ्यास करने का अच्छा तरीका क्या है?")</f>
        <v>चित्र में दिखाए गए खेल से, फ्लिक की दूरी को नियंत्रित करने का अभ्यास करने का अच्छा तरीका क्या है?</v>
      </c>
      <c r="J98" s="8" t="str">
        <f>IFERROR(__xludf.DUMMYFUNCTION("GOOGLETRANSLATE(D98, ""en"", ""hi"")"),"क) विभिन्न फ्लिक शक्तियों के साथ अभ्यास करें, ख) अलग-अलग वजन वाले कंचे का उपयोग करें, ग) छोटे वृत्त के साथ खेलें, घ) विभिन्न सतहों पर अभ्यास करें")</f>
        <v>क) विभिन्न फ्लिक शक्तियों के साथ अभ्यास करें, ख) अलग-अलग वजन वाले कंचे का उपयोग करें, ग) छोटे वृत्त के साथ खेलें, घ) विभिन्न सतहों पर अभ्यास करें</v>
      </c>
      <c r="K98" s="8" t="str">
        <f>IFERROR(__xludf.DUMMYFUNCTION("GOOGLETRANSLATE(E98, ""en"", ""hi"")"),"a) विभिन्न फ्लिक शक्तियों के साथ अभ्यास करें")</f>
        <v>a) विभिन्न फ्लिक शक्तियों के साथ अभ्यास करें</v>
      </c>
    </row>
    <row r="99" ht="22.5" customHeight="1">
      <c r="A99" s="2">
        <v>98.0</v>
      </c>
      <c r="B99" s="3" t="s">
        <v>2906</v>
      </c>
      <c r="C99" s="3" t="s">
        <v>2910</v>
      </c>
      <c r="D99" s="3" t="s">
        <v>2911</v>
      </c>
      <c r="E99" s="3" t="s">
        <v>2912</v>
      </c>
      <c r="G99" s="8" t="str">
        <f>IFERROR(__xludf.DUMMYFUNCTION("GOOGLETRANSLATE(A99, ""en"", ""hi"")"),"98")</f>
        <v>98</v>
      </c>
      <c r="H99" s="8" t="str">
        <f>IFERROR(__xludf.DUMMYFUNCTION("GOOGLETRANSLATE(B99, ""en"", ""hi"")"),"कांचे_25")</f>
        <v>कांचे_25</v>
      </c>
      <c r="I99" s="8" t="str">
        <f>IFERROR(__xludf.DUMMYFUNCTION("GOOGLETRANSLATE(C99, ""en"", ""hi"")"),"चित्र में दिखाए गए खेल से, विभिन्न आकार के कंचों के साथ खेलने का सामान्य नियम क्या है?")</f>
        <v>चित्र में दिखाए गए खेल से, विभिन्न आकार के कंचों के साथ खेलने का सामान्य नियम क्या है?</v>
      </c>
      <c r="J99" s="8" t="str">
        <f>IFERROR(__xludf.DUMMYFUNCTION("GOOGLETRANSLATE(D99, ""en"", ""hi"")"),"क) केवल एक ही आकार के मार्बल का उपयोग करें, ख) किसी भी आकार के मार्बल की अनुमति दें, ग) शुरुआती खिलाड़ियों के लिए छोटे मार्बल का उपयोग करें, घ) अनुभवी खिलाड़ियों के लिए बड़े मार्बल का उपयोग करें")</f>
        <v>क) केवल एक ही आकार के मार्बल का उपयोग करें, ख) किसी भी आकार के मार्बल की अनुमति दें, ग) शुरुआती खिलाड़ियों के लिए छोटे मार्बल का उपयोग करें, घ) अनुभवी खिलाड़ियों के लिए बड़े मार्बल का उपयोग करें</v>
      </c>
      <c r="K99" s="8" t="str">
        <f>IFERROR(__xludf.DUMMYFUNCTION("GOOGLETRANSLATE(E99, ""en"", ""hi"")"),"a) केवल एक ही आकार के कंचों का उपयोग करें")</f>
        <v>a) केवल एक ही आकार के कंचों का उपयोग करें</v>
      </c>
    </row>
    <row r="100" ht="22.5" customHeight="1">
      <c r="A100" s="2">
        <v>99.0</v>
      </c>
      <c r="B100" s="3" t="s">
        <v>2906</v>
      </c>
      <c r="C100" s="3" t="s">
        <v>2913</v>
      </c>
      <c r="D100" s="3" t="s">
        <v>2914</v>
      </c>
      <c r="E100" s="3" t="s">
        <v>2915</v>
      </c>
      <c r="G100" s="8" t="str">
        <f>IFERROR(__xludf.DUMMYFUNCTION("GOOGLETRANSLATE(A100, ""en"", ""hi"")"),"99")</f>
        <v>99</v>
      </c>
      <c r="H100" s="8" t="str">
        <f>IFERROR(__xludf.DUMMYFUNCTION("GOOGLETRANSLATE(B100, ""en"", ""hi"")"),"कांचे_25")</f>
        <v>कांचे_25</v>
      </c>
      <c r="I100" s="8" t="str">
        <f>IFERROR(__xludf.DUMMYFUNCTION("GOOGLETRANSLATE(C100, ""en"", ""hi"")"),"चित्र में दिखाए गए खेल से, खेल के दौरान किसी खिलाड़ी के कौशल का आमतौर पर कैसे आकलन किया जाता है?")</f>
        <v>चित्र में दिखाए गए खेल से, खेल के दौरान किसी खिलाड़ी के कौशल का आमतौर पर कैसे आकलन किया जाता है?</v>
      </c>
      <c r="J100" s="8" t="str">
        <f>IFERROR(__xludf.DUMMYFUNCTION("GOOGLETRANSLATE(D100, ""en"", ""hi"")"),"a) गिराए गए कंचों की संख्या से, b) फ्लिक की सटीकता से, c) खेल की गति से, d) अभ्यास राउंड की संख्या से")</f>
        <v>a) गिराए गए कंचों की संख्या से, b) फ्लिक की सटीकता से, c) खेल की गति से, d) अभ्यास राउंड की संख्या से</v>
      </c>
      <c r="K100" s="8" t="str">
        <f>IFERROR(__xludf.DUMMYFUNCTION("GOOGLETRANSLATE(E100, ""en"", ""hi"")"),"b) फ़्लिक्स की सटीकता से")</f>
        <v>b) फ़्लिक्स की सटीकता से</v>
      </c>
    </row>
    <row r="101" ht="22.5" customHeight="1">
      <c r="A101" s="2">
        <v>100.0</v>
      </c>
      <c r="B101" s="3" t="s">
        <v>2906</v>
      </c>
      <c r="C101" s="3" t="s">
        <v>2916</v>
      </c>
      <c r="D101" s="3" t="s">
        <v>2917</v>
      </c>
      <c r="E101" s="3" t="s">
        <v>2918</v>
      </c>
      <c r="G101" s="8" t="str">
        <f>IFERROR(__xludf.DUMMYFUNCTION("GOOGLETRANSLATE(A101, ""en"", ""hi"")"),"100")</f>
        <v>100</v>
      </c>
      <c r="H101" s="8" t="str">
        <f>IFERROR(__xludf.DUMMYFUNCTION("GOOGLETRANSLATE(B101, ""en"", ""hi"")"),"कांचे_25")</f>
        <v>कांचे_25</v>
      </c>
      <c r="I101" s="8" t="str">
        <f>IFERROR(__xludf.DUMMYFUNCTION("GOOGLETRANSLATE(C101, ""en"", ""hi"")"),"चित्र में दिखाए गए खेल के अनुसार, यदि किसी खिलाड़ी का कंचा सर्कल के किनारे से टकराता है, लेकिन बाहर नहीं जाता है, तो उसे क्या करना चाहिए?")</f>
        <v>चित्र में दिखाए गए खेल के अनुसार, यदि किसी खिलाड़ी का कंचा सर्कल के किनारे से टकराता है, लेकिन बाहर नहीं जाता है, तो उसे क्या करना चाहिए?</v>
      </c>
      <c r="J101" s="8" t="str">
        <f>IFERROR(__xludf.DUMMYFUNCTION("GOOGLETRANSLATE(D101, ""en"", ""hi"")"),"a) खेलना जारी रखें, b) गोले का आकार समायोजित करें, c) शॉट पुनः प्रयास करें, d) कंचे को केंद्र में ले जाएं")</f>
        <v>a) खेलना जारी रखें, b) गोले का आकार समायोजित करें, c) शॉट पुनः प्रयास करें, d) कंचे को केंद्र में ले जाएं</v>
      </c>
      <c r="K101" s="8" t="str">
        <f>IFERROR(__xludf.DUMMYFUNCTION("GOOGLETRANSLATE(E101, ""en"", ""hi"")"),"a) खेलना जारी रखें")</f>
        <v>a) खेलना जारी रखें</v>
      </c>
    </row>
    <row r="102" ht="22.5" customHeight="1">
      <c r="A102" s="2">
        <v>101.0</v>
      </c>
      <c r="B102" s="3" t="s">
        <v>2919</v>
      </c>
      <c r="C102" s="3" t="s">
        <v>2920</v>
      </c>
      <c r="D102" s="3" t="s">
        <v>2921</v>
      </c>
      <c r="E102" s="3" t="s">
        <v>2922</v>
      </c>
      <c r="G102" s="8" t="str">
        <f>IFERROR(__xludf.DUMMYFUNCTION("GOOGLETRANSLATE(A102, ""en"", ""hi"")"),"101")</f>
        <v>101</v>
      </c>
      <c r="H102" s="8" t="str">
        <f>IFERROR(__xludf.DUMMYFUNCTION("GOOGLETRANSLATE(B102, ""en"", ""hi"")"),"कांचे_26")</f>
        <v>कांचे_26</v>
      </c>
      <c r="I102" s="8" t="str">
        <f>IFERROR(__xludf.DUMMYFUNCTION("GOOGLETRANSLATE(C102, ""en"", ""hi"")"),"चित्र में दिखाए गए खेल का प्राथमिक उद्देश्य क्या है?")</f>
        <v>चित्र में दिखाए गए खेल का प्राथमिक उद्देश्य क्या है?</v>
      </c>
      <c r="J102" s="8" t="str">
        <f>IFERROR(__xludf.DUMMYFUNCTION("GOOGLETRANSLATE(D102, ""en"", ""hi"")"),"A) सबसे अधिक मार्बल्स मारें, B) सभी मार्बल्स एकत्र करें, C) मार्बल्स मारने से बचें, D) मार्बल्स को ढेर करें")</f>
        <v>A) सबसे अधिक मार्बल्स मारें, B) सभी मार्बल्स एकत्र करें, C) मार्बल्स मारने से बचें, D) मार्बल्स को ढेर करें</v>
      </c>
      <c r="K102" s="8" t="str">
        <f>IFERROR(__xludf.DUMMYFUNCTION("GOOGLETRANSLATE(E102, ""en"", ""hi"")"),"B) सभी कंचे इकट्ठा करें")</f>
        <v>B) सभी कंचे इकट्ठा करें</v>
      </c>
    </row>
    <row r="103" ht="22.5" customHeight="1">
      <c r="A103" s="2">
        <v>102.0</v>
      </c>
      <c r="B103" s="3" t="s">
        <v>2919</v>
      </c>
      <c r="C103" s="3" t="s">
        <v>2923</v>
      </c>
      <c r="D103" s="3" t="s">
        <v>2924</v>
      </c>
      <c r="E103" s="3" t="s">
        <v>2925</v>
      </c>
      <c r="G103" s="8" t="str">
        <f>IFERROR(__xludf.DUMMYFUNCTION("GOOGLETRANSLATE(A103, ""en"", ""hi"")"),"102")</f>
        <v>102</v>
      </c>
      <c r="H103" s="8" t="str">
        <f>IFERROR(__xludf.DUMMYFUNCTION("GOOGLETRANSLATE(B103, ""en"", ""hi"")"),"कांचे_26")</f>
        <v>कांचे_26</v>
      </c>
      <c r="I103" s="8" t="str">
        <f>IFERROR(__xludf.DUMMYFUNCTION("GOOGLETRANSLATE(C103, ""en"", ""hi"")"),"चित्र में दिखाए गए खेल के लिए पारंपरिक मार्बल आमतौर पर किस सामग्री से बनाए जाते हैं?")</f>
        <v>चित्र में दिखाए गए खेल के लिए पारंपरिक मार्बल आमतौर पर किस सामग्री से बनाए जाते हैं?</v>
      </c>
      <c r="J103" s="8" t="str">
        <f>IFERROR(__xludf.DUMMYFUNCTION("GOOGLETRANSLATE(D103, ""en"", ""hi"")"),"A) कांच, B) प्लास्टिक, C) लकड़ी, D) पत्थर")</f>
        <v>A) कांच, B) प्लास्टिक, C) लकड़ी, D) पत्थर</v>
      </c>
      <c r="K103" s="8" t="str">
        <f>IFERROR(__xludf.DUMMYFUNCTION("GOOGLETRANSLATE(E103, ""en"", ""hi"")"),"ए) कांच")</f>
        <v>ए) कांच</v>
      </c>
    </row>
    <row r="104" ht="22.5" customHeight="1">
      <c r="A104" s="2">
        <v>103.0</v>
      </c>
      <c r="B104" s="3" t="s">
        <v>2919</v>
      </c>
      <c r="C104" s="3" t="s">
        <v>2926</v>
      </c>
      <c r="D104" s="3" t="s">
        <v>2927</v>
      </c>
      <c r="E104" s="3" t="s">
        <v>2928</v>
      </c>
      <c r="G104" s="8" t="str">
        <f>IFERROR(__xludf.DUMMYFUNCTION("GOOGLETRANSLATE(A104, ""en"", ""hi"")"),"103")</f>
        <v>103</v>
      </c>
      <c r="H104" s="8" t="str">
        <f>IFERROR(__xludf.DUMMYFUNCTION("GOOGLETRANSLATE(B104, ""en"", ""hi"")"),"कांचे_26")</f>
        <v>कांचे_26</v>
      </c>
      <c r="I104" s="8" t="str">
        <f>IFERROR(__xludf.DUMMYFUNCTION("GOOGLETRANSLATE(C104, ""en"", ""hi"")"),"चित्र में दिखाए गए खेल के लिए, आमतौर पर मोड़ कैसे निर्धारित किए जाते हैं?")</f>
        <v>चित्र में दिखाए गए खेल के लिए, आमतौर पर मोड़ कैसे निर्धारित किए जाते हैं?</v>
      </c>
      <c r="J104" s="8" t="str">
        <f>IFERROR(__xludf.DUMMYFUNCTION("GOOGLETRANSLATE(D104, ""en"", ""hi"")"),"A) उम्र के आधार पर, B) सिक्का उछालकर, C) लैगिंग शॉट द्वारा, D) यादृच्छिक चयन द्वारा")</f>
        <v>A) उम्र के आधार पर, B) सिक्का उछालकर, C) लैगिंग शॉट द्वारा, D) यादृच्छिक चयन द्वारा</v>
      </c>
      <c r="K104" s="8" t="str">
        <f>IFERROR(__xludf.DUMMYFUNCTION("GOOGLETRANSLATE(E104, ""en"", ""hi"")"),"C) लैगिंग शॉट द्वारा")</f>
        <v>C) लैगिंग शॉट द्वारा</v>
      </c>
    </row>
    <row r="105" ht="22.5" customHeight="1">
      <c r="A105" s="2">
        <v>104.0</v>
      </c>
      <c r="B105" s="3" t="s">
        <v>2919</v>
      </c>
      <c r="C105" s="3" t="s">
        <v>2929</v>
      </c>
      <c r="D105" s="3" t="s">
        <v>2930</v>
      </c>
      <c r="E105" s="3" t="s">
        <v>2931</v>
      </c>
      <c r="G105" s="8" t="str">
        <f>IFERROR(__xludf.DUMMYFUNCTION("GOOGLETRANSLATE(A105, ""en"", ""hi"")"),"104")</f>
        <v>104</v>
      </c>
      <c r="H105" s="8" t="str">
        <f>IFERROR(__xludf.DUMMYFUNCTION("GOOGLETRANSLATE(B105, ""en"", ""hi"")"),"कांचे_26")</f>
        <v>कांचे_26</v>
      </c>
      <c r="I105" s="8" t="str">
        <f>IFERROR(__xludf.DUMMYFUNCTION("GOOGLETRANSLATE(C105, ""en"", ""hi"")"),"चित्र में दिखाए गए खेल में जीतने के लिए कौन सा कौशल सबसे महत्वपूर्ण है?")</f>
        <v>चित्र में दिखाए गए खेल में जीतने के लिए कौन सा कौशल सबसे महत्वपूर्ण है?</v>
      </c>
      <c r="J105" s="8" t="str">
        <f>IFERROR(__xludf.DUMMYFUNCTION("GOOGLETRANSLATE(D105, ""en"", ""hi"")"),"A) गति, B) परिशुद्धता, C) शक्ति, D) सहनशक्ति")</f>
        <v>A) गति, B) परिशुद्धता, C) शक्ति, D) सहनशक्ति</v>
      </c>
      <c r="K105" s="8" t="str">
        <f>IFERROR(__xludf.DUMMYFUNCTION("GOOGLETRANSLATE(E105, ""en"", ""hi"")"),"बी) परिशुद्धता")</f>
        <v>बी) परिशुद्धता</v>
      </c>
    </row>
    <row r="106" ht="22.5" customHeight="1">
      <c r="A106" s="2">
        <v>105.0</v>
      </c>
      <c r="B106" s="3" t="s">
        <v>2932</v>
      </c>
      <c r="C106" s="3" t="s">
        <v>2933</v>
      </c>
      <c r="D106" s="3" t="s">
        <v>2934</v>
      </c>
      <c r="E106" s="3" t="s">
        <v>2935</v>
      </c>
      <c r="G106" s="8" t="str">
        <f>IFERROR(__xludf.DUMMYFUNCTION("GOOGLETRANSLATE(A106, ""en"", ""hi"")"),"105")</f>
        <v>105</v>
      </c>
      <c r="H106" s="8" t="str">
        <f>IFERROR(__xludf.DUMMYFUNCTION("GOOGLETRANSLATE(B106, ""en"", ""hi"")"),"कांचे_27")</f>
        <v>कांचे_27</v>
      </c>
      <c r="I106" s="8" t="str">
        <f>IFERROR(__xludf.DUMMYFUNCTION("GOOGLETRANSLATE(C106, ""en"", ""hi"")"),"चित्र में दिखाए गए खेल में, क्या होता है जब कोई खिलाड़ी सर्कल से सभी कंचे गिरा देता है?")</f>
        <v>चित्र में दिखाए गए खेल में, क्या होता है जब कोई खिलाड़ी सर्कल से सभी कंचे गिरा देता है?</v>
      </c>
      <c r="J106" s="8" t="str">
        <f>IFERROR(__xludf.DUMMYFUNCTION("GOOGLETRANSLATE(D106, ""en"", ""hi"")"),"A) खेल जीतता है, B) एक बारी हारता है, C) अंक प्राप्त करता है, D) जुर्माना लगाया जाता है")</f>
        <v>A) खेल जीतता है, B) एक बारी हारता है, C) अंक प्राप्त करता है, D) जुर्माना लगाया जाता है</v>
      </c>
      <c r="K106" s="8" t="str">
        <f>IFERROR(__xludf.DUMMYFUNCTION("GOOGLETRANSLATE(E106, ""en"", ""hi"")"),"A) खेल जीतता है")</f>
        <v>A) खेल जीतता है</v>
      </c>
    </row>
    <row r="107" ht="22.5" customHeight="1">
      <c r="A107" s="2">
        <v>106.0</v>
      </c>
      <c r="B107" s="3" t="s">
        <v>2932</v>
      </c>
      <c r="C107" s="3" t="s">
        <v>2936</v>
      </c>
      <c r="D107" s="3" t="s">
        <v>2937</v>
      </c>
      <c r="E107" s="3" t="s">
        <v>2938</v>
      </c>
      <c r="G107" s="8" t="str">
        <f>IFERROR(__xludf.DUMMYFUNCTION("GOOGLETRANSLATE(A107, ""en"", ""hi"")"),"106")</f>
        <v>106</v>
      </c>
      <c r="H107" s="8" t="str">
        <f>IFERROR(__xludf.DUMMYFUNCTION("GOOGLETRANSLATE(B107, ""en"", ""hi"")"),"कांचे_27")</f>
        <v>कांचे_27</v>
      </c>
      <c r="I107" s="8" t="str">
        <f>IFERROR(__xludf.DUMMYFUNCTION("GOOGLETRANSLATE(C107, ""en"", ""hi"")"),"चित्र में दिखाए गए खेल के लिए, शॉट चूकने का क्या परिणाम होता है?")</f>
        <v>चित्र में दिखाए गए खेल के लिए, शॉट चूकने का क्या परिणाम होता है?</v>
      </c>
      <c r="J107" s="8" t="str">
        <f>IFERROR(__xludf.DUMMYFUNCTION("GOOGLETRANSLATE(D107, ""en"", ""hi"")"),"A) अंक गँवाना, B) बारी गँवाना, C) पेनल्टी प्राप्त करना, D) पुनः खेलना")</f>
        <v>A) अंक गँवाना, B) बारी गँवाना, C) पेनल्टी प्राप्त करना, D) पुनः खेलना</v>
      </c>
      <c r="K107" s="8" t="str">
        <f>IFERROR(__xludf.DUMMYFUNCTION("GOOGLETRANSLATE(E107, ""en"", ""hi"")"),"B) एक बारी खोना")</f>
        <v>B) एक बारी खोना</v>
      </c>
    </row>
    <row r="108" ht="22.5" customHeight="1">
      <c r="A108" s="2">
        <v>107.0</v>
      </c>
      <c r="B108" s="3" t="s">
        <v>2932</v>
      </c>
      <c r="C108" s="3" t="s">
        <v>2939</v>
      </c>
      <c r="D108" s="3" t="s">
        <v>2940</v>
      </c>
      <c r="E108" s="3" t="s">
        <v>2941</v>
      </c>
      <c r="G108" s="8" t="str">
        <f>IFERROR(__xludf.DUMMYFUNCTION("GOOGLETRANSLATE(A108, ""en"", ""hi"")"),"107")</f>
        <v>107</v>
      </c>
      <c r="H108" s="8" t="str">
        <f>IFERROR(__xludf.DUMMYFUNCTION("GOOGLETRANSLATE(B108, ""en"", ""hi"")"),"कांचे_27")</f>
        <v>कांचे_27</v>
      </c>
      <c r="I108" s="8" t="str">
        <f>IFERROR(__xludf.DUMMYFUNCTION("GOOGLETRANSLATE(C108, ""en"", ""hi"")"),"चित्र में दिखाए गए खेल के लिए खेल क्षेत्र को आमतौर पर कैसे चिह्नित किया जाता है?")</f>
        <v>चित्र में दिखाए गए खेल के लिए खेल क्षेत्र को आमतौर पर कैसे चिह्नित किया जाता है?</v>
      </c>
      <c r="J108" s="8" t="str">
        <f>IFERROR(__xludf.DUMMYFUNCTION("GOOGLETRANSLATE(D108, ""en"", ""hi"")"),"A) चाक सर्कल, B) लकड़ी की बाड़, C) रस्सी की सीमा, D) पत्थर के निशान")</f>
        <v>A) चाक सर्कल, B) लकड़ी की बाड़, C) रस्सी की सीमा, D) पत्थर के निशान</v>
      </c>
      <c r="K108" s="8" t="str">
        <f>IFERROR(__xludf.DUMMYFUNCTION("GOOGLETRANSLATE(E108, ""en"", ""hi"")"),"A) चाक सर्कल")</f>
        <v>A) चाक सर्कल</v>
      </c>
    </row>
    <row r="109" ht="22.5" customHeight="1">
      <c r="A109" s="2">
        <v>108.0</v>
      </c>
      <c r="B109" s="3" t="s">
        <v>2932</v>
      </c>
      <c r="C109" s="3" t="s">
        <v>2942</v>
      </c>
      <c r="D109" s="3" t="s">
        <v>2943</v>
      </c>
      <c r="E109" s="3" t="s">
        <v>2944</v>
      </c>
      <c r="G109" s="8" t="str">
        <f>IFERROR(__xludf.DUMMYFUNCTION("GOOGLETRANSLATE(A109, ""en"", ""hi"")"),"108")</f>
        <v>108</v>
      </c>
      <c r="H109" s="8" t="str">
        <f>IFERROR(__xludf.DUMMYFUNCTION("GOOGLETRANSLATE(B109, ""en"", ""hi"")"),"कांचे_27")</f>
        <v>कांचे_27</v>
      </c>
      <c r="I109" s="8" t="str">
        <f>IFERROR(__xludf.DUMMYFUNCTION("GOOGLETRANSLATE(C109, ""en"", ""hi"")"),"चित्र में दिखाए गए खेल में कंचे को उछालने के लिए आमतौर पर किस तकनीक का उपयोग किया जाता है?")</f>
        <v>चित्र में दिखाए गए खेल में कंचे को उछालने के लिए आमतौर पर किस तकनीक का उपयोग किया जाता है?</v>
      </c>
      <c r="J109" s="8" t="str">
        <f>IFERROR(__xludf.DUMMYFUNCTION("GOOGLETRANSLATE(D109, ""en"", ""hi"")"),"ए) थम्ब फ्लिक, बी) पाम रोल, सी) बैकहैंड फ्लिक, डी) फिंगर स्नैप")</f>
        <v>ए) थम्ब फ्लिक, बी) पाम रोल, सी) बैकहैंड फ्लिक, डी) फिंगर स्नैप</v>
      </c>
      <c r="K109" s="8" t="str">
        <f>IFERROR(__xludf.DUMMYFUNCTION("GOOGLETRANSLATE(E109, ""en"", ""hi"")"),"A) अंगूठा झटका")</f>
        <v>A) अंगूठा झटका</v>
      </c>
    </row>
    <row r="110" ht="22.5" customHeight="1">
      <c r="A110" s="2">
        <v>109.0</v>
      </c>
      <c r="B110" s="3" t="s">
        <v>2945</v>
      </c>
      <c r="C110" s="3" t="s">
        <v>2946</v>
      </c>
      <c r="D110" s="3" t="s">
        <v>2947</v>
      </c>
      <c r="E110" s="3" t="s">
        <v>2948</v>
      </c>
      <c r="G110" s="8" t="str">
        <f>IFERROR(__xludf.DUMMYFUNCTION("GOOGLETRANSLATE(A110, ""en"", ""hi"")"),"109")</f>
        <v>109</v>
      </c>
      <c r="H110" s="8" t="str">
        <f>IFERROR(__xludf.DUMMYFUNCTION("GOOGLETRANSLATE(B110, ""en"", ""hi"")"),"कांचे_28")</f>
        <v>कांचे_28</v>
      </c>
      <c r="I110" s="8" t="str">
        <f>IFERROR(__xludf.DUMMYFUNCTION("GOOGLETRANSLATE(C110, ""en"", ""hi"")"),"चित्र में दिखाए गए खेल को खेलने के लिए मुख्यतः शरीर के किस अंग का उपयोग किया जाता है?")</f>
        <v>चित्र में दिखाए गए खेल को खेलने के लिए मुख्यतः शरीर के किस अंग का उपयोग किया जाता है?</v>
      </c>
      <c r="J110" s="8" t="str">
        <f>IFERROR(__xludf.DUMMYFUNCTION("GOOGLETRANSLATE(D110, ""en"", ""hi"")"),"A) हाथ, B) पैर, C) कोहनी, D) घुटना")</f>
        <v>A) हाथ, B) पैर, C) कोहनी, D) घुटना</v>
      </c>
      <c r="K110" s="8" t="str">
        <f>IFERROR(__xludf.DUMMYFUNCTION("GOOGLETRANSLATE(E110, ""en"", ""hi"")"),"ए) हाथ")</f>
        <v>ए) हाथ</v>
      </c>
    </row>
    <row r="111" ht="22.5" customHeight="1">
      <c r="A111" s="2">
        <v>110.0</v>
      </c>
      <c r="B111" s="3" t="s">
        <v>2945</v>
      </c>
      <c r="C111" s="3" t="s">
        <v>2949</v>
      </c>
      <c r="D111" s="3" t="s">
        <v>2950</v>
      </c>
      <c r="E111" s="3" t="s">
        <v>2951</v>
      </c>
      <c r="G111" s="8" t="str">
        <f>IFERROR(__xludf.DUMMYFUNCTION("GOOGLETRANSLATE(A111, ""en"", ""hi"")"),"110")</f>
        <v>110</v>
      </c>
      <c r="H111" s="8" t="str">
        <f>IFERROR(__xludf.DUMMYFUNCTION("GOOGLETRANSLATE(B111, ""en"", ""hi"")"),"कांचे_28")</f>
        <v>कांचे_28</v>
      </c>
      <c r="I111" s="8" t="str">
        <f>IFERROR(__xludf.DUMMYFUNCTION("GOOGLETRANSLATE(C111, ""en"", ""hi"")"),"चित्र में दिखाए गए खेल में, यदि कोई कंचा खेल क्षेत्र से बाहर चला जाए तो क्या होगा?")</f>
        <v>चित्र में दिखाए गए खेल में, यदि कोई कंचा खेल क्षेत्र से बाहर चला जाए तो क्या होगा?</v>
      </c>
      <c r="J111" s="8" t="str">
        <f>IFERROR(__xludf.DUMMYFUNCTION("GOOGLETRANSLATE(D111, ""en"", ""hi"")"),"A) कंचा हटा दिया जाता है, B) खिलाड़ी को पेनल्टी मिलती है, C) बारी दोहराई जाती है, D) कंचे को पुनः स्थान दिया जाता है")</f>
        <v>A) कंचा हटा दिया जाता है, B) खिलाड़ी को पेनल्टी मिलती है, C) बारी दोहराई जाती है, D) कंचे को पुनः स्थान दिया जाता है</v>
      </c>
      <c r="K111" s="8" t="str">
        <f>IFERROR(__xludf.DUMMYFUNCTION("GOOGLETRANSLATE(E111, ""en"", ""hi"")"),"A) मार्बल हटा दिया गया है")</f>
        <v>A) मार्बल हटा दिया गया है</v>
      </c>
    </row>
    <row r="112" ht="22.5" customHeight="1">
      <c r="A112" s="2">
        <v>111.0</v>
      </c>
      <c r="B112" s="3" t="s">
        <v>2945</v>
      </c>
      <c r="C112" s="3" t="s">
        <v>2952</v>
      </c>
      <c r="D112" s="3" t="s">
        <v>2953</v>
      </c>
      <c r="E112" s="3" t="s">
        <v>2954</v>
      </c>
      <c r="G112" s="8" t="str">
        <f>IFERROR(__xludf.DUMMYFUNCTION("GOOGLETRANSLATE(A112, ""en"", ""hi"")"),"111")</f>
        <v>111</v>
      </c>
      <c r="H112" s="8" t="str">
        <f>IFERROR(__xludf.DUMMYFUNCTION("GOOGLETRANSLATE(B112, ""en"", ""hi"")"),"कांचे_28")</f>
        <v>कांचे_28</v>
      </c>
      <c r="I112" s="8" t="str">
        <f>IFERROR(__xludf.DUMMYFUNCTION("GOOGLETRANSLATE(C112, ""en"", ""hi"")"),"चित्र में दिखाए गए खेल के लिए खिलाड़ी पहली बारी का निर्धारण कैसे करते हैं?")</f>
        <v>चित्र में दिखाए गए खेल के लिए खिलाड़ी पहली बारी का निर्धारण कैसे करते हैं?</v>
      </c>
      <c r="J112" s="8" t="str">
        <f>IFERROR(__xludf.DUMMYFUNCTION("GOOGLETRANSLATE(D112, ""en"", ""hi"")"),"A) लॉटरी निकालना, B) शुरुआती शॉट, C) पत्थर-कागज़-कैंची, D) यादृच्छिक चयन")</f>
        <v>A) लॉटरी निकालना, B) शुरुआती शॉट, C) पत्थर-कागज़-कैंची, D) यादृच्छिक चयन</v>
      </c>
      <c r="K112" s="8" t="str">
        <f>IFERROR(__xludf.DUMMYFUNCTION("GOOGLETRANSLATE(E112, ""en"", ""hi"")"),"बी) एक शुरुआती शॉट")</f>
        <v>बी) एक शुरुआती शॉट</v>
      </c>
    </row>
    <row r="113" ht="22.5" customHeight="1">
      <c r="A113" s="2">
        <v>112.0</v>
      </c>
      <c r="B113" s="3" t="s">
        <v>2945</v>
      </c>
      <c r="C113" s="3" t="s">
        <v>2955</v>
      </c>
      <c r="D113" s="3" t="s">
        <v>2956</v>
      </c>
      <c r="E113" s="3" t="s">
        <v>2957</v>
      </c>
      <c r="G113" s="8" t="str">
        <f>IFERROR(__xludf.DUMMYFUNCTION("GOOGLETRANSLATE(A113, ""en"", ""hi"")"),"112")</f>
        <v>112</v>
      </c>
      <c r="H113" s="8" t="str">
        <f>IFERROR(__xludf.DUMMYFUNCTION("GOOGLETRANSLATE(B113, ""en"", ""hi"")"),"कांचे_28")</f>
        <v>कांचे_28</v>
      </c>
      <c r="I113" s="8" t="str">
        <f>IFERROR(__xludf.DUMMYFUNCTION("GOOGLETRANSLATE(C113, ""en"", ""hi"")"),"चित्र में दिखाए गए खेल के लिए, प्रतिद्वंद्वी के कंचे पर प्रहार करने का क्या महत्व है?")</f>
        <v>चित्र में दिखाए गए खेल के लिए, प्रतिद्वंद्वी के कंचे पर प्रहार करने का क्या महत्व है?</v>
      </c>
      <c r="J113" s="8" t="str">
        <f>IFERROR(__xludf.DUMMYFUNCTION("GOOGLETRANSLATE(D113, ""en"", ""hi"")"),"A) अंक प्राप्त करें, B) उनकी बारी चुराएँ, C) उनका कंचा हटाएँ, D) एक अंक गँवाएँ")</f>
        <v>A) अंक प्राप्त करें, B) उनकी बारी चुराएँ, C) उनका कंचा हटाएँ, D) एक अंक गँवाएँ</v>
      </c>
      <c r="K113" s="8" t="str">
        <f>IFERROR(__xludf.DUMMYFUNCTION("GOOGLETRANSLATE(E113, ""en"", ""hi"")"),"C) उनका मार्बल हटा दें")</f>
        <v>C) उनका मार्बल हटा दें</v>
      </c>
    </row>
    <row r="114" ht="22.5" customHeight="1">
      <c r="A114" s="2">
        <v>113.0</v>
      </c>
      <c r="B114" s="3" t="s">
        <v>2958</v>
      </c>
      <c r="C114" s="3" t="s">
        <v>2959</v>
      </c>
      <c r="D114" s="3" t="s">
        <v>2960</v>
      </c>
      <c r="E114" s="3" t="s">
        <v>2961</v>
      </c>
      <c r="G114" s="8" t="str">
        <f>IFERROR(__xludf.DUMMYFUNCTION("GOOGLETRANSLATE(A114, ""en"", ""hi"")"),"113")</f>
        <v>113</v>
      </c>
      <c r="H114" s="8" t="str">
        <f>IFERROR(__xludf.DUMMYFUNCTION("GOOGLETRANSLATE(B114, ""en"", ""hi"")"),"कांचे_29")</f>
        <v>कांचे_29</v>
      </c>
      <c r="I114" s="8" t="str">
        <f>IFERROR(__xludf.DUMMYFUNCTION("GOOGLETRANSLATE(C114, ""en"", ""hi"")"),"चित्र में दिखाए गए खेल में, कोई खिलाड़ी कंचे मारने की अपनी संभावना कैसे बढ़ा सकता है?")</f>
        <v>चित्र में दिखाए गए खेल में, कोई खिलाड़ी कंचे मारने की अपनी संभावना कैसे बढ़ा सकता है?</v>
      </c>
      <c r="J114" s="8" t="str">
        <f>IFERROR(__xludf.DUMMYFUNCTION("GOOGLETRANSLATE(D114, ""en"", ""hi"")"),"A) बड़े कंचे का उपयोग करना, B) किनारे पर निशाना लगाना, C) अधिक बल से झटका देना, D) केंद्र पर निशाना लगाना")</f>
        <v>A) बड़े कंचे का उपयोग करना, B) किनारे पर निशाना लगाना, C) अधिक बल से झटका देना, D) केंद्र पर निशाना लगाना</v>
      </c>
      <c r="K114" s="8" t="str">
        <f>IFERROR(__xludf.DUMMYFUNCTION("GOOGLETRANSLATE(E114, ""en"", ""hi"")"),"D) केंद्र की ओर लक्ष्य करना")</f>
        <v>D) केंद्र की ओर लक्ष्य करना</v>
      </c>
    </row>
    <row r="115" ht="22.5" customHeight="1">
      <c r="A115" s="2">
        <v>114.0</v>
      </c>
      <c r="B115" s="3" t="s">
        <v>2958</v>
      </c>
      <c r="C115" s="3" t="s">
        <v>2962</v>
      </c>
      <c r="D115" s="3" t="s">
        <v>2963</v>
      </c>
      <c r="E115" s="3" t="s">
        <v>2964</v>
      </c>
      <c r="G115" s="8" t="str">
        <f>IFERROR(__xludf.DUMMYFUNCTION("GOOGLETRANSLATE(A115, ""en"", ""hi"")"),"114")</f>
        <v>114</v>
      </c>
      <c r="H115" s="8" t="str">
        <f>IFERROR(__xludf.DUMMYFUNCTION("GOOGLETRANSLATE(B115, ""en"", ""hi"")"),"कांचे_29")</f>
        <v>कांचे_29</v>
      </c>
      <c r="I115" s="8" t="str">
        <f>IFERROR(__xludf.DUMMYFUNCTION("GOOGLETRANSLATE(C115, ""en"", ""hi"")"),"चित्र में दिखाए गए खेल के लिए रक्षात्मक खेल का महत्वपूर्ण पहलू क्या है?")</f>
        <v>चित्र में दिखाए गए खेल के लिए रक्षात्मक खेल का महत्वपूर्ण पहलू क्या है?</v>
      </c>
      <c r="J115" s="8" t="str">
        <f>IFERROR(__xludf.DUMMYFUNCTION("GOOGLETRANSLATE(D115, ""en"", ""hi"")"),"A) कंचों से बचना, B) कंचों को रणनीतिक रूप से रखना, C) जितना संभव हो उतने कंचों को मारना, D) कंचों को सीमा से बाहर ले जाना")</f>
        <v>A) कंचों से बचना, B) कंचों को रणनीतिक रूप से रखना, C) जितना संभव हो उतने कंचों को मारना, D) कंचों को सीमा से बाहर ले जाना</v>
      </c>
      <c r="K115" s="8" t="str">
        <f>IFERROR(__xludf.DUMMYFUNCTION("GOOGLETRANSLATE(E115, ""en"", ""hi"")"),"B) रणनीतिक रूप से कंचों को रखना")</f>
        <v>B) रणनीतिक रूप से कंचों को रखना</v>
      </c>
    </row>
    <row r="116" ht="22.5" customHeight="1">
      <c r="A116" s="2">
        <v>115.0</v>
      </c>
      <c r="B116" s="3" t="s">
        <v>2958</v>
      </c>
      <c r="C116" s="3" t="s">
        <v>2965</v>
      </c>
      <c r="D116" s="3" t="s">
        <v>2966</v>
      </c>
      <c r="E116" s="3" t="s">
        <v>2967</v>
      </c>
      <c r="G116" s="8" t="str">
        <f>IFERROR(__xludf.DUMMYFUNCTION("GOOGLETRANSLATE(A116, ""en"", ""hi"")"),"115")</f>
        <v>115</v>
      </c>
      <c r="H116" s="8" t="str">
        <f>IFERROR(__xludf.DUMMYFUNCTION("GOOGLETRANSLATE(B116, ""en"", ""hi"")"),"कांचे_29")</f>
        <v>कांचे_29</v>
      </c>
      <c r="I116" s="8" t="str">
        <f>IFERROR(__xludf.DUMMYFUNCTION("GOOGLETRANSLATE(C116, ""en"", ""hi"")"),"चित्र में दिखाए गए खेल के लिए कौन सी सतह सबसे उपयुक्त है?")</f>
        <v>चित्र में दिखाए गए खेल के लिए कौन सी सतह सबसे उपयुक्त है?</v>
      </c>
      <c r="J116" s="8" t="str">
        <f>IFERROR(__xludf.DUMMYFUNCTION("GOOGLETRANSLATE(D116, ""en"", ""hi"")"),"A) कंक्रीट, B) घास, C) रेत, D) लकड़ी का फर्श")</f>
        <v>A) कंक्रीट, B) घास, C) रेत, D) लकड़ी का फर्श</v>
      </c>
      <c r="K116" s="8" t="str">
        <f>IFERROR(__xludf.DUMMYFUNCTION("GOOGLETRANSLATE(E116, ""en"", ""hi"")"),"C) रेत")</f>
        <v>C) रेत</v>
      </c>
    </row>
    <row r="117" ht="22.5" customHeight="1">
      <c r="A117" s="2">
        <v>116.0</v>
      </c>
      <c r="B117" s="3" t="s">
        <v>2958</v>
      </c>
      <c r="C117" s="3" t="s">
        <v>2968</v>
      </c>
      <c r="D117" s="3" t="s">
        <v>2969</v>
      </c>
      <c r="E117" s="3" t="s">
        <v>2970</v>
      </c>
      <c r="G117" s="8" t="str">
        <f>IFERROR(__xludf.DUMMYFUNCTION("GOOGLETRANSLATE(A117, ""en"", ""hi"")"),"116")</f>
        <v>116</v>
      </c>
      <c r="H117" s="8" t="str">
        <f>IFERROR(__xludf.DUMMYFUNCTION("GOOGLETRANSLATE(B117, ""en"", ""hi"")"),"कांचे_29")</f>
        <v>कांचे_29</v>
      </c>
      <c r="I117" s="8" t="str">
        <f>IFERROR(__xludf.DUMMYFUNCTION("GOOGLETRANSLATE(C117, ""en"", ""hi"")"),"चित्र में दिखाए गए खेल के लिए खेल सर्कल का आदर्श आकार क्या है?")</f>
        <v>चित्र में दिखाए गए खेल के लिए खेल सर्कल का आदर्श आकार क्या है?</v>
      </c>
      <c r="J117" s="8" t="str">
        <f>IFERROR(__xludf.DUMMYFUNCTION("GOOGLETRANSLATE(D117, ""en"", ""hi"")"),"A) 1 मीटर, B) 2 मीटर, C) 3 मीटर, D) 4 मीटर")</f>
        <v>A) 1 मीटर, B) 2 मीटर, C) 3 मीटर, D) 4 मीटर</v>
      </c>
      <c r="K117" s="8" t="str">
        <f>IFERROR(__xludf.DUMMYFUNCTION("GOOGLETRANSLATE(E117, ""en"", ""hi"")"),"बी) 2 मीटर")</f>
        <v>बी) 2 मीटर</v>
      </c>
    </row>
    <row r="118" ht="22.5" customHeight="1">
      <c r="A118" s="2">
        <v>117.0</v>
      </c>
      <c r="B118" s="3" t="s">
        <v>2971</v>
      </c>
      <c r="C118" s="3" t="s">
        <v>2972</v>
      </c>
      <c r="D118" s="3" t="s">
        <v>2973</v>
      </c>
      <c r="E118" s="3" t="s">
        <v>2974</v>
      </c>
      <c r="G118" s="8" t="str">
        <f>IFERROR(__xludf.DUMMYFUNCTION("GOOGLETRANSLATE(A118, ""en"", ""hi"")"),"117")</f>
        <v>117</v>
      </c>
      <c r="H118" s="8" t="str">
        <f>IFERROR(__xludf.DUMMYFUNCTION("GOOGLETRANSLATE(B118, ""en"", ""hi"")"),"कांचे_30")</f>
        <v>कांचे_30</v>
      </c>
      <c r="I118" s="8" t="str">
        <f>IFERROR(__xludf.DUMMYFUNCTION("GOOGLETRANSLATE(C118, ""en"", ""hi"")"),"चित्र में दिखाए गए खेल में, जब किसी खिलाड़ी का कंचा सर्कल के बाहर गिरता है तो क्या होता है?")</f>
        <v>चित्र में दिखाए गए खेल में, जब किसी खिलाड़ी का कंचा सर्कल के बाहर गिरता है तो क्या होता है?</v>
      </c>
      <c r="J118" s="8" t="str">
        <f>IFERROR(__xludf.DUMMYFUNCTION("GOOGLETRANSLATE(D118, ""en"", ""hi"")"),"A) कंचा खेल से बाहर हो जाता है, B) खिलाड़ी को एक और बारी मिलती है, C) कंचा वापस रख दिया जाता है, D) खेल पुनः शुरू हो जाता है")</f>
        <v>A) कंचा खेल से बाहर हो जाता है, B) खिलाड़ी को एक और बारी मिलती है, C) कंचा वापस रख दिया जाता है, D) खेल पुनः शुरू हो जाता है</v>
      </c>
      <c r="K118" s="8" t="str">
        <f>IFERROR(__xludf.DUMMYFUNCTION("GOOGLETRANSLATE(E118, ""en"", ""hi"")"),"A) कंचा खेल से बाहर है")</f>
        <v>A) कंचा खेल से बाहर है</v>
      </c>
    </row>
    <row r="119" ht="22.5" customHeight="1">
      <c r="A119" s="2">
        <v>118.0</v>
      </c>
      <c r="B119" s="3" t="s">
        <v>2971</v>
      </c>
      <c r="C119" s="3" t="s">
        <v>2975</v>
      </c>
      <c r="D119" s="3" t="s">
        <v>2976</v>
      </c>
      <c r="E119" s="3" t="s">
        <v>2977</v>
      </c>
      <c r="G119" s="8" t="str">
        <f>IFERROR(__xludf.DUMMYFUNCTION("GOOGLETRANSLATE(A119, ""en"", ""hi"")"),"118")</f>
        <v>118</v>
      </c>
      <c r="H119" s="8" t="str">
        <f>IFERROR(__xludf.DUMMYFUNCTION("GOOGLETRANSLATE(B119, ""en"", ""hi"")"),"कांचे_30")</f>
        <v>कांचे_30</v>
      </c>
      <c r="I119" s="8" t="str">
        <f>IFERROR(__xludf.DUMMYFUNCTION("GOOGLETRANSLATE(C119, ""en"", ""hi"")"),"चित्र में दिखाए गए खेल में, खिलाड़ी अपनी बारी गंवाने के बाद कैसे उबरते हैं?")</f>
        <v>चित्र में दिखाए गए खेल में, खिलाड़ी अपनी बारी गंवाने के बाद कैसे उबरते हैं?</v>
      </c>
      <c r="J119" s="8" t="str">
        <f>IFERROR(__xludf.DUMMYFUNCTION("GOOGLETRANSLATE(D119, ""en"", ""hi"")"),"A) वे अगले राउंड का इंतजार करते हैं, B) वे दूसरा शॉट लेते हैं, C) वे पेनल्टी शॉट मारते हैं, D) वे डिफेंस में चले जाते हैं")</f>
        <v>A) वे अगले राउंड का इंतजार करते हैं, B) वे दूसरा शॉट लेते हैं, C) वे पेनल्टी शॉट मारते हैं, D) वे डिफेंस में चले जाते हैं</v>
      </c>
      <c r="K119" s="8" t="str">
        <f>IFERROR(__xludf.DUMMYFUNCTION("GOOGLETRANSLATE(E119, ""en"", ""hi"")"),"A) वे अगले दौर की प्रतीक्षा करते हैं")</f>
        <v>A) वे अगले दौर की प्रतीक्षा करते हैं</v>
      </c>
    </row>
    <row r="120" ht="22.5" customHeight="1">
      <c r="A120" s="2">
        <v>119.0</v>
      </c>
      <c r="B120" s="3" t="s">
        <v>2971</v>
      </c>
      <c r="C120" s="3" t="s">
        <v>2978</v>
      </c>
      <c r="D120" s="3" t="s">
        <v>185</v>
      </c>
      <c r="E120" s="3" t="s">
        <v>2979</v>
      </c>
      <c r="G120" s="8" t="str">
        <f>IFERROR(__xludf.DUMMYFUNCTION("GOOGLETRANSLATE(A120, ""en"", ""hi"")"),"119")</f>
        <v>119</v>
      </c>
      <c r="H120" s="8" t="str">
        <f>IFERROR(__xludf.DUMMYFUNCTION("GOOGLETRANSLATE(B120, ""en"", ""hi"")"),"कांचे_30")</f>
        <v>कांचे_30</v>
      </c>
      <c r="I120" s="8" t="str">
        <f>IFERROR(__xludf.DUMMYFUNCTION("GOOGLETRANSLATE(C120, ""en"", ""hi"")"),"चित्र में दिखाए गए खेल में खिलाड़ियों की सामान्य संख्या कितनी है?")</f>
        <v>चित्र में दिखाए गए खेल में खिलाड़ियों की सामान्य संख्या कितनी है?</v>
      </c>
      <c r="J120" s="8" t="str">
        <f>IFERROR(__xludf.DUMMYFUNCTION("GOOGLETRANSLATE(D120, ""en"", ""hi"")"),"ए) 2, बी) 3, सी) 4, डी) 5")</f>
        <v>ए) 2, बी) 3, सी) 4, डी) 5</v>
      </c>
      <c r="K120" s="8" t="str">
        <f>IFERROR(__xludf.DUMMYFUNCTION("GOOGLETRANSLATE(E120, ""en"", ""hi"")"),"सी) 4")</f>
        <v>सी) 4</v>
      </c>
    </row>
    <row r="121" ht="22.5" customHeight="1">
      <c r="A121" s="2">
        <v>120.0</v>
      </c>
      <c r="B121" s="3" t="s">
        <v>2971</v>
      </c>
      <c r="C121" s="3" t="s">
        <v>2980</v>
      </c>
      <c r="D121" s="3" t="s">
        <v>2981</v>
      </c>
      <c r="E121" s="3" t="s">
        <v>2982</v>
      </c>
      <c r="G121" s="8" t="str">
        <f>IFERROR(__xludf.DUMMYFUNCTION("GOOGLETRANSLATE(A121, ""en"", ""hi"")"),"120")</f>
        <v>120</v>
      </c>
      <c r="H121" s="8" t="str">
        <f>IFERROR(__xludf.DUMMYFUNCTION("GOOGLETRANSLATE(B121, ""en"", ""hi"")"),"कांचे_30")</f>
        <v>कांचे_30</v>
      </c>
      <c r="I121" s="8" t="str">
        <f>IFERROR(__xludf.DUMMYFUNCTION("GOOGLETRANSLATE(C121, ""en"", ""hi"")"),"चित्र में दिखाए गए खेल के लिए, जब कंचों को एक साथ समूहित किया जाता है तो सामान्य रणनीति क्या होती है?")</f>
        <v>चित्र में दिखाए गए खेल के लिए, जब कंचों को एक साथ समूहित किया जाता है तो सामान्य रणनीति क्या होती है?</v>
      </c>
      <c r="J121" s="8" t="str">
        <f>IFERROR(__xludf.DUMMYFUNCTION("GOOGLETRANSLATE(D121, ""en"", ""hi"")"),"A) समूह से बचें, B) धीरे से झटका दें, C) पूरी ताकत से मारें, D) केंद्र के कंचे पर निशाना लगाएँ")</f>
        <v>A) समूह से बचें, B) धीरे से झटका दें, C) पूरी ताकत से मारें, D) केंद्र के कंचे पर निशाना लगाएँ</v>
      </c>
      <c r="K121" s="8" t="str">
        <f>IFERROR(__xludf.DUMMYFUNCTION("GOOGLETRANSLATE(E121, ""en"", ""hi"")"),"D) केंद्र के मार्बल पर निशाना लगाएँ")</f>
        <v>D) केंद्र के मार्बल पर निशाना लगाएँ</v>
      </c>
    </row>
    <row r="122" ht="22.5" customHeight="1">
      <c r="A122" s="2">
        <v>121.0</v>
      </c>
      <c r="B122" s="3" t="s">
        <v>2983</v>
      </c>
      <c r="C122" s="3" t="s">
        <v>2984</v>
      </c>
      <c r="D122" s="3" t="s">
        <v>2985</v>
      </c>
      <c r="E122" s="3" t="s">
        <v>2986</v>
      </c>
      <c r="G122" s="8" t="str">
        <f>IFERROR(__xludf.DUMMYFUNCTION("GOOGLETRANSLATE(A122, ""en"", ""hi"")"),"121")</f>
        <v>121</v>
      </c>
      <c r="H122" s="8" t="str">
        <f>IFERROR(__xludf.DUMMYFUNCTION("GOOGLETRANSLATE(B122, ""en"", ""hi"")"),"कांचे_31")</f>
        <v>कांचे_31</v>
      </c>
      <c r="I122" s="8" t="str">
        <f>IFERROR(__xludf.DUMMYFUNCTION("GOOGLETRANSLATE(C122, ""en"", ""hi"")"),"चित्र में दिखाए गए खेल के लिए, विवादों का समाधान आमतौर पर कैसे किया जाता है?")</f>
        <v>चित्र में दिखाए गए खेल के लिए, विवादों का समाधान आमतौर पर कैसे किया जाता है?</v>
      </c>
      <c r="J122" s="8" t="str">
        <f>IFERROR(__xludf.DUMMYFUNCTION("GOOGLETRANSLATE(D122, ""en"", ""hi"")"),"A) बहुमत से, B) रेफरी द्वारा, C) सिक्का उछालकर, D) शॉट को दोबारा चलाकर")</f>
        <v>A) बहुमत से, B) रेफरी द्वारा, C) सिक्का उछालकर, D) शॉट को दोबारा चलाकर</v>
      </c>
      <c r="K122" s="8" t="str">
        <f>IFERROR(__xludf.DUMMYFUNCTION("GOOGLETRANSLATE(E122, ""en"", ""hi"")"),"D) शॉट के रीप्ले द्वारा")</f>
        <v>D) शॉट के रीप्ले द्वारा</v>
      </c>
    </row>
    <row r="123" ht="22.5" customHeight="1">
      <c r="A123" s="2">
        <v>122.0</v>
      </c>
      <c r="B123" s="3" t="s">
        <v>2983</v>
      </c>
      <c r="C123" s="3" t="s">
        <v>2987</v>
      </c>
      <c r="D123" s="3" t="s">
        <v>2988</v>
      </c>
      <c r="E123" s="3" t="s">
        <v>2989</v>
      </c>
      <c r="G123" s="8" t="str">
        <f>IFERROR(__xludf.DUMMYFUNCTION("GOOGLETRANSLATE(A123, ""en"", ""hi"")"),"122")</f>
        <v>122</v>
      </c>
      <c r="H123" s="8" t="str">
        <f>IFERROR(__xludf.DUMMYFUNCTION("GOOGLETRANSLATE(B123, ""en"", ""hi"")"),"कांचे_31")</f>
        <v>कांचे_31</v>
      </c>
      <c r="I123" s="8" t="str">
        <f>IFERROR(__xludf.DUMMYFUNCTION("GOOGLETRANSLATE(C123, ""en"", ""hi"")"),"चित्र में दिखाए गए खेल में, जब कोई खिलाड़ी किसी अन्य खिलाड़ी के कंचे पर गेंद मारता है तो क्या होता है?")</f>
        <v>चित्र में दिखाए गए खेल में, जब कोई खिलाड़ी किसी अन्य खिलाड़ी के कंचे पर गेंद मारता है तो क्या होता है?</v>
      </c>
      <c r="J123" s="8" t="str">
        <f>IFERROR(__xludf.DUMMYFUNCTION("GOOGLETRANSLATE(D123, ""en"", ""hi"")"),"A) प्रतिद्वंद्वी कंचा खो देता है, B) दोनों खिलाड़ी एक बारी खो देते हैं, C) खेल पुनः शुरू होता है, D) खिलाड़ी अंक प्राप्त करता है")</f>
        <v>A) प्रतिद्वंद्वी कंचा खो देता है, B) दोनों खिलाड़ी एक बारी खो देते हैं, C) खेल पुनः शुरू होता है, D) खिलाड़ी अंक प्राप्त करता है</v>
      </c>
      <c r="K123" s="8" t="str">
        <f>IFERROR(__xludf.DUMMYFUNCTION("GOOGLETRANSLATE(E123, ""en"", ""hi"")"),"A) प्रतिद्वंद्वी मार्बल खो देता है")</f>
        <v>A) प्रतिद्वंद्वी मार्बल खो देता है</v>
      </c>
    </row>
    <row r="124" ht="22.5" customHeight="1">
      <c r="A124" s="2">
        <v>123.0</v>
      </c>
      <c r="B124" s="3" t="s">
        <v>2983</v>
      </c>
      <c r="C124" s="3" t="s">
        <v>2990</v>
      </c>
      <c r="D124" s="3" t="s">
        <v>2991</v>
      </c>
      <c r="E124" s="3" t="s">
        <v>2992</v>
      </c>
      <c r="G124" s="8" t="str">
        <f>IFERROR(__xludf.DUMMYFUNCTION("GOOGLETRANSLATE(A124, ""en"", ""hi"")"),"123")</f>
        <v>123</v>
      </c>
      <c r="H124" s="8" t="str">
        <f>IFERROR(__xludf.DUMMYFUNCTION("GOOGLETRANSLATE(B124, ""en"", ""hi"")"),"कांचे_31")</f>
        <v>कांचे_31</v>
      </c>
      <c r="I124" s="8" t="str">
        <f>IFERROR(__xludf.DUMMYFUNCTION("GOOGLETRANSLATE(C124, ""en"", ""hi"")"),"चित्र में दिखाए गए खेल के लिए, किसी खिलाड़ी में सबसे अधिक प्रशंसनीय गुण क्या है?")</f>
        <v>चित्र में दिखाए गए खेल के लिए, किसी खिलाड़ी में सबसे अधिक प्रशंसनीय गुण क्या है?</v>
      </c>
      <c r="J124" s="8" t="str">
        <f>IFERROR(__xludf.DUMMYFUNCTION("GOOGLETRANSLATE(D124, ""en"", ""hi"")"),"A) गति, B) सटीकता, C) शक्ति, D) धीरज")</f>
        <v>A) गति, B) सटीकता, C) शक्ति, D) धीरज</v>
      </c>
      <c r="K124" s="8" t="str">
        <f>IFERROR(__xludf.DUMMYFUNCTION("GOOGLETRANSLATE(E124, ""en"", ""hi"")"),"बी) सटीकता")</f>
        <v>बी) सटीकता</v>
      </c>
    </row>
    <row r="125" ht="22.5" customHeight="1">
      <c r="A125" s="2">
        <v>124.0</v>
      </c>
      <c r="B125" s="3" t="s">
        <v>2983</v>
      </c>
      <c r="C125" s="3" t="s">
        <v>2993</v>
      </c>
      <c r="D125" s="3" t="s">
        <v>2994</v>
      </c>
      <c r="E125" s="3" t="s">
        <v>2995</v>
      </c>
      <c r="G125" s="8" t="str">
        <f>IFERROR(__xludf.DUMMYFUNCTION("GOOGLETRANSLATE(A125, ""en"", ""hi"")"),"124")</f>
        <v>124</v>
      </c>
      <c r="H125" s="8" t="str">
        <f>IFERROR(__xludf.DUMMYFUNCTION("GOOGLETRANSLATE(B125, ""en"", ""hi"")"),"कांचे_31")</f>
        <v>कांचे_31</v>
      </c>
      <c r="I125" s="8" t="str">
        <f>IFERROR(__xludf.DUMMYFUNCTION("GOOGLETRANSLATE(C125, ""en"", ""hi"")"),"चित्र में दिखाए गए खेल के लिए कोई खिलाड़ी अपनी सटीकता कैसे सुधार सकता है?")</f>
        <v>चित्र में दिखाए गए खेल के लिए कोई खिलाड़ी अपनी सटीकता कैसे सुधार सकता है?</v>
      </c>
      <c r="J125" s="8" t="str">
        <f>IFERROR(__xludf.DUMMYFUNCTION("GOOGLETRANSLATE(D125, ""en"", ""hi"")"),"A) अधिक बल से झटका दें, B) झटका देने का अभ्यास करें, C) बड़े कंचों का प्रयोग करें, D) छोटे कंचों का प्रयोग करें")</f>
        <v>A) अधिक बल से झटका दें, B) झटका देने का अभ्यास करें, C) बड़े कंचों का प्रयोग करें, D) छोटे कंचों का प्रयोग करें</v>
      </c>
      <c r="K125" s="8" t="str">
        <f>IFERROR(__xludf.DUMMYFUNCTION("GOOGLETRANSLATE(E125, ""en"", ""hi"")"),"बी) फ़्लिकिंग का अभ्यास करें")</f>
        <v>बी) फ़्लिकिंग का अभ्यास करें</v>
      </c>
    </row>
    <row r="126" ht="22.5" customHeight="1">
      <c r="A126" s="2">
        <v>125.0</v>
      </c>
      <c r="B126" s="3" t="s">
        <v>2996</v>
      </c>
      <c r="C126" s="3" t="s">
        <v>2997</v>
      </c>
      <c r="D126" s="3" t="s">
        <v>2998</v>
      </c>
      <c r="E126" s="3" t="s">
        <v>2999</v>
      </c>
      <c r="G126" s="8" t="str">
        <f>IFERROR(__xludf.DUMMYFUNCTION("GOOGLETRANSLATE(A126, ""en"", ""hi"")"),"125")</f>
        <v>125</v>
      </c>
      <c r="H126" s="8" t="str">
        <f>IFERROR(__xludf.DUMMYFUNCTION("GOOGLETRANSLATE(B126, ""en"", ""hi"")"),"कांचे_32")</f>
        <v>कांचे_32</v>
      </c>
      <c r="I126" s="8" t="str">
        <f>IFERROR(__xludf.DUMMYFUNCTION("GOOGLETRANSLATE(C126, ""en"", ""hi"")"),"चित्र में दिखाए गए खेल में, यदि किसी खिलाड़ी का कंचा गोले के अंदर रह जाए तो क्या होगा?")</f>
        <v>चित्र में दिखाए गए खेल में, यदि किसी खिलाड़ी का कंचा गोले के अंदर रह जाए तो क्या होगा?</v>
      </c>
      <c r="J126" s="8" t="str">
        <f>IFERROR(__xludf.DUMMYFUNCTION("GOOGLETRANSLATE(D126, ""en"", ""hi"")"),"A) कंचा खेल से बाहर हो जाता है, B) खिलाड़ी जीत जाता है, C) खिलाड़ी को एक और बारी मिलती है, D) कंचा अगले दौर के लिए रहता है")</f>
        <v>A) कंचा खेल से बाहर हो जाता है, B) खिलाड़ी जीत जाता है, C) खिलाड़ी को एक और बारी मिलती है, D) कंचा अगले दौर के लिए रहता है</v>
      </c>
      <c r="K126" s="8" t="str">
        <f>IFERROR(__xludf.DUMMYFUNCTION("GOOGLETRANSLATE(E126, ""en"", ""hi"")"),"D) कंचा अगले दौर के लिए अंदर रहता है")</f>
        <v>D) कंचा अगले दौर के लिए अंदर रहता है</v>
      </c>
    </row>
    <row r="127" ht="22.5" customHeight="1">
      <c r="A127" s="2">
        <v>126.0</v>
      </c>
      <c r="B127" s="3" t="s">
        <v>2996</v>
      </c>
      <c r="C127" s="3" t="s">
        <v>3000</v>
      </c>
      <c r="D127" s="3" t="s">
        <v>3001</v>
      </c>
      <c r="E127" s="3" t="s">
        <v>3002</v>
      </c>
      <c r="G127" s="8" t="str">
        <f>IFERROR(__xludf.DUMMYFUNCTION("GOOGLETRANSLATE(A127, ""en"", ""hi"")"),"126")</f>
        <v>126</v>
      </c>
      <c r="H127" s="8" t="str">
        <f>IFERROR(__xludf.DUMMYFUNCTION("GOOGLETRANSLATE(B127, ""en"", ""hi"")"),"कांचे_32")</f>
        <v>कांचे_32</v>
      </c>
      <c r="I127" s="8" t="str">
        <f>IFERROR(__xludf.DUMMYFUNCTION("GOOGLETRANSLATE(C127, ""en"", ""hi"")"),"चित्र में दिखाए गए खेल के लिए, खेल की शुरुआत में आमतौर पर कंचों को किस प्रकार व्यवस्थित किया जाता है?")</f>
        <v>चित्र में दिखाए गए खेल के लिए, खेल की शुरुआत में आमतौर पर कंचों को किस प्रकार व्यवस्थित किया जाता है?</v>
      </c>
      <c r="J127" s="8" t="str">
        <f>IFERROR(__xludf.DUMMYFUNCTION("GOOGLETRANSLATE(D127, ""en"", ""hi"")"),"A) एक रेखा में, B) एक त्रिभुज में, C) एक वृत्त में, D) एक वर्ग में")</f>
        <v>A) एक रेखा में, B) एक त्रिभुज में, C) एक वृत्त में, D) एक वर्ग में</v>
      </c>
      <c r="K127" s="8" t="str">
        <f>IFERROR(__xludf.DUMMYFUNCTION("GOOGLETRANSLATE(E127, ""en"", ""hi"")"),"C) एक वृत्त में")</f>
        <v>C) एक वृत्त में</v>
      </c>
    </row>
    <row r="128" ht="22.5" customHeight="1">
      <c r="A128" s="2">
        <v>127.0</v>
      </c>
      <c r="B128" s="3" t="s">
        <v>2996</v>
      </c>
      <c r="C128" s="3" t="s">
        <v>3003</v>
      </c>
      <c r="D128" s="3" t="s">
        <v>3004</v>
      </c>
      <c r="E128" s="3" t="s">
        <v>3005</v>
      </c>
      <c r="G128" s="8" t="str">
        <f>IFERROR(__xludf.DUMMYFUNCTION("GOOGLETRANSLATE(A128, ""en"", ""hi"")"),"127")</f>
        <v>127</v>
      </c>
      <c r="H128" s="8" t="str">
        <f>IFERROR(__xludf.DUMMYFUNCTION("GOOGLETRANSLATE(B128, ""en"", ""hi"")"),"कांचे_32")</f>
        <v>कांचे_32</v>
      </c>
      <c r="I128" s="8" t="str">
        <f>IFERROR(__xludf.DUMMYFUNCTION("GOOGLETRANSLATE(C128, ""en"", ""hi"")"),"चित्र में दिखाए गए खेल के लिए, मार्बल चुनते समय कौन सा कारक सबसे महत्वपूर्ण है?")</f>
        <v>चित्र में दिखाए गए खेल के लिए, मार्बल चुनते समय कौन सा कारक सबसे महत्वपूर्ण है?</v>
      </c>
      <c r="J128" s="8" t="str">
        <f>IFERROR(__xludf.DUMMYFUNCTION("GOOGLETRANSLATE(D128, ""en"", ""hi"")"),"A) रंग, B) आकार, C) आकृति, D) बनावट")</f>
        <v>A) रंग, B) आकार, C) आकृति, D) बनावट</v>
      </c>
      <c r="K128" s="8" t="str">
        <f>IFERROR(__xludf.DUMMYFUNCTION("GOOGLETRANSLATE(E128, ""en"", ""hi"")"),"बी) आकार")</f>
        <v>बी) आकार</v>
      </c>
    </row>
    <row r="129" ht="22.5" customHeight="1">
      <c r="A129" s="2">
        <v>128.0</v>
      </c>
      <c r="B129" s="3" t="s">
        <v>2996</v>
      </c>
      <c r="C129" s="3" t="s">
        <v>3006</v>
      </c>
      <c r="D129" s="3" t="s">
        <v>3007</v>
      </c>
      <c r="E129" s="3" t="s">
        <v>3008</v>
      </c>
      <c r="G129" s="8" t="str">
        <f>IFERROR(__xludf.DUMMYFUNCTION("GOOGLETRANSLATE(A129, ""en"", ""hi"")"),"128")</f>
        <v>128</v>
      </c>
      <c r="H129" s="8" t="str">
        <f>IFERROR(__xludf.DUMMYFUNCTION("GOOGLETRANSLATE(B129, ""en"", ""hi"")"),"कांचे_32")</f>
        <v>कांचे_32</v>
      </c>
      <c r="I129" s="8" t="str">
        <f>IFERROR(__xludf.DUMMYFUNCTION("GOOGLETRANSLATE(C129, ""en"", ""hi"")"),"चित्र में दिखाए गए खेल के लिए ‘शूटर’ मार्बल का क्या महत्व है?")</f>
        <v>चित्र में दिखाए गए खेल के लिए ‘शूटर’ मार्बल का क्या महत्व है?</v>
      </c>
      <c r="J129" s="8" t="str">
        <f>IFERROR(__xludf.DUMMYFUNCTION("GOOGLETRANSLATE(D129, ""en"", ""hi"")"),"A) यह सबसे बड़ा कंचा है, B) यह खेल का परिणाम तय करता है, C) इसका उपयोग निशाना लगाने के लिए किया जाता है, D) इसका उपयोग अन्य कंचों को मारने के लिए किया जाता है")</f>
        <v>A) यह सबसे बड़ा कंचा है, B) यह खेल का परिणाम तय करता है, C) इसका उपयोग निशाना लगाने के लिए किया जाता है, D) इसका उपयोग अन्य कंचों को मारने के लिए किया जाता है</v>
      </c>
      <c r="K129" s="8" t="str">
        <f>IFERROR(__xludf.DUMMYFUNCTION("GOOGLETRANSLATE(E129, ""en"", ""hi"")"),"D) इसका उपयोग अन्य कंचों को मारने के लिए किया जाता है")</f>
        <v>D) इसका उपयोग अन्य कंचों को मारने के लिए किया जाता है</v>
      </c>
    </row>
    <row r="130" ht="22.5" customHeight="1">
      <c r="A130" s="2">
        <v>129.0</v>
      </c>
      <c r="B130" s="3" t="s">
        <v>3009</v>
      </c>
      <c r="C130" s="3" t="s">
        <v>3010</v>
      </c>
      <c r="D130" s="3" t="s">
        <v>3011</v>
      </c>
      <c r="E130" s="3" t="s">
        <v>3012</v>
      </c>
      <c r="G130" s="8" t="str">
        <f>IFERROR(__xludf.DUMMYFUNCTION("GOOGLETRANSLATE(A130, ""en"", ""hi"")"),"129")</f>
        <v>129</v>
      </c>
      <c r="H130" s="8" t="str">
        <f>IFERROR(__xludf.DUMMYFUNCTION("GOOGLETRANSLATE(B130, ""en"", ""hi"")"),"कांचे_33")</f>
        <v>कांचे_33</v>
      </c>
      <c r="I130" s="8" t="str">
        <f>IFERROR(__xludf.DUMMYFUNCTION("GOOGLETRANSLATE(C130, ""en"", ""hi"")"),"चित्र में दिखाए गए खेल के लिए, संगमरमर के आकार के बारे में सामान्य नियम क्या है?")</f>
        <v>चित्र में दिखाए गए खेल के लिए, संगमरमर के आकार के बारे में सामान्य नियम क्या है?</v>
      </c>
      <c r="J130" s="8" t="str">
        <f>IFERROR(__xludf.DUMMYFUNCTION("GOOGLETRANSLATE(D130, ""en"", ""hi"")"),"A) सभी मार्बल एक ही आकार के होने चाहिए, B) शूटर सबसे छोटा होना चाहिए, C) बड़े मार्बल की अनुमति नहीं है, D) खिलाड़ी केवल एक मार्बल आकार का उपयोग कर सकते हैं")</f>
        <v>A) सभी मार्बल एक ही आकार के होने चाहिए, B) शूटर सबसे छोटा होना चाहिए, C) बड़े मार्बल की अनुमति नहीं है, D) खिलाड़ी केवल एक मार्बल आकार का उपयोग कर सकते हैं</v>
      </c>
      <c r="K130" s="8" t="str">
        <f>IFERROR(__xludf.DUMMYFUNCTION("GOOGLETRANSLATE(E130, ""en"", ""hi"")"),"A) सभी कंचे एक ही आकार के होने चाहिए")</f>
        <v>A) सभी कंचे एक ही आकार के होने चाहिए</v>
      </c>
    </row>
    <row r="131" ht="22.5" customHeight="1">
      <c r="A131" s="2">
        <v>130.0</v>
      </c>
      <c r="B131" s="3" t="s">
        <v>3009</v>
      </c>
      <c r="C131" s="3" t="s">
        <v>3013</v>
      </c>
      <c r="D131" s="3" t="s">
        <v>38</v>
      </c>
      <c r="E131" s="3" t="s">
        <v>3014</v>
      </c>
      <c r="G131" s="8" t="str">
        <f>IFERROR(__xludf.DUMMYFUNCTION("GOOGLETRANSLATE(A131, ""en"", ""hi"")"),"130")</f>
        <v>130</v>
      </c>
      <c r="H131" s="8" t="str">
        <f>IFERROR(__xludf.DUMMYFUNCTION("GOOGLETRANSLATE(B131, ""en"", ""hi"")"),"कांचे_33")</f>
        <v>कांचे_33</v>
      </c>
      <c r="I131" s="8" t="str">
        <f>IFERROR(__xludf.DUMMYFUNCTION("GOOGLETRANSLATE(C131, ""en"", ""hi"")"),"चित्र में दर्शाए गए खेल के लिए, एक मानक खेल में अधिकतम कितने खिलाड़ियों को अनुमति दी जाती है?")</f>
        <v>चित्र में दर्शाए गए खेल के लिए, एक मानक खेल में अधिकतम कितने खिलाड़ियों को अनुमति दी जाती है?</v>
      </c>
      <c r="J131" s="8" t="str">
        <f>IFERROR(__xludf.DUMMYFUNCTION("GOOGLETRANSLATE(D131, ""en"", ""hi"")"),"ए) 2, बी) 4, सी) 6, डी) 8")</f>
        <v>ए) 2, बी) 4, सी) 6, डी) 8</v>
      </c>
      <c r="K131" s="8" t="str">
        <f>IFERROR(__xludf.DUMMYFUNCTION("GOOGLETRANSLATE(E131, ""en"", ""hi"")"),"सी) 6")</f>
        <v>सी) 6</v>
      </c>
    </row>
    <row r="132" ht="22.5" customHeight="1">
      <c r="A132" s="2">
        <v>131.0</v>
      </c>
      <c r="B132" s="3" t="s">
        <v>3009</v>
      </c>
      <c r="C132" s="3" t="s">
        <v>3015</v>
      </c>
      <c r="D132" s="3" t="s">
        <v>3016</v>
      </c>
      <c r="E132" s="3" t="s">
        <v>3017</v>
      </c>
      <c r="G132" s="8" t="str">
        <f>IFERROR(__xludf.DUMMYFUNCTION("GOOGLETRANSLATE(A132, ""en"", ""hi"")"),"131")</f>
        <v>131</v>
      </c>
      <c r="H132" s="8" t="str">
        <f>IFERROR(__xludf.DUMMYFUNCTION("GOOGLETRANSLATE(B132, ""en"", ""hi"")"),"कांचे_33")</f>
        <v>कांचे_33</v>
      </c>
      <c r="I132" s="8" t="str">
        <f>IFERROR(__xludf.DUMMYFUNCTION("GOOGLETRANSLATE(C132, ""en"", ""hi"")"),"चित्र में दिखाए गए खेल के लिए, एक मानक मार्बल का सामान्य व्यास क्या है?")</f>
        <v>चित्र में दिखाए गए खेल के लिए, एक मानक मार्बल का सामान्य व्यास क्या है?</v>
      </c>
      <c r="J132" s="8" t="str">
        <f>IFERROR(__xludf.DUMMYFUNCTION("GOOGLETRANSLATE(D132, ""en"", ""hi"")"),"ए) 1 सेमी, बी) 2 सेमी, सी) 3 सेमी, डी) 5 सेमी")</f>
        <v>ए) 1 सेमी, बी) 2 सेमी, सी) 3 सेमी, डी) 5 सेमी</v>
      </c>
      <c r="K132" s="8" t="str">
        <f>IFERROR(__xludf.DUMMYFUNCTION("GOOGLETRANSLATE(E132, ""en"", ""hi"")"),"बी) 2 सेमी")</f>
        <v>बी) 2 सेमी</v>
      </c>
    </row>
    <row r="133" ht="22.5" customHeight="1">
      <c r="A133" s="2">
        <v>132.0</v>
      </c>
      <c r="B133" s="3" t="s">
        <v>3009</v>
      </c>
      <c r="C133" s="3" t="s">
        <v>3018</v>
      </c>
      <c r="D133" s="3" t="s">
        <v>3019</v>
      </c>
      <c r="E133" s="3" t="s">
        <v>3020</v>
      </c>
      <c r="G133" s="8" t="str">
        <f>IFERROR(__xludf.DUMMYFUNCTION("GOOGLETRANSLATE(A133, ""en"", ""hi"")"),"132")</f>
        <v>132</v>
      </c>
      <c r="H133" s="8" t="str">
        <f>IFERROR(__xludf.DUMMYFUNCTION("GOOGLETRANSLATE(B133, ""en"", ""hi"")"),"कांचे_33")</f>
        <v>कांचे_33</v>
      </c>
      <c r="I133" s="8" t="str">
        <f>IFERROR(__xludf.DUMMYFUNCTION("GOOGLETRANSLATE(C133, ""en"", ""hi"")"),"चित्र में दिखाए गए खेल के लिए, किसे 'विजयी शॉट' माना जाता है?")</f>
        <v>चित्र में दिखाए गए खेल के लिए, किसे 'विजयी शॉट' माना जाता है?</v>
      </c>
      <c r="J133" s="8" t="str">
        <f>IFERROR(__xludf.DUMMYFUNCTION("GOOGLETRANSLATE(D133, ""en"", ""hi"")"),"A) सभी कंचों को बाहर गिराना, B) अपने कंचे को गोले के अंदर रखना, C) सबसे बड़े कंचे पर प्रहार करना, D) केंद्र पर निशाना लगाना")</f>
        <v>A) सभी कंचों को बाहर गिराना, B) अपने कंचे को गोले के अंदर रखना, C) सबसे बड़े कंचे पर प्रहार करना, D) केंद्र पर निशाना लगाना</v>
      </c>
      <c r="K133" s="8" t="str">
        <f>IFERROR(__xludf.DUMMYFUNCTION("GOOGLETRANSLATE(E133, ""en"", ""hi"")"),"A) सभी कंचों को गिरा देना")</f>
        <v>A) सभी कंचों को गिरा देना</v>
      </c>
    </row>
    <row r="134" ht="22.5" customHeight="1">
      <c r="A134" s="2">
        <v>133.0</v>
      </c>
      <c r="B134" s="3" t="s">
        <v>3021</v>
      </c>
      <c r="C134" s="3" t="s">
        <v>3022</v>
      </c>
      <c r="D134" s="3" t="s">
        <v>3023</v>
      </c>
      <c r="E134" s="3" t="s">
        <v>2925</v>
      </c>
      <c r="G134" s="8" t="str">
        <f>IFERROR(__xludf.DUMMYFUNCTION("GOOGLETRANSLATE(A134, ""en"", ""hi"")"),"133")</f>
        <v>133</v>
      </c>
      <c r="H134" s="8" t="str">
        <f>IFERROR(__xludf.DUMMYFUNCTION("GOOGLETRANSLATE(B134, ""en"", ""hi"")"),"कांचे_34")</f>
        <v>कांचे_34</v>
      </c>
      <c r="I134" s="8" t="str">
        <f>IFERROR(__xludf.DUMMYFUNCTION("GOOGLETRANSLATE(C134, ""en"", ""hi"")"),"चित्र में दिखाए गए खेल के लिए उच्च गुणवत्ता वाले मार्बल बनाने हेतु मुख्य रूप से किस सामग्री का उपयोग किया जाता है?")</f>
        <v>चित्र में दिखाए गए खेल के लिए उच्च गुणवत्ता वाले मार्बल बनाने हेतु मुख्य रूप से किस सामग्री का उपयोग किया जाता है?</v>
      </c>
      <c r="J134" s="8" t="str">
        <f>IFERROR(__xludf.DUMMYFUNCTION("GOOGLETRANSLATE(D134, ""en"", ""hi"")"),"A) कांच, B) स्टील, C) मिट्टी, D) प्लास्टिक")</f>
        <v>A) कांच, B) स्टील, C) मिट्टी, D) प्लास्टिक</v>
      </c>
      <c r="K134" s="8" t="str">
        <f>IFERROR(__xludf.DUMMYFUNCTION("GOOGLETRANSLATE(E134, ""en"", ""hi"")"),"ए) कांच")</f>
        <v>ए) कांच</v>
      </c>
    </row>
    <row r="135" ht="22.5" customHeight="1">
      <c r="A135" s="2">
        <v>134.0</v>
      </c>
      <c r="B135" s="3" t="s">
        <v>3021</v>
      </c>
      <c r="C135" s="3" t="s">
        <v>3024</v>
      </c>
      <c r="D135" s="3" t="s">
        <v>3025</v>
      </c>
      <c r="E135" s="3" t="s">
        <v>3026</v>
      </c>
      <c r="G135" s="8" t="str">
        <f>IFERROR(__xludf.DUMMYFUNCTION("GOOGLETRANSLATE(A135, ""en"", ""hi"")"),"134")</f>
        <v>134</v>
      </c>
      <c r="H135" s="8" t="str">
        <f>IFERROR(__xludf.DUMMYFUNCTION("GOOGLETRANSLATE(B135, ""en"", ""hi"")"),"कांचे_34")</f>
        <v>कांचे_34</v>
      </c>
      <c r="I135" s="8" t="str">
        <f>IFERROR(__xludf.DUMMYFUNCTION("GOOGLETRANSLATE(C135, ""en"", ""hi"")"),"चित्र में दिखाए गए खेल के लिए, मोड़ के दौरान कौन सी क्रिया की अनुमति नहीं है?")</f>
        <v>चित्र में दिखाए गए खेल के लिए, मोड़ के दौरान कौन सी क्रिया की अनुमति नहीं है?</v>
      </c>
      <c r="J135" s="8" t="str">
        <f>IFERROR(__xludf.DUMMYFUNCTION("GOOGLETRANSLATE(D135, ""en"", ""hi"")"),"क) कंचे बदलना, ख) कंचों की पुनः स्थिति निर्धारित करना, ग) झटका देने से पहले निशाना लगाना, घ) बचाव के लिए हाथ का प्रयोग करना")</f>
        <v>क) कंचे बदलना, ख) कंचों की पुनः स्थिति निर्धारित करना, ग) झटका देने से पहले निशाना लगाना, घ) बचाव के लिए हाथ का प्रयोग करना</v>
      </c>
      <c r="K135" s="8" t="str">
        <f>IFERROR(__xludf.DUMMYFUNCTION("GOOGLETRANSLATE(E135, ""en"", ""hi"")"),"बी) मार्बल्स को पुनः स्थान देना")</f>
        <v>बी) मार्बल्स को पुनः स्थान देना</v>
      </c>
    </row>
    <row r="136" ht="22.5" customHeight="1">
      <c r="A136" s="2">
        <v>135.0</v>
      </c>
      <c r="B136" s="3" t="s">
        <v>3021</v>
      </c>
      <c r="C136" s="3" t="s">
        <v>3027</v>
      </c>
      <c r="D136" s="3" t="s">
        <v>3028</v>
      </c>
      <c r="E136" s="3" t="s">
        <v>3029</v>
      </c>
      <c r="G136" s="8" t="str">
        <f>IFERROR(__xludf.DUMMYFUNCTION("GOOGLETRANSLATE(A136, ""en"", ""hi"")"),"135")</f>
        <v>135</v>
      </c>
      <c r="H136" s="8" t="str">
        <f>IFERROR(__xludf.DUMMYFUNCTION("GOOGLETRANSLATE(B136, ""en"", ""hi"")"),"कांचे_34")</f>
        <v>कांचे_34</v>
      </c>
      <c r="I136" s="8" t="str">
        <f>IFERROR(__xludf.DUMMYFUNCTION("GOOGLETRANSLATE(C136, ""en"", ""hi"")"),"चित्र में दिखाए गए खेल में, यदि किसी खिलाड़ी का कंचा बाउंड्री पर लग जाए तो क्या होगा?")</f>
        <v>चित्र में दिखाए गए खेल में, यदि किसी खिलाड़ी का कंचा बाउंड्री पर लग जाए तो क्या होगा?</v>
      </c>
      <c r="J136" s="8" t="str">
        <f>IFERROR(__xludf.DUMMYFUNCTION("GOOGLETRANSLATE(D136, ""en"", ""hi"")"),"A) उन्हें एक अतिरिक्त बारी मिलती है, B) कंचा हटा दिया जाता है, C) कंचे को पुनः स्थान दिया जाता है, D) प्रतिद्वंद्वी को एक बारी मिलती है")</f>
        <v>A) उन्हें एक अतिरिक्त बारी मिलती है, B) कंचा हटा दिया जाता है, C) कंचे को पुनः स्थान दिया जाता है, D) प्रतिद्वंद्वी को एक बारी मिलती है</v>
      </c>
      <c r="K136" s="8" t="str">
        <f>IFERROR(__xludf.DUMMYFUNCTION("GOOGLETRANSLATE(E136, ""en"", ""hi"")"),"B) मार्बल हटा दिया गया है")</f>
        <v>B) मार्बल हटा दिया गया है</v>
      </c>
    </row>
    <row r="137" ht="22.5" customHeight="1">
      <c r="A137" s="2">
        <v>136.0</v>
      </c>
      <c r="B137" s="3" t="s">
        <v>3021</v>
      </c>
      <c r="C137" s="3" t="s">
        <v>3030</v>
      </c>
      <c r="D137" s="3" t="s">
        <v>3031</v>
      </c>
      <c r="E137" s="3" t="s">
        <v>3032</v>
      </c>
      <c r="G137" s="8" t="str">
        <f>IFERROR(__xludf.DUMMYFUNCTION("GOOGLETRANSLATE(A137, ""en"", ""hi"")"),"136")</f>
        <v>136</v>
      </c>
      <c r="H137" s="8" t="str">
        <f>IFERROR(__xludf.DUMMYFUNCTION("GOOGLETRANSLATE(B137, ""en"", ""hi"")"),"कांचे_34")</f>
        <v>कांचे_34</v>
      </c>
      <c r="I137" s="8" t="str">
        <f>IFERROR(__xludf.DUMMYFUNCTION("GOOGLETRANSLATE(C137, ""en"", ""hi"")"),"चित्र में दिखाए गए खेल के लिए, कंचे को उछालते समय सही मुद्रा क्या है?")</f>
        <v>चित्र में दिखाए गए खेल के लिए, कंचे को उछालते समय सही मुद्रा क्या है?</v>
      </c>
      <c r="J137" s="8" t="str">
        <f>IFERROR(__xludf.DUMMYFUNCTION("GOOGLETRANSLATE(D137, ""en"", ""hi"")"),"A) खड़े होकर, B) उकड़ू बैठ कर, C) बैठकर, D) घुटने टेक कर")</f>
        <v>A) खड़े होकर, B) उकड़ू बैठ कर, C) बैठकर, D) घुटने टेक कर</v>
      </c>
      <c r="K137" s="8" t="str">
        <f>IFERROR(__xludf.DUMMYFUNCTION("GOOGLETRANSLATE(E137, ""en"", ""hi"")"),"बी) स्क्वाटिंग")</f>
        <v>बी) स्क्वाटिंग</v>
      </c>
    </row>
    <row r="138" ht="22.5" customHeight="1">
      <c r="A138" s="2">
        <v>137.0</v>
      </c>
      <c r="B138" s="3" t="s">
        <v>3033</v>
      </c>
      <c r="C138" s="3" t="s">
        <v>3034</v>
      </c>
      <c r="D138" s="3" t="s">
        <v>3035</v>
      </c>
      <c r="E138" s="3" t="s">
        <v>2944</v>
      </c>
      <c r="G138" s="8" t="str">
        <f>IFERROR(__xludf.DUMMYFUNCTION("GOOGLETRANSLATE(A138, ""en"", ""hi"")"),"137")</f>
        <v>137</v>
      </c>
      <c r="H138" s="8" t="str">
        <f>IFERROR(__xludf.DUMMYFUNCTION("GOOGLETRANSLATE(B138, ""en"", ""hi"")"),"कांचे_35")</f>
        <v>कांचे_35</v>
      </c>
      <c r="I138" s="8" t="str">
        <f>IFERROR(__xludf.DUMMYFUNCTION("GOOGLETRANSLATE(C138, ""en"", ""hi"")"),"चित्र में दिखाए गए खेल में कंचे को उछालने के लिए किस हाथ की गति का उपयोग किया जाता है?")</f>
        <v>चित्र में दिखाए गए खेल में कंचे को उछालने के लिए किस हाथ की गति का उपयोग किया जाता है?</v>
      </c>
      <c r="J138" s="8" t="str">
        <f>IFERROR(__xludf.DUMMYFUNCTION("GOOGLETRANSLATE(D138, ""en"", ""hi"")"),"ए) अंगूठा झटका, बी) उंगली रोल, सी) बैकहैंड स्नैप, डी) कलाई मोड़")</f>
        <v>ए) अंगूठा झटका, बी) उंगली रोल, सी) बैकहैंड स्नैप, डी) कलाई मोड़</v>
      </c>
      <c r="K138" s="8" t="str">
        <f>IFERROR(__xludf.DUMMYFUNCTION("GOOGLETRANSLATE(E138, ""en"", ""hi"")"),"A) अंगूठा झटका")</f>
        <v>A) अंगूठा झटका</v>
      </c>
    </row>
    <row r="139" ht="22.5" customHeight="1">
      <c r="A139" s="2">
        <v>138.0</v>
      </c>
      <c r="B139" s="3" t="s">
        <v>3033</v>
      </c>
      <c r="C139" s="3" t="s">
        <v>3036</v>
      </c>
      <c r="D139" s="3" t="s">
        <v>3037</v>
      </c>
      <c r="E139" s="3" t="s">
        <v>3038</v>
      </c>
      <c r="G139" s="8" t="str">
        <f>IFERROR(__xludf.DUMMYFUNCTION("GOOGLETRANSLATE(A139, ""en"", ""hi"")"),"138")</f>
        <v>138</v>
      </c>
      <c r="H139" s="8" t="str">
        <f>IFERROR(__xludf.DUMMYFUNCTION("GOOGLETRANSLATE(B139, ""en"", ""hi"")"),"कांचे_35")</f>
        <v>कांचे_35</v>
      </c>
      <c r="I139" s="8" t="str">
        <f>IFERROR(__xludf.DUMMYFUNCTION("GOOGLETRANSLATE(C139, ""en"", ""hi"")"),"चित्र में दिखाए गए खेल में, यदि किसी खिलाड़ी का कंचा गोले में अंतिम है तो परिणाम क्या होगा?")</f>
        <v>चित्र में दिखाए गए खेल में, यदि किसी खिलाड़ी का कंचा गोले में अंतिम है तो परिणाम क्या होगा?</v>
      </c>
      <c r="J139" s="8" t="str">
        <f>IFERROR(__xludf.DUMMYFUNCTION("GOOGLETRANSLATE(D139, ""en"", ""hi"")"),"A) वे खेल हार जाते हैं, B) वे खेल जीत जाते हैं, C) उन्हें एक अतिरिक्त अंक मिलता है, D) खेल जारी रहता है")</f>
        <v>A) वे खेल हार जाते हैं, B) वे खेल जीत जाते हैं, C) उन्हें एक अतिरिक्त अंक मिलता है, D) खेल जारी रहता है</v>
      </c>
      <c r="K139" s="8" t="str">
        <f>IFERROR(__xludf.DUMMYFUNCTION("GOOGLETRANSLATE(E139, ""en"", ""hi"")"),"A) वे खेल हार जाते हैं")</f>
        <v>A) वे खेल हार जाते हैं</v>
      </c>
    </row>
    <row r="140" ht="22.5" customHeight="1">
      <c r="A140" s="2">
        <v>139.0</v>
      </c>
      <c r="B140" s="3" t="s">
        <v>3033</v>
      </c>
      <c r="C140" s="3" t="s">
        <v>3039</v>
      </c>
      <c r="D140" s="3" t="s">
        <v>3040</v>
      </c>
      <c r="E140" s="3" t="s">
        <v>3041</v>
      </c>
      <c r="G140" s="8" t="str">
        <f>IFERROR(__xludf.DUMMYFUNCTION("GOOGLETRANSLATE(A140, ""en"", ""hi"")"),"139")</f>
        <v>139</v>
      </c>
      <c r="H140" s="8" t="str">
        <f>IFERROR(__xludf.DUMMYFUNCTION("GOOGLETRANSLATE(B140, ""en"", ""hi"")"),"कांचे_35")</f>
        <v>कांचे_35</v>
      </c>
      <c r="I140" s="8" t="str">
        <f>IFERROR(__xludf.DUMMYFUNCTION("GOOGLETRANSLATE(C140, ""en"", ""hi"")"),"चित्र में दिखाए गए खेल में, एक खिलाड़ी अपने द्वारा जीते गए कंचों की संख्या का निर्धारण कैसे करता है?")</f>
        <v>चित्र में दिखाए गए खेल में, एक खिलाड़ी अपने द्वारा जीते गए कंचों की संख्या का निर्धारण कैसे करता है?</v>
      </c>
      <c r="J140" s="8" t="str">
        <f>IFERROR(__xludf.DUMMYFUNCTION("GOOGLETRANSLATE(D140, ""en"", ""hi"")"),"A) उन्होंने कितने कंचे गिराए, इसकी गिनती करके, B) गोले में बचे कंचों की संख्या से, C) स्कोरिंग प्रणाली से, D) खिलाड़ियों की सहमति से")</f>
        <v>A) उन्होंने कितने कंचे गिराए, इसकी गिनती करके, B) गोले में बचे कंचों की संख्या से, C) स्कोरिंग प्रणाली से, D) खिलाड़ियों की सहमति से</v>
      </c>
      <c r="K140" s="8" t="str">
        <f>IFERROR(__xludf.DUMMYFUNCTION("GOOGLETRANSLATE(E140, ""en"", ""hi"")"),"A) यह गिनकर कि उन्होंने कितने कंचे गिराए")</f>
        <v>A) यह गिनकर कि उन्होंने कितने कंचे गिराए</v>
      </c>
    </row>
    <row r="141" ht="22.5" customHeight="1">
      <c r="A141" s="2">
        <v>140.0</v>
      </c>
      <c r="B141" s="3" t="s">
        <v>3033</v>
      </c>
      <c r="C141" s="3" t="s">
        <v>3042</v>
      </c>
      <c r="D141" s="3" t="s">
        <v>3043</v>
      </c>
      <c r="E141" s="3" t="s">
        <v>3044</v>
      </c>
      <c r="G141" s="8" t="str">
        <f>IFERROR(__xludf.DUMMYFUNCTION("GOOGLETRANSLATE(A141, ""en"", ""hi"")"),"140")</f>
        <v>140</v>
      </c>
      <c r="H141" s="8" t="str">
        <f>IFERROR(__xludf.DUMMYFUNCTION("GOOGLETRANSLATE(B141, ""en"", ""hi"")"),"कांचे_35")</f>
        <v>कांचे_35</v>
      </c>
      <c r="I141" s="8" t="str">
        <f>IFERROR(__xludf.DUMMYFUNCTION("GOOGLETRANSLATE(C141, ""en"", ""hi"")"),"चित्र में दिखाए गए खेल के लिए खेल क्षेत्र का सामान्य आकार क्या है?")</f>
        <v>चित्र में दिखाए गए खेल के लिए खेल क्षेत्र का सामान्य आकार क्या है?</v>
      </c>
      <c r="J141" s="8" t="str">
        <f>IFERROR(__xludf.DUMMYFUNCTION("GOOGLETRANSLATE(D141, ""en"", ""hi"")"),"A) 1 मीटर, B) 2 मीटर, C) 3 मीटर, D) 5 मीटर")</f>
        <v>A) 1 मीटर, B) 2 मीटर, C) 3 मीटर, D) 5 मीटर</v>
      </c>
      <c r="K141" s="8" t="str">
        <f>IFERROR(__xludf.DUMMYFUNCTION("GOOGLETRANSLATE(E141, ""en"", ""hi"")"),"सी) 3 मीटर")</f>
        <v>सी) 3 मीटर</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33.0"/>
    <col customWidth="1" min="9" max="10" width="37.63"/>
    <col customWidth="1" min="11" max="11" width="35.75"/>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3045</v>
      </c>
      <c r="C2" s="3" t="s">
        <v>796</v>
      </c>
      <c r="D2" s="3" t="s">
        <v>3046</v>
      </c>
      <c r="E2" s="3" t="s">
        <v>3047</v>
      </c>
      <c r="G2" s="8" t="str">
        <f>IFERROR(__xludf.DUMMYFUNCTION("GOOGLETRANSLATE(A2, ""en"", ""hi"")"),"1")</f>
        <v>1</v>
      </c>
      <c r="H2" s="8" t="str">
        <f>IFERROR(__xludf.DUMMYFUNCTION("GOOGLETRANSLATE(B2, ""en"", ""hi"")"),"कैरम_1")</f>
        <v>कैरम_1</v>
      </c>
      <c r="I2" s="8" t="str">
        <f>IFERROR(__xludf.DUMMYFUNCTION("GOOGLETRANSLATE(C2, ""en"", ""hi"")"),"चित्र में दिखाए गए खेल का उद्देश्य क्या है?")</f>
        <v>चित्र में दिखाए गए खेल का उद्देश्य क्या है?</v>
      </c>
      <c r="J2" s="8" t="str">
        <f>IFERROR(__xludf.DUMMYFUNCTION("GOOGLETRANSLATE(D2, ""en"", ""hi"")"),"A) सभी काले मोहरों को पॉकेट में डालना, B) रानी को पॉकेट में डालना, C) अपने सभी निर्धारित मोहरों को पॉकेट में डालना, D) स्ट्राइकर को पॉकेट में डालना")</f>
        <v>A) सभी काले मोहरों को पॉकेट में डालना, B) रानी को पॉकेट में डालना, C) अपने सभी निर्धारित मोहरों को पॉकेट में डालना, D) स्ट्राइकर को पॉकेट में डालना</v>
      </c>
      <c r="K2" s="8" t="str">
        <f>IFERROR(__xludf.DUMMYFUNCTION("GOOGLETRANSLATE(E2, ""en"", ""hi"")"),"C) अपने सभी निर्धारित मोहरों को जेब में रखने के लिए")</f>
        <v>C) अपने सभी निर्धारित मोहरों को जेब में रखने के लिए</v>
      </c>
    </row>
    <row r="3" ht="22.5" customHeight="1">
      <c r="A3" s="2">
        <v>2.0</v>
      </c>
      <c r="B3" s="3" t="s">
        <v>3045</v>
      </c>
      <c r="C3" s="3" t="s">
        <v>3048</v>
      </c>
      <c r="D3" s="3" t="s">
        <v>3049</v>
      </c>
      <c r="E3" s="3" t="s">
        <v>3050</v>
      </c>
      <c r="G3" s="8" t="str">
        <f>IFERROR(__xludf.DUMMYFUNCTION("GOOGLETRANSLATE(A3, ""en"", ""hi"")"),"2")</f>
        <v>2</v>
      </c>
      <c r="H3" s="8" t="str">
        <f>IFERROR(__xludf.DUMMYFUNCTION("GOOGLETRANSLATE(B3, ""en"", ""hi"")"),"कैरम_1")</f>
        <v>कैरम_1</v>
      </c>
      <c r="I3" s="8" t="str">
        <f>IFERROR(__xludf.DUMMYFUNCTION("GOOGLETRANSLATE(C3, ""en"", ""hi"")"),"चित्र में दिखाए गए खेल में रानी मोहरे का रंग क्या है?")</f>
        <v>चित्र में दिखाए गए खेल में रानी मोहरे का रंग क्या है?</v>
      </c>
      <c r="J3" s="8" t="str">
        <f>IFERROR(__xludf.DUMMYFUNCTION("GOOGLETRANSLATE(D3, ""en"", ""hi"")"),"A) काला, B) सफेद, C) लाल, D) नीला")</f>
        <v>A) काला, B) सफेद, C) लाल, D) नीला</v>
      </c>
      <c r="K3" s="8" t="str">
        <f>IFERROR(__xludf.DUMMYFUNCTION("GOOGLETRANSLATE(E3, ""en"", ""hi"")"),"सी) लाल")</f>
        <v>सी) लाल</v>
      </c>
    </row>
    <row r="4" ht="22.5" customHeight="1">
      <c r="A4" s="2">
        <v>3.0</v>
      </c>
      <c r="B4" s="3" t="s">
        <v>3045</v>
      </c>
      <c r="C4" s="3" t="s">
        <v>3051</v>
      </c>
      <c r="D4" s="3" t="s">
        <v>51</v>
      </c>
      <c r="E4" s="3" t="s">
        <v>884</v>
      </c>
      <c r="G4" s="8" t="str">
        <f>IFERROR(__xludf.DUMMYFUNCTION("GOOGLETRANSLATE(A4, ""en"", ""hi"")"),"3")</f>
        <v>3</v>
      </c>
      <c r="H4" s="8" t="str">
        <f>IFERROR(__xludf.DUMMYFUNCTION("GOOGLETRANSLATE(B4, ""en"", ""hi"")"),"कैरम_1")</f>
        <v>कैरम_1</v>
      </c>
      <c r="I4" s="8" t="str">
        <f>IFERROR(__xludf.DUMMYFUNCTION("GOOGLETRANSLATE(C4, ""en"", ""hi"")"),"चित्र में दिखाए गए खेल में प्रत्येक खिलाड़ी द्वारा कितने स्ट्राइकर मोहरे उपयोग किए जाते हैं?")</f>
        <v>चित्र में दिखाए गए खेल में प्रत्येक खिलाड़ी द्वारा कितने स्ट्राइकर मोहरे उपयोग किए जाते हैं?</v>
      </c>
      <c r="J4" s="8" t="str">
        <f>IFERROR(__xludf.DUMMYFUNCTION("GOOGLETRANSLATE(D4, ""en"", ""hi"")"),"ए) 1, बी) 2, सी) 3, डी) 4")</f>
        <v>ए) 1, बी) 2, सी) 3, डी) 4</v>
      </c>
      <c r="K4" s="8" t="str">
        <f>IFERROR(__xludf.DUMMYFUNCTION("GOOGLETRANSLATE(E4, ""en"", ""hi"")"),"ए) 1")</f>
        <v>ए) 1</v>
      </c>
    </row>
    <row r="5" ht="22.5" customHeight="1">
      <c r="A5" s="2">
        <v>4.0</v>
      </c>
      <c r="B5" s="3" t="s">
        <v>3045</v>
      </c>
      <c r="C5" s="3" t="s">
        <v>3052</v>
      </c>
      <c r="D5" s="3" t="s">
        <v>3053</v>
      </c>
      <c r="E5" s="3" t="s">
        <v>3054</v>
      </c>
      <c r="G5" s="8" t="str">
        <f>IFERROR(__xludf.DUMMYFUNCTION("GOOGLETRANSLATE(A5, ""en"", ""hi"")"),"4")</f>
        <v>4</v>
      </c>
      <c r="H5" s="8" t="str">
        <f>IFERROR(__xludf.DUMMYFUNCTION("GOOGLETRANSLATE(B5, ""en"", ""hi"")"),"कैरम_1")</f>
        <v>कैरम_1</v>
      </c>
      <c r="I5" s="8" t="str">
        <f>IFERROR(__xludf.DUMMYFUNCTION("GOOGLETRANSLATE(C5, ""en"", ""hi"")"),"चित्र में दिखाए गए खेल में कैरम बोर्ड का मानक आकार क्या है?")</f>
        <v>चित्र में दिखाए गए खेल में कैरम बोर्ड का मानक आकार क्या है?</v>
      </c>
      <c r="J5" s="8" t="str">
        <f>IFERROR(__xludf.DUMMYFUNCTION("GOOGLETRANSLATE(D5, ""en"", ""hi"")"),"A) 1 मीटर, B) 60 सेमी, C) 74 सेमी, D) 80 सेमी")</f>
        <v>A) 1 मीटर, B) 60 सेमी, C) 74 सेमी, D) 80 सेमी</v>
      </c>
      <c r="K5" s="8" t="str">
        <f>IFERROR(__xludf.DUMMYFUNCTION("GOOGLETRANSLATE(E5, ""en"", ""hi"")"),"सी) 74 सेमी")</f>
        <v>सी) 74 सेमी</v>
      </c>
    </row>
    <row r="6" ht="22.5" customHeight="1">
      <c r="A6" s="2">
        <v>5.0</v>
      </c>
      <c r="B6" s="3" t="s">
        <v>3055</v>
      </c>
      <c r="C6" s="3" t="s">
        <v>3056</v>
      </c>
      <c r="D6" s="3" t="s">
        <v>185</v>
      </c>
      <c r="E6" s="3" t="s">
        <v>389</v>
      </c>
      <c r="G6" s="8" t="str">
        <f>IFERROR(__xludf.DUMMYFUNCTION("GOOGLETRANSLATE(A6, ""en"", ""hi"")"),"5")</f>
        <v>5</v>
      </c>
      <c r="H6" s="8" t="str">
        <f>IFERROR(__xludf.DUMMYFUNCTION("GOOGLETRANSLATE(B6, ""en"", ""hi"")"),"कैरम_2")</f>
        <v>कैरम_2</v>
      </c>
      <c r="I6" s="8" t="str">
        <f>IFERROR(__xludf.DUMMYFUNCTION("GOOGLETRANSLATE(C6, ""en"", ""hi"")"),"चित्र में दिखाए गए खेल के लिए खिलाड़ियों की न्यूनतम संख्या कितनी होनी चाहिए?")</f>
        <v>चित्र में दिखाए गए खेल के लिए खिलाड़ियों की न्यूनतम संख्या कितनी होनी चाहिए?</v>
      </c>
      <c r="J6" s="8" t="str">
        <f>IFERROR(__xludf.DUMMYFUNCTION("GOOGLETRANSLATE(D6, ""en"", ""hi"")"),"ए) 2, बी) 3, सी) 4, डी) 5")</f>
        <v>ए) 2, बी) 3, सी) 4, डी) 5</v>
      </c>
      <c r="K6" s="8" t="str">
        <f>IFERROR(__xludf.DUMMYFUNCTION("GOOGLETRANSLATE(E6, ""en"", ""hi"")"),"ए) 2")</f>
        <v>ए) 2</v>
      </c>
    </row>
    <row r="7" ht="22.5" customHeight="1">
      <c r="A7" s="2">
        <v>6.0</v>
      </c>
      <c r="B7" s="3" t="s">
        <v>3055</v>
      </c>
      <c r="C7" s="3" t="s">
        <v>3057</v>
      </c>
      <c r="D7" s="3" t="s">
        <v>3058</v>
      </c>
      <c r="E7" s="3" t="s">
        <v>3059</v>
      </c>
      <c r="G7" s="8" t="str">
        <f>IFERROR(__xludf.DUMMYFUNCTION("GOOGLETRANSLATE(A7, ""en"", ""hi"")"),"6")</f>
        <v>6</v>
      </c>
      <c r="H7" s="8" t="str">
        <f>IFERROR(__xludf.DUMMYFUNCTION("GOOGLETRANSLATE(B7, ""en"", ""hi"")"),"कैरम_2")</f>
        <v>कैरम_2</v>
      </c>
      <c r="I7" s="8" t="str">
        <f>IFERROR(__xludf.DUMMYFUNCTION("GOOGLETRANSLATE(C7, ""en"", ""hi"")"),"चित्र में दिखाए गए खेल में, यदि स्ट्राइकर को पॉकेट में डाल दिया जाए तो क्या होगा?")</f>
        <v>चित्र में दिखाए गए खेल में, यदि स्ट्राइकर को पॉकेट में डाल दिया जाए तो क्या होगा?</v>
      </c>
      <c r="J7" s="8" t="str">
        <f>IFERROR(__xludf.DUMMYFUNCTION("GOOGLETRANSLATE(D7, ""en"", ""hi"")"),"A) खिलाड़ी को एक और बारी मिलती है, B) खिलाड़ी अपनी बारी खो देता है, C) खिलाड़ी एक अंक खो देता है, D) खिलाड़ी को एक पॉकेटेड मोहरा वापस करना होगा")</f>
        <v>A) खिलाड़ी को एक और बारी मिलती है, B) खिलाड़ी अपनी बारी खो देता है, C) खिलाड़ी एक अंक खो देता है, D) खिलाड़ी को एक पॉकेटेड मोहरा वापस करना होगा</v>
      </c>
      <c r="K7" s="8" t="str">
        <f>IFERROR(__xludf.DUMMYFUNCTION("GOOGLETRANSLATE(E7, ""en"", ""hi"")"),"D) खिलाड़ी को एक पॉकेटेड मोहरा वापस करना होगा")</f>
        <v>D) खिलाड़ी को एक पॉकेटेड मोहरा वापस करना होगा</v>
      </c>
    </row>
    <row r="8" ht="22.5" customHeight="1">
      <c r="A8" s="2">
        <v>7.0</v>
      </c>
      <c r="B8" s="3" t="s">
        <v>3055</v>
      </c>
      <c r="C8" s="3" t="s">
        <v>3060</v>
      </c>
      <c r="D8" s="3" t="s">
        <v>3061</v>
      </c>
      <c r="E8" s="3" t="s">
        <v>3062</v>
      </c>
      <c r="G8" s="8" t="str">
        <f>IFERROR(__xludf.DUMMYFUNCTION("GOOGLETRANSLATE(A8, ""en"", ""hi"")"),"7")</f>
        <v>7</v>
      </c>
      <c r="H8" s="8" t="str">
        <f>IFERROR(__xludf.DUMMYFUNCTION("GOOGLETRANSLATE(B8, ""en"", ""hi"")"),"कैरम_2")</f>
        <v>कैरम_2</v>
      </c>
      <c r="I8" s="8" t="str">
        <f>IFERROR(__xludf.DUMMYFUNCTION("GOOGLETRANSLATE(C8, ""en"", ""hi"")"),"चित्र में दिखाए गए खेल के लिए, कौन सा मोहरा सबसे अंत में जेब में डाला जाना चाहिए?")</f>
        <v>चित्र में दिखाए गए खेल के लिए, कौन सा मोहरा सबसे अंत में जेब में डाला जाना चाहिए?</v>
      </c>
      <c r="J8" s="8" t="str">
        <f>IFERROR(__xludf.DUMMYFUNCTION("GOOGLETRANSLATE(D8, ""en"", ""hi"")"),"A) काला मोहरा, B) सफेद मोहरा, C) स्ट्राइकर, D) रानी")</f>
        <v>A) काला मोहरा, B) सफेद मोहरा, C) स्ट्राइकर, D) रानी</v>
      </c>
      <c r="K8" s="8" t="str">
        <f>IFERROR(__xludf.DUMMYFUNCTION("GOOGLETRANSLATE(E8, ""en"", ""hi"")"),"D) रानी")</f>
        <v>D) रानी</v>
      </c>
    </row>
    <row r="9" ht="22.5" customHeight="1">
      <c r="A9" s="2">
        <v>8.0</v>
      </c>
      <c r="B9" s="3" t="s">
        <v>3055</v>
      </c>
      <c r="C9" s="3" t="s">
        <v>3063</v>
      </c>
      <c r="D9" s="3" t="s">
        <v>3064</v>
      </c>
      <c r="E9" s="3" t="s">
        <v>186</v>
      </c>
      <c r="G9" s="8" t="str">
        <f>IFERROR(__xludf.DUMMYFUNCTION("GOOGLETRANSLATE(A9, ""en"", ""hi"")"),"8")</f>
        <v>8</v>
      </c>
      <c r="H9" s="8" t="str">
        <f>IFERROR(__xludf.DUMMYFUNCTION("GOOGLETRANSLATE(B9, ""en"", ""hi"")"),"कैरम_2")</f>
        <v>कैरम_2</v>
      </c>
      <c r="I9" s="8" t="str">
        <f>IFERROR(__xludf.DUMMYFUNCTION("GOOGLETRANSLATE(C9, ""en"", ""hi"")"),"चित्र में दिखाए गए खेल में, रानी को पॉकेट में डालने पर कितने अंक मिलते हैं?")</f>
        <v>चित्र में दिखाए गए खेल में, रानी को पॉकेट में डालने पर कितने अंक मिलते हैं?</v>
      </c>
      <c r="J9" s="8" t="str">
        <f>IFERROR(__xludf.DUMMYFUNCTION("GOOGLETRANSLATE(D9, ""en"", ""hi"")"),"ए) 1, बी) 3, सी) 5, डी) 10")</f>
        <v>ए) 1, बी) 3, सी) 5, डी) 10</v>
      </c>
      <c r="K9" s="8" t="str">
        <f>IFERROR(__xludf.DUMMYFUNCTION("GOOGLETRANSLATE(E9, ""en"", ""hi"")"),"बी) 3")</f>
        <v>बी) 3</v>
      </c>
    </row>
    <row r="10" ht="22.5" customHeight="1">
      <c r="A10" s="2">
        <v>9.0</v>
      </c>
      <c r="B10" s="3" t="s">
        <v>3065</v>
      </c>
      <c r="C10" s="3" t="s">
        <v>3066</v>
      </c>
      <c r="D10" s="3" t="s">
        <v>3067</v>
      </c>
      <c r="E10" s="3" t="s">
        <v>3068</v>
      </c>
      <c r="G10" s="8" t="str">
        <f>IFERROR(__xludf.DUMMYFUNCTION("GOOGLETRANSLATE(A10, ""en"", ""hi"")"),"9")</f>
        <v>9</v>
      </c>
      <c r="H10" s="8" t="str">
        <f>IFERROR(__xludf.DUMMYFUNCTION("GOOGLETRANSLATE(B10, ""en"", ""hi"")"),"कैरम_3")</f>
        <v>कैरम_3</v>
      </c>
      <c r="I10" s="8" t="str">
        <f>IFERROR(__xludf.DUMMYFUNCTION("GOOGLETRANSLATE(C10, ""en"", ""hi"")"),"चित्र में दर्शाए गए खेल के लिए, एक मानक मैच जीतने के लिए अधिकतम कितने अंकों की आवश्यकता होती है?")</f>
        <v>चित्र में दर्शाए गए खेल के लिए, एक मानक मैच जीतने के लिए अधिकतम कितने अंकों की आवश्यकता होती है?</v>
      </c>
      <c r="J10" s="8" t="str">
        <f>IFERROR(__xludf.DUMMYFUNCTION("GOOGLETRANSLATE(D10, ""en"", ""hi"")"),"ए) 21, बी) 25, सी) 29, डी) 31")</f>
        <v>ए) 21, बी) 25, सी) 29, डी) 31</v>
      </c>
      <c r="K10" s="8" t="str">
        <f>IFERROR(__xludf.DUMMYFUNCTION("GOOGLETRANSLATE(E10, ""en"", ""hi"")"),"डी) 31")</f>
        <v>डी) 31</v>
      </c>
    </row>
    <row r="11" ht="22.5" customHeight="1">
      <c r="A11" s="2">
        <v>10.0</v>
      </c>
      <c r="B11" s="3" t="s">
        <v>3065</v>
      </c>
      <c r="C11" s="3" t="s">
        <v>3069</v>
      </c>
      <c r="D11" s="3" t="s">
        <v>3070</v>
      </c>
      <c r="E11" s="3" t="s">
        <v>3071</v>
      </c>
      <c r="G11" s="8" t="str">
        <f>IFERROR(__xludf.DUMMYFUNCTION("GOOGLETRANSLATE(A11, ""en"", ""hi"")"),"10")</f>
        <v>10</v>
      </c>
      <c r="H11" s="8" t="str">
        <f>IFERROR(__xludf.DUMMYFUNCTION("GOOGLETRANSLATE(B11, ""en"", ""hi"")"),"कैरम_3")</f>
        <v>कैरम_3</v>
      </c>
      <c r="I11" s="8" t="str">
        <f>IFERROR(__xludf.DUMMYFUNCTION("GOOGLETRANSLATE(C11, ""en"", ""hi"")"),"चित्र में दिखाए गए खेल में, यदि किसी खिलाड़ी के सभी मोहरों से पहले रानी को पॉकेट में डाल दिया जाए तो क्या होगा?")</f>
        <v>चित्र में दिखाए गए खेल में, यदि किसी खिलाड़ी के सभी मोहरों से पहले रानी को पॉकेट में डाल दिया जाए तो क्या होगा?</v>
      </c>
      <c r="J11" s="8" t="str">
        <f>IFERROR(__xludf.DUMMYFUNCTION("GOOGLETRANSLATE(D11, ""en"", ""hi"")"),"A) खिलाड़ी को बोनस बारी मिलती है, B) खिलाड़ी रानी खो देता है, C) खिलाड़ी खेल जीत जाता है, D) कोई पेनल्टी नहीं")</f>
        <v>A) खिलाड़ी को बोनस बारी मिलती है, B) खिलाड़ी रानी खो देता है, C) खिलाड़ी खेल जीत जाता है, D) कोई पेनल्टी नहीं</v>
      </c>
      <c r="K11" s="8" t="str">
        <f>IFERROR(__xludf.DUMMYFUNCTION("GOOGLETRANSLATE(E11, ""en"", ""hi"")"),"B) खिलाड़ी रानी खो देता है")</f>
        <v>B) खिलाड़ी रानी खो देता है</v>
      </c>
    </row>
    <row r="12" ht="22.5" customHeight="1">
      <c r="A12" s="2">
        <v>11.0</v>
      </c>
      <c r="B12" s="3" t="s">
        <v>3065</v>
      </c>
      <c r="C12" s="3" t="s">
        <v>3072</v>
      </c>
      <c r="D12" s="3" t="s">
        <v>3073</v>
      </c>
      <c r="E12" s="3" t="s">
        <v>3074</v>
      </c>
      <c r="G12" s="8" t="str">
        <f>IFERROR(__xludf.DUMMYFUNCTION("GOOGLETRANSLATE(A12, ""en"", ""hi"")"),"11")</f>
        <v>11</v>
      </c>
      <c r="H12" s="8" t="str">
        <f>IFERROR(__xludf.DUMMYFUNCTION("GOOGLETRANSLATE(B12, ""en"", ""hi"")"),"कैरम_3")</f>
        <v>कैरम_3</v>
      </c>
      <c r="I12" s="8" t="str">
        <f>IFERROR(__xludf.DUMMYFUNCTION("GOOGLETRANSLATE(C12, ""en"", ""hi"")"),"चित्र में दिखाए गए खेल में बोर्ड पर घर्षण को कम करने के लिए आमतौर पर किस पाउडर का उपयोग किया जाता है?")</f>
        <v>चित्र में दिखाए गए खेल में बोर्ड पर घर्षण को कम करने के लिए आमतौर पर किस पाउडर का उपयोग किया जाता है?</v>
      </c>
      <c r="J12" s="8" t="str">
        <f>IFERROR(__xludf.DUMMYFUNCTION("GOOGLETRANSLATE(D12, ""en"", ""hi"")"),"A) टैल्कम पाउडर, B) बेबी पाउडर, C) कॉर्नस्टार्च, D) कैरम पाउडर")</f>
        <v>A) टैल्कम पाउडर, B) बेबी पाउडर, C) कॉर्नस्टार्च, D) कैरम पाउडर</v>
      </c>
      <c r="K12" s="8" t="str">
        <f>IFERROR(__xludf.DUMMYFUNCTION("GOOGLETRANSLATE(E12, ""en"", ""hi"")"),"D) कैरम पाउडर")</f>
        <v>D) कैरम पाउडर</v>
      </c>
    </row>
    <row r="13" ht="22.5" customHeight="1">
      <c r="A13" s="2">
        <v>12.0</v>
      </c>
      <c r="B13" s="3" t="s">
        <v>3065</v>
      </c>
      <c r="C13" s="3" t="s">
        <v>3075</v>
      </c>
      <c r="D13" s="3" t="s">
        <v>3076</v>
      </c>
      <c r="E13" s="3" t="s">
        <v>3077</v>
      </c>
      <c r="G13" s="8" t="str">
        <f>IFERROR(__xludf.DUMMYFUNCTION("GOOGLETRANSLATE(A13, ""en"", ""hi"")"),"12")</f>
        <v>12</v>
      </c>
      <c r="H13" s="8" t="str">
        <f>IFERROR(__xludf.DUMMYFUNCTION("GOOGLETRANSLATE(B13, ""en"", ""hi"")"),"कैरम_3")</f>
        <v>कैरम_3</v>
      </c>
      <c r="I13" s="8" t="str">
        <f>IFERROR(__xludf.DUMMYFUNCTION("GOOGLETRANSLATE(C13, ""en"", ""hi"")"),"चित्र में दिखाए गए खेल में, स्ट्राइकर को छोड़कर, कुल कितने मोहरों का उपयोग किया जाता है?")</f>
        <v>चित्र में दिखाए गए खेल में, स्ट्राइकर को छोड़कर, कुल कितने मोहरों का उपयोग किया जाता है?</v>
      </c>
      <c r="J13" s="8" t="str">
        <f>IFERROR(__xludf.DUMMYFUNCTION("GOOGLETRANSLATE(D13, ""en"", ""hi"")"),"ए) 9, बी) 12, सी) 18, डी) 19")</f>
        <v>ए) 9, बी) 12, सी) 18, डी) 19</v>
      </c>
      <c r="K13" s="8" t="str">
        <f>IFERROR(__xludf.DUMMYFUNCTION("GOOGLETRANSLATE(E13, ""en"", ""hi"")"),"डी) 19")</f>
        <v>डी) 19</v>
      </c>
    </row>
    <row r="14" ht="22.5" customHeight="1">
      <c r="A14" s="2">
        <v>13.0</v>
      </c>
      <c r="B14" s="3" t="s">
        <v>3078</v>
      </c>
      <c r="C14" s="3" t="s">
        <v>3079</v>
      </c>
      <c r="D14" s="3" t="s">
        <v>3080</v>
      </c>
      <c r="E14" s="3" t="s">
        <v>3081</v>
      </c>
      <c r="G14" s="8" t="str">
        <f>IFERROR(__xludf.DUMMYFUNCTION("GOOGLETRANSLATE(A14, ""en"", ""hi"")"),"13")</f>
        <v>13</v>
      </c>
      <c r="H14" s="8" t="str">
        <f>IFERROR(__xludf.DUMMYFUNCTION("GOOGLETRANSLATE(B14, ""en"", ""hi"")"),"कैरम_4")</f>
        <v>कैरम_4</v>
      </c>
      <c r="I14" s="8" t="str">
        <f>IFERROR(__xludf.DUMMYFUNCTION("GOOGLETRANSLATE(C14, ""en"", ""hi"")"),"चित्र में दिखाए गए खेल के लिए, मानक कैरम मोहरे का व्यास कितना होता है?")</f>
        <v>चित्र में दिखाए गए खेल के लिए, मानक कैरम मोहरे का व्यास कितना होता है?</v>
      </c>
      <c r="J14" s="8" t="str">
        <f>IFERROR(__xludf.DUMMYFUNCTION("GOOGLETRANSLATE(D14, ""en"", ""hi"")"),"ए) 1 सेमी, बी) 2.9 सेमी, सी) 3.2 सेमी, डी) 4 सेमी")</f>
        <v>ए) 1 सेमी, बी) 2.9 सेमी, सी) 3.2 सेमी, डी) 4 सेमी</v>
      </c>
      <c r="K14" s="8" t="str">
        <f>IFERROR(__xludf.DUMMYFUNCTION("GOOGLETRANSLATE(E14, ""en"", ""hi"")"),"बी) 2.9 सेमी")</f>
        <v>बी) 2.9 सेमी</v>
      </c>
    </row>
    <row r="15" ht="22.5" customHeight="1">
      <c r="A15" s="2">
        <v>14.0</v>
      </c>
      <c r="B15" s="3" t="s">
        <v>3078</v>
      </c>
      <c r="C15" s="3" t="s">
        <v>3082</v>
      </c>
      <c r="D15" s="3" t="s">
        <v>3083</v>
      </c>
      <c r="E15" s="3" t="s">
        <v>3084</v>
      </c>
      <c r="G15" s="8" t="str">
        <f>IFERROR(__xludf.DUMMYFUNCTION("GOOGLETRANSLATE(A15, ""en"", ""hi"")"),"14")</f>
        <v>14</v>
      </c>
      <c r="H15" s="8" t="str">
        <f>IFERROR(__xludf.DUMMYFUNCTION("GOOGLETRANSLATE(B15, ""en"", ""hi"")"),"कैरम_4")</f>
        <v>कैरम_4</v>
      </c>
      <c r="I15" s="8" t="str">
        <f>IFERROR(__xludf.DUMMYFUNCTION("GOOGLETRANSLATE(C15, ""en"", ""hi"")"),"चित्र में दिखाए गए खेल में, किसी खिलाड़ी को शॉट लेने के लिए अधिकतम कितना समय दिया जाता है?")</f>
        <v>चित्र में दिखाए गए खेल में, किसी खिलाड़ी को शॉट लेने के लिए अधिकतम कितना समय दिया जाता है?</v>
      </c>
      <c r="J15" s="8" t="str">
        <f>IFERROR(__xludf.DUMMYFUNCTION("GOOGLETRANSLATE(D15, ""en"", ""hi"")"),"A) 10 सेकंड, B) 15 सेकंड, C) 20 सेकंड, D) 30 सेकंड")</f>
        <v>A) 10 सेकंड, B) 15 सेकंड, C) 20 सेकंड, D) 30 सेकंड</v>
      </c>
      <c r="K15" s="8" t="str">
        <f>IFERROR(__xludf.DUMMYFUNCTION("GOOGLETRANSLATE(E15, ""en"", ""hi"")"),"सी) 20 सेकंड")</f>
        <v>सी) 20 सेकंड</v>
      </c>
    </row>
    <row r="16" ht="22.5" customHeight="1">
      <c r="A16" s="2">
        <v>15.0</v>
      </c>
      <c r="B16" s="3" t="s">
        <v>3078</v>
      </c>
      <c r="C16" s="3" t="s">
        <v>3085</v>
      </c>
      <c r="D16" s="3" t="s">
        <v>3086</v>
      </c>
      <c r="E16" s="3" t="s">
        <v>3087</v>
      </c>
      <c r="G16" s="8" t="str">
        <f>IFERROR(__xludf.DUMMYFUNCTION("GOOGLETRANSLATE(A16, ""en"", ""hi"")"),"15")</f>
        <v>15</v>
      </c>
      <c r="H16" s="8" t="str">
        <f>IFERROR(__xludf.DUMMYFUNCTION("GOOGLETRANSLATE(B16, ""en"", ""hi"")"),"कैरम_4")</f>
        <v>कैरम_4</v>
      </c>
      <c r="I16" s="8" t="str">
        <f>IFERROR(__xludf.DUMMYFUNCTION("GOOGLETRANSLATE(C16, ""en"", ""hi"")"),"चित्र में दिखाए गए खेल के लिए मैच का विजेता कैसे निर्धारित किया जाता है?")</f>
        <v>चित्र में दिखाए गए खेल के लिए मैच का विजेता कैसे निर्धारित किया जाता है?</v>
      </c>
      <c r="J16" s="8" t="str">
        <f>IFERROR(__xludf.DUMMYFUNCTION("GOOGLETRANSLATE(D16, ""en"", ""hi"")"),"A) सबसे अधिक मोहरों को पॉकेट में डालने वाले, B) सबसे पहले रानी को पॉकेट में डालने वाले, C) खेल के अंत में सबसे अधिक अंक बनाने वाले, D) सबसे कम फ़ाउल करने वाले")</f>
        <v>A) सबसे अधिक मोहरों को पॉकेट में डालने वाले, B) सबसे पहले रानी को पॉकेट में डालने वाले, C) खेल के अंत में सबसे अधिक अंक बनाने वाले, D) सबसे कम फ़ाउल करने वाले</v>
      </c>
      <c r="K16" s="8" t="str">
        <f>IFERROR(__xludf.DUMMYFUNCTION("GOOGLETRANSLATE(E16, ""en"", ""hi"")"),"C) खेल के अंत में सर्वाधिक अंक")</f>
        <v>C) खेल के अंत में सर्वाधिक अंक</v>
      </c>
    </row>
    <row r="17" ht="22.5" customHeight="1">
      <c r="A17" s="2">
        <v>16.0</v>
      </c>
      <c r="B17" s="3" t="s">
        <v>3078</v>
      </c>
      <c r="C17" s="3" t="s">
        <v>3088</v>
      </c>
      <c r="D17" s="3" t="s">
        <v>3089</v>
      </c>
      <c r="E17" s="3" t="s">
        <v>3090</v>
      </c>
      <c r="G17" s="8" t="str">
        <f>IFERROR(__xludf.DUMMYFUNCTION("GOOGLETRANSLATE(A17, ""en"", ""hi"")"),"16")</f>
        <v>16</v>
      </c>
      <c r="H17" s="8" t="str">
        <f>IFERROR(__xludf.DUMMYFUNCTION("GOOGLETRANSLATE(B17, ""en"", ""hi"")"),"कैरम_4")</f>
        <v>कैरम_4</v>
      </c>
      <c r="I17" s="8" t="str">
        <f>IFERROR(__xludf.DUMMYFUNCTION("GOOGLETRANSLATE(C17, ""en"", ""hi"")"),"चित्र में दिखाए गए खेल में, स्ट्राइकर को स्ट्राइक करने के लिए हाथ के किस भाग का उपयोग किया जाता है?")</f>
        <v>चित्र में दिखाए गए खेल में, स्ट्राइकर को स्ट्राइक करने के लिए हाथ के किस भाग का उपयोग किया जाता है?</v>
      </c>
      <c r="J17" s="8" t="str">
        <f>IFERROR(__xludf.DUMMYFUNCTION("GOOGLETRANSLATE(D17, ""en"", ""hi"")"),"A) हथेली, B) अंगूठा, C) मध्यमा, D) तर्जनी")</f>
        <v>A) हथेली, B) अंगूठा, C) मध्यमा, D) तर्जनी</v>
      </c>
      <c r="K17" s="8" t="str">
        <f>IFERROR(__xludf.DUMMYFUNCTION("GOOGLETRANSLATE(E17, ""en"", ""hi"")"),"C) मध्यमा उंगली")</f>
        <v>C) मध्यमा उंगली</v>
      </c>
    </row>
    <row r="18" ht="22.5" customHeight="1">
      <c r="A18" s="2">
        <v>17.0</v>
      </c>
      <c r="B18" s="3" t="s">
        <v>3091</v>
      </c>
      <c r="C18" s="3" t="s">
        <v>3092</v>
      </c>
      <c r="D18" s="3" t="s">
        <v>3093</v>
      </c>
      <c r="E18" s="3" t="s">
        <v>3094</v>
      </c>
      <c r="G18" s="8" t="str">
        <f>IFERROR(__xludf.DUMMYFUNCTION("GOOGLETRANSLATE(A18, ""en"", ""hi"")"),"17")</f>
        <v>17</v>
      </c>
      <c r="H18" s="8" t="str">
        <f>IFERROR(__xludf.DUMMYFUNCTION("GOOGLETRANSLATE(B18, ""en"", ""hi"")"),"कैरम_5")</f>
        <v>कैरम_5</v>
      </c>
      <c r="I18" s="8" t="str">
        <f>IFERROR(__xludf.DUMMYFUNCTION("GOOGLETRANSLATE(C18, ""en"", ""hi"")"),"चित्र में दिखाए गए खेल में, यदि कोई खिलाड़ी प्रतिद्वंद्वी के मोहरे को पॉकेट में डाल दे तो क्या होगा?")</f>
        <v>चित्र में दिखाए गए खेल में, यदि कोई खिलाड़ी प्रतिद्वंद्वी के मोहरे को पॉकेट में डाल दे तो क्या होगा?</v>
      </c>
      <c r="J18" s="8" t="str">
        <f>IFERROR(__xludf.DUMMYFUNCTION("GOOGLETRANSLATE(D18, ""en"", ""hi"")"),"A) प्रतिद्वंद्वी को एक बोनस बारी मिलती है, B) खिलाड़ी एक अंक खो देता है, C) खिलाड़ी को खेल छोड़ना पड़ता है, D) खिलाड़ी को एक और बारी मिलती है")</f>
        <v>A) प्रतिद्वंद्वी को एक बोनस बारी मिलती है, B) खिलाड़ी एक अंक खो देता है, C) खिलाड़ी को खेल छोड़ना पड़ता है, D) खिलाड़ी को एक और बारी मिलती है</v>
      </c>
      <c r="K18" s="8" t="str">
        <f>IFERROR(__xludf.DUMMYFUNCTION("GOOGLETRANSLATE(E18, ""en"", ""hi"")"),"B) खिलाड़ी एक अंक खो देता है")</f>
        <v>B) खिलाड़ी एक अंक खो देता है</v>
      </c>
    </row>
    <row r="19" ht="22.5" customHeight="1">
      <c r="A19" s="2">
        <v>18.0</v>
      </c>
      <c r="B19" s="3" t="s">
        <v>3091</v>
      </c>
      <c r="C19" s="3" t="s">
        <v>3095</v>
      </c>
      <c r="D19" s="3" t="s">
        <v>3096</v>
      </c>
      <c r="E19" s="3" t="s">
        <v>3097</v>
      </c>
      <c r="G19" s="8" t="str">
        <f>IFERROR(__xludf.DUMMYFUNCTION("GOOGLETRANSLATE(A19, ""en"", ""hi"")"),"18")</f>
        <v>18</v>
      </c>
      <c r="H19" s="8" t="str">
        <f>IFERROR(__xludf.DUMMYFUNCTION("GOOGLETRANSLATE(B19, ""en"", ""hi"")"),"कैरम_5")</f>
        <v>कैरम_5</v>
      </c>
      <c r="I19" s="8" t="str">
        <f>IFERROR(__xludf.DUMMYFUNCTION("GOOGLETRANSLATE(C19, ""en"", ""hi"")"),"चित्र में दिखाए गए खेल में, फाउल करने पर क्या दंड है?")</f>
        <v>चित्र में दिखाए गए खेल में, फाउल करने पर क्या दंड है?</v>
      </c>
      <c r="J19" s="8" t="str">
        <f>IFERROR(__xludf.DUMMYFUNCTION("GOOGLETRANSLATE(D19, ""en"", ""hi"")"),"A) एक अंक की हानि, B) बारी की हानि, C) जेब में रखे एक मोहरे की वापसी, D) दो अंकों की हानि")</f>
        <v>A) एक अंक की हानि, B) बारी की हानि, C) जेब में रखे एक मोहरे की वापसी, D) दो अंकों की हानि</v>
      </c>
      <c r="K19" s="8" t="str">
        <f>IFERROR(__xludf.DUMMYFUNCTION("GOOGLETRANSLATE(E19, ""en"", ""hi"")"),"C) एक जेब में रखे मोहरे की वापसी")</f>
        <v>C) एक जेब में रखे मोहरे की वापसी</v>
      </c>
    </row>
    <row r="20" ht="22.5" customHeight="1">
      <c r="A20" s="2">
        <v>19.0</v>
      </c>
      <c r="B20" s="3" t="s">
        <v>3091</v>
      </c>
      <c r="C20" s="3" t="s">
        <v>3098</v>
      </c>
      <c r="D20" s="3" t="s">
        <v>185</v>
      </c>
      <c r="E20" s="3" t="s">
        <v>2979</v>
      </c>
      <c r="G20" s="8" t="str">
        <f>IFERROR(__xludf.DUMMYFUNCTION("GOOGLETRANSLATE(A20, ""en"", ""hi"")"),"19")</f>
        <v>19</v>
      </c>
      <c r="H20" s="8" t="str">
        <f>IFERROR(__xludf.DUMMYFUNCTION("GOOGLETRANSLATE(B20, ""en"", ""hi"")"),"कैरम_5")</f>
        <v>कैरम_5</v>
      </c>
      <c r="I20" s="8" t="str">
        <f>IFERROR(__xludf.DUMMYFUNCTION("GOOGLETRANSLATE(C20, ""en"", ""hi"")"),"चित्र में दिखाए गए खेल के लिए, युगल मैच में कितने खिलाड़ी भाग ले सकते हैं?")</f>
        <v>चित्र में दिखाए गए खेल के लिए, युगल मैच में कितने खिलाड़ी भाग ले सकते हैं?</v>
      </c>
      <c r="J20" s="8" t="str">
        <f>IFERROR(__xludf.DUMMYFUNCTION("GOOGLETRANSLATE(D20, ""en"", ""hi"")"),"ए) 2, बी) 3, सी) 4, डी) 5")</f>
        <v>ए) 2, बी) 3, सी) 4, डी) 5</v>
      </c>
      <c r="K20" s="8" t="str">
        <f>IFERROR(__xludf.DUMMYFUNCTION("GOOGLETRANSLATE(E20, ""en"", ""hi"")"),"सी) 4")</f>
        <v>सी) 4</v>
      </c>
    </row>
    <row r="21" ht="22.5" customHeight="1">
      <c r="A21" s="2">
        <v>20.0</v>
      </c>
      <c r="B21" s="3" t="s">
        <v>3091</v>
      </c>
      <c r="C21" s="3" t="s">
        <v>3099</v>
      </c>
      <c r="D21" s="3" t="s">
        <v>3100</v>
      </c>
      <c r="E21" s="3" t="s">
        <v>3101</v>
      </c>
      <c r="G21" s="8" t="str">
        <f>IFERROR(__xludf.DUMMYFUNCTION("GOOGLETRANSLATE(A21, ""en"", ""hi"")"),"20")</f>
        <v>20</v>
      </c>
      <c r="H21" s="8" t="str">
        <f>IFERROR(__xludf.DUMMYFUNCTION("GOOGLETRANSLATE(B21, ""en"", ""hi"")"),"कैरम_5")</f>
        <v>कैरम_5</v>
      </c>
      <c r="I21" s="8" t="str">
        <f>IFERROR(__xludf.DUMMYFUNCTION("GOOGLETRANSLATE(C21, ""en"", ""hi"")"),"चित्र में दिखाए गए खेल में कैरम के टुकड़े बनाने के लिए आमतौर पर किस सामग्री का उपयोग किया जाता है?")</f>
        <v>चित्र में दिखाए गए खेल में कैरम के टुकड़े बनाने के लिए आमतौर पर किस सामग्री का उपयोग किया जाता है?</v>
      </c>
      <c r="J21" s="8" t="str">
        <f>IFERROR(__xludf.DUMMYFUNCTION("GOOGLETRANSLATE(D21, ""en"", ""hi"")"),"A) लकड़ी, B) प्लास्टिक, C) धातु, D) रबर")</f>
        <v>A) लकड़ी, B) प्लास्टिक, C) धातु, D) रबर</v>
      </c>
      <c r="K21" s="8" t="str">
        <f>IFERROR(__xludf.DUMMYFUNCTION("GOOGLETRANSLATE(E21, ""en"", ""hi"")"),"एक लकड़ी")</f>
        <v>एक लकड़ी</v>
      </c>
    </row>
    <row r="22" ht="22.5" customHeight="1">
      <c r="A22" s="2">
        <v>21.0</v>
      </c>
      <c r="B22" s="3" t="s">
        <v>3102</v>
      </c>
      <c r="C22" s="3" t="s">
        <v>3103</v>
      </c>
      <c r="D22" s="3" t="s">
        <v>3104</v>
      </c>
      <c r="E22" s="3" t="s">
        <v>3105</v>
      </c>
      <c r="G22" s="8" t="str">
        <f>IFERROR(__xludf.DUMMYFUNCTION("GOOGLETRANSLATE(A22, ""en"", ""hi"")"),"21")</f>
        <v>21</v>
      </c>
      <c r="H22" s="8" t="str">
        <f>IFERROR(__xludf.DUMMYFUNCTION("GOOGLETRANSLATE(B22, ""en"", ""hi"")"),"कैरम_6")</f>
        <v>कैरम_6</v>
      </c>
      <c r="I22" s="8" t="str">
        <f>IFERROR(__xludf.DUMMYFUNCTION("GOOGLETRANSLATE(C22, ""en"", ""hi"")"),"चित्र में दिखाए गए खेल के लिए, मध्य वृत्त का क्या कार्य है?")</f>
        <v>चित्र में दिखाए गए खेल के लिए, मध्य वृत्त का क्या कार्य है?</v>
      </c>
      <c r="J22" s="8" t="str">
        <f>IFERROR(__xludf.DUMMYFUNCTION("GOOGLETRANSLATE(D22, ""en"", ""hi"")"),"A) स्ट्राइकर को रखना, B) रानी को पॉकेट में डालना, C) सभी मोहरों को रखना, D) फाउल क्षेत्र के रूप में कार्य करना")</f>
        <v>A) स्ट्राइकर को रखना, B) रानी को पॉकेट में डालना, C) सभी मोहरों को रखना, D) फाउल क्षेत्र के रूप में कार्य करना</v>
      </c>
      <c r="K22" s="8" t="str">
        <f>IFERROR(__xludf.DUMMYFUNCTION("GOOGLETRANSLATE(E22, ""en"", ""hi"")"),"A) स्ट्राइकर को रखने के लिए")</f>
        <v>A) स्ट्राइकर को रखने के लिए</v>
      </c>
    </row>
    <row r="23" ht="22.5" customHeight="1">
      <c r="A23" s="2">
        <v>22.0</v>
      </c>
      <c r="B23" s="3" t="s">
        <v>3102</v>
      </c>
      <c r="C23" s="3" t="s">
        <v>3106</v>
      </c>
      <c r="D23" s="3" t="s">
        <v>3107</v>
      </c>
      <c r="E23" s="3" t="s">
        <v>3108</v>
      </c>
      <c r="G23" s="8" t="str">
        <f>IFERROR(__xludf.DUMMYFUNCTION("GOOGLETRANSLATE(A23, ""en"", ""hi"")"),"22")</f>
        <v>22</v>
      </c>
      <c r="H23" s="8" t="str">
        <f>IFERROR(__xludf.DUMMYFUNCTION("GOOGLETRANSLATE(B23, ""en"", ""hi"")"),"कैरम_6")</f>
        <v>कैरम_6</v>
      </c>
      <c r="I23" s="8" t="str">
        <f>IFERROR(__xludf.DUMMYFUNCTION("GOOGLETRANSLATE(C23, ""en"", ""hi"")"),"चित्र में दिखाए गए खेल में, एक समय में एक पॉकेट में अधिकतम कितने टुकड़े रखे जा सकते हैं?")</f>
        <v>चित्र में दिखाए गए खेल में, एक समय में एक पॉकेट में अधिकतम कितने टुकड़े रखे जा सकते हैं?</v>
      </c>
      <c r="J23" s="8" t="str">
        <f>IFERROR(__xludf.DUMMYFUNCTION("GOOGLETRANSLATE(D23, ""en"", ""hi"")"),"ए) 1, बी) 2, सी) 3, डी) कोई सीमा नहीं")</f>
        <v>ए) 1, बी) 2, सी) 3, डी) कोई सीमा नहीं</v>
      </c>
      <c r="K23" s="8" t="str">
        <f>IFERROR(__xludf.DUMMYFUNCTION("GOOGLETRANSLATE(E23, ""en"", ""hi"")"),"D) कोई सीमा नहीं")</f>
        <v>D) कोई सीमा नहीं</v>
      </c>
    </row>
    <row r="24" ht="22.5" customHeight="1">
      <c r="A24" s="2">
        <v>23.0</v>
      </c>
      <c r="B24" s="3" t="s">
        <v>3102</v>
      </c>
      <c r="C24" s="3" t="s">
        <v>3109</v>
      </c>
      <c r="D24" s="3" t="s">
        <v>3110</v>
      </c>
      <c r="E24" s="3" t="s">
        <v>3111</v>
      </c>
      <c r="G24" s="8" t="str">
        <f>IFERROR(__xludf.DUMMYFUNCTION("GOOGLETRANSLATE(A24, ""en"", ""hi"")"),"23")</f>
        <v>23</v>
      </c>
      <c r="H24" s="8" t="str">
        <f>IFERROR(__xludf.DUMMYFUNCTION("GOOGLETRANSLATE(B24, ""en"", ""hi"")"),"कैरम_6")</f>
        <v>कैरम_6</v>
      </c>
      <c r="I24" s="8" t="str">
        <f>IFERROR(__xludf.DUMMYFUNCTION("GOOGLETRANSLATE(C24, ""en"", ""hi"")"),"चित्र में दिखाए गए खेल में, प्रत्येक शॉट पर स्ट्राइकर को न्यूनतम कितनी दूरी तय करनी होगी?")</f>
        <v>चित्र में दिखाए गए खेल में, प्रत्येक शॉट पर स्ट्राइकर को न्यूनतम कितनी दूरी तय करनी होगी?</v>
      </c>
      <c r="J24" s="8" t="str">
        <f>IFERROR(__xludf.DUMMYFUNCTION("GOOGLETRANSLATE(D24, ""en"", ""hi"")"),"A) 5 सेमी, B) 10 सेमी, C) 15 सेमी, D) कोई न्यूनतम नहीं")</f>
        <v>A) 5 सेमी, B) 10 सेमी, C) 15 सेमी, D) कोई न्यूनतम नहीं</v>
      </c>
      <c r="K24" s="8" t="str">
        <f>IFERROR(__xludf.DUMMYFUNCTION("GOOGLETRANSLATE(E24, ""en"", ""hi"")"),"सी) 15 सेमी")</f>
        <v>सी) 15 सेमी</v>
      </c>
    </row>
    <row r="25" ht="22.5" customHeight="1">
      <c r="A25" s="2">
        <v>24.0</v>
      </c>
      <c r="B25" s="3" t="s">
        <v>3102</v>
      </c>
      <c r="C25" s="3" t="s">
        <v>3112</v>
      </c>
      <c r="D25" s="3" t="s">
        <v>3113</v>
      </c>
      <c r="E25" s="3" t="s">
        <v>3114</v>
      </c>
      <c r="G25" s="8" t="str">
        <f>IFERROR(__xludf.DUMMYFUNCTION("GOOGLETRANSLATE(A25, ""en"", ""hi"")"),"24")</f>
        <v>24</v>
      </c>
      <c r="H25" s="8" t="str">
        <f>IFERROR(__xludf.DUMMYFUNCTION("GOOGLETRANSLATE(B25, ""en"", ""hi"")"),"कैरम_6")</f>
        <v>कैरम_6</v>
      </c>
      <c r="I25" s="8" t="str">
        <f>IFERROR(__xludf.DUMMYFUNCTION("GOOGLETRANSLATE(C25, ""en"", ""hi"")"),"चित्र में दिखाए गए खेल में, प्रत्येक खिलाड़ी कितने मोहरों से खेल शुरू करता है?")</f>
        <v>चित्र में दिखाए गए खेल में, प्रत्येक खिलाड़ी कितने मोहरों से खेल शुरू करता है?</v>
      </c>
      <c r="J25" s="8" t="str">
        <f>IFERROR(__xludf.DUMMYFUNCTION("GOOGLETRANSLATE(D25, ""en"", ""hi"")"),"ए) 6, बी) 8, सी) 9, डी) 10")</f>
        <v>ए) 6, बी) 8, सी) 9, डी) 10</v>
      </c>
      <c r="K25" s="8" t="str">
        <f>IFERROR(__xludf.DUMMYFUNCTION("GOOGLETRANSLATE(E25, ""en"", ""hi"")"),"सी) 9")</f>
        <v>सी) 9</v>
      </c>
    </row>
    <row r="26" ht="22.5" customHeight="1">
      <c r="A26" s="2">
        <v>25.0</v>
      </c>
      <c r="B26" s="3" t="s">
        <v>3115</v>
      </c>
      <c r="C26" s="3" t="s">
        <v>3116</v>
      </c>
      <c r="D26" s="3" t="s">
        <v>3117</v>
      </c>
      <c r="E26" s="3" t="s">
        <v>3118</v>
      </c>
      <c r="G26" s="8" t="str">
        <f>IFERROR(__xludf.DUMMYFUNCTION("GOOGLETRANSLATE(A26, ""en"", ""hi"")"),"25")</f>
        <v>25</v>
      </c>
      <c r="H26" s="8" t="str">
        <f>IFERROR(__xludf.DUMMYFUNCTION("GOOGLETRANSLATE(B26, ""en"", ""hi"")"),"कैरम_7")</f>
        <v>कैरम_7</v>
      </c>
      <c r="I26" s="8" t="str">
        <f>IFERROR(__xludf.DUMMYFUNCTION("GOOGLETRANSLATE(C26, ""en"", ""hi"")"),"चित्र में दिखाए गए खेल के लिए, स्ट्राइकर का व्यास क्या है?")</f>
        <v>चित्र में दिखाए गए खेल के लिए, स्ट्राइकर का व्यास क्या है?</v>
      </c>
      <c r="J26" s="8" t="str">
        <f>IFERROR(__xludf.DUMMYFUNCTION("GOOGLETRANSLATE(D26, ""en"", ""hi"")"),"ए) 3.5 सेमी, बी) 4.1 सेमी, सी) 4.5 सेमी, डी) 5 सेमी")</f>
        <v>ए) 3.5 सेमी, बी) 4.1 सेमी, सी) 4.5 सेमी, डी) 5 सेमी</v>
      </c>
      <c r="K26" s="8" t="str">
        <f>IFERROR(__xludf.DUMMYFUNCTION("GOOGLETRANSLATE(E26, ""en"", ""hi"")"),"सी) 4.5 सेमी")</f>
        <v>सी) 4.5 सेमी</v>
      </c>
    </row>
    <row r="27" ht="22.5" customHeight="1">
      <c r="A27" s="2">
        <v>26.0</v>
      </c>
      <c r="B27" s="3" t="s">
        <v>3115</v>
      </c>
      <c r="C27" s="3" t="s">
        <v>3119</v>
      </c>
      <c r="D27" s="3" t="s">
        <v>3120</v>
      </c>
      <c r="E27" s="3" t="s">
        <v>3121</v>
      </c>
      <c r="G27" s="8" t="str">
        <f>IFERROR(__xludf.DUMMYFUNCTION("GOOGLETRANSLATE(A27, ""en"", ""hi"")"),"26")</f>
        <v>26</v>
      </c>
      <c r="H27" s="8" t="str">
        <f>IFERROR(__xludf.DUMMYFUNCTION("GOOGLETRANSLATE(B27, ""en"", ""hi"")"),"कैरम_7")</f>
        <v>कैरम_7</v>
      </c>
      <c r="I27" s="8" t="str">
        <f>IFERROR(__xludf.DUMMYFUNCTION("GOOGLETRANSLATE(C27, ""en"", ""hi"")"),"चित्र में दिखाए गए खेल में, रानी को कवर किए बिना पॉकेट में डालने पर क्या दंड है?")</f>
        <v>चित्र में दिखाए गए खेल में, रानी को कवर किए बिना पॉकेट में डालने पर क्या दंड है?</v>
      </c>
      <c r="J27" s="8" t="str">
        <f>IFERROR(__xludf.DUMMYFUNCTION("GOOGLETRANSLATE(D27, ""en"", ""hi"")"),"A) अंकों की हानि, B) रानी की जब्ती, C) सभी पॉकेटेड मोहरों की वापसी, D) कोई पेनल्टी नहीं")</f>
        <v>A) अंकों की हानि, B) रानी की जब्ती, C) सभी पॉकेटेड मोहरों की वापसी, D) कोई पेनल्टी नहीं</v>
      </c>
      <c r="K27" s="8" t="str">
        <f>IFERROR(__xludf.DUMMYFUNCTION("GOOGLETRANSLATE(E27, ""en"", ""hi"")"),"बी) रानी का ज़ब्त")</f>
        <v>बी) रानी का ज़ब्त</v>
      </c>
    </row>
    <row r="28" ht="22.5" customHeight="1">
      <c r="A28" s="2">
        <v>27.0</v>
      </c>
      <c r="B28" s="3" t="s">
        <v>3115</v>
      </c>
      <c r="C28" s="3" t="s">
        <v>3122</v>
      </c>
      <c r="D28" s="3" t="s">
        <v>185</v>
      </c>
      <c r="E28" s="3" t="s">
        <v>2979</v>
      </c>
      <c r="G28" s="8" t="str">
        <f>IFERROR(__xludf.DUMMYFUNCTION("GOOGLETRANSLATE(A28, ""en"", ""hi"")"),"27")</f>
        <v>27</v>
      </c>
      <c r="H28" s="8" t="str">
        <f>IFERROR(__xludf.DUMMYFUNCTION("GOOGLETRANSLATE(B28, ""en"", ""hi"")"),"कैरम_7")</f>
        <v>कैरम_7</v>
      </c>
      <c r="I28" s="8" t="str">
        <f>IFERROR(__xludf.DUMMYFUNCTION("GOOGLETRANSLATE(C28, ""en"", ""hi"")"),"चित्र में दिखाए गए खेल के लिए, एक मानक कैरम बोर्ड पर कितने पॉकेट होते हैं?")</f>
        <v>चित्र में दिखाए गए खेल के लिए, एक मानक कैरम बोर्ड पर कितने पॉकेट होते हैं?</v>
      </c>
      <c r="J28" s="8" t="str">
        <f>IFERROR(__xludf.DUMMYFUNCTION("GOOGLETRANSLATE(D28, ""en"", ""hi"")"),"ए) 2, बी) 3, सी) 4, डी) 5")</f>
        <v>ए) 2, बी) 3, सी) 4, डी) 5</v>
      </c>
      <c r="K28" s="8" t="str">
        <f>IFERROR(__xludf.DUMMYFUNCTION("GOOGLETRANSLATE(E28, ""en"", ""hi"")"),"सी) 4")</f>
        <v>सी) 4</v>
      </c>
    </row>
    <row r="29" ht="22.5" customHeight="1">
      <c r="A29" s="2">
        <v>28.0</v>
      </c>
      <c r="B29" s="3" t="s">
        <v>3115</v>
      </c>
      <c r="C29" s="3" t="s">
        <v>3123</v>
      </c>
      <c r="D29" s="3" t="s">
        <v>3124</v>
      </c>
      <c r="E29" s="3" t="s">
        <v>3125</v>
      </c>
      <c r="G29" s="8" t="str">
        <f>IFERROR(__xludf.DUMMYFUNCTION("GOOGLETRANSLATE(A29, ""en"", ""hi"")"),"28")</f>
        <v>28</v>
      </c>
      <c r="H29" s="8" t="str">
        <f>IFERROR(__xludf.DUMMYFUNCTION("GOOGLETRANSLATE(B29, ""en"", ""hi"")"),"कैरम_7")</f>
        <v>कैरम_7</v>
      </c>
      <c r="I29" s="8" t="str">
        <f>IFERROR(__xludf.DUMMYFUNCTION("GOOGLETRANSLATE(C29, ""en"", ""hi"")"),"चित्र में दिखाए गए खेल में, एक मानक कैरम मैच कितने समय तक चलता है?")</f>
        <v>चित्र में दिखाए गए खेल में, एक मानक कैरम मैच कितने समय तक चलता है?</v>
      </c>
      <c r="J29" s="8" t="str">
        <f>IFERROR(__xludf.DUMMYFUNCTION("GOOGLETRANSLATE(D29, ""en"", ""hi"")"),"A) 10 मिनट, B) 15 मिनट, C) 20 मिनट, D) कोई समय सीमा नहीं")</f>
        <v>A) 10 मिनट, B) 15 मिनट, C) 20 मिनट, D) कोई समय सीमा नहीं</v>
      </c>
      <c r="K29" s="8" t="str">
        <f>IFERROR(__xludf.DUMMYFUNCTION("GOOGLETRANSLATE(E29, ""en"", ""hi"")"),"D) कोई समय सीमा नहीं")</f>
        <v>D) कोई समय सीमा नहीं</v>
      </c>
    </row>
    <row r="30" ht="22.5" customHeight="1">
      <c r="A30" s="2">
        <v>29.0</v>
      </c>
      <c r="B30" s="3" t="s">
        <v>3126</v>
      </c>
      <c r="C30" s="3" t="s">
        <v>3127</v>
      </c>
      <c r="D30" s="3" t="s">
        <v>3128</v>
      </c>
      <c r="E30" s="3" t="s">
        <v>202</v>
      </c>
      <c r="G30" s="8" t="str">
        <f>IFERROR(__xludf.DUMMYFUNCTION("GOOGLETRANSLATE(A30, ""en"", ""hi"")"),"29")</f>
        <v>29</v>
      </c>
      <c r="H30" s="8" t="str">
        <f>IFERROR(__xludf.DUMMYFUNCTION("GOOGLETRANSLATE(B30, ""en"", ""hi"")"),"कैरम_8")</f>
        <v>कैरम_8</v>
      </c>
      <c r="I30" s="8" t="str">
        <f>IFERROR(__xludf.DUMMYFUNCTION("GOOGLETRANSLATE(C30, ""en"", ""hi"")"),"चित्र में दिखाए गए खेल के लिए, कैरम की उत्पत्ति का श्रेय किस देश को दिया जाता है?")</f>
        <v>चित्र में दिखाए गए खेल के लिए, कैरम की उत्पत्ति का श्रेय किस देश को दिया जाता है?</v>
      </c>
      <c r="J30" s="8" t="str">
        <f>IFERROR(__xludf.DUMMYFUNCTION("GOOGLETRANSLATE(D30, ""en"", ""hi"")"),"A) भारत, B) पाकिस्तान, C) श्रीलंका, D) बांग्लादेश")</f>
        <v>A) भारत, B) पाकिस्तान, C) श्रीलंका, D) बांग्लादेश</v>
      </c>
      <c r="K30" s="8" t="str">
        <f>IFERROR(__xludf.DUMMYFUNCTION("GOOGLETRANSLATE(E30, ""en"", ""hi"")"),"ए) भारत")</f>
        <v>ए) भारत</v>
      </c>
    </row>
    <row r="31" ht="22.5" customHeight="1">
      <c r="A31" s="2">
        <v>30.0</v>
      </c>
      <c r="B31" s="3" t="s">
        <v>3126</v>
      </c>
      <c r="C31" s="3" t="s">
        <v>3129</v>
      </c>
      <c r="D31" s="3" t="s">
        <v>1278</v>
      </c>
      <c r="E31" s="3" t="s">
        <v>186</v>
      </c>
      <c r="G31" s="8" t="str">
        <f>IFERROR(__xludf.DUMMYFUNCTION("GOOGLETRANSLATE(A31, ""en"", ""hi"")"),"30")</f>
        <v>30</v>
      </c>
      <c r="H31" s="8" t="str">
        <f>IFERROR(__xludf.DUMMYFUNCTION("GOOGLETRANSLATE(B31, ""en"", ""hi"")"),"कैरम_8")</f>
        <v>कैरम_8</v>
      </c>
      <c r="I31" s="8" t="str">
        <f>IFERROR(__xludf.DUMMYFUNCTION("GOOGLETRANSLATE(C31, ""en"", ""hi"")"),"चित्र में दिखाए गए खेल में, रानी को पॉकेट में डालने पर अधिकतम अंक क्या है?")</f>
        <v>चित्र में दिखाए गए खेल में, रानी को पॉकेट में डालने पर अधिकतम अंक क्या है?</v>
      </c>
      <c r="J31" s="8" t="str">
        <f>IFERROR(__xludf.DUMMYFUNCTION("GOOGLETRANSLATE(D31, ""en"", ""hi"")"),"ए) 2, बी) 3, सी) 5, डी) 6")</f>
        <v>ए) 2, बी) 3, सी) 5, डी) 6</v>
      </c>
      <c r="K31" s="8" t="str">
        <f>IFERROR(__xludf.DUMMYFUNCTION("GOOGLETRANSLATE(E31, ""en"", ""hi"")"),"बी) 3")</f>
        <v>बी) 3</v>
      </c>
    </row>
    <row r="32" ht="22.5" customHeight="1">
      <c r="A32" s="2">
        <v>31.0</v>
      </c>
      <c r="B32" s="3" t="s">
        <v>3126</v>
      </c>
      <c r="C32" s="3" t="s">
        <v>3130</v>
      </c>
      <c r="D32" s="3" t="s">
        <v>3131</v>
      </c>
      <c r="E32" s="3" t="s">
        <v>929</v>
      </c>
      <c r="G32" s="8" t="str">
        <f>IFERROR(__xludf.DUMMYFUNCTION("GOOGLETRANSLATE(A32, ""en"", ""hi"")"),"31")</f>
        <v>31</v>
      </c>
      <c r="H32" s="8" t="str">
        <f>IFERROR(__xludf.DUMMYFUNCTION("GOOGLETRANSLATE(B32, ""en"", ""hi"")"),"कैरम_8")</f>
        <v>कैरम_8</v>
      </c>
      <c r="I32" s="8" t="str">
        <f>IFERROR(__xludf.DUMMYFUNCTION("GOOGLETRANSLATE(C32, ""en"", ""hi"")"),"चित्र में दिखाए गए खेल के लिए कितने सफेद मोहरों का उपयोग किया गया है?")</f>
        <v>चित्र में दिखाए गए खेल के लिए कितने सफेद मोहरों का उपयोग किया गया है?</v>
      </c>
      <c r="J32" s="8" t="str">
        <f>IFERROR(__xludf.DUMMYFUNCTION("GOOGLETRANSLATE(D32, ""en"", ""hi"")"),"ए) 5, बी) 6, सी) 7, डी) 9")</f>
        <v>ए) 5, बी) 6, सी) 7, डी) 9</v>
      </c>
      <c r="K32" s="8" t="str">
        <f>IFERROR(__xludf.DUMMYFUNCTION("GOOGLETRANSLATE(E32, ""en"", ""hi"")"),"डी) 9")</f>
        <v>डी) 9</v>
      </c>
    </row>
    <row r="33" ht="22.5" customHeight="1">
      <c r="A33" s="2">
        <v>32.0</v>
      </c>
      <c r="B33" s="3" t="s">
        <v>3126</v>
      </c>
      <c r="C33" s="3" t="s">
        <v>3132</v>
      </c>
      <c r="D33" s="3" t="s">
        <v>3133</v>
      </c>
      <c r="E33" s="3" t="s">
        <v>3134</v>
      </c>
      <c r="G33" s="8" t="str">
        <f>IFERROR(__xludf.DUMMYFUNCTION("GOOGLETRANSLATE(A33, ""en"", ""hi"")"),"32")</f>
        <v>32</v>
      </c>
      <c r="H33" s="8" t="str">
        <f>IFERROR(__xludf.DUMMYFUNCTION("GOOGLETRANSLATE(B33, ""en"", ""hi"")"),"कैरम_8")</f>
        <v>कैरम_8</v>
      </c>
      <c r="I33" s="8" t="str">
        <f>IFERROR(__xludf.DUMMYFUNCTION("GOOGLETRANSLATE(C33, ""en"", ""hi"")"),"चित्र में दिखाए गए खेल में कैरम बोर्ड की आदर्श मोटाई क्या है?")</f>
        <v>चित्र में दिखाए गए खेल में कैरम बोर्ड की आदर्श मोटाई क्या है?</v>
      </c>
      <c r="J33" s="8" t="str">
        <f>IFERROR(__xludf.DUMMYFUNCTION("GOOGLETRANSLATE(D33, ""en"", ""hi"")"),"ए) 2 मिमी, बी) 4 मिमी, सी) 6 मिमी, डी) 8 मिमी")</f>
        <v>ए) 2 मिमी, बी) 4 मिमी, सी) 6 मिमी, डी) 8 मिमी</v>
      </c>
      <c r="K33" s="8" t="str">
        <f>IFERROR(__xludf.DUMMYFUNCTION("GOOGLETRANSLATE(E33, ""en"", ""hi"")"),"सी) 6 मिमी")</f>
        <v>सी) 6 मिमी</v>
      </c>
    </row>
    <row r="34" ht="22.5" customHeight="1">
      <c r="A34" s="2">
        <v>33.0</v>
      </c>
      <c r="B34" s="3" t="s">
        <v>3135</v>
      </c>
      <c r="C34" s="3" t="s">
        <v>3136</v>
      </c>
      <c r="D34" s="3" t="s">
        <v>3137</v>
      </c>
      <c r="E34" s="3" t="s">
        <v>186</v>
      </c>
      <c r="G34" s="8" t="str">
        <f>IFERROR(__xludf.DUMMYFUNCTION("GOOGLETRANSLATE(A34, ""en"", ""hi"")"),"33")</f>
        <v>33</v>
      </c>
      <c r="H34" s="8" t="str">
        <f>IFERROR(__xludf.DUMMYFUNCTION("GOOGLETRANSLATE(B34, ""en"", ""hi"")"),"कैरम_9")</f>
        <v>कैरम_9</v>
      </c>
      <c r="I34" s="8" t="str">
        <f>IFERROR(__xludf.DUMMYFUNCTION("GOOGLETRANSLATE(C34, ""en"", ""hi"")"),"चित्र में दिखाए गए खेल में कितने फाउल के परिणामस्वरूप खेल में हार होती है?")</f>
        <v>चित्र में दिखाए गए खेल में कितने फाउल के परिणामस्वरूप खेल में हार होती है?</v>
      </c>
      <c r="J34" s="8" t="str">
        <f>IFERROR(__xludf.DUMMYFUNCTION("GOOGLETRANSLATE(D34, ""en"", ""hi"")"),"ए) 2, बी) 3, सी) 5, डी) 7")</f>
        <v>ए) 2, बी) 3, सी) 5, डी) 7</v>
      </c>
      <c r="K34" s="8" t="str">
        <f>IFERROR(__xludf.DUMMYFUNCTION("GOOGLETRANSLATE(E34, ""en"", ""hi"")"),"बी) 3")</f>
        <v>बी) 3</v>
      </c>
    </row>
    <row r="35" ht="22.5" customHeight="1">
      <c r="A35" s="2">
        <v>34.0</v>
      </c>
      <c r="B35" s="3" t="s">
        <v>3135</v>
      </c>
      <c r="C35" s="3" t="s">
        <v>3138</v>
      </c>
      <c r="D35" s="3" t="s">
        <v>3139</v>
      </c>
      <c r="E35" s="3" t="s">
        <v>3140</v>
      </c>
      <c r="G35" s="8" t="str">
        <f>IFERROR(__xludf.DUMMYFUNCTION("GOOGLETRANSLATE(A35, ""en"", ""hi"")"),"34")</f>
        <v>34</v>
      </c>
      <c r="H35" s="8" t="str">
        <f>IFERROR(__xludf.DUMMYFUNCTION("GOOGLETRANSLATE(B35, ""en"", ""hi"")"),"कैरम_9")</f>
        <v>कैरम_9</v>
      </c>
      <c r="I35" s="8" t="str">
        <f>IFERROR(__xludf.DUMMYFUNCTION("GOOGLETRANSLATE(C35, ""en"", ""hi"")"),"चित्र में दिखाए गए खेल में कैरम स्ट्राइकर का आकार कैसा होता है?")</f>
        <v>चित्र में दिखाए गए खेल में कैरम स्ट्राइकर का आकार कैसा होता है?</v>
      </c>
      <c r="J35" s="8" t="str">
        <f>IFERROR(__xludf.DUMMYFUNCTION("GOOGLETRANSLATE(D35, ""en"", ""hi"")"),"A) वृत्ताकार, B) वर्गाकार, C) षट्कोणीय, D) अंडाकार")</f>
        <v>A) वृत्ताकार, B) वर्गाकार, C) षट्कोणीय, D) अंडाकार</v>
      </c>
      <c r="K35" s="8" t="str">
        <f>IFERROR(__xludf.DUMMYFUNCTION("GOOGLETRANSLATE(E35, ""en"", ""hi"")"),"ए) वृत्ताकार")</f>
        <v>ए) वृत्ताकार</v>
      </c>
    </row>
    <row r="36" ht="22.5" customHeight="1">
      <c r="A36" s="2">
        <v>35.0</v>
      </c>
      <c r="B36" s="3" t="s">
        <v>3135</v>
      </c>
      <c r="C36" s="3" t="s">
        <v>3141</v>
      </c>
      <c r="D36" s="3" t="s">
        <v>3142</v>
      </c>
      <c r="E36" s="3" t="s">
        <v>3143</v>
      </c>
      <c r="G36" s="8" t="str">
        <f>IFERROR(__xludf.DUMMYFUNCTION("GOOGLETRANSLATE(A36, ""en"", ""hi"")"),"35")</f>
        <v>35</v>
      </c>
      <c r="H36" s="8" t="str">
        <f>IFERROR(__xludf.DUMMYFUNCTION("GOOGLETRANSLATE(B36, ""en"", ""hi"")"),"कैरम_9")</f>
        <v>कैरम_9</v>
      </c>
      <c r="I36" s="8" t="str">
        <f>IFERROR(__xludf.DUMMYFUNCTION("GOOGLETRANSLATE(C36, ""en"", ""hi"")"),"चित्र में दिखाए गए खेल में कौन सा खिलाड़ी खेल शुरू करता है?")</f>
        <v>चित्र में दिखाए गए खेल में कौन सा खिलाड़ी खेल शुरू करता है?</v>
      </c>
      <c r="J36" s="8" t="str">
        <f>IFERROR(__xludf.DUMMYFUNCTION("GOOGLETRANSLATE(D36, ""en"", ""hi"")"),"A) सबसे युवा खिलाड़ी, B) काले मोहरों वाला खिलाड़ी, C) सफेद मोहरों वाला खिलाड़ी, D) सिक्का उछालकर चुना गया खिलाड़ी")</f>
        <v>A) सबसे युवा खिलाड़ी, B) काले मोहरों वाला खिलाड़ी, C) सफेद मोहरों वाला खिलाड़ी, D) सिक्का उछालकर चुना गया खिलाड़ी</v>
      </c>
      <c r="K36" s="8" t="str">
        <f>IFERROR(__xludf.DUMMYFUNCTION("GOOGLETRANSLATE(E36, ""en"", ""hi"")"),"D) सिक्का उछालकर चुना गया खिलाड़ी")</f>
        <v>D) सिक्का उछालकर चुना गया खिलाड़ी</v>
      </c>
    </row>
    <row r="37" ht="22.5" customHeight="1">
      <c r="A37" s="2">
        <v>36.0</v>
      </c>
      <c r="B37" s="3" t="s">
        <v>3135</v>
      </c>
      <c r="C37" s="3" t="s">
        <v>3144</v>
      </c>
      <c r="D37" s="3" t="s">
        <v>3145</v>
      </c>
      <c r="E37" s="3" t="s">
        <v>3146</v>
      </c>
      <c r="G37" s="8" t="str">
        <f>IFERROR(__xludf.DUMMYFUNCTION("GOOGLETRANSLATE(A37, ""en"", ""hi"")"),"36")</f>
        <v>36</v>
      </c>
      <c r="H37" s="8" t="str">
        <f>IFERROR(__xludf.DUMMYFUNCTION("GOOGLETRANSLATE(B37, ""en"", ""hi"")"),"कैरम_9")</f>
        <v>कैरम_9</v>
      </c>
      <c r="I37" s="8" t="str">
        <f>IFERROR(__xludf.DUMMYFUNCTION("GOOGLETRANSLATE(C37, ""en"", ""hi"")"),"चित्र में दिखाए गए खेल में, स्ट्राइकर को पॉकेट में डालने पर क्या दंड है?")</f>
        <v>चित्र में दिखाए गए खेल में, स्ट्राइकर को पॉकेट में डालने पर क्या दंड है?</v>
      </c>
      <c r="J37" s="8" t="str">
        <f>IFERROR(__xludf.DUMMYFUNCTION("GOOGLETRANSLATE(D37, ""en"", ""hi"")"),"A) बारी का नुकसान, B) एक अंक की कटौती, C) एक मोहरे का केंद्र में वापस आना, D) कोई जुर्माना नहीं")</f>
        <v>A) बारी का नुकसान, B) एक अंक की कटौती, C) एक मोहरे का केंद्र में वापस आना, D) कोई जुर्माना नहीं</v>
      </c>
      <c r="K37" s="8" t="str">
        <f>IFERROR(__xludf.DUMMYFUNCTION("GOOGLETRANSLATE(E37, ""en"", ""hi"")"),"C) एक टुकड़े का केंद्र की ओर वापस आना")</f>
        <v>C) एक टुकड़े का केंद्र की ओर वापस आना</v>
      </c>
    </row>
    <row r="38" ht="22.5" customHeight="1">
      <c r="A38" s="2">
        <v>37.0</v>
      </c>
      <c r="B38" s="3" t="s">
        <v>3147</v>
      </c>
      <c r="C38" s="3" t="s">
        <v>3148</v>
      </c>
      <c r="D38" s="3" t="s">
        <v>345</v>
      </c>
      <c r="E38" s="3" t="s">
        <v>346</v>
      </c>
      <c r="G38" s="8" t="str">
        <f>IFERROR(__xludf.DUMMYFUNCTION("GOOGLETRANSLATE(A38, ""en"", ""hi"")"),"37")</f>
        <v>37</v>
      </c>
      <c r="H38" s="8" t="str">
        <f>IFERROR(__xludf.DUMMYFUNCTION("GOOGLETRANSLATE(B38, ""en"", ""hi"")"),"कैरम_10")</f>
        <v>कैरम_10</v>
      </c>
      <c r="I38" s="8" t="str">
        <f>IFERROR(__xludf.DUMMYFUNCTION("GOOGLETRANSLATE(C38, ""en"", ""hi"")"),"चित्र में दिखाए गए खेल के लिए, प्रत्येक काले या सफेद मोहरे के लिए मानक अंक मूल्य क्या है?")</f>
        <v>चित्र में दिखाए गए खेल के लिए, प्रत्येक काले या सफेद मोहरे के लिए मानक अंक मूल्य क्या है?</v>
      </c>
      <c r="J38" s="8" t="str">
        <f>IFERROR(__xludf.DUMMYFUNCTION("GOOGLETRANSLATE(D38, ""en"", ""hi"")"),"A) 1 अंक, B) 2 अंक, C) 3 अंक, D) 4 अंक")</f>
        <v>A) 1 अंक, B) 2 अंक, C) 3 अंक, D) 4 अंक</v>
      </c>
      <c r="K38" s="8" t="str">
        <f>IFERROR(__xludf.DUMMYFUNCTION("GOOGLETRANSLATE(E38, ""en"", ""hi"")"),"ए) 1 अंक")</f>
        <v>ए) 1 अंक</v>
      </c>
    </row>
    <row r="39" ht="22.5" customHeight="1">
      <c r="A39" s="2">
        <v>38.0</v>
      </c>
      <c r="B39" s="3" t="s">
        <v>3147</v>
      </c>
      <c r="C39" s="3" t="s">
        <v>3149</v>
      </c>
      <c r="D39" s="3" t="s">
        <v>3150</v>
      </c>
      <c r="E39" s="3" t="s">
        <v>3151</v>
      </c>
      <c r="G39" s="8" t="str">
        <f>IFERROR(__xludf.DUMMYFUNCTION("GOOGLETRANSLATE(A39, ""en"", ""hi"")"),"38")</f>
        <v>38</v>
      </c>
      <c r="H39" s="8" t="str">
        <f>IFERROR(__xludf.DUMMYFUNCTION("GOOGLETRANSLATE(B39, ""en"", ""hi"")"),"कैरम_10")</f>
        <v>कैरम_10</v>
      </c>
      <c r="I39" s="8" t="str">
        <f>IFERROR(__xludf.DUMMYFUNCTION("GOOGLETRANSLATE(C39, ""en"", ""hi"")"),"चित्र में दिखाए गए खेल में रानी को किस प्रकार 'ढका' जाता है?")</f>
        <v>चित्र में दिखाए गए खेल में रानी को किस प्रकार 'ढका' जाता है?</v>
      </c>
      <c r="J39" s="8" t="str">
        <f>IFERROR(__xludf.DUMMYFUNCTION("GOOGLETRANSLATE(D39, ""en"", ""hi"")"),"A) रानी के बाद काली गोटी पॉकेट में डालकर, B) रानी के बाद कोई भी गोटी पॉकेट में डालकर, C) रानी के बाद सफेद गोटी पॉकेट में डालकर, D) खेल जीतकर")</f>
        <v>A) रानी के बाद काली गोटी पॉकेट में डालकर, B) रानी के बाद कोई भी गोटी पॉकेट में डालकर, C) रानी के बाद सफेद गोटी पॉकेट में डालकर, D) खेल जीतकर</v>
      </c>
      <c r="K39" s="8" t="str">
        <f>IFERROR(__xludf.DUMMYFUNCTION("GOOGLETRANSLATE(E39, ""en"", ""hi"")"),"B) रानी के बाद किसी भी मोहरे को पॉकेट में डालकर")</f>
        <v>B) रानी के बाद किसी भी मोहरे को पॉकेट में डालकर</v>
      </c>
    </row>
    <row r="40" ht="22.5" customHeight="1">
      <c r="A40" s="2">
        <v>39.0</v>
      </c>
      <c r="B40" s="3" t="s">
        <v>3147</v>
      </c>
      <c r="C40" s="3" t="s">
        <v>3152</v>
      </c>
      <c r="D40" s="3" t="s">
        <v>3153</v>
      </c>
      <c r="E40" s="3" t="s">
        <v>3154</v>
      </c>
      <c r="G40" s="8" t="str">
        <f>IFERROR(__xludf.DUMMYFUNCTION("GOOGLETRANSLATE(A40, ""en"", ""hi"")"),"39")</f>
        <v>39</v>
      </c>
      <c r="H40" s="8" t="str">
        <f>IFERROR(__xludf.DUMMYFUNCTION("GOOGLETRANSLATE(B40, ""en"", ""hi"")"),"कैरम_10")</f>
        <v>कैरम_10</v>
      </c>
      <c r="I40" s="8" t="str">
        <f>IFERROR(__xludf.DUMMYFUNCTION("GOOGLETRANSLATE(C40, ""en"", ""hi"")"),"चित्र में दिखाए गए खेल के लिए कैरम बोर्ड पर विकर्ण रेखाओं की क्या भूमिका है?")</f>
        <v>चित्र में दिखाए गए खेल के लिए कैरम बोर्ड पर विकर्ण रेखाओं की क्या भूमिका है?</v>
      </c>
      <c r="J40" s="8" t="str">
        <f>IFERROR(__xludf.DUMMYFUNCTION("GOOGLETRANSLATE(D40, ""en"", ""hi"")"),"A) खिलाड़ी के क्षेत्र को चिह्नित करना, B) स्ट्राइकर की स्थिति का मार्गदर्शन करना, C) फाउल क्षेत्रों को इंगित करना, D) बोर्ड को चतुर्भुजों में विभाजित करना")</f>
        <v>A) खिलाड़ी के क्षेत्र को चिह्नित करना, B) स्ट्राइकर की स्थिति का मार्गदर्शन करना, C) फाउल क्षेत्रों को इंगित करना, D) बोर्ड को चतुर्भुजों में विभाजित करना</v>
      </c>
      <c r="K40" s="8" t="str">
        <f>IFERROR(__xludf.DUMMYFUNCTION("GOOGLETRANSLATE(E40, ""en"", ""hi"")"),"बी) स्ट्राइकर की स्थिति का मार्गदर्शन करना")</f>
        <v>बी) स्ट्राइकर की स्थिति का मार्गदर्शन करना</v>
      </c>
    </row>
    <row r="41" ht="22.5" customHeight="1">
      <c r="A41" s="2">
        <v>40.0</v>
      </c>
      <c r="B41" s="3" t="s">
        <v>3147</v>
      </c>
      <c r="C41" s="3" t="s">
        <v>3155</v>
      </c>
      <c r="D41" s="3" t="s">
        <v>3156</v>
      </c>
      <c r="E41" s="3" t="s">
        <v>3157</v>
      </c>
      <c r="G41" s="8" t="str">
        <f>IFERROR(__xludf.DUMMYFUNCTION("GOOGLETRANSLATE(A41, ""en"", ""hi"")"),"40")</f>
        <v>40</v>
      </c>
      <c r="H41" s="8" t="str">
        <f>IFERROR(__xludf.DUMMYFUNCTION("GOOGLETRANSLATE(B41, ""en"", ""hi"")"),"कैरम_10")</f>
        <v>कैरम_10</v>
      </c>
      <c r="I41" s="8" t="str">
        <f>IFERROR(__xludf.DUMMYFUNCTION("GOOGLETRANSLATE(C41, ""en"", ""hi"")"),"चित्र में दिखाए गए खेल में कैरम के लिए सर्वोच्च शासी निकाय कौन सा है?")</f>
        <v>चित्र में दिखाए गए खेल में कैरम के लिए सर्वोच्च शासी निकाय कौन सा है?</v>
      </c>
      <c r="J41" s="8" t="str">
        <f>IFERROR(__xludf.DUMMYFUNCTION("GOOGLETRANSLATE(D41, ""en"", ""hi"")"),"A) विश्व कैरम महासंघ, B) अंतर्राष्ट्रीय कैरम परिषद, C) कैरम विश्व समिति, D) वैश्विक कैरम संगठन")</f>
        <v>A) विश्व कैरम महासंघ, B) अंतर्राष्ट्रीय कैरम परिषद, C) कैरम विश्व समिति, D) वैश्विक कैरम संगठन</v>
      </c>
      <c r="K41" s="8" t="str">
        <f>IFERROR(__xludf.DUMMYFUNCTION("GOOGLETRANSLATE(E41, ""en"", ""hi"")"),"A) विश्व कैरम महासंघ")</f>
        <v>A) विश्व कैरम महासंघ</v>
      </c>
    </row>
    <row r="42" ht="22.5" customHeight="1">
      <c r="A42" s="2">
        <v>41.0</v>
      </c>
      <c r="B42" s="3" t="s">
        <v>3158</v>
      </c>
      <c r="C42" s="3" t="s">
        <v>3159</v>
      </c>
      <c r="D42" s="3" t="s">
        <v>3160</v>
      </c>
      <c r="E42" s="3" t="s">
        <v>3161</v>
      </c>
      <c r="G42" s="8" t="str">
        <f>IFERROR(__xludf.DUMMYFUNCTION("GOOGLETRANSLATE(A42, ""en"", ""hi"")"),"41")</f>
        <v>41</v>
      </c>
      <c r="H42" s="8" t="str">
        <f>IFERROR(__xludf.DUMMYFUNCTION("GOOGLETRANSLATE(B42, ""en"", ""hi"")"),"कैरम_11")</f>
        <v>कैरम_11</v>
      </c>
      <c r="I42" s="8" t="str">
        <f>IFERROR(__xludf.DUMMYFUNCTION("GOOGLETRANSLATE(C42, ""en"", ""hi"")"),"चित्र में दिखाए गए खेल में, अन्य मोहरों पर प्रहार करने के लिए उपयोग किए जाने वाले कैरम मोहरे को क्या कहते हैं?")</f>
        <v>चित्र में दिखाए गए खेल में, अन्य मोहरों पर प्रहार करने के लिए उपयोग किए जाने वाले कैरम मोहरे को क्या कहते हैं?</v>
      </c>
      <c r="J42" s="8" t="str">
        <f>IFERROR(__xludf.DUMMYFUNCTION("GOOGLETRANSLATE(D42, ""en"", ""hi"")"),"A) सिक्का, B) स्ट्राइकर, C) क्यू, D) स्टिक")</f>
        <v>A) सिक्का, B) स्ट्राइकर, C) क्यू, D) स्टिक</v>
      </c>
      <c r="K42" s="8" t="str">
        <f>IFERROR(__xludf.DUMMYFUNCTION("GOOGLETRANSLATE(E42, ""en"", ""hi"")"),"बी) स्ट्राइकर")</f>
        <v>बी) स्ट्राइकर</v>
      </c>
    </row>
    <row r="43" ht="22.5" customHeight="1">
      <c r="A43" s="2">
        <v>42.0</v>
      </c>
      <c r="B43" s="3" t="s">
        <v>3158</v>
      </c>
      <c r="C43" s="3" t="s">
        <v>3162</v>
      </c>
      <c r="D43" s="3" t="s">
        <v>3163</v>
      </c>
      <c r="E43" s="3" t="s">
        <v>3164</v>
      </c>
      <c r="G43" s="8" t="str">
        <f>IFERROR(__xludf.DUMMYFUNCTION("GOOGLETRANSLATE(A43, ""en"", ""hi"")"),"42")</f>
        <v>42</v>
      </c>
      <c r="H43" s="8" t="str">
        <f>IFERROR(__xludf.DUMMYFUNCTION("GOOGLETRANSLATE(B43, ""en"", ""hi"")"),"कैरम_11")</f>
        <v>कैरम_11</v>
      </c>
      <c r="I43" s="8" t="str">
        <f>IFERROR(__xludf.DUMMYFUNCTION("GOOGLETRANSLATE(C43, ""en"", ""hi"")"),"चित्र में दिखाए गए खेल में बोर्ड के किस भाग को 'बेस सर्कल' माना जाता है?")</f>
        <v>चित्र में दिखाए गए खेल में बोर्ड के किस भाग को 'बेस सर्कल' माना जाता है?</v>
      </c>
      <c r="J43" s="8" t="str">
        <f>IFERROR(__xludf.DUMMYFUNCTION("GOOGLETRANSLATE(D43, ""en"", ""hi"")"),"A) केंद्रीय वृत्त, B) स्ट्राइकर का प्रारंभिक बिंदु, C) परिधि, D) पॉकेट्स")</f>
        <v>A) केंद्रीय वृत्त, B) स्ट्राइकर का प्रारंभिक बिंदु, C) परिधि, D) पॉकेट्स</v>
      </c>
      <c r="K43" s="8" t="str">
        <f>IFERROR(__xludf.DUMMYFUNCTION("GOOGLETRANSLATE(E43, ""en"", ""hi"")"),"बी) स्ट्राइकर का प्रारंभिक बिंदु")</f>
        <v>बी) स्ट्राइकर का प्रारंभिक बिंदु</v>
      </c>
    </row>
    <row r="44" ht="22.5" customHeight="1">
      <c r="A44" s="2">
        <v>43.0</v>
      </c>
      <c r="B44" s="3" t="s">
        <v>3158</v>
      </c>
      <c r="C44" s="3" t="s">
        <v>3165</v>
      </c>
      <c r="D44" s="3" t="s">
        <v>3166</v>
      </c>
      <c r="E44" s="3" t="s">
        <v>3167</v>
      </c>
      <c r="G44" s="8" t="str">
        <f>IFERROR(__xludf.DUMMYFUNCTION("GOOGLETRANSLATE(A44, ""en"", ""hi"")"),"43")</f>
        <v>43</v>
      </c>
      <c r="H44" s="8" t="str">
        <f>IFERROR(__xludf.DUMMYFUNCTION("GOOGLETRANSLATE(B44, ""en"", ""hi"")"),"कैरम_11")</f>
        <v>कैरम_11</v>
      </c>
      <c r="I44" s="8" t="str">
        <f>IFERROR(__xludf.DUMMYFUNCTION("GOOGLETRANSLATE(C44, ""en"", ""hi"")"),"चित्र में दिखाए गए खेल में, कोई खिलाड़ी बिना पेनल्टी के लगातार कितनी बार अपना शॉट चूक सकता है?")</f>
        <v>चित्र में दिखाए गए खेल में, कोई खिलाड़ी बिना पेनल्टी के लगातार कितनी बार अपना शॉट चूक सकता है?</v>
      </c>
      <c r="J44" s="8" t="str">
        <f>IFERROR(__xludf.DUMMYFUNCTION("GOOGLETRANSLATE(D44, ""en"", ""hi"")"),"A) एक बार, B) दो बार, C) तीन बार, D) कोई सीमा नहीं")</f>
        <v>A) एक बार, B) दो बार, C) तीन बार, D) कोई सीमा नहीं</v>
      </c>
      <c r="K44" s="8" t="str">
        <f>IFERROR(__xludf.DUMMYFUNCTION("GOOGLETRANSLATE(E44, ""en"", ""hi"")"),"बी) दो बार")</f>
        <v>बी) दो बार</v>
      </c>
    </row>
    <row r="45" ht="22.5" customHeight="1">
      <c r="A45" s="2">
        <v>44.0</v>
      </c>
      <c r="B45" s="3" t="s">
        <v>3158</v>
      </c>
      <c r="C45" s="3" t="s">
        <v>3168</v>
      </c>
      <c r="D45" s="3" t="s">
        <v>3131</v>
      </c>
      <c r="E45" s="3" t="s">
        <v>929</v>
      </c>
      <c r="G45" s="8" t="str">
        <f>IFERROR(__xludf.DUMMYFUNCTION("GOOGLETRANSLATE(A45, ""en"", ""hi"")"),"44")</f>
        <v>44</v>
      </c>
      <c r="H45" s="8" t="str">
        <f>IFERROR(__xludf.DUMMYFUNCTION("GOOGLETRANSLATE(B45, ""en"", ""hi"")"),"कैरम_11")</f>
        <v>कैरम_11</v>
      </c>
      <c r="I45" s="8" t="str">
        <f>IFERROR(__xludf.DUMMYFUNCTION("GOOGLETRANSLATE(C45, ""en"", ""hi"")"),"चित्र में दिखाए गए खेल में, खेल की शुरुआत में कैरम बोर्ड पर कितने काले मोहरे रखे जाते हैं?")</f>
        <v>चित्र में दिखाए गए खेल में, खेल की शुरुआत में कैरम बोर्ड पर कितने काले मोहरे रखे जाते हैं?</v>
      </c>
      <c r="J45" s="8" t="str">
        <f>IFERROR(__xludf.DUMMYFUNCTION("GOOGLETRANSLATE(D45, ""en"", ""hi"")"),"ए) 5, बी) 6, सी) 7, डी) 9")</f>
        <v>ए) 5, बी) 6, सी) 7, डी) 9</v>
      </c>
      <c r="K45" s="8" t="str">
        <f>IFERROR(__xludf.DUMMYFUNCTION("GOOGLETRANSLATE(E45, ""en"", ""hi"")"),"डी) 9")</f>
        <v>डी) 9</v>
      </c>
    </row>
    <row r="46" ht="22.5" customHeight="1">
      <c r="A46" s="2">
        <v>45.0</v>
      </c>
      <c r="B46" s="3" t="s">
        <v>3169</v>
      </c>
      <c r="C46" s="3" t="s">
        <v>3170</v>
      </c>
      <c r="D46" s="3" t="s">
        <v>3171</v>
      </c>
      <c r="E46" s="3" t="s">
        <v>3172</v>
      </c>
      <c r="G46" s="8" t="str">
        <f>IFERROR(__xludf.DUMMYFUNCTION("GOOGLETRANSLATE(A46, ""en"", ""hi"")"),"45")</f>
        <v>45</v>
      </c>
      <c r="H46" s="8" t="str">
        <f>IFERROR(__xludf.DUMMYFUNCTION("GOOGLETRANSLATE(B46, ""en"", ""hi"")"),"कैरम_12")</f>
        <v>कैरम_12</v>
      </c>
      <c r="I46" s="8" t="str">
        <f>IFERROR(__xludf.DUMMYFUNCTION("GOOGLETRANSLATE(C46, ""en"", ""hi"")"),"चित्र में दिखाए गए खेल में, यदि कोई खिलाड़ी रानी को पॉकेट में डालने से पहले प्रतिद्वंद्वी के रंग का अंतिम टुकड़ा पॉकेट में डाल दे तो क्या होगा?")</f>
        <v>चित्र में दिखाए गए खेल में, यदि कोई खिलाड़ी रानी को पॉकेट में डालने से पहले प्रतिद्वंद्वी के रंग का अंतिम टुकड़ा पॉकेट में डाल दे तो क्या होगा?</v>
      </c>
      <c r="J46" s="8" t="str">
        <f>IFERROR(__xludf.DUMMYFUNCTION("GOOGLETRANSLATE(D46, ""en"", ""hi"")"),"A) प्रतिद्वंद्वी जीतता है, B) खिलाड़ी खेल हार जाता है, C) खिलाड़ी रानी को खो देता है, D) खिलाड़ी को रानी को वापस रखना पड़ता है")</f>
        <v>A) प्रतिद्वंद्वी जीतता है, B) खिलाड़ी खेल हार जाता है, C) खिलाड़ी रानी को खो देता है, D) खिलाड़ी को रानी को वापस रखना पड़ता है</v>
      </c>
      <c r="K46" s="8" t="str">
        <f>IFERROR(__xludf.DUMMYFUNCTION("GOOGLETRANSLATE(E46, ""en"", ""hi"")"),"C) खिलाड़ी रानी को त्याग देता है")</f>
        <v>C) खिलाड़ी रानी को त्याग देता है</v>
      </c>
    </row>
    <row r="47" ht="22.5" customHeight="1">
      <c r="A47" s="2">
        <v>46.0</v>
      </c>
      <c r="B47" s="3" t="s">
        <v>3169</v>
      </c>
      <c r="C47" s="3" t="s">
        <v>3173</v>
      </c>
      <c r="D47" s="3" t="s">
        <v>51</v>
      </c>
      <c r="E47" s="3" t="s">
        <v>52</v>
      </c>
      <c r="G47" s="8" t="str">
        <f>IFERROR(__xludf.DUMMYFUNCTION("GOOGLETRANSLATE(A47, ""en"", ""hi"")"),"46")</f>
        <v>46</v>
      </c>
      <c r="H47" s="8" t="str">
        <f>IFERROR(__xludf.DUMMYFUNCTION("GOOGLETRANSLATE(B47, ""en"", ""hi"")"),"कैरम_12")</f>
        <v>कैरम_12</v>
      </c>
      <c r="I47" s="8" t="str">
        <f>IFERROR(__xludf.DUMMYFUNCTION("GOOGLETRANSLATE(C47, ""en"", ""hi"")"),"चित्र में दिखाए गए खेल में, एकल मैच में कितने खिलाड़ी भाग ले सकते हैं?")</f>
        <v>चित्र में दिखाए गए खेल में, एकल मैच में कितने खिलाड़ी भाग ले सकते हैं?</v>
      </c>
      <c r="J47" s="8" t="str">
        <f>IFERROR(__xludf.DUMMYFUNCTION("GOOGLETRANSLATE(D47, ""en"", ""hi"")"),"ए) 1, बी) 2, सी) 3, डी) 4")</f>
        <v>ए) 1, बी) 2, सी) 3, डी) 4</v>
      </c>
      <c r="K47" s="8" t="str">
        <f>IFERROR(__xludf.DUMMYFUNCTION("GOOGLETRANSLATE(E47, ""en"", ""hi"")"),"बी) 2")</f>
        <v>बी) 2</v>
      </c>
    </row>
    <row r="48" ht="22.5" customHeight="1">
      <c r="A48" s="2">
        <v>47.0</v>
      </c>
      <c r="B48" s="3" t="s">
        <v>3169</v>
      </c>
      <c r="C48" s="3" t="s">
        <v>3174</v>
      </c>
      <c r="D48" s="3" t="s">
        <v>3175</v>
      </c>
      <c r="E48" s="3" t="s">
        <v>3176</v>
      </c>
      <c r="G48" s="8" t="str">
        <f>IFERROR(__xludf.DUMMYFUNCTION("GOOGLETRANSLATE(A48, ""en"", ""hi"")"),"47")</f>
        <v>47</v>
      </c>
      <c r="H48" s="8" t="str">
        <f>IFERROR(__xludf.DUMMYFUNCTION("GOOGLETRANSLATE(B48, ""en"", ""hi"")"),"कैरम_12")</f>
        <v>कैरम_12</v>
      </c>
      <c r="I48" s="8" t="str">
        <f>IFERROR(__xludf.DUMMYFUNCTION("GOOGLETRANSLATE(C48, ""en"", ""hi"")"),"चित्र में दिखाए गए खेल के लिए 'बेस सर्कल' नियम तोड़ने का क्या परिणाम होगा?")</f>
        <v>चित्र में दिखाए गए खेल के लिए 'बेस सर्कल' नियम तोड़ने का क्या परिणाम होगा?</v>
      </c>
      <c r="J48" s="8" t="str">
        <f>IFERROR(__xludf.DUMMYFUNCTION("GOOGLETRANSLATE(D48, ""en"", ""hi"")"),"A) टर्न का नुकसान, B) 2 अंकों की कटौती, C) स्ट्राइकर की वापसी, D) फाउल")</f>
        <v>A) टर्न का नुकसान, B) 2 अंकों की कटौती, C) स्ट्राइकर की वापसी, D) फाउल</v>
      </c>
      <c r="K48" s="8" t="str">
        <f>IFERROR(__xludf.DUMMYFUNCTION("GOOGLETRANSLATE(E48, ""en"", ""hi"")"),"डी) बेईमानी")</f>
        <v>डी) बेईमानी</v>
      </c>
    </row>
    <row r="49" ht="22.5" customHeight="1">
      <c r="A49" s="2">
        <v>48.0</v>
      </c>
      <c r="B49" s="3" t="s">
        <v>3169</v>
      </c>
      <c r="C49" s="3" t="s">
        <v>3177</v>
      </c>
      <c r="D49" s="3" t="s">
        <v>3178</v>
      </c>
      <c r="E49" s="3" t="s">
        <v>3179</v>
      </c>
      <c r="G49" s="8" t="str">
        <f>IFERROR(__xludf.DUMMYFUNCTION("GOOGLETRANSLATE(A49, ""en"", ""hi"")"),"48")</f>
        <v>48</v>
      </c>
      <c r="H49" s="8" t="str">
        <f>IFERROR(__xludf.DUMMYFUNCTION("GOOGLETRANSLATE(B49, ""en"", ""hi"")"),"कैरम_12")</f>
        <v>कैरम_12</v>
      </c>
      <c r="I49" s="8" t="str">
        <f>IFERROR(__xludf.DUMMYFUNCTION("GOOGLETRANSLATE(C49, ""en"", ""hi"")"),"चित्र में दिखाए गए खेल में कैरम बोर्ड बनाने के लिए अक्सर किस सामग्री का उपयोग किया जाता है?")</f>
        <v>चित्र में दिखाए गए खेल में कैरम बोर्ड बनाने के लिए अक्सर किस सामग्री का उपयोग किया जाता है?</v>
      </c>
      <c r="J49" s="8" t="str">
        <f>IFERROR(__xludf.DUMMYFUNCTION("GOOGLETRANSLATE(D49, ""en"", ""hi"")"),"A) धातु, B) प्लास्टिक, C) लकड़ी, D) कांच")</f>
        <v>A) धातु, B) प्लास्टिक, C) लकड़ी, D) कांच</v>
      </c>
      <c r="K49" s="8" t="str">
        <f>IFERROR(__xludf.DUMMYFUNCTION("GOOGLETRANSLATE(E49, ""en"", ""hi"")"),"C) लकड़ी")</f>
        <v>C) लकड़ी</v>
      </c>
    </row>
    <row r="50" ht="22.5" customHeight="1">
      <c r="A50" s="2">
        <v>49.0</v>
      </c>
      <c r="B50" s="3" t="s">
        <v>3180</v>
      </c>
      <c r="C50" s="3" t="s">
        <v>3181</v>
      </c>
      <c r="D50" s="3" t="s">
        <v>3182</v>
      </c>
      <c r="E50" s="3" t="s">
        <v>3183</v>
      </c>
      <c r="G50" s="8" t="str">
        <f>IFERROR(__xludf.DUMMYFUNCTION("GOOGLETRANSLATE(A50, ""en"", ""hi"")"),"49")</f>
        <v>49</v>
      </c>
      <c r="H50" s="8" t="str">
        <f>IFERROR(__xludf.DUMMYFUNCTION("GOOGLETRANSLATE(B50, ""en"", ""hi"")"),"कैरम_13")</f>
        <v>कैरम_13</v>
      </c>
      <c r="I50" s="8" t="str">
        <f>IFERROR(__xludf.DUMMYFUNCTION("GOOGLETRANSLATE(C50, ""en"", ""hi"")"),"चित्र में दिखाए गए खेल के लिए, कैरम खेल में कौन सा शॉट पहले खेला जाना चाहिए?")</f>
        <v>चित्र में दिखाए गए खेल के लिए, कैरम खेल में कौन सा शॉट पहले खेला जाना चाहिए?</v>
      </c>
      <c r="J50" s="8" t="str">
        <f>IFERROR(__xludf.DUMMYFUNCTION("GOOGLETRANSLATE(D50, ""en"", ""hi"")"),"A) सेंटर ब्रेक, B) साइड ब्रेक, C) बेस ब्रेक, D) डायगोनल शॉट")</f>
        <v>A) सेंटर ब्रेक, B) साइड ब्रेक, C) बेस ब्रेक, D) डायगोनल शॉट</v>
      </c>
      <c r="K50" s="8" t="str">
        <f>IFERROR(__xludf.DUMMYFUNCTION("GOOGLETRANSLATE(E50, ""en"", ""hi"")"),"A) केंद्र विराम")</f>
        <v>A) केंद्र विराम</v>
      </c>
    </row>
    <row r="51" ht="22.5" customHeight="1">
      <c r="A51" s="2">
        <v>50.0</v>
      </c>
      <c r="B51" s="3" t="s">
        <v>3180</v>
      </c>
      <c r="C51" s="3" t="s">
        <v>3184</v>
      </c>
      <c r="D51" s="3" t="s">
        <v>3185</v>
      </c>
      <c r="E51" s="3" t="s">
        <v>3186</v>
      </c>
      <c r="G51" s="8" t="str">
        <f>IFERROR(__xludf.DUMMYFUNCTION("GOOGLETRANSLATE(A51, ""en"", ""hi"")"),"50")</f>
        <v>50</v>
      </c>
      <c r="H51" s="8" t="str">
        <f>IFERROR(__xludf.DUMMYFUNCTION("GOOGLETRANSLATE(B51, ""en"", ""hi"")"),"कैरम_13")</f>
        <v>कैरम_13</v>
      </c>
      <c r="I51" s="8" t="str">
        <f>IFERROR(__xludf.DUMMYFUNCTION("GOOGLETRANSLATE(C51, ""en"", ""hi"")"),"चित्र में दिखाए गए खेल में, उस तकनीक का नाम क्या है जिसमें स्ट्राइकर बोर्ड के किनारों से उछलता है?")</f>
        <v>चित्र में दिखाए गए खेल में, उस तकनीक का नाम क्या है जिसमें स्ट्राइकर बोर्ड के किनारों से उछलता है?</v>
      </c>
      <c r="J51" s="8" t="str">
        <f>IFERROR(__xludf.DUMMYFUNCTION("GOOGLETRANSLATE(D51, ""en"", ""hi"")"),"A) बैंक शॉट, B) रिवर्स शॉट, C) कैरम रिबाउंड, D) कुशन शॉट")</f>
        <v>A) बैंक शॉट, B) रिवर्स शॉट, C) कैरम रिबाउंड, D) कुशन शॉट</v>
      </c>
      <c r="K51" s="8" t="str">
        <f>IFERROR(__xludf.DUMMYFUNCTION("GOOGLETRANSLATE(E51, ""en"", ""hi"")"),"D) कुशन शॉट")</f>
        <v>D) कुशन शॉट</v>
      </c>
    </row>
    <row r="52" ht="22.5" customHeight="1">
      <c r="A52" s="2">
        <v>51.0</v>
      </c>
      <c r="B52" s="3" t="s">
        <v>3180</v>
      </c>
      <c r="C52" s="3" t="s">
        <v>3187</v>
      </c>
      <c r="D52" s="3" t="s">
        <v>3188</v>
      </c>
      <c r="E52" s="3" t="s">
        <v>3189</v>
      </c>
      <c r="G52" s="8" t="str">
        <f>IFERROR(__xludf.DUMMYFUNCTION("GOOGLETRANSLATE(A52, ""en"", ""hi"")"),"51")</f>
        <v>51</v>
      </c>
      <c r="H52" s="8" t="str">
        <f>IFERROR(__xludf.DUMMYFUNCTION("GOOGLETRANSLATE(B52, ""en"", ""hi"")"),"कैरम_13")</f>
        <v>कैरम_13</v>
      </c>
      <c r="I52" s="8" t="str">
        <f>IFERROR(__xludf.DUMMYFUNCTION("GOOGLETRANSLATE(C52, ""en"", ""hi"")"),"चित्र में दिखाए गए खेल में, यदि कोई खिलाड़ी रानी को पॉकेट में डाल देता है, लेकिन उसे कवर करने में असफल रहता है, तो क्या होगा?")</f>
        <v>चित्र में दिखाए गए खेल में, यदि कोई खिलाड़ी रानी को पॉकेट में डाल देता है, लेकिन उसे कवर करने में असफल रहता है, तो क्या होगा?</v>
      </c>
      <c r="J52" s="8" t="str">
        <f>IFERROR(__xludf.DUMMYFUNCTION("GOOGLETRANSLATE(D52, ""en"", ""hi"")"),"A) खिलाड़ी जीत जाता है, B) रानी केंद्र में वापस आ जाती है, C) खिलाड़ी खेल छोड़ देता है, D) कोई पेनल्टी नहीं होती")</f>
        <v>A) खिलाड़ी जीत जाता है, B) रानी केंद्र में वापस आ जाती है, C) खिलाड़ी खेल छोड़ देता है, D) कोई पेनल्टी नहीं होती</v>
      </c>
      <c r="K52" s="8" t="str">
        <f>IFERROR(__xludf.DUMMYFUNCTION("GOOGLETRANSLATE(E52, ""en"", ""hi"")"),"B) रानी को केंद्र में वापस लाया जाता है")</f>
        <v>B) रानी को केंद्र में वापस लाया जाता है</v>
      </c>
    </row>
    <row r="53" ht="22.5" customHeight="1">
      <c r="A53" s="2">
        <v>52.0</v>
      </c>
      <c r="B53" s="3" t="s">
        <v>3180</v>
      </c>
      <c r="C53" s="3" t="s">
        <v>3190</v>
      </c>
      <c r="D53" s="3" t="s">
        <v>3191</v>
      </c>
      <c r="E53" s="3" t="s">
        <v>3192</v>
      </c>
      <c r="G53" s="8" t="str">
        <f>IFERROR(__xludf.DUMMYFUNCTION("GOOGLETRANSLATE(A53, ""en"", ""hi"")"),"52")</f>
        <v>52</v>
      </c>
      <c r="H53" s="8" t="str">
        <f>IFERROR(__xludf.DUMMYFUNCTION("GOOGLETRANSLATE(B53, ""en"", ""hi"")"),"कैरम_13")</f>
        <v>कैरम_13</v>
      </c>
      <c r="I53" s="8" t="str">
        <f>IFERROR(__xludf.DUMMYFUNCTION("GOOGLETRANSLATE(C53, ""en"", ""hi"")"),"चित्र में दिखाए गए खेल में, एक ही शॉट में रानी और स्ट्राइकर दोनों को पॉकेट में डालने के लिए क्या शब्द का प्रयोग किया जाता है?")</f>
        <v>चित्र में दिखाए गए खेल में, एक ही शॉट में रानी और स्ट्राइकर दोनों को पॉकेट में डालने के लिए क्या शब्द का प्रयोग किया जाता है?</v>
      </c>
      <c r="J53" s="8" t="str">
        <f>IFERROR(__xludf.DUMMYFUNCTION("GOOGLETRANSLATE(D53, ""en"", ""hi"")"),"A) डबल फाउल, B) क्वीन कवर, C) क्वीन का क्राउन, D) क्वीन का नुकसान")</f>
        <v>A) डबल फाउल, B) क्वीन कवर, C) क्वीन का क्राउन, D) क्वीन का नुकसान</v>
      </c>
      <c r="K53" s="8" t="str">
        <f>IFERROR(__xludf.DUMMYFUNCTION("GOOGLETRANSLATE(E53, ""en"", ""hi"")"),"A) डबल फाउल")</f>
        <v>A) डबल फाउल</v>
      </c>
    </row>
    <row r="54" ht="22.5" customHeight="1">
      <c r="A54" s="2">
        <v>53.0</v>
      </c>
      <c r="B54" s="3" t="s">
        <v>3193</v>
      </c>
      <c r="C54" s="3" t="s">
        <v>3194</v>
      </c>
      <c r="D54" s="3" t="s">
        <v>3195</v>
      </c>
      <c r="E54" s="3" t="s">
        <v>3196</v>
      </c>
      <c r="G54" s="8" t="str">
        <f>IFERROR(__xludf.DUMMYFUNCTION("GOOGLETRANSLATE(A54, ""en"", ""hi"")"),"53")</f>
        <v>53</v>
      </c>
      <c r="H54" s="8" t="str">
        <f>IFERROR(__xludf.DUMMYFUNCTION("GOOGLETRANSLATE(B54, ""en"", ""hi"")"),"कैरम_14")</f>
        <v>कैरम_14</v>
      </c>
      <c r="I54" s="8" t="str">
        <f>IFERROR(__xludf.DUMMYFUNCTION("GOOGLETRANSLATE(C54, ""en"", ""hi"")"),"चित्र में दिखाए गए खेल में, रानी को जीतने से पहले कितने सिक्के जेब में डालने होंगे?")</f>
        <v>चित्र में दिखाए गए खेल में, रानी को जीतने से पहले कितने सिक्के जेब में डालने होंगे?</v>
      </c>
      <c r="J54" s="8" t="str">
        <f>IFERROR(__xludf.DUMMYFUNCTION("GOOGLETRANSLATE(D54, ""en"", ""hi"")"),"ए) 0, बी) 1, सी) 2, डी) 3")</f>
        <v>ए) 0, बी) 1, सी) 2, डी) 3</v>
      </c>
      <c r="K54" s="8" t="str">
        <f>IFERROR(__xludf.DUMMYFUNCTION("GOOGLETRANSLATE(E54, ""en"", ""hi"")"),"ए) 0")</f>
        <v>ए) 0</v>
      </c>
    </row>
    <row r="55" ht="22.5" customHeight="1">
      <c r="A55" s="2">
        <v>54.0</v>
      </c>
      <c r="B55" s="3" t="s">
        <v>3193</v>
      </c>
      <c r="C55" s="3" t="s">
        <v>3197</v>
      </c>
      <c r="D55" s="3" t="s">
        <v>3198</v>
      </c>
      <c r="E55" s="3" t="s">
        <v>3199</v>
      </c>
      <c r="G55" s="8" t="str">
        <f>IFERROR(__xludf.DUMMYFUNCTION("GOOGLETRANSLATE(A55, ""en"", ""hi"")"),"54")</f>
        <v>54</v>
      </c>
      <c r="H55" s="8" t="str">
        <f>IFERROR(__xludf.DUMMYFUNCTION("GOOGLETRANSLATE(B55, ""en"", ""hi"")"),"कैरम_14")</f>
        <v>कैरम_14</v>
      </c>
      <c r="I55" s="8" t="str">
        <f>IFERROR(__xludf.DUMMYFUNCTION("GOOGLETRANSLATE(C55, ""en"", ""hi"")"),"चित्र में दिखाए गए खेल में, लगातार दो बार स्ट्राइकर को पॉकेट में डालने के लिए क्या शब्द प्रयुक्त होता है?")</f>
        <v>चित्र में दिखाए गए खेल में, लगातार दो बार स्ट्राइकर को पॉकेट में डालने के लिए क्या शब्द प्रयुक्त होता है?</v>
      </c>
      <c r="J55" s="8" t="str">
        <f>IFERROR(__xludf.DUMMYFUNCTION("GOOGLETRANSLATE(D55, ""en"", ""hi"")"),"A) फाउल, B) डबल फाल्ट, C) स्ट्राइकर फाउल, D) डबल पॉकेट")</f>
        <v>A) फाउल, B) डबल फाल्ट, C) स्ट्राइकर फाउल, D) डबल पॉकेट</v>
      </c>
      <c r="K55" s="8" t="str">
        <f>IFERROR(__xludf.DUMMYFUNCTION("GOOGLETRANSLATE(E55, ""en"", ""hi"")"),"C) स्ट्राइकर फाउल")</f>
        <v>C) स्ट्राइकर फाउल</v>
      </c>
    </row>
    <row r="56" ht="22.5" customHeight="1">
      <c r="A56" s="2">
        <v>55.0</v>
      </c>
      <c r="B56" s="3" t="s">
        <v>3193</v>
      </c>
      <c r="C56" s="3" t="s">
        <v>3200</v>
      </c>
      <c r="D56" s="3" t="s">
        <v>3061</v>
      </c>
      <c r="E56" s="3" t="s">
        <v>3062</v>
      </c>
      <c r="G56" s="8" t="str">
        <f>IFERROR(__xludf.DUMMYFUNCTION("GOOGLETRANSLATE(A56, ""en"", ""hi"")"),"55")</f>
        <v>55</v>
      </c>
      <c r="H56" s="8" t="str">
        <f>IFERROR(__xludf.DUMMYFUNCTION("GOOGLETRANSLATE(B56, ""en"", ""hi"")"),"कैरम_14")</f>
        <v>कैरम_14</v>
      </c>
      <c r="I56" s="8" t="str">
        <f>IFERROR(__xludf.DUMMYFUNCTION("GOOGLETRANSLATE(C56, ""en"", ""hi"")"),"चित्र में दिखाए गए खेल के लिए, किस कैरम मोहरे का अंक मूल्य सबसे अधिक है?")</f>
        <v>चित्र में दिखाए गए खेल के लिए, किस कैरम मोहरे का अंक मूल्य सबसे अधिक है?</v>
      </c>
      <c r="J56" s="8" t="str">
        <f>IFERROR(__xludf.DUMMYFUNCTION("GOOGLETRANSLATE(D56, ""en"", ""hi"")"),"A) काला मोहरा, B) सफेद मोहरा, C) स्ट्राइकर, D) रानी")</f>
        <v>A) काला मोहरा, B) सफेद मोहरा, C) स्ट्राइकर, D) रानी</v>
      </c>
      <c r="K56" s="8" t="str">
        <f>IFERROR(__xludf.DUMMYFUNCTION("GOOGLETRANSLATE(E56, ""en"", ""hi"")"),"D) रानी")</f>
        <v>D) रानी</v>
      </c>
    </row>
    <row r="57" ht="22.5" customHeight="1">
      <c r="A57" s="2">
        <v>56.0</v>
      </c>
      <c r="B57" s="3" t="s">
        <v>3193</v>
      </c>
      <c r="C57" s="3" t="s">
        <v>3201</v>
      </c>
      <c r="D57" s="3" t="s">
        <v>3202</v>
      </c>
      <c r="E57" s="3" t="s">
        <v>3203</v>
      </c>
      <c r="G57" s="8" t="str">
        <f>IFERROR(__xludf.DUMMYFUNCTION("GOOGLETRANSLATE(A57, ""en"", ""hi"")"),"56")</f>
        <v>56</v>
      </c>
      <c r="H57" s="8" t="str">
        <f>IFERROR(__xludf.DUMMYFUNCTION("GOOGLETRANSLATE(B57, ""en"", ""hi"")"),"कैरम_14")</f>
        <v>कैरम_14</v>
      </c>
      <c r="I57" s="8" t="str">
        <f>IFERROR(__xludf.DUMMYFUNCTION("GOOGLETRANSLATE(C57, ""en"", ""hi"")"),"चित्र में दिखाए गए खेल में, यदि शॉट के दौरान स्ट्राइकर सीमा रेखा को छू लेता है तो क्या होता है?")</f>
        <v>चित्र में दिखाए गए खेल में, यदि शॉट के दौरान स्ट्राइकर सीमा रेखा को छू लेता है तो क्या होता है?</v>
      </c>
      <c r="J57" s="8" t="str">
        <f>IFERROR(__xludf.DUMMYFUNCTION("GOOGLETRANSLATE(D57, ""en"", ""hi"")"),"A) खिलाड़ी एक अंक खो देता है, B) शॉट को फ़ाउल माना जाता है, C) खिलाड़ी जीत जाता है, D) खिलाड़ी को एक अतिरिक्त बारी मिलती है")</f>
        <v>A) खिलाड़ी एक अंक खो देता है, B) शॉट को फ़ाउल माना जाता है, C) खिलाड़ी जीत जाता है, D) खिलाड़ी को एक अतिरिक्त बारी मिलती है</v>
      </c>
      <c r="K57" s="8" t="str">
        <f>IFERROR(__xludf.DUMMYFUNCTION("GOOGLETRANSLATE(E57, ""en"", ""hi"")"),"B) शॉट को फ़ाउल माना जाता है")</f>
        <v>B) शॉट को फ़ाउल माना जाता है</v>
      </c>
    </row>
    <row r="58" ht="22.5" customHeight="1">
      <c r="A58" s="2">
        <v>57.0</v>
      </c>
      <c r="B58" s="3" t="s">
        <v>3204</v>
      </c>
      <c r="C58" s="3" t="s">
        <v>3205</v>
      </c>
      <c r="D58" s="3" t="s">
        <v>3206</v>
      </c>
      <c r="E58" s="3" t="s">
        <v>3207</v>
      </c>
      <c r="G58" s="8" t="str">
        <f>IFERROR(__xludf.DUMMYFUNCTION("GOOGLETRANSLATE(A58, ""en"", ""hi"")"),"57")</f>
        <v>57</v>
      </c>
      <c r="H58" s="8" t="str">
        <f>IFERROR(__xludf.DUMMYFUNCTION("GOOGLETRANSLATE(B58, ""en"", ""hi"")"),"कैरम_15")</f>
        <v>कैरम_15</v>
      </c>
      <c r="I58" s="8" t="str">
        <f>IFERROR(__xludf.DUMMYFUNCTION("GOOGLETRANSLATE(C58, ""en"", ""hi"")"),"चित्र में दिखाए गए खेल के लिए, कैरम मैच जीतने की प्राथमिक रणनीति क्या है?")</f>
        <v>चित्र में दिखाए गए खेल के लिए, कैरम मैच जीतने की प्राथमिक रणनीति क्या है?</v>
      </c>
      <c r="J58" s="8" t="str">
        <f>IFERROR(__xludf.DUMMYFUNCTION("GOOGLETRANSLATE(D58, ""en"", ""hi"")"),"A) प्रतिद्वंद्वी के मोहरों को रोकना, B) अपने सभी मोहरों को पहले पॉकेट में डालना, C) स्ट्राइकर को खेल में बनाए रखना, D) फ़ाउल से बचना")</f>
        <v>A) प्रतिद्वंद्वी के मोहरों को रोकना, B) अपने सभी मोहरों को पहले पॉकेट में डालना, C) स्ट्राइकर को खेल में बनाए रखना, D) फ़ाउल से बचना</v>
      </c>
      <c r="K58" s="8" t="str">
        <f>IFERROR(__xludf.DUMMYFUNCTION("GOOGLETRANSLATE(E58, ""en"", ""hi"")"),"बी) पहले अपने सभी टुकड़े जेब में डालना")</f>
        <v>बी) पहले अपने सभी टुकड़े जेब में डालना</v>
      </c>
    </row>
    <row r="59" ht="22.5" customHeight="1">
      <c r="A59" s="2">
        <v>58.0</v>
      </c>
      <c r="B59" s="3" t="s">
        <v>3204</v>
      </c>
      <c r="C59" s="3" t="s">
        <v>3208</v>
      </c>
      <c r="D59" s="3" t="s">
        <v>3209</v>
      </c>
      <c r="E59" s="3" t="s">
        <v>1281</v>
      </c>
      <c r="G59" s="8" t="str">
        <f>IFERROR(__xludf.DUMMYFUNCTION("GOOGLETRANSLATE(A59, ""en"", ""hi"")"),"58")</f>
        <v>58</v>
      </c>
      <c r="H59" s="8" t="str">
        <f>IFERROR(__xludf.DUMMYFUNCTION("GOOGLETRANSLATE(B59, ""en"", ""hi"")"),"कैरम_15")</f>
        <v>कैरम_15</v>
      </c>
      <c r="I59" s="8" t="str">
        <f>IFERROR(__xludf.DUMMYFUNCTION("GOOGLETRANSLATE(C59, ""en"", ""hi"")"),"चित्र में दिखाए गए खेल में, कितने फाउल अंकों के परिणामस्वरूप खेल में हार होती है?")</f>
        <v>चित्र में दिखाए गए खेल में, कितने फाउल अंकों के परिणामस्वरूप खेल में हार होती है?</v>
      </c>
      <c r="J59" s="8" t="str">
        <f>IFERROR(__xludf.DUMMYFUNCTION("GOOGLETRANSLATE(D59, ""en"", ""hi"")"),"ए) 3, बी) 5, सी) 7, डी) 10")</f>
        <v>ए) 3, बी) 5, सी) 7, डी) 10</v>
      </c>
      <c r="K59" s="8" t="str">
        <f>IFERROR(__xludf.DUMMYFUNCTION("GOOGLETRANSLATE(E59, ""en"", ""hi"")"),"सी) 7")</f>
        <v>सी) 7</v>
      </c>
    </row>
    <row r="60" ht="22.5" customHeight="1">
      <c r="A60" s="2">
        <v>59.0</v>
      </c>
      <c r="B60" s="3" t="s">
        <v>3204</v>
      </c>
      <c r="C60" s="3" t="s">
        <v>3210</v>
      </c>
      <c r="D60" s="3" t="s">
        <v>3211</v>
      </c>
      <c r="E60" s="3" t="s">
        <v>3161</v>
      </c>
      <c r="G60" s="8" t="str">
        <f>IFERROR(__xludf.DUMMYFUNCTION("GOOGLETRANSLATE(A60, ""en"", ""hi"")"),"59")</f>
        <v>59</v>
      </c>
      <c r="H60" s="8" t="str">
        <f>IFERROR(__xludf.DUMMYFUNCTION("GOOGLETRANSLATE(B60, ""en"", ""hi"")"),"कैरम_15")</f>
        <v>कैरम_15</v>
      </c>
      <c r="I60" s="8" t="str">
        <f>IFERROR(__xludf.DUMMYFUNCTION("GOOGLETRANSLATE(C60, ""en"", ""hi"")"),"चित्र में दिखाए गए खेल में, पारंपरिक रूप से किस मोहरे का उपयोग अन्य मोहरों पर प्रहार करने के लिए किया जाता है?")</f>
        <v>चित्र में दिखाए गए खेल में, पारंपरिक रूप से किस मोहरे का उपयोग अन्य मोहरों पर प्रहार करने के लिए किया जाता है?</v>
      </c>
      <c r="J60" s="8" t="str">
        <f>IFERROR(__xludf.DUMMYFUNCTION("GOOGLETRANSLATE(D60, ""en"", ""hi"")"),"A) क्यू, B) स्ट्राइकर, C) बॉल, D) मार्कर")</f>
        <v>A) क्यू, B) स्ट्राइकर, C) बॉल, D) मार्कर</v>
      </c>
      <c r="K60" s="8" t="str">
        <f>IFERROR(__xludf.DUMMYFUNCTION("GOOGLETRANSLATE(E60, ""en"", ""hi"")"),"बी) स्ट्राइकर")</f>
        <v>बी) स्ट्राइकर</v>
      </c>
    </row>
    <row r="61" ht="22.5" customHeight="1">
      <c r="A61" s="2">
        <v>60.0</v>
      </c>
      <c r="B61" s="3" t="s">
        <v>3204</v>
      </c>
      <c r="C61" s="3" t="s">
        <v>3212</v>
      </c>
      <c r="D61" s="3" t="s">
        <v>3213</v>
      </c>
      <c r="E61" s="3" t="s">
        <v>3214</v>
      </c>
      <c r="G61" s="8" t="str">
        <f>IFERROR(__xludf.DUMMYFUNCTION("GOOGLETRANSLATE(A61, ""en"", ""hi"")"),"60")</f>
        <v>60</v>
      </c>
      <c r="H61" s="8" t="str">
        <f>IFERROR(__xludf.DUMMYFUNCTION("GOOGLETRANSLATE(B61, ""en"", ""hi"")"),"कैरम_15")</f>
        <v>कैरम_15</v>
      </c>
      <c r="I61" s="8" t="str">
        <f>IFERROR(__xludf.DUMMYFUNCTION("GOOGLETRANSLATE(C61, ""en"", ""hi"")"),"चित्र में दिखाए गए खेल में, रानी को पॉकेट में डालने का प्राथमिक उद्देश्य क्या है?")</f>
        <v>चित्र में दिखाए गए खेल में, रानी को पॉकेट में डालने का प्राथमिक उद्देश्य क्या है?</v>
      </c>
      <c r="J61" s="8" t="str">
        <f>IFERROR(__xludf.DUMMYFUNCTION("GOOGLETRANSLATE(D61, ""en"", ""hi"")"),"A) तुरन्त जीतना, B) अतिरिक्त अंक अर्जित करना, C) खेल समाप्त करना, D) रणनीतिक लाभ प्राप्त करना")</f>
        <v>A) तुरन्त जीतना, B) अतिरिक्त अंक अर्जित करना, C) खेल समाप्त करना, D) रणनीतिक लाभ प्राप्त करना</v>
      </c>
      <c r="K61" s="8" t="str">
        <f>IFERROR(__xludf.DUMMYFUNCTION("GOOGLETRANSLATE(E61, ""en"", ""hi"")"),"D) रणनीतिक लाभ हासिल करने के लिए")</f>
        <v>D) रणनीतिक लाभ हासिल करने के लिए</v>
      </c>
    </row>
    <row r="62" ht="22.5" customHeight="1">
      <c r="A62" s="2">
        <v>61.0</v>
      </c>
      <c r="B62" s="3" t="s">
        <v>3215</v>
      </c>
      <c r="C62" s="3" t="s">
        <v>3216</v>
      </c>
      <c r="D62" s="3" t="s">
        <v>3217</v>
      </c>
      <c r="E62" s="3" t="s">
        <v>3218</v>
      </c>
      <c r="G62" s="8" t="str">
        <f>IFERROR(__xludf.DUMMYFUNCTION("GOOGLETRANSLATE(A62, ""en"", ""hi"")"),"61")</f>
        <v>61</v>
      </c>
      <c r="H62" s="8" t="str">
        <f>IFERROR(__xludf.DUMMYFUNCTION("GOOGLETRANSLATE(B62, ""en"", ""hi"")"),"कैरम_16")</f>
        <v>कैरम_16</v>
      </c>
      <c r="I62" s="8" t="str">
        <f>IFERROR(__xludf.DUMMYFUNCTION("GOOGLETRANSLATE(C62, ""en"", ""hi"")"),"चित्र में दिखाए गए खेल के लिए, यदि कोई खिलाड़ी रानी को पॉकेट में डाल देता है, लेकिन अपने रंग का मोहरा पॉकेट में डालने में असफल रहता है, तो नियम क्या है?")</f>
        <v>चित्र में दिखाए गए खेल के लिए, यदि कोई खिलाड़ी रानी को पॉकेट में डाल देता है, लेकिन अपने रंग का मोहरा पॉकेट में डालने में असफल रहता है, तो नियम क्या है?</v>
      </c>
      <c r="J62" s="8" t="str">
        <f>IFERROR(__xludf.DUMMYFUNCTION("GOOGLETRANSLATE(D62, ""en"", ""hi"")"),"A) खिलाड़ी अपनी बारी खो देता है, B) रानी वापस कर दी जाती है, C) खिलाड़ी जीत जाता है, D) खेल जारी रहता है")</f>
        <v>A) खिलाड़ी अपनी बारी खो देता है, B) रानी वापस कर दी जाती है, C) खिलाड़ी जीत जाता है, D) खेल जारी रहता है</v>
      </c>
      <c r="K62" s="8" t="str">
        <f>IFERROR(__xludf.DUMMYFUNCTION("GOOGLETRANSLATE(E62, ""en"", ""hi"")"),"B) रानी वापस आ गई है")</f>
        <v>B) रानी वापस आ गई है</v>
      </c>
    </row>
    <row r="63" ht="22.5" customHeight="1">
      <c r="A63" s="2">
        <v>62.0</v>
      </c>
      <c r="B63" s="3" t="s">
        <v>3215</v>
      </c>
      <c r="C63" s="3" t="s">
        <v>3219</v>
      </c>
      <c r="D63" s="3" t="s">
        <v>38</v>
      </c>
      <c r="E63" s="3" t="s">
        <v>39</v>
      </c>
      <c r="G63" s="8" t="str">
        <f>IFERROR(__xludf.DUMMYFUNCTION("GOOGLETRANSLATE(A63, ""en"", ""hi"")"),"62")</f>
        <v>62</v>
      </c>
      <c r="H63" s="8" t="str">
        <f>IFERROR(__xludf.DUMMYFUNCTION("GOOGLETRANSLATE(B63, ""en"", ""hi"")"),"कैरम_16")</f>
        <v>कैरम_16</v>
      </c>
      <c r="I63" s="8" t="str">
        <f>IFERROR(__xludf.DUMMYFUNCTION("GOOGLETRANSLATE(C63, ""en"", ""hi"")"),"चित्र में दिखाए गए खेल में, एक मानक कैरम बोर्ड पर कितने पॉकेट होते हैं?")</f>
        <v>चित्र में दिखाए गए खेल में, एक मानक कैरम बोर्ड पर कितने पॉकेट होते हैं?</v>
      </c>
      <c r="J63" s="8" t="str">
        <f>IFERROR(__xludf.DUMMYFUNCTION("GOOGLETRANSLATE(D63, ""en"", ""hi"")"),"ए) 2, बी) 4, सी) 6, डी) 8")</f>
        <v>ए) 2, बी) 4, सी) 6, डी) 8</v>
      </c>
      <c r="K63" s="8" t="str">
        <f>IFERROR(__xludf.DUMMYFUNCTION("GOOGLETRANSLATE(E63, ""en"", ""hi"")"),"बी) 4")</f>
        <v>बी) 4</v>
      </c>
    </row>
    <row r="64" ht="22.5" customHeight="1">
      <c r="A64" s="2">
        <v>63.0</v>
      </c>
      <c r="B64" s="3" t="s">
        <v>3215</v>
      </c>
      <c r="C64" s="3" t="s">
        <v>3220</v>
      </c>
      <c r="D64" s="3" t="s">
        <v>3221</v>
      </c>
      <c r="E64" s="3" t="s">
        <v>3222</v>
      </c>
      <c r="G64" s="8" t="str">
        <f>IFERROR(__xludf.DUMMYFUNCTION("GOOGLETRANSLATE(A64, ""en"", ""hi"")"),"63")</f>
        <v>63</v>
      </c>
      <c r="H64" s="8" t="str">
        <f>IFERROR(__xludf.DUMMYFUNCTION("GOOGLETRANSLATE(B64, ""en"", ""hi"")"),"कैरम_16")</f>
        <v>कैरम_16</v>
      </c>
      <c r="I64" s="8" t="str">
        <f>IFERROR(__xludf.DUMMYFUNCTION("GOOGLETRANSLATE(C64, ""en"", ""hi"")"),"चित्र में दिखाए गए खेल के लिए, उस शॉट को क्या कहा जाता है जिसमें स्ट्राइकर का उपयोग एक साथ कई टुकड़ों को मारने के लिए किया जाता है?")</f>
        <v>चित्र में दिखाए गए खेल के लिए, उस शॉट को क्या कहा जाता है जिसमें स्ट्राइकर का उपयोग एक साथ कई टुकड़ों को मारने के लिए किया जाता है?</v>
      </c>
      <c r="J64" s="8" t="str">
        <f>IFERROR(__xludf.DUMMYFUNCTION("GOOGLETRANSLATE(D64, ""en"", ""hi"")"),"A) कॉम्बो शॉट, B) डबल शॉट, C) मल्टी-शॉट, D) बैंक शॉट")</f>
        <v>A) कॉम्बो शॉट, B) डबल शॉट, C) मल्टी-शॉट, D) बैंक शॉट</v>
      </c>
      <c r="K64" s="8" t="str">
        <f>IFERROR(__xludf.DUMMYFUNCTION("GOOGLETRANSLATE(E64, ""en"", ""hi"")"),"A) कॉम्बो शॉट")</f>
        <v>A) कॉम्बो शॉट</v>
      </c>
    </row>
    <row r="65" ht="22.5" customHeight="1">
      <c r="A65" s="2">
        <v>64.0</v>
      </c>
      <c r="B65" s="3" t="s">
        <v>3215</v>
      </c>
      <c r="C65" s="3" t="s">
        <v>3223</v>
      </c>
      <c r="D65" s="3" t="s">
        <v>3224</v>
      </c>
      <c r="E65" s="3" t="s">
        <v>3225</v>
      </c>
      <c r="G65" s="8" t="str">
        <f>IFERROR(__xludf.DUMMYFUNCTION("GOOGLETRANSLATE(A65, ""en"", ""hi"")"),"64")</f>
        <v>64</v>
      </c>
      <c r="H65" s="8" t="str">
        <f>IFERROR(__xludf.DUMMYFUNCTION("GOOGLETRANSLATE(B65, ""en"", ""hi"")"),"कैरम_16")</f>
        <v>कैरम_16</v>
      </c>
      <c r="I65" s="8" t="str">
        <f>IFERROR(__xludf.DUMMYFUNCTION("GOOGLETRANSLATE(C65, ""en"", ""hi"")"),"चित्र में दिखाए गए खेल में कैरम के मोहरे का मानक आकार क्या है?")</f>
        <v>चित्र में दिखाए गए खेल में कैरम के मोहरे का मानक आकार क्या है?</v>
      </c>
      <c r="J65" s="8" t="str">
        <f>IFERROR(__xludf.DUMMYFUNCTION("GOOGLETRANSLATE(D65, ""en"", ""hi"")"),"A) 2 सेमी व्यास, B) 3 सेमी व्यास, C) 4 सेमी व्यास, D) 5 सेमी व्यास")</f>
        <v>A) 2 सेमी व्यास, B) 3 सेमी व्यास, C) 4 सेमी व्यास, D) 5 सेमी व्यास</v>
      </c>
      <c r="K65" s="8" t="str">
        <f>IFERROR(__xludf.DUMMYFUNCTION("GOOGLETRANSLATE(E65, ""en"", ""hi"")"),"बी) 3 सेमी व्यास")</f>
        <v>बी) 3 सेमी व्यास</v>
      </c>
    </row>
    <row r="66" ht="22.5" customHeight="1">
      <c r="A66" s="2">
        <v>65.0</v>
      </c>
      <c r="B66" s="3" t="s">
        <v>3226</v>
      </c>
      <c r="C66" s="3" t="s">
        <v>3227</v>
      </c>
      <c r="D66" s="3" t="s">
        <v>3228</v>
      </c>
      <c r="E66" s="3" t="s">
        <v>3229</v>
      </c>
      <c r="G66" s="8" t="str">
        <f>IFERROR(__xludf.DUMMYFUNCTION("GOOGLETRANSLATE(A66, ""en"", ""hi"")"),"65")</f>
        <v>65</v>
      </c>
      <c r="H66" s="8" t="str">
        <f>IFERROR(__xludf.DUMMYFUNCTION("GOOGLETRANSLATE(B66, ""en"", ""hi"")"),"कैरम_17")</f>
        <v>कैरम_17</v>
      </c>
      <c r="I66" s="8" t="str">
        <f>IFERROR(__xludf.DUMMYFUNCTION("GOOGLETRANSLATE(C66, ""en"", ""hi"")"),"चित्र में दिखाए गए खेल के लिए कैरम पाउडर का मुख्य उद्देश्य क्या है?")</f>
        <v>चित्र में दिखाए गए खेल के लिए कैरम पाउडर का मुख्य उद्देश्य क्या है?</v>
      </c>
      <c r="J66" s="8" t="str">
        <f>IFERROR(__xludf.DUMMYFUNCTION("GOOGLETRANSLATE(D66, ""en"", ""hi"")"),"A) बोर्ड को साफ करने के लिए, B) बोर्ड का रंग निखारने के लिए, C) घर्षण कम करने के लिए, D) पकड़ सुधारने के लिए")</f>
        <v>A) बोर्ड को साफ करने के लिए, B) बोर्ड का रंग निखारने के लिए, C) घर्षण कम करने के लिए, D) पकड़ सुधारने के लिए</v>
      </c>
      <c r="K66" s="8" t="str">
        <f>IFERROR(__xludf.DUMMYFUNCTION("GOOGLETRANSLATE(E66, ""en"", ""hi"")"),"C) घर्षण को कम करने के लिए")</f>
        <v>C) घर्षण को कम करने के लिए</v>
      </c>
    </row>
    <row r="67" ht="22.5" customHeight="1">
      <c r="A67" s="2">
        <v>66.0</v>
      </c>
      <c r="B67" s="3" t="s">
        <v>3226</v>
      </c>
      <c r="C67" s="3" t="s">
        <v>3230</v>
      </c>
      <c r="D67" s="3" t="s">
        <v>3231</v>
      </c>
      <c r="E67" s="3" t="s">
        <v>3232</v>
      </c>
      <c r="G67" s="8" t="str">
        <f>IFERROR(__xludf.DUMMYFUNCTION("GOOGLETRANSLATE(A67, ""en"", ""hi"")"),"66")</f>
        <v>66</v>
      </c>
      <c r="H67" s="8" t="str">
        <f>IFERROR(__xludf.DUMMYFUNCTION("GOOGLETRANSLATE(B67, ""en"", ""hi"")"),"कैरम_17")</f>
        <v>कैरम_17</v>
      </c>
      <c r="I67" s="8" t="str">
        <f>IFERROR(__xludf.DUMMYFUNCTION("GOOGLETRANSLATE(C67, ""en"", ""hi"")"),"चित्र में दिखाए गए खेल में, स्ट्राइकर को पॉकेट में डालने का क्या परिणाम होता है?")</f>
        <v>चित्र में दिखाए गए खेल में, स्ट्राइकर को पॉकेट में डालने का क्या परिणाम होता है?</v>
      </c>
      <c r="J67" s="8" t="str">
        <f>IFERROR(__xludf.DUMMYFUNCTION("GOOGLETRANSLATE(D67, ""en"", ""hi"")"),"A) खिलाड़ी अपनी बारी खो देता है, B) प्रतिद्वंद्वी को एक मुफ्त शॉट मिलता है, C) खिलाड़ी को बोर्ड पर एक मोहरा वापस रखना पड़ता है, D) खेल फिर से शुरू हो जाता है")</f>
        <v>A) खिलाड़ी अपनी बारी खो देता है, B) प्रतिद्वंद्वी को एक मुफ्त शॉट मिलता है, C) खिलाड़ी को बोर्ड पर एक मोहरा वापस रखना पड़ता है, D) खेल फिर से शुरू हो जाता है</v>
      </c>
      <c r="K67" s="8" t="str">
        <f>IFERROR(__xludf.DUMMYFUNCTION("GOOGLETRANSLATE(E67, ""en"", ""hi"")"),"B) प्रतिद्वंद्वी को एक निःशुल्क शॉट मिलता है")</f>
        <v>B) प्रतिद्वंद्वी को एक निःशुल्क शॉट मिलता है</v>
      </c>
    </row>
    <row r="68" ht="22.5" customHeight="1">
      <c r="A68" s="2">
        <v>67.0</v>
      </c>
      <c r="B68" s="3" t="s">
        <v>3226</v>
      </c>
      <c r="C68" s="3" t="s">
        <v>3233</v>
      </c>
      <c r="D68" s="3" t="s">
        <v>3234</v>
      </c>
      <c r="E68" s="3" t="s">
        <v>261</v>
      </c>
      <c r="G68" s="8" t="str">
        <f>IFERROR(__xludf.DUMMYFUNCTION("GOOGLETRANSLATE(A68, ""en"", ""hi"")"),"67")</f>
        <v>67</v>
      </c>
      <c r="H68" s="8" t="str">
        <f>IFERROR(__xludf.DUMMYFUNCTION("GOOGLETRANSLATE(B68, ""en"", ""hi"")"),"कैरम_17")</f>
        <v>कैरम_17</v>
      </c>
      <c r="I68" s="8" t="str">
        <f>IFERROR(__xludf.DUMMYFUNCTION("GOOGLETRANSLATE(C68, ""en"", ""hi"")"),"चित्र में दिखाए गए खेल के लिए कैरम क्वीन मोहरे का विशिष्ट रंग क्या है?")</f>
        <v>चित्र में दिखाए गए खेल के लिए कैरम क्वीन मोहरे का विशिष्ट रंग क्या है?</v>
      </c>
      <c r="J68" s="8" t="str">
        <f>IFERROR(__xludf.DUMMYFUNCTION("GOOGLETRANSLATE(D68, ""en"", ""hi"")"),"A) लाल, B) सफेद, C) काला, D) पीला")</f>
        <v>A) लाल, B) सफेद, C) काला, D) पीला</v>
      </c>
      <c r="K68" s="8" t="str">
        <f>IFERROR(__xludf.DUMMYFUNCTION("GOOGLETRANSLATE(E68, ""en"", ""hi"")"),"ए) लाल")</f>
        <v>ए) लाल</v>
      </c>
    </row>
    <row r="69" ht="22.5" customHeight="1">
      <c r="A69" s="2">
        <v>68.0</v>
      </c>
      <c r="B69" s="3" t="s">
        <v>3226</v>
      </c>
      <c r="C69" s="3" t="s">
        <v>3235</v>
      </c>
      <c r="D69" s="3" t="s">
        <v>3236</v>
      </c>
      <c r="E69" s="3" t="s">
        <v>3237</v>
      </c>
      <c r="G69" s="8" t="str">
        <f>IFERROR(__xludf.DUMMYFUNCTION("GOOGLETRANSLATE(A69, ""en"", ""hi"")"),"68")</f>
        <v>68</v>
      </c>
      <c r="H69" s="8" t="str">
        <f>IFERROR(__xludf.DUMMYFUNCTION("GOOGLETRANSLATE(B69, ""en"", ""hi"")"),"कैरम_17")</f>
        <v>कैरम_17</v>
      </c>
      <c r="I69" s="8" t="str">
        <f>IFERROR(__xludf.DUMMYFUNCTION("GOOGLETRANSLATE(C69, ""en"", ""hi"")"),"चित्र में दिखाए गए खेल में, चिकनी खेल सतह सुनिश्चित करने के लिए कैरम बोर्ड का रखरखाव आमतौर पर किस प्रकार किया जाता है?")</f>
        <v>चित्र में दिखाए गए खेल में, चिकनी खेल सतह सुनिश्चित करने के लिए कैरम बोर्ड का रखरखाव आमतौर पर किस प्रकार किया जाता है?</v>
      </c>
      <c r="J69" s="8" t="str">
        <f>IFERROR(__xludf.DUMMYFUNCTION("GOOGLETRANSLATE(D69, ""en"", ""hi"")"),"A) गीले कपड़े से नियमित सफाई, B) कैरम पाउडर लगाना, C) मोम से पॉलिश करना, D) वैक्यूम क्लीनर का उपयोग करना")</f>
        <v>A) गीले कपड़े से नियमित सफाई, B) कैरम पाउडर लगाना, C) मोम से पॉलिश करना, D) वैक्यूम क्लीनर का उपयोग करना</v>
      </c>
      <c r="K69" s="8" t="str">
        <f>IFERROR(__xludf.DUMMYFUNCTION("GOOGLETRANSLATE(E69, ""en"", ""hi"")"),"B) कैरम पाउडर लगाना")</f>
        <v>B) कैरम पाउडर लगाना</v>
      </c>
    </row>
    <row r="70" ht="22.5" customHeight="1">
      <c r="A70" s="2">
        <v>69.0</v>
      </c>
      <c r="B70" s="3" t="s">
        <v>3238</v>
      </c>
      <c r="C70" s="3" t="s">
        <v>3239</v>
      </c>
      <c r="D70" s="3" t="s">
        <v>3240</v>
      </c>
      <c r="E70" s="3" t="s">
        <v>3241</v>
      </c>
      <c r="G70" s="8" t="str">
        <f>IFERROR(__xludf.DUMMYFUNCTION("GOOGLETRANSLATE(A70, ""en"", ""hi"")"),"69")</f>
        <v>69</v>
      </c>
      <c r="H70" s="8" t="str">
        <f>IFERROR(__xludf.DUMMYFUNCTION("GOOGLETRANSLATE(B70, ""en"", ""hi"")"),"कैरम_18")</f>
        <v>कैरम_18</v>
      </c>
      <c r="I70" s="8" t="str">
        <f>IFERROR(__xludf.DUMMYFUNCTION("GOOGLETRANSLATE(C70, ""en"", ""hi"")"),"चित्र में दिखाए गए खेल के लिए, यदि कोई खिलाड़ी एक ही शॉट में रानी और अपने रंग का एक मोहरा दोनों को पॉकेट में डाल देता है तो नियम क्या होगा?")</f>
        <v>चित्र में दिखाए गए खेल के लिए, यदि कोई खिलाड़ी एक ही शॉट में रानी और अपने रंग का एक मोहरा दोनों को पॉकेट में डाल देता है तो नियम क्या होगा?</v>
      </c>
      <c r="J70" s="8" t="str">
        <f>IFERROR(__xludf.DUMMYFUNCTION("GOOGLETRANSLATE(D70, ""en"", ""hi"")"),"A) खिलाड़ी जीत जाता है, B) रानी वापस आ जाती है, C) खिलाड़ी अपनी बारी खो देता है, D) खेल सामान्य रूप से जारी रहता है")</f>
        <v>A) खिलाड़ी जीत जाता है, B) रानी वापस आ जाती है, C) खिलाड़ी अपनी बारी खो देता है, D) खेल सामान्य रूप से जारी रहता है</v>
      </c>
      <c r="K70" s="8" t="str">
        <f>IFERROR(__xludf.DUMMYFUNCTION("GOOGLETRANSLATE(E70, ""en"", ""hi"")"),"D) खेल सामान्य रूप से जारी रहता है")</f>
        <v>D) खेल सामान्य रूप से जारी रहता है</v>
      </c>
    </row>
    <row r="71" ht="22.5" customHeight="1">
      <c r="A71" s="2">
        <v>70.0</v>
      </c>
      <c r="B71" s="3" t="s">
        <v>3238</v>
      </c>
      <c r="C71" s="3" t="s">
        <v>3242</v>
      </c>
      <c r="D71" s="3" t="s">
        <v>3243</v>
      </c>
      <c r="E71" s="3" t="s">
        <v>622</v>
      </c>
      <c r="G71" s="8" t="str">
        <f>IFERROR(__xludf.DUMMYFUNCTION("GOOGLETRANSLATE(A71, ""en"", ""hi"")"),"70")</f>
        <v>70</v>
      </c>
      <c r="H71" s="8" t="str">
        <f>IFERROR(__xludf.DUMMYFUNCTION("GOOGLETRANSLATE(B71, ""en"", ""hi"")"),"कैरम_18")</f>
        <v>कैरम_18</v>
      </c>
      <c r="I71" s="8" t="str">
        <f>IFERROR(__xludf.DUMMYFUNCTION("GOOGLETRANSLATE(C71, ""en"", ""hi"")"),"चित्र में दिखाए गए खेल में मानक कैरम बोर्ड सामग्री क्या है?")</f>
        <v>चित्र में दिखाए गए खेल में मानक कैरम बोर्ड सामग्री क्या है?</v>
      </c>
      <c r="J71" s="8" t="str">
        <f>IFERROR(__xludf.DUMMYFUNCTION("GOOGLETRANSLATE(D71, ""en"", ""hi"")"),"A) प्लास्टिक, B) लकड़ी, C) कांच, D) धातु")</f>
        <v>A) प्लास्टिक, B) लकड़ी, C) कांच, D) धातु</v>
      </c>
      <c r="K71" s="8" t="str">
        <f>IFERROR(__xludf.DUMMYFUNCTION("GOOGLETRANSLATE(E71, ""en"", ""hi"")"),"बी) लकड़ी")</f>
        <v>बी) लकड़ी</v>
      </c>
    </row>
    <row r="72" ht="22.5" customHeight="1">
      <c r="A72" s="2">
        <v>71.0</v>
      </c>
      <c r="B72" s="3" t="s">
        <v>3238</v>
      </c>
      <c r="C72" s="3" t="s">
        <v>3244</v>
      </c>
      <c r="D72" s="3" t="s">
        <v>3245</v>
      </c>
      <c r="E72" s="3" t="s">
        <v>3246</v>
      </c>
      <c r="G72" s="8" t="str">
        <f>IFERROR(__xludf.DUMMYFUNCTION("GOOGLETRANSLATE(A72, ""en"", ""hi"")"),"71")</f>
        <v>71</v>
      </c>
      <c r="H72" s="8" t="str">
        <f>IFERROR(__xludf.DUMMYFUNCTION("GOOGLETRANSLATE(B72, ""en"", ""hi"")"),"कैरम_18")</f>
        <v>कैरम_18</v>
      </c>
      <c r="I72" s="8" t="str">
        <f>IFERROR(__xludf.DUMMYFUNCTION("GOOGLETRANSLATE(C72, ""en"", ""hi"")"),"चित्र में दिखाए गए खेल के लिए, उस सफल शॉट को क्या कहा जाता है जिसमें स्ट्राइकर सीधे इच्छित टुकड़े पर हिट करता है?")</f>
        <v>चित्र में दिखाए गए खेल के लिए, उस सफल शॉट को क्या कहा जाता है जिसमें स्ट्राइकर सीधे इच्छित टुकड़े पर हिट करता है?</v>
      </c>
      <c r="J72" s="8" t="str">
        <f>IFERROR(__xludf.DUMMYFUNCTION("GOOGLETRANSLATE(D72, ""en"", ""hi"")"),"A) सीधा शॉट, B) सीधा शॉट, C) लक्ष्य शॉट, D) सटीक शॉट")</f>
        <v>A) सीधा शॉट, B) सीधा शॉट, C) लक्ष्य शॉट, D) सटीक शॉट</v>
      </c>
      <c r="K72" s="8" t="str">
        <f>IFERROR(__xludf.DUMMYFUNCTION("GOOGLETRANSLATE(E72, ""en"", ""hi"")"),"बी) सीधा शॉट")</f>
        <v>बी) सीधा शॉट</v>
      </c>
    </row>
    <row r="73" ht="22.5" customHeight="1">
      <c r="A73" s="2">
        <v>72.0</v>
      </c>
      <c r="B73" s="3" t="s">
        <v>3238</v>
      </c>
      <c r="C73" s="3" t="s">
        <v>3247</v>
      </c>
      <c r="D73" s="3" t="s">
        <v>3248</v>
      </c>
      <c r="E73" s="3" t="s">
        <v>3249</v>
      </c>
      <c r="G73" s="8" t="str">
        <f>IFERROR(__xludf.DUMMYFUNCTION("GOOGLETRANSLATE(A73, ""en"", ""hi"")"),"72")</f>
        <v>72</v>
      </c>
      <c r="H73" s="8" t="str">
        <f>IFERROR(__xludf.DUMMYFUNCTION("GOOGLETRANSLATE(B73, ""en"", ""hi"")"),"कैरम_18")</f>
        <v>कैरम_18</v>
      </c>
      <c r="I73" s="8" t="str">
        <f>IFERROR(__xludf.DUMMYFUNCTION("GOOGLETRANSLATE(C73, ""en"", ""hi"")"),"चित्र में दिखाए गए खेल में, किस प्रकार के शॉट में बोर्ड के किनारों का उपयोग करके कैरम के टुकड़ों को मारा जाता है?")</f>
        <v>चित्र में दिखाए गए खेल में, किस प्रकार के शॉट में बोर्ड के किनारों का उपयोग करके कैरम के टुकड़ों को मारा जाता है?</v>
      </c>
      <c r="J73" s="8" t="str">
        <f>IFERROR(__xludf.DUMMYFUNCTION("GOOGLETRANSLATE(D73, ""en"", ""hi"")"),"A) बैंक शॉट, B) रिबाउंड शॉट, C) स्पिन शॉट, D) कर्व शॉट")</f>
        <v>A) बैंक शॉट, B) रिबाउंड शॉट, C) स्पिन शॉट, D) कर्व शॉट</v>
      </c>
      <c r="K73" s="8" t="str">
        <f>IFERROR(__xludf.DUMMYFUNCTION("GOOGLETRANSLATE(E73, ""en"", ""hi"")"),"A) बैंक शॉट")</f>
        <v>A) बैंक शॉट</v>
      </c>
    </row>
    <row r="74" ht="22.5" customHeight="1">
      <c r="A74" s="2">
        <v>73.0</v>
      </c>
      <c r="B74" s="3" t="s">
        <v>3250</v>
      </c>
      <c r="C74" s="3" t="s">
        <v>3251</v>
      </c>
      <c r="D74" s="3" t="s">
        <v>3252</v>
      </c>
      <c r="E74" s="3" t="s">
        <v>3253</v>
      </c>
      <c r="G74" s="8" t="str">
        <f>IFERROR(__xludf.DUMMYFUNCTION("GOOGLETRANSLATE(A74, ""en"", ""hi"")"),"73")</f>
        <v>73</v>
      </c>
      <c r="H74" s="8" t="str">
        <f>IFERROR(__xludf.DUMMYFUNCTION("GOOGLETRANSLATE(B74, ""en"", ""hi"")"),"कैरम_19")</f>
        <v>कैरम_19</v>
      </c>
      <c r="I74" s="8" t="str">
        <f>IFERROR(__xludf.DUMMYFUNCTION("GOOGLETRANSLATE(C74, ""en"", ""hi"")"),"चित्र में दिखाए गए खेल के लिए, कैरम बोर्ड की कौन सी विशेषता खिलाड़ियों को अपने शॉट लगाने में मदद करती है?")</f>
        <v>चित्र में दिखाए गए खेल के लिए, कैरम बोर्ड की कौन सी विशेषता खिलाड़ियों को अपने शॉट लगाने में मदद करती है?</v>
      </c>
      <c r="J74" s="8" t="str">
        <f>IFERROR(__xludf.DUMMYFUNCTION("GOOGLETRANSLATE(D74, ""en"", ""hi"")"),"A) विकर्ण रेखाएँ, B) केंद्र वृत्त, C) किनारे के चिह्न, D) सीमा डिज़ाइन")</f>
        <v>A) विकर्ण रेखाएँ, B) केंद्र वृत्त, C) किनारे के चिह्न, D) सीमा डिज़ाइन</v>
      </c>
      <c r="K74" s="8" t="str">
        <f>IFERROR(__xludf.DUMMYFUNCTION("GOOGLETRANSLATE(E74, ""en"", ""hi"")"),"बी) केंद्र वृत्त")</f>
        <v>बी) केंद्र वृत्त</v>
      </c>
    </row>
    <row r="75" ht="22.5" customHeight="1">
      <c r="A75" s="2">
        <v>74.0</v>
      </c>
      <c r="B75" s="3" t="s">
        <v>3250</v>
      </c>
      <c r="C75" s="3" t="s">
        <v>3254</v>
      </c>
      <c r="D75" s="3" t="s">
        <v>3255</v>
      </c>
      <c r="E75" s="3" t="s">
        <v>3256</v>
      </c>
      <c r="G75" s="8" t="str">
        <f>IFERROR(__xludf.DUMMYFUNCTION("GOOGLETRANSLATE(A75, ""en"", ""hi"")"),"74")</f>
        <v>74</v>
      </c>
      <c r="H75" s="8" t="str">
        <f>IFERROR(__xludf.DUMMYFUNCTION("GOOGLETRANSLATE(B75, ""en"", ""hi"")"),"कैरम_19")</f>
        <v>कैरम_19</v>
      </c>
      <c r="I75" s="8" t="str">
        <f>IFERROR(__xludf.DUMMYFUNCTION("GOOGLETRANSLATE(C75, ""en"", ""hi"")"),"चित्र में दिखाए गए खेल में, खेल की शुरुआत में मोहरों का सही स्थान क्या है?")</f>
        <v>चित्र में दिखाए गए खेल में, खेल की शुरुआत में मोहरों का सही स्थान क्या है?</v>
      </c>
      <c r="J75" s="8" t="str">
        <f>IFERROR(__xludf.DUMMYFUNCTION("GOOGLETRANSLATE(D75, ""en"", ""hi"")"),"A) यादृच्छिक व्यवस्था, B) वृत्ताकार व्यवस्था, C) सीधी रेखा व्यवस्था, D) एक कोने में समूहबद्ध")</f>
        <v>A) यादृच्छिक व्यवस्था, B) वृत्ताकार व्यवस्था, C) सीधी रेखा व्यवस्था, D) एक कोने में समूहबद्ध</v>
      </c>
      <c r="K75" s="8" t="str">
        <f>IFERROR(__xludf.DUMMYFUNCTION("GOOGLETRANSLATE(E75, ""en"", ""hi"")"),"बी) वृत्ताकार व्यवस्था")</f>
        <v>बी) वृत्ताकार व्यवस्था</v>
      </c>
    </row>
    <row r="76" ht="22.5" customHeight="1">
      <c r="A76" s="2">
        <v>75.0</v>
      </c>
      <c r="B76" s="3" t="s">
        <v>3250</v>
      </c>
      <c r="C76" s="3" t="s">
        <v>3257</v>
      </c>
      <c r="D76" s="3" t="s">
        <v>3258</v>
      </c>
      <c r="E76" s="3" t="s">
        <v>3259</v>
      </c>
      <c r="G76" s="8" t="str">
        <f>IFERROR(__xludf.DUMMYFUNCTION("GOOGLETRANSLATE(A76, ""en"", ""hi"")"),"75")</f>
        <v>75</v>
      </c>
      <c r="H76" s="8" t="str">
        <f>IFERROR(__xludf.DUMMYFUNCTION("GOOGLETRANSLATE(B76, ""en"", ""hi"")"),"कैरम_19")</f>
        <v>कैरम_19</v>
      </c>
      <c r="I76" s="8" t="str">
        <f>IFERROR(__xludf.DUMMYFUNCTION("GOOGLETRANSLATE(C76, ""en"", ""hi"")"),"चित्र में दिखाए गए खेल के लिए, कैरम स्ट्राइकर को प्रभावी बनाए रखने के लिए सामान्य अभ्यास क्या है?")</f>
        <v>चित्र में दिखाए गए खेल के लिए, कैरम स्ट्राइकर को प्रभावी बनाए रखने के लिए सामान्य अभ्यास क्या है?</v>
      </c>
      <c r="J76" s="8" t="str">
        <f>IFERROR(__xludf.DUMMYFUNCTION("GOOGLETRANSLATE(D76, ""en"", ""hi"")"),"A) इसे नियमित रूप से साफ करना, B) मोम की एक परत लगाना, C) इसे एक विशिष्ट पकड़ के साथ उपयोग करना, D) इसे एक सुरक्षात्मक केस में रखना")</f>
        <v>A) इसे नियमित रूप से साफ करना, B) मोम की एक परत लगाना, C) इसे एक विशिष्ट पकड़ के साथ उपयोग करना, D) इसे एक सुरक्षात्मक केस में रखना</v>
      </c>
      <c r="K76" s="8" t="str">
        <f>IFERROR(__xludf.DUMMYFUNCTION("GOOGLETRANSLATE(E76, ""en"", ""hi"")"),"A) इसे नियमित रूप से साफ करना")</f>
        <v>A) इसे नियमित रूप से साफ करना</v>
      </c>
    </row>
    <row r="77" ht="22.5" customHeight="1">
      <c r="A77" s="2">
        <v>76.0</v>
      </c>
      <c r="B77" s="3" t="s">
        <v>3250</v>
      </c>
      <c r="C77" s="3" t="s">
        <v>3260</v>
      </c>
      <c r="D77" s="3" t="s">
        <v>3261</v>
      </c>
      <c r="E77" s="3" t="s">
        <v>3262</v>
      </c>
      <c r="G77" s="8" t="str">
        <f>IFERROR(__xludf.DUMMYFUNCTION("GOOGLETRANSLATE(A77, ""en"", ""hi"")"),"76")</f>
        <v>76</v>
      </c>
      <c r="H77" s="8" t="str">
        <f>IFERROR(__xludf.DUMMYFUNCTION("GOOGLETRANSLATE(B77, ""en"", ""hi"")"),"कैरम_19")</f>
        <v>कैरम_19</v>
      </c>
      <c r="I77" s="8" t="str">
        <f>IFERROR(__xludf.DUMMYFUNCTION("GOOGLETRANSLATE(C77, ""en"", ""hi"")"),"चित्र में दिखाए गए खेल में, कैरम में निम्नलिखित में से कौन सा एक सामान्य फाउल है?")</f>
        <v>चित्र में दिखाए गए खेल में, कैरम में निम्नलिखित में से कौन सा एक सामान्य फाउल है?</v>
      </c>
      <c r="J77" s="8" t="str">
        <f>IFERROR(__xludf.DUMMYFUNCTION("GOOGLETRANSLATE(D77, ""en"", ""hi"")"),"A) अन्य मोहरों से पहले रानी को पॉकेट में डालना, B) लक्ष्य मोहरे को चूकना, C) हाथों से बोर्ड को छूना, D) एक साथ कई मोहरों को पॉकेट में डालना")</f>
        <v>A) अन्य मोहरों से पहले रानी को पॉकेट में डालना, B) लक्ष्य मोहरे को चूकना, C) हाथों से बोर्ड को छूना, D) एक साथ कई मोहरों को पॉकेट में डालना</v>
      </c>
      <c r="K77" s="8" t="str">
        <f>IFERROR(__xludf.DUMMYFUNCTION("GOOGLETRANSLATE(E77, ""en"", ""hi"")"),"A) अन्य मोहरों से पहले रानी को पॉकेट में डालना")</f>
        <v>A) अन्य मोहरों से पहले रानी को पॉकेट में डालना</v>
      </c>
    </row>
    <row r="78" ht="22.5" customHeight="1">
      <c r="A78" s="2">
        <v>77.0</v>
      </c>
      <c r="B78" s="3" t="s">
        <v>3263</v>
      </c>
      <c r="C78" s="3" t="s">
        <v>3264</v>
      </c>
      <c r="D78" s="3" t="s">
        <v>3265</v>
      </c>
      <c r="E78" s="3" t="s">
        <v>1873</v>
      </c>
      <c r="G78" s="8" t="str">
        <f>IFERROR(__xludf.DUMMYFUNCTION("GOOGLETRANSLATE(A78, ""en"", ""hi"")"),"77")</f>
        <v>77</v>
      </c>
      <c r="H78" s="8" t="str">
        <f>IFERROR(__xludf.DUMMYFUNCTION("GOOGLETRANSLATE(B78, ""en"", ""hi"")"),"कैरम_20")</f>
        <v>कैरम_20</v>
      </c>
      <c r="I78" s="8" t="str">
        <f>IFERROR(__xludf.DUMMYFUNCTION("GOOGLETRANSLATE(C78, ""en"", ""hi"")"),"चित्र में दिखाए गए खेल के लिए, सटीकता के लिए कैरम शॉट का अभ्यास करने का अनुशंसित तरीका क्या है?")</f>
        <v>चित्र में दिखाए गए खेल के लिए, सटीकता के लिए कैरम शॉट का अभ्यास करने का अनुशंसित तरीका क्या है?</v>
      </c>
      <c r="J78" s="8" t="str">
        <f>IFERROR(__xludf.DUMMYFUNCTION("GOOGLETRANSLATE(D78, ""en"", ""hi"")"),"A) अभ्यास बोर्ड का उपयोग करना, B) विभिन्न प्रतिद्वंद्वियों के साथ खेलना, C) निर्देशात्मक वीडियो देखना, D) उपरोक्त सभी")</f>
        <v>A) अभ्यास बोर्ड का उपयोग करना, B) विभिन्न प्रतिद्वंद्वियों के साथ खेलना, C) निर्देशात्मक वीडियो देखना, D) उपरोक्त सभी</v>
      </c>
      <c r="K78" s="8" t="str">
        <f>IFERROR(__xludf.DUMMYFUNCTION("GOOGLETRANSLATE(E78, ""en"", ""hi"")"),"D। उपरोक्त सभी")</f>
        <v>D। उपरोक्त सभी</v>
      </c>
    </row>
    <row r="79" ht="22.5" customHeight="1">
      <c r="A79" s="2">
        <v>78.0</v>
      </c>
      <c r="B79" s="3" t="s">
        <v>3263</v>
      </c>
      <c r="C79" s="3" t="s">
        <v>3266</v>
      </c>
      <c r="D79" s="3" t="s">
        <v>3267</v>
      </c>
      <c r="E79" s="3" t="s">
        <v>3268</v>
      </c>
      <c r="G79" s="8" t="str">
        <f>IFERROR(__xludf.DUMMYFUNCTION("GOOGLETRANSLATE(A79, ""en"", ""hi"")"),"78")</f>
        <v>78</v>
      </c>
      <c r="H79" s="8" t="str">
        <f>IFERROR(__xludf.DUMMYFUNCTION("GOOGLETRANSLATE(B79, ""en"", ""hi"")"),"कैरम_20")</f>
        <v>कैरम_20</v>
      </c>
      <c r="I79" s="8" t="str">
        <f>IFERROR(__xludf.DUMMYFUNCTION("GOOGLETRANSLATE(C79, ""en"", ""hi"")"),"चित्र में दिखाए गए खेल में, कैरम बोर्ड पर कोने की जेबों का प्राथमिक कार्य क्या है?")</f>
        <v>चित्र में दिखाए गए खेल में, कैरम बोर्ड पर कोने की जेबों का प्राथमिक कार्य क्या है?</v>
      </c>
      <c r="J79" s="8" t="str">
        <f>IFERROR(__xludf.DUMMYFUNCTION("GOOGLETRANSLATE(D79, ""en"", ""hi"")"),"A) कैरम के मोहरे रखने के लिए, B) शॉट के लिए लक्ष्य के रूप में कार्य करने के लिए, C) अतिरिक्त अंक प्रदान करने के लिए, D) स्ट्राइकर को पकड़ने के लिए")</f>
        <v>A) कैरम के मोहरे रखने के लिए, B) शॉट के लिए लक्ष्य के रूप में कार्य करने के लिए, C) अतिरिक्त अंक प्रदान करने के लिए, D) स्ट्राइकर को पकड़ने के लिए</v>
      </c>
      <c r="K79" s="8" t="str">
        <f>IFERROR(__xludf.DUMMYFUNCTION("GOOGLETRANSLATE(E79, ""en"", ""hi"")"),"बी) गोलियों के लिए लक्ष्य के रूप में कार्य करना")</f>
        <v>बी) गोलियों के लिए लक्ष्य के रूप में कार्य करना</v>
      </c>
    </row>
    <row r="80" ht="22.5" customHeight="1">
      <c r="A80" s="2">
        <v>79.0</v>
      </c>
      <c r="B80" s="3" t="s">
        <v>3263</v>
      </c>
      <c r="C80" s="3" t="s">
        <v>3269</v>
      </c>
      <c r="D80" s="3" t="s">
        <v>3270</v>
      </c>
      <c r="E80" s="3" t="s">
        <v>1873</v>
      </c>
      <c r="G80" s="8" t="str">
        <f>IFERROR(__xludf.DUMMYFUNCTION("GOOGLETRANSLATE(A80, ""en"", ""hi"")"),"79")</f>
        <v>79</v>
      </c>
      <c r="H80" s="8" t="str">
        <f>IFERROR(__xludf.DUMMYFUNCTION("GOOGLETRANSLATE(B80, ""en"", ""hi"")"),"कैरम_20")</f>
        <v>कैरम_20</v>
      </c>
      <c r="I80" s="8" t="str">
        <f>IFERROR(__xludf.DUMMYFUNCTION("GOOGLETRANSLATE(C80, ""en"", ""hi"")"),"चित्र में दिखाए गए खेल के लिए कैरम तकनीक का अभ्यास करने का सामान्य तरीका कौन सा है?")</f>
        <v>चित्र में दिखाए गए खेल के लिए कैरम तकनीक का अभ्यास करने का सामान्य तरीका कौन सा है?</v>
      </c>
      <c r="J80" s="8" t="str">
        <f>IFERROR(__xludf.DUMMYFUNCTION("GOOGLETRANSLATE(D80, ""en"", ""hi"")"),"A) एकल अभ्यास, B) साथी अभ्यास, C) प्रतिस्पर्धी मैच, D) उपरोक्त सभी")</f>
        <v>A) एकल अभ्यास, B) साथी अभ्यास, C) प्रतिस्पर्धी मैच, D) उपरोक्त सभी</v>
      </c>
      <c r="K80" s="8" t="str">
        <f>IFERROR(__xludf.DUMMYFUNCTION("GOOGLETRANSLATE(E80, ""en"", ""hi"")"),"D। उपरोक्त सभी")</f>
        <v>D। उपरोक्त सभी</v>
      </c>
    </row>
    <row r="81" ht="22.5" customHeight="1">
      <c r="A81" s="2">
        <v>80.0</v>
      </c>
      <c r="B81" s="3" t="s">
        <v>3263</v>
      </c>
      <c r="C81" s="3" t="s">
        <v>3271</v>
      </c>
      <c r="D81" s="3" t="s">
        <v>3272</v>
      </c>
      <c r="E81" s="3" t="s">
        <v>3273</v>
      </c>
      <c r="G81" s="8" t="str">
        <f>IFERROR(__xludf.DUMMYFUNCTION("GOOGLETRANSLATE(A81, ""en"", ""hi"")"),"80")</f>
        <v>80</v>
      </c>
      <c r="H81" s="8" t="str">
        <f>IFERROR(__xludf.DUMMYFUNCTION("GOOGLETRANSLATE(B81, ""en"", ""hi"")"),"कैरम_20")</f>
        <v>कैरम_20</v>
      </c>
      <c r="I81" s="8" t="str">
        <f>IFERROR(__xludf.DUMMYFUNCTION("GOOGLETRANSLATE(C81, ""en"", ""hi"")"),"चित्र में दिखाए गए खेल में, खेल सेटअप के दौरान रानी मोहरे का आदर्श स्थान क्या है?")</f>
        <v>चित्र में दिखाए गए खेल में, खेल सेटअप के दौरान रानी मोहरे का आदर्श स्थान क्या है?</v>
      </c>
      <c r="J81" s="8" t="str">
        <f>IFERROR(__xludf.DUMMYFUNCTION("GOOGLETRANSLATE(D81, ""en"", ""hi"")"),"A) बोर्ड के केंद्र में, B) कोने की जेबों में से एक में, C) बोर्ड के किनारे के पास, D) कहीं भी बेतरतीब ढंग से")</f>
        <v>A) बोर्ड के केंद्र में, B) कोने की जेबों में से एक में, C) बोर्ड के किनारे के पास, D) कहीं भी बेतरतीब ढंग से</v>
      </c>
      <c r="K81" s="8" t="str">
        <f>IFERROR(__xludf.DUMMYFUNCTION("GOOGLETRANSLATE(E81, ""en"", ""hi"")"),"A) बोर्ड के केंद्र में")</f>
        <v>A) बोर्ड के केंद्र में</v>
      </c>
    </row>
    <row r="82" ht="22.5" customHeight="1">
      <c r="A82" s="2">
        <v>81.0</v>
      </c>
      <c r="B82" s="3" t="s">
        <v>3274</v>
      </c>
      <c r="C82" s="3" t="s">
        <v>3275</v>
      </c>
      <c r="D82" s="3" t="s">
        <v>3276</v>
      </c>
      <c r="E82" s="3" t="s">
        <v>1873</v>
      </c>
      <c r="G82" s="8" t="str">
        <f>IFERROR(__xludf.DUMMYFUNCTION("GOOGLETRANSLATE(A82, ""en"", ""hi"")"),"81")</f>
        <v>81</v>
      </c>
      <c r="H82" s="8" t="str">
        <f>IFERROR(__xludf.DUMMYFUNCTION("GOOGLETRANSLATE(B82, ""en"", ""hi"")"),"कैरम_21")</f>
        <v>कैरम_21</v>
      </c>
      <c r="I82" s="8" t="str">
        <f>IFERROR(__xludf.DUMMYFUNCTION("GOOGLETRANSLATE(C82, ""en"", ""hi"")"),"चित्र में दिखाए गए खेल के लिए, गैर-खेल अवधि के दौरान कैरम बोर्ड को आमतौर पर किस प्रकार सुरक्षित रखा जाता है?")</f>
        <v>चित्र में दिखाए गए खेल के लिए, गैर-खेल अवधि के दौरान कैरम बोर्ड को आमतौर पर किस प्रकार सुरक्षित रखा जाता है?</v>
      </c>
      <c r="J82" s="8" t="str">
        <f>IFERROR(__xludf.DUMMYFUNCTION("GOOGLETRANSLATE(D82, ""en"", ""hi"")"),"A) कवर का उपयोग करना, B) इसे केस में रखना, C) इसे सूखी जगह पर रखना, D) उपरोक्त सभी")</f>
        <v>A) कवर का उपयोग करना, B) इसे केस में रखना, C) इसे सूखी जगह पर रखना, D) उपरोक्त सभी</v>
      </c>
      <c r="K82" s="8" t="str">
        <f>IFERROR(__xludf.DUMMYFUNCTION("GOOGLETRANSLATE(E82, ""en"", ""hi"")"),"D। उपरोक्त सभी")</f>
        <v>D। उपरोक्त सभी</v>
      </c>
    </row>
    <row r="83" ht="22.5" customHeight="1">
      <c r="A83" s="2">
        <v>82.0</v>
      </c>
      <c r="B83" s="3" t="s">
        <v>3274</v>
      </c>
      <c r="C83" s="3" t="s">
        <v>3277</v>
      </c>
      <c r="D83" s="3" t="s">
        <v>3278</v>
      </c>
      <c r="E83" s="3" t="s">
        <v>3279</v>
      </c>
      <c r="G83" s="8" t="str">
        <f>IFERROR(__xludf.DUMMYFUNCTION("GOOGLETRANSLATE(A83, ""en"", ""hi"")"),"82")</f>
        <v>82</v>
      </c>
      <c r="H83" s="8" t="str">
        <f>IFERROR(__xludf.DUMMYFUNCTION("GOOGLETRANSLATE(B83, ""en"", ""hi"")"),"कैरम_21")</f>
        <v>कैरम_21</v>
      </c>
      <c r="I83" s="8" t="str">
        <f>IFERROR(__xludf.DUMMYFUNCTION("GOOGLETRANSLATE(C83, ""en"", ""hi"")"),"चित्र में दिखाए गए खेल में, सुचारू खेल सुनिश्चित करने के लिए कैरम के टुकड़ों के लिए आमतौर पर किस सामग्री का उपयोग किया जाता है?")</f>
        <v>चित्र में दिखाए गए खेल में, सुचारू खेल सुनिश्चित करने के लिए कैरम के टुकड़ों के लिए आमतौर पर किस सामग्री का उपयोग किया जाता है?</v>
      </c>
      <c r="J83" s="8" t="str">
        <f>IFERROR(__xludf.DUMMYFUNCTION("GOOGLETRANSLATE(D83, ""en"", ""hi"")"),"A) धातु, B) लकड़ी, C) प्लास्टिक, D) कांच")</f>
        <v>A) धातु, B) लकड़ी, C) प्लास्टिक, D) कांच</v>
      </c>
      <c r="K83" s="8" t="str">
        <f>IFERROR(__xludf.DUMMYFUNCTION("GOOGLETRANSLATE(E83, ""en"", ""hi"")"),"सी) प्लास्टिक")</f>
        <v>सी) प्लास्टिक</v>
      </c>
    </row>
    <row r="84" ht="22.5" customHeight="1">
      <c r="A84" s="2">
        <v>83.0</v>
      </c>
      <c r="B84" s="3" t="s">
        <v>3274</v>
      </c>
      <c r="C84" s="3" t="s">
        <v>3280</v>
      </c>
      <c r="D84" s="3" t="s">
        <v>3281</v>
      </c>
      <c r="E84" s="3" t="s">
        <v>3282</v>
      </c>
      <c r="G84" s="8" t="str">
        <f>IFERROR(__xludf.DUMMYFUNCTION("GOOGLETRANSLATE(A84, ""en"", ""hi"")"),"83")</f>
        <v>83</v>
      </c>
      <c r="H84" s="8" t="str">
        <f>IFERROR(__xludf.DUMMYFUNCTION("GOOGLETRANSLATE(B84, ""en"", ""hi"")"),"कैरम_21")</f>
        <v>कैरम_21</v>
      </c>
      <c r="I84" s="8" t="str">
        <f>IFERROR(__xludf.DUMMYFUNCTION("GOOGLETRANSLATE(C84, ""en"", ""hi"")"),"चित्र में दिखाए गए खेल के लिए, बोर्ड पर बहुत अधिक कैरम पाउडर का उपयोग करने का क्या प्रभाव पड़ता है?")</f>
        <v>चित्र में दिखाए गए खेल के लिए, बोर्ड पर बहुत अधिक कैरम पाउडर का उपयोग करने का क्या प्रभाव पड़ता है?</v>
      </c>
      <c r="J84" s="8" t="str">
        <f>IFERROR(__xludf.DUMMYFUNCTION("GOOGLETRANSLATE(D84, ""en"", ""hi"")"),"A) घर्षण को अत्यधिक कम करता है, B) बोर्ड की दिखावट को बढ़ाता है, C) टुकड़े की गति में सुधार करता है, D) फिसलन वाली सतह बनाता है")</f>
        <v>A) घर्षण को अत्यधिक कम करता है, B) बोर्ड की दिखावट को बढ़ाता है, C) टुकड़े की गति में सुधार करता है, D) फिसलन वाली सतह बनाता है</v>
      </c>
      <c r="K84" s="8" t="str">
        <f>IFERROR(__xludf.DUMMYFUNCTION("GOOGLETRANSLATE(E84, ""en"", ""hi"")"),"D) फिसलन भरी सतह बनाता है")</f>
        <v>D) फिसलन भरी सतह बनाता है</v>
      </c>
    </row>
    <row r="85" ht="22.5" customHeight="1">
      <c r="A85" s="2">
        <v>84.0</v>
      </c>
      <c r="B85" s="3" t="s">
        <v>3274</v>
      </c>
      <c r="C85" s="3" t="s">
        <v>3283</v>
      </c>
      <c r="D85" s="3" t="s">
        <v>3284</v>
      </c>
      <c r="E85" s="3" t="s">
        <v>3285</v>
      </c>
      <c r="G85" s="8" t="str">
        <f>IFERROR(__xludf.DUMMYFUNCTION("GOOGLETRANSLATE(A85, ""en"", ""hi"")"),"84")</f>
        <v>84</v>
      </c>
      <c r="H85" s="8" t="str">
        <f>IFERROR(__xludf.DUMMYFUNCTION("GOOGLETRANSLATE(B85, ""en"", ""hi"")"),"कैरम_21")</f>
        <v>कैरम_21</v>
      </c>
      <c r="I85" s="8" t="str">
        <f>IFERROR(__xludf.DUMMYFUNCTION("GOOGLETRANSLATE(C85, ""en"", ""hi"")"),"चित्र में दिखाए गए खेल में, कैरम बोर्ड पर अत्यधिक बल से प्रहार करने का क्या परिणाम होता है?")</f>
        <v>चित्र में दिखाए गए खेल में, कैरम बोर्ड पर अत्यधिक बल से प्रहार करने का क्या परिणाम होता है?</v>
      </c>
      <c r="J85" s="8" t="str">
        <f>IFERROR(__xludf.DUMMYFUNCTION("GOOGLETRANSLATE(D85, ""en"", ""hi"")"),"A) बोर्ड क्षतिग्रस्त हो जाता है, B) मोहरे विस्थापित हो जाते हैं, C) खेल कठिन हो जाता है, D) स्ट्राइकर क्षतिग्रस्त हो जाता है")</f>
        <v>A) बोर्ड क्षतिग्रस्त हो जाता है, B) मोहरे विस्थापित हो जाते हैं, C) खेल कठिन हो जाता है, D) स्ट्राइकर क्षतिग्रस्त हो जाता है</v>
      </c>
      <c r="K85" s="8" t="str">
        <f>IFERROR(__xludf.DUMMYFUNCTION("GOOGLETRANSLATE(E85, ""en"", ""hi"")"),"B) टुकड़े विस्थापित हो जाते हैं")</f>
        <v>B) टुकड़े विस्थापित हो जाते हैं</v>
      </c>
    </row>
    <row r="86" ht="22.5" customHeight="1">
      <c r="A86" s="2">
        <v>85.0</v>
      </c>
      <c r="B86" s="3" t="s">
        <v>3286</v>
      </c>
      <c r="C86" s="3" t="s">
        <v>3287</v>
      </c>
      <c r="D86" s="3" t="s">
        <v>3288</v>
      </c>
      <c r="E86" s="3" t="s">
        <v>3289</v>
      </c>
      <c r="G86" s="8" t="str">
        <f>IFERROR(__xludf.DUMMYFUNCTION("GOOGLETRANSLATE(A86, ""en"", ""hi"")"),"85")</f>
        <v>85</v>
      </c>
      <c r="H86" s="8" t="str">
        <f>IFERROR(__xludf.DUMMYFUNCTION("GOOGLETRANSLATE(B86, ""en"", ""hi"")"),"कैरम_22")</f>
        <v>कैरम_22</v>
      </c>
      <c r="I86" s="8" t="str">
        <f>IFERROR(__xludf.DUMMYFUNCTION("GOOGLETRANSLATE(C86, ""en"", ""hi"")"),"चित्र में दिखाए गए खेल के लिए, पॉकेट के नजदीक स्थित मोहरे को पॉकेट में डालने के लिए आमतौर पर किस प्रकार के शॉट का उपयोग किया जाता है?")</f>
        <v>चित्र में दिखाए गए खेल के लिए, पॉकेट के नजदीक स्थित मोहरे को पॉकेट में डालने के लिए आमतौर पर किस प्रकार के शॉट का उपयोग किया जाता है?</v>
      </c>
      <c r="J86" s="8" t="str">
        <f>IFERROR(__xludf.DUMMYFUNCTION("GOOGLETRANSLATE(D86, ""en"", ""hi"")"),"A) डायरेक्ट शॉट, B) स्पिन शॉट, C) रिबाउंड शॉट, D) बैंक शॉट")</f>
        <v>A) डायरेक्ट शॉट, B) स्पिन शॉट, C) रिबाउंड शॉट, D) बैंक शॉट</v>
      </c>
      <c r="K86" s="8" t="str">
        <f>IFERROR(__xludf.DUMMYFUNCTION("GOOGLETRANSLATE(E86, ""en"", ""hi"")"),"A) सीधा शॉट")</f>
        <v>A) सीधा शॉट</v>
      </c>
    </row>
    <row r="87" ht="22.5" customHeight="1">
      <c r="A87" s="2">
        <v>86.0</v>
      </c>
      <c r="B87" s="3" t="s">
        <v>3286</v>
      </c>
      <c r="C87" s="3" t="s">
        <v>3290</v>
      </c>
      <c r="D87" s="3" t="s">
        <v>3291</v>
      </c>
      <c r="E87" s="3" t="s">
        <v>3292</v>
      </c>
      <c r="G87" s="8" t="str">
        <f>IFERROR(__xludf.DUMMYFUNCTION("GOOGLETRANSLATE(A87, ""en"", ""hi"")"),"86")</f>
        <v>86</v>
      </c>
      <c r="H87" s="8" t="str">
        <f>IFERROR(__xludf.DUMMYFUNCTION("GOOGLETRANSLATE(B87, ""en"", ""hi"")"),"कैरम_22")</f>
        <v>कैरम_22</v>
      </c>
      <c r="I87" s="8" t="str">
        <f>IFERROR(__xludf.DUMMYFUNCTION("GOOGLETRANSLATE(C87, ""en"", ""hi"")"),"चित्र में दिखाए गए खेल में, कैरम बोर्ड की कौन सी विशेषता खिलाड़ियों को निशाना लगाने में सहायता करती है?")</f>
        <v>चित्र में दिखाए गए खेल में, कैरम बोर्ड की कौन सी विशेषता खिलाड़ियों को निशाना लगाने में सहायता करती है?</v>
      </c>
      <c r="J87" s="8" t="str">
        <f>IFERROR(__xludf.DUMMYFUNCTION("GOOGLETRANSLATE(D87, ""en"", ""hi"")"),"A) विकर्ण रेखाएँ, B) वृत्ताकार चिह्न, C) बॉर्डर डिज़ाइन, D) केंद्र वृत्त")</f>
        <v>A) विकर्ण रेखाएँ, B) वृत्ताकार चिह्न, C) बॉर्डर डिज़ाइन, D) केंद्र वृत्त</v>
      </c>
      <c r="K87" s="8" t="str">
        <f>IFERROR(__xludf.DUMMYFUNCTION("GOOGLETRANSLATE(E87, ""en"", ""hi"")"),"D) केंद्र वृत्त")</f>
        <v>D) केंद्र वृत्त</v>
      </c>
    </row>
    <row r="88" ht="22.5" customHeight="1">
      <c r="A88" s="2">
        <v>87.0</v>
      </c>
      <c r="B88" s="3" t="s">
        <v>3286</v>
      </c>
      <c r="C88" s="3" t="s">
        <v>3293</v>
      </c>
      <c r="D88" s="3" t="s">
        <v>3294</v>
      </c>
      <c r="E88" s="3" t="s">
        <v>1873</v>
      </c>
      <c r="G88" s="8" t="str">
        <f>IFERROR(__xludf.DUMMYFUNCTION("GOOGLETRANSLATE(A88, ""en"", ""hi"")"),"87")</f>
        <v>87</v>
      </c>
      <c r="H88" s="8" t="str">
        <f>IFERROR(__xludf.DUMMYFUNCTION("GOOGLETRANSLATE(B88, ""en"", ""hi"")"),"कैरम_22")</f>
        <v>कैरम_22</v>
      </c>
      <c r="I88" s="8" t="str">
        <f>IFERROR(__xludf.DUMMYFUNCTION("GOOGLETRANSLATE(C88, ""en"", ""hi"")"),"चित्र में दिखाए गए खेल के लिए, स्ट्राइकर के प्रदर्शन को बनाए रखने के लिए सामान्य अभ्यास क्या है?")</f>
        <v>चित्र में दिखाए गए खेल के लिए, स्ट्राइकर के प्रदर्शन को बनाए रखने के लिए सामान्य अभ्यास क्या है?</v>
      </c>
      <c r="J88" s="8" t="str">
        <f>IFERROR(__xludf.DUMMYFUNCTION("GOOGLETRANSLATE(D88, ""en"", ""hi"")"),"A) इसे नियमित रूप से साफ करना, B) अत्यधिक बल का प्रयोग न करना, C) इसे केवल साफ बोर्ड पर ही प्रयोग करना, D) उपरोक्त सभी")</f>
        <v>A) इसे नियमित रूप से साफ करना, B) अत्यधिक बल का प्रयोग न करना, C) इसे केवल साफ बोर्ड पर ही प्रयोग करना, D) उपरोक्त सभी</v>
      </c>
      <c r="K88" s="8" t="str">
        <f>IFERROR(__xludf.DUMMYFUNCTION("GOOGLETRANSLATE(E88, ""en"", ""hi"")"),"D। उपरोक्त सभी")</f>
        <v>D। उपरोक्त सभी</v>
      </c>
    </row>
    <row r="89" ht="22.5" customHeight="1">
      <c r="A89" s="2">
        <v>88.0</v>
      </c>
      <c r="B89" s="3" t="s">
        <v>3286</v>
      </c>
      <c r="C89" s="3" t="s">
        <v>3295</v>
      </c>
      <c r="D89" s="3" t="s">
        <v>3296</v>
      </c>
      <c r="E89" s="3" t="s">
        <v>3232</v>
      </c>
      <c r="G89" s="8" t="str">
        <f>IFERROR(__xludf.DUMMYFUNCTION("GOOGLETRANSLATE(A89, ""en"", ""hi"")"),"88")</f>
        <v>88</v>
      </c>
      <c r="H89" s="8" t="str">
        <f>IFERROR(__xludf.DUMMYFUNCTION("GOOGLETRANSLATE(B89, ""en"", ""hi"")"),"कैरम_22")</f>
        <v>कैरम_22</v>
      </c>
      <c r="I89" s="8" t="str">
        <f>IFERROR(__xludf.DUMMYFUNCTION("GOOGLETRANSLATE(C89, ""en"", ""hi"")"),"चित्र में दिखाए गए खेल में, यदि कोई खिलाड़ी गलती से स्ट्राइकर को पॉकेट में डाल दे तो क्या करना चाहिए?")</f>
        <v>चित्र में दिखाए गए खेल में, यदि कोई खिलाड़ी गलती से स्ट्राइकर को पॉकेट में डाल दे तो क्या करना चाहिए?</v>
      </c>
      <c r="J89" s="8" t="str">
        <f>IFERROR(__xludf.DUMMYFUNCTION("GOOGLETRANSLATE(D89, ""en"", ""hi"")"),"A) खिलाड़ी अपनी बारी खो देता है, B) प्रतिद्वंद्वी को एक मुफ्त शॉट मिलता है, C) स्ट्राइकर को बदल दिया जाता है, D) खेल को फिर से शुरू किया जाता है")</f>
        <v>A) खिलाड़ी अपनी बारी खो देता है, B) प्रतिद्वंद्वी को एक मुफ्त शॉट मिलता है, C) स्ट्राइकर को बदल दिया जाता है, D) खेल को फिर से शुरू किया जाता है</v>
      </c>
      <c r="K89" s="8" t="str">
        <f>IFERROR(__xludf.DUMMYFUNCTION("GOOGLETRANSLATE(E89, ""en"", ""hi"")"),"B) प्रतिद्वंद्वी को एक निःशुल्क शॉट मिलता है")</f>
        <v>B) प्रतिद्वंद्वी को एक निःशुल्क शॉट मिलता है</v>
      </c>
    </row>
    <row r="90" ht="22.5" customHeight="1">
      <c r="A90" s="2">
        <v>89.0</v>
      </c>
      <c r="B90" s="3" t="s">
        <v>3297</v>
      </c>
      <c r="C90" s="3" t="s">
        <v>3298</v>
      </c>
      <c r="D90" s="3" t="s">
        <v>3299</v>
      </c>
      <c r="E90" s="3" t="s">
        <v>3300</v>
      </c>
      <c r="G90" s="8" t="str">
        <f>IFERROR(__xludf.DUMMYFUNCTION("GOOGLETRANSLATE(A90, ""en"", ""hi"")"),"89")</f>
        <v>89</v>
      </c>
      <c r="H90" s="8" t="str">
        <f>IFERROR(__xludf.DUMMYFUNCTION("GOOGLETRANSLATE(B90, ""en"", ""hi"")"),"कैरम_23")</f>
        <v>कैरम_23</v>
      </c>
      <c r="I90" s="8" t="str">
        <f>IFERROR(__xludf.DUMMYFUNCTION("GOOGLETRANSLATE(C90, ""en"", ""hi"")"),"चित्र में दिखाए गए खेल के लिए, खेल शुरू करने से पहले आमतौर पर कैरम बोर्ड कैसे स्थापित किया जाता है?")</f>
        <v>चित्र में दिखाए गए खेल के लिए, खेल शुरू करने से पहले आमतौर पर कैरम बोर्ड कैसे स्थापित किया जाता है?</v>
      </c>
      <c r="J90" s="8" t="str">
        <f>IFERROR(__xludf.DUMMYFUNCTION("GOOGLETRANSLATE(D90, ""en"", ""hi"")"),"A) मोहरों की यादृच्छिक व्यवस्था के साथ, B) मोहरों की विशिष्ट व्यवस्था के साथ, C) केवल रानी के स्थान पर, D) बोर्ड को अच्छी तरह से साफ करके")</f>
        <v>A) मोहरों की यादृच्छिक व्यवस्था के साथ, B) मोहरों की विशिष्ट व्यवस्था के साथ, C) केवल रानी के स्थान पर, D) बोर्ड को अच्छी तरह से साफ करके</v>
      </c>
      <c r="K90" s="8" t="str">
        <f>IFERROR(__xludf.DUMMYFUNCTION("GOOGLETRANSLATE(E90, ""en"", ""hi"")"),"बी) टुकड़ों की एक विशिष्ट व्यवस्था के साथ")</f>
        <v>बी) टुकड़ों की एक विशिष्ट व्यवस्था के साथ</v>
      </c>
    </row>
    <row r="91" ht="22.5" customHeight="1">
      <c r="A91" s="2">
        <v>90.0</v>
      </c>
      <c r="B91" s="3" t="s">
        <v>3297</v>
      </c>
      <c r="C91" s="3" t="s">
        <v>3301</v>
      </c>
      <c r="D91" s="3" t="s">
        <v>3302</v>
      </c>
      <c r="E91" s="3" t="s">
        <v>3303</v>
      </c>
      <c r="G91" s="8" t="str">
        <f>IFERROR(__xludf.DUMMYFUNCTION("GOOGLETRANSLATE(A91, ""en"", ""hi"")"),"90")</f>
        <v>90</v>
      </c>
      <c r="H91" s="8" t="str">
        <f>IFERROR(__xludf.DUMMYFUNCTION("GOOGLETRANSLATE(B91, ""en"", ""hi"")"),"कैरम_23")</f>
        <v>कैरम_23</v>
      </c>
      <c r="I91" s="8" t="str">
        <f>IFERROR(__xludf.DUMMYFUNCTION("GOOGLETRANSLATE(C91, ""en"", ""hi"")"),"चित्र में दिखाए गए खेल में कैरम पाउडर का उपयोग करने का मुख्य उद्देश्य क्या है?")</f>
        <v>चित्र में दिखाए गए खेल में कैरम पाउडर का उपयोग करने का मुख्य उद्देश्य क्या है?</v>
      </c>
      <c r="J91" s="8" t="str">
        <f>IFERROR(__xludf.DUMMYFUNCTION("GOOGLETRANSLATE(D91, ""en"", ""hi"")"),"A) घर्षण कम करने के लिए, B) रंग निखारने के लिए, C) बोर्ड साफ करने के लिए, D) पकड़ सुधारने के लिए")</f>
        <v>A) घर्षण कम करने के लिए, B) रंग निखारने के लिए, C) बोर्ड साफ करने के लिए, D) पकड़ सुधारने के लिए</v>
      </c>
      <c r="K91" s="8" t="str">
        <f>IFERROR(__xludf.DUMMYFUNCTION("GOOGLETRANSLATE(E91, ""en"", ""hi"")"),"A) घर्षण को कम करने के लिए")</f>
        <v>A) घर्षण को कम करने के लिए</v>
      </c>
    </row>
    <row r="92" ht="22.5" customHeight="1">
      <c r="A92" s="2">
        <v>91.0</v>
      </c>
      <c r="B92" s="3" t="s">
        <v>3297</v>
      </c>
      <c r="C92" s="3" t="s">
        <v>3304</v>
      </c>
      <c r="D92" s="3" t="s">
        <v>3305</v>
      </c>
      <c r="E92" s="3" t="s">
        <v>3306</v>
      </c>
      <c r="G92" s="8" t="str">
        <f>IFERROR(__xludf.DUMMYFUNCTION("GOOGLETRANSLATE(A92, ""en"", ""hi"")"),"91")</f>
        <v>91</v>
      </c>
      <c r="H92" s="8" t="str">
        <f>IFERROR(__xludf.DUMMYFUNCTION("GOOGLETRANSLATE(B92, ""en"", ""hi"")"),"कैरम_23")</f>
        <v>कैरम_23</v>
      </c>
      <c r="I92" s="8" t="str">
        <f>IFERROR(__xludf.DUMMYFUNCTION("GOOGLETRANSLATE(C92, ""en"", ""hi"")"),"चित्र में दिखाए गए खेल के लिए, उस शॉट के लिए क्या शब्द प्रयुक्त होता है जो कैरम के मोहरों को बोर्ड से बाहर मारता है?")</f>
        <v>चित्र में दिखाए गए खेल के लिए, उस शॉट के लिए क्या शब्द प्रयुक्त होता है जो कैरम के मोहरों को बोर्ड से बाहर मारता है?</v>
      </c>
      <c r="J92" s="8" t="str">
        <f>IFERROR(__xludf.DUMMYFUNCTION("GOOGLETRANSLATE(D92, ""en"", ""hi"")"),"A) फाउल शॉट, B) मिस शॉट, C) ऑफ-टारगेट शॉट, D) खोया हुआ शॉट")</f>
        <v>A) फाउल शॉट, B) मिस शॉट, C) ऑफ-टारगेट शॉट, D) खोया हुआ शॉट</v>
      </c>
      <c r="K92" s="8" t="str">
        <f>IFERROR(__xludf.DUMMYFUNCTION("GOOGLETRANSLATE(E92, ""en"", ""hi"")"),"ए) फाउल शॉट")</f>
        <v>ए) फाउल शॉट</v>
      </c>
    </row>
    <row r="93" ht="22.5" customHeight="1">
      <c r="A93" s="2">
        <v>92.0</v>
      </c>
      <c r="B93" s="3" t="s">
        <v>3297</v>
      </c>
      <c r="C93" s="3" t="s">
        <v>3307</v>
      </c>
      <c r="D93" s="3" t="s">
        <v>3308</v>
      </c>
      <c r="E93" s="3" t="s">
        <v>1873</v>
      </c>
      <c r="G93" s="8" t="str">
        <f>IFERROR(__xludf.DUMMYFUNCTION("GOOGLETRANSLATE(A93, ""en"", ""hi"")"),"92")</f>
        <v>92</v>
      </c>
      <c r="H93" s="8" t="str">
        <f>IFERROR(__xludf.DUMMYFUNCTION("GOOGLETRANSLATE(B93, ""en"", ""hi"")"),"कैरम_23")</f>
        <v>कैरम_23</v>
      </c>
      <c r="I93" s="8" t="str">
        <f>IFERROR(__xludf.DUMMYFUNCTION("GOOGLETRANSLATE(C93, ""en"", ""hi"")"),"चित्र में दिखाए गए खेल में, कैरम तकनीक का अभ्यास करते समय प्राथमिक लक्ष्य क्या है?")</f>
        <v>चित्र में दिखाए गए खेल में, कैरम तकनीक का अभ्यास करते समय प्राथमिक लक्ष्य क्या है?</v>
      </c>
      <c r="J93" s="8" t="str">
        <f>IFERROR(__xludf.DUMMYFUNCTION("GOOGLETRANSLATE(D93, ""en"", ""hi"")"),"A) सटीकता में सुधार करने के लिए, B) नई रणनीतियाँ सीखने के लिए, C) गति बढ़ाने के लिए, D) उपरोक्त सभी")</f>
        <v>A) सटीकता में सुधार करने के लिए, B) नई रणनीतियाँ सीखने के लिए, C) गति बढ़ाने के लिए, D) उपरोक्त सभी</v>
      </c>
      <c r="K93" s="8" t="str">
        <f>IFERROR(__xludf.DUMMYFUNCTION("GOOGLETRANSLATE(E93, ""en"", ""hi"")"),"D। उपरोक्त सभी")</f>
        <v>D। उपरोक्त सभी</v>
      </c>
    </row>
    <row r="94" ht="22.5" customHeight="1">
      <c r="A94" s="2">
        <v>93.0</v>
      </c>
      <c r="B94" s="3" t="s">
        <v>3309</v>
      </c>
      <c r="C94" s="3" t="s">
        <v>3310</v>
      </c>
      <c r="D94" s="3" t="s">
        <v>3311</v>
      </c>
      <c r="E94" s="3" t="s">
        <v>3312</v>
      </c>
      <c r="G94" s="8" t="str">
        <f>IFERROR(__xludf.DUMMYFUNCTION("GOOGLETRANSLATE(A94, ""en"", ""hi"")"),"93")</f>
        <v>93</v>
      </c>
      <c r="H94" s="8" t="str">
        <f>IFERROR(__xludf.DUMMYFUNCTION("GOOGLETRANSLATE(B94, ""en"", ""hi"")"),"कैरम_24")</f>
        <v>कैरम_24</v>
      </c>
      <c r="I94" s="8" t="str">
        <f>IFERROR(__xludf.DUMMYFUNCTION("GOOGLETRANSLATE(C94, ""en"", ""hi"")"),"चित्र में दिखाए गए खेल के लिए, उन्नत खेल में आमतौर पर किस प्रकार का कैरम टुकड़ा लक्ष्य होता है?")</f>
        <v>चित्र में दिखाए गए खेल के लिए, उन्नत खेल में आमतौर पर किस प्रकार का कैरम टुकड़ा लक्ष्य होता है?</v>
      </c>
      <c r="J94" s="8" t="str">
        <f>IFERROR(__xludf.DUMMYFUNCTION("GOOGLETRANSLATE(D94, ""en"", ""hi"")"),"A) रानी, ​​B) सफेद मोहरे, C) काले मोहरे, D) स्ट्राइकर")</f>
        <v>A) रानी, ​​B) सफेद मोहरे, C) काले मोहरे, D) स्ट्राइकर</v>
      </c>
      <c r="K94" s="8" t="str">
        <f>IFERROR(__xludf.DUMMYFUNCTION("GOOGLETRANSLATE(E94, ""en"", ""hi"")"),"A) रानी")</f>
        <v>A) रानी</v>
      </c>
    </row>
    <row r="95" ht="22.5" customHeight="1">
      <c r="A95" s="2">
        <v>94.0</v>
      </c>
      <c r="B95" s="3" t="s">
        <v>3309</v>
      </c>
      <c r="C95" s="3" t="s">
        <v>3313</v>
      </c>
      <c r="D95" s="3" t="s">
        <v>3314</v>
      </c>
      <c r="E95" s="3" t="s">
        <v>1873</v>
      </c>
      <c r="G95" s="8" t="str">
        <f>IFERROR(__xludf.DUMMYFUNCTION("GOOGLETRANSLATE(A95, ""en"", ""hi"")"),"94")</f>
        <v>94</v>
      </c>
      <c r="H95" s="8" t="str">
        <f>IFERROR(__xludf.DUMMYFUNCTION("GOOGLETRANSLATE(B95, ""en"", ""hi"")"),"कैरम_24")</f>
        <v>कैरम_24</v>
      </c>
      <c r="I95" s="8" t="str">
        <f>IFERROR(__xludf.DUMMYFUNCTION("GOOGLETRANSLATE(C95, ""en"", ""hi"")"),"चित्र में दिखाए गए खेल में शॉट के दौरान फाउलिंग से बचने का सबसे अच्छा तरीका क्या है?")</f>
        <v>चित्र में दिखाए गए खेल में शॉट के दौरान फाउलिंग से बचने का सबसे अच्छा तरीका क्या है?</v>
      </c>
      <c r="J95" s="8" t="str">
        <f>IFERROR(__xludf.DUMMYFUNCTION("GOOGLETRANSLATE(D95, ""en"", ""hi"")"),"A) सही तकनीक का उपयोग करना, B) यह सुनिश्चित करना कि स्ट्राइकर बोर्ड से बाहर न जाए, C) सटीक निशाना लगाना, D) उपरोक्त सभी")</f>
        <v>A) सही तकनीक का उपयोग करना, B) यह सुनिश्चित करना कि स्ट्राइकर बोर्ड से बाहर न जाए, C) सटीक निशाना लगाना, D) उपरोक्त सभी</v>
      </c>
      <c r="K95" s="8" t="str">
        <f>IFERROR(__xludf.DUMMYFUNCTION("GOOGLETRANSLATE(E95, ""en"", ""hi"")"),"D। उपरोक्त सभी")</f>
        <v>D। उपरोक्त सभी</v>
      </c>
    </row>
    <row r="96" ht="22.5" customHeight="1">
      <c r="A96" s="2">
        <v>95.0</v>
      </c>
      <c r="B96" s="3" t="s">
        <v>3309</v>
      </c>
      <c r="C96" s="3" t="s">
        <v>3315</v>
      </c>
      <c r="D96" s="3" t="s">
        <v>3316</v>
      </c>
      <c r="E96" s="3" t="s">
        <v>3317</v>
      </c>
      <c r="G96" s="8" t="str">
        <f>IFERROR(__xludf.DUMMYFUNCTION("GOOGLETRANSLATE(A96, ""en"", ""hi"")"),"95")</f>
        <v>95</v>
      </c>
      <c r="H96" s="8" t="str">
        <f>IFERROR(__xludf.DUMMYFUNCTION("GOOGLETRANSLATE(B96, ""en"", ""hi"")"),"कैरम_24")</f>
        <v>कैरम_24</v>
      </c>
      <c r="I96" s="8" t="str">
        <f>IFERROR(__xludf.DUMMYFUNCTION("GOOGLETRANSLATE(C96, ""en"", ""hi"")"),"चित्र में दिखाए गए खेल के लिए, कैरम शॉट लेते समय खड़े होने के लिए अनुशंसित दूरी क्या है?")</f>
        <v>चित्र में दिखाए गए खेल के लिए, कैरम शॉट लेते समय खड़े होने के लिए अनुशंसित दूरी क्या है?</v>
      </c>
      <c r="J96" s="8" t="str">
        <f>IFERROR(__xludf.DUMMYFUNCTION("GOOGLETRANSLATE(D96, ""en"", ""hi"")"),"A) बोर्ड के करीब, B) मध्यम दूरी पर, C) बोर्ड से दूर, D) खिलाड़ी की पसंद पर निर्भर करता है")</f>
        <v>A) बोर्ड के करीब, B) मध्यम दूरी पर, C) बोर्ड से दूर, D) खिलाड़ी की पसंद पर निर्भर करता है</v>
      </c>
      <c r="K96" s="8" t="str">
        <f>IFERROR(__xludf.DUMMYFUNCTION("GOOGLETRANSLATE(E96, ""en"", ""hi"")"),"B) मध्यम दूरी पर")</f>
        <v>B) मध्यम दूरी पर</v>
      </c>
    </row>
    <row r="97" ht="22.5" customHeight="1">
      <c r="A97" s="2">
        <v>96.0</v>
      </c>
      <c r="B97" s="3" t="s">
        <v>3309</v>
      </c>
      <c r="C97" s="3" t="s">
        <v>3318</v>
      </c>
      <c r="D97" s="3" t="s">
        <v>3319</v>
      </c>
      <c r="E97" s="3" t="s">
        <v>3320</v>
      </c>
      <c r="G97" s="8" t="str">
        <f>IFERROR(__xludf.DUMMYFUNCTION("GOOGLETRANSLATE(A97, ""en"", ""hi"")"),"96")</f>
        <v>96</v>
      </c>
      <c r="H97" s="8" t="str">
        <f>IFERROR(__xludf.DUMMYFUNCTION("GOOGLETRANSLATE(B97, ""en"", ""hi"")"),"कैरम_24")</f>
        <v>कैरम_24</v>
      </c>
      <c r="I97" s="8" t="str">
        <f>IFERROR(__xludf.DUMMYFUNCTION("GOOGLETRANSLATE(C97, ""en"", ""hi"")"),"चित्र में दिखाए गए खेल में, प्रत्येक खिलाड़ी आमतौर पर कितने टुकड़ों से खेल शुरू करता है?")</f>
        <v>चित्र में दिखाए गए खेल में, प्रत्येक खिलाड़ी आमतौर पर कितने टुकड़ों से खेल शुरू करता है?</v>
      </c>
      <c r="J97" s="8" t="str">
        <f>IFERROR(__xludf.DUMMYFUNCTION("GOOGLETRANSLATE(D97, ""en"", ""hi"")"),"ए) 8, बी) 9, सी) 10, डी) 12")</f>
        <v>ए) 8, बी) 9, सी) 10, डी) 12</v>
      </c>
      <c r="K97" s="8" t="str">
        <f>IFERROR(__xludf.DUMMYFUNCTION("GOOGLETRANSLATE(E97, ""en"", ""hi"")"),"बी) 9")</f>
        <v>बी) 9</v>
      </c>
    </row>
    <row r="98" ht="22.5" customHeight="1">
      <c r="A98" s="2">
        <v>97.0</v>
      </c>
      <c r="B98" s="3" t="s">
        <v>3321</v>
      </c>
      <c r="C98" s="3" t="s">
        <v>3322</v>
      </c>
      <c r="D98" s="3" t="s">
        <v>3323</v>
      </c>
      <c r="E98" s="3" t="s">
        <v>3324</v>
      </c>
      <c r="G98" s="8" t="str">
        <f>IFERROR(__xludf.DUMMYFUNCTION("GOOGLETRANSLATE(A98, ""en"", ""hi"")"),"97")</f>
        <v>97</v>
      </c>
      <c r="H98" s="8" t="str">
        <f>IFERROR(__xludf.DUMMYFUNCTION("GOOGLETRANSLATE(B98, ""en"", ""hi"")"),"कैरम_25")</f>
        <v>कैरम_25</v>
      </c>
      <c r="I98" s="8" t="str">
        <f>IFERROR(__xludf.DUMMYFUNCTION("GOOGLETRANSLATE(C98, ""en"", ""hi"")"),"चित्र में दिखाए गए खेल के लिए, एक सफल कैरम शॉट के लिए क्या शब्द प्रयुक्त होता है जिसमें रानी और खिलाड़ी के रंग का एक मोहरा शामिल होता है?")</f>
        <v>चित्र में दिखाए गए खेल के लिए, एक सफल कैरम शॉट के लिए क्या शब्द प्रयुक्त होता है जिसमें रानी और खिलाड़ी के रंग का एक मोहरा शामिल होता है?</v>
      </c>
      <c r="J98" s="8" t="str">
        <f>IFERROR(__xludf.DUMMYFUNCTION("GOOGLETRANSLATE(D98, ""en"", ""hi"")"),"A) कॉम्बो शॉट, B) डबल पॉकेट, C) क्वीन शॉट, D) फुल शॉट")</f>
        <v>A) कॉम्बो शॉट, B) डबल पॉकेट, C) क्वीन शॉट, D) फुल शॉट</v>
      </c>
      <c r="K98" s="8" t="str">
        <f>IFERROR(__xludf.DUMMYFUNCTION("GOOGLETRANSLATE(E98, ""en"", ""hi"")"),"C) क्वीन शॉट")</f>
        <v>C) क्वीन शॉट</v>
      </c>
    </row>
    <row r="99" ht="22.5" customHeight="1">
      <c r="A99" s="2">
        <v>98.0</v>
      </c>
      <c r="B99" s="3" t="s">
        <v>3321</v>
      </c>
      <c r="C99" s="3" t="s">
        <v>3325</v>
      </c>
      <c r="D99" s="3" t="s">
        <v>3278</v>
      </c>
      <c r="E99" s="3" t="s">
        <v>3279</v>
      </c>
      <c r="G99" s="8" t="str">
        <f>IFERROR(__xludf.DUMMYFUNCTION("GOOGLETRANSLATE(A99, ""en"", ""hi"")"),"98")</f>
        <v>98</v>
      </c>
      <c r="H99" s="8" t="str">
        <f>IFERROR(__xludf.DUMMYFUNCTION("GOOGLETRANSLATE(B99, ""en"", ""hi"")"),"कैरम_25")</f>
        <v>कैरम_25</v>
      </c>
      <c r="I99" s="8" t="str">
        <f>IFERROR(__xludf.DUMMYFUNCTION("GOOGLETRANSLATE(C99, ""en"", ""hi"")"),"चित्र में दिखाए गए खेल में, प्रभावी खेल सुनिश्चित करने के लिए कैरम स्ट्राइकर के लिए आमतौर पर किस सामग्री का उपयोग किया जाता है?")</f>
        <v>चित्र में दिखाए गए खेल में, प्रभावी खेल सुनिश्चित करने के लिए कैरम स्ट्राइकर के लिए आमतौर पर किस सामग्री का उपयोग किया जाता है?</v>
      </c>
      <c r="J99" s="8" t="str">
        <f>IFERROR(__xludf.DUMMYFUNCTION("GOOGLETRANSLATE(D99, ""en"", ""hi"")"),"A) धातु, B) लकड़ी, C) प्लास्टिक, D) कांच")</f>
        <v>A) धातु, B) लकड़ी, C) प्लास्टिक, D) कांच</v>
      </c>
      <c r="K99" s="8" t="str">
        <f>IFERROR(__xludf.DUMMYFUNCTION("GOOGLETRANSLATE(E99, ""en"", ""hi"")"),"सी) प्लास्टिक")</f>
        <v>सी) प्लास्टिक</v>
      </c>
    </row>
    <row r="100" ht="22.5" customHeight="1">
      <c r="A100" s="2">
        <v>99.0</v>
      </c>
      <c r="B100" s="3" t="s">
        <v>3321</v>
      </c>
      <c r="C100" s="3" t="s">
        <v>3326</v>
      </c>
      <c r="D100" s="3" t="s">
        <v>3327</v>
      </c>
      <c r="E100" s="3" t="s">
        <v>1873</v>
      </c>
      <c r="G100" s="8" t="str">
        <f>IFERROR(__xludf.DUMMYFUNCTION("GOOGLETRANSLATE(A100, ""en"", ""hi"")"),"99")</f>
        <v>99</v>
      </c>
      <c r="H100" s="8" t="str">
        <f>IFERROR(__xludf.DUMMYFUNCTION("GOOGLETRANSLATE(B100, ""en"", ""hi"")"),"कैरम_25")</f>
        <v>कैरम_25</v>
      </c>
      <c r="I100" s="8" t="str">
        <f>IFERROR(__xludf.DUMMYFUNCTION("GOOGLETRANSLATE(C100, ""en"", ""hi"")"),"चित्र में दिखाए गए खेल के लिए, कैरम स्पिन शॉट्स का अभ्यास करने की अनुशंसित विधि क्या है?")</f>
        <v>चित्र में दिखाए गए खेल के लिए, कैरम स्पिन शॉट्स का अभ्यास करने की अनुशंसित विधि क्या है?</v>
      </c>
      <c r="J100" s="8" t="str">
        <f>IFERROR(__xludf.DUMMYFUNCTION("GOOGLETRANSLATE(D100, ""en"", ""hi"")"),"A) स्पिन ट्रेनर का उपयोग करना, B) अनुभवी खिलाड़ियों के साथ खेलना, C) पेशेवर मैचों का अवलोकन करना, D) उपरोक्त सभी")</f>
        <v>A) स्पिन ट्रेनर का उपयोग करना, B) अनुभवी खिलाड़ियों के साथ खेलना, C) पेशेवर मैचों का अवलोकन करना, D) उपरोक्त सभी</v>
      </c>
      <c r="K100" s="8" t="str">
        <f>IFERROR(__xludf.DUMMYFUNCTION("GOOGLETRANSLATE(E100, ""en"", ""hi"")"),"D। उपरोक्त सभी")</f>
        <v>D। उपरोक्त सभी</v>
      </c>
    </row>
    <row r="101" ht="22.5" customHeight="1">
      <c r="A101" s="2">
        <v>100.0</v>
      </c>
      <c r="B101" s="3" t="s">
        <v>3321</v>
      </c>
      <c r="C101" s="3" t="s">
        <v>3328</v>
      </c>
      <c r="D101" s="3" t="s">
        <v>3329</v>
      </c>
      <c r="E101" s="3" t="s">
        <v>1873</v>
      </c>
      <c r="G101" s="8" t="str">
        <f>IFERROR(__xludf.DUMMYFUNCTION("GOOGLETRANSLATE(A101, ""en"", ""hi"")"),"100")</f>
        <v>100</v>
      </c>
      <c r="H101" s="8" t="str">
        <f>IFERROR(__xludf.DUMMYFUNCTION("GOOGLETRANSLATE(B101, ""en"", ""hi"")"),"कैरम_25")</f>
        <v>कैरम_25</v>
      </c>
      <c r="I101" s="8" t="str">
        <f>IFERROR(__xludf.DUMMYFUNCTION("GOOGLETRANSLATE(C101, ""en"", ""hi"")"),"चित्र में दिखाए गए खेल में, कैरम शॉट की सटीकता में सुधार करने के लिए एक सामान्य तकनीक क्या है?")</f>
        <v>चित्र में दिखाए गए खेल में, कैरम शॉट की सटीकता में सुधार करने के लिए एक सामान्य तकनीक क्या है?</v>
      </c>
      <c r="J101" s="8" t="str">
        <f>IFERROR(__xludf.DUMMYFUNCTION("GOOGLETRANSLATE(D101, ""en"", ""hi"")"),"A) नियमित अभ्यास करना, B) सटीक निशाना लगाने की तकनीक का उपयोग करना, C) स्ट्राइकर के कोण को समायोजित करना, D) उपरोक्त सभी")</f>
        <v>A) नियमित अभ्यास करना, B) सटीक निशाना लगाने की तकनीक का उपयोग करना, C) स्ट्राइकर के कोण को समायोजित करना, D) उपरोक्त सभी</v>
      </c>
      <c r="K101" s="8" t="str">
        <f>IFERROR(__xludf.DUMMYFUNCTION("GOOGLETRANSLATE(E101, ""en"", ""hi"")"),"D। उपरोक्त सभी")</f>
        <v>D। उपरोक्त सभी</v>
      </c>
    </row>
    <row r="102" ht="22.5" customHeight="1">
      <c r="A102" s="2">
        <v>101.0</v>
      </c>
      <c r="B102" s="3" t="s">
        <v>3330</v>
      </c>
      <c r="C102" s="3" t="s">
        <v>3331</v>
      </c>
      <c r="D102" s="3" t="s">
        <v>3332</v>
      </c>
      <c r="E102" s="3" t="s">
        <v>3333</v>
      </c>
      <c r="G102" s="8" t="str">
        <f>IFERROR(__xludf.DUMMYFUNCTION("GOOGLETRANSLATE(A102, ""en"", ""hi"")"),"101")</f>
        <v>101</v>
      </c>
      <c r="H102" s="8" t="str">
        <f>IFERROR(__xludf.DUMMYFUNCTION("GOOGLETRANSLATE(B102, ""en"", ""hi"")"),"कैरम_26")</f>
        <v>कैरम_26</v>
      </c>
      <c r="I102" s="8" t="str">
        <f>IFERROR(__xludf.DUMMYFUNCTION("GOOGLETRANSLATE(C102, ""en"", ""hi"")"),"चित्र में दिखाए गए खेल के लिए, कैरम शॉट खेलते समय खिलाड़ी आम तौर पर क्या गलती करते हैं?")</f>
        <v>चित्र में दिखाए गए खेल के लिए, कैरम शॉट खेलते समय खिलाड़ी आम तौर पर क्या गलती करते हैं?</v>
      </c>
      <c r="J102" s="8" t="str">
        <f>IFERROR(__xludf.DUMMYFUNCTION("GOOGLETRANSLATE(D102, ""en"", ""hi"")"),"A) कैरम पाउडर का अधिक उपयोग करना, B) स्ट्राइकर को गलत स्थिति में रखना, C) अत्यधिक बल लगाना, D) केंद्र सर्कल की अनदेखी करना")</f>
        <v>A) कैरम पाउडर का अधिक उपयोग करना, B) स्ट्राइकर को गलत स्थिति में रखना, C) अत्यधिक बल लगाना, D) केंद्र सर्कल की अनदेखी करना</v>
      </c>
      <c r="K102" s="8" t="str">
        <f>IFERROR(__xludf.DUMMYFUNCTION("GOOGLETRANSLATE(E102, ""en"", ""hi"")"),"बी) स्ट्राइकर की गलत स्थिति")</f>
        <v>बी) स्ट्राइकर की गलत स्थिति</v>
      </c>
    </row>
    <row r="103" ht="22.5" customHeight="1">
      <c r="A103" s="2">
        <v>102.0</v>
      </c>
      <c r="B103" s="3" t="s">
        <v>3330</v>
      </c>
      <c r="C103" s="3" t="s">
        <v>3334</v>
      </c>
      <c r="D103" s="3" t="s">
        <v>3335</v>
      </c>
      <c r="E103" s="3" t="s">
        <v>1873</v>
      </c>
      <c r="G103" s="8" t="str">
        <f>IFERROR(__xludf.DUMMYFUNCTION("GOOGLETRANSLATE(A103, ""en"", ""hi"")"),"102")</f>
        <v>102</v>
      </c>
      <c r="H103" s="8" t="str">
        <f>IFERROR(__xludf.DUMMYFUNCTION("GOOGLETRANSLATE(B103, ""en"", ""hi"")"),"कैरम_26")</f>
        <v>कैरम_26</v>
      </c>
      <c r="I103" s="8" t="str">
        <f>IFERROR(__xludf.DUMMYFUNCTION("GOOGLETRANSLATE(C103, ""en"", ""hi"")"),"चित्र में दिखाए गए खेल में, कैरम रणनीतियों का प्रभावी ढंग से अभ्यास करने का सबसे अच्छा तरीका क्या है?")</f>
        <v>चित्र में दिखाए गए खेल में, कैरम रणनीतियों का प्रभावी ढंग से अभ्यास करने का सबसे अच्छा तरीका क्या है?</v>
      </c>
      <c r="J103" s="8" t="str">
        <f>IFERROR(__xludf.DUMMYFUNCTION("GOOGLETRANSLATE(D103, ""en"", ""hi"")"),"A) विभिन्न विरोधियों के खिलाफ खेलना, B) ट्यूटोरियल देखना, C) रणनीति मार्गदर्शिकाएँ पढ़ना, D) उपरोक्त सभी")</f>
        <v>A) विभिन्न विरोधियों के खिलाफ खेलना, B) ट्यूटोरियल देखना, C) रणनीति मार्गदर्शिकाएँ पढ़ना, D) उपरोक्त सभी</v>
      </c>
      <c r="K103" s="8" t="str">
        <f>IFERROR(__xludf.DUMMYFUNCTION("GOOGLETRANSLATE(E103, ""en"", ""hi"")"),"D। उपरोक्त सभी")</f>
        <v>D। उपरोक्त सभी</v>
      </c>
    </row>
    <row r="104" ht="22.5" customHeight="1">
      <c r="A104" s="2">
        <v>103.0</v>
      </c>
      <c r="B104" s="3" t="s">
        <v>3330</v>
      </c>
      <c r="C104" s="3" t="s">
        <v>3336</v>
      </c>
      <c r="D104" s="3" t="s">
        <v>3337</v>
      </c>
      <c r="E104" s="3" t="s">
        <v>3338</v>
      </c>
      <c r="G104" s="8" t="str">
        <f>IFERROR(__xludf.DUMMYFUNCTION("GOOGLETRANSLATE(A104, ""en"", ""hi"")"),"103")</f>
        <v>103</v>
      </c>
      <c r="H104" s="8" t="str">
        <f>IFERROR(__xludf.DUMMYFUNCTION("GOOGLETRANSLATE(B104, ""en"", ""hi"")"),"कैरम_26")</f>
        <v>कैरम_26</v>
      </c>
      <c r="I104" s="8" t="str">
        <f>IFERROR(__xludf.DUMMYFUNCTION("GOOGLETRANSLATE(C104, ""en"", ""hi"")"),"चित्र में दिखाए गए खेल के लिए, घिसे हुए कैरम स्ट्राइकर का उपयोग करने का क्या प्रभाव पड़ता है?")</f>
        <v>चित्र में दिखाए गए खेल के लिए, घिसे हुए कैरम स्ट्राइकर का उपयोग करने का क्या प्रभाव पड़ता है?</v>
      </c>
      <c r="J104" s="8" t="str">
        <f>IFERROR(__xludf.DUMMYFUNCTION("GOOGLETRANSLATE(D104, ""en"", ""hi"")"),"A) प्रदर्शन में कमी, B) सटीकता में वृद्धि, C) बेहतर पकड़, D) बेहतर स्पिन नियंत्रण")</f>
        <v>A) प्रदर्शन में कमी, B) सटीकता में वृद्धि, C) बेहतर पकड़, D) बेहतर स्पिन नियंत्रण</v>
      </c>
      <c r="K104" s="8" t="str">
        <f>IFERROR(__xludf.DUMMYFUNCTION("GOOGLETRANSLATE(E104, ""en"", ""hi"")"),"ए) प्रदर्शन में कमी")</f>
        <v>ए) प्रदर्शन में कमी</v>
      </c>
    </row>
    <row r="105" ht="22.5" customHeight="1">
      <c r="A105" s="2">
        <v>104.0</v>
      </c>
      <c r="B105" s="3" t="s">
        <v>3330</v>
      </c>
      <c r="C105" s="3" t="s">
        <v>3339</v>
      </c>
      <c r="D105" s="3" t="s">
        <v>3340</v>
      </c>
      <c r="E105" s="3" t="s">
        <v>3341</v>
      </c>
      <c r="G105" s="8" t="str">
        <f>IFERROR(__xludf.DUMMYFUNCTION("GOOGLETRANSLATE(A105, ""en"", ""hi"")"),"104")</f>
        <v>104</v>
      </c>
      <c r="H105" s="8" t="str">
        <f>IFERROR(__xludf.DUMMYFUNCTION("GOOGLETRANSLATE(B105, ""en"", ""hi"")"),"कैरम_26")</f>
        <v>कैरम_26</v>
      </c>
      <c r="I105" s="8" t="str">
        <f>IFERROR(__xludf.DUMMYFUNCTION("GOOGLETRANSLATE(C105, ""en"", ""hi"")"),"चित्र में दिखाए गए खेल में, कैरम बोर्ड को साफ करने का सबसे प्रभावी तरीका क्या है?")</f>
        <v>चित्र में दिखाए गए खेल में, कैरम बोर्ड को साफ करने का सबसे प्रभावी तरीका क्या है?</v>
      </c>
      <c r="J105" s="8" t="str">
        <f>IFERROR(__xludf.DUMMYFUNCTION("GOOGLETRANSLATE(D105, ""en"", ""hi"")"),"A) नम कपड़े का उपयोग करना, B) सफाई समाधान लगाना, C) वैक्यूम क्लीनर का उपयोग करना, D) सूखे कपड़े से पोंछना")</f>
        <v>A) नम कपड़े का उपयोग करना, B) सफाई समाधान लगाना, C) वैक्यूम क्लीनर का उपयोग करना, D) सूखे कपड़े से पोंछना</v>
      </c>
      <c r="K105" s="8" t="str">
        <f>IFERROR(__xludf.DUMMYFUNCTION("GOOGLETRANSLATE(E105, ""en"", ""hi"")"),"A) नम कपड़े का उपयोग करना")</f>
        <v>A) नम कपड़े का उपयोग करना</v>
      </c>
    </row>
    <row r="106" ht="22.5" customHeight="1">
      <c r="A106" s="2">
        <v>105.0</v>
      </c>
      <c r="B106" s="3" t="s">
        <v>3342</v>
      </c>
      <c r="C106" s="3" t="s">
        <v>3343</v>
      </c>
      <c r="D106" s="3" t="s">
        <v>3344</v>
      </c>
      <c r="E106" s="3" t="s">
        <v>1873</v>
      </c>
      <c r="G106" s="8" t="str">
        <f>IFERROR(__xludf.DUMMYFUNCTION("GOOGLETRANSLATE(A106, ""en"", ""hi"")"),"105")</f>
        <v>105</v>
      </c>
      <c r="H106" s="8" t="str">
        <f>IFERROR(__xludf.DUMMYFUNCTION("GOOGLETRANSLATE(B106, ""en"", ""hi"")"),"कैरम_27")</f>
        <v>कैरम_27</v>
      </c>
      <c r="I106" s="8" t="str">
        <f>IFERROR(__xludf.DUMMYFUNCTION("GOOGLETRANSLATE(C106, ""en"", ""hi"")"),"चित्र में दिखाए गए खेल के लिए कैरम स्ट्राइकर की पकड़ को समायोजित करने का प्राथमिक कारण क्या है?")</f>
        <v>चित्र में दिखाए गए खेल के लिए कैरम स्ट्राइकर की पकड़ को समायोजित करने का प्राथमिक कारण क्या है?</v>
      </c>
      <c r="J106" s="8" t="str">
        <f>IFERROR(__xludf.DUMMYFUNCTION("GOOGLETRANSLATE(D106, ""en"", ""hi"")"),"A) शॉट पावर को नियंत्रित करने के लिए, B) सटीकता में सुधार करने के लिए, C) स्पिन को बढ़ाने के लिए, D) उपरोक्त सभी")</f>
        <v>A) शॉट पावर को नियंत्रित करने के लिए, B) सटीकता में सुधार करने के लिए, C) स्पिन को बढ़ाने के लिए, D) उपरोक्त सभी</v>
      </c>
      <c r="K106" s="8" t="str">
        <f>IFERROR(__xludf.DUMMYFUNCTION("GOOGLETRANSLATE(E106, ""en"", ""hi"")"),"D। उपरोक्त सभी")</f>
        <v>D। उपरोक्त सभी</v>
      </c>
    </row>
    <row r="107" ht="22.5" customHeight="1">
      <c r="A107" s="2">
        <v>106.0</v>
      </c>
      <c r="B107" s="3" t="s">
        <v>3342</v>
      </c>
      <c r="C107" s="3" t="s">
        <v>3345</v>
      </c>
      <c r="D107" s="3" t="s">
        <v>3346</v>
      </c>
      <c r="E107" s="3" t="s">
        <v>3347</v>
      </c>
      <c r="G107" s="8" t="str">
        <f>IFERROR(__xludf.DUMMYFUNCTION("GOOGLETRANSLATE(A107, ""en"", ""hi"")"),"106")</f>
        <v>106</v>
      </c>
      <c r="H107" s="8" t="str">
        <f>IFERROR(__xludf.DUMMYFUNCTION("GOOGLETRANSLATE(B107, ""en"", ""hi"")"),"कैरम_27")</f>
        <v>कैरम_27</v>
      </c>
      <c r="I107" s="8" t="str">
        <f>IFERROR(__xludf.DUMMYFUNCTION("GOOGLETRANSLATE(C107, ""en"", ""hi"")"),"चित्र में दिखाए गए खेल में कैरम के मोहरों को कितनी बार बदलना चाहिए?")</f>
        <v>चित्र में दिखाए गए खेल में कैरम के मोहरों को कितनी बार बदलना चाहिए?</v>
      </c>
      <c r="J107" s="8" t="str">
        <f>IFERROR(__xludf.DUMMYFUNCTION("GOOGLETRANSLATE(D107, ""en"", ""hi"")"),"A) केवल क्षतिग्रस्त होने पर, B) प्रत्येक खेल के बाद, C) प्रतिवर्ष, D) प्रत्येक छह माह में")</f>
        <v>A) केवल क्षतिग्रस्त होने पर, B) प्रत्येक खेल के बाद, C) प्रतिवर्ष, D) प्रत्येक छह माह में</v>
      </c>
      <c r="K107" s="8" t="str">
        <f>IFERROR(__xludf.DUMMYFUNCTION("GOOGLETRANSLATE(E107, ""en"", ""hi"")"),"A) केवल क्षतिग्रस्त होने पर")</f>
        <v>A) केवल क्षतिग्रस्त होने पर</v>
      </c>
    </row>
    <row r="108" ht="22.5" customHeight="1">
      <c r="A108" s="2">
        <v>107.0</v>
      </c>
      <c r="B108" s="3" t="s">
        <v>3342</v>
      </c>
      <c r="C108" s="3" t="s">
        <v>3348</v>
      </c>
      <c r="D108" s="3" t="s">
        <v>3349</v>
      </c>
      <c r="E108" s="3" t="s">
        <v>3350</v>
      </c>
      <c r="G108" s="8" t="str">
        <f>IFERROR(__xludf.DUMMYFUNCTION("GOOGLETRANSLATE(A108, ""en"", ""hi"")"),"107")</f>
        <v>107</v>
      </c>
      <c r="H108" s="8" t="str">
        <f>IFERROR(__xludf.DUMMYFUNCTION("GOOGLETRANSLATE(B108, ""en"", ""hi"")"),"कैरम_27")</f>
        <v>कैरम_27</v>
      </c>
      <c r="I108" s="8" t="str">
        <f>IFERROR(__xludf.DUMMYFUNCTION("GOOGLETRANSLATE(C108, ""en"", ""hi"")"),"चित्र में दिखाए गए खेल के लिए, एक छोटी सी जगह में कैरम शॉट का अभ्यास करने का सामान्य तरीका क्या है?")</f>
        <v>चित्र में दिखाए गए खेल के लिए, एक छोटी सी जगह में कैरम शॉट का अभ्यास करने का सामान्य तरीका क्या है?</v>
      </c>
      <c r="J108" s="8" t="str">
        <f>IFERROR(__xludf.DUMMYFUNCTION("GOOGLETRANSLATE(D108, ""en"", ""hi"")"),"A) मिनी कैरम बोर्ड का उपयोग करना, B) मेज पर अभ्यास करना, C) दीवार के सहारे खेलना, D) वर्चुअल सिम्युलेटर का उपयोग करना")</f>
        <v>A) मिनी कैरम बोर्ड का उपयोग करना, B) मेज पर अभ्यास करना, C) दीवार के सहारे खेलना, D) वर्चुअल सिम्युलेटर का उपयोग करना</v>
      </c>
      <c r="K108" s="8" t="str">
        <f>IFERROR(__xludf.DUMMYFUNCTION("GOOGLETRANSLATE(E108, ""en"", ""hi"")"),"A) मिनी कैरम बोर्ड का उपयोग करना")</f>
        <v>A) मिनी कैरम बोर्ड का उपयोग करना</v>
      </c>
    </row>
    <row r="109" ht="22.5" customHeight="1">
      <c r="A109" s="2">
        <v>108.0</v>
      </c>
      <c r="B109" s="3" t="s">
        <v>3342</v>
      </c>
      <c r="C109" s="3" t="s">
        <v>3351</v>
      </c>
      <c r="D109" s="3" t="s">
        <v>3352</v>
      </c>
      <c r="E109" s="3" t="s">
        <v>3353</v>
      </c>
      <c r="G109" s="8" t="str">
        <f>IFERROR(__xludf.DUMMYFUNCTION("GOOGLETRANSLATE(A109, ""en"", ""hi"")"),"108")</f>
        <v>108</v>
      </c>
      <c r="H109" s="8" t="str">
        <f>IFERROR(__xludf.DUMMYFUNCTION("GOOGLETRANSLATE(B109, ""en"", ""hi"")"),"कैरम_27")</f>
        <v>कैरम_27</v>
      </c>
      <c r="I109" s="8" t="str">
        <f>IFERROR(__xludf.DUMMYFUNCTION("GOOGLETRANSLATE(C109, ""en"", ""hi"")"),"चित्र में दिखाए गए खेल में, प्रतिस्पर्धी खेल के लिए कैरम बोर्ड का सामान्य आकार क्या है?")</f>
        <v>चित्र में दिखाए गए खेल में, प्रतिस्पर्धी खेल के लिए कैरम बोर्ड का सामान्य आकार क्या है?</v>
      </c>
      <c r="J109" s="8" t="str">
        <f>IFERROR(__xludf.DUMMYFUNCTION("GOOGLETRANSLATE(D109, ""en"", ""hi"")"),"ए) 70 सेमी x 70 सेमी, बी) 75 सेमी x 75 सेमी, सी) 80 सेमी x 80 सेमी, डी) 85 सेमी x 85 सेमी")</f>
        <v>ए) 70 सेमी x 70 सेमी, बी) 75 सेमी x 75 सेमी, सी) 80 सेमी x 80 सेमी, डी) 85 सेमी x 85 सेमी</v>
      </c>
      <c r="K109" s="8" t="str">
        <f>IFERROR(__xludf.DUMMYFUNCTION("GOOGLETRANSLATE(E109, ""en"", ""hi"")"),"बी) 75 सेमी x 75 सेमी")</f>
        <v>बी) 75 सेमी x 75 सेमी</v>
      </c>
    </row>
    <row r="110" ht="22.5" customHeight="1">
      <c r="A110" s="2">
        <v>109.0</v>
      </c>
      <c r="B110" s="3" t="s">
        <v>3354</v>
      </c>
      <c r="C110" s="3" t="s">
        <v>3355</v>
      </c>
      <c r="D110" s="3" t="s">
        <v>3356</v>
      </c>
      <c r="E110" s="3" t="s">
        <v>1873</v>
      </c>
      <c r="G110" s="8" t="str">
        <f>IFERROR(__xludf.DUMMYFUNCTION("GOOGLETRANSLATE(A110, ""en"", ""hi"")"),"109")</f>
        <v>109</v>
      </c>
      <c r="H110" s="8" t="str">
        <f>IFERROR(__xludf.DUMMYFUNCTION("GOOGLETRANSLATE(B110, ""en"", ""hi"")"),"कैरम_28")</f>
        <v>कैरम_28</v>
      </c>
      <c r="I110" s="8" t="str">
        <f>IFERROR(__xludf.DUMMYFUNCTION("GOOGLETRANSLATE(C110, ""en"", ""hi"")"),"चित्र में दिखाए गए खेल के लिए, कैरम खेलते समय फाउलिंग से बचने के लिए मानक अभ्यास क्या है?")</f>
        <v>चित्र में दिखाए गए खेल के लिए, कैरम खेलते समय फाउलिंग से बचने के लिए मानक अभ्यास क्या है?</v>
      </c>
      <c r="J110" s="8" t="str">
        <f>IFERROR(__xludf.DUMMYFUNCTION("GOOGLETRANSLATE(D110, ""en"", ""hi"")"),"A) स्ट्राइकर को उचित स्थिति में रखना, B) नियमों का पालन करना, C) अत्यधिक बल का प्रयोग न करना, D) उपरोक्त सभी")</f>
        <v>A) स्ट्राइकर को उचित स्थिति में रखना, B) नियमों का पालन करना, C) अत्यधिक बल का प्रयोग न करना, D) उपरोक्त सभी</v>
      </c>
      <c r="K110" s="8" t="str">
        <f>IFERROR(__xludf.DUMMYFUNCTION("GOOGLETRANSLATE(E110, ""en"", ""hi"")"),"D। उपरोक्त सभी")</f>
        <v>D। उपरोक्त सभी</v>
      </c>
    </row>
    <row r="111" ht="22.5" customHeight="1">
      <c r="A111" s="2">
        <v>110.0</v>
      </c>
      <c r="B111" s="3" t="s">
        <v>3354</v>
      </c>
      <c r="C111" s="3" t="s">
        <v>3357</v>
      </c>
      <c r="D111" s="3" t="s">
        <v>3358</v>
      </c>
      <c r="E111" s="3" t="s">
        <v>1873</v>
      </c>
      <c r="G111" s="8" t="str">
        <f>IFERROR(__xludf.DUMMYFUNCTION("GOOGLETRANSLATE(A111, ""en"", ""hi"")"),"110")</f>
        <v>110</v>
      </c>
      <c r="H111" s="8" t="str">
        <f>IFERROR(__xludf.DUMMYFUNCTION("GOOGLETRANSLATE(B111, ""en"", ""hi"")"),"कैरम_28")</f>
        <v>कैरम_28</v>
      </c>
      <c r="I111" s="8" t="str">
        <f>IFERROR(__xludf.DUMMYFUNCTION("GOOGLETRANSLATE(C111, ""en"", ""hi"")"),"चित्र में दिखाए गए खेल में कैरम खेल को बढ़ाने के लिए आमतौर पर किस सहायक उपकरण का उपयोग किया जाता है?")</f>
        <v>चित्र में दिखाए गए खेल में कैरम खेल को बढ़ाने के लिए आमतौर पर किस सहायक उपकरण का उपयोग किया जाता है?</v>
      </c>
      <c r="J111" s="8" t="str">
        <f>IFERROR(__xludf.DUMMYFUNCTION("GOOGLETRANSLATE(D111, ""en"", ""hi"")"),"A) स्ट्राइकर कवर, B) बोर्ड प्रोटेक्टर, C) पीस क्लीनर, D) उपरोक्त सभी")</f>
        <v>A) स्ट्राइकर कवर, B) बोर्ड प्रोटेक्टर, C) पीस क्लीनर, D) उपरोक्त सभी</v>
      </c>
      <c r="K111" s="8" t="str">
        <f>IFERROR(__xludf.DUMMYFUNCTION("GOOGLETRANSLATE(E111, ""en"", ""hi"")"),"D। उपरोक्त सभी")</f>
        <v>D। उपरोक्त सभी</v>
      </c>
    </row>
    <row r="112" ht="22.5" customHeight="1">
      <c r="A112" s="2">
        <v>111.0</v>
      </c>
      <c r="B112" s="3" t="s">
        <v>3354</v>
      </c>
      <c r="C112" s="3" t="s">
        <v>3359</v>
      </c>
      <c r="D112" s="3" t="s">
        <v>3360</v>
      </c>
      <c r="E112" s="3" t="s">
        <v>3361</v>
      </c>
      <c r="G112" s="8" t="str">
        <f>IFERROR(__xludf.DUMMYFUNCTION("GOOGLETRANSLATE(A112, ""en"", ""hi"")"),"111")</f>
        <v>111</v>
      </c>
      <c r="H112" s="8" t="str">
        <f>IFERROR(__xludf.DUMMYFUNCTION("GOOGLETRANSLATE(B112, ""en"", ""hi"")"),"कैरम_28")</f>
        <v>कैरम_28</v>
      </c>
      <c r="I112" s="8" t="str">
        <f>IFERROR(__xludf.DUMMYFUNCTION("GOOGLETRANSLATE(C112, ""en"", ""hi"")"),"चित्र में दिखाए गए खेल के लिए, नए खेल के लिए कैरम के टुकड़ों को व्यवस्थित करने का सामान्य तरीका क्या है?")</f>
        <v>चित्र में दिखाए गए खेल के लिए, नए खेल के लिए कैरम के टुकड़ों को व्यवस्थित करने का सामान्य तरीका क्या है?</v>
      </c>
      <c r="J112" s="8" t="str">
        <f>IFERROR(__xludf.DUMMYFUNCTION("GOOGLETRANSLATE(D112, ""en"", ""hi"")"),"ए) बेतरतीब स्थान, बी) रानी को केंद्र में रखकर गोलाकार व्यवस्था, सी) किनारों पर पंक्तिबद्ध व्यवस्था, डी) कोनों में समूहबद्ध व्यवस्था")</f>
        <v>ए) बेतरतीब स्थान, बी) रानी को केंद्र में रखकर गोलाकार व्यवस्था, सी) किनारों पर पंक्तिबद्ध व्यवस्था, डी) कोनों में समूहबद्ध व्यवस्था</v>
      </c>
      <c r="K112" s="8" t="str">
        <f>IFERROR(__xludf.DUMMYFUNCTION("GOOGLETRANSLATE(E112, ""en"", ""hi"")"),"बी) रानी को केंद्र में रखकर गोलाकार व्यवस्था")</f>
        <v>बी) रानी को केंद्र में रखकर गोलाकार व्यवस्था</v>
      </c>
    </row>
    <row r="113" ht="22.5" customHeight="1">
      <c r="A113" s="2">
        <v>112.0</v>
      </c>
      <c r="B113" s="3" t="s">
        <v>3354</v>
      </c>
      <c r="C113" s="3" t="s">
        <v>3362</v>
      </c>
      <c r="D113" s="3" t="s">
        <v>3363</v>
      </c>
      <c r="E113" s="3" t="s">
        <v>1873</v>
      </c>
      <c r="G113" s="8" t="str">
        <f>IFERROR(__xludf.DUMMYFUNCTION("GOOGLETRANSLATE(A113, ""en"", ""hi"")"),"112")</f>
        <v>112</v>
      </c>
      <c r="H113" s="8" t="str">
        <f>IFERROR(__xludf.DUMMYFUNCTION("GOOGLETRANSLATE(B113, ""en"", ""hi"")"),"कैरम_28")</f>
        <v>कैरम_28</v>
      </c>
      <c r="I113" s="8" t="str">
        <f>IFERROR(__xludf.DUMMYFUNCTION("GOOGLETRANSLATE(C113, ""en"", ""hi"")"),"चित्र में दिखाए गए खेल में, कैरम स्पिन शॉट लगाने के लिए अनुशंसित तकनीक क्या है?")</f>
        <v>चित्र में दिखाए गए खेल में, कैरम स्पिन शॉट लगाने के लिए अनुशंसित तकनीक क्या है?</v>
      </c>
      <c r="J113" s="8" t="str">
        <f>IFERROR(__xludf.DUMMYFUNCTION("GOOGLETRANSLATE(D113, ""en"", ""hi"")"),"A) सटीक कलाई की गतिविधियों का उपयोग करना, B) स्ट्राइकर कोण को समायोजित करना, C) लगातार बल लगाना, D) उपरोक्त सभी")</f>
        <v>A) सटीक कलाई की गतिविधियों का उपयोग करना, B) स्ट्राइकर कोण को समायोजित करना, C) लगातार बल लगाना, D) उपरोक्त सभी</v>
      </c>
      <c r="K113" s="8" t="str">
        <f>IFERROR(__xludf.DUMMYFUNCTION("GOOGLETRANSLATE(E113, ""en"", ""hi"")"),"D। उपरोक्त सभी")</f>
        <v>D। उपरोक्त सभी</v>
      </c>
    </row>
    <row r="114" ht="22.5" customHeight="1">
      <c r="A114" s="2">
        <v>113.0</v>
      </c>
      <c r="B114" s="3" t="s">
        <v>3364</v>
      </c>
      <c r="C114" s="3" t="s">
        <v>3365</v>
      </c>
      <c r="D114" s="3" t="s">
        <v>3366</v>
      </c>
      <c r="E114" s="3" t="s">
        <v>3367</v>
      </c>
      <c r="G114" s="8" t="str">
        <f>IFERROR(__xludf.DUMMYFUNCTION("GOOGLETRANSLATE(A114, ""en"", ""hi"")"),"113")</f>
        <v>113</v>
      </c>
      <c r="H114" s="8" t="str">
        <f>IFERROR(__xludf.DUMMYFUNCTION("GOOGLETRANSLATE(B114, ""en"", ""hi"")"),"कैरम_29")</f>
        <v>कैरम_29</v>
      </c>
      <c r="I114" s="8" t="str">
        <f>IFERROR(__xludf.DUMMYFUNCTION("GOOGLETRANSLATE(C114, ""en"", ""hi"")"),"चित्र में दिखाए गए खेल के लिए, बोर्ड पर कैरम पाउडर का उपयोग करने का प्राथमिक कारण क्या है?")</f>
        <v>चित्र में दिखाए गए खेल के लिए, बोर्ड पर कैरम पाउडर का उपयोग करने का प्राथमिक कारण क्या है?</v>
      </c>
      <c r="J114" s="8" t="str">
        <f>IFERROR(__xludf.DUMMYFUNCTION("GOOGLETRANSLATE(D114, ""en"", ""hi"")"),"A) टुकड़े की गति में सुधार करने के लिए, B) बोर्ड डिज़ाइन को बढ़ाने के लिए, C) बोर्ड को साफ करने के लिए, D) रंग समायोजित करने के लिए")</f>
        <v>A) टुकड़े की गति में सुधार करने के लिए, B) बोर्ड डिज़ाइन को बढ़ाने के लिए, C) बोर्ड को साफ करने के लिए, D) रंग समायोजित करने के लिए</v>
      </c>
      <c r="K114" s="8" t="str">
        <f>IFERROR(__xludf.DUMMYFUNCTION("GOOGLETRANSLATE(E114, ""en"", ""hi"")"),"A) टुकड़ा आंदोलन में सुधार करने के लिए")</f>
        <v>A) टुकड़ा आंदोलन में सुधार करने के लिए</v>
      </c>
    </row>
    <row r="115" ht="22.5" customHeight="1">
      <c r="A115" s="2">
        <v>114.0</v>
      </c>
      <c r="B115" s="3" t="s">
        <v>3364</v>
      </c>
      <c r="C115" s="3" t="s">
        <v>3368</v>
      </c>
      <c r="D115" s="3" t="s">
        <v>3369</v>
      </c>
      <c r="E115" s="3" t="s">
        <v>3370</v>
      </c>
      <c r="G115" s="8" t="str">
        <f>IFERROR(__xludf.DUMMYFUNCTION("GOOGLETRANSLATE(A115, ""en"", ""hi"")"),"114")</f>
        <v>114</v>
      </c>
      <c r="H115" s="8" t="str">
        <f>IFERROR(__xludf.DUMMYFUNCTION("GOOGLETRANSLATE(B115, ""en"", ""hi"")"),"कैरम_29")</f>
        <v>कैरम_29</v>
      </c>
      <c r="I115" s="8" t="str">
        <f>IFERROR(__xludf.DUMMYFUNCTION("GOOGLETRANSLATE(C115, ""en"", ""hi"")"),"चित्र में दिखाए गए खेल में कैरम ब्रेक प्राप्त करने की सामान्य तकनीक क्या है?")</f>
        <v>चित्र में दिखाए गए खेल में कैरम ब्रेक प्राप्त करने की सामान्य तकनीक क्या है?</v>
      </c>
      <c r="J115" s="8" t="str">
        <f>IFERROR(__xludf.DUMMYFUNCTION("GOOGLETRANSLATE(D115, ""en"", ""hi"")"),"A) केंद्र पर निशाना लगाना, B) पहले रानी पर प्रहार करना, C) प्रारंभिक शॉट पर एक मोहरा पॉकेट में डालना, D) बोर्ड के किनारों पर निशाना लगाना")</f>
        <v>A) केंद्र पर निशाना लगाना, B) पहले रानी पर प्रहार करना, C) प्रारंभिक शॉट पर एक मोहरा पॉकेट में डालना, D) बोर्ड के किनारों पर निशाना लगाना</v>
      </c>
      <c r="K115" s="8" t="str">
        <f>IFERROR(__xludf.DUMMYFUNCTION("GOOGLETRANSLATE(E115, ""en"", ""hi"")"),"सी) प्रारंभिक शॉट पर एक टुकड़ा पॉकेट में डालना")</f>
        <v>सी) प्रारंभिक शॉट पर एक टुकड़ा पॉकेट में डालना</v>
      </c>
    </row>
    <row r="116" ht="22.5" customHeight="1">
      <c r="A116" s="2">
        <v>115.0</v>
      </c>
      <c r="B116" s="3" t="s">
        <v>3364</v>
      </c>
      <c r="C116" s="3" t="s">
        <v>3371</v>
      </c>
      <c r="D116" s="3" t="s">
        <v>3372</v>
      </c>
      <c r="E116" s="3" t="s">
        <v>1873</v>
      </c>
      <c r="G116" s="8" t="str">
        <f>IFERROR(__xludf.DUMMYFUNCTION("GOOGLETRANSLATE(A116, ""en"", ""hi"")"),"115")</f>
        <v>115</v>
      </c>
      <c r="H116" s="8" t="str">
        <f>IFERROR(__xludf.DUMMYFUNCTION("GOOGLETRANSLATE(B116, ""en"", ""hi"")"),"कैरम_29")</f>
        <v>कैरम_29</v>
      </c>
      <c r="I116" s="8" t="str">
        <f>IFERROR(__xludf.DUMMYFUNCTION("GOOGLETRANSLATE(C116, ""en"", ""hi"")"),"चित्र में दिखाए गए खेल के लिए, कैरम शॉट की सटीकता में सुधार करने के लिए अनुशंसित विधि क्या है?")</f>
        <v>चित्र में दिखाए गए खेल के लिए, कैरम शॉट की सटीकता में सुधार करने के लिए अनुशंसित विधि क्या है?</v>
      </c>
      <c r="J116" s="8" t="str">
        <f>IFERROR(__xludf.DUMMYFUNCTION("GOOGLETRANSLATE(D116, ""en"", ""hi"")"),"A) नियमित अभ्यास करना, B) विशेष उपकरणों का उपयोग करना, C) पिछले खेलों का विश्लेषण करना, D) उपरोक्त सभी")</f>
        <v>A) नियमित अभ्यास करना, B) विशेष उपकरणों का उपयोग करना, C) पिछले खेलों का विश्लेषण करना, D) उपरोक्त सभी</v>
      </c>
      <c r="K116" s="8" t="str">
        <f>IFERROR(__xludf.DUMMYFUNCTION("GOOGLETRANSLATE(E116, ""en"", ""hi"")"),"D। उपरोक्त सभी")</f>
        <v>D। उपरोक्त सभी</v>
      </c>
    </row>
    <row r="117" ht="22.5" customHeight="1">
      <c r="A117" s="2">
        <v>116.0</v>
      </c>
      <c r="B117" s="3" t="s">
        <v>3364</v>
      </c>
      <c r="C117" s="3" t="s">
        <v>3373</v>
      </c>
      <c r="D117" s="3" t="s">
        <v>3374</v>
      </c>
      <c r="E117" s="3" t="s">
        <v>1873</v>
      </c>
      <c r="G117" s="8" t="str">
        <f>IFERROR(__xludf.DUMMYFUNCTION("GOOGLETRANSLATE(A117, ""en"", ""hi"")"),"116")</f>
        <v>116</v>
      </c>
      <c r="H117" s="8" t="str">
        <f>IFERROR(__xludf.DUMMYFUNCTION("GOOGLETRANSLATE(B117, ""en"", ""hi"")"),"कैरम_29")</f>
        <v>कैरम_29</v>
      </c>
      <c r="I117" s="8" t="str">
        <f>IFERROR(__xludf.DUMMYFUNCTION("GOOGLETRANSLATE(C117, ""en"", ""hi"")"),"चित्र में दिखाए गए खेल में कैरम बोर्ड कवर का उपयोग करने का एक सामान्य कारण क्या है?")</f>
        <v>चित्र में दिखाए गए खेल में कैरम बोर्ड कवर का उपयोग करने का एक सामान्य कारण क्या है?</v>
      </c>
      <c r="J117" s="8" t="str">
        <f>IFERROR(__xludf.DUMMYFUNCTION("GOOGLETRANSLATE(D117, ""en"", ""hi"")"),"A) धूल से बचाने के लिए, B) दिखावट निखारने के लिए, C) खरोंचों से बचाने के लिए, D) उपरोक्त सभी")</f>
        <v>A) धूल से बचाने के लिए, B) दिखावट निखारने के लिए, C) खरोंचों से बचाने के लिए, D) उपरोक्त सभी</v>
      </c>
      <c r="K117" s="8" t="str">
        <f>IFERROR(__xludf.DUMMYFUNCTION("GOOGLETRANSLATE(E117, ""en"", ""hi"")"),"D। उपरोक्त सभी")</f>
        <v>D। उपरोक्त सभी</v>
      </c>
    </row>
    <row r="118" ht="22.5" customHeight="1">
      <c r="A118" s="2">
        <v>117.0</v>
      </c>
      <c r="B118" s="3" t="s">
        <v>3375</v>
      </c>
      <c r="C118" s="3" t="s">
        <v>3376</v>
      </c>
      <c r="D118" s="3" t="s">
        <v>3377</v>
      </c>
      <c r="E118" s="3" t="s">
        <v>3378</v>
      </c>
      <c r="G118" s="8" t="str">
        <f>IFERROR(__xludf.DUMMYFUNCTION("GOOGLETRANSLATE(A118, ""en"", ""hi"")"),"117")</f>
        <v>117</v>
      </c>
      <c r="H118" s="8" t="str">
        <f>IFERROR(__xludf.DUMMYFUNCTION("GOOGLETRANSLATE(B118, ""en"", ""hi"")"),"कैरम_30")</f>
        <v>कैरम_30</v>
      </c>
      <c r="I118" s="8" t="str">
        <f>IFERROR(__xludf.DUMMYFUNCTION("GOOGLETRANSLATE(C118, ""en"", ""hi"")"),"चित्र में दिखाए गए खेल के लिए, कैरम फाउल से निपटने का सामान्य तरीका क्या है?")</f>
        <v>चित्र में दिखाए गए खेल के लिए, कैरम फाउल से निपटने का सामान्य तरीका क्या है?</v>
      </c>
      <c r="J118" s="8" t="str">
        <f>IFERROR(__xludf.DUMMYFUNCTION("GOOGLETRANSLATE(D118, ""en"", ""hi"")"),"A) पेनल्टी अंक देना, B) प्रतिद्वंद्वी को एक अतिरिक्त बारी देना, C) शॉट को दोबारा खेलना, D) फ़ाउल को नज़रअंदाज़ करना")</f>
        <v>A) पेनल्टी अंक देना, B) प्रतिद्वंद्वी को एक अतिरिक्त बारी देना, C) शॉट को दोबारा खेलना, D) फ़ाउल को नज़रअंदाज़ करना</v>
      </c>
      <c r="K118" s="8" t="str">
        <f>IFERROR(__xludf.DUMMYFUNCTION("GOOGLETRANSLATE(E118, ""en"", ""hi"")"),"B) प्रतिद्वंद्वी को एक अतिरिक्त बारी देना")</f>
        <v>B) प्रतिद्वंद्वी को एक अतिरिक्त बारी देना</v>
      </c>
    </row>
    <row r="119" ht="22.5" customHeight="1">
      <c r="A119" s="2">
        <v>118.0</v>
      </c>
      <c r="B119" s="3" t="s">
        <v>3375</v>
      </c>
      <c r="C119" s="3" t="s">
        <v>3379</v>
      </c>
      <c r="D119" s="3" t="s">
        <v>3380</v>
      </c>
      <c r="E119" s="3" t="s">
        <v>1873</v>
      </c>
      <c r="G119" s="8" t="str">
        <f>IFERROR(__xludf.DUMMYFUNCTION("GOOGLETRANSLATE(A119, ""en"", ""hi"")"),"118")</f>
        <v>118</v>
      </c>
      <c r="H119" s="8" t="str">
        <f>IFERROR(__xludf.DUMMYFUNCTION("GOOGLETRANSLATE(B119, ""en"", ""hi"")"),"कैरम_30")</f>
        <v>कैरम_30</v>
      </c>
      <c r="I119" s="8" t="str">
        <f>IFERROR(__xludf.DUMMYFUNCTION("GOOGLETRANSLATE(C119, ""en"", ""hi"")"),"चित्र में दिखाए गए खेल में, कैरम रक्षा रणनीतियों का अभ्यास करने का अनुशंसित तरीका क्या है?")</f>
        <v>चित्र में दिखाए गए खेल में, कैरम रक्षा रणनीतियों का अभ्यास करने का अनुशंसित तरीका क्या है?</v>
      </c>
      <c r="J119" s="8" t="str">
        <f>IFERROR(__xludf.DUMMYFUNCTION("GOOGLETRANSLATE(D119, ""en"", ""hi"")"),"A) मजबूत प्रतिद्वंद्वियों के खिलाफ खेलना, B) रक्षात्मक खेल ट्यूटोरियल देखना, C) ब्लॉक शॉट का अभ्यास करना, D) उपरोक्त सभी")</f>
        <v>A) मजबूत प्रतिद्वंद्वियों के खिलाफ खेलना, B) रक्षात्मक खेल ट्यूटोरियल देखना, C) ब्लॉक शॉट का अभ्यास करना, D) उपरोक्त सभी</v>
      </c>
      <c r="K119" s="8" t="str">
        <f>IFERROR(__xludf.DUMMYFUNCTION("GOOGLETRANSLATE(E119, ""en"", ""hi"")"),"D। उपरोक्त सभी")</f>
        <v>D। उपरोक्त सभी</v>
      </c>
    </row>
    <row r="120" ht="22.5" customHeight="1">
      <c r="A120" s="2">
        <v>119.0</v>
      </c>
      <c r="B120" s="3" t="s">
        <v>3375</v>
      </c>
      <c r="C120" s="3" t="s">
        <v>3381</v>
      </c>
      <c r="D120" s="3" t="s">
        <v>3382</v>
      </c>
      <c r="E120" s="3" t="s">
        <v>1873</v>
      </c>
      <c r="G120" s="8" t="str">
        <f>IFERROR(__xludf.DUMMYFUNCTION("GOOGLETRANSLATE(A120, ""en"", ""hi"")"),"119")</f>
        <v>119</v>
      </c>
      <c r="H120" s="8" t="str">
        <f>IFERROR(__xludf.DUMMYFUNCTION("GOOGLETRANSLATE(B120, ""en"", ""hi"")"),"कैरम_30")</f>
        <v>कैरम_30</v>
      </c>
      <c r="I120" s="8" t="str">
        <f>IFERROR(__xludf.DUMMYFUNCTION("GOOGLETRANSLATE(C120, ""en"", ""hi"")"),"चित्र में दिखाए गए खेल के लिए, कैरम शॉट पावर में सुधार करने की एक सामान्य तकनीक क्या है?")</f>
        <v>चित्र में दिखाए गए खेल के लिए, कैरम शॉट पावर में सुधार करने की एक सामान्य तकनीक क्या है?</v>
      </c>
      <c r="J120" s="8" t="str">
        <f>IFERROR(__xludf.DUMMYFUNCTION("GOOGLETRANSLATE(D120, ""en"", ""hi"")"),"A) लगाए गए बल को बढ़ाना, B) भारी हमलावरों के साथ अभ्यास करना, C) हमलावर की पकड़ को समायोजित करना, D) उपरोक्त सभी")</f>
        <v>A) लगाए गए बल को बढ़ाना, B) भारी हमलावरों के साथ अभ्यास करना, C) हमलावर की पकड़ को समायोजित करना, D) उपरोक्त सभी</v>
      </c>
      <c r="K120" s="8" t="str">
        <f>IFERROR(__xludf.DUMMYFUNCTION("GOOGLETRANSLATE(E120, ""en"", ""hi"")"),"D। उपरोक्त सभी")</f>
        <v>D। उपरोक्त सभी</v>
      </c>
    </row>
    <row r="121" ht="22.5" customHeight="1">
      <c r="A121" s="2">
        <v>120.0</v>
      </c>
      <c r="B121" s="3" t="s">
        <v>3375</v>
      </c>
      <c r="C121" s="3" t="s">
        <v>3383</v>
      </c>
      <c r="D121" s="3" t="s">
        <v>3384</v>
      </c>
      <c r="E121" s="3" t="s">
        <v>3385</v>
      </c>
      <c r="G121" s="8" t="str">
        <f>IFERROR(__xludf.DUMMYFUNCTION("GOOGLETRANSLATE(A121, ""en"", ""hi"")"),"120")</f>
        <v>120</v>
      </c>
      <c r="H121" s="8" t="str">
        <f>IFERROR(__xludf.DUMMYFUNCTION("GOOGLETRANSLATE(B121, ""en"", ""hi"")"),"कैरम_30")</f>
        <v>कैरम_30</v>
      </c>
      <c r="I121" s="8" t="str">
        <f>IFERROR(__xludf.DUMMYFUNCTION("GOOGLETRANSLATE(C121, ""en"", ""hi"")"),"चित्र में दिखाए गए खेल में, कैरम के टुकड़ों के लिए एक सामान्य रखरखाव कार्य क्या है?")</f>
        <v>चित्र में दिखाए गए खेल में, कैरम के टुकड़ों के लिए एक सामान्य रखरखाव कार्य क्या है?</v>
      </c>
      <c r="J121" s="8" t="str">
        <f>IFERROR(__xludf.DUMMYFUNCTION("GOOGLETRANSLATE(D121, ""en"", ""hi"")"),"A) नियमित रूप से पॉलिश करना, B) घिसे हुए सामान को बदलना, C) नम कपड़े से सफाई करना, D) उपरोक्त सभी")</f>
        <v>A) नियमित रूप से पॉलिश करना, B) घिसे हुए सामान को बदलना, C) नम कपड़े से सफाई करना, D) उपरोक्त सभी</v>
      </c>
      <c r="K121" s="8" t="str">
        <f>IFERROR(__xludf.DUMMYFUNCTION("GOOGLETRANSLATE(E121, ""en"", ""hi"")"),"बी) घिसे हुए टुकड़ों को बदलना")</f>
        <v>बी) घिसे हुए टुकड़ों को बदलना</v>
      </c>
    </row>
    <row r="122" ht="22.5" customHeight="1">
      <c r="A122" s="2">
        <v>121.0</v>
      </c>
      <c r="B122" s="3" t="s">
        <v>3386</v>
      </c>
      <c r="C122" s="3" t="s">
        <v>3387</v>
      </c>
      <c r="D122" s="3" t="s">
        <v>3388</v>
      </c>
      <c r="E122" s="3" t="s">
        <v>1873</v>
      </c>
      <c r="G122" s="8" t="str">
        <f>IFERROR(__xludf.DUMMYFUNCTION("GOOGLETRANSLATE(A122, ""en"", ""hi"")"),"121")</f>
        <v>121</v>
      </c>
      <c r="H122" s="8" t="str">
        <f>IFERROR(__xludf.DUMMYFUNCTION("GOOGLETRANSLATE(B122, ""en"", ""hi"")"),"कैरम_31")</f>
        <v>कैरम_31</v>
      </c>
      <c r="I122" s="8" t="str">
        <f>IFERROR(__xludf.DUMMYFUNCTION("GOOGLETRANSLATE(C122, ""en"", ""hi"")"),"चित्र में दिखाए गए खेल के लिए उन्नत कैरम तकनीक सीखने का अनुशंसित तरीका क्या है?")</f>
        <v>चित्र में दिखाए गए खेल के लिए उन्नत कैरम तकनीक सीखने का अनुशंसित तरीका क्या है?</v>
      </c>
      <c r="J122" s="8" t="str">
        <f>IFERROR(__xludf.DUMMYFUNCTION("GOOGLETRANSLATE(D122, ""en"", ""hi"")"),"A) कैरम क्लब में शामिल होना, B) कार्यशालाओं में भाग लेना, C) ऑनलाइन ट्यूटोरियल देखना, D) उपरोक्त सभी")</f>
        <v>A) कैरम क्लब में शामिल होना, B) कार्यशालाओं में भाग लेना, C) ऑनलाइन ट्यूटोरियल देखना, D) उपरोक्त सभी</v>
      </c>
      <c r="K122" s="8" t="str">
        <f>IFERROR(__xludf.DUMMYFUNCTION("GOOGLETRANSLATE(E122, ""en"", ""hi"")"),"D। उपरोक्त सभी")</f>
        <v>D। उपरोक्त सभी</v>
      </c>
    </row>
    <row r="123" ht="22.5" customHeight="1">
      <c r="A123" s="2">
        <v>122.0</v>
      </c>
      <c r="B123" s="3" t="s">
        <v>3386</v>
      </c>
      <c r="C123" s="3" t="s">
        <v>3389</v>
      </c>
      <c r="D123" s="3" t="s">
        <v>3390</v>
      </c>
      <c r="E123" s="3" t="s">
        <v>1873</v>
      </c>
      <c r="G123" s="8" t="str">
        <f>IFERROR(__xludf.DUMMYFUNCTION("GOOGLETRANSLATE(A123, ""en"", ""hi"")"),"122")</f>
        <v>122</v>
      </c>
      <c r="H123" s="8" t="str">
        <f>IFERROR(__xludf.DUMMYFUNCTION("GOOGLETRANSLATE(B123, ""en"", ""hi"")"),"कैरम_31")</f>
        <v>कैरम_31</v>
      </c>
      <c r="I123" s="8" t="str">
        <f>IFERROR(__xludf.DUMMYFUNCTION("GOOGLETRANSLATE(C123, ""en"", ""hi"")"),"चित्र में दिखाए गए खेल में, कैरम शॉट नियंत्रण को बढ़ाने का एक सामान्य तरीका क्या है?")</f>
        <v>चित्र में दिखाए गए खेल में, कैरम शॉट नियंत्रण को बढ़ाने का एक सामान्य तरीका क्या है?</v>
      </c>
      <c r="J123" s="8" t="str">
        <f>IFERROR(__xludf.DUMMYFUNCTION("GOOGLETRANSLATE(D123, ""en"", ""hi"")"),"A) विभिन्न स्ट्राइकरों के साथ अभ्यास करना, B) कैरम अभ्यास बोर्ड का उपयोग करना, C) हाथ-आँख समन्वय पर ध्यान केंद्रित करना, D) उपरोक्त सभी")</f>
        <v>A) विभिन्न स्ट्राइकरों के साथ अभ्यास करना, B) कैरम अभ्यास बोर्ड का उपयोग करना, C) हाथ-आँख समन्वय पर ध्यान केंद्रित करना, D) उपरोक्त सभी</v>
      </c>
      <c r="K123" s="8" t="str">
        <f>IFERROR(__xludf.DUMMYFUNCTION("GOOGLETRANSLATE(E123, ""en"", ""hi"")"),"D। उपरोक्त सभी")</f>
        <v>D। उपरोक्त सभी</v>
      </c>
    </row>
    <row r="124" ht="22.5" customHeight="1">
      <c r="A124" s="2">
        <v>123.0</v>
      </c>
      <c r="B124" s="3" t="s">
        <v>3386</v>
      </c>
      <c r="C124" s="3" t="s">
        <v>3391</v>
      </c>
      <c r="D124" s="3" t="s">
        <v>3392</v>
      </c>
      <c r="E124" s="3" t="s">
        <v>3393</v>
      </c>
      <c r="G124" s="8" t="str">
        <f>IFERROR(__xludf.DUMMYFUNCTION("GOOGLETRANSLATE(A124, ""en"", ""hi"")"),"123")</f>
        <v>123</v>
      </c>
      <c r="H124" s="8" t="str">
        <f>IFERROR(__xludf.DUMMYFUNCTION("GOOGLETRANSLATE(B124, ""en"", ""hi"")"),"कैरम_31")</f>
        <v>कैरम_31</v>
      </c>
      <c r="I124" s="8" t="str">
        <f>IFERROR(__xludf.DUMMYFUNCTION("GOOGLETRANSLATE(C124, ""en"", ""hi"")"),"चित्र में दिखाए गए खेल के लिए कैरम पीस क्लीनर का उपयोग करने का सामान्य कारण क्या है?")</f>
        <v>चित्र में दिखाए गए खेल के लिए कैरम पीस क्लीनर का उपयोग करने का सामान्य कारण क्या है?</v>
      </c>
      <c r="J124" s="8" t="str">
        <f>IFERROR(__xludf.DUMMYFUNCTION("GOOGLETRANSLATE(D124, ""en"", ""hi"")"),"A) सुचारू गति बनाए रखने के लिए, B) रंग निखारने के लिए, C) क्षति को रोकने के लिए, D) पकड़ बढ़ाने के लिए")</f>
        <v>A) सुचारू गति बनाए रखने के लिए, B) रंग निखारने के लिए, C) क्षति को रोकने के लिए, D) पकड़ बढ़ाने के लिए</v>
      </c>
      <c r="K124" s="8" t="str">
        <f>IFERROR(__xludf.DUMMYFUNCTION("GOOGLETRANSLATE(E124, ""en"", ""hi"")"),"A) सुचारू गति बनाए रखने के लिए")</f>
        <v>A) सुचारू गति बनाए रखने के लिए</v>
      </c>
    </row>
    <row r="125" ht="22.5" customHeight="1">
      <c r="A125" s="2">
        <v>124.0</v>
      </c>
      <c r="B125" s="3" t="s">
        <v>3386</v>
      </c>
      <c r="C125" s="3" t="s">
        <v>3394</v>
      </c>
      <c r="D125" s="3" t="s">
        <v>3395</v>
      </c>
      <c r="E125" s="3" t="s">
        <v>3396</v>
      </c>
      <c r="G125" s="8" t="str">
        <f>IFERROR(__xludf.DUMMYFUNCTION("GOOGLETRANSLATE(A125, ""en"", ""hi"")"),"124")</f>
        <v>124</v>
      </c>
      <c r="H125" s="8" t="str">
        <f>IFERROR(__xludf.DUMMYFUNCTION("GOOGLETRANSLATE(B125, ""en"", ""hi"")"),"कैरम_31")</f>
        <v>कैरम_31</v>
      </c>
      <c r="I125" s="8" t="str">
        <f>IFERROR(__xludf.DUMMYFUNCTION("GOOGLETRANSLATE(C125, ""en"", ""hi"")"),"चित्र में दिखाए गए खेल में कैरम बोर्ड को बदलने की आदर्श आवृत्ति क्या है?")</f>
        <v>चित्र में दिखाए गए खेल में कैरम बोर्ड को बदलने की आदर्श आवृत्ति क्या है?</v>
      </c>
      <c r="J125" s="8" t="str">
        <f>IFERROR(__xludf.DUMMYFUNCTION("GOOGLETRANSLATE(D125, ""en"", ""hi"")"),"A) हर साल, B) हर पांच साल में, C) केवल क्षतिग्रस्त होने पर, D) हर दो साल में")</f>
        <v>A) हर साल, B) हर पांच साल में, C) केवल क्षतिग्रस्त होने पर, D) हर दो साल में</v>
      </c>
      <c r="K125" s="8" t="str">
        <f>IFERROR(__xludf.DUMMYFUNCTION("GOOGLETRANSLATE(E125, ""en"", ""hi"")"),"C) केवल क्षतिग्रस्त होने पर")</f>
        <v>C) केवल क्षतिग्रस्त होने पर</v>
      </c>
    </row>
    <row r="126" ht="22.5" customHeight="1">
      <c r="A126" s="2">
        <v>125.0</v>
      </c>
      <c r="B126" s="3" t="s">
        <v>3397</v>
      </c>
      <c r="C126" s="3" t="s">
        <v>3398</v>
      </c>
      <c r="D126" s="3" t="s">
        <v>3399</v>
      </c>
      <c r="E126" s="3" t="s">
        <v>3400</v>
      </c>
      <c r="G126" s="8" t="str">
        <f>IFERROR(__xludf.DUMMYFUNCTION("GOOGLETRANSLATE(A126, ""en"", ""hi"")"),"125")</f>
        <v>125</v>
      </c>
      <c r="H126" s="8" t="str">
        <f>IFERROR(__xludf.DUMMYFUNCTION("GOOGLETRANSLATE(B126, ""en"", ""hi"")"),"कैरम_32")</f>
        <v>कैरम_32</v>
      </c>
      <c r="I126" s="8" t="str">
        <f>IFERROR(__xludf.DUMMYFUNCTION("GOOGLETRANSLATE(C126, ""en"", ""hi"")"),"चित्र में दिखाए गए खेल के लिए, अभ्यास हेतु कैरम बोर्ड को स्थापित करने का अनुशंसित तरीका क्या है?")</f>
        <v>चित्र में दिखाए गए खेल के लिए, अभ्यास हेतु कैरम बोर्ड को स्थापित करने का अनुशंसित तरीका क्या है?</v>
      </c>
      <c r="J126" s="8" t="str">
        <f>IFERROR(__xludf.DUMMYFUNCTION("GOOGLETRANSLATE(D126, ""en"", ""hi"")"),"A) टूर्नामेंटों की तरह ही व्यवस्था का उपयोग करना, B) यादृच्छिक टुकड़ों की व्यवस्था बनाना, C) विभिन्न सेटअपों के साथ अभ्यास करना, D) विशिष्ट प्रशिक्षण पैटर्न का पालन करना")</f>
        <v>A) टूर्नामेंटों की तरह ही व्यवस्था का उपयोग करना, B) यादृच्छिक टुकड़ों की व्यवस्था बनाना, C) विभिन्न सेटअपों के साथ अभ्यास करना, D) विशिष्ट प्रशिक्षण पैटर्न का पालन करना</v>
      </c>
      <c r="K126" s="8" t="str">
        <f>IFERROR(__xludf.DUMMYFUNCTION("GOOGLETRANSLATE(E126, ""en"", ""hi"")"),"C) विभिन्न सेटअप के साथ अभ्यास करना")</f>
        <v>C) विभिन्न सेटअप के साथ अभ्यास करना</v>
      </c>
    </row>
    <row r="127" ht="22.5" customHeight="1">
      <c r="A127" s="2">
        <v>126.0</v>
      </c>
      <c r="B127" s="3" t="s">
        <v>3397</v>
      </c>
      <c r="C127" s="3" t="s">
        <v>3401</v>
      </c>
      <c r="D127" s="3" t="s">
        <v>3402</v>
      </c>
      <c r="E127" s="3" t="s">
        <v>3403</v>
      </c>
      <c r="G127" s="8" t="str">
        <f>IFERROR(__xludf.DUMMYFUNCTION("GOOGLETRANSLATE(A127, ""en"", ""hi"")"),"126")</f>
        <v>126</v>
      </c>
      <c r="H127" s="8" t="str">
        <f>IFERROR(__xludf.DUMMYFUNCTION("GOOGLETRANSLATE(B127, ""en"", ""hi"")"),"कैरम_32")</f>
        <v>कैरम_32</v>
      </c>
      <c r="I127" s="8" t="str">
        <f>IFERROR(__xludf.DUMMYFUNCTION("GOOGLETRANSLATE(C127, ""en"", ""hi"")"),"चित्र में दिखाए गए खेल में कैरम शॉट की स्थिरता में सुधार करने का सामान्य तरीका क्या है?")</f>
        <v>चित्र में दिखाए गए खेल में कैरम शॉट की स्थिरता में सुधार करने का सामान्य तरीका क्या है?</v>
      </c>
      <c r="J127" s="8" t="str">
        <f>IFERROR(__xludf.DUMMYFUNCTION("GOOGLETRANSLATE(D127, ""en"", ""hi"")"),"A) एक निश्चित दिनचर्या के साथ अभ्यास करना, B) बार-बार स्ट्राइकर बदलना, C) विभिन्न परिस्थितियों में खेलना, D) उपरोक्त सभी")</f>
        <v>A) एक निश्चित दिनचर्या के साथ अभ्यास करना, B) बार-बार स्ट्राइकर बदलना, C) विभिन्न परिस्थितियों में खेलना, D) उपरोक्त सभी</v>
      </c>
      <c r="K127" s="8" t="str">
        <f>IFERROR(__xludf.DUMMYFUNCTION("GOOGLETRANSLATE(E127, ""en"", ""hi"")"),"A) एक निर्धारित दिनचर्या के साथ अभ्यास करना")</f>
        <v>A) एक निर्धारित दिनचर्या के साथ अभ्यास करना</v>
      </c>
    </row>
    <row r="128" ht="22.5" customHeight="1">
      <c r="A128" s="2">
        <v>127.0</v>
      </c>
      <c r="B128" s="3" t="s">
        <v>3397</v>
      </c>
      <c r="C128" s="3" t="s">
        <v>3404</v>
      </c>
      <c r="D128" s="3" t="s">
        <v>3405</v>
      </c>
      <c r="E128" s="3" t="s">
        <v>1873</v>
      </c>
      <c r="G128" s="8" t="str">
        <f>IFERROR(__xludf.DUMMYFUNCTION("GOOGLETRANSLATE(A128, ""en"", ""hi"")"),"127")</f>
        <v>127</v>
      </c>
      <c r="H128" s="8" t="str">
        <f>IFERROR(__xludf.DUMMYFUNCTION("GOOGLETRANSLATE(B128, ""en"", ""hi"")"),"कैरम_32")</f>
        <v>कैरम_32</v>
      </c>
      <c r="I128" s="8" t="str">
        <f>IFERROR(__xludf.DUMMYFUNCTION("GOOGLETRANSLATE(C128, ""en"", ""hi"")"),"चित्र में दिखाए गए खेल के लिए, कैरम रणनीतियों को प्रभावी ढंग से सीखने की एक सामान्य तकनीक क्या है?")</f>
        <v>चित्र में दिखाए गए खेल के लिए, कैरम रणनीतियों को प्रभावी ढंग से सीखने की एक सामान्य तकनीक क्या है?</v>
      </c>
      <c r="J128" s="8" t="str">
        <f>IFERROR(__xludf.DUMMYFUNCTION("GOOGLETRANSLATE(D128, ""en"", ""hi"")"),"A) अनुभवी खिलाड़ियों के साथ खेलना, B) रणनीति मार्गदर्शिकाएँ पढ़ना, C) कार्यशालाओं में भाग लेना, D) उपरोक्त सभी")</f>
        <v>A) अनुभवी खिलाड़ियों के साथ खेलना, B) रणनीति मार्गदर्शिकाएँ पढ़ना, C) कार्यशालाओं में भाग लेना, D) उपरोक्त सभी</v>
      </c>
      <c r="K128" s="8" t="str">
        <f>IFERROR(__xludf.DUMMYFUNCTION("GOOGLETRANSLATE(E128, ""en"", ""hi"")"),"D। उपरोक्त सभी")</f>
        <v>D। उपरोक्त सभी</v>
      </c>
    </row>
    <row r="129" ht="22.5" customHeight="1">
      <c r="A129" s="2">
        <v>128.0</v>
      </c>
      <c r="B129" s="3" t="s">
        <v>3397</v>
      </c>
      <c r="C129" s="3" t="s">
        <v>3406</v>
      </c>
      <c r="D129" s="3" t="s">
        <v>3407</v>
      </c>
      <c r="E129" s="3" t="s">
        <v>1873</v>
      </c>
      <c r="G129" s="8" t="str">
        <f>IFERROR(__xludf.DUMMYFUNCTION("GOOGLETRANSLATE(A129, ""en"", ""hi"")"),"128")</f>
        <v>128</v>
      </c>
      <c r="H129" s="8" t="str">
        <f>IFERROR(__xludf.DUMMYFUNCTION("GOOGLETRANSLATE(B129, ""en"", ""hi"")"),"कैरम_32")</f>
        <v>कैरम_32</v>
      </c>
      <c r="I129" s="8" t="str">
        <f>IFERROR(__xludf.DUMMYFUNCTION("GOOGLETRANSLATE(C129, ""en"", ""hi"")"),"चित्र में दिखाए गए खेल में कैरम बोर्ड स्टैंड का उपयोग करने का एक सामान्य कारण क्या है?")</f>
        <v>चित्र में दिखाए गए खेल में कैरम बोर्ड स्टैंड का उपयोग करने का एक सामान्य कारण क्या है?</v>
      </c>
      <c r="J129" s="8" t="str">
        <f>IFERROR(__xludf.DUMMYFUNCTION("GOOGLETRANSLATE(D129, ""en"", ""hi"")"),"A) बोर्ड की स्थिरता में सुधार करने के लिए, B) बोर्ड की ऊंचाई को समायोजित करने के लिए, C) दृश्यता बढ़ाने के लिए, D) उपरोक्त सभी")</f>
        <v>A) बोर्ड की स्थिरता में सुधार करने के लिए, B) बोर्ड की ऊंचाई को समायोजित करने के लिए, C) दृश्यता बढ़ाने के लिए, D) उपरोक्त सभी</v>
      </c>
      <c r="K129" s="8" t="str">
        <f>IFERROR(__xludf.DUMMYFUNCTION("GOOGLETRANSLATE(E129, ""en"", ""hi"")"),"D। उपरोक्त सभी")</f>
        <v>D। उपरोक्त सभी</v>
      </c>
    </row>
    <row r="130" ht="22.5" customHeight="1">
      <c r="A130" s="2">
        <v>129.0</v>
      </c>
      <c r="B130" s="3" t="s">
        <v>3408</v>
      </c>
      <c r="C130" s="3" t="s">
        <v>3409</v>
      </c>
      <c r="D130" s="3" t="s">
        <v>3410</v>
      </c>
      <c r="E130" s="3" t="s">
        <v>1873</v>
      </c>
      <c r="G130" s="8" t="str">
        <f>IFERROR(__xludf.DUMMYFUNCTION("GOOGLETRANSLATE(A130, ""en"", ""hi"")"),"129")</f>
        <v>129</v>
      </c>
      <c r="H130" s="8" t="str">
        <f>IFERROR(__xludf.DUMMYFUNCTION("GOOGLETRANSLATE(B130, ""en"", ""hi"")"),"कैरम_33")</f>
        <v>कैरम_33</v>
      </c>
      <c r="I130" s="8" t="str">
        <f>IFERROR(__xludf.DUMMYFUNCTION("GOOGLETRANSLATE(C130, ""en"", ""hi"")"),"चित्र में दिखाए गए खेल के लिए, कैरम निशाना लगाने की तकनीक का अभ्यास करने के लिए अनुशंसित विधि क्या है?")</f>
        <v>चित्र में दिखाए गए खेल के लिए, कैरम निशाना लगाने की तकनीक का अभ्यास करने के लिए अनुशंसित विधि क्या है?</v>
      </c>
      <c r="J130" s="8" t="str">
        <f>IFERROR(__xludf.DUMMYFUNCTION("GOOGLETRANSLATE(D130, ""en"", ""hi"")"),"A) लक्ष्य मार्करों का उपयोग करना, B) कोच के साथ अभ्यास करना, C) पेशेवर खेलों का विश्लेषण करना, D) उपरोक्त सभी")</f>
        <v>A) लक्ष्य मार्करों का उपयोग करना, B) कोच के साथ अभ्यास करना, C) पेशेवर खेलों का विश्लेषण करना, D) उपरोक्त सभी</v>
      </c>
      <c r="K130" s="8" t="str">
        <f>IFERROR(__xludf.DUMMYFUNCTION("GOOGLETRANSLATE(E130, ""en"", ""hi"")"),"D। उपरोक्त सभी")</f>
        <v>D। उपरोक्त सभी</v>
      </c>
    </row>
    <row r="131" ht="22.5" customHeight="1">
      <c r="A131" s="2">
        <v>130.0</v>
      </c>
      <c r="B131" s="3" t="s">
        <v>3408</v>
      </c>
      <c r="C131" s="3" t="s">
        <v>3411</v>
      </c>
      <c r="D131" s="3" t="s">
        <v>3412</v>
      </c>
      <c r="E131" s="3" t="s">
        <v>3413</v>
      </c>
      <c r="G131" s="8" t="str">
        <f>IFERROR(__xludf.DUMMYFUNCTION("GOOGLETRANSLATE(A131, ""en"", ""hi"")"),"130")</f>
        <v>130</v>
      </c>
      <c r="H131" s="8" t="str">
        <f>IFERROR(__xludf.DUMMYFUNCTION("GOOGLETRANSLATE(B131, ""en"", ""hi"")"),"कैरम_33")</f>
        <v>कैरम_33</v>
      </c>
      <c r="I131" s="8" t="str">
        <f>IFERROR(__xludf.DUMMYFUNCTION("GOOGLETRANSLATE(C131, ""en"", ""hi"")"),"चित्र में दिखाए गए खेल के लिए, कैरम शॉट में सटीकता सुधारने की सामान्य रणनीति क्या है?")</f>
        <v>चित्र में दिखाए गए खेल के लिए, कैरम शॉट में सटीकता सुधारने की सामान्य रणनीति क्या है?</v>
      </c>
      <c r="J131" s="8" t="str">
        <f>IFERROR(__xludf.DUMMYFUNCTION("GOOGLETRANSLATE(D131, ""en"", ""hi"")"),"A) बोर्ड के कोण को समायोजित करना, B) एक सुसंगत शॉट तकनीक का उपयोग करना, C) शॉट की शक्ति को बदलना, D) बोर्ड की सतह को बदलना")</f>
        <v>A) बोर्ड के कोण को समायोजित करना, B) एक सुसंगत शॉट तकनीक का उपयोग करना, C) शॉट की शक्ति को बदलना, D) बोर्ड की सतह को बदलना</v>
      </c>
      <c r="K131" s="8" t="str">
        <f>IFERROR(__xludf.DUMMYFUNCTION("GOOGLETRANSLATE(E131, ""en"", ""hi"")"),"बी) एक सुसंगत शॉट तकनीक का उपयोग करना")</f>
        <v>बी) एक सुसंगत शॉट तकनीक का उपयोग करना</v>
      </c>
    </row>
    <row r="132" ht="22.5" customHeight="1">
      <c r="A132" s="2">
        <v>131.0</v>
      </c>
      <c r="B132" s="3" t="s">
        <v>3408</v>
      </c>
      <c r="C132" s="3" t="s">
        <v>3414</v>
      </c>
      <c r="D132" s="3" t="s">
        <v>3415</v>
      </c>
      <c r="E132" s="3" t="s">
        <v>1873</v>
      </c>
      <c r="G132" s="8" t="str">
        <f>IFERROR(__xludf.DUMMYFUNCTION("GOOGLETRANSLATE(A132, ""en"", ""hi"")"),"131")</f>
        <v>131</v>
      </c>
      <c r="H132" s="8" t="str">
        <f>IFERROR(__xludf.DUMMYFUNCTION("GOOGLETRANSLATE(B132, ""en"", ""hi"")"),"कैरम_33")</f>
        <v>कैरम_33</v>
      </c>
      <c r="I132" s="8" t="str">
        <f>IFERROR(__xludf.DUMMYFUNCTION("GOOGLETRANSLATE(C132, ""en"", ""hi"")"),"चित्र में दिखाए गए खेल में, कैरम बोर्ड को समतल बनाए रखने के लिए सामान्य पद्धति क्या है?")</f>
        <v>चित्र में दिखाए गए खेल में, कैरम बोर्ड को समतल बनाए रखने के लिए सामान्य पद्धति क्या है?</v>
      </c>
      <c r="J132" s="8" t="str">
        <f>IFERROR(__xludf.DUMMYFUNCTION("GOOGLETRANSLATE(D132, ""en"", ""hi"")"),"A) लेवलिंग टूल का उपयोग करना, B) बोर्ड को स्थिर सतह पर रखना, C) बोर्ड के पैरों को समायोजित करना, D) उपरोक्त सभी")</f>
        <v>A) लेवलिंग टूल का उपयोग करना, B) बोर्ड को स्थिर सतह पर रखना, C) बोर्ड के पैरों को समायोजित करना, D) उपरोक्त सभी</v>
      </c>
      <c r="K132" s="8" t="str">
        <f>IFERROR(__xludf.DUMMYFUNCTION("GOOGLETRANSLATE(E132, ""en"", ""hi"")"),"D। उपरोक्त सभी")</f>
        <v>D। उपरोक्त सभी</v>
      </c>
    </row>
    <row r="133" ht="22.5" customHeight="1">
      <c r="A133" s="2">
        <v>132.0</v>
      </c>
      <c r="B133" s="3" t="s">
        <v>3408</v>
      </c>
      <c r="C133" s="3" t="s">
        <v>3416</v>
      </c>
      <c r="D133" s="3" t="s">
        <v>3417</v>
      </c>
      <c r="E133" s="3" t="s">
        <v>3418</v>
      </c>
      <c r="G133" s="8" t="str">
        <f>IFERROR(__xludf.DUMMYFUNCTION("GOOGLETRANSLATE(A133, ""en"", ""hi"")"),"132")</f>
        <v>132</v>
      </c>
      <c r="H133" s="8" t="str">
        <f>IFERROR(__xludf.DUMMYFUNCTION("GOOGLETRANSLATE(B133, ""en"", ""hi"")"),"कैरम_33")</f>
        <v>कैरम_33</v>
      </c>
      <c r="I133" s="8" t="str">
        <f>IFERROR(__xludf.DUMMYFUNCTION("GOOGLETRANSLATE(C133, ""en"", ""hi"")"),"चित्र में दिखाए गए खेल के लिए, स्पिन के साथ कैरम शॉट लगाने की अनुशंसित तकनीक क्या है?")</f>
        <v>चित्र में दिखाए गए खेल के लिए, स्पिन के साथ कैरम शॉट लगाने की अनुशंसित तकनीक क्या है?</v>
      </c>
      <c r="J133" s="8" t="str">
        <f>IFERROR(__xludf.DUMMYFUNCTION("GOOGLETRANSLATE(D133, ""en"", ""hi"")"),"A) स्ट्राइकर के किनारे से स्पिन लगाना, B) अधिक शॉट बल का उपयोग करना, C) स्ट्राइकर सामग्री को बदलना, D) स्ट्राइकर की गति पर ध्यान केंद्रित करना")</f>
        <v>A) स्ट्राइकर के किनारे से स्पिन लगाना, B) अधिक शॉट बल का उपयोग करना, C) स्ट्राइकर सामग्री को बदलना, D) स्ट्राइकर की गति पर ध्यान केंद्रित करना</v>
      </c>
      <c r="K133" s="8" t="str">
        <f>IFERROR(__xludf.DUMMYFUNCTION("GOOGLETRANSLATE(E133, ""en"", ""hi"")"),"A) स्ट्राइकर के किनारे से स्पिन लगाना")</f>
        <v>A) स्ट्राइकर के किनारे से स्पिन लगाना</v>
      </c>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88"/>
    <col customWidth="1" min="3" max="4" width="37.63"/>
    <col customWidth="1" min="5" max="5" width="23.75"/>
    <col customWidth="1" min="9" max="10" width="37.63"/>
    <col customWidth="1" min="11" max="11" width="31.88"/>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3419</v>
      </c>
      <c r="C2" s="3" t="s">
        <v>3420</v>
      </c>
      <c r="D2" s="3" t="s">
        <v>3421</v>
      </c>
      <c r="E2" s="3" t="s">
        <v>3422</v>
      </c>
      <c r="G2" s="8" t="str">
        <f>IFERROR(__xludf.DUMMYFUNCTION("GOOGLETRANSLATE(A2, ""en"", ""hi"")"),"1")</f>
        <v>1</v>
      </c>
      <c r="H2" s="8" t="str">
        <f>IFERROR(__xludf.DUMMYFUNCTION("GOOGLETRANSLATE(B2, ""en"", ""hi"")"),"कलारीपयट्टू_1")</f>
        <v>कलारीपयट्टू_1</v>
      </c>
      <c r="I2" s="8" t="str">
        <f>IFERROR(__xludf.DUMMYFUNCTION("GOOGLETRANSLATE(C2, ""en"", ""hi"")"),"चित्र में दिखाए गए खेल के लिए प्रशिक्षण के दौरान प्रयुक्त प्राथमिक हथियार क्या है?")</f>
        <v>चित्र में दिखाए गए खेल के लिए प्रशिक्षण के दौरान प्रयुक्त प्राथमिक हथियार क्या है?</v>
      </c>
      <c r="J2" s="8" t="str">
        <f>IFERROR(__xludf.DUMMYFUNCTION("GOOGLETRANSLATE(D2, ""en"", ""hi"")"),"A) तलवार, B) भाला, C) गदा, D) ढाल")</f>
        <v>A) तलवार, B) भाला, C) गदा, D) ढाल</v>
      </c>
      <c r="K2" s="8" t="str">
        <f>IFERROR(__xludf.DUMMYFUNCTION("GOOGLETRANSLATE(E2, ""en"", ""hi"")"),"बी) भाला")</f>
        <v>बी) भाला</v>
      </c>
    </row>
    <row r="3" ht="22.5" customHeight="1">
      <c r="A3" s="2">
        <v>2.0</v>
      </c>
      <c r="B3" s="3" t="s">
        <v>3419</v>
      </c>
      <c r="C3" s="3" t="s">
        <v>3423</v>
      </c>
      <c r="D3" s="3" t="s">
        <v>3424</v>
      </c>
      <c r="E3" s="3" t="s">
        <v>3425</v>
      </c>
      <c r="G3" s="8" t="str">
        <f>IFERROR(__xludf.DUMMYFUNCTION("GOOGLETRANSLATE(A3, ""en"", ""hi"")"),"2")</f>
        <v>2</v>
      </c>
      <c r="H3" s="8" t="str">
        <f>IFERROR(__xludf.DUMMYFUNCTION("GOOGLETRANSLATE(B3, ""en"", ""hi"")"),"कलारीपयट्टू_1")</f>
        <v>कलारीपयट्टू_1</v>
      </c>
      <c r="I3" s="8" t="str">
        <f>IFERROR(__xludf.DUMMYFUNCTION("GOOGLETRANSLATE(C3, ""en"", ""hi"")"),"चित्र में कलरीपयट्टू के लिए किस प्रकार का प्रशिक्षण दर्शाया गया है?")</f>
        <v>चित्र में कलरीपयट्टू के लिए किस प्रकार का प्रशिक्षण दर्शाया गया है?</v>
      </c>
      <c r="J3" s="8" t="str">
        <f>IFERROR(__xludf.DUMMYFUNCTION("GOOGLETRANSLATE(D3, ""en"", ""hi"")"),"ए) फुटवर्क अभ्यास, बी) हथियार तकनीक, सी) ग्रैपलिंग, डी) श्वास व्यायाम")</f>
        <v>ए) फुटवर्क अभ्यास, बी) हथियार तकनीक, सी) ग्रैपलिंग, डी) श्वास व्यायाम</v>
      </c>
      <c r="K3" s="8" t="str">
        <f>IFERROR(__xludf.DUMMYFUNCTION("GOOGLETRANSLATE(E3, ""en"", ""hi"")"),"बी) हथियार तकनीक")</f>
        <v>बी) हथियार तकनीक</v>
      </c>
    </row>
    <row r="4" ht="22.5" customHeight="1">
      <c r="A4" s="2">
        <v>3.0</v>
      </c>
      <c r="B4" s="3" t="s">
        <v>3419</v>
      </c>
      <c r="C4" s="3" t="s">
        <v>3426</v>
      </c>
      <c r="D4" s="3" t="s">
        <v>3427</v>
      </c>
      <c r="E4" s="3" t="s">
        <v>3428</v>
      </c>
      <c r="G4" s="8" t="str">
        <f>IFERROR(__xludf.DUMMYFUNCTION("GOOGLETRANSLATE(A4, ""en"", ""hi"")"),"3")</f>
        <v>3</v>
      </c>
      <c r="H4" s="8" t="str">
        <f>IFERROR(__xludf.DUMMYFUNCTION("GOOGLETRANSLATE(B4, ""en"", ""hi"")"),"कलारीपयट्टू_1")</f>
        <v>कलारीपयट्टू_1</v>
      </c>
      <c r="I4" s="8" t="str">
        <f>IFERROR(__xludf.DUMMYFUNCTION("GOOGLETRANSLATE(C4, ""en"", ""hi"")"),"चित्र में दिखाए गए खेल में किस प्रकार की पारंपरिक पोशाक शामिल है?")</f>
        <v>चित्र में दिखाए गए खेल में किस प्रकार की पारंपरिक पोशाक शामिल है?</v>
      </c>
      <c r="J4" s="8" t="str">
        <f>IFERROR(__xludf.DUMMYFUNCTION("GOOGLETRANSLATE(D4, ""en"", ""hi"")"),"A) किमोनो, B) धोती, C) वर्दी, D) ट्रैकसूट")</f>
        <v>A) किमोनो, B) धोती, C) वर्दी, D) ट्रैकसूट</v>
      </c>
      <c r="K4" s="8" t="str">
        <f>IFERROR(__xludf.DUMMYFUNCTION("GOOGLETRANSLATE(E4, ""en"", ""hi"")"),"बी) धोती")</f>
        <v>बी) धोती</v>
      </c>
    </row>
    <row r="5" ht="22.5" customHeight="1">
      <c r="A5" s="2">
        <v>4.0</v>
      </c>
      <c r="B5" s="3" t="s">
        <v>3419</v>
      </c>
      <c r="C5" s="3" t="s">
        <v>3429</v>
      </c>
      <c r="D5" s="3" t="s">
        <v>3430</v>
      </c>
      <c r="E5" s="3" t="s">
        <v>978</v>
      </c>
      <c r="G5" s="8" t="str">
        <f>IFERROR(__xludf.DUMMYFUNCTION("GOOGLETRANSLATE(A5, ""en"", ""hi"")"),"4")</f>
        <v>4</v>
      </c>
      <c r="H5" s="8" t="str">
        <f>IFERROR(__xludf.DUMMYFUNCTION("GOOGLETRANSLATE(B5, ""en"", ""hi"")"),"कलारीपयट्टू_1")</f>
        <v>कलारीपयट्टू_1</v>
      </c>
      <c r="I5" s="8" t="str">
        <f>IFERROR(__xludf.DUMMYFUNCTION("GOOGLETRANSLATE(C5, ""en"", ""hi"")"),"चित्र में दिखाए गए खेल के लिए, दिखाए गए अभ्यास का प्राथमिक फोकस क्या है?")</f>
        <v>चित्र में दिखाए गए खेल के लिए, दिखाए गए अभ्यास का प्राथमिक फोकस क्या है?</v>
      </c>
      <c r="J5" s="8" t="str">
        <f>IFERROR(__xludf.DUMMYFUNCTION("GOOGLETRANSLATE(D5, ""en"", ""hi"")"),"A) लचीलापन, B) ताकत, C) गति, D) परिशुद्धता")</f>
        <v>A) लचीलापन, B) ताकत, C) गति, D) परिशुद्धता</v>
      </c>
      <c r="K5" s="8" t="str">
        <f>IFERROR(__xludf.DUMMYFUNCTION("GOOGLETRANSLATE(E5, ""en"", ""hi"")"),"ए) लचीलापन")</f>
        <v>ए) लचीलापन</v>
      </c>
    </row>
    <row r="6" ht="22.5" customHeight="1">
      <c r="A6" s="2">
        <v>5.0</v>
      </c>
      <c r="B6" s="3" t="s">
        <v>3431</v>
      </c>
      <c r="C6" s="3" t="s">
        <v>3432</v>
      </c>
      <c r="D6" s="3" t="s">
        <v>3433</v>
      </c>
      <c r="E6" s="3" t="s">
        <v>3434</v>
      </c>
      <c r="G6" s="8" t="str">
        <f>IFERROR(__xludf.DUMMYFUNCTION("GOOGLETRANSLATE(A6, ""en"", ""hi"")"),"5")</f>
        <v>5</v>
      </c>
      <c r="H6" s="8" t="str">
        <f>IFERROR(__xludf.DUMMYFUNCTION("GOOGLETRANSLATE(B6, ""en"", ""hi"")"),"कलारीपयट्टू_2")</f>
        <v>कलारीपयट्टू_2</v>
      </c>
      <c r="I6" s="8" t="str">
        <f>IFERROR(__xludf.DUMMYFUNCTION("GOOGLETRANSLATE(C6, ""en"", ""hi"")"),"चित्र में, निम्नलिखित में से कौन सा कलारीपयट्टू का विशिष्ट आसन या रुख है?")</f>
        <v>चित्र में, निम्नलिखित में से कौन सा कलारीपयट्टू का विशिष्ट आसन या रुख है?</v>
      </c>
      <c r="J6" s="8" t="str">
        <f>IFERROR(__xludf.DUMMYFUNCTION("GOOGLETRANSLATE(D6, ""en"", ""hi"")"),"A) अश्व मुद्रा, B) सारस मुद्रा, C) बाघ मुद्रा, D) ड्रैगन मुद्रा")</f>
        <v>A) अश्व मुद्रा, B) सारस मुद्रा, C) बाघ मुद्रा, D) ड्रैगन मुद्रा</v>
      </c>
      <c r="K6" s="8" t="str">
        <f>IFERROR(__xludf.DUMMYFUNCTION("GOOGLETRANSLATE(E6, ""en"", ""hi"")"),"C) बाघ की मुद्रा")</f>
        <v>C) बाघ की मुद्रा</v>
      </c>
    </row>
    <row r="7" ht="22.5" customHeight="1">
      <c r="A7" s="2">
        <v>6.0</v>
      </c>
      <c r="B7" s="3" t="s">
        <v>3431</v>
      </c>
      <c r="C7" s="3" t="s">
        <v>3435</v>
      </c>
      <c r="D7" s="3" t="s">
        <v>3436</v>
      </c>
      <c r="E7" s="3" t="s">
        <v>3437</v>
      </c>
      <c r="G7" s="8" t="str">
        <f>IFERROR(__xludf.DUMMYFUNCTION("GOOGLETRANSLATE(A7, ""en"", ""hi"")"),"6")</f>
        <v>6</v>
      </c>
      <c r="H7" s="8" t="str">
        <f>IFERROR(__xludf.DUMMYFUNCTION("GOOGLETRANSLATE(B7, ""en"", ""hi"")"),"कलारीपयट्टू_2")</f>
        <v>कलारीपयट्टू_2</v>
      </c>
      <c r="I7" s="8" t="str">
        <f>IFERROR(__xludf.DUMMYFUNCTION("GOOGLETRANSLATE(C7, ""en"", ""hi"")"),"चित्र में दिखाई गई छड़ी का कलरीपयट्टू के लिए प्राथमिक उपयोग क्या है?")</f>
        <v>चित्र में दिखाई गई छड़ी का कलरीपयट्टू के लिए प्राथमिक उपयोग क्या है?</v>
      </c>
      <c r="J7" s="8" t="str">
        <f>IFERROR(__xludf.DUMMYFUNCTION("GOOGLETRANSLATE(D7, ""en"", ""hi"")"),"A) ध्यान, B) रक्षा, C) आक्रमण, D) प्रशिक्षण")</f>
        <v>A) ध्यान, B) रक्षा, C) आक्रमण, D) प्रशिक्षण</v>
      </c>
      <c r="K7" s="8" t="str">
        <f>IFERROR(__xludf.DUMMYFUNCTION("GOOGLETRANSLATE(E7, ""en"", ""hi"")"),"डी) प्रशिक्षण")</f>
        <v>डी) प्रशिक्षण</v>
      </c>
    </row>
    <row r="8" ht="22.5" customHeight="1">
      <c r="A8" s="2">
        <v>7.0</v>
      </c>
      <c r="B8" s="3" t="s">
        <v>3431</v>
      </c>
      <c r="C8" s="3" t="s">
        <v>3438</v>
      </c>
      <c r="D8" s="3" t="s">
        <v>3439</v>
      </c>
      <c r="E8" s="3" t="s">
        <v>3440</v>
      </c>
      <c r="G8" s="8" t="str">
        <f>IFERROR(__xludf.DUMMYFUNCTION("GOOGLETRANSLATE(A8, ""en"", ""hi"")"),"7")</f>
        <v>7</v>
      </c>
      <c r="H8" s="8" t="str">
        <f>IFERROR(__xludf.DUMMYFUNCTION("GOOGLETRANSLATE(B8, ""en"", ""hi"")"),"कलारीपयट्टू_2")</f>
        <v>कलारीपयट्टू_2</v>
      </c>
      <c r="I8" s="8" t="str">
        <f>IFERROR(__xludf.DUMMYFUNCTION("GOOGLETRANSLATE(C8, ""en"", ""hi"")"),"चित्र में किस प्रकार की गतिविधि या तकनीक प्रदर्शित की जा रही है?")</f>
        <v>चित्र में किस प्रकार की गतिविधि या तकनीक प्रदर्शित की जा रही है?</v>
      </c>
      <c r="J8" s="8" t="str">
        <f>IFERROR(__xludf.DUMMYFUNCTION("GOOGLETRANSLATE(D8, ""en"", ""hi"")"),"A) कूदना, B) चकमा देना, C) प्रहार करना, D) रोकना")</f>
        <v>A) कूदना, B) चकमा देना, C) प्रहार करना, D) रोकना</v>
      </c>
      <c r="K8" s="8" t="str">
        <f>IFERROR(__xludf.DUMMYFUNCTION("GOOGLETRANSLATE(E8, ""en"", ""hi"")"),"सी) हड़ताली")</f>
        <v>सी) हड़ताली</v>
      </c>
    </row>
    <row r="9" ht="22.5" customHeight="1">
      <c r="A9" s="2">
        <v>8.0</v>
      </c>
      <c r="B9" s="3" t="s">
        <v>3431</v>
      </c>
      <c r="C9" s="3" t="s">
        <v>3441</v>
      </c>
      <c r="D9" s="3" t="s">
        <v>3442</v>
      </c>
      <c r="E9" s="3" t="s">
        <v>1873</v>
      </c>
      <c r="G9" s="8" t="str">
        <f>IFERROR(__xludf.DUMMYFUNCTION("GOOGLETRANSLATE(A9, ""en"", ""hi"")"),"8")</f>
        <v>8</v>
      </c>
      <c r="H9" s="8" t="str">
        <f>IFERROR(__xludf.DUMMYFUNCTION("GOOGLETRANSLATE(B9, ""en"", ""hi"")"),"कलारीपयट्टू_2")</f>
        <v>कलारीपयट्टू_2</v>
      </c>
      <c r="I9" s="8" t="str">
        <f>IFERROR(__xludf.DUMMYFUNCTION("GOOGLETRANSLATE(C9, ""en"", ""hi"")"),"चित्र में दिखाए गए खेल में निम्नलिखित में से कौन सा पहलू शामिल है?")</f>
        <v>चित्र में दिखाए गए खेल में निम्नलिखित में से कौन सा पहलू शामिल है?</v>
      </c>
      <c r="J9" s="8" t="str">
        <f>IFERROR(__xludf.DUMMYFUNCTION("GOOGLETRANSLATE(D9, ""en"", ""hi"")"),"A) मानसिक फोकस, B) शारीरिक चपलता, C) टीम समन्वय, D) उपरोक्त सभी")</f>
        <v>A) मानसिक फोकस, B) शारीरिक चपलता, C) टीम समन्वय, D) उपरोक्त सभी</v>
      </c>
      <c r="K9" s="8" t="str">
        <f>IFERROR(__xludf.DUMMYFUNCTION("GOOGLETRANSLATE(E9, ""en"", ""hi"")"),"D। उपरोक्त सभी")</f>
        <v>D। उपरोक्त सभी</v>
      </c>
    </row>
    <row r="10" ht="22.5" customHeight="1">
      <c r="A10" s="2">
        <v>9.0</v>
      </c>
      <c r="B10" s="3" t="s">
        <v>3443</v>
      </c>
      <c r="C10" s="3" t="s">
        <v>3444</v>
      </c>
      <c r="D10" s="3" t="s">
        <v>3445</v>
      </c>
      <c r="E10" s="3" t="s">
        <v>3446</v>
      </c>
      <c r="G10" s="8" t="str">
        <f>IFERROR(__xludf.DUMMYFUNCTION("GOOGLETRANSLATE(A10, ""en"", ""hi"")"),"9")</f>
        <v>9</v>
      </c>
      <c r="H10" s="8" t="str">
        <f>IFERROR(__xludf.DUMMYFUNCTION("GOOGLETRANSLATE(B10, ""en"", ""hi"")"),"कलारीपयट्टू_3")</f>
        <v>कलारीपयट्टू_3</v>
      </c>
      <c r="I10" s="8" t="str">
        <f>IFERROR(__xludf.DUMMYFUNCTION("GOOGLETRANSLATE(C10, ""en"", ""hi"")"),"चित्र में दिखाए गए खेल के लिए लकड़ी के अभ्यास हथियारों का क्या महत्व है?")</f>
        <v>चित्र में दिखाए गए खेल के लिए लकड़ी के अभ्यास हथियारों का क्या महत्व है?</v>
      </c>
      <c r="J10" s="8" t="str">
        <f>IFERROR(__xludf.DUMMYFUNCTION("GOOGLETRANSLATE(D10, ""en"", ""hi"")"),"A) इनका उपयोग सजावट के लिए किया जाता है, B) इनका उपयोग अभ्यास के लिए किया जाता है, C) इनका उपयोग समारोहों के लिए किया जाता है, D) इनका उपयोग प्रदर्शन के लिए किया जाता है")</f>
        <v>A) इनका उपयोग सजावट के लिए किया जाता है, B) इनका उपयोग अभ्यास के लिए किया जाता है, C) इनका उपयोग समारोहों के लिए किया जाता है, D) इनका उपयोग प्रदर्शन के लिए किया जाता है</v>
      </c>
      <c r="K10" s="8" t="str">
        <f>IFERROR(__xludf.DUMMYFUNCTION("GOOGLETRANSLATE(E10, ""en"", ""hi"")"),"B) इनका उपयोग अभ्यास के लिए किया जाता है")</f>
        <v>B) इनका उपयोग अभ्यास के लिए किया जाता है</v>
      </c>
    </row>
    <row r="11" ht="22.5" customHeight="1">
      <c r="A11" s="2">
        <v>10.0</v>
      </c>
      <c r="B11" s="3" t="s">
        <v>3443</v>
      </c>
      <c r="C11" s="3" t="s">
        <v>3447</v>
      </c>
      <c r="D11" s="3" t="s">
        <v>3448</v>
      </c>
      <c r="E11" s="3" t="s">
        <v>1932</v>
      </c>
      <c r="G11" s="8" t="str">
        <f>IFERROR(__xludf.DUMMYFUNCTION("GOOGLETRANSLATE(A11, ""en"", ""hi"")"),"10")</f>
        <v>10</v>
      </c>
      <c r="H11" s="8" t="str">
        <f>IFERROR(__xludf.DUMMYFUNCTION("GOOGLETRANSLATE(B11, ""en"", ""hi"")"),"कलारीपयट्टू_3")</f>
        <v>कलारीपयट्टू_3</v>
      </c>
      <c r="I11" s="8" t="str">
        <f>IFERROR(__xludf.DUMMYFUNCTION("GOOGLETRANSLATE(C11, ""en"", ""hi"")"),"चित्र में, कलरीपयट्टू के अभ्यास के लिए आमतौर पर किस प्रकार की सतह का उपयोग किया जाता है?")</f>
        <v>चित्र में, कलरीपयट्टू के अभ्यास के लिए आमतौर पर किस प्रकार की सतह का उपयोग किया जाता है?</v>
      </c>
      <c r="J11" s="8" t="str">
        <f>IFERROR(__xludf.DUMMYFUNCTION("GOOGLETRANSLATE(D11, ""en"", ""hi"")"),"A) कंक्रीट, B) रेत, C) लकड़ी का फर्श, D) घास")</f>
        <v>A) कंक्रीट, B) रेत, C) लकड़ी का फर्श, D) घास</v>
      </c>
      <c r="K11" s="8" t="str">
        <f>IFERROR(__xludf.DUMMYFUNCTION("GOOGLETRANSLATE(E11, ""en"", ""hi"")"),"C) लकड़ी का फर्श")</f>
        <v>C) लकड़ी का फर्श</v>
      </c>
    </row>
    <row r="12" ht="22.5" customHeight="1">
      <c r="A12" s="2">
        <v>11.0</v>
      </c>
      <c r="B12" s="3" t="s">
        <v>3443</v>
      </c>
      <c r="C12" s="3" t="s">
        <v>3449</v>
      </c>
      <c r="D12" s="3" t="s">
        <v>3450</v>
      </c>
      <c r="E12" s="3" t="s">
        <v>3451</v>
      </c>
      <c r="G12" s="8" t="str">
        <f>IFERROR(__xludf.DUMMYFUNCTION("GOOGLETRANSLATE(A12, ""en"", ""hi"")"),"11")</f>
        <v>11</v>
      </c>
      <c r="H12" s="8" t="str">
        <f>IFERROR(__xludf.DUMMYFUNCTION("GOOGLETRANSLATE(B12, ""en"", ""hi"")"),"कलारीपयट्टू_3")</f>
        <v>कलारीपयट्टू_3</v>
      </c>
      <c r="I12" s="8" t="str">
        <f>IFERROR(__xludf.DUMMYFUNCTION("GOOGLETRANSLATE(C12, ""en"", ""hi"")"),"चित्र में एक साधक एक तकनीक का प्रदर्शन करता हुआ दिखाया गया है। कलारीपयट्टू में इस तकनीक का उद्देश्य क्या है?")</f>
        <v>चित्र में एक साधक एक तकनीक का प्रदर्शन करता हुआ दिखाया गया है। कलारीपयट्टू में इस तकनीक का उद्देश्य क्या है?</v>
      </c>
      <c r="J12" s="8" t="str">
        <f>IFERROR(__xludf.DUMMYFUNCTION("GOOGLETRANSLATE(D12, ""en"", ""hi"")"),"A) गति बढ़ाने के लिए, B) संतुलन सुधारने के लिए, C) शक्ति विकसित करने के लिए, D) सहनशक्ति बढ़ाने के लिए")</f>
        <v>A) गति बढ़ाने के लिए, B) संतुलन सुधारने के लिए, C) शक्ति विकसित करने के लिए, D) सहनशक्ति बढ़ाने के लिए</v>
      </c>
      <c r="K12" s="8" t="str">
        <f>IFERROR(__xludf.DUMMYFUNCTION("GOOGLETRANSLATE(E12, ""en"", ""hi"")"),"C) शक्ति विकसित करना")</f>
        <v>C) शक्ति विकसित करना</v>
      </c>
    </row>
    <row r="13" ht="22.5" customHeight="1">
      <c r="A13" s="2">
        <v>12.0</v>
      </c>
      <c r="B13" s="3" t="s">
        <v>3443</v>
      </c>
      <c r="C13" s="3" t="s">
        <v>3452</v>
      </c>
      <c r="D13" s="3" t="s">
        <v>3453</v>
      </c>
      <c r="E13" s="3" t="s">
        <v>1873</v>
      </c>
      <c r="G13" s="8" t="str">
        <f>IFERROR(__xludf.DUMMYFUNCTION("GOOGLETRANSLATE(A13, ""en"", ""hi"")"),"12")</f>
        <v>12</v>
      </c>
      <c r="H13" s="8" t="str">
        <f>IFERROR(__xludf.DUMMYFUNCTION("GOOGLETRANSLATE(B13, ""en"", ""hi"")"),"कलारीपयट्टू_3")</f>
        <v>कलारीपयट्टू_3</v>
      </c>
      <c r="I13" s="8" t="str">
        <f>IFERROR(__xludf.DUMMYFUNCTION("GOOGLETRANSLATE(C13, ""en"", ""hi"")"),"चित्र में दिखाए गए खेल के लिए, नियमित रूप से कलरीपयट्टू का अभ्यास करने का मुख्य लाभ क्या है?")</f>
        <v>चित्र में दिखाए गए खेल के लिए, नियमित रूप से कलरीपयट्टू का अभ्यास करने का मुख्य लाभ क्या है?</v>
      </c>
      <c r="J13" s="8" t="str">
        <f>IFERROR(__xludf.DUMMYFUNCTION("GOOGLETRANSLATE(D13, ""en"", ""hi"")"),"A) बेहतर मानसिक एकाग्रता, B) बेहतर शारीरिक फिटनेस, C) बेहतर समन्वय, D) उपरोक्त सभी")</f>
        <v>A) बेहतर मानसिक एकाग्रता, B) बेहतर शारीरिक फिटनेस, C) बेहतर समन्वय, D) उपरोक्त सभी</v>
      </c>
      <c r="K13" s="8" t="str">
        <f>IFERROR(__xludf.DUMMYFUNCTION("GOOGLETRANSLATE(E13, ""en"", ""hi"")"),"D। उपरोक्त सभी")</f>
        <v>D। उपरोक्त सभी</v>
      </c>
    </row>
    <row r="14" ht="22.5" customHeight="1">
      <c r="A14" s="2">
        <v>13.0</v>
      </c>
      <c r="B14" s="3" t="s">
        <v>3454</v>
      </c>
      <c r="C14" s="3" t="s">
        <v>3455</v>
      </c>
      <c r="D14" s="3" t="s">
        <v>3456</v>
      </c>
      <c r="E14" s="3" t="s">
        <v>3457</v>
      </c>
      <c r="G14" s="8" t="str">
        <f>IFERROR(__xludf.DUMMYFUNCTION("GOOGLETRANSLATE(A14, ""en"", ""hi"")"),"13")</f>
        <v>13</v>
      </c>
      <c r="H14" s="8" t="str">
        <f>IFERROR(__xludf.DUMMYFUNCTION("GOOGLETRANSLATE(B14, ""en"", ""hi"")"),"कलारीपयट्टू_4")</f>
        <v>कलारीपयट्टू_4</v>
      </c>
      <c r="I14" s="8" t="str">
        <f>IFERROR(__xludf.DUMMYFUNCTION("GOOGLETRANSLATE(C14, ""en"", ""hi"")"),"यह चित्र कलारीपयट्टू के एक रूप को दर्शाता है। इस रूप का उद्देश्य क्या है?")</f>
        <v>यह चित्र कलारीपयट्टू के एक रूप को दर्शाता है। इस रूप का उद्देश्य क्या है?</v>
      </c>
      <c r="J14" s="8" t="str">
        <f>IFERROR(__xludf.DUMMYFUNCTION("GOOGLETRANSLATE(D14, ""en"", ""hi"")"),"A) ध्यान, B) युद्ध प्रशिक्षण, C) अनुष्ठान प्रदर्शन, D) नृत्य")</f>
        <v>A) ध्यान, B) युद्ध प्रशिक्षण, C) अनुष्ठान प्रदर्शन, D) नृत्य</v>
      </c>
      <c r="K14" s="8" t="str">
        <f>IFERROR(__xludf.DUMMYFUNCTION("GOOGLETRANSLATE(E14, ""en"", ""hi"")"),"बी) युद्ध प्रशिक्षण")</f>
        <v>बी) युद्ध प्रशिक्षण</v>
      </c>
    </row>
    <row r="15" ht="22.5" customHeight="1">
      <c r="A15" s="2">
        <v>14.0</v>
      </c>
      <c r="B15" s="3" t="s">
        <v>3454</v>
      </c>
      <c r="C15" s="3" t="s">
        <v>3458</v>
      </c>
      <c r="D15" s="3" t="s">
        <v>3459</v>
      </c>
      <c r="E15" s="3" t="s">
        <v>1873</v>
      </c>
      <c r="G15" s="8" t="str">
        <f>IFERROR(__xludf.DUMMYFUNCTION("GOOGLETRANSLATE(A15, ""en"", ""hi"")"),"14")</f>
        <v>14</v>
      </c>
      <c r="H15" s="8" t="str">
        <f>IFERROR(__xludf.DUMMYFUNCTION("GOOGLETRANSLATE(B15, ""en"", ""hi"")"),"कलारीपयट्टू_4")</f>
        <v>कलारीपयट्टू_4</v>
      </c>
      <c r="I15" s="8" t="str">
        <f>IFERROR(__xludf.DUMMYFUNCTION("GOOGLETRANSLATE(C15, ""en"", ""hi"")"),"चित्र में, कलारीपयट्टू प्रशिक्षण में प्रशिक्षक की भूमिका क्या है?")</f>
        <v>चित्र में, कलारीपयट्टू प्रशिक्षण में प्रशिक्षक की भूमिका क्या है?</v>
      </c>
      <c r="J15" s="8" t="str">
        <f>IFERROR(__xludf.DUMMYFUNCTION("GOOGLETRANSLATE(D15, ""en"", ""hi"")"),"A) तकनीकों का प्रदर्शन करना, B) अभ्यास का पर्यवेक्षण करना, C) फीडबैक प्रदान करना, D) उपरोक्त सभी")</f>
        <v>A) तकनीकों का प्रदर्शन करना, B) अभ्यास का पर्यवेक्षण करना, C) फीडबैक प्रदान करना, D) उपरोक्त सभी</v>
      </c>
      <c r="K15" s="8" t="str">
        <f>IFERROR(__xludf.DUMMYFUNCTION("GOOGLETRANSLATE(E15, ""en"", ""hi"")"),"D। उपरोक्त सभी")</f>
        <v>D। उपरोक्त सभी</v>
      </c>
    </row>
    <row r="16" ht="22.5" customHeight="1">
      <c r="A16" s="2">
        <v>15.0</v>
      </c>
      <c r="B16" s="3" t="s">
        <v>3454</v>
      </c>
      <c r="C16" s="3" t="s">
        <v>3460</v>
      </c>
      <c r="D16" s="3" t="s">
        <v>3461</v>
      </c>
      <c r="E16" s="3" t="s">
        <v>1873</v>
      </c>
      <c r="G16" s="8" t="str">
        <f>IFERROR(__xludf.DUMMYFUNCTION("GOOGLETRANSLATE(A16, ""en"", ""hi"")"),"15")</f>
        <v>15</v>
      </c>
      <c r="H16" s="8" t="str">
        <f>IFERROR(__xludf.DUMMYFUNCTION("GOOGLETRANSLATE(B16, ""en"", ""hi"")"),"कलारीपयट्टू_4")</f>
        <v>कलारीपयट्टू_4</v>
      </c>
      <c r="I16" s="8" t="str">
        <f>IFERROR(__xludf.DUMMYFUNCTION("GOOGLETRANSLATE(C16, ""en"", ""hi"")"),"चित्र में दिखाए गए खेल में किस प्रकार की शारीरिक कंडीशनिंग शामिल है?")</f>
        <v>चित्र में दिखाए गए खेल में किस प्रकार की शारीरिक कंडीशनिंग शामिल है?</v>
      </c>
      <c r="J16" s="8" t="str">
        <f>IFERROR(__xludf.DUMMYFUNCTION("GOOGLETRANSLATE(D16, ""en"", ""hi"")"),"A) कार्डियोवैस्कुलर, B) ताकत, C) लचीलापन, D) उपरोक्त सभी")</f>
        <v>A) कार्डियोवैस्कुलर, B) ताकत, C) लचीलापन, D) उपरोक्त सभी</v>
      </c>
      <c r="K16" s="8" t="str">
        <f>IFERROR(__xludf.DUMMYFUNCTION("GOOGLETRANSLATE(E16, ""en"", ""hi"")"),"D। उपरोक्त सभी")</f>
        <v>D। उपरोक्त सभी</v>
      </c>
    </row>
    <row r="17" ht="22.5" customHeight="1">
      <c r="A17" s="2">
        <v>16.0</v>
      </c>
      <c r="B17" s="3" t="s">
        <v>3454</v>
      </c>
      <c r="C17" s="3" t="s">
        <v>3462</v>
      </c>
      <c r="D17" s="3" t="s">
        <v>3463</v>
      </c>
      <c r="E17" s="3" t="s">
        <v>3464</v>
      </c>
      <c r="G17" s="8" t="str">
        <f>IFERROR(__xludf.DUMMYFUNCTION("GOOGLETRANSLATE(A17, ""en"", ""hi"")"),"16")</f>
        <v>16</v>
      </c>
      <c r="H17" s="8" t="str">
        <f>IFERROR(__xludf.DUMMYFUNCTION("GOOGLETRANSLATE(B17, ""en"", ""hi"")"),"कलारीपयट्टू_4")</f>
        <v>कलारीपयट्टू_4</v>
      </c>
      <c r="I17" s="8" t="str">
        <f>IFERROR(__xludf.DUMMYFUNCTION("GOOGLETRANSLATE(C17, ""en"", ""hi"")"),"चित्र में, अभ्यासकर्ता किस प्रकार की गतिविधि कर रहा है?")</f>
        <v>चित्र में, अभ्यासकर्ता किस प्रकार की गतिविधि कर रहा है?</v>
      </c>
      <c r="J17" s="8" t="str">
        <f>IFERROR(__xludf.DUMMYFUNCTION("GOOGLETRANSLATE(D17, ""en"", ""hi"")"),"A) रैखिक, B) वृत्ताकार, C) विकर्ण, D) सर्पिल")</f>
        <v>A) रैखिक, B) वृत्ताकार, C) विकर्ण, D) सर्पिल</v>
      </c>
      <c r="K17" s="8" t="str">
        <f>IFERROR(__xludf.DUMMYFUNCTION("GOOGLETRANSLATE(E17, ""en"", ""hi"")"),"बी) वृत्ताकार")</f>
        <v>बी) वृत्ताकार</v>
      </c>
    </row>
    <row r="18" ht="22.5" customHeight="1">
      <c r="A18" s="2">
        <v>17.0</v>
      </c>
      <c r="B18" s="3" t="s">
        <v>3465</v>
      </c>
      <c r="C18" s="3" t="s">
        <v>3466</v>
      </c>
      <c r="D18" s="3" t="s">
        <v>3467</v>
      </c>
      <c r="E18" s="3" t="s">
        <v>3468</v>
      </c>
      <c r="G18" s="8" t="str">
        <f>IFERROR(__xludf.DUMMYFUNCTION("GOOGLETRANSLATE(A18, ""en"", ""hi"")"),"17")</f>
        <v>17</v>
      </c>
      <c r="H18" s="8" t="str">
        <f>IFERROR(__xludf.DUMMYFUNCTION("GOOGLETRANSLATE(B18, ""en"", ""hi"")"),"कलारीपयट्टू_5")</f>
        <v>कलारीपयट्टू_5</v>
      </c>
      <c r="I18" s="8" t="str">
        <f>IFERROR(__xludf.DUMMYFUNCTION("GOOGLETRANSLATE(C18, ""en"", ""hi"")"),"चित्र में पारंपरिक कलारीपयट्टू अभ्यास दिखाया गया है। इस अभ्यास का मुख्य केंद्र क्या है?")</f>
        <v>चित्र में पारंपरिक कलारीपयट्टू अभ्यास दिखाया गया है। इस अभ्यास का मुख्य केंद्र क्या है?</v>
      </c>
      <c r="J18" s="8" t="str">
        <f>IFERROR(__xludf.DUMMYFUNCTION("GOOGLETRANSLATE(D18, ""en"", ""hi"")"),"A) चपलता, B) तकनीक, C) गति, D) शक्ति")</f>
        <v>A) चपलता, B) तकनीक, C) गति, D) शक्ति</v>
      </c>
      <c r="K18" s="8" t="str">
        <f>IFERROR(__xludf.DUMMYFUNCTION("GOOGLETRANSLATE(E18, ""en"", ""hi"")"),"बी) तकनीक")</f>
        <v>बी) तकनीक</v>
      </c>
    </row>
    <row r="19" ht="22.5" customHeight="1">
      <c r="A19" s="2">
        <v>18.0</v>
      </c>
      <c r="B19" s="3" t="s">
        <v>3465</v>
      </c>
      <c r="C19" s="3" t="s">
        <v>3469</v>
      </c>
      <c r="D19" s="3" t="s">
        <v>3470</v>
      </c>
      <c r="E19" s="3" t="s">
        <v>3471</v>
      </c>
      <c r="G19" s="8" t="str">
        <f>IFERROR(__xludf.DUMMYFUNCTION("GOOGLETRANSLATE(A19, ""en"", ""hi"")"),"18")</f>
        <v>18</v>
      </c>
      <c r="H19" s="8" t="str">
        <f>IFERROR(__xludf.DUMMYFUNCTION("GOOGLETRANSLATE(B19, ""en"", ""hi"")"),"कलारीपयट्टू_5")</f>
        <v>कलारीपयट्टू_5</v>
      </c>
      <c r="I19" s="8" t="str">
        <f>IFERROR(__xludf.DUMMYFUNCTION("GOOGLETRANSLATE(C19, ""en"", ""hi"")"),"चित्र में दिखाए गए खेल में बचाव तकनीक के लिए आमतौर पर किस प्रकार के हथियार का उपयोग किया जाता है?")</f>
        <v>चित्र में दिखाए गए खेल में बचाव तकनीक के लिए आमतौर पर किस प्रकार के हथियार का उपयोग किया जाता है?</v>
      </c>
      <c r="J19" s="8" t="str">
        <f>IFERROR(__xludf.DUMMYFUNCTION("GOOGLETRANSLATE(D19, ""en"", ""hi"")"),"A) तलवार, B) ढाल, C) भाला, D) गदा")</f>
        <v>A) तलवार, B) ढाल, C) भाला, D) गदा</v>
      </c>
      <c r="K19" s="8" t="str">
        <f>IFERROR(__xludf.DUMMYFUNCTION("GOOGLETRANSLATE(E19, ""en"", ""hi"")"),"बी) शील्ड")</f>
        <v>बी) शील्ड</v>
      </c>
    </row>
    <row r="20" ht="22.5" customHeight="1">
      <c r="A20" s="2">
        <v>19.0</v>
      </c>
      <c r="B20" s="3" t="s">
        <v>3465</v>
      </c>
      <c r="C20" s="3" t="s">
        <v>3472</v>
      </c>
      <c r="D20" s="3" t="s">
        <v>3473</v>
      </c>
      <c r="E20" s="3" t="s">
        <v>2931</v>
      </c>
      <c r="G20" s="8" t="str">
        <f>IFERROR(__xludf.DUMMYFUNCTION("GOOGLETRANSLATE(A20, ""en"", ""hi"")"),"19")</f>
        <v>19</v>
      </c>
      <c r="H20" s="8" t="str">
        <f>IFERROR(__xludf.DUMMYFUNCTION("GOOGLETRANSLATE(B20, ""en"", ""hi"")"),"कलारीपयट्टू_5")</f>
        <v>कलारीपयट्टू_5</v>
      </c>
      <c r="I20" s="8" t="str">
        <f>IFERROR(__xludf.DUMMYFUNCTION("GOOGLETRANSLATE(C20, ""en"", ""hi"")"),"चित्र में दिखाए गए अभ्यास के माध्यम से कलरीपयट्टू के किस पहलू पर जोर दिया जा रहा है?")</f>
        <v>चित्र में दिखाए गए अभ्यास के माध्यम से कलरीपयट्टू के किस पहलू पर जोर दिया जा रहा है?</v>
      </c>
      <c r="J20" s="8" t="str">
        <f>IFERROR(__xludf.DUMMYFUNCTION("GOOGLETRANSLATE(D20, ""en"", ""hi"")"),"A) शक्ति, B) परिशुद्धता, C) गति, D) समन्वय")</f>
        <v>A) शक्ति, B) परिशुद्धता, C) गति, D) समन्वय</v>
      </c>
      <c r="K20" s="8" t="str">
        <f>IFERROR(__xludf.DUMMYFUNCTION("GOOGLETRANSLATE(E20, ""en"", ""hi"")"),"बी) परिशुद्धता")</f>
        <v>बी) परिशुद्धता</v>
      </c>
    </row>
    <row r="21" ht="22.5" customHeight="1">
      <c r="A21" s="2">
        <v>20.0</v>
      </c>
      <c r="B21" s="3" t="s">
        <v>3465</v>
      </c>
      <c r="C21" s="3" t="s">
        <v>3474</v>
      </c>
      <c r="D21" s="3" t="s">
        <v>3475</v>
      </c>
      <c r="E21" s="3" t="s">
        <v>3476</v>
      </c>
      <c r="G21" s="8" t="str">
        <f>IFERROR(__xludf.DUMMYFUNCTION("GOOGLETRANSLATE(A21, ""en"", ""hi"")"),"20")</f>
        <v>20</v>
      </c>
      <c r="H21" s="8" t="str">
        <f>IFERROR(__xludf.DUMMYFUNCTION("GOOGLETRANSLATE(B21, ""en"", ""hi"")"),"कलारीपयट्टू_5")</f>
        <v>कलारीपयट्टू_5</v>
      </c>
      <c r="I21" s="8" t="str">
        <f>IFERROR(__xludf.DUMMYFUNCTION("GOOGLETRANSLATE(C21, ""en"", ""hi"")"),"चित्र में दर्शाए गए खेल में कौन सा पारंपरिक घटक शामिल है?")</f>
        <v>चित्र में दर्शाए गए खेल में कौन सा पारंपरिक घटक शामिल है?</v>
      </c>
      <c r="J21" s="8" t="str">
        <f>IFERROR(__xludf.DUMMYFUNCTION("GOOGLETRANSLATE(D21, ""en"", ""hi"")"),"A) संगीत संगत, B) टीम प्रतियोगिताएं, C) औपचारिक वर्दी, D) संरचित नृत्यकला")</f>
        <v>A) संगीत संगत, B) टीम प्रतियोगिताएं, C) औपचारिक वर्दी, D) संरचित नृत्यकला</v>
      </c>
      <c r="K21" s="8" t="str">
        <f>IFERROR(__xludf.DUMMYFUNCTION("GOOGLETRANSLATE(E21, ""en"", ""hi"")"),"ए) संगीत संगत")</f>
        <v>ए) संगीत संगत</v>
      </c>
    </row>
    <row r="22" ht="22.5" customHeight="1">
      <c r="A22" s="2">
        <v>21.0</v>
      </c>
      <c r="B22" s="3" t="s">
        <v>3477</v>
      </c>
      <c r="C22" s="3" t="s">
        <v>3478</v>
      </c>
      <c r="D22" s="3" t="s">
        <v>3479</v>
      </c>
      <c r="E22" s="3" t="s">
        <v>3480</v>
      </c>
      <c r="G22" s="8" t="str">
        <f>IFERROR(__xludf.DUMMYFUNCTION("GOOGLETRANSLATE(A22, ""en"", ""hi"")"),"21")</f>
        <v>21</v>
      </c>
      <c r="H22" s="8" t="str">
        <f>IFERROR(__xludf.DUMMYFUNCTION("GOOGLETRANSLATE(B22, ""en"", ""hi"")"),"कलारीपयट्टू_6")</f>
        <v>कलारीपयट्टू_6</v>
      </c>
      <c r="I22" s="8" t="str">
        <f>IFERROR(__xludf.DUMMYFUNCTION("GOOGLETRANSLATE(C22, ""en"", ""hi"")"),"चित्र में दिखाए गए खेल के लिए, दिखाए गए विशिष्ट हथियार का उपयोग करने का प्राथमिक लाभ क्या है?")</f>
        <v>चित्र में दिखाए गए खेल के लिए, दिखाए गए विशिष्ट हथियार का उपयोग करने का प्राथमिक लाभ क्या है?</v>
      </c>
      <c r="J22" s="8" t="str">
        <f>IFERROR(__xludf.DUMMYFUNCTION("GOOGLETRANSLATE(D22, ""en"", ""hi"")"),"A) बेहतर पकड़, B) बढ़ी हुई पहुंच, C) बढ़ी हुई गति, D) बेहतर संतुलन")</f>
        <v>A) बेहतर पकड़, B) बढ़ी हुई पहुंच, C) बढ़ी हुई गति, D) बेहतर संतुलन</v>
      </c>
      <c r="K22" s="8" t="str">
        <f>IFERROR(__xludf.DUMMYFUNCTION("GOOGLETRANSLATE(E22, ""en"", ""hi"")"),"बी) बढ़ी हुई पहुंच")</f>
        <v>बी) बढ़ी हुई पहुंच</v>
      </c>
    </row>
    <row r="23" ht="22.5" customHeight="1">
      <c r="A23" s="2">
        <v>22.0</v>
      </c>
      <c r="B23" s="3" t="s">
        <v>3477</v>
      </c>
      <c r="C23" s="3" t="s">
        <v>3481</v>
      </c>
      <c r="D23" s="3" t="s">
        <v>3482</v>
      </c>
      <c r="E23" s="3" t="s">
        <v>3483</v>
      </c>
      <c r="G23" s="8" t="str">
        <f>IFERROR(__xludf.DUMMYFUNCTION("GOOGLETRANSLATE(A23, ""en"", ""hi"")"),"22")</f>
        <v>22</v>
      </c>
      <c r="H23" s="8" t="str">
        <f>IFERROR(__xludf.DUMMYFUNCTION("GOOGLETRANSLATE(B23, ""en"", ""hi"")"),"कलारीपयट्टू_6")</f>
        <v>कलारीपयट्टू_6</v>
      </c>
      <c r="I23" s="8" t="str">
        <f>IFERROR(__xludf.DUMMYFUNCTION("GOOGLETRANSLATE(C23, ""en"", ""hi"")"),"चित्र में अभ्यासकर्ता किस प्रकार की मुद्रा में है?")</f>
        <v>चित्र में अभ्यासकर्ता किस प्रकार की मुद्रा में है?</v>
      </c>
      <c r="J23" s="8" t="str">
        <f>IFERROR(__xludf.DUMMYFUNCTION("GOOGLETRANSLATE(D23, ""en"", ""hi"")"),"A) निम्न रुख, B) उच्च रुख, C) तटस्थ रुख, D) पार्श्व रुख")</f>
        <v>A) निम्न रुख, B) उच्च रुख, C) तटस्थ रुख, D) पार्श्व रुख</v>
      </c>
      <c r="K23" s="8" t="str">
        <f>IFERROR(__xludf.DUMMYFUNCTION("GOOGLETRANSLATE(E23, ""en"", ""hi"")"),"A) निम्न रुख")</f>
        <v>A) निम्न रुख</v>
      </c>
    </row>
    <row r="24" ht="22.5" customHeight="1">
      <c r="A24" s="2">
        <v>23.0</v>
      </c>
      <c r="B24" s="3" t="s">
        <v>3477</v>
      </c>
      <c r="C24" s="3" t="s">
        <v>3484</v>
      </c>
      <c r="D24" s="3" t="s">
        <v>3485</v>
      </c>
      <c r="E24" s="3" t="s">
        <v>1873</v>
      </c>
      <c r="G24" s="8" t="str">
        <f>IFERROR(__xludf.DUMMYFUNCTION("GOOGLETRANSLATE(A24, ""en"", ""hi"")"),"23")</f>
        <v>23</v>
      </c>
      <c r="H24" s="8" t="str">
        <f>IFERROR(__xludf.DUMMYFUNCTION("GOOGLETRANSLATE(B24, ""en"", ""hi"")"),"कलारीपयट्टू_6")</f>
        <v>कलारीपयट्टू_6</v>
      </c>
      <c r="I24" s="8" t="str">
        <f>IFERROR(__xludf.DUMMYFUNCTION("GOOGLETRANSLATE(C24, ""en"", ""hi"")"),"चित्र में दिखाए गए खेल में सफलता के लिए किस प्रकार की शारीरिक विशेषता की आवश्यकता होती है?")</f>
        <v>चित्र में दिखाए गए खेल में सफलता के लिए किस प्रकार की शारीरिक विशेषता की आवश्यकता होती है?</v>
      </c>
      <c r="J24" s="8" t="str">
        <f>IFERROR(__xludf.DUMMYFUNCTION("GOOGLETRANSLATE(D24, ""en"", ""hi"")"),"A) सहनशक्ति, B) लचीलापन, C) शक्ति, D) उपरोक्त सभी")</f>
        <v>A) सहनशक्ति, B) लचीलापन, C) शक्ति, D) उपरोक्त सभी</v>
      </c>
      <c r="K24" s="8" t="str">
        <f>IFERROR(__xludf.DUMMYFUNCTION("GOOGLETRANSLATE(E24, ""en"", ""hi"")"),"D। उपरोक्त सभी")</f>
        <v>D। उपरोक्त सभी</v>
      </c>
    </row>
    <row r="25" ht="22.5" customHeight="1">
      <c r="A25" s="2">
        <v>24.0</v>
      </c>
      <c r="B25" s="3" t="s">
        <v>3477</v>
      </c>
      <c r="C25" s="3" t="s">
        <v>3486</v>
      </c>
      <c r="D25" s="3" t="s">
        <v>3487</v>
      </c>
      <c r="E25" s="3" t="s">
        <v>3488</v>
      </c>
      <c r="G25" s="8" t="str">
        <f>IFERROR(__xludf.DUMMYFUNCTION("GOOGLETRANSLATE(A25, ""en"", ""hi"")"),"24")</f>
        <v>24</v>
      </c>
      <c r="H25" s="8" t="str">
        <f>IFERROR(__xludf.DUMMYFUNCTION("GOOGLETRANSLATE(B25, ""en"", ""hi"")"),"कलारीपयट्टू_6")</f>
        <v>कलारीपयट्टू_6</v>
      </c>
      <c r="I25" s="8" t="str">
        <f>IFERROR(__xludf.DUMMYFUNCTION("GOOGLETRANSLATE(C25, ""en"", ""hi"")"),"चित्र में दर्शाई गई मुद्रा की क्या भूमिका है?")</f>
        <v>चित्र में दर्शाई गई मुद्रा की क्या भूमिका है?</v>
      </c>
      <c r="J25" s="8" t="str">
        <f>IFERROR(__xludf.DUMMYFUNCTION("GOOGLETRANSLATE(D25, ""en"", ""hi"")"),"A) चपलता में सुधार करने के लिए, B) ताकत विकसित करने के लिए, C) समन्वय बढ़ाने के लिए, D) एक विशिष्ट तकनीक को निष्पादित करने के लिए")</f>
        <v>A) चपलता में सुधार करने के लिए, B) ताकत विकसित करने के लिए, C) समन्वय बढ़ाने के लिए, D) एक विशिष्ट तकनीक को निष्पादित करने के लिए</v>
      </c>
      <c r="K25" s="8" t="str">
        <f>IFERROR(__xludf.DUMMYFUNCTION("GOOGLETRANSLATE(E25, ""en"", ""hi"")"),"D) किसी विशिष्ट तकनीक को क्रियान्वित करने के लिए")</f>
        <v>D) किसी विशिष्ट तकनीक को क्रियान्वित करने के लिए</v>
      </c>
    </row>
    <row r="26" ht="22.5" customHeight="1">
      <c r="A26" s="2">
        <v>25.0</v>
      </c>
      <c r="B26" s="3" t="s">
        <v>3489</v>
      </c>
      <c r="C26" s="3" t="s">
        <v>3490</v>
      </c>
      <c r="D26" s="3" t="s">
        <v>3491</v>
      </c>
      <c r="E26" s="3" t="s">
        <v>3492</v>
      </c>
      <c r="G26" s="8" t="str">
        <f>IFERROR(__xludf.DUMMYFUNCTION("GOOGLETRANSLATE(A26, ""en"", ""hi"")"),"25")</f>
        <v>25</v>
      </c>
      <c r="H26" s="8" t="str">
        <f>IFERROR(__xludf.DUMMYFUNCTION("GOOGLETRANSLATE(B26, ""en"", ""hi"")"),"कलारीपयट्टू_7")</f>
        <v>कलारीपयट्टू_7</v>
      </c>
      <c r="I26" s="8" t="str">
        <f>IFERROR(__xludf.DUMMYFUNCTION("GOOGLETRANSLATE(C26, ""en"", ""hi"")"),"चित्र में दिखाए गए खेल के लिए आमतौर पर किस प्रकार के अभ्यास वातावरण का उपयोग किया जाता है?")</f>
        <v>चित्र में दिखाए गए खेल के लिए आमतौर पर किस प्रकार के अभ्यास वातावरण का उपयोग किया जाता है?</v>
      </c>
      <c r="J26" s="8" t="str">
        <f>IFERROR(__xludf.DUMMYFUNCTION("GOOGLETRANSLATE(D26, ""en"", ""hi"")"),"A) इनडोर, B) आउटडोर, C) इनडोर और आउटडोर दोनों, D) वर्चुअल")</f>
        <v>A) इनडोर, B) आउटडोर, C) इनडोर और आउटडोर दोनों, D) वर्चुअल</v>
      </c>
      <c r="K26" s="8" t="str">
        <f>IFERROR(__xludf.DUMMYFUNCTION("GOOGLETRANSLATE(E26, ""en"", ""hi"")"),"सी) इनडोर और आउटडोर दोनों")</f>
        <v>सी) इनडोर और आउटडोर दोनों</v>
      </c>
    </row>
    <row r="27" ht="22.5" customHeight="1">
      <c r="A27" s="2">
        <v>26.0</v>
      </c>
      <c r="B27" s="3" t="s">
        <v>3489</v>
      </c>
      <c r="C27" s="3" t="s">
        <v>3493</v>
      </c>
      <c r="D27" s="3" t="s">
        <v>3494</v>
      </c>
      <c r="E27" s="3" t="s">
        <v>3495</v>
      </c>
      <c r="G27" s="8" t="str">
        <f>IFERROR(__xludf.DUMMYFUNCTION("GOOGLETRANSLATE(A27, ""en"", ""hi"")"),"26")</f>
        <v>26</v>
      </c>
      <c r="H27" s="8" t="str">
        <f>IFERROR(__xludf.DUMMYFUNCTION("GOOGLETRANSLATE(B27, ""en"", ""hi"")"),"कलारीपयट्टू_7")</f>
        <v>कलारीपयट्टू_7</v>
      </c>
      <c r="I27" s="8" t="str">
        <f>IFERROR(__xludf.DUMMYFUNCTION("GOOGLETRANSLATE(C27, ""en"", ""hi"")"),"चित्र में कलरीपयट्टू के लिए किस प्रकार की तकनीक का प्रदर्शन किया जा रहा है?")</f>
        <v>चित्र में कलरीपयट्टू के लिए किस प्रकार की तकनीक का प्रदर्शन किया जा रहा है?</v>
      </c>
      <c r="J27" s="8" t="str">
        <f>IFERROR(__xludf.DUMMYFUNCTION("GOOGLETRANSLATE(D27, ""en"", ""hi"")"),"A) आक्रामक, B) रक्षात्मक, C) ग्रैपलिंग, D) स्ट्राइकिंग")</f>
        <v>A) आक्रामक, B) रक्षात्मक, C) ग्रैपलिंग, D) स्ट्राइकिंग</v>
      </c>
      <c r="K27" s="8" t="str">
        <f>IFERROR(__xludf.DUMMYFUNCTION("GOOGLETRANSLATE(E27, ""en"", ""hi"")"),"डी) हड़ताली")</f>
        <v>डी) हड़ताली</v>
      </c>
    </row>
    <row r="28" ht="22.5" customHeight="1">
      <c r="A28" s="2">
        <v>27.0</v>
      </c>
      <c r="B28" s="3" t="s">
        <v>3489</v>
      </c>
      <c r="C28" s="3" t="s">
        <v>3496</v>
      </c>
      <c r="D28" s="3" t="s">
        <v>3497</v>
      </c>
      <c r="E28" s="3" t="s">
        <v>3498</v>
      </c>
      <c r="G28" s="8" t="str">
        <f>IFERROR(__xludf.DUMMYFUNCTION("GOOGLETRANSLATE(A28, ""en"", ""hi"")"),"27")</f>
        <v>27</v>
      </c>
      <c r="H28" s="8" t="str">
        <f>IFERROR(__xludf.DUMMYFUNCTION("GOOGLETRANSLATE(B28, ""en"", ""hi"")"),"कलारीपयट्टू_7")</f>
        <v>कलारीपयट्टू_7</v>
      </c>
      <c r="I28" s="8" t="str">
        <f>IFERROR(__xludf.DUMMYFUNCTION("GOOGLETRANSLATE(C28, ""en"", ""hi"")"),"चित्र में दिखाए गए खेल में प्रायः किस प्रकार का फुटवर्क शामिल होता है?")</f>
        <v>चित्र में दिखाए गए खेल में प्रायः किस प्रकार का फुटवर्क शामिल होता है?</v>
      </c>
      <c r="J28" s="8" t="str">
        <f>IFERROR(__xludf.DUMMYFUNCTION("GOOGLETRANSLATE(D28, ""en"", ""hi"")"),"A) स्थिर, B) आगे और पीछे, C) पार्श्व, D) घूर्णी")</f>
        <v>A) स्थिर, B) आगे और पीछे, C) पार्श्व, D) घूर्णी</v>
      </c>
      <c r="K28" s="8" t="str">
        <f>IFERROR(__xludf.DUMMYFUNCTION("GOOGLETRANSLATE(E28, ""en"", ""hi"")"),"बी) आगे और पीछे")</f>
        <v>बी) आगे और पीछे</v>
      </c>
    </row>
    <row r="29" ht="22.5" customHeight="1">
      <c r="A29" s="2">
        <v>28.0</v>
      </c>
      <c r="B29" s="3" t="s">
        <v>3489</v>
      </c>
      <c r="C29" s="3" t="s">
        <v>3499</v>
      </c>
      <c r="D29" s="3" t="s">
        <v>3500</v>
      </c>
      <c r="E29" s="3" t="s">
        <v>3501</v>
      </c>
      <c r="G29" s="8" t="str">
        <f>IFERROR(__xludf.DUMMYFUNCTION("GOOGLETRANSLATE(A29, ""en"", ""hi"")"),"28")</f>
        <v>28</v>
      </c>
      <c r="H29" s="8" t="str">
        <f>IFERROR(__xludf.DUMMYFUNCTION("GOOGLETRANSLATE(B29, ""en"", ""hi"")"),"कलारीपयट्टू_7")</f>
        <v>कलारीपयट्टू_7</v>
      </c>
      <c r="I29" s="8" t="str">
        <f>IFERROR(__xludf.DUMMYFUNCTION("GOOGLETRANSLATE(C29, ""en"", ""hi"")"),"चित्र में, प्रदर्शन की जा रही गतिविधि का प्राथमिक फोकस क्या है?")</f>
        <v>चित्र में, प्रदर्शन की जा रही गतिविधि का प्राथमिक फोकस क्या है?</v>
      </c>
      <c r="J29" s="8" t="str">
        <f>IFERROR(__xludf.DUMMYFUNCTION("GOOGLETRANSLATE(D29, ""en"", ""hi"")"),"A) गति, B) संतुलन, C) परिशुद्धता, D) लचीलापन")</f>
        <v>A) गति, B) संतुलन, C) परिशुद्धता, D) लचीलापन</v>
      </c>
      <c r="K29" s="8" t="str">
        <f>IFERROR(__xludf.DUMMYFUNCTION("GOOGLETRANSLATE(E29, ""en"", ""hi"")"),"सी) परिशुद्धता")</f>
        <v>सी) परिशुद्धता</v>
      </c>
    </row>
    <row r="30" ht="22.5" customHeight="1">
      <c r="A30" s="2">
        <v>29.0</v>
      </c>
      <c r="B30" s="3" t="s">
        <v>3502</v>
      </c>
      <c r="C30" s="3" t="s">
        <v>3503</v>
      </c>
      <c r="D30" s="3" t="s">
        <v>3504</v>
      </c>
      <c r="E30" s="3" t="s">
        <v>3505</v>
      </c>
      <c r="G30" s="8" t="str">
        <f>IFERROR(__xludf.DUMMYFUNCTION("GOOGLETRANSLATE(A30, ""en"", ""hi"")"),"29")</f>
        <v>29</v>
      </c>
      <c r="H30" s="8" t="str">
        <f>IFERROR(__xludf.DUMMYFUNCTION("GOOGLETRANSLATE(B30, ""en"", ""hi"")"),"कलारीपयट्टू_8")</f>
        <v>कलारीपयट्टू_8</v>
      </c>
      <c r="I30" s="8" t="str">
        <f>IFERROR(__xludf.DUMMYFUNCTION("GOOGLETRANSLATE(C30, ""en"", ""hi"")"),"चित्र में दिखाए गए खेल के लिए, दर्शाए गए प्रशिक्षण का मुख्य उद्देश्य क्या है?")</f>
        <v>चित्र में दिखाए गए खेल के लिए, दर्शाए गए प्रशिक्षण का मुख्य उद्देश्य क्या है?</v>
      </c>
      <c r="J30" s="8" t="str">
        <f>IFERROR(__xludf.DUMMYFUNCTION("GOOGLETRANSLATE(D30, ""en"", ""hi"")"),"A) कंडीशनिंग, B) तकनीक सुधार, C) प्रदर्शन वृद्धि, D) मानसिक फोकस")</f>
        <v>A) कंडीशनिंग, B) तकनीक सुधार, C) प्रदर्शन वृद्धि, D) मानसिक फोकस</v>
      </c>
      <c r="K30" s="8" t="str">
        <f>IFERROR(__xludf.DUMMYFUNCTION("GOOGLETRANSLATE(E30, ""en"", ""hi"")"),"बी) तकनीक में सुधार")</f>
        <v>बी) तकनीक में सुधार</v>
      </c>
    </row>
    <row r="31" ht="22.5" customHeight="1">
      <c r="A31" s="2">
        <v>30.0</v>
      </c>
      <c r="B31" s="3" t="s">
        <v>3502</v>
      </c>
      <c r="C31" s="3" t="s">
        <v>3506</v>
      </c>
      <c r="D31" s="3" t="s">
        <v>3507</v>
      </c>
      <c r="E31" s="3" t="s">
        <v>1873</v>
      </c>
      <c r="G31" s="8" t="str">
        <f>IFERROR(__xludf.DUMMYFUNCTION("GOOGLETRANSLATE(A31, ""en"", ""hi"")"),"30")</f>
        <v>30</v>
      </c>
      <c r="H31" s="8" t="str">
        <f>IFERROR(__xludf.DUMMYFUNCTION("GOOGLETRANSLATE(B31, ""en"", ""hi"")"),"कलारीपयट्टू_8")</f>
        <v>कलारीपयट्टू_8</v>
      </c>
      <c r="I31" s="8" t="str">
        <f>IFERROR(__xludf.DUMMYFUNCTION("GOOGLETRANSLATE(C31, ""en"", ""hi"")"),"चित्र में दिखाए गए खेल में किस प्रकार के पारंपरिक उपकरणों का उपयोग किया गया है?")</f>
        <v>चित्र में दिखाए गए खेल में किस प्रकार के पारंपरिक उपकरणों का उपयोग किया गया है?</v>
      </c>
      <c r="J31" s="8" t="str">
        <f>IFERROR(__xludf.DUMMYFUNCTION("GOOGLETRANSLATE(D31, ""en"", ""hi"")"),"A) कवच, B) ढाल, C) तलवारें, D) उपरोक्त सभी")</f>
        <v>A) कवच, B) ढाल, C) तलवारें, D) उपरोक्त सभी</v>
      </c>
      <c r="K31" s="8" t="str">
        <f>IFERROR(__xludf.DUMMYFUNCTION("GOOGLETRANSLATE(E31, ""en"", ""hi"")"),"D। उपरोक्त सभी")</f>
        <v>D। उपरोक्त सभी</v>
      </c>
    </row>
    <row r="32" ht="22.5" customHeight="1">
      <c r="A32" s="2">
        <v>31.0</v>
      </c>
      <c r="B32" s="3" t="s">
        <v>3502</v>
      </c>
      <c r="C32" s="3" t="s">
        <v>3508</v>
      </c>
      <c r="D32" s="3" t="s">
        <v>3509</v>
      </c>
      <c r="E32" s="3" t="s">
        <v>3510</v>
      </c>
      <c r="G32" s="8" t="str">
        <f>IFERROR(__xludf.DUMMYFUNCTION("GOOGLETRANSLATE(A32, ""en"", ""hi"")"),"31")</f>
        <v>31</v>
      </c>
      <c r="H32" s="8" t="str">
        <f>IFERROR(__xludf.DUMMYFUNCTION("GOOGLETRANSLATE(B32, ""en"", ""hi"")"),"कलारीपयट्टू_8")</f>
        <v>कलारीपयट्टू_8</v>
      </c>
      <c r="I32" s="8" t="str">
        <f>IFERROR(__xludf.DUMMYFUNCTION("GOOGLETRANSLATE(C32, ""en"", ""hi"")"),"चित्र में दर्शाए गए विशिष्ट अभ्यास या अभ्यास का उद्देश्य क्या है?")</f>
        <v>चित्र में दर्शाए गए विशिष्ट अभ्यास या अभ्यास का उद्देश्य क्या है?</v>
      </c>
      <c r="J32" s="8" t="str">
        <f>IFERROR(__xludf.DUMMYFUNCTION("GOOGLETRANSLATE(D32, ""en"", ""hi"")"),"A) तकनीक को बढ़ाने के लिए, B) सहनशक्ति का निर्माण करने के लिए, C) गति विकसित करने के लिए, D) समन्वय में सुधार करने के लिए")</f>
        <v>A) तकनीक को बढ़ाने के लिए, B) सहनशक्ति का निर्माण करने के लिए, C) गति विकसित करने के लिए, D) समन्वय में सुधार करने के लिए</v>
      </c>
      <c r="K32" s="8" t="str">
        <f>IFERROR(__xludf.DUMMYFUNCTION("GOOGLETRANSLATE(E32, ""en"", ""hi"")"),"A) तकनीक को बढ़ाने के लिए")</f>
        <v>A) तकनीक को बढ़ाने के लिए</v>
      </c>
    </row>
    <row r="33" ht="22.5" customHeight="1">
      <c r="A33" s="2">
        <v>32.0</v>
      </c>
      <c r="B33" s="3" t="s">
        <v>3502</v>
      </c>
      <c r="C33" s="3" t="s">
        <v>3511</v>
      </c>
      <c r="D33" s="3" t="s">
        <v>3512</v>
      </c>
      <c r="E33" s="3" t="s">
        <v>2992</v>
      </c>
      <c r="G33" s="8" t="str">
        <f>IFERROR(__xludf.DUMMYFUNCTION("GOOGLETRANSLATE(A33, ""en"", ""hi"")"),"32")</f>
        <v>32</v>
      </c>
      <c r="H33" s="8" t="str">
        <f>IFERROR(__xludf.DUMMYFUNCTION("GOOGLETRANSLATE(B33, ""en"", ""hi"")"),"कलारीपयट्टू_8")</f>
        <v>कलारीपयट्टू_8</v>
      </c>
      <c r="I33" s="8" t="str">
        <f>IFERROR(__xludf.DUMMYFUNCTION("GOOGLETRANSLATE(C33, ""en"", ""hi"")"),"चित्र में दिखाए गए खेल के लिए, दिखाए गए अभ्यास के माध्यम से प्रशिक्षण के किस पहलू पर जोर दिया गया है?")</f>
        <v>चित्र में दिखाए गए खेल के लिए, दिखाए गए अभ्यास के माध्यम से प्रशिक्षण के किस पहलू पर जोर दिया गया है?</v>
      </c>
      <c r="J33" s="8" t="str">
        <f>IFERROR(__xludf.DUMMYFUNCTION("GOOGLETRANSLATE(D33, ""en"", ""hi"")"),"A) शक्ति, B) सटीकता, C) सहनशक्ति, D) चपलता")</f>
        <v>A) शक्ति, B) सटीकता, C) सहनशक्ति, D) चपलता</v>
      </c>
      <c r="K33" s="8" t="str">
        <f>IFERROR(__xludf.DUMMYFUNCTION("GOOGLETRANSLATE(E33, ""en"", ""hi"")"),"बी) सटीकता")</f>
        <v>बी) सटीकता</v>
      </c>
    </row>
    <row r="34" ht="22.5" customHeight="1">
      <c r="A34" s="2">
        <v>33.0</v>
      </c>
      <c r="B34" s="3" t="s">
        <v>3513</v>
      </c>
      <c r="C34" s="3" t="s">
        <v>3514</v>
      </c>
      <c r="D34" s="3" t="s">
        <v>3515</v>
      </c>
      <c r="E34" s="3" t="s">
        <v>3516</v>
      </c>
      <c r="G34" s="8" t="str">
        <f>IFERROR(__xludf.DUMMYFUNCTION("GOOGLETRANSLATE(A34, ""en"", ""hi"")"),"33")</f>
        <v>33</v>
      </c>
      <c r="H34" s="8" t="str">
        <f>IFERROR(__xludf.DUMMYFUNCTION("GOOGLETRANSLATE(B34, ""en"", ""hi"")"),"कलारीपयट्टू_9")</f>
        <v>कलारीपयट्टू_9</v>
      </c>
      <c r="I34" s="8" t="str">
        <f>IFERROR(__xludf.DUMMYFUNCTION("GOOGLETRANSLATE(C34, ""en"", ""hi"")"),"चित्र में कलारीपयट्टू का एक रूप दिखाया गया है। इस रूप का मुख्य उद्देश्य क्या है?")</f>
        <v>चित्र में कलारीपयट्टू का एक रूप दिखाया गया है। इस रूप का मुख्य उद्देश्य क्या है?</v>
      </c>
      <c r="J34" s="8" t="str">
        <f>IFERROR(__xludf.DUMMYFUNCTION("GOOGLETRANSLATE(D34, ""en"", ""hi"")"),"A) आक्रमण, B) रक्षा, C) संतुलन, D) गति")</f>
        <v>A) आक्रमण, B) रक्षा, C) संतुलन, D) गति</v>
      </c>
      <c r="K34" s="8" t="str">
        <f>IFERROR(__xludf.DUMMYFUNCTION("GOOGLETRANSLATE(E34, ""en"", ""hi"")"),"बी) रक्षा")</f>
        <v>बी) रक्षा</v>
      </c>
    </row>
    <row r="35" ht="22.5" customHeight="1">
      <c r="A35" s="2">
        <v>34.0</v>
      </c>
      <c r="B35" s="3" t="s">
        <v>3513</v>
      </c>
      <c r="C35" s="3" t="s">
        <v>3517</v>
      </c>
      <c r="D35" s="3" t="s">
        <v>3518</v>
      </c>
      <c r="E35" s="3" t="s">
        <v>3519</v>
      </c>
      <c r="G35" s="8" t="str">
        <f>IFERROR(__xludf.DUMMYFUNCTION("GOOGLETRANSLATE(A35, ""en"", ""hi"")"),"34")</f>
        <v>34</v>
      </c>
      <c r="H35" s="8" t="str">
        <f>IFERROR(__xludf.DUMMYFUNCTION("GOOGLETRANSLATE(B35, ""en"", ""hi"")"),"कलारीपयट्टू_9")</f>
        <v>कलारीपयट्टू_9</v>
      </c>
      <c r="I35" s="8" t="str">
        <f>IFERROR(__xludf.DUMMYFUNCTION("GOOGLETRANSLATE(C35, ""en"", ""hi"")"),"चित्र में दिखाए गए हथियार के साथ किस प्रकार की तकनीक का अभ्यास किया जा रहा है?")</f>
        <v>चित्र में दिखाए गए हथियार के साथ किस प्रकार की तकनीक का अभ्यास किया जा रहा है?</v>
      </c>
      <c r="J35" s="8" t="str">
        <f>IFERROR(__xludf.DUMMYFUNCTION("GOOGLETRANSLATE(D35, ""en"", ""hi"")"),"A) ब्लॉकिंग, B) स्ट्राइकिंग, C) ग्रैबिंग, D) डोजिंग")</f>
        <v>A) ब्लॉकिंग, B) स्ट्राइकिंग, C) ग्रैबिंग, D) डोजिंग</v>
      </c>
      <c r="K35" s="8" t="str">
        <f>IFERROR(__xludf.DUMMYFUNCTION("GOOGLETRANSLATE(E35, ""en"", ""hi"")"),"बी) हड़ताली")</f>
        <v>बी) हड़ताली</v>
      </c>
    </row>
    <row r="36" ht="22.5" customHeight="1">
      <c r="A36" s="2">
        <v>35.0</v>
      </c>
      <c r="B36" s="3" t="s">
        <v>3513</v>
      </c>
      <c r="C36" s="3" t="s">
        <v>3520</v>
      </c>
      <c r="D36" s="3" t="s">
        <v>3521</v>
      </c>
      <c r="E36" s="3" t="s">
        <v>3522</v>
      </c>
      <c r="G36" s="8" t="str">
        <f>IFERROR(__xludf.DUMMYFUNCTION("GOOGLETRANSLATE(A36, ""en"", ""hi"")"),"35")</f>
        <v>35</v>
      </c>
      <c r="H36" s="8" t="str">
        <f>IFERROR(__xludf.DUMMYFUNCTION("GOOGLETRANSLATE(B36, ""en"", ""hi"")"),"कलारीपयट्टू_9")</f>
        <v>कलारीपयट्टू_9</v>
      </c>
      <c r="I36" s="8" t="str">
        <f>IFERROR(__xludf.DUMMYFUNCTION("GOOGLETRANSLATE(C36, ""en"", ""hi"")"),"चित्र में दिखाया गया खेल पारंपरिक रूप से किस क्षेत्र से जुड़ा हुआ है?")</f>
        <v>चित्र में दिखाया गया खेल पारंपरिक रूप से किस क्षेत्र से जुड़ा हुआ है?</v>
      </c>
      <c r="J36" s="8" t="str">
        <f>IFERROR(__xludf.DUMMYFUNCTION("GOOGLETRANSLATE(D36, ""en"", ""hi"")"),"A) दक्षिण भारत, B) उत्तर भारत, C) पूर्वी भारत, D) पश्चिम भारत")</f>
        <v>A) दक्षिण भारत, B) उत्तर भारत, C) पूर्वी भारत, D) पश्चिम भारत</v>
      </c>
      <c r="K36" s="8" t="str">
        <f>IFERROR(__xludf.DUMMYFUNCTION("GOOGLETRANSLATE(E36, ""en"", ""hi"")"),"A) दक्षिण भारत")</f>
        <v>A) दक्षिण भारत</v>
      </c>
    </row>
    <row r="37" ht="22.5" customHeight="1">
      <c r="A37" s="2">
        <v>36.0</v>
      </c>
      <c r="B37" s="3" t="s">
        <v>3513</v>
      </c>
      <c r="C37" s="3" t="s">
        <v>3523</v>
      </c>
      <c r="D37" s="3" t="s">
        <v>3524</v>
      </c>
      <c r="E37" s="3" t="s">
        <v>3525</v>
      </c>
      <c r="G37" s="8" t="str">
        <f>IFERROR(__xludf.DUMMYFUNCTION("GOOGLETRANSLATE(A37, ""en"", ""hi"")"),"36")</f>
        <v>36</v>
      </c>
      <c r="H37" s="8" t="str">
        <f>IFERROR(__xludf.DUMMYFUNCTION("GOOGLETRANSLATE(B37, ""en"", ""hi"")"),"कलारीपयट्टू_9")</f>
        <v>कलारीपयट्टू_9</v>
      </c>
      <c r="I37" s="8" t="str">
        <f>IFERROR(__xludf.DUMMYFUNCTION("GOOGLETRANSLATE(C37, ""en"", ""hi"")"),"चित्र में दिखाए गए खेल के लिए प्रशिक्षण से पहले सामान्य अभ्यास या अनुष्ठान क्या है?")</f>
        <v>चित्र में दिखाए गए खेल के लिए प्रशिक्षण से पहले सामान्य अभ्यास या अनुष्ठान क्या है?</v>
      </c>
      <c r="J37" s="8" t="str">
        <f>IFERROR(__xludf.DUMMYFUNCTION("GOOGLETRANSLATE(D37, ""en"", ""hi"")"),"A) ध्यान, B) जप, C) स्ट्रेचिंग, D) श्वास व्यायाम")</f>
        <v>A) ध्यान, B) जप, C) स्ट्रेचिंग, D) श्वास व्यायाम</v>
      </c>
      <c r="K37" s="8" t="str">
        <f>IFERROR(__xludf.DUMMYFUNCTION("GOOGLETRANSLATE(E37, ""en"", ""hi"")"),"बी) जप")</f>
        <v>बी) जप</v>
      </c>
    </row>
    <row r="38" ht="22.5" customHeight="1">
      <c r="A38" s="2">
        <v>37.0</v>
      </c>
      <c r="B38" s="3" t="s">
        <v>3526</v>
      </c>
      <c r="C38" s="3" t="s">
        <v>3527</v>
      </c>
      <c r="D38" s="3" t="s">
        <v>3528</v>
      </c>
      <c r="E38" s="3" t="s">
        <v>3529</v>
      </c>
      <c r="G38" s="8" t="str">
        <f>IFERROR(__xludf.DUMMYFUNCTION("GOOGLETRANSLATE(A38, ""en"", ""hi"")"),"37")</f>
        <v>37</v>
      </c>
      <c r="H38" s="8" t="str">
        <f>IFERROR(__xludf.DUMMYFUNCTION("GOOGLETRANSLATE(B38, ""en"", ""hi"")"),"कलारीपयट्टू_10")</f>
        <v>कलारीपयट्टू_10</v>
      </c>
      <c r="I38" s="8" t="str">
        <f>IFERROR(__xludf.DUMMYFUNCTION("GOOGLETRANSLATE(C38, ""en"", ""hi"")"),"चित्र में, अभ्यासकर्ता की शारीरिक स्थिति का प्राथमिक फोकस क्या है?")</f>
        <v>चित्र में, अभ्यासकर्ता की शारीरिक स्थिति का प्राथमिक फोकस क्या है?</v>
      </c>
      <c r="J38" s="8" t="str">
        <f>IFERROR(__xludf.DUMMYFUNCTION("GOOGLETRANSLATE(D38, ""en"", ""hi"")"),"A) स्थिरता, B) चपलता, C) शक्ति, D) लचीलापन")</f>
        <v>A) स्थिरता, B) चपलता, C) शक्ति, D) लचीलापन</v>
      </c>
      <c r="K38" s="8" t="str">
        <f>IFERROR(__xludf.DUMMYFUNCTION("GOOGLETRANSLATE(E38, ""en"", ""hi"")"),"ए) स्थिरता")</f>
        <v>ए) स्थिरता</v>
      </c>
    </row>
    <row r="39" ht="22.5" customHeight="1">
      <c r="A39" s="2">
        <v>38.0</v>
      </c>
      <c r="B39" s="3" t="s">
        <v>3526</v>
      </c>
      <c r="C39" s="3" t="s">
        <v>3530</v>
      </c>
      <c r="D39" s="3" t="s">
        <v>3531</v>
      </c>
      <c r="E39" s="3" t="s">
        <v>3532</v>
      </c>
      <c r="G39" s="8" t="str">
        <f>IFERROR(__xludf.DUMMYFUNCTION("GOOGLETRANSLATE(A39, ""en"", ""hi"")"),"38")</f>
        <v>38</v>
      </c>
      <c r="H39" s="8" t="str">
        <f>IFERROR(__xludf.DUMMYFUNCTION("GOOGLETRANSLATE(B39, ""en"", ""hi"")"),"कलारीपयट्टू_10")</f>
        <v>कलारीपयट्टू_10</v>
      </c>
      <c r="I39" s="8" t="str">
        <f>IFERROR(__xludf.DUMMYFUNCTION("GOOGLETRANSLATE(C39, ""en"", ""hi"")"),"चित्र में दिखाए गए खेल में किस प्रकार की गतिविधि शामिल है?")</f>
        <v>चित्र में दिखाए गए खेल में किस प्रकार की गतिविधि शामिल है?</v>
      </c>
      <c r="J39" s="8" t="str">
        <f>IFERROR(__xludf.DUMMYFUNCTION("GOOGLETRANSLATE(D39, ""en"", ""hi"")"),"A) तेज़ गति वाला, B) धीमा और जानबूझकर किया गया, C) यादृच्छिक, D) उच्च प्रभाव वाला")</f>
        <v>A) तेज़ गति वाला, B) धीमा और जानबूझकर किया गया, C) यादृच्छिक, D) उच्च प्रभाव वाला</v>
      </c>
      <c r="K39" s="8" t="str">
        <f>IFERROR(__xludf.DUMMYFUNCTION("GOOGLETRANSLATE(E39, ""en"", ""hi"")"),"बी) धीमा और जानबूझकर")</f>
        <v>बी) धीमा और जानबूझकर</v>
      </c>
    </row>
    <row r="40" ht="22.5" customHeight="1">
      <c r="A40" s="2">
        <v>39.0</v>
      </c>
      <c r="B40" s="3" t="s">
        <v>3526</v>
      </c>
      <c r="C40" s="3" t="s">
        <v>3533</v>
      </c>
      <c r="D40" s="3" t="s">
        <v>3534</v>
      </c>
      <c r="E40" s="3" t="s">
        <v>3535</v>
      </c>
      <c r="G40" s="8" t="str">
        <f>IFERROR(__xludf.DUMMYFUNCTION("GOOGLETRANSLATE(A40, ""en"", ""hi"")"),"39")</f>
        <v>39</v>
      </c>
      <c r="H40" s="8" t="str">
        <f>IFERROR(__xludf.DUMMYFUNCTION("GOOGLETRANSLATE(B40, ""en"", ""hi"")"),"कलारीपयट्टू_10")</f>
        <v>कलारीपयट्टू_10</v>
      </c>
      <c r="I40" s="8" t="str">
        <f>IFERROR(__xludf.DUMMYFUNCTION("GOOGLETRANSLATE(C40, ""en"", ""hi"")"),"चित्र में किस प्रकार की पारंपरिक प्रशिक्षण पद्धति का प्रदर्शन किया जा रहा है?")</f>
        <v>चित्र में किस प्रकार की पारंपरिक प्रशिक्षण पद्धति का प्रदर्शन किया जा रहा है?</v>
      </c>
      <c r="J40" s="8" t="str">
        <f>IFERROR(__xludf.DUMMYFUNCTION("GOOGLETRANSLATE(D40, ""en"", ""hi"")"),"A) छाया युद्ध, B) साथी अभ्यास, C) एकल अभ्यास, D) समूह प्रशिक्षण")</f>
        <v>A) छाया युद्ध, B) साथी अभ्यास, C) एकल अभ्यास, D) समूह प्रशिक्षण</v>
      </c>
      <c r="K40" s="8" t="str">
        <f>IFERROR(__xludf.DUMMYFUNCTION("GOOGLETRANSLATE(E40, ""en"", ""hi"")"),"बी) पार्टनर अभ्यास")</f>
        <v>बी) पार्टनर अभ्यास</v>
      </c>
    </row>
    <row r="41" ht="22.5" customHeight="1">
      <c r="A41" s="2">
        <v>40.0</v>
      </c>
      <c r="B41" s="3" t="s">
        <v>3526</v>
      </c>
      <c r="C41" s="3" t="s">
        <v>3536</v>
      </c>
      <c r="D41" s="3" t="s">
        <v>3537</v>
      </c>
      <c r="E41" s="3" t="s">
        <v>3538</v>
      </c>
      <c r="G41" s="8" t="str">
        <f>IFERROR(__xludf.DUMMYFUNCTION("GOOGLETRANSLATE(A41, ""en"", ""hi"")"),"40")</f>
        <v>40</v>
      </c>
      <c r="H41" s="8" t="str">
        <f>IFERROR(__xludf.DUMMYFUNCTION("GOOGLETRANSLATE(B41, ""en"", ""hi"")"),"कलारीपयट्टू_10")</f>
        <v>कलारीपयट्टू_10</v>
      </c>
      <c r="I41" s="8" t="str">
        <f>IFERROR(__xludf.DUMMYFUNCTION("GOOGLETRANSLATE(C41, ""en"", ""hi"")"),"चित्र में दिखाए गए खेल के लिए, दिखाए गए विशिष्ट रुख की क्या भूमिका है?")</f>
        <v>चित्र में दिखाए गए खेल के लिए, दिखाए गए विशिष्ट रुख की क्या भूमिका है?</v>
      </c>
      <c r="J41" s="8" t="str">
        <f>IFERROR(__xludf.DUMMYFUNCTION("GOOGLETRANSLATE(D41, ""en"", ""hi"")"),"A) गति बढ़ाने के लिए, B) संतुलन प्रदान करने के लिए, C) हमले की तैयारी करने के लिए, D) बचाव को सुविधाजनक बनाने के लिए")</f>
        <v>A) गति बढ़ाने के लिए, B) संतुलन प्रदान करने के लिए, C) हमले की तैयारी करने के लिए, D) बचाव को सुविधाजनक बनाने के लिए</v>
      </c>
      <c r="K41" s="8" t="str">
        <f>IFERROR(__xludf.DUMMYFUNCTION("GOOGLETRANSLATE(E41, ""en"", ""hi"")"),"बी) संतुलन प्रदान करने के लिए")</f>
        <v>बी) संतुलन प्रदान करने के लिए</v>
      </c>
    </row>
    <row r="42" ht="22.5" customHeight="1">
      <c r="A42" s="2">
        <v>41.0</v>
      </c>
      <c r="B42" s="3" t="s">
        <v>3539</v>
      </c>
      <c r="C42" s="3" t="s">
        <v>3540</v>
      </c>
      <c r="D42" s="3" t="s">
        <v>3541</v>
      </c>
      <c r="E42" s="3" t="s">
        <v>3542</v>
      </c>
      <c r="G42" s="8" t="str">
        <f>IFERROR(__xludf.DUMMYFUNCTION("GOOGLETRANSLATE(A42, ""en"", ""hi"")"),"41")</f>
        <v>41</v>
      </c>
      <c r="H42" s="8" t="str">
        <f>IFERROR(__xludf.DUMMYFUNCTION("GOOGLETRANSLATE(B42, ""en"", ""hi"")"),"कलारीपयट्टू_11")</f>
        <v>कलारीपयट्टू_11</v>
      </c>
      <c r="I42" s="8" t="str">
        <f>IFERROR(__xludf.DUMMYFUNCTION("GOOGLETRANSLATE(C42, ""en"", ""hi"")"),"चित्र में किस प्रकार के कलारीपयट्टू अभ्यास को दर्शाया गया है?")</f>
        <v>चित्र में किस प्रकार के कलारीपयट्टू अभ्यास को दर्शाया गया है?</v>
      </c>
      <c r="J42" s="8" t="str">
        <f>IFERROR(__xludf.DUMMYFUNCTION("GOOGLETRANSLATE(D42, ""en"", ""hi"")"),"A) ध्यान, B) हथियार चलाना, C) युद्ध अनुकरण, D) शारीरिक कंडीशनिंग")</f>
        <v>A) ध्यान, B) हथियार चलाना, C) युद्ध अनुकरण, D) शारीरिक कंडीशनिंग</v>
      </c>
      <c r="K42" s="8" t="str">
        <f>IFERROR(__xludf.DUMMYFUNCTION("GOOGLETRANSLATE(E42, ""en"", ""hi"")"),"बी) हथियार संचालन")</f>
        <v>बी) हथियार संचालन</v>
      </c>
    </row>
    <row r="43" ht="22.5" customHeight="1">
      <c r="A43" s="2">
        <v>42.0</v>
      </c>
      <c r="B43" s="3" t="s">
        <v>3539</v>
      </c>
      <c r="C43" s="3" t="s">
        <v>3543</v>
      </c>
      <c r="D43" s="3" t="s">
        <v>3544</v>
      </c>
      <c r="E43" s="3" t="s">
        <v>3545</v>
      </c>
      <c r="G43" s="8" t="str">
        <f>IFERROR(__xludf.DUMMYFUNCTION("GOOGLETRANSLATE(A43, ""en"", ""hi"")"),"42")</f>
        <v>42</v>
      </c>
      <c r="H43" s="8" t="str">
        <f>IFERROR(__xludf.DUMMYFUNCTION("GOOGLETRANSLATE(B43, ""en"", ""hi"")"),"कलारीपयट्टू_11")</f>
        <v>कलारीपयट्टू_11</v>
      </c>
      <c r="I43" s="8" t="str">
        <f>IFERROR(__xludf.DUMMYFUNCTION("GOOGLETRANSLATE(C43, ""en"", ""hi"")"),"चित्र में दर्शाए गए खेल में प्रायः किस प्रकार के प्रशिक्षण उपकरण की आवश्यकता होती है?")</f>
        <v>चित्र में दर्शाए गए खेल में प्रायः किस प्रकार के प्रशिक्षण उपकरण की आवश्यकता होती है?</v>
      </c>
      <c r="J43" s="8" t="str">
        <f>IFERROR(__xludf.DUMMYFUNCTION("GOOGLETRANSLATE(D43, ""en"", ""hi"")"),"ए) सुरक्षात्मक गियर, बी) भारित बेल्ट, सी) अभ्यास हथियार, डी) मैट")</f>
        <v>ए) सुरक्षात्मक गियर, बी) भारित बेल्ट, सी) अभ्यास हथियार, डी) मैट</v>
      </c>
      <c r="K43" s="8" t="str">
        <f>IFERROR(__xludf.DUMMYFUNCTION("GOOGLETRANSLATE(E43, ""en"", ""hi"")"),"C) अभ्यास हथियार")</f>
        <v>C) अभ्यास हथियार</v>
      </c>
    </row>
    <row r="44" ht="22.5" customHeight="1">
      <c r="A44" s="2">
        <v>43.0</v>
      </c>
      <c r="B44" s="3" t="s">
        <v>3539</v>
      </c>
      <c r="C44" s="3" t="s">
        <v>3546</v>
      </c>
      <c r="D44" s="3" t="s">
        <v>3547</v>
      </c>
      <c r="E44" s="3" t="s">
        <v>3548</v>
      </c>
      <c r="G44" s="8" t="str">
        <f>IFERROR(__xludf.DUMMYFUNCTION("GOOGLETRANSLATE(A44, ""en"", ""hi"")"),"43")</f>
        <v>43</v>
      </c>
      <c r="H44" s="8" t="str">
        <f>IFERROR(__xludf.DUMMYFUNCTION("GOOGLETRANSLATE(B44, ""en"", ""hi"")"),"कलारीपयट्टू_11")</f>
        <v>कलारीपयट्टू_11</v>
      </c>
      <c r="I44" s="8" t="str">
        <f>IFERROR(__xludf.DUMMYFUNCTION("GOOGLETRANSLATE(C44, ""en"", ""hi"")"),"चित्र में दर्शाई गई तकनीक के माध्यम से कलरीपयट्टू के किस पहलू पर ध्यान केंद्रित किया जा रहा है?")</f>
        <v>चित्र में दर्शाई गई तकनीक के माध्यम से कलरीपयट्टू के किस पहलू पर ध्यान केंद्रित किया जा रहा है?</v>
      </c>
      <c r="J44" s="8" t="str">
        <f>IFERROR(__xludf.DUMMYFUNCTION("GOOGLETRANSLATE(D44, ""en"", ""hi"")"),"ए) आक्रमण पैटर्न, बी) रक्षात्मक कौशल, सी) ग्रैपलिंग तकनीक, डी) श्वास तकनीक")</f>
        <v>ए) आक्रमण पैटर्न, बी) रक्षात्मक कौशल, सी) ग्रैपलिंग तकनीक, डी) श्वास तकनीक</v>
      </c>
      <c r="K44" s="8" t="str">
        <f>IFERROR(__xludf.DUMMYFUNCTION("GOOGLETRANSLATE(E44, ""en"", ""hi"")"),"बी) रक्षात्मक कौशल")</f>
        <v>बी) रक्षात्मक कौशल</v>
      </c>
    </row>
    <row r="45" ht="22.5" customHeight="1">
      <c r="A45" s="2">
        <v>44.0</v>
      </c>
      <c r="B45" s="3" t="s">
        <v>3539</v>
      </c>
      <c r="C45" s="3" t="s">
        <v>3549</v>
      </c>
      <c r="D45" s="3" t="s">
        <v>3550</v>
      </c>
      <c r="E45" s="3" t="s">
        <v>3551</v>
      </c>
      <c r="G45" s="8" t="str">
        <f>IFERROR(__xludf.DUMMYFUNCTION("GOOGLETRANSLATE(A45, ""en"", ""hi"")"),"44")</f>
        <v>44</v>
      </c>
      <c r="H45" s="8" t="str">
        <f>IFERROR(__xludf.DUMMYFUNCTION("GOOGLETRANSLATE(B45, ""en"", ""hi"")"),"कलारीपयट्टू_11")</f>
        <v>कलारीपयट्टू_11</v>
      </c>
      <c r="I45" s="8" t="str">
        <f>IFERROR(__xludf.DUMMYFUNCTION("GOOGLETRANSLATE(C45, ""en"", ""hi"")"),"चित्र में दिखाए गए खेल के लिए प्रशिक्षण सत्र की सामान्य अवधि क्या है?")</f>
        <v>चित्र में दिखाए गए खेल के लिए प्रशिक्षण सत्र की सामान्य अवधि क्या है?</v>
      </c>
      <c r="J45" s="8" t="str">
        <f>IFERROR(__xludf.DUMMYFUNCTION("GOOGLETRANSLATE(D45, ""en"", ""hi"")"),"A) 30 मिनट, B) 1 घंटा, C) 1.5 घंटे, D) 2 घंटे")</f>
        <v>A) 30 मिनट, B) 1 घंटा, C) 1.5 घंटे, D) 2 घंटे</v>
      </c>
      <c r="K45" s="8" t="str">
        <f>IFERROR(__xludf.DUMMYFUNCTION("GOOGLETRANSLATE(E45, ""en"", ""hi"")"),"बी) 1 घंटा")</f>
        <v>बी) 1 घंटा</v>
      </c>
    </row>
    <row r="46" ht="22.5" customHeight="1">
      <c r="A46" s="2">
        <v>45.0</v>
      </c>
      <c r="B46" s="3" t="s">
        <v>3552</v>
      </c>
      <c r="C46" s="3" t="s">
        <v>3553</v>
      </c>
      <c r="D46" s="3" t="s">
        <v>3554</v>
      </c>
      <c r="E46" s="3" t="s">
        <v>3555</v>
      </c>
      <c r="G46" s="8" t="str">
        <f>IFERROR(__xludf.DUMMYFUNCTION("GOOGLETRANSLATE(A46, ""en"", ""hi"")"),"45")</f>
        <v>45</v>
      </c>
      <c r="H46" s="8" t="str">
        <f>IFERROR(__xludf.DUMMYFUNCTION("GOOGLETRANSLATE(B46, ""en"", ""hi"")"),"कलारीपयट्टू_12")</f>
        <v>कलारीपयट्टू_12</v>
      </c>
      <c r="I46" s="8" t="str">
        <f>IFERROR(__xludf.DUMMYFUNCTION("GOOGLETRANSLATE(C46, ""en"", ""hi"")"),"चित्र में, किए जा रहे अभ्यास का फोकस क्या है?")</f>
        <v>चित्र में, किए जा रहे अभ्यास का फोकस क्या है?</v>
      </c>
      <c r="J46" s="8" t="str">
        <f>IFERROR(__xludf.DUMMYFUNCTION("GOOGLETRANSLATE(D46, ""en"", ""hi"")"),"A) धीरज, B) लचीलापन, C) तकनीक, D) गति")</f>
        <v>A) धीरज, B) लचीलापन, C) तकनीक, D) गति</v>
      </c>
      <c r="K46" s="8" t="str">
        <f>IFERROR(__xludf.DUMMYFUNCTION("GOOGLETRANSLATE(E46, ""en"", ""hi"")"),"C) तकनीक")</f>
        <v>C) तकनीक</v>
      </c>
    </row>
    <row r="47" ht="22.5" customHeight="1">
      <c r="A47" s="2">
        <v>46.0</v>
      </c>
      <c r="B47" s="3" t="s">
        <v>3552</v>
      </c>
      <c r="C47" s="3" t="s">
        <v>3556</v>
      </c>
      <c r="D47" s="3" t="s">
        <v>3557</v>
      </c>
      <c r="E47" s="3" t="s">
        <v>3558</v>
      </c>
      <c r="G47" s="8" t="str">
        <f>IFERROR(__xludf.DUMMYFUNCTION("GOOGLETRANSLATE(A47, ""en"", ""hi"")"),"46")</f>
        <v>46</v>
      </c>
      <c r="H47" s="8" t="str">
        <f>IFERROR(__xludf.DUMMYFUNCTION("GOOGLETRANSLATE(B47, ""en"", ""hi"")"),"कलारीपयट्टू_12")</f>
        <v>कलारीपयट्टू_12</v>
      </c>
      <c r="I47" s="8" t="str">
        <f>IFERROR(__xludf.DUMMYFUNCTION("GOOGLETRANSLATE(C47, ""en"", ""hi"")"),"चित्र में दिखाए गए खेल के लिए किस प्रकार के अभ्यास क्षेत्र की आवश्यकता होती है?")</f>
        <v>चित्र में दिखाए गए खेल के लिए किस प्रकार के अभ्यास क्षेत्र की आवश्यकता होती है?</v>
      </c>
      <c r="J47" s="8" t="str">
        <f>IFERROR(__xludf.DUMMYFUNCTION("GOOGLETRANSLATE(D47, ""en"", ""hi"")"),"ए) इनडोर क्षेत्र, बी) आउटडोर मैदान, सी) जिम्नेजियम, डी) विशेष डोजो")</f>
        <v>ए) इनडोर क्षेत्र, बी) आउटडोर मैदान, सी) जिम्नेजियम, डी) विशेष डोजो</v>
      </c>
      <c r="K47" s="8" t="str">
        <f>IFERROR(__xludf.DUMMYFUNCTION("GOOGLETRANSLATE(E47, ""en"", ""hi"")"),"डी) विशेष डोजो")</f>
        <v>डी) विशेष डोजो</v>
      </c>
    </row>
    <row r="48" ht="22.5" customHeight="1">
      <c r="A48" s="2">
        <v>47.0</v>
      </c>
      <c r="B48" s="3" t="s">
        <v>3552</v>
      </c>
      <c r="C48" s="3" t="s">
        <v>3559</v>
      </c>
      <c r="D48" s="3" t="s">
        <v>3560</v>
      </c>
      <c r="E48" s="3" t="s">
        <v>3561</v>
      </c>
      <c r="G48" s="8" t="str">
        <f>IFERROR(__xludf.DUMMYFUNCTION("GOOGLETRANSLATE(A48, ""en"", ""hi"")"),"47")</f>
        <v>47</v>
      </c>
      <c r="H48" s="8" t="str">
        <f>IFERROR(__xludf.DUMMYFUNCTION("GOOGLETRANSLATE(B48, ""en"", ""hi"")"),"कलारीपयट्टू_12")</f>
        <v>कलारीपयट्टू_12</v>
      </c>
      <c r="I48" s="8" t="str">
        <f>IFERROR(__xludf.DUMMYFUNCTION("GOOGLETRANSLATE(C48, ""en"", ""hi"")"),"चित्र में दर्शाई गई प्रथा के माध्यम से कौन सा पारंपरिक पहलू उजागर हुआ है?")</f>
        <v>चित्र में दर्शाई गई प्रथा के माध्यम से कौन सा पारंपरिक पहलू उजागर हुआ है?</v>
      </c>
      <c r="J48" s="8" t="str">
        <f>IFERROR(__xludf.DUMMYFUNCTION("GOOGLETRANSLATE(D48, ""en"", ""hi"")"),"A) अनुष्ठान महत्व, B) हथियार निपुणता, C) लचीलापन अभ्यास, D) ध्यान तकनीक")</f>
        <v>A) अनुष्ठान महत्व, B) हथियार निपुणता, C) लचीलापन अभ्यास, D) ध्यान तकनीक</v>
      </c>
      <c r="K48" s="8" t="str">
        <f>IFERROR(__xludf.DUMMYFUNCTION("GOOGLETRANSLATE(E48, ""en"", ""hi"")"),"बी) हथियार महारत")</f>
        <v>बी) हथियार महारत</v>
      </c>
    </row>
    <row r="49" ht="22.5" customHeight="1">
      <c r="A49" s="2">
        <v>48.0</v>
      </c>
      <c r="B49" s="3" t="s">
        <v>3552</v>
      </c>
      <c r="C49" s="3" t="s">
        <v>3562</v>
      </c>
      <c r="D49" s="3" t="s">
        <v>3563</v>
      </c>
      <c r="E49" s="3" t="s">
        <v>3564</v>
      </c>
      <c r="G49" s="8" t="str">
        <f>IFERROR(__xludf.DUMMYFUNCTION("GOOGLETRANSLATE(A49, ""en"", ""hi"")"),"48")</f>
        <v>48</v>
      </c>
      <c r="H49" s="8" t="str">
        <f>IFERROR(__xludf.DUMMYFUNCTION("GOOGLETRANSLATE(B49, ""en"", ""hi"")"),"कलारीपयट्टू_12")</f>
        <v>कलारीपयट्टू_12</v>
      </c>
      <c r="I49" s="8" t="str">
        <f>IFERROR(__xludf.DUMMYFUNCTION("GOOGLETRANSLATE(C49, ""en"", ""hi"")"),"चित्र में दिखाए गए खेल के लिए प्रयुक्त प्रशिक्षण उपकरण की विशिष्ट विशेषता क्या है?")</f>
        <v>चित्र में दिखाए गए खेल के लिए प्रयुक्त प्रशिक्षण उपकरण की विशिष्ट विशेषता क्या है?</v>
      </c>
      <c r="J49" s="8" t="str">
        <f>IFERROR(__xludf.DUMMYFUNCTION("GOOGLETRANSLATE(D49, ""en"", ""hi"")"),"A) हल्का और लचीला, B) भारी और टिकाऊ, C) सजावटी और अलंकृत, D) सरल और व्यावहारिक")</f>
        <v>A) हल्का और लचीला, B) भारी और टिकाऊ, C) सजावटी और अलंकृत, D) सरल और व्यावहारिक</v>
      </c>
      <c r="K49" s="8" t="str">
        <f>IFERROR(__xludf.DUMMYFUNCTION("GOOGLETRANSLATE(E49, ""en"", ""hi"")"),"बी) भारी और टिकाऊ")</f>
        <v>बी) भारी और टिकाऊ</v>
      </c>
    </row>
    <row r="50" ht="22.5" customHeight="1">
      <c r="A50" s="2">
        <v>49.0</v>
      </c>
      <c r="B50" s="3" t="s">
        <v>3565</v>
      </c>
      <c r="C50" s="3" t="s">
        <v>3566</v>
      </c>
      <c r="D50" s="3" t="s">
        <v>3567</v>
      </c>
      <c r="E50" s="3" t="s">
        <v>3568</v>
      </c>
      <c r="G50" s="8" t="str">
        <f>IFERROR(__xludf.DUMMYFUNCTION("GOOGLETRANSLATE(A50, ""en"", ""hi"")"),"49")</f>
        <v>49</v>
      </c>
      <c r="H50" s="8" t="str">
        <f>IFERROR(__xludf.DUMMYFUNCTION("GOOGLETRANSLATE(B50, ""en"", ""hi"")"),"कलारीपयट्टू_13")</f>
        <v>कलारीपयट्टू_13</v>
      </c>
      <c r="I50" s="8" t="str">
        <f>IFERROR(__xludf.DUMMYFUNCTION("GOOGLETRANSLATE(C50, ""en"", ""hi"")"),"चित्र में अभ्यासकर्ता किस प्रकार की मुद्रा प्रदर्शित कर रहा है?")</f>
        <v>चित्र में अभ्यासकर्ता किस प्रकार की मुद्रा प्रदर्शित कर रहा है?</v>
      </c>
      <c r="J50" s="8" t="str">
        <f>IFERROR(__xludf.DUMMYFUNCTION("GOOGLETRANSLATE(D50, ""en"", ""hi"")"),"A) रक्षात्मक, B) आक्रामक, C) तटस्थ, D) ध्यानात्मक")</f>
        <v>A) रक्षात्मक, B) आक्रामक, C) तटस्थ, D) ध्यानात्मक</v>
      </c>
      <c r="K50" s="8" t="str">
        <f>IFERROR(__xludf.DUMMYFUNCTION("GOOGLETRANSLATE(E50, ""en"", ""hi"")"),"ए) रक्षात्मक")</f>
        <v>ए) रक्षात्मक</v>
      </c>
    </row>
    <row r="51" ht="22.5" customHeight="1">
      <c r="A51" s="2">
        <v>50.0</v>
      </c>
      <c r="B51" s="3" t="s">
        <v>3565</v>
      </c>
      <c r="C51" s="3" t="s">
        <v>3569</v>
      </c>
      <c r="D51" s="3" t="s">
        <v>3570</v>
      </c>
      <c r="E51" s="3" t="s">
        <v>3571</v>
      </c>
      <c r="G51" s="8" t="str">
        <f>IFERROR(__xludf.DUMMYFUNCTION("GOOGLETRANSLATE(A51, ""en"", ""hi"")"),"50")</f>
        <v>50</v>
      </c>
      <c r="H51" s="8" t="str">
        <f>IFERROR(__xludf.DUMMYFUNCTION("GOOGLETRANSLATE(B51, ""en"", ""hi"")"),"कलारीपयट्टू_13")</f>
        <v>कलारीपयट्टू_13</v>
      </c>
      <c r="I51" s="8" t="str">
        <f>IFERROR(__xludf.DUMMYFUNCTION("GOOGLETRANSLATE(C51, ""en"", ""hi"")"),"चित्र में दिखाए गए खेल में किस प्रकार की पैर की गतिविधियाँ शामिल हैं?")</f>
        <v>चित्र में दिखाए गए खेल में किस प्रकार की पैर की गतिविधियाँ शामिल हैं?</v>
      </c>
      <c r="J51" s="8" t="str">
        <f>IFERROR(__xludf.DUMMYFUNCTION("GOOGLETRANSLATE(D51, ""en"", ""hi"")"),"A) तेज़ फुटवर्क, B) स्थिर और नियंत्रित, C) यादृच्छिक और अनिश्चित, D) कूदना और घूमना")</f>
        <v>A) तेज़ फुटवर्क, B) स्थिर और नियंत्रित, C) यादृच्छिक और अनिश्चित, D) कूदना और घूमना</v>
      </c>
      <c r="K51" s="8" t="str">
        <f>IFERROR(__xludf.DUMMYFUNCTION("GOOGLETRANSLATE(E51, ""en"", ""hi"")"),"बी) स्थिर और नियंत्रित")</f>
        <v>बी) स्थिर और नियंत्रित</v>
      </c>
    </row>
    <row r="52" ht="22.5" customHeight="1">
      <c r="A52" s="2">
        <v>51.0</v>
      </c>
      <c r="B52" s="3" t="s">
        <v>3565</v>
      </c>
      <c r="C52" s="3" t="s">
        <v>3572</v>
      </c>
      <c r="D52" s="3" t="s">
        <v>3573</v>
      </c>
      <c r="E52" s="3" t="s">
        <v>3574</v>
      </c>
      <c r="G52" s="8" t="str">
        <f>IFERROR(__xludf.DUMMYFUNCTION("GOOGLETRANSLATE(A52, ""en"", ""hi"")"),"51")</f>
        <v>51</v>
      </c>
      <c r="H52" s="8" t="str">
        <f>IFERROR(__xludf.DUMMYFUNCTION("GOOGLETRANSLATE(B52, ""en"", ""hi"")"),"कलारीपयट्टू_13")</f>
        <v>कलारीपयट्टू_13</v>
      </c>
      <c r="I52" s="8" t="str">
        <f>IFERROR(__xludf.DUMMYFUNCTION("GOOGLETRANSLATE(C52, ""en"", ""hi"")"),"चित्र में दर्शाई गई तकनीक का प्राथमिक लाभ क्या है?")</f>
        <v>चित्र में दर्शाई गई तकनीक का प्राथमिक लाभ क्या है?</v>
      </c>
      <c r="J52" s="8" t="str">
        <f>IFERROR(__xludf.DUMMYFUNCTION("GOOGLETRANSLATE(D52, ""en"", ""hi"")"),"A) बढ़ी हुई ताकत, B) बढ़ी हुई सटीकता, C) बेहतर लचीलापन, D) बेहतर चपलता")</f>
        <v>A) बढ़ी हुई ताकत, B) बढ़ी हुई सटीकता, C) बेहतर लचीलापन, D) बेहतर चपलता</v>
      </c>
      <c r="K52" s="8" t="str">
        <f>IFERROR(__xludf.DUMMYFUNCTION("GOOGLETRANSLATE(E52, ""en"", ""hi"")"),"बी) बढ़ी हुई सटीकता")</f>
        <v>बी) बढ़ी हुई सटीकता</v>
      </c>
    </row>
    <row r="53" ht="22.5" customHeight="1">
      <c r="A53" s="2">
        <v>52.0</v>
      </c>
      <c r="B53" s="3" t="s">
        <v>3565</v>
      </c>
      <c r="C53" s="3" t="s">
        <v>3575</v>
      </c>
      <c r="D53" s="3" t="s">
        <v>3576</v>
      </c>
      <c r="E53" s="3" t="s">
        <v>1873</v>
      </c>
      <c r="G53" s="8" t="str">
        <f>IFERROR(__xludf.DUMMYFUNCTION("GOOGLETRANSLATE(A53, ""en"", ""hi"")"),"52")</f>
        <v>52</v>
      </c>
      <c r="H53" s="8" t="str">
        <f>IFERROR(__xludf.DUMMYFUNCTION("GOOGLETRANSLATE(B53, ""en"", ""hi"")"),"कलारीपयट्टू_13")</f>
        <v>कलारीपयट्टू_13</v>
      </c>
      <c r="I53" s="8" t="str">
        <f>IFERROR(__xludf.DUMMYFUNCTION("GOOGLETRANSLATE(C53, ""en"", ""hi"")"),"चित्र में दिखाए गए खेल के लिए प्रशिक्षण दिनचर्या का सामान्य तत्व क्या है?")</f>
        <v>चित्र में दिखाए गए खेल के लिए प्रशिक्षण दिनचर्या का सामान्य तत्व क्या है?</v>
      </c>
      <c r="J53" s="8" t="str">
        <f>IFERROR(__xludf.DUMMYFUNCTION("GOOGLETRANSLATE(D53, ""en"", ""hi"")"),"A) एकल अभ्यास, B) साथी अभ्यास, C) समूह संरचना, D) उपरोक्त सभी")</f>
        <v>A) एकल अभ्यास, B) साथी अभ्यास, C) समूह संरचना, D) उपरोक्त सभी</v>
      </c>
      <c r="K53" s="8" t="str">
        <f>IFERROR(__xludf.DUMMYFUNCTION("GOOGLETRANSLATE(E53, ""en"", ""hi"")"),"D। उपरोक्त सभी")</f>
        <v>D। उपरोक्त सभी</v>
      </c>
    </row>
    <row r="54" ht="22.5" customHeight="1">
      <c r="A54" s="2">
        <v>53.0</v>
      </c>
      <c r="B54" s="3" t="s">
        <v>3577</v>
      </c>
      <c r="C54" s="3" t="s">
        <v>3578</v>
      </c>
      <c r="D54" s="3" t="s">
        <v>3579</v>
      </c>
      <c r="E54" s="3" t="s">
        <v>3580</v>
      </c>
      <c r="G54" s="8" t="str">
        <f>IFERROR(__xludf.DUMMYFUNCTION("GOOGLETRANSLATE(A54, ""en"", ""hi"")"),"53")</f>
        <v>53</v>
      </c>
      <c r="H54" s="8" t="str">
        <f>IFERROR(__xludf.DUMMYFUNCTION("GOOGLETRANSLATE(B54, ""en"", ""hi"")"),"कलारीपयट्टू_14")</f>
        <v>कलारीपयट्टू_14</v>
      </c>
      <c r="I54" s="8" t="str">
        <f>IFERROR(__xludf.DUMMYFUNCTION("GOOGLETRANSLATE(C54, ""en"", ""hi"")"),"चित्र में दर्शाए गए विशिष्ट कदम का उद्देश्य क्या है?")</f>
        <v>चित्र में दर्शाए गए विशिष्ट कदम का उद्देश्य क्या है?</v>
      </c>
      <c r="J54" s="8" t="str">
        <f>IFERROR(__xludf.DUMMYFUNCTION("GOOGLETRANSLATE(D54, ""en"", ""hi"")"),"A) बचाव करना, B) आक्रमण करना, C) मुद्राओं के बीच परिवर्तन करना, D) वार्म-अप करना")</f>
        <v>A) बचाव करना, B) आक्रमण करना, C) मुद्राओं के बीच परिवर्तन करना, D) वार्म-अप करना</v>
      </c>
      <c r="K54" s="8" t="str">
        <f>IFERROR(__xludf.DUMMYFUNCTION("GOOGLETRANSLATE(E54, ""en"", ""hi"")"),"A) बचाव कार्य करना")</f>
        <v>A) बचाव कार्य करना</v>
      </c>
    </row>
    <row r="55" ht="22.5" customHeight="1">
      <c r="A55" s="2">
        <v>54.0</v>
      </c>
      <c r="B55" s="3" t="s">
        <v>3577</v>
      </c>
      <c r="C55" s="3" t="s">
        <v>3581</v>
      </c>
      <c r="D55" s="3" t="s">
        <v>3582</v>
      </c>
      <c r="E55" s="3" t="s">
        <v>3583</v>
      </c>
      <c r="G55" s="8" t="str">
        <f>IFERROR(__xludf.DUMMYFUNCTION("GOOGLETRANSLATE(A55, ""en"", ""hi"")"),"54")</f>
        <v>54</v>
      </c>
      <c r="H55" s="8" t="str">
        <f>IFERROR(__xludf.DUMMYFUNCTION("GOOGLETRANSLATE(B55, ""en"", ""hi"")"),"कलारीपयट्टू_14")</f>
        <v>कलारीपयट्टू_14</v>
      </c>
      <c r="I55" s="8" t="str">
        <f>IFERROR(__xludf.DUMMYFUNCTION("GOOGLETRANSLATE(C55, ""en"", ""hi"")"),"चित्र में दर्शाया गया खेल पारंपरिक रूप से निम्नलिखित में से किस पर केंद्रित है?")</f>
        <v>चित्र में दर्शाया गया खेल पारंपरिक रूप से निम्नलिखित में से किस पर केंद्रित है?</v>
      </c>
      <c r="J55" s="8" t="str">
        <f>IFERROR(__xludf.DUMMYFUNCTION("GOOGLETRANSLATE(D55, ""en"", ""hi"")"),"A) आत्म-अनुशासन, B) प्रतिस्पर्धी सफलता, C) कलात्मक प्रदर्शन, D) शारीरिक सहनशक्ति")</f>
        <v>A) आत्म-अनुशासन, B) प्रतिस्पर्धी सफलता, C) कलात्मक प्रदर्शन, D) शारीरिक सहनशक्ति</v>
      </c>
      <c r="K55" s="8" t="str">
        <f>IFERROR(__xludf.DUMMYFUNCTION("GOOGLETRANSLATE(E55, ""en"", ""hi"")"),"A) आत्म-अनुशासन")</f>
        <v>A) आत्म-अनुशासन</v>
      </c>
    </row>
    <row r="56" ht="22.5" customHeight="1">
      <c r="A56" s="2">
        <v>55.0</v>
      </c>
      <c r="B56" s="3" t="s">
        <v>3577</v>
      </c>
      <c r="C56" s="3" t="s">
        <v>3584</v>
      </c>
      <c r="D56" s="3" t="s">
        <v>3585</v>
      </c>
      <c r="E56" s="3" t="s">
        <v>3586</v>
      </c>
      <c r="G56" s="8" t="str">
        <f>IFERROR(__xludf.DUMMYFUNCTION("GOOGLETRANSLATE(A56, ""en"", ""hi"")"),"55")</f>
        <v>55</v>
      </c>
      <c r="H56" s="8" t="str">
        <f>IFERROR(__xludf.DUMMYFUNCTION("GOOGLETRANSLATE(B56, ""en"", ""hi"")"),"कलारीपयट्टू_14")</f>
        <v>कलारीपयट्टू_14</v>
      </c>
      <c r="I56" s="8" t="str">
        <f>IFERROR(__xludf.DUMMYFUNCTION("GOOGLETRANSLATE(C56, ""en"", ""hi"")"),"चित्र में प्रयुक्त विशिष्ट तकनीक का क्या महत्व है?")</f>
        <v>चित्र में प्रयुक्त विशिष्ट तकनीक का क्या महत्व है?</v>
      </c>
      <c r="J56" s="8" t="str">
        <f>IFERROR(__xludf.DUMMYFUNCTION("GOOGLETRANSLATE(D56, ""en"", ""hi"")"),"A) यह एक आधारभूत कौशल है, B) यह सहनशक्ति बढ़ाता है, C) यह समन्वय में सुधार करता है, D) इसका उपयोग प्रदर्शन में किया जाता है")</f>
        <v>A) यह एक आधारभूत कौशल है, B) यह सहनशक्ति बढ़ाता है, C) यह समन्वय में सुधार करता है, D) इसका उपयोग प्रदर्शन में किया जाता है</v>
      </c>
      <c r="K56" s="8" t="str">
        <f>IFERROR(__xludf.DUMMYFUNCTION("GOOGLETRANSLATE(E56, ""en"", ""hi"")"),"A) यह एक आधारभूत कौशल है")</f>
        <v>A) यह एक आधारभूत कौशल है</v>
      </c>
    </row>
    <row r="57" ht="22.5" customHeight="1">
      <c r="A57" s="2">
        <v>56.0</v>
      </c>
      <c r="B57" s="3" t="s">
        <v>3577</v>
      </c>
      <c r="C57" s="3" t="s">
        <v>3587</v>
      </c>
      <c r="D57" s="3" t="s">
        <v>3588</v>
      </c>
      <c r="E57" s="3" t="s">
        <v>3589</v>
      </c>
      <c r="G57" s="8" t="str">
        <f>IFERROR(__xludf.DUMMYFUNCTION("GOOGLETRANSLATE(A57, ""en"", ""hi"")"),"56")</f>
        <v>56</v>
      </c>
      <c r="H57" s="8" t="str">
        <f>IFERROR(__xludf.DUMMYFUNCTION("GOOGLETRANSLATE(B57, ""en"", ""hi"")"),"कलारीपयट्टू_14")</f>
        <v>कलारीपयट्टू_14</v>
      </c>
      <c r="I57" s="8" t="str">
        <f>IFERROR(__xludf.DUMMYFUNCTION("GOOGLETRANSLATE(C57, ""en"", ""hi"")"),"चित्र में दिखाए गए खेल के लिए, दिखाई गई तकनीक में महारत हासिल करने का सामान्य परिणाम क्या है?")</f>
        <v>चित्र में दिखाए गए खेल के लिए, दिखाई गई तकनीक में महारत हासिल करने का सामान्य परिणाम क्या है?</v>
      </c>
      <c r="J57" s="8" t="str">
        <f>IFERROR(__xludf.DUMMYFUNCTION("GOOGLETRANSLATE(D57, ""en"", ""hi"")"),"A) बेहतर लचीलापन, B) उन्नत युद्ध कौशल, C) बेहतर मानसिक एकाग्रता, D) बढ़ी हुई ताकत")</f>
        <v>A) बेहतर लचीलापन, B) उन्नत युद्ध कौशल, C) बेहतर मानसिक एकाग्रता, D) बढ़ी हुई ताकत</v>
      </c>
      <c r="K57" s="8" t="str">
        <f>IFERROR(__xludf.DUMMYFUNCTION("GOOGLETRANSLATE(E57, ""en"", ""hi"")"),"बी) उन्नत युद्ध कौशल")</f>
        <v>बी) उन्नत युद्ध कौशल</v>
      </c>
    </row>
    <row r="58" ht="22.5" customHeight="1">
      <c r="A58" s="2">
        <v>57.0</v>
      </c>
      <c r="B58" s="3" t="s">
        <v>3590</v>
      </c>
      <c r="C58" s="3" t="s">
        <v>3591</v>
      </c>
      <c r="D58" s="3" t="s">
        <v>3592</v>
      </c>
      <c r="E58" s="3" t="s">
        <v>3593</v>
      </c>
      <c r="G58" s="8" t="str">
        <f>IFERROR(__xludf.DUMMYFUNCTION("GOOGLETRANSLATE(A58, ""en"", ""hi"")"),"57")</f>
        <v>57</v>
      </c>
      <c r="H58" s="8" t="str">
        <f>IFERROR(__xludf.DUMMYFUNCTION("GOOGLETRANSLATE(B58, ""en"", ""hi"")"),"कलारीपयट्टू_15")</f>
        <v>कलारीपयट्टू_15</v>
      </c>
      <c r="I58" s="8" t="str">
        <f>IFERROR(__xludf.DUMMYFUNCTION("GOOGLETRANSLATE(C58, ""en"", ""hi"")"),"चित्र में दिखाया गया व्यायाम किस प्रकार के प्रशिक्षण को दर्शाता है?")</f>
        <v>चित्र में दिखाया गया व्यायाम किस प्रकार के प्रशिक्षण को दर्शाता है?</v>
      </c>
      <c r="J58" s="8" t="str">
        <f>IFERROR(__xludf.DUMMYFUNCTION("GOOGLETRANSLATE(D58, ""en"", ""hi"")"),"A) शक्ति प्रशिक्षण, B) तकनीक परिशोधन, C) गति अभ्यास, D) सहनशक्ति निर्माण")</f>
        <v>A) शक्ति प्रशिक्षण, B) तकनीक परिशोधन, C) गति अभ्यास, D) सहनशक्ति निर्माण</v>
      </c>
      <c r="K58" s="8" t="str">
        <f>IFERROR(__xludf.DUMMYFUNCTION("GOOGLETRANSLATE(E58, ""en"", ""hi"")"),"बी) तकनीक परिशोधन")</f>
        <v>बी) तकनीक परिशोधन</v>
      </c>
    </row>
    <row r="59" ht="22.5" customHeight="1">
      <c r="A59" s="2">
        <v>58.0</v>
      </c>
      <c r="B59" s="3" t="s">
        <v>3590</v>
      </c>
      <c r="C59" s="3" t="s">
        <v>3594</v>
      </c>
      <c r="D59" s="3" t="s">
        <v>3595</v>
      </c>
      <c r="E59" s="3" t="s">
        <v>3596</v>
      </c>
      <c r="G59" s="8" t="str">
        <f>IFERROR(__xludf.DUMMYFUNCTION("GOOGLETRANSLATE(A59, ""en"", ""hi"")"),"58")</f>
        <v>58</v>
      </c>
      <c r="H59" s="8" t="str">
        <f>IFERROR(__xludf.DUMMYFUNCTION("GOOGLETRANSLATE(B59, ""en"", ""hi"")"),"कलारीपयट्टू_15")</f>
        <v>कलारीपयट्टू_15</v>
      </c>
      <c r="I59" s="8" t="str">
        <f>IFERROR(__xludf.DUMMYFUNCTION("GOOGLETRANSLATE(C59, ""en"", ""hi"")"),"चित्र में दिखाया गया खेल पारंपरिक भारतीय मार्शल आर्ट के किस पहलू से जुड़ा है?")</f>
        <v>चित्र में दिखाया गया खेल पारंपरिक भारतीय मार्शल आर्ट के किस पहलू से जुड़ा है?</v>
      </c>
      <c r="J59" s="8" t="str">
        <f>IFERROR(__xludf.DUMMYFUNCTION("GOOGLETRANSLATE(D59, ""en"", ""hi"")"),"A) आध्यात्मिक अभ्यास, B) युद्ध प्रभावशीलता, C) प्रदर्शन कला, D) ऐतिहासिक पुनर्निर्माण")</f>
        <v>A) आध्यात्मिक अभ्यास, B) युद्ध प्रभावशीलता, C) प्रदर्शन कला, D) ऐतिहासिक पुनर्निर्माण</v>
      </c>
      <c r="K59" s="8" t="str">
        <f>IFERROR(__xludf.DUMMYFUNCTION("GOOGLETRANSLATE(E59, ""en"", ""hi"")"),"बी) लड़ाकू प्रभावशीलता")</f>
        <v>बी) लड़ाकू प्रभावशीलता</v>
      </c>
    </row>
    <row r="60" ht="22.5" customHeight="1">
      <c r="A60" s="2">
        <v>59.0</v>
      </c>
      <c r="B60" s="3" t="s">
        <v>3590</v>
      </c>
      <c r="C60" s="3" t="s">
        <v>3597</v>
      </c>
      <c r="D60" s="3" t="s">
        <v>3598</v>
      </c>
      <c r="E60" s="3" t="s">
        <v>3599</v>
      </c>
      <c r="G60" s="8" t="str">
        <f>IFERROR(__xludf.DUMMYFUNCTION("GOOGLETRANSLATE(A60, ""en"", ""hi"")"),"59")</f>
        <v>59</v>
      </c>
      <c r="H60" s="8" t="str">
        <f>IFERROR(__xludf.DUMMYFUNCTION("GOOGLETRANSLATE(B60, ""en"", ""hi"")"),"कलारीपयट्टू_15")</f>
        <v>कलारीपयट्टू_15</v>
      </c>
      <c r="I60" s="8" t="str">
        <f>IFERROR(__xludf.DUMMYFUNCTION("GOOGLETRANSLATE(C60, ""en"", ""hi"")"),"चित्र में अभ्यासकर्ता किस प्रकार की मुद्रा या स्थिति प्रदर्शित कर रहा है?")</f>
        <v>चित्र में अभ्यासकर्ता किस प्रकार की मुद्रा या स्थिति प्रदर्शित कर रहा है?</v>
      </c>
      <c r="J60" s="8" t="str">
        <f>IFERROR(__xludf.DUMMYFUNCTION("GOOGLETRANSLATE(D60, ""en"", ""hi"")"),"A) आक्रमण मुद्रा, B) रक्षात्मक मुद्रा, C) विश्राम मुद्रा, D) ध्यान मुद्रा")</f>
        <v>A) आक्रमण मुद्रा, B) रक्षात्मक मुद्रा, C) विश्राम मुद्रा, D) ध्यान मुद्रा</v>
      </c>
      <c r="K60" s="8" t="str">
        <f>IFERROR(__xludf.DUMMYFUNCTION("GOOGLETRANSLATE(E60, ""en"", ""hi"")"),"बी) रक्षात्मक रुख")</f>
        <v>बी) रक्षात्मक रुख</v>
      </c>
    </row>
    <row r="61" ht="22.5" customHeight="1">
      <c r="A61" s="2">
        <v>60.0</v>
      </c>
      <c r="B61" s="3" t="s">
        <v>3590</v>
      </c>
      <c r="C61" s="3" t="s">
        <v>3600</v>
      </c>
      <c r="D61" s="3" t="s">
        <v>3601</v>
      </c>
      <c r="E61" s="3" t="s">
        <v>3602</v>
      </c>
      <c r="G61" s="8" t="str">
        <f>IFERROR(__xludf.DUMMYFUNCTION("GOOGLETRANSLATE(A61, ""en"", ""hi"")"),"60")</f>
        <v>60</v>
      </c>
      <c r="H61" s="8" t="str">
        <f>IFERROR(__xludf.DUMMYFUNCTION("GOOGLETRANSLATE(B61, ""en"", ""hi"")"),"कलारीपयट्टू_15")</f>
        <v>कलारीपयट्टू_15</v>
      </c>
      <c r="I61" s="8" t="str">
        <f>IFERROR(__xludf.DUMMYFUNCTION("GOOGLETRANSLATE(C61, ""en"", ""hi"")"),"चित्र में दिखाए गए खेल के लिए, दिखाए गए अभ्यास का प्राथमिक उद्देश्य क्या है?")</f>
        <v>चित्र में दिखाए गए खेल के लिए, दिखाए गए अभ्यास का प्राथमिक उद्देश्य क्या है?</v>
      </c>
      <c r="J61" s="8" t="str">
        <f>IFERROR(__xludf.DUMMYFUNCTION("GOOGLETRANSLATE(D61, ""en"", ""hi"")"),"A) ताकत बढ़ाने के लिए, B) तकनीकों का अभ्यास करने के लिए, C) गति बढ़ाने के लिए, D) समन्वय विकसित करने के लिए")</f>
        <v>A) ताकत बढ़ाने के लिए, B) तकनीकों का अभ्यास करने के लिए, C) गति बढ़ाने के लिए, D) समन्वय विकसित करने के लिए</v>
      </c>
      <c r="K61" s="8" t="str">
        <f>IFERROR(__xludf.DUMMYFUNCTION("GOOGLETRANSLATE(E61, ""en"", ""hi"")"),"बी) तकनीकों का अभ्यास करना")</f>
        <v>बी) तकनीकों का अभ्यास करना</v>
      </c>
    </row>
    <row r="62" ht="22.5" customHeight="1">
      <c r="A62" s="2">
        <v>61.0</v>
      </c>
      <c r="B62" s="3" t="s">
        <v>3603</v>
      </c>
      <c r="C62" s="3" t="s">
        <v>3604</v>
      </c>
      <c r="D62" s="3" t="s">
        <v>3605</v>
      </c>
      <c r="E62" s="3" t="s">
        <v>3606</v>
      </c>
      <c r="G62" s="8" t="str">
        <f>IFERROR(__xludf.DUMMYFUNCTION("GOOGLETRANSLATE(A62, ""en"", ""hi"")"),"61")</f>
        <v>61</v>
      </c>
      <c r="H62" s="8" t="str">
        <f>IFERROR(__xludf.DUMMYFUNCTION("GOOGLETRANSLATE(B62, ""en"", ""hi"")"),"कलारीपयट्टू_16")</f>
        <v>कलारीपयट्टू_16</v>
      </c>
      <c r="I62" s="8" t="str">
        <f>IFERROR(__xludf.DUMMYFUNCTION("GOOGLETRANSLATE(C62, ""en"", ""hi"")"),"चित्र में दिखाए गए अभ्यास के लिए प्रयुक्त प्राथमिक उपकरण या हथियार क्या है?")</f>
        <v>चित्र में दिखाए गए अभ्यास के लिए प्रयुक्त प्राथमिक उपकरण या हथियार क्या है?</v>
      </c>
      <c r="J62" s="8" t="str">
        <f>IFERROR(__xludf.DUMMYFUNCTION("GOOGLETRANSLATE(D62, ""en"", ""hi"")"),"A) तलवार, B) भाला, C) गदा, D) लाठी")</f>
        <v>A) तलवार, B) भाला, C) गदा, D) लाठी</v>
      </c>
      <c r="K62" s="8" t="str">
        <f>IFERROR(__xludf.DUMMYFUNCTION("GOOGLETRANSLATE(E62, ""en"", ""hi"")"),"डी) स्टाफ")</f>
        <v>डी) स्टाफ</v>
      </c>
    </row>
    <row r="63" ht="22.5" customHeight="1">
      <c r="A63" s="2">
        <v>62.0</v>
      </c>
      <c r="B63" s="3" t="s">
        <v>3603</v>
      </c>
      <c r="C63" s="3" t="s">
        <v>3607</v>
      </c>
      <c r="D63" s="3" t="s">
        <v>3608</v>
      </c>
      <c r="E63" s="3" t="s">
        <v>3609</v>
      </c>
      <c r="G63" s="8" t="str">
        <f>IFERROR(__xludf.DUMMYFUNCTION("GOOGLETRANSLATE(A63, ""en"", ""hi"")"),"62")</f>
        <v>62</v>
      </c>
      <c r="H63" s="8" t="str">
        <f>IFERROR(__xludf.DUMMYFUNCTION("GOOGLETRANSLATE(B63, ""en"", ""hi"")"),"कलारीपयट्टू_16")</f>
        <v>कलारीपयट्टू_16</v>
      </c>
      <c r="I63" s="8" t="str">
        <f>IFERROR(__xludf.DUMMYFUNCTION("GOOGLETRANSLATE(C63, ""en"", ""hi"")"),"चित्र में दिखाए गए खेल में किस प्रकार की गतिविधि शामिल है?")</f>
        <v>चित्र में दिखाए गए खेल में किस प्रकार की गतिविधि शामिल है?</v>
      </c>
      <c r="J63" s="8" t="str">
        <f>IFERROR(__xludf.DUMMYFUNCTION("GOOGLETRANSLATE(D63, ""en"", ""hi"")"),"A) रैखिक और प्रत्यक्ष, B) वृत्ताकार और तरल, C) यादृच्छिक और परिवर्तनशील, D) धीमा और जानबूझकर")</f>
        <v>A) रैखिक और प्रत्यक्ष, B) वृत्ताकार और तरल, C) यादृच्छिक और परिवर्तनशील, D) धीमा और जानबूझकर</v>
      </c>
      <c r="K63" s="8" t="str">
        <f>IFERROR(__xludf.DUMMYFUNCTION("GOOGLETRANSLATE(E63, ""en"", ""hi"")"),"बी) गोलाकार और तरल")</f>
        <v>बी) गोलाकार और तरल</v>
      </c>
    </row>
    <row r="64" ht="22.5" customHeight="1">
      <c r="A64" s="2">
        <v>63.0</v>
      </c>
      <c r="B64" s="3" t="s">
        <v>3603</v>
      </c>
      <c r="C64" s="3" t="s">
        <v>3610</v>
      </c>
      <c r="D64" s="3" t="s">
        <v>3611</v>
      </c>
      <c r="E64" s="3" t="s">
        <v>3612</v>
      </c>
      <c r="G64" s="8" t="str">
        <f>IFERROR(__xludf.DUMMYFUNCTION("GOOGLETRANSLATE(A64, ""en"", ""hi"")"),"63")</f>
        <v>63</v>
      </c>
      <c r="H64" s="8" t="str">
        <f>IFERROR(__xludf.DUMMYFUNCTION("GOOGLETRANSLATE(B64, ""en"", ""hi"")"),"कलारीपयट्टू_16")</f>
        <v>कलारीपयट्टू_16</v>
      </c>
      <c r="I64" s="8" t="str">
        <f>IFERROR(__xludf.DUMMYFUNCTION("GOOGLETRANSLATE(C64, ""en"", ""hi"")"),"चित्र में, अभ्यास के माध्यम से किस पारंपरिक पहलू पर जोर दिया जा रहा है?")</f>
        <v>चित्र में, अभ्यास के माध्यम से किस पारंपरिक पहलू पर जोर दिया जा रहा है?</v>
      </c>
      <c r="J64" s="8" t="str">
        <f>IFERROR(__xludf.DUMMYFUNCTION("GOOGLETRANSLATE(D64, ""en"", ""hi"")"),"ए) ऐतिहासिक सटीकता, बी) अनुष्ठान महत्व, सी) युद्ध तत्परता, डी) शारीरिक सहनशक्ति")</f>
        <v>ए) ऐतिहासिक सटीकता, बी) अनुष्ठान महत्व, सी) युद्ध तत्परता, डी) शारीरिक सहनशक्ति</v>
      </c>
      <c r="K64" s="8" t="str">
        <f>IFERROR(__xludf.DUMMYFUNCTION("GOOGLETRANSLATE(E64, ""en"", ""hi"")"),"सी) युद्ध तत्परता")</f>
        <v>सी) युद्ध तत्परता</v>
      </c>
    </row>
    <row r="65" ht="22.5" customHeight="1">
      <c r="A65" s="2">
        <v>64.0</v>
      </c>
      <c r="B65" s="3" t="s">
        <v>3603</v>
      </c>
      <c r="C65" s="3" t="s">
        <v>3613</v>
      </c>
      <c r="D65" s="3" t="s">
        <v>3614</v>
      </c>
      <c r="E65" s="3" t="s">
        <v>3555</v>
      </c>
      <c r="G65" s="8" t="str">
        <f>IFERROR(__xludf.DUMMYFUNCTION("GOOGLETRANSLATE(A65, ""en"", ""hi"")"),"64")</f>
        <v>64</v>
      </c>
      <c r="H65" s="8" t="str">
        <f>IFERROR(__xludf.DUMMYFUNCTION("GOOGLETRANSLATE(B65, ""en"", ""hi"")"),"कलारीपयट्टू_16")</f>
        <v>कलारीपयट्टू_16</v>
      </c>
      <c r="I65" s="8" t="str">
        <f>IFERROR(__xludf.DUMMYFUNCTION("GOOGLETRANSLATE(C65, ""en"", ""hi"")"),"चित्र में दिखाए गए खेल के लिए, किए जा रहे अभ्यास का सामान्य फोकस क्या है?")</f>
        <v>चित्र में दिखाए गए खेल के लिए, किए जा रहे अभ्यास का सामान्य फोकस क्या है?</v>
      </c>
      <c r="J65" s="8" t="str">
        <f>IFERROR(__xludf.DUMMYFUNCTION("GOOGLETRANSLATE(D65, ""en"", ""hi"")"),"A) लचीलापन, B) ताकत, C) तकनीक, D) धीरज")</f>
        <v>A) लचीलापन, B) ताकत, C) तकनीक, D) धीरज</v>
      </c>
      <c r="K65" s="8" t="str">
        <f>IFERROR(__xludf.DUMMYFUNCTION("GOOGLETRANSLATE(E65, ""en"", ""hi"")"),"C) तकनीक")</f>
        <v>C) तकनीक</v>
      </c>
    </row>
    <row r="66" ht="22.5" customHeight="1">
      <c r="A66" s="2">
        <v>65.0</v>
      </c>
      <c r="B66" s="3" t="s">
        <v>3615</v>
      </c>
      <c r="C66" s="3" t="s">
        <v>3616</v>
      </c>
      <c r="D66" s="3" t="s">
        <v>3617</v>
      </c>
      <c r="E66" s="3" t="s">
        <v>3618</v>
      </c>
      <c r="G66" s="8" t="str">
        <f>IFERROR(__xludf.DUMMYFUNCTION("GOOGLETRANSLATE(A66, ""en"", ""hi"")"),"65")</f>
        <v>65</v>
      </c>
      <c r="H66" s="8" t="str">
        <f>IFERROR(__xludf.DUMMYFUNCTION("GOOGLETRANSLATE(B66, ""en"", ""hi"")"),"कलारीपयट्टू_17")</f>
        <v>कलारीपयट्टू_17</v>
      </c>
      <c r="I66" s="8" t="str">
        <f>IFERROR(__xludf.DUMMYFUNCTION("GOOGLETRANSLATE(C66, ""en"", ""hi"")"),"चित्र में कलरीपयट्टू के लिए किस प्रकार का अभ्यास दिखाया जा रहा है?")</f>
        <v>चित्र में कलरीपयट्टू के लिए किस प्रकार का अभ्यास दिखाया जा रहा है?</v>
      </c>
      <c r="J66" s="8" t="str">
        <f>IFERROR(__xludf.DUMMYFUNCTION("GOOGLETRANSLATE(D66, ""en"", ""hi"")"),"ए) एकल अभ्यास, बी) पार्टनर ड्रिल, सी) समूह अभ्यास, डी) प्रतिस्पर्धी मैच")</f>
        <v>ए) एकल अभ्यास, बी) पार्टनर ड्रिल, सी) समूह अभ्यास, डी) प्रतिस्पर्धी मैच</v>
      </c>
      <c r="K66" s="8" t="str">
        <f>IFERROR(__xludf.DUMMYFUNCTION("GOOGLETRANSLATE(E66, ""en"", ""hi"")"),"बी) पार्टनर ड्रिल")</f>
        <v>बी) पार्टनर ड्रिल</v>
      </c>
    </row>
    <row r="67" ht="22.5" customHeight="1">
      <c r="A67" s="2">
        <v>66.0</v>
      </c>
      <c r="B67" s="3" t="s">
        <v>3615</v>
      </c>
      <c r="C67" s="3" t="s">
        <v>3619</v>
      </c>
      <c r="D67" s="3" t="s">
        <v>3620</v>
      </c>
      <c r="E67" s="3" t="s">
        <v>3621</v>
      </c>
      <c r="G67" s="8" t="str">
        <f>IFERROR(__xludf.DUMMYFUNCTION("GOOGLETRANSLATE(A67, ""en"", ""hi"")"),"66")</f>
        <v>66</v>
      </c>
      <c r="H67" s="8" t="str">
        <f>IFERROR(__xludf.DUMMYFUNCTION("GOOGLETRANSLATE(B67, ""en"", ""hi"")"),"कलारीपयट्टू_17")</f>
        <v>कलारीपयट्टू_17</v>
      </c>
      <c r="I67" s="8" t="str">
        <f>IFERROR(__xludf.DUMMYFUNCTION("GOOGLETRANSLATE(C67, ""en"", ""hi"")"),"चित्र में दर्शाए गए खेल के लिए किस प्रकार के मानसिक दृष्टिकोण की आवश्यकता होती है?")</f>
        <v>चित्र में दर्शाए गए खेल के लिए किस प्रकार के मानसिक दृष्टिकोण की आवश्यकता होती है?</v>
      </c>
      <c r="J67" s="8" t="str">
        <f>IFERROR(__xludf.DUMMYFUNCTION("GOOGLETRANSLATE(D67, ""en"", ""hi"")"),"A) फोकस और एकाग्रता, B) आक्रामकता, C) रणनीतिक सोच, D) रचनात्मकता")</f>
        <v>A) फोकस और एकाग्रता, B) आक्रामकता, C) रणनीतिक सोच, D) रचनात्मकता</v>
      </c>
      <c r="K67" s="8" t="str">
        <f>IFERROR(__xludf.DUMMYFUNCTION("GOOGLETRANSLATE(E67, ""en"", ""hi"")"),"ए) फोकस और एकाग्रता")</f>
        <v>ए) फोकस और एकाग्रता</v>
      </c>
    </row>
    <row r="68" ht="22.5" customHeight="1">
      <c r="A68" s="2">
        <v>67.0</v>
      </c>
      <c r="B68" s="3" t="s">
        <v>3615</v>
      </c>
      <c r="C68" s="3" t="s">
        <v>3622</v>
      </c>
      <c r="D68" s="3" t="s">
        <v>3623</v>
      </c>
      <c r="E68" s="3" t="s">
        <v>3624</v>
      </c>
      <c r="G68" s="8" t="str">
        <f>IFERROR(__xludf.DUMMYFUNCTION("GOOGLETRANSLATE(A68, ""en"", ""hi"")"),"67")</f>
        <v>67</v>
      </c>
      <c r="H68" s="8" t="str">
        <f>IFERROR(__xludf.DUMMYFUNCTION("GOOGLETRANSLATE(B68, ""en"", ""hi"")"),"कलारीपयट्टू_17")</f>
        <v>कलारीपयट्टू_17</v>
      </c>
      <c r="I68" s="8" t="str">
        <f>IFERROR(__xludf.DUMMYFUNCTION("GOOGLETRANSLATE(C68, ""en"", ""hi"")"),"चित्र में, कलरीपयट्टू के किस पहलू को विशिष्ट तकनीक के साथ प्रदर्शित किया जा रहा है?")</f>
        <v>चित्र में, कलरीपयट्टू के किस पहलू को विशिष्ट तकनीक के साथ प्रदर्शित किया जा रहा है?</v>
      </c>
      <c r="J68" s="8" t="str">
        <f>IFERROR(__xludf.DUMMYFUNCTION("GOOGLETRANSLATE(D68, ""en"", ""hi"")"),"A) रक्षा रणनीति, B) आक्रामक तकनीक, C) लचीलापन प्रशिक्षण, D) संतुलन सुधार")</f>
        <v>A) रक्षा रणनीति, B) आक्रामक तकनीक, C) लचीलापन प्रशिक्षण, D) संतुलन सुधार</v>
      </c>
      <c r="K68" s="8" t="str">
        <f>IFERROR(__xludf.DUMMYFUNCTION("GOOGLETRANSLATE(E68, ""en"", ""hi"")"),"ए) रक्षा रणनीति")</f>
        <v>ए) रक्षा रणनीति</v>
      </c>
    </row>
    <row r="69" ht="22.5" customHeight="1">
      <c r="A69" s="2">
        <v>68.0</v>
      </c>
      <c r="B69" s="3" t="s">
        <v>3615</v>
      </c>
      <c r="C69" s="3" t="s">
        <v>3625</v>
      </c>
      <c r="D69" s="3" t="s">
        <v>3626</v>
      </c>
      <c r="E69" s="3" t="s">
        <v>1873</v>
      </c>
      <c r="G69" s="8" t="str">
        <f>IFERROR(__xludf.DUMMYFUNCTION("GOOGLETRANSLATE(A69, ""en"", ""hi"")"),"68")</f>
        <v>68</v>
      </c>
      <c r="H69" s="8" t="str">
        <f>IFERROR(__xludf.DUMMYFUNCTION("GOOGLETRANSLATE(B69, ""en"", ""hi"")"),"कलारीपयट्टू_17")</f>
        <v>कलारीपयट्टू_17</v>
      </c>
      <c r="I69" s="8" t="str">
        <f>IFERROR(__xludf.DUMMYFUNCTION("GOOGLETRANSLATE(C69, ""en"", ""hi"")"),"चित्र में दिखाए गए खेल के लिए, पारंपरिक प्रशिक्षण व्यवस्था में एक सामान्य तत्व क्या है?")</f>
        <v>चित्र में दिखाए गए खेल के लिए, पारंपरिक प्रशिक्षण व्यवस्था में एक सामान्य तत्व क्या है?</v>
      </c>
      <c r="J69" s="8" t="str">
        <f>IFERROR(__xludf.DUMMYFUNCTION("GOOGLETRANSLATE(D69, ""en"", ""hi"")"),"A) श्वास व्यायाम, B) शक्ति कंडीशनिंग, C) ध्यान, D) उपरोक्त सभी")</f>
        <v>A) श्वास व्यायाम, B) शक्ति कंडीशनिंग, C) ध्यान, D) उपरोक्त सभी</v>
      </c>
      <c r="K69" s="8" t="str">
        <f>IFERROR(__xludf.DUMMYFUNCTION("GOOGLETRANSLATE(E69, ""en"", ""hi"")"),"D। उपरोक्त सभी")</f>
        <v>D। उपरोक्त सभी</v>
      </c>
    </row>
    <row r="70" ht="22.5" customHeight="1">
      <c r="A70" s="2">
        <v>69.0</v>
      </c>
      <c r="B70" s="3" t="s">
        <v>3627</v>
      </c>
      <c r="C70" s="3" t="s">
        <v>3628</v>
      </c>
      <c r="D70" s="3" t="s">
        <v>3629</v>
      </c>
      <c r="E70" s="3" t="s">
        <v>3630</v>
      </c>
      <c r="G70" s="8" t="str">
        <f>IFERROR(__xludf.DUMMYFUNCTION("GOOGLETRANSLATE(A70, ""en"", ""hi"")"),"69")</f>
        <v>69</v>
      </c>
      <c r="H70" s="8" t="str">
        <f>IFERROR(__xludf.DUMMYFUNCTION("GOOGLETRANSLATE(B70, ""en"", ""hi"")"),"कलारीपयट्टू_18")</f>
        <v>कलारीपयट्टू_18</v>
      </c>
      <c r="I70" s="8" t="str">
        <f>IFERROR(__xludf.DUMMYFUNCTION("GOOGLETRANSLATE(C70, ""en"", ""hi"")"),"चित्र में अभ्यासकर्ता किस प्रकार की मुद्रा या स्थिति का उपयोग कर रहा है?")</f>
        <v>चित्र में अभ्यासकर्ता किस प्रकार की मुद्रा या स्थिति का उपयोग कर रहा है?</v>
      </c>
      <c r="J70" s="8" t="str">
        <f>IFERROR(__xludf.DUMMYFUNCTION("GOOGLETRANSLATE(D70, ""en"", ""hi"")"),"A) आक्रामक रुख, B) रक्षात्मक मुद्रा, C) तटस्थ स्थिति, D) ध्यानात्मक रुख")</f>
        <v>A) आक्रामक रुख, B) रक्षात्मक मुद्रा, C) तटस्थ स्थिति, D) ध्यानात्मक रुख</v>
      </c>
      <c r="K70" s="8" t="str">
        <f>IFERROR(__xludf.DUMMYFUNCTION("GOOGLETRANSLATE(E70, ""en"", ""hi"")"),"बी) रक्षात्मक मुद्रा")</f>
        <v>बी) रक्षात्मक मुद्रा</v>
      </c>
    </row>
    <row r="71" ht="22.5" customHeight="1">
      <c r="A71" s="2">
        <v>70.0</v>
      </c>
      <c r="B71" s="3" t="s">
        <v>3627</v>
      </c>
      <c r="C71" s="3" t="s">
        <v>3631</v>
      </c>
      <c r="D71" s="3" t="s">
        <v>3632</v>
      </c>
      <c r="E71" s="3" t="s">
        <v>3633</v>
      </c>
      <c r="G71" s="8" t="str">
        <f>IFERROR(__xludf.DUMMYFUNCTION("GOOGLETRANSLATE(A71, ""en"", ""hi"")"),"70")</f>
        <v>70</v>
      </c>
      <c r="H71" s="8" t="str">
        <f>IFERROR(__xludf.DUMMYFUNCTION("GOOGLETRANSLATE(B71, ""en"", ""hi"")"),"कलारीपयट्टू_18")</f>
        <v>कलारीपयट्टू_18</v>
      </c>
      <c r="I71" s="8" t="str">
        <f>IFERROR(__xludf.DUMMYFUNCTION("GOOGLETRANSLATE(C71, ""en"", ""hi"")"),"चित्र में दिखाया गया खेल किस विशेषता के लिए जाना जाता है?")</f>
        <v>चित्र में दिखाया गया खेल किस विशेषता के लिए जाना जाता है?</v>
      </c>
      <c r="J71" s="8" t="str">
        <f>IFERROR(__xludf.DUMMYFUNCTION("GOOGLETRANSLATE(D71, ""en"", ""hi"")"),"A) तेज़ गति, B) तरल संक्रमण, C) आक्रामक हमले, D) त्वरित हमले")</f>
        <v>A) तेज़ गति, B) तरल संक्रमण, C) आक्रामक हमले, D) त्वरित हमले</v>
      </c>
      <c r="K71" s="8" t="str">
        <f>IFERROR(__xludf.DUMMYFUNCTION("GOOGLETRANSLATE(E71, ""en"", ""hi"")"),"बी) द्रव संक्रमण")</f>
        <v>बी) द्रव संक्रमण</v>
      </c>
    </row>
    <row r="72" ht="22.5" customHeight="1">
      <c r="A72" s="2">
        <v>71.0</v>
      </c>
      <c r="B72" s="3" t="s">
        <v>3627</v>
      </c>
      <c r="C72" s="3" t="s">
        <v>3634</v>
      </c>
      <c r="D72" s="3" t="s">
        <v>3635</v>
      </c>
      <c r="E72" s="3" t="s">
        <v>3636</v>
      </c>
      <c r="G72" s="8" t="str">
        <f>IFERROR(__xludf.DUMMYFUNCTION("GOOGLETRANSLATE(A72, ""en"", ""hi"")"),"71")</f>
        <v>71</v>
      </c>
      <c r="H72" s="8" t="str">
        <f>IFERROR(__xludf.DUMMYFUNCTION("GOOGLETRANSLATE(B72, ""en"", ""hi"")"),"कलारीपयट्टू_18")</f>
        <v>कलारीपयट्टू_18</v>
      </c>
      <c r="I72" s="8" t="str">
        <f>IFERROR(__xludf.DUMMYFUNCTION("GOOGLETRANSLATE(C72, ""en"", ""hi"")"),"चित्र में, प्रयोग की जा रही तकनीक का प्राथमिक उद्देश्य क्या है?")</f>
        <v>चित्र में, प्रयोग की जा रही तकनीक का प्राथमिक उद्देश्य क्या है?</v>
      </c>
      <c r="J72" s="8" t="str">
        <f>IFERROR(__xludf.DUMMYFUNCTION("GOOGLETRANSLATE(D72, ""en"", ""hi"")"),"A) गति बढ़ाने के लिए, B) सटीकता का अभ्यास करने के लिए, C) ताकत बनाने के लिए, D) चपलता विकसित करने के लिए")</f>
        <v>A) गति बढ़ाने के लिए, B) सटीकता का अभ्यास करने के लिए, C) ताकत बनाने के लिए, D) चपलता विकसित करने के लिए</v>
      </c>
      <c r="K72" s="8" t="str">
        <f>IFERROR(__xludf.DUMMYFUNCTION("GOOGLETRANSLATE(E72, ""en"", ""hi"")"),"बी) परिशुद्धता का अभ्यास करना")</f>
        <v>बी) परिशुद्धता का अभ्यास करना</v>
      </c>
    </row>
    <row r="73" ht="22.5" customHeight="1">
      <c r="A73" s="2">
        <v>72.0</v>
      </c>
      <c r="B73" s="3" t="s">
        <v>3627</v>
      </c>
      <c r="C73" s="3" t="s">
        <v>3637</v>
      </c>
      <c r="D73" s="3" t="s">
        <v>3638</v>
      </c>
      <c r="E73" s="3" t="s">
        <v>3639</v>
      </c>
      <c r="G73" s="8" t="str">
        <f>IFERROR(__xludf.DUMMYFUNCTION("GOOGLETRANSLATE(A73, ""en"", ""hi"")"),"72")</f>
        <v>72</v>
      </c>
      <c r="H73" s="8" t="str">
        <f>IFERROR(__xludf.DUMMYFUNCTION("GOOGLETRANSLATE(B73, ""en"", ""hi"")"),"कलारीपयट्टू_18")</f>
        <v>कलारीपयट्टू_18</v>
      </c>
      <c r="I73" s="8" t="str">
        <f>IFERROR(__xludf.DUMMYFUNCTION("GOOGLETRANSLATE(C73, ""en"", ""hi"")"),"चित्र में दिखाए गए खेल के लिए, किस प्रकार का आक्रमण प्रदर्शित किया जा रहा है?")</f>
        <v>चित्र में दिखाए गए खेल के लिए, किस प्रकार का आक्रमण प्रदर्शित किया जा रहा है?</v>
      </c>
      <c r="J73" s="8" t="str">
        <f>IFERROR(__xludf.DUMMYFUNCTION("GOOGLETRANSLATE(D73, ""en"", ""hi"")"),"A) मुक्का, B) लात, C) हथियार से प्रहार, D) हाथापाई")</f>
        <v>A) मुक्का, B) लात, C) हथियार से प्रहार, D) हाथापाई</v>
      </c>
      <c r="K73" s="8" t="str">
        <f>IFERROR(__xludf.DUMMYFUNCTION("GOOGLETRANSLATE(E73, ""en"", ""hi"")"),"C) हथियार से प्रहार करना")</f>
        <v>C) हथियार से प्रहार करना</v>
      </c>
    </row>
    <row r="74" ht="22.5" customHeight="1">
      <c r="A74" s="2">
        <v>73.0</v>
      </c>
      <c r="B74" s="3" t="s">
        <v>3640</v>
      </c>
      <c r="C74" s="3" t="s">
        <v>3641</v>
      </c>
      <c r="D74" s="3" t="s">
        <v>3642</v>
      </c>
      <c r="E74" s="3" t="s">
        <v>3643</v>
      </c>
      <c r="G74" s="8" t="str">
        <f>IFERROR(__xludf.DUMMYFUNCTION("GOOGLETRANSLATE(A74, ""en"", ""hi"")"),"73")</f>
        <v>73</v>
      </c>
      <c r="H74" s="8" t="str">
        <f>IFERROR(__xludf.DUMMYFUNCTION("GOOGLETRANSLATE(B74, ""en"", ""hi"")"),"कलारीपयट्टू_19")</f>
        <v>कलारीपयट्टू_19</v>
      </c>
      <c r="I74" s="8" t="str">
        <f>IFERROR(__xludf.DUMMYFUNCTION("GOOGLETRANSLATE(C74, ""en"", ""hi"")"),"चित्र में अभ्यासकर्ता की मुद्रा का मुख्य फोकस क्या है?")</f>
        <v>चित्र में अभ्यासकर्ता की मुद्रा का मुख्य फोकस क्या है?</v>
      </c>
      <c r="J74" s="8" t="str">
        <f>IFERROR(__xludf.DUMMYFUNCTION("GOOGLETRANSLATE(D74, ""en"", ""hi"")"),"A) लचीलापन, B) ताकत, C) संतुलन, D) गति")</f>
        <v>A) लचीलापन, B) ताकत, C) संतुलन, D) गति</v>
      </c>
      <c r="K74" s="8" t="str">
        <f>IFERROR(__xludf.DUMMYFUNCTION("GOOGLETRANSLATE(E74, ""en"", ""hi"")"),"सी) संतुलन")</f>
        <v>सी) संतुलन</v>
      </c>
    </row>
    <row r="75" ht="22.5" customHeight="1">
      <c r="A75" s="2">
        <v>74.0</v>
      </c>
      <c r="B75" s="3" t="s">
        <v>3640</v>
      </c>
      <c r="C75" s="3" t="s">
        <v>3644</v>
      </c>
      <c r="D75" s="3" t="s">
        <v>3645</v>
      </c>
      <c r="E75" s="3" t="s">
        <v>3646</v>
      </c>
      <c r="G75" s="8" t="str">
        <f>IFERROR(__xludf.DUMMYFUNCTION("GOOGLETRANSLATE(A75, ""en"", ""hi"")"),"74")</f>
        <v>74</v>
      </c>
      <c r="H75" s="8" t="str">
        <f>IFERROR(__xludf.DUMMYFUNCTION("GOOGLETRANSLATE(B75, ""en"", ""hi"")"),"कलारीपयट्टू_19")</f>
        <v>कलारीपयट्टू_19</v>
      </c>
      <c r="I75" s="8" t="str">
        <f>IFERROR(__xludf.DUMMYFUNCTION("GOOGLETRANSLATE(C75, ""en"", ""hi"")"),"चित्र में दिखाए गए खेल में अभ्यास के लिए आमतौर पर निम्नलिखित में से किसका उपयोग किया जाता है?")</f>
        <v>चित्र में दिखाए गए खेल में अभ्यास के लिए आमतौर पर निम्नलिखित में से किसका उपयोग किया जाता है?</v>
      </c>
      <c r="J75" s="8" t="str">
        <f>IFERROR(__xludf.DUMMYFUNCTION("GOOGLETRANSLATE(D75, ""en"", ""hi"")"),"A) पारंपरिक हथियार, B) आधुनिक उपकरण, C) भारयुक्त गियर, D) कोई उपकरण नहीं")</f>
        <v>A) पारंपरिक हथियार, B) आधुनिक उपकरण, C) भारयुक्त गियर, D) कोई उपकरण नहीं</v>
      </c>
      <c r="K75" s="8" t="str">
        <f>IFERROR(__xludf.DUMMYFUNCTION("GOOGLETRANSLATE(E75, ""en"", ""hi"")"),"A) पारंपरिक हथियार")</f>
        <v>A) पारंपरिक हथियार</v>
      </c>
    </row>
    <row r="76" ht="22.5" customHeight="1">
      <c r="A76" s="2">
        <v>75.0</v>
      </c>
      <c r="B76" s="3" t="s">
        <v>3640</v>
      </c>
      <c r="C76" s="3" t="s">
        <v>3647</v>
      </c>
      <c r="D76" s="3" t="s">
        <v>3648</v>
      </c>
      <c r="E76" s="3" t="s">
        <v>3649</v>
      </c>
      <c r="G76" s="8" t="str">
        <f>IFERROR(__xludf.DUMMYFUNCTION("GOOGLETRANSLATE(A76, ""en"", ""hi"")"),"75")</f>
        <v>75</v>
      </c>
      <c r="H76" s="8" t="str">
        <f>IFERROR(__xludf.DUMMYFUNCTION("GOOGLETRANSLATE(B76, ""en"", ""hi"")"),"कलारीपयट्टू_19")</f>
        <v>कलारीपयट्टू_19</v>
      </c>
      <c r="I76" s="8" t="str">
        <f>IFERROR(__xludf.DUMMYFUNCTION("GOOGLETRANSLATE(C76, ""en"", ""hi"")"),"चित्र में दर्शाई गई विशिष्ट तकनीक का उद्देश्य क्या है?")</f>
        <v>चित्र में दर्शाई गई विशिष्ट तकनीक का उद्देश्य क्या है?</v>
      </c>
      <c r="J76" s="8" t="str">
        <f>IFERROR(__xludf.DUMMYFUNCTION("GOOGLETRANSLATE(D76, ""en"", ""hi"")"),"ए) आक्रामक हमला, बी) रक्षात्मक ब्लॉक, सी) जवाबी हमला, डी) आंदोलन संक्रमण")</f>
        <v>ए) आक्रामक हमला, बी) रक्षात्मक ब्लॉक, सी) जवाबी हमला, डी) आंदोलन संक्रमण</v>
      </c>
      <c r="K76" s="8" t="str">
        <f>IFERROR(__xludf.DUMMYFUNCTION("GOOGLETRANSLATE(E76, ""en"", ""hi"")"),"बी) रक्षात्मक ब्लॉक")</f>
        <v>बी) रक्षात्मक ब्लॉक</v>
      </c>
    </row>
    <row r="77" ht="22.5" customHeight="1">
      <c r="A77" s="2">
        <v>76.0</v>
      </c>
      <c r="B77" s="3" t="s">
        <v>3640</v>
      </c>
      <c r="C77" s="3" t="s">
        <v>3650</v>
      </c>
      <c r="D77" s="3" t="s">
        <v>3651</v>
      </c>
      <c r="E77" s="3" t="s">
        <v>3652</v>
      </c>
      <c r="G77" s="8" t="str">
        <f>IFERROR(__xludf.DUMMYFUNCTION("GOOGLETRANSLATE(A77, ""en"", ""hi"")"),"76")</f>
        <v>76</v>
      </c>
      <c r="H77" s="8" t="str">
        <f>IFERROR(__xludf.DUMMYFUNCTION("GOOGLETRANSLATE(B77, ""en"", ""hi"")"),"कलारीपयट्टू_19")</f>
        <v>कलारीपयट्टू_19</v>
      </c>
      <c r="I77" s="8" t="str">
        <f>IFERROR(__xludf.DUMMYFUNCTION("GOOGLETRANSLATE(C77, ""en"", ""hi"")"),"चित्र में दर्शाया गया खेल किस पहलू पर जोर देने के लिए जाना जाता है?")</f>
        <v>चित्र में दर्शाया गया खेल किस पहलू पर जोर देने के लिए जाना जाता है?</v>
      </c>
      <c r="J77" s="8" t="str">
        <f>IFERROR(__xludf.DUMMYFUNCTION("GOOGLETRANSLATE(D77, ""en"", ""hi"")"),"A) मानसिक अनुशासन, B) शारीरिक शक्ति, C) निष्पादन की गति, D) कलात्मक अभिव्यक्ति")</f>
        <v>A) मानसिक अनुशासन, B) शारीरिक शक्ति, C) निष्पादन की गति, D) कलात्मक अभिव्यक्ति</v>
      </c>
      <c r="K77" s="8" t="str">
        <f>IFERROR(__xludf.DUMMYFUNCTION("GOOGLETRANSLATE(E77, ""en"", ""hi"")"),"A) मानसिक अनुशासन")</f>
        <v>A) मानसिक अनुशासन</v>
      </c>
    </row>
    <row r="78" ht="22.5" customHeight="1">
      <c r="A78" s="2">
        <v>77.0</v>
      </c>
      <c r="B78" s="3" t="s">
        <v>3653</v>
      </c>
      <c r="C78" s="3" t="s">
        <v>3654</v>
      </c>
      <c r="D78" s="3" t="s">
        <v>3655</v>
      </c>
      <c r="E78" s="3" t="s">
        <v>3656</v>
      </c>
      <c r="G78" s="8" t="str">
        <f>IFERROR(__xludf.DUMMYFUNCTION("GOOGLETRANSLATE(A78, ""en"", ""hi"")"),"77")</f>
        <v>77</v>
      </c>
      <c r="H78" s="8" t="str">
        <f>IFERROR(__xludf.DUMMYFUNCTION("GOOGLETRANSLATE(B78, ""en"", ""hi"")"),"कलारीपयट्टू_20")</f>
        <v>कलारीपयट्टू_20</v>
      </c>
      <c r="I78" s="8" t="str">
        <f>IFERROR(__xludf.DUMMYFUNCTION("GOOGLETRANSLATE(C78, ""en"", ""hi"")"),"चित्र में, साधक किस प्रकार का अभ्यास कर रहा है?")</f>
        <v>चित्र में, साधक किस प्रकार का अभ्यास कर रहा है?</v>
      </c>
      <c r="J78" s="8" t="str">
        <f>IFERROR(__xludf.DUMMYFUNCTION("GOOGLETRANSLATE(D78, ""en"", ""hi"")"),"ए) एकल ड्रिल, बी) पार्टनर मुकाबला, सी) समूह प्रदर्शन, डी) प्रदर्शन कला")</f>
        <v>ए) एकल ड्रिल, बी) पार्टनर मुकाबला, सी) समूह प्रदर्शन, डी) प्रदर्शन कला</v>
      </c>
      <c r="K78" s="8" t="str">
        <f>IFERROR(__xludf.DUMMYFUNCTION("GOOGLETRANSLATE(E78, ""en"", ""hi"")"),"बी) साथी मुकाबला")</f>
        <v>बी) साथी मुकाबला</v>
      </c>
    </row>
    <row r="79" ht="22.5" customHeight="1">
      <c r="A79" s="2">
        <v>78.0</v>
      </c>
      <c r="B79" s="3" t="s">
        <v>3653</v>
      </c>
      <c r="C79" s="3" t="s">
        <v>3657</v>
      </c>
      <c r="D79" s="3" t="s">
        <v>3658</v>
      </c>
      <c r="E79" s="3" t="s">
        <v>3532</v>
      </c>
      <c r="G79" s="8" t="str">
        <f>IFERROR(__xludf.DUMMYFUNCTION("GOOGLETRANSLATE(A79, ""en"", ""hi"")"),"78")</f>
        <v>78</v>
      </c>
      <c r="H79" s="8" t="str">
        <f>IFERROR(__xludf.DUMMYFUNCTION("GOOGLETRANSLATE(B79, ""en"", ""hi"")"),"कलारीपयट्टू_20")</f>
        <v>कलारीपयट्टू_20</v>
      </c>
      <c r="I79" s="8" t="str">
        <f>IFERROR(__xludf.DUMMYFUNCTION("GOOGLETRANSLATE(C79, ""en"", ""hi"")"),"चित्र में दिखाए गए खेल के लिए किस प्रकार की गतिविधि का उपयोग किया जा रहा है?")</f>
        <v>चित्र में दिखाए गए खेल के लिए किस प्रकार की गतिविधि का उपयोग किया जा रहा है?</v>
      </c>
      <c r="J79" s="8" t="str">
        <f>IFERROR(__xludf.DUMMYFUNCTION("GOOGLETRANSLATE(D79, ""en"", ""hi"")"),"A) त्वरित और विस्फोटक, B) धीमा और जानबूझकर, C) यादृच्छिक और विविध, D) स्थिर और सुसंगत")</f>
        <v>A) त्वरित और विस्फोटक, B) धीमा और जानबूझकर, C) यादृच्छिक और विविध, D) स्थिर और सुसंगत</v>
      </c>
      <c r="K79" s="8" t="str">
        <f>IFERROR(__xludf.DUMMYFUNCTION("GOOGLETRANSLATE(E79, ""en"", ""hi"")"),"बी) धीमा और जानबूझकर")</f>
        <v>बी) धीमा और जानबूझकर</v>
      </c>
    </row>
    <row r="80" ht="22.5" customHeight="1">
      <c r="A80" s="2">
        <v>79.0</v>
      </c>
      <c r="B80" s="3" t="s">
        <v>3653</v>
      </c>
      <c r="C80" s="3" t="s">
        <v>3659</v>
      </c>
      <c r="D80" s="3" t="s">
        <v>3660</v>
      </c>
      <c r="E80" s="3" t="s">
        <v>3661</v>
      </c>
      <c r="G80" s="8" t="str">
        <f>IFERROR(__xludf.DUMMYFUNCTION("GOOGLETRANSLATE(A80, ""en"", ""hi"")"),"79")</f>
        <v>79</v>
      </c>
      <c r="H80" s="8" t="str">
        <f>IFERROR(__xludf.DUMMYFUNCTION("GOOGLETRANSLATE(B80, ""en"", ""hi"")"),"कलारीपयट्टू_20")</f>
        <v>कलारीपयट्टू_20</v>
      </c>
      <c r="I80" s="8" t="str">
        <f>IFERROR(__xludf.DUMMYFUNCTION("GOOGLETRANSLATE(C80, ""en"", ""hi"")"),"चित्र में अभ्यासी ने किस प्रकार की पोशाक पहन रखी है?")</f>
        <v>चित्र में अभ्यासी ने किस प्रकार की पोशाक पहन रखी है?</v>
      </c>
      <c r="J80" s="8" t="str">
        <f>IFERROR(__xludf.DUMMYFUNCTION("GOOGLETRANSLATE(D80, ""en"", ""hi"")"),"A) पारंपरिक परिधान, B) आधुनिक खेलकूद परिधान, C) सुरक्षात्मक गियर, D) कैजुअल कपड़े")</f>
        <v>A) पारंपरिक परिधान, B) आधुनिक खेलकूद परिधान, C) सुरक्षात्मक गियर, D) कैजुअल कपड़े</v>
      </c>
      <c r="K80" s="8" t="str">
        <f>IFERROR(__xludf.DUMMYFUNCTION("GOOGLETRANSLATE(E80, ""en"", ""hi"")"),"A) पारंपरिक परिधान")</f>
        <v>A) पारंपरिक परिधान</v>
      </c>
    </row>
    <row r="81" ht="22.5" customHeight="1">
      <c r="A81" s="2">
        <v>80.0</v>
      </c>
      <c r="B81" s="3" t="s">
        <v>3653</v>
      </c>
      <c r="C81" s="3" t="s">
        <v>3662</v>
      </c>
      <c r="D81" s="3" t="s">
        <v>3663</v>
      </c>
      <c r="E81" s="3" t="s">
        <v>3664</v>
      </c>
      <c r="G81" s="8" t="str">
        <f>IFERROR(__xludf.DUMMYFUNCTION("GOOGLETRANSLATE(A81, ""en"", ""hi"")"),"80")</f>
        <v>80</v>
      </c>
      <c r="H81" s="8" t="str">
        <f>IFERROR(__xludf.DUMMYFUNCTION("GOOGLETRANSLATE(B81, ""en"", ""hi"")"),"कलारीपयट्टू_20")</f>
        <v>कलारीपयट्टू_20</v>
      </c>
      <c r="I81" s="8" t="str">
        <f>IFERROR(__xludf.DUMMYFUNCTION("GOOGLETRANSLATE(C81, ""en"", ""hi"")"),"चित्र में दिखाए गए खेल में किस प्रकार की मुद्राएं शामिल हैं?")</f>
        <v>चित्र में दिखाए गए खेल में किस प्रकार की मुद्राएं शामिल हैं?</v>
      </c>
      <c r="J81" s="8" t="str">
        <f>IFERROR(__xludf.DUMMYFUNCTION("GOOGLETRANSLATE(D81, ""en"", ""hi"")"),"A) स्थिर, B) गतिशील, C) परिवर्तनशील, D) परिवर्तनशील")</f>
        <v>A) स्थिर, B) गतिशील, C) परिवर्तनशील, D) परिवर्तनशील</v>
      </c>
      <c r="K81" s="8" t="str">
        <f>IFERROR(__xludf.DUMMYFUNCTION("GOOGLETRANSLATE(E81, ""en"", ""hi"")"),"बी) गतिशील")</f>
        <v>बी) गतिशील</v>
      </c>
    </row>
    <row r="82" ht="22.5" customHeight="1">
      <c r="A82" s="2">
        <v>81.0</v>
      </c>
      <c r="B82" s="3" t="s">
        <v>3665</v>
      </c>
      <c r="C82" s="3" t="s">
        <v>3666</v>
      </c>
      <c r="D82" s="3" t="s">
        <v>3667</v>
      </c>
      <c r="E82" s="3" t="s">
        <v>3668</v>
      </c>
      <c r="G82" s="8" t="str">
        <f>IFERROR(__xludf.DUMMYFUNCTION("GOOGLETRANSLATE(A82, ""en"", ""hi"")"),"81")</f>
        <v>81</v>
      </c>
      <c r="H82" s="8" t="str">
        <f>IFERROR(__xludf.DUMMYFUNCTION("GOOGLETRANSLATE(B82, ""en"", ""hi"")"),"कलारीपयट्टू_21")</f>
        <v>कलारीपयट्टू_21</v>
      </c>
      <c r="I82" s="8" t="str">
        <f>IFERROR(__xludf.DUMMYFUNCTION("GOOGLETRANSLATE(C82, ""en"", ""hi"")"),"चित्र में दिखाए गए व्यायाम का प्राथमिक लक्ष्य क्या है?")</f>
        <v>चित्र में दिखाए गए व्यायाम का प्राथमिक लक्ष्य क्या है?</v>
      </c>
      <c r="J82" s="8" t="str">
        <f>IFERROR(__xludf.DUMMYFUNCTION("GOOGLETRANSLATE(D82, ""en"", ""hi"")"),"A) लचीलापन बढ़ाने के लिए, B) युद्ध कौशल विकसित करने के लिए, C) सहनशक्ति में सुधार करने के लिए, D) फुटवर्क का अभ्यास करने के लिए")</f>
        <v>A) लचीलापन बढ़ाने के लिए, B) युद्ध कौशल विकसित करने के लिए, C) सहनशक्ति में सुधार करने के लिए, D) फुटवर्क का अभ्यास करने के लिए</v>
      </c>
      <c r="K82" s="8" t="str">
        <f>IFERROR(__xludf.DUMMYFUNCTION("GOOGLETRANSLATE(E82, ""en"", ""hi"")"),"बी) युद्ध कौशल विकसित करने के लिए")</f>
        <v>बी) युद्ध कौशल विकसित करने के लिए</v>
      </c>
    </row>
    <row r="83" ht="22.5" customHeight="1">
      <c r="A83" s="2">
        <v>82.0</v>
      </c>
      <c r="B83" s="3" t="s">
        <v>3665</v>
      </c>
      <c r="C83" s="3" t="s">
        <v>3669</v>
      </c>
      <c r="D83" s="3" t="s">
        <v>3670</v>
      </c>
      <c r="E83" s="3" t="s">
        <v>3671</v>
      </c>
      <c r="G83" s="8" t="str">
        <f>IFERROR(__xludf.DUMMYFUNCTION("GOOGLETRANSLATE(A83, ""en"", ""hi"")"),"82")</f>
        <v>82</v>
      </c>
      <c r="H83" s="8" t="str">
        <f>IFERROR(__xludf.DUMMYFUNCTION("GOOGLETRANSLATE(B83, ""en"", ""hi"")"),"कलारीपयट्टू_21")</f>
        <v>कलारीपयट्टू_21</v>
      </c>
      <c r="I83" s="8" t="str">
        <f>IFERROR(__xludf.DUMMYFUNCTION("GOOGLETRANSLATE(C83, ""en"", ""hi"")"),"चित्र में दिखाए गए खेल के लिए प्रशिक्षण शुरू करने से पहले सामान्य अभ्यास क्या है?")</f>
        <v>चित्र में दिखाए गए खेल के लिए प्रशिक्षण शुरू करने से पहले सामान्य अभ्यास क्या है?</v>
      </c>
      <c r="J83" s="8" t="str">
        <f>IFERROR(__xludf.DUMMYFUNCTION("GOOGLETRANSLATE(D83, ""en"", ""hi"")"),"ए) अनुष्ठान प्रार्थना, बी) वार्म-अप व्यायाम, सी) स्ट्रेचिंग, डी) श्वास तकनीक")</f>
        <v>ए) अनुष्ठान प्रार्थना, बी) वार्म-अप व्यायाम, सी) स्ट्रेचिंग, डी) श्वास तकनीक</v>
      </c>
      <c r="K83" s="8" t="str">
        <f>IFERROR(__xludf.DUMMYFUNCTION("GOOGLETRANSLATE(E83, ""en"", ""hi"")"),"A) अनुष्ठान प्रार्थना")</f>
        <v>A) अनुष्ठान प्रार्थना</v>
      </c>
    </row>
    <row r="84" ht="22.5" customHeight="1">
      <c r="A84" s="2">
        <v>83.0</v>
      </c>
      <c r="B84" s="3" t="s">
        <v>3665</v>
      </c>
      <c r="C84" s="3" t="s">
        <v>3672</v>
      </c>
      <c r="D84" s="3" t="s">
        <v>3673</v>
      </c>
      <c r="E84" s="3" t="s">
        <v>3425</v>
      </c>
      <c r="G84" s="8" t="str">
        <f>IFERROR(__xludf.DUMMYFUNCTION("GOOGLETRANSLATE(A84, ""en"", ""hi"")"),"83")</f>
        <v>83</v>
      </c>
      <c r="H84" s="8" t="str">
        <f>IFERROR(__xludf.DUMMYFUNCTION("GOOGLETRANSLATE(B84, ""en"", ""hi"")"),"कलारीपयट्टू_21")</f>
        <v>कलारीपयट्टू_21</v>
      </c>
      <c r="I84" s="8" t="str">
        <f>IFERROR(__xludf.DUMMYFUNCTION("GOOGLETRANSLATE(C84, ""en"", ""hi"")"),"चित्र में कलारीपयट्टू के किस पहलू को प्रदर्शित किया गया है?")</f>
        <v>चित्र में कलारीपयट्टू के किस पहलू को प्रदर्शित किया गया है?</v>
      </c>
      <c r="J84" s="8" t="str">
        <f>IFERROR(__xludf.DUMMYFUNCTION("GOOGLETRANSLATE(D84, ""en"", ""hi"")"),"A) गति अभ्यास, B) हथियार तकनीक, C) ध्यान, D) सहनशक्ति प्रशिक्षण")</f>
        <v>A) गति अभ्यास, B) हथियार तकनीक, C) ध्यान, D) सहनशक्ति प्रशिक्षण</v>
      </c>
      <c r="K84" s="8" t="str">
        <f>IFERROR(__xludf.DUMMYFUNCTION("GOOGLETRANSLATE(E84, ""en"", ""hi"")"),"बी) हथियार तकनीक")</f>
        <v>बी) हथियार तकनीक</v>
      </c>
    </row>
    <row r="85" ht="22.5" customHeight="1">
      <c r="A85" s="2">
        <v>84.0</v>
      </c>
      <c r="B85" s="3" t="s">
        <v>3665</v>
      </c>
      <c r="C85" s="3" t="s">
        <v>3674</v>
      </c>
      <c r="D85" s="3" t="s">
        <v>3675</v>
      </c>
      <c r="E85" s="3" t="s">
        <v>3535</v>
      </c>
      <c r="G85" s="8" t="str">
        <f>IFERROR(__xludf.DUMMYFUNCTION("GOOGLETRANSLATE(A85, ""en"", ""hi"")"),"84")</f>
        <v>84</v>
      </c>
      <c r="H85" s="8" t="str">
        <f>IFERROR(__xludf.DUMMYFUNCTION("GOOGLETRANSLATE(B85, ""en"", ""hi"")"),"कलारीपयट्टू_21")</f>
        <v>कलारीपयट्टू_21</v>
      </c>
      <c r="I85" s="8" t="str">
        <f>IFERROR(__xludf.DUMMYFUNCTION("GOOGLETRANSLATE(C85, ""en"", ""hi"")"),"चित्र में दर्शाए गए खेल में प्रायः अभ्यासकर्ताओं को निम्नलिखित में से क्या करने की आवश्यकता होती है?")</f>
        <v>चित्र में दर्शाए गए खेल में प्रायः अभ्यासकर्ताओं को निम्नलिखित में से क्या करने की आवश्यकता होती है?</v>
      </c>
      <c r="J85" s="8" t="str">
        <f>IFERROR(__xludf.DUMMYFUNCTION("GOOGLETRANSLATE(D85, ""en"", ""hi"")"),"ए) एकल अभ्यास, बी) साथी अभ्यास, सी) प्रतिस्पर्धी मैच, डी) समूह प्रदर्शन")</f>
        <v>ए) एकल अभ्यास, बी) साथी अभ्यास, सी) प्रतिस्पर्धी मैच, डी) समूह प्रदर्शन</v>
      </c>
      <c r="K85" s="8" t="str">
        <f>IFERROR(__xludf.DUMMYFUNCTION("GOOGLETRANSLATE(E85, ""en"", ""hi"")"),"बी) पार्टनर अभ्यास")</f>
        <v>बी) पार्टनर अभ्यास</v>
      </c>
    </row>
    <row r="86" ht="22.5" customHeight="1">
      <c r="A86" s="2">
        <v>85.0</v>
      </c>
      <c r="B86" s="3" t="s">
        <v>3676</v>
      </c>
      <c r="C86" s="3" t="s">
        <v>3677</v>
      </c>
      <c r="D86" s="3" t="s">
        <v>3678</v>
      </c>
      <c r="E86" s="3" t="s">
        <v>3679</v>
      </c>
      <c r="G86" s="8" t="str">
        <f>IFERROR(__xludf.DUMMYFUNCTION("GOOGLETRANSLATE(A86, ""en"", ""hi"")"),"85")</f>
        <v>85</v>
      </c>
      <c r="H86" s="8" t="str">
        <f>IFERROR(__xludf.DUMMYFUNCTION("GOOGLETRANSLATE(B86, ""en"", ""hi"")"),"कलारीपयट्टू_22")</f>
        <v>कलारीपयट्टू_22</v>
      </c>
      <c r="I86" s="8" t="str">
        <f>IFERROR(__xludf.DUMMYFUNCTION("GOOGLETRANSLATE(C86, ""en"", ""hi"")"),"चित्र में दर्शाई गई विशिष्ट तकनीक में अभ्यासकर्ता किस पर ध्यान केंद्रित कर रहा है?")</f>
        <v>चित्र में दर्शाई गई विशिष्ट तकनीक में अभ्यासकर्ता किस पर ध्यान केंद्रित कर रहा है?</v>
      </c>
      <c r="J86" s="8" t="str">
        <f>IFERROR(__xludf.DUMMYFUNCTION("GOOGLETRANSLATE(D86, ""en"", ""hi"")"),"A) चपलता, B) परिशुद्धता, C) शक्ति, D) संतुलन")</f>
        <v>A) चपलता, B) परिशुद्धता, C) शक्ति, D) संतुलन</v>
      </c>
      <c r="K86" s="8" t="str">
        <f>IFERROR(__xludf.DUMMYFUNCTION("GOOGLETRANSLATE(E86, ""en"", ""hi"")"),"डी) संतुलन")</f>
        <v>डी) संतुलन</v>
      </c>
    </row>
    <row r="87" ht="22.5" customHeight="1">
      <c r="A87" s="2">
        <v>86.0</v>
      </c>
      <c r="B87" s="3" t="s">
        <v>3676</v>
      </c>
      <c r="C87" s="3" t="s">
        <v>3680</v>
      </c>
      <c r="D87" s="3" t="s">
        <v>3681</v>
      </c>
      <c r="E87" s="3" t="s">
        <v>3682</v>
      </c>
      <c r="G87" s="8" t="str">
        <f>IFERROR(__xludf.DUMMYFUNCTION("GOOGLETRANSLATE(A87, ""en"", ""hi"")"),"86")</f>
        <v>86</v>
      </c>
      <c r="H87" s="8" t="str">
        <f>IFERROR(__xludf.DUMMYFUNCTION("GOOGLETRANSLATE(B87, ""en"", ""hi"")"),"कलारीपयट्टू_22")</f>
        <v>कलारीपयट्टू_22</v>
      </c>
      <c r="I87" s="8" t="str">
        <f>IFERROR(__xludf.DUMMYFUNCTION("GOOGLETRANSLATE(C87, ""en"", ""hi"")"),"चित्र में दिखाए गए खेल के लिए प्रशिक्षण वातावरण की विशिष्ट विशेषता क्या है?")</f>
        <v>चित्र में दिखाए गए खेल के लिए प्रशिक्षण वातावरण की विशिष्ट विशेषता क्या है?</v>
      </c>
      <c r="J87" s="8" t="str">
        <f>IFERROR(__xludf.DUMMYFUNCTION("GOOGLETRANSLATE(D87, ""en"", ""hi"")"),"A) इनडोर जिम, B) आउटडोर मैदान, C) पारंपरिक प्रशिक्षण क्षेत्र, D) आधुनिक डोजो")</f>
        <v>A) इनडोर जिम, B) आउटडोर मैदान, C) पारंपरिक प्रशिक्षण क्षेत्र, D) आधुनिक डोजो</v>
      </c>
      <c r="K87" s="8" t="str">
        <f>IFERROR(__xludf.DUMMYFUNCTION("GOOGLETRANSLATE(E87, ""en"", ""hi"")"),"C) पारंपरिक प्रशिक्षण क्षेत्र")</f>
        <v>C) पारंपरिक प्रशिक्षण क्षेत्र</v>
      </c>
    </row>
    <row r="88" ht="22.5" customHeight="1">
      <c r="A88" s="2">
        <v>87.0</v>
      </c>
      <c r="B88" s="3" t="s">
        <v>3676</v>
      </c>
      <c r="C88" s="3" t="s">
        <v>3566</v>
      </c>
      <c r="D88" s="3" t="s">
        <v>3683</v>
      </c>
      <c r="E88" s="3" t="s">
        <v>3599</v>
      </c>
      <c r="G88" s="8" t="str">
        <f>IFERROR(__xludf.DUMMYFUNCTION("GOOGLETRANSLATE(A88, ""en"", ""hi"")"),"87")</f>
        <v>87</v>
      </c>
      <c r="H88" s="8" t="str">
        <f>IFERROR(__xludf.DUMMYFUNCTION("GOOGLETRANSLATE(B88, ""en"", ""hi"")"),"कलारीपयट्टू_22")</f>
        <v>कलारीपयट्टू_22</v>
      </c>
      <c r="I88" s="8" t="str">
        <f>IFERROR(__xludf.DUMMYFUNCTION("GOOGLETRANSLATE(C88, ""en"", ""hi"")"),"चित्र में अभ्यासकर्ता किस प्रकार की मुद्रा प्रदर्शित कर रहा है?")</f>
        <v>चित्र में अभ्यासकर्ता किस प्रकार की मुद्रा प्रदर्शित कर रहा है?</v>
      </c>
      <c r="J88" s="8" t="str">
        <f>IFERROR(__xludf.DUMMYFUNCTION("GOOGLETRANSLATE(D88, ""en"", ""hi"")"),"A) आक्रामक मुद्रा, B) रक्षात्मक रुख, C) तटस्थ रुख, D) आराम की स्थिति")</f>
        <v>A) आक्रामक मुद्रा, B) रक्षात्मक रुख, C) तटस्थ रुख, D) आराम की स्थिति</v>
      </c>
      <c r="K88" s="8" t="str">
        <f>IFERROR(__xludf.DUMMYFUNCTION("GOOGLETRANSLATE(E88, ""en"", ""hi"")"),"बी) रक्षात्मक रुख")</f>
        <v>बी) रक्षात्मक रुख</v>
      </c>
    </row>
    <row r="89" ht="22.5" customHeight="1">
      <c r="A89" s="2">
        <v>88.0</v>
      </c>
      <c r="B89" s="3" t="s">
        <v>3676</v>
      </c>
      <c r="C89" s="3" t="s">
        <v>3684</v>
      </c>
      <c r="D89" s="3" t="s">
        <v>3685</v>
      </c>
      <c r="E89" s="3" t="s">
        <v>3686</v>
      </c>
      <c r="G89" s="8" t="str">
        <f>IFERROR(__xludf.DUMMYFUNCTION("GOOGLETRANSLATE(A89, ""en"", ""hi"")"),"88")</f>
        <v>88</v>
      </c>
      <c r="H89" s="8" t="str">
        <f>IFERROR(__xludf.DUMMYFUNCTION("GOOGLETRANSLATE(B89, ""en"", ""hi"")"),"कलारीपयट्टू_22")</f>
        <v>कलारीपयट्टू_22</v>
      </c>
      <c r="I89" s="8" t="str">
        <f>IFERROR(__xludf.DUMMYFUNCTION("GOOGLETRANSLATE(C89, ""en"", ""hi"")"),"चित्र में दिखाया गया खेल निम्नलिखित में से किस तकनीक पर जोर देने के लिए जाना जाता है?")</f>
        <v>चित्र में दिखाया गया खेल निम्नलिखित में से किस तकनीक पर जोर देने के लिए जाना जाता है?</v>
      </c>
      <c r="J89" s="8" t="str">
        <f>IFERROR(__xludf.DUMMYFUNCTION("GOOGLETRANSLATE(D89, ""en"", ""hi"")"),"A) प्रहार, B) हाथापाई, C) लात मारना, D) फेंकना")</f>
        <v>A) प्रहार, B) हाथापाई, C) लात मारना, D) फेंकना</v>
      </c>
      <c r="K89" s="8" t="str">
        <f>IFERROR(__xludf.DUMMYFUNCTION("GOOGLETRANSLATE(E89, ""en"", ""hi"")"),"ए) हड़ताली")</f>
        <v>ए) हड़ताली</v>
      </c>
    </row>
    <row r="90" ht="22.5" customHeight="1">
      <c r="A90" s="2">
        <v>89.0</v>
      </c>
      <c r="B90" s="3" t="s">
        <v>3687</v>
      </c>
      <c r="C90" s="3" t="s">
        <v>3688</v>
      </c>
      <c r="D90" s="3" t="s">
        <v>3689</v>
      </c>
      <c r="E90" s="3" t="s">
        <v>3690</v>
      </c>
      <c r="G90" s="8" t="str">
        <f>IFERROR(__xludf.DUMMYFUNCTION("GOOGLETRANSLATE(A90, ""en"", ""hi"")"),"89")</f>
        <v>89</v>
      </c>
      <c r="H90" s="8" t="str">
        <f>IFERROR(__xludf.DUMMYFUNCTION("GOOGLETRANSLATE(B90, ""en"", ""hi"")"),"कलारीपयट्टू_23")</f>
        <v>कलारीपयट्टू_23</v>
      </c>
      <c r="I90" s="8" t="str">
        <f>IFERROR(__xludf.DUMMYFUNCTION("GOOGLETRANSLATE(C90, ""en"", ""hi"")"),"चित्र में, अभ्यास किये जा रहे विशिष्ट आंदोलन का उद्देश्य क्या है?")</f>
        <v>चित्र में, अभ्यास किये जा रहे विशिष्ट आंदोलन का उद्देश्य क्या है?</v>
      </c>
      <c r="J90" s="8" t="str">
        <f>IFERROR(__xludf.DUMMYFUNCTION("GOOGLETRANSLATE(D90, ""en"", ""hi"")"),"A) आक्रमण करना, B) बचाव करना, C) एक स्थिति से दूसरे स्थिति में जाना, D) शक्ति निर्माण करना")</f>
        <v>A) आक्रमण करना, B) बचाव करना, C) एक स्थिति से दूसरे स्थिति में जाना, D) शक्ति निर्माण करना</v>
      </c>
      <c r="K90" s="8" t="str">
        <f>IFERROR(__xludf.DUMMYFUNCTION("GOOGLETRANSLATE(E90, ""en"", ""hi"")"),"बी) बचाव कार्य करने के लिए")</f>
        <v>बी) बचाव कार्य करने के लिए</v>
      </c>
    </row>
    <row r="91" ht="22.5" customHeight="1">
      <c r="A91" s="2">
        <v>90.0</v>
      </c>
      <c r="B91" s="3" t="s">
        <v>3687</v>
      </c>
      <c r="C91" s="3" t="s">
        <v>3691</v>
      </c>
      <c r="D91" s="3" t="s">
        <v>3692</v>
      </c>
      <c r="E91" s="3" t="s">
        <v>1873</v>
      </c>
      <c r="G91" s="8" t="str">
        <f>IFERROR(__xludf.DUMMYFUNCTION("GOOGLETRANSLATE(A91, ""en"", ""hi"")"),"90")</f>
        <v>90</v>
      </c>
      <c r="H91" s="8" t="str">
        <f>IFERROR(__xludf.DUMMYFUNCTION("GOOGLETRANSLATE(B91, ""en"", ""hi"")"),"कलारीपयट्टू_23")</f>
        <v>कलारीपयट्टू_23</v>
      </c>
      <c r="I91" s="8" t="str">
        <f>IFERROR(__xludf.DUMMYFUNCTION("GOOGLETRANSLATE(C91, ""en"", ""hi"")"),"चित्र में दिखाए गए खेल के अभ्यास के दौरान आमतौर पर किस प्रकार के अभ्यास का उपयोग किया जाता है?")</f>
        <v>चित्र में दिखाए गए खेल के अभ्यास के दौरान आमतौर पर किस प्रकार के अभ्यास का उपयोग किया जाता है?</v>
      </c>
      <c r="J91" s="8" t="str">
        <f>IFERROR(__xludf.DUMMYFUNCTION("GOOGLETRANSLATE(D91, ""en"", ""hi"")"),"A) छाया युद्ध, B) साथी अभ्यास, C) कंडीशनिंग अभ्यास, D) उपरोक्त सभी")</f>
        <v>A) छाया युद्ध, B) साथी अभ्यास, C) कंडीशनिंग अभ्यास, D) उपरोक्त सभी</v>
      </c>
      <c r="K91" s="8" t="str">
        <f>IFERROR(__xludf.DUMMYFUNCTION("GOOGLETRANSLATE(E91, ""en"", ""hi"")"),"D। उपरोक्त सभी")</f>
        <v>D। उपरोक्त सभी</v>
      </c>
    </row>
    <row r="92" ht="22.5" customHeight="1">
      <c r="A92" s="2">
        <v>91.0</v>
      </c>
      <c r="B92" s="3" t="s">
        <v>3687</v>
      </c>
      <c r="C92" s="3" t="s">
        <v>3693</v>
      </c>
      <c r="D92" s="3" t="s">
        <v>3694</v>
      </c>
      <c r="E92" s="3" t="s">
        <v>3695</v>
      </c>
      <c r="G92" s="8" t="str">
        <f>IFERROR(__xludf.DUMMYFUNCTION("GOOGLETRANSLATE(A92, ""en"", ""hi"")"),"91")</f>
        <v>91</v>
      </c>
      <c r="H92" s="8" t="str">
        <f>IFERROR(__xludf.DUMMYFUNCTION("GOOGLETRANSLATE(B92, ""en"", ""hi"")"),"कलारीपयट्टू_23")</f>
        <v>कलारीपयट्टू_23</v>
      </c>
      <c r="I92" s="8" t="str">
        <f>IFERROR(__xludf.DUMMYFUNCTION("GOOGLETRANSLATE(C92, ""en"", ""hi"")"),"चित्र में, दिखाए गए हथियार के साथ अभ्यासकर्ता किस प्रकार की तकनीक का उपयोग कर रहा है?")</f>
        <v>चित्र में, दिखाए गए हथियार के साथ अभ्यासकर्ता किस प्रकार की तकनीक का उपयोग कर रहा है?</v>
      </c>
      <c r="J92" s="8" t="str">
        <f>IFERROR(__xludf.DUMMYFUNCTION("GOOGLETRANSLATE(D92, ""en"", ""hi"")"),"A) काटना, B) जोर लगाना, C) अवरोधन, D) बचाव करना")</f>
        <v>A) काटना, B) जोर लगाना, C) अवरोधन, D) बचाव करना</v>
      </c>
      <c r="K92" s="8" t="str">
        <f>IFERROR(__xludf.DUMMYFUNCTION("GOOGLETRANSLATE(E92, ""en"", ""hi"")"),"सी) अवरुद्ध करना")</f>
        <v>सी) अवरुद्ध करना</v>
      </c>
    </row>
    <row r="93" ht="22.5" customHeight="1">
      <c r="A93" s="2">
        <v>92.0</v>
      </c>
      <c r="B93" s="3" t="s">
        <v>3687</v>
      </c>
      <c r="C93" s="3" t="s">
        <v>3696</v>
      </c>
      <c r="D93" s="3" t="s">
        <v>3697</v>
      </c>
      <c r="E93" s="3" t="s">
        <v>3698</v>
      </c>
      <c r="G93" s="8" t="str">
        <f>IFERROR(__xludf.DUMMYFUNCTION("GOOGLETRANSLATE(A93, ""en"", ""hi"")"),"92")</f>
        <v>92</v>
      </c>
      <c r="H93" s="8" t="str">
        <f>IFERROR(__xludf.DUMMYFUNCTION("GOOGLETRANSLATE(B93, ""en"", ""hi"")"),"कलारीपयट्टू_23")</f>
        <v>कलारीपयट्टू_23</v>
      </c>
      <c r="I93" s="8" t="str">
        <f>IFERROR(__xludf.DUMMYFUNCTION("GOOGLETRANSLATE(C93, ""en"", ""hi"")"),"चित्र में दर्शाया गया खेल पारंपरिक रूप से किस परिवेश में खेला जाता है?")</f>
        <v>चित्र में दर्शाया गया खेल पारंपरिक रूप से किस परिवेश में खेला जाता है?</v>
      </c>
      <c r="J93" s="8" t="str">
        <f>IFERROR(__xludf.DUMMYFUNCTION("GOOGLETRANSLATE(D93, ""en"", ""hi"")"),"A) खुला मैदान, B) इनडोर डोजो, C) मंदिर का मैदान, D) आउटडोर अखाड़ा")</f>
        <v>A) खुला मैदान, B) इनडोर डोजो, C) मंदिर का मैदान, D) आउटडोर अखाड़ा</v>
      </c>
      <c r="K93" s="8" t="str">
        <f>IFERROR(__xludf.DUMMYFUNCTION("GOOGLETRANSLATE(E93, ""en"", ""hi"")"),"C) मंदिर परिसर")</f>
        <v>C) मंदिर परिसर</v>
      </c>
    </row>
    <row r="94" ht="22.5" customHeight="1">
      <c r="A94" s="2">
        <v>93.0</v>
      </c>
      <c r="B94" s="3" t="s">
        <v>3699</v>
      </c>
      <c r="C94" s="3" t="s">
        <v>3700</v>
      </c>
      <c r="D94" s="3" t="s">
        <v>3701</v>
      </c>
      <c r="E94" s="3" t="s">
        <v>3574</v>
      </c>
      <c r="G94" s="8" t="str">
        <f>IFERROR(__xludf.DUMMYFUNCTION("GOOGLETRANSLATE(A94, ""en"", ""hi"")"),"93")</f>
        <v>93</v>
      </c>
      <c r="H94" s="8" t="str">
        <f>IFERROR(__xludf.DUMMYFUNCTION("GOOGLETRANSLATE(B94, ""en"", ""hi"")"),"कलारीपयट्टू_24")</f>
        <v>कलारीपयट्टू_24</v>
      </c>
      <c r="I94" s="8" t="str">
        <f>IFERROR(__xludf.DUMMYFUNCTION("GOOGLETRANSLATE(C94, ""en"", ""hi"")"),"चित्र में दर्शाई गई तकनीक का मुख्य लाभ क्या है?")</f>
        <v>चित्र में दर्शाई गई तकनीक का मुख्य लाभ क्या है?</v>
      </c>
      <c r="J94" s="8" t="str">
        <f>IFERROR(__xludf.DUMMYFUNCTION("GOOGLETRANSLATE(D94, ""en"", ""hi"")"),"A) बेहतर सहनशक्ति, B) बढ़ी हुई सटीकता, C) बढ़ी हुई ताकत, D) बेहतर लचीलापन")</f>
        <v>A) बेहतर सहनशक्ति, B) बढ़ी हुई सटीकता, C) बढ़ी हुई ताकत, D) बेहतर लचीलापन</v>
      </c>
      <c r="K94" s="8" t="str">
        <f>IFERROR(__xludf.DUMMYFUNCTION("GOOGLETRANSLATE(E94, ""en"", ""hi"")"),"बी) बढ़ी हुई सटीकता")</f>
        <v>बी) बढ़ी हुई सटीकता</v>
      </c>
    </row>
    <row r="95" ht="22.5" customHeight="1">
      <c r="A95" s="2">
        <v>94.0</v>
      </c>
      <c r="B95" s="3" t="s">
        <v>3699</v>
      </c>
      <c r="C95" s="3" t="s">
        <v>3702</v>
      </c>
      <c r="D95" s="3" t="s">
        <v>3703</v>
      </c>
      <c r="E95" s="3" t="s">
        <v>3704</v>
      </c>
      <c r="G95" s="8" t="str">
        <f>IFERROR(__xludf.DUMMYFUNCTION("GOOGLETRANSLATE(A95, ""en"", ""hi"")"),"94")</f>
        <v>94</v>
      </c>
      <c r="H95" s="8" t="str">
        <f>IFERROR(__xludf.DUMMYFUNCTION("GOOGLETRANSLATE(B95, ""en"", ""hi"")"),"कलारीपयट्टू_24")</f>
        <v>कलारीपयट्टू_24</v>
      </c>
      <c r="I95" s="8" t="str">
        <f>IFERROR(__xludf.DUMMYFUNCTION("GOOGLETRANSLATE(C95, ""en"", ""hi"")"),"चित्र में दिखाए गए खेल के लिए सामान्य प्रशिक्षण उपकरण क्या है?")</f>
        <v>चित्र में दिखाए गए खेल के लिए सामान्य प्रशिक्षण उपकरण क्या है?</v>
      </c>
      <c r="J95" s="8" t="str">
        <f>IFERROR(__xludf.DUMMYFUNCTION("GOOGLETRANSLATE(D95, ""en"", ""hi"")"),"A) लकड़ी का कर्मचारी, B) धातु की ढाल, C) चमड़े के दस्ताने, D) अभ्यास तलवारें")</f>
        <v>A) लकड़ी का कर्मचारी, B) धातु की ढाल, C) चमड़े के दस्ताने, D) अभ्यास तलवारें</v>
      </c>
      <c r="K95" s="8" t="str">
        <f>IFERROR(__xludf.DUMMYFUNCTION("GOOGLETRANSLATE(E95, ""en"", ""hi"")"),"A) लकड़ी का कर्मचारी")</f>
        <v>A) लकड़ी का कर्मचारी</v>
      </c>
    </row>
    <row r="96" ht="22.5" customHeight="1">
      <c r="A96" s="2">
        <v>95.0</v>
      </c>
      <c r="B96" s="3" t="s">
        <v>3699</v>
      </c>
      <c r="C96" s="3" t="s">
        <v>3705</v>
      </c>
      <c r="D96" s="3" t="s">
        <v>3706</v>
      </c>
      <c r="E96" s="3" t="s">
        <v>3707</v>
      </c>
      <c r="G96" s="8" t="str">
        <f>IFERROR(__xludf.DUMMYFUNCTION("GOOGLETRANSLATE(A96, ""en"", ""hi"")"),"95")</f>
        <v>95</v>
      </c>
      <c r="H96" s="8" t="str">
        <f>IFERROR(__xludf.DUMMYFUNCTION("GOOGLETRANSLATE(B96, ""en"", ""hi"")"),"कलारीपयट्टू_24")</f>
        <v>कलारीपयट्टू_24</v>
      </c>
      <c r="I96" s="8" t="str">
        <f>IFERROR(__xludf.DUMMYFUNCTION("GOOGLETRANSLATE(C96, ""en"", ""hi"")"),"चित्र में, अभ्यासकर्ता की मुद्रा या रुख का प्राथमिक फोकस क्या है?")</f>
        <v>चित्र में, अभ्यासकर्ता की मुद्रा या रुख का प्राथमिक फोकस क्या है?</v>
      </c>
      <c r="J96" s="8" t="str">
        <f>IFERROR(__xludf.DUMMYFUNCTION("GOOGLETRANSLATE(D96, ""en"", ""hi"")"),"A) आक्रामक क्षमता, B) रक्षात्मक तत्परता, C) गति, D) शक्ति")</f>
        <v>A) आक्रामक क्षमता, B) रक्षात्मक तत्परता, C) गति, D) शक्ति</v>
      </c>
      <c r="K96" s="8" t="str">
        <f>IFERROR(__xludf.DUMMYFUNCTION("GOOGLETRANSLATE(E96, ""en"", ""hi"")"),"बी) रक्षात्मक तत्परता")</f>
        <v>बी) रक्षात्मक तत्परता</v>
      </c>
    </row>
    <row r="97" ht="22.5" customHeight="1">
      <c r="A97" s="2">
        <v>96.0</v>
      </c>
      <c r="B97" s="3" t="s">
        <v>3699</v>
      </c>
      <c r="C97" s="3" t="s">
        <v>3708</v>
      </c>
      <c r="D97" s="3" t="s">
        <v>3709</v>
      </c>
      <c r="E97" s="3" t="s">
        <v>3710</v>
      </c>
      <c r="G97" s="8" t="str">
        <f>IFERROR(__xludf.DUMMYFUNCTION("GOOGLETRANSLATE(A97, ""en"", ""hi"")"),"96")</f>
        <v>96</v>
      </c>
      <c r="H97" s="8" t="str">
        <f>IFERROR(__xludf.DUMMYFUNCTION("GOOGLETRANSLATE(B97, ""en"", ""hi"")"),"कलारीपयट्टू_24")</f>
        <v>कलारीपयट्टू_24</v>
      </c>
      <c r="I97" s="8" t="str">
        <f>IFERROR(__xludf.DUMMYFUNCTION("GOOGLETRANSLATE(C97, ""en"", ""hi"")"),"चित्र में दिखाए गए खेल में प्रायः किस प्रकार की गतिविधि शामिल होती है?")</f>
        <v>चित्र में दिखाए गए खेल में प्रायः किस प्रकार की गतिविधि शामिल होती है?</v>
      </c>
      <c r="J97" s="8" t="str">
        <f>IFERROR(__xludf.DUMMYFUNCTION("GOOGLETRANSLATE(D97, ""en"", ""hi"")"),"A) त्वरित और चुस्त, B) धीमा और नियंत्रित, C) यादृच्छिक और अनिश्चित, D) रैखिक और प्रत्यक्ष")</f>
        <v>A) त्वरित और चुस्त, B) धीमा और नियंत्रित, C) यादृच्छिक और अनिश्चित, D) रैखिक और प्रत्यक्ष</v>
      </c>
      <c r="K97" s="8" t="str">
        <f>IFERROR(__xludf.DUMMYFUNCTION("GOOGLETRANSLATE(E97, ""en"", ""hi"")"),"बी) धीमा और नियंत्रित")</f>
        <v>बी) धीमा और नियंत्रित</v>
      </c>
    </row>
    <row r="98" ht="22.5" customHeight="1">
      <c r="A98" s="2">
        <v>97.0</v>
      </c>
      <c r="B98" s="3" t="s">
        <v>3711</v>
      </c>
      <c r="C98" s="3" t="s">
        <v>3712</v>
      </c>
      <c r="D98" s="3" t="s">
        <v>3713</v>
      </c>
      <c r="E98" s="3" t="s">
        <v>3714</v>
      </c>
      <c r="G98" s="8" t="str">
        <f>IFERROR(__xludf.DUMMYFUNCTION("GOOGLETRANSLATE(A98, ""en"", ""hi"")"),"97")</f>
        <v>97</v>
      </c>
      <c r="H98" s="8" t="str">
        <f>IFERROR(__xludf.DUMMYFUNCTION("GOOGLETRANSLATE(B98, ""en"", ""hi"")"),"कलारीपयट्टू_25")</f>
        <v>कलारीपयट्टू_25</v>
      </c>
      <c r="I98" s="8" t="str">
        <f>IFERROR(__xludf.DUMMYFUNCTION("GOOGLETRANSLATE(C98, ""en"", ""hi"")"),"चित्र में, किए जा रहे विशिष्ट व्यायाम का मुख्य फोकस क्या है?")</f>
        <v>चित्र में, किए जा रहे विशिष्ट व्यायाम का मुख्य फोकस क्या है?</v>
      </c>
      <c r="J98" s="8" t="str">
        <f>IFERROR(__xludf.DUMMYFUNCTION("GOOGLETRANSLATE(D98, ""en"", ""hi"")"),"A) युद्ध तत्परता, B) लचीलापन, C) शक्ति निर्माण, D) गति")</f>
        <v>A) युद्ध तत्परता, B) लचीलापन, C) शक्ति निर्माण, D) गति</v>
      </c>
      <c r="K98" s="8" t="str">
        <f>IFERROR(__xludf.DUMMYFUNCTION("GOOGLETRANSLATE(E98, ""en"", ""hi"")"),"ए) युद्ध तत्परता")</f>
        <v>ए) युद्ध तत्परता</v>
      </c>
    </row>
    <row r="99" ht="22.5" customHeight="1">
      <c r="A99" s="2">
        <v>98.0</v>
      </c>
      <c r="B99" s="3" t="s">
        <v>3711</v>
      </c>
      <c r="C99" s="3" t="s">
        <v>3715</v>
      </c>
      <c r="D99" s="3" t="s">
        <v>3716</v>
      </c>
      <c r="E99" s="3" t="s">
        <v>1873</v>
      </c>
      <c r="G99" s="8" t="str">
        <f>IFERROR(__xludf.DUMMYFUNCTION("GOOGLETRANSLATE(A99, ""en"", ""hi"")"),"98")</f>
        <v>98</v>
      </c>
      <c r="H99" s="8" t="str">
        <f>IFERROR(__xludf.DUMMYFUNCTION("GOOGLETRANSLATE(B99, ""en"", ""hi"")"),"कलारीपयट्टू_25")</f>
        <v>कलारीपयट्टू_25</v>
      </c>
      <c r="I99" s="8" t="str">
        <f>IFERROR(__xludf.DUMMYFUNCTION("GOOGLETRANSLATE(C99, ""en"", ""hi"")"),"चित्र में दिखाए गए खेल के लिए किस प्रकार की शारीरिक कंडीशनिंग पर जोर दिया गया है?")</f>
        <v>चित्र में दिखाए गए खेल के लिए किस प्रकार की शारीरिक कंडीशनिंग पर जोर दिया गया है?</v>
      </c>
      <c r="J99" s="8" t="str">
        <f>IFERROR(__xludf.DUMMYFUNCTION("GOOGLETRANSLATE(D99, ""en"", ""hi"")"),"A) सहनशक्ति, B) शक्ति, C) लचीलापन, D) उपरोक्त सभी")</f>
        <v>A) सहनशक्ति, B) शक्ति, C) लचीलापन, D) उपरोक्त सभी</v>
      </c>
      <c r="K99" s="8" t="str">
        <f>IFERROR(__xludf.DUMMYFUNCTION("GOOGLETRANSLATE(E99, ""en"", ""hi"")"),"D। उपरोक्त सभी")</f>
        <v>D। उपरोक्त सभी</v>
      </c>
    </row>
    <row r="100" ht="22.5" customHeight="1">
      <c r="A100" s="2">
        <v>99.0</v>
      </c>
      <c r="B100" s="3" t="s">
        <v>3711</v>
      </c>
      <c r="C100" s="3" t="s">
        <v>3717</v>
      </c>
      <c r="D100" s="3" t="s">
        <v>3718</v>
      </c>
      <c r="E100" s="3" t="s">
        <v>3719</v>
      </c>
      <c r="G100" s="8" t="str">
        <f>IFERROR(__xludf.DUMMYFUNCTION("GOOGLETRANSLATE(A100, ""en"", ""hi"")"),"99")</f>
        <v>99</v>
      </c>
      <c r="H100" s="8" t="str">
        <f>IFERROR(__xludf.DUMMYFUNCTION("GOOGLETRANSLATE(B100, ""en"", ""hi"")"),"कलारीपयट्टू_25")</f>
        <v>कलारीपयट्टू_25</v>
      </c>
      <c r="I100" s="8" t="str">
        <f>IFERROR(__xludf.DUMMYFUNCTION("GOOGLETRANSLATE(C100, ""en"", ""hi"")"),"चित्र में, अभ्यासकर्ता किस प्रकार का आक्रमण या गतिविधि प्रदर्शित कर रहा है?")</f>
        <v>चित्र में, अभ्यासकर्ता किस प्रकार का आक्रमण या गतिविधि प्रदर्शित कर रहा है?</v>
      </c>
      <c r="J100" s="8" t="str">
        <f>IFERROR(__xludf.DUMMYFUNCTION("GOOGLETRANSLATE(D100, ""en"", ""hi"")"),"A) प्रत्यक्ष प्रहार, B) रक्षात्मक पैंतरेबाज़ी, C) ग्रैपलिंग तकनीक, D) जवाबी प्रहार")</f>
        <v>A) प्रत्यक्ष प्रहार, B) रक्षात्मक पैंतरेबाज़ी, C) ग्रैपलिंग तकनीक, D) जवाबी प्रहार</v>
      </c>
      <c r="K100" s="8" t="str">
        <f>IFERROR(__xludf.DUMMYFUNCTION("GOOGLETRANSLATE(E100, ""en"", ""hi"")"),"A) प्रत्यक्ष प्रहार")</f>
        <v>A) प्रत्यक्ष प्रहार</v>
      </c>
    </row>
    <row r="101" ht="22.5" customHeight="1">
      <c r="A101" s="2">
        <v>100.0</v>
      </c>
      <c r="B101" s="3" t="s">
        <v>3711</v>
      </c>
      <c r="C101" s="3" t="s">
        <v>3720</v>
      </c>
      <c r="D101" s="3" t="s">
        <v>3721</v>
      </c>
      <c r="E101" s="3" t="s">
        <v>3722</v>
      </c>
      <c r="G101" s="8" t="str">
        <f>IFERROR(__xludf.DUMMYFUNCTION("GOOGLETRANSLATE(A101, ""en"", ""hi"")"),"100")</f>
        <v>100</v>
      </c>
      <c r="H101" s="8" t="str">
        <f>IFERROR(__xludf.DUMMYFUNCTION("GOOGLETRANSLATE(B101, ""en"", ""hi"")"),"कलारीपयट्टू_25")</f>
        <v>कलारीपयट्टू_25</v>
      </c>
      <c r="I101" s="8" t="str">
        <f>IFERROR(__xludf.DUMMYFUNCTION("GOOGLETRANSLATE(C101, ""en"", ""hi"")"),"चित्र में दर्शाए गए खेल में प्रायः किस प्रकार की तकनीक का अभ्यास शामिल होता है?")</f>
        <v>चित्र में दर्शाए गए खेल में प्रायः किस प्रकार की तकनीक का अभ्यास शामिल होता है?</v>
      </c>
      <c r="J101" s="8" t="str">
        <f>IFERROR(__xludf.DUMMYFUNCTION("GOOGLETRANSLATE(D101, ""en"", ""hi"")"),"A) हथियार तकनीक, B) हाथापाई, C) लात मारना, D) फेंकना")</f>
        <v>A) हथियार तकनीक, B) हाथापाई, C) लात मारना, D) फेंकना</v>
      </c>
      <c r="K101" s="8" t="str">
        <f>IFERROR(__xludf.DUMMYFUNCTION("GOOGLETRANSLATE(E101, ""en"", ""hi"")"),"A) हथियार तकनीक")</f>
        <v>A) हथियार तकनीक</v>
      </c>
    </row>
    <row r="102" ht="22.5" customHeight="1">
      <c r="A102" s="2">
        <v>101.0</v>
      </c>
      <c r="B102" s="3" t="s">
        <v>3723</v>
      </c>
      <c r="C102" s="3" t="s">
        <v>3724</v>
      </c>
      <c r="D102" s="3" t="s">
        <v>3725</v>
      </c>
      <c r="E102" s="3" t="s">
        <v>3726</v>
      </c>
      <c r="G102" s="8" t="str">
        <f>IFERROR(__xludf.DUMMYFUNCTION("GOOGLETRANSLATE(A102, ""en"", ""hi"")"),"101")</f>
        <v>101</v>
      </c>
      <c r="H102" s="8" t="str">
        <f>IFERROR(__xludf.DUMMYFUNCTION("GOOGLETRANSLATE(B102, ""en"", ""hi"")"),"कलारीपयट्टू_26")</f>
        <v>कलारीपयट्टू_26</v>
      </c>
      <c r="I102" s="8" t="str">
        <f>IFERROR(__xludf.DUMMYFUNCTION("GOOGLETRANSLATE(C102, ""en"", ""hi"")"),"चित्र में, कलारीपयट्टू के किस पहलू को प्रदर्शित किया जा रहा है?")</f>
        <v>चित्र में, कलारीपयट्टू के किस पहलू को प्रदर्शित किया जा रहा है?</v>
      </c>
      <c r="J102" s="8" t="str">
        <f>IFERROR(__xludf.DUMMYFUNCTION("GOOGLETRANSLATE(D102, ""en"", ""hi"")"),"A) युद्ध रणनीति, B) शारीरिक कंडीशनिंग, C) लचीलापन, D) गति")</f>
        <v>A) युद्ध रणनीति, B) शारीरिक कंडीशनिंग, C) लचीलापन, D) गति</v>
      </c>
      <c r="K102" s="8" t="str">
        <f>IFERROR(__xludf.DUMMYFUNCTION("GOOGLETRANSLATE(E102, ""en"", ""hi"")"),"ए) युद्ध रणनीति")</f>
        <v>ए) युद्ध रणनीति</v>
      </c>
    </row>
    <row r="103" ht="22.5" customHeight="1">
      <c r="A103" s="2">
        <v>102.0</v>
      </c>
      <c r="B103" s="3" t="s">
        <v>3723</v>
      </c>
      <c r="C103" s="3" t="s">
        <v>3727</v>
      </c>
      <c r="D103" s="3" t="s">
        <v>3728</v>
      </c>
      <c r="E103" s="3" t="s">
        <v>1873</v>
      </c>
      <c r="G103" s="8" t="str">
        <f>IFERROR(__xludf.DUMMYFUNCTION("GOOGLETRANSLATE(A103, ""en"", ""hi"")"),"102")</f>
        <v>102</v>
      </c>
      <c r="H103" s="8" t="str">
        <f>IFERROR(__xludf.DUMMYFUNCTION("GOOGLETRANSLATE(B103, ""en"", ""hi"")"),"कलारीपयट्टू_26")</f>
        <v>कलारीपयट्टू_26</v>
      </c>
      <c r="I103" s="8" t="str">
        <f>IFERROR(__xludf.DUMMYFUNCTION("GOOGLETRANSLATE(C103, ""en"", ""hi"")"),"चित्र में दिखाए गए खेल के लिए, अभ्यासकर्ता के प्रशिक्षण का विशिष्ट पहलू क्या है?")</f>
        <v>चित्र में दिखाए गए खेल के लिए, अभ्यासकर्ता के प्रशिक्षण का विशिष्ट पहलू क्या है?</v>
      </c>
      <c r="J103" s="8" t="str">
        <f>IFERROR(__xludf.DUMMYFUNCTION("GOOGLETRANSLATE(D103, ""en"", ""hi"")"),"A) युद्ध अभ्यास, B) ध्यान, C) शारीरिक कंडीशनिंग, D) उपरोक्त सभी")</f>
        <v>A) युद्ध अभ्यास, B) ध्यान, C) शारीरिक कंडीशनिंग, D) उपरोक्त सभी</v>
      </c>
      <c r="K103" s="8" t="str">
        <f>IFERROR(__xludf.DUMMYFUNCTION("GOOGLETRANSLATE(E103, ""en"", ""hi"")"),"D। उपरोक्त सभी")</f>
        <v>D। उपरोक्त सभी</v>
      </c>
    </row>
    <row r="104" ht="22.5" customHeight="1">
      <c r="A104" s="2">
        <v>103.0</v>
      </c>
      <c r="B104" s="3" t="s">
        <v>3723</v>
      </c>
      <c r="C104" s="3" t="s">
        <v>3729</v>
      </c>
      <c r="D104" s="3" t="s">
        <v>3730</v>
      </c>
      <c r="E104" s="3" t="s">
        <v>3731</v>
      </c>
      <c r="G104" s="8" t="str">
        <f>IFERROR(__xludf.DUMMYFUNCTION("GOOGLETRANSLATE(A104, ""en"", ""hi"")"),"103")</f>
        <v>103</v>
      </c>
      <c r="H104" s="8" t="str">
        <f>IFERROR(__xludf.DUMMYFUNCTION("GOOGLETRANSLATE(B104, ""en"", ""hi"")"),"कलारीपयट्टू_26")</f>
        <v>कलारीपयट्टू_26</v>
      </c>
      <c r="I104" s="8" t="str">
        <f>IFERROR(__xludf.DUMMYFUNCTION("GOOGLETRANSLATE(C104, ""en"", ""hi"")"),"चित्र में दिखाए गए अभ्यास में किस प्रकार के हथियार का उपयोग किया जा रहा है?")</f>
        <v>चित्र में दिखाए गए अभ्यास में किस प्रकार के हथियार का उपयोग किया जा रहा है?</v>
      </c>
      <c r="J104" s="8" t="str">
        <f>IFERROR(__xludf.DUMMYFUNCTION("GOOGLETRANSLATE(D104, ""en"", ""hi"")"),"A) तलवार, B) भाला, C) लाठी, D) गदा")</f>
        <v>A) तलवार, B) भाला, C) लाठी, D) गदा</v>
      </c>
      <c r="K104" s="8" t="str">
        <f>IFERROR(__xludf.DUMMYFUNCTION("GOOGLETRANSLATE(E104, ""en"", ""hi"")"),"सी) कर्मचारी")</f>
        <v>सी) कर्मचारी</v>
      </c>
    </row>
    <row r="105" ht="22.5" customHeight="1">
      <c r="A105" s="2">
        <v>104.0</v>
      </c>
      <c r="B105" s="3" t="s">
        <v>3723</v>
      </c>
      <c r="C105" s="3" t="s">
        <v>3732</v>
      </c>
      <c r="D105" s="3" t="s">
        <v>3733</v>
      </c>
      <c r="E105" s="3" t="s">
        <v>3734</v>
      </c>
      <c r="G105" s="8" t="str">
        <f>IFERROR(__xludf.DUMMYFUNCTION("GOOGLETRANSLATE(A105, ""en"", ""hi"")"),"104")</f>
        <v>104</v>
      </c>
      <c r="H105" s="8" t="str">
        <f>IFERROR(__xludf.DUMMYFUNCTION("GOOGLETRANSLATE(B105, ""en"", ""hi"")"),"कलारीपयट्टू_26")</f>
        <v>कलारीपयट्टू_26</v>
      </c>
      <c r="I105" s="8" t="str">
        <f>IFERROR(__xludf.DUMMYFUNCTION("GOOGLETRANSLATE(C105, ""en"", ""hi"")"),"चित्र में दिखाया गया खेल निम्नलिखित में से किस पर केंद्रित है?")</f>
        <v>चित्र में दिखाया गया खेल निम्नलिखित में से किस पर केंद्रित है?</v>
      </c>
      <c r="J105" s="8" t="str">
        <f>IFERROR(__xludf.DUMMYFUNCTION("GOOGLETRANSLATE(D105, ""en"", ""hi"")"),"A) गति और चपलता, B) सटीकता और तकनीक, C) शक्ति और ताकत, D) कलात्मक अभिव्यक्ति")</f>
        <v>A) गति और चपलता, B) सटीकता और तकनीक, C) शक्ति और ताकत, D) कलात्मक अभिव्यक्ति</v>
      </c>
      <c r="K105" s="8" t="str">
        <f>IFERROR(__xludf.DUMMYFUNCTION("GOOGLETRANSLATE(E105, ""en"", ""hi"")"),"बी) परिशुद्धता और तकनीक")</f>
        <v>बी) परिशुद्धता और तकनीक</v>
      </c>
    </row>
    <row r="106" ht="22.5" customHeight="1">
      <c r="A106" s="2">
        <v>105.0</v>
      </c>
      <c r="B106" s="3" t="s">
        <v>3735</v>
      </c>
      <c r="C106" s="3" t="s">
        <v>3736</v>
      </c>
      <c r="D106" s="3" t="s">
        <v>3737</v>
      </c>
      <c r="E106" s="3" t="s">
        <v>3738</v>
      </c>
      <c r="G106" s="8" t="str">
        <f>IFERROR(__xludf.DUMMYFUNCTION("GOOGLETRANSLATE(A106, ""en"", ""hi"")"),"105")</f>
        <v>105</v>
      </c>
      <c r="H106" s="8" t="str">
        <f>IFERROR(__xludf.DUMMYFUNCTION("GOOGLETRANSLATE(B106, ""en"", ""hi"")"),"कलारीपयट्टू_27")</f>
        <v>कलारीपयट्टू_27</v>
      </c>
      <c r="I106" s="8" t="str">
        <f>IFERROR(__xludf.DUMMYFUNCTION("GOOGLETRANSLATE(C106, ""en"", ""hi"")"),"चित्र में दर्शाए गए रुख या मुद्रा का प्राथमिक लक्ष्य क्या है?")</f>
        <v>चित्र में दर्शाए गए रुख या मुद्रा का प्राथमिक लक्ष्य क्या है?</v>
      </c>
      <c r="J106" s="8" t="str">
        <f>IFERROR(__xludf.DUMMYFUNCTION("GOOGLETRANSLATE(D106, ""en"", ""hi"")"),"A) हमले की तैयारी के लिए, B) बचाव के लिए, C) गतिविधियों के बीच संक्रमण के लिए, D) संतुलन बनाए रखने के लिए")</f>
        <v>A) हमले की तैयारी के लिए, B) बचाव के लिए, C) गतिविधियों के बीच संक्रमण के लिए, D) संतुलन बनाए रखने के लिए</v>
      </c>
      <c r="K106" s="8" t="str">
        <f>IFERROR(__xludf.DUMMYFUNCTION("GOOGLETRANSLATE(E106, ""en"", ""hi"")"),"D) संतुलन बनाए रखने के लिए")</f>
        <v>D) संतुलन बनाए रखने के लिए</v>
      </c>
    </row>
    <row r="107" ht="22.5" customHeight="1">
      <c r="A107" s="2">
        <v>106.0</v>
      </c>
      <c r="B107" s="3" t="s">
        <v>3735</v>
      </c>
      <c r="C107" s="3" t="s">
        <v>3739</v>
      </c>
      <c r="D107" s="3" t="s">
        <v>3740</v>
      </c>
      <c r="E107" s="3" t="s">
        <v>3741</v>
      </c>
      <c r="G107" s="8" t="str">
        <f>IFERROR(__xludf.DUMMYFUNCTION("GOOGLETRANSLATE(A107, ""en"", ""hi"")"),"106")</f>
        <v>106</v>
      </c>
      <c r="H107" s="8" t="str">
        <f>IFERROR(__xludf.DUMMYFUNCTION("GOOGLETRANSLATE(B107, ""en"", ""hi"")"),"कलारीपयट्टू_27")</f>
        <v>कलारीपयट्टू_27</v>
      </c>
      <c r="I107" s="8" t="str">
        <f>IFERROR(__xludf.DUMMYFUNCTION("GOOGLETRANSLATE(C107, ""en"", ""hi"")"),"चित्र में दिखाए गए खेल के लिए प्रशिक्षण वातावरण की सामान्य विशेषता क्या है?")</f>
        <v>चित्र में दिखाए गए खेल के लिए प्रशिक्षण वातावरण की सामान्य विशेषता क्या है?</v>
      </c>
      <c r="J107" s="8" t="str">
        <f>IFERROR(__xludf.DUMMYFUNCTION("GOOGLETRANSLATE(D107, ""en"", ""hi"")"),"A) पारंपरिक सेटिंग, B) आधुनिक जिम, C) खुला मैदान, D) इनडोर एरीना")</f>
        <v>A) पारंपरिक सेटिंग, B) आधुनिक जिम, C) खुला मैदान, D) इनडोर एरीना</v>
      </c>
      <c r="K107" s="8" t="str">
        <f>IFERROR(__xludf.DUMMYFUNCTION("GOOGLETRANSLATE(E107, ""en"", ""hi"")"),"ए) पारंपरिक सेटिंग")</f>
        <v>ए) पारंपरिक सेटिंग</v>
      </c>
    </row>
    <row r="108" ht="22.5" customHeight="1">
      <c r="A108" s="2">
        <v>107.0</v>
      </c>
      <c r="B108" s="3" t="s">
        <v>3735</v>
      </c>
      <c r="C108" s="3" t="s">
        <v>3742</v>
      </c>
      <c r="D108" s="3" t="s">
        <v>3743</v>
      </c>
      <c r="E108" s="3" t="s">
        <v>3744</v>
      </c>
      <c r="G108" s="8" t="str">
        <f>IFERROR(__xludf.DUMMYFUNCTION("GOOGLETRANSLATE(A108, ""en"", ""hi"")"),"107")</f>
        <v>107</v>
      </c>
      <c r="H108" s="8" t="str">
        <f>IFERROR(__xludf.DUMMYFUNCTION("GOOGLETRANSLATE(B108, ""en"", ""hi"")"),"कलारीपयट्टू_27")</f>
        <v>कलारीपयट्टू_27</v>
      </c>
      <c r="I108" s="8" t="str">
        <f>IFERROR(__xludf.DUMMYFUNCTION("GOOGLETRANSLATE(C108, ""en"", ""hi"")"),"चित्र में हथियार के साथ किस प्रकार की गतिविधि या तकनीक का प्रदर्शन किया जा रहा है?")</f>
        <v>चित्र में हथियार के साथ किस प्रकार की गतिविधि या तकनीक का प्रदर्शन किया जा रहा है?</v>
      </c>
      <c r="J108" s="8" t="str">
        <f>IFERROR(__xludf.DUMMYFUNCTION("GOOGLETRANSLATE(D108, ""en"", ""hi"")"),"ए) रक्षात्मक ब्लॉक, बी) आक्रामक प्रहार, सी) ग्रैपलिंग चाल, डी) फेंकने की तकनीक")</f>
        <v>ए) रक्षात्मक ब्लॉक, बी) आक्रामक प्रहार, सी) ग्रैपलिंग चाल, डी) फेंकने की तकनीक</v>
      </c>
      <c r="K108" s="8" t="str">
        <f>IFERROR(__xludf.DUMMYFUNCTION("GOOGLETRANSLATE(E108, ""en"", ""hi"")"),"ए) रक्षात्मक ब्लॉक")</f>
        <v>ए) रक्षात्मक ब्लॉक</v>
      </c>
    </row>
    <row r="109" ht="22.5" customHeight="1">
      <c r="A109" s="2">
        <v>108.0</v>
      </c>
      <c r="B109" s="3" t="s">
        <v>3735</v>
      </c>
      <c r="C109" s="3" t="s">
        <v>3745</v>
      </c>
      <c r="D109" s="3" t="s">
        <v>3746</v>
      </c>
      <c r="E109" s="3" t="s">
        <v>1873</v>
      </c>
      <c r="G109" s="8" t="str">
        <f>IFERROR(__xludf.DUMMYFUNCTION("GOOGLETRANSLATE(A109, ""en"", ""hi"")"),"108")</f>
        <v>108</v>
      </c>
      <c r="H109" s="8" t="str">
        <f>IFERROR(__xludf.DUMMYFUNCTION("GOOGLETRANSLATE(B109, ""en"", ""hi"")"),"कलारीपयट्टू_27")</f>
        <v>कलारीपयट्टू_27</v>
      </c>
      <c r="I109" s="8" t="str">
        <f>IFERROR(__xludf.DUMMYFUNCTION("GOOGLETRANSLATE(C109, ""en"", ""hi"")"),"चित्र में दर्शाए गए खेल में प्रायः किस प्रकार के अभ्यास शामिल होते हैं?")</f>
        <v>चित्र में दर्शाए गए खेल में प्रायः किस प्रकार के अभ्यास शामिल होते हैं?</v>
      </c>
      <c r="J109" s="8" t="str">
        <f>IFERROR(__xludf.DUMMYFUNCTION("GOOGLETRANSLATE(D109, ""en"", ""hi"")"),"A) पार्टनर ड्रिल्स, B) सोलो रूटीन, C) कंडीशनिंग एक्सरसाइज, D) उपरोक्त सभी")</f>
        <v>A) पार्टनर ड्रिल्स, B) सोलो रूटीन, C) कंडीशनिंग एक्सरसाइज, D) उपरोक्त सभी</v>
      </c>
      <c r="K109" s="8" t="str">
        <f>IFERROR(__xludf.DUMMYFUNCTION("GOOGLETRANSLATE(E109, ""en"", ""hi"")"),"D। उपरोक्त सभी")</f>
        <v>D। उपरोक्त सभी</v>
      </c>
    </row>
    <row r="110" ht="22.5" customHeight="1">
      <c r="A110" s="2">
        <v>109.0</v>
      </c>
      <c r="B110" s="3" t="s">
        <v>3747</v>
      </c>
      <c r="C110" s="3" t="s">
        <v>3748</v>
      </c>
      <c r="D110" s="3" t="s">
        <v>3749</v>
      </c>
      <c r="E110" s="3" t="s">
        <v>3750</v>
      </c>
      <c r="G110" s="8" t="str">
        <f>IFERROR(__xludf.DUMMYFUNCTION("GOOGLETRANSLATE(A110, ""en"", ""hi"")"),"109")</f>
        <v>109</v>
      </c>
      <c r="H110" s="8" t="str">
        <f>IFERROR(__xludf.DUMMYFUNCTION("GOOGLETRANSLATE(B110, ""en"", ""hi"")"),"कलारीपयट्टू_28")</f>
        <v>कलारीपयट्टू_28</v>
      </c>
      <c r="I110" s="8" t="str">
        <f>IFERROR(__xludf.DUMMYFUNCTION("GOOGLETRANSLATE(C110, ""en"", ""hi"")"),"चित्र में प्रयुक्त तकनीक का प्राथमिक लाभ क्या है?")</f>
        <v>चित्र में प्रयुक्त तकनीक का प्राथमिक लाभ क्या है?</v>
      </c>
      <c r="J110" s="8" t="str">
        <f>IFERROR(__xludf.DUMMYFUNCTION("GOOGLETRANSLATE(D110, ""en"", ""hi"")"),"A) बढ़ी हुई ताकत, B) बेहतर गति, C) बेहतर संतुलन, D) बेहतर लचीलापन")</f>
        <v>A) बढ़ी हुई ताकत, B) बेहतर गति, C) बेहतर संतुलन, D) बेहतर लचीलापन</v>
      </c>
      <c r="K110" s="8" t="str">
        <f>IFERROR(__xludf.DUMMYFUNCTION("GOOGLETRANSLATE(E110, ""en"", ""hi"")"),"C) उन्नत संतुलन")</f>
        <v>C) उन्नत संतुलन</v>
      </c>
    </row>
    <row r="111" ht="22.5" customHeight="1">
      <c r="A111" s="2">
        <v>110.0</v>
      </c>
      <c r="B111" s="3" t="s">
        <v>3747</v>
      </c>
      <c r="C111" s="3" t="s">
        <v>3751</v>
      </c>
      <c r="D111" s="3" t="s">
        <v>3752</v>
      </c>
      <c r="E111" s="3" t="s">
        <v>3704</v>
      </c>
      <c r="G111" s="8" t="str">
        <f>IFERROR(__xludf.DUMMYFUNCTION("GOOGLETRANSLATE(A111, ""en"", ""hi"")"),"110")</f>
        <v>110</v>
      </c>
      <c r="H111" s="8" t="str">
        <f>IFERROR(__xludf.DUMMYFUNCTION("GOOGLETRANSLATE(B111, ""en"", ""hi"")"),"कलारीपयट्टू_28")</f>
        <v>कलारीपयट्टू_28</v>
      </c>
      <c r="I111" s="8" t="str">
        <f>IFERROR(__xludf.DUMMYFUNCTION("GOOGLETRANSLATE(C111, ""en"", ""hi"")"),"चित्र में दिखाए गए खेल के लिए आमतौर पर किस प्रकार के प्रशिक्षण उपकरण का उपयोग किया जाता है?")</f>
        <v>चित्र में दिखाए गए खेल के लिए आमतौर पर किस प्रकार के प्रशिक्षण उपकरण का उपयोग किया जाता है?</v>
      </c>
      <c r="J111" s="8" t="str">
        <f>IFERROR(__xludf.DUMMYFUNCTION("GOOGLETRANSLATE(D111, ""en"", ""hi"")"),"A) लकड़ी का डंडा, B) भारी थैला, C) प्रशिक्षण तलवारें, D) धातु की ढालें")</f>
        <v>A) लकड़ी का डंडा, B) भारी थैला, C) प्रशिक्षण तलवारें, D) धातु की ढालें</v>
      </c>
      <c r="K111" s="8" t="str">
        <f>IFERROR(__xludf.DUMMYFUNCTION("GOOGLETRANSLATE(E111, ""en"", ""hi"")"),"A) लकड़ी का कर्मचारी")</f>
        <v>A) लकड़ी का कर्मचारी</v>
      </c>
    </row>
    <row r="112" ht="22.5" customHeight="1">
      <c r="A112" s="2">
        <v>111.0</v>
      </c>
      <c r="B112" s="3" t="s">
        <v>3747</v>
      </c>
      <c r="C112" s="3" t="s">
        <v>3753</v>
      </c>
      <c r="D112" s="3" t="s">
        <v>3754</v>
      </c>
      <c r="E112" s="3" t="s">
        <v>3755</v>
      </c>
      <c r="G112" s="8" t="str">
        <f>IFERROR(__xludf.DUMMYFUNCTION("GOOGLETRANSLATE(A112, ""en"", ""hi"")"),"111")</f>
        <v>111</v>
      </c>
      <c r="H112" s="8" t="str">
        <f>IFERROR(__xludf.DUMMYFUNCTION("GOOGLETRANSLATE(B112, ""en"", ""hi"")"),"कलारीपयट्टू_28")</f>
        <v>कलारीपयट्टू_28</v>
      </c>
      <c r="I112" s="8" t="str">
        <f>IFERROR(__xludf.DUMMYFUNCTION("GOOGLETRANSLATE(C112, ""en"", ""hi"")"),"चित्र में, दिखाई गई तकनीक के साथ अभ्यासकर्ता खेल के किस पहलू पर ध्यान केंद्रित कर रहा है?")</f>
        <v>चित्र में, दिखाई गई तकनीक के साथ अभ्यासकर्ता खेल के किस पहलू पर ध्यान केंद्रित कर रहा है?</v>
      </c>
      <c r="J112" s="8" t="str">
        <f>IFERROR(__xludf.DUMMYFUNCTION("GOOGLETRANSLATE(D112, ""en"", ""hi"")"),"A) निष्पादन की गति, B) गति की सटीकता, C) प्रहार की शक्ति, D) लचीलापन")</f>
        <v>A) निष्पादन की गति, B) गति की सटीकता, C) प्रहार की शक्ति, D) लचीलापन</v>
      </c>
      <c r="K112" s="8" t="str">
        <f>IFERROR(__xludf.DUMMYFUNCTION("GOOGLETRANSLATE(E112, ""en"", ""hi"")"),"बी) गति की सटीकता")</f>
        <v>बी) गति की सटीकता</v>
      </c>
    </row>
    <row r="113" ht="22.5" customHeight="1">
      <c r="A113" s="2">
        <v>112.0</v>
      </c>
      <c r="B113" s="3" t="s">
        <v>3747</v>
      </c>
      <c r="C113" s="3" t="s">
        <v>3756</v>
      </c>
      <c r="D113" s="3" t="s">
        <v>3757</v>
      </c>
      <c r="E113" s="3" t="s">
        <v>3698</v>
      </c>
      <c r="G113" s="8" t="str">
        <f>IFERROR(__xludf.DUMMYFUNCTION("GOOGLETRANSLATE(A113, ""en"", ""hi"")"),"112")</f>
        <v>112</v>
      </c>
      <c r="H113" s="8" t="str">
        <f>IFERROR(__xludf.DUMMYFUNCTION("GOOGLETRANSLATE(B113, ""en"", ""hi"")"),"कलारीपयट्टू_28")</f>
        <v>कलारीपयट्टू_28</v>
      </c>
      <c r="I113" s="8" t="str">
        <f>IFERROR(__xludf.DUMMYFUNCTION("GOOGLETRANSLATE(C113, ""en"", ""hi"")"),"चित्र में दिखाया गया खेल पारंपरिक रूप से किस प्रकार के वातावरण में खेला जाता है?")</f>
        <v>चित्र में दिखाया गया खेल पारंपरिक रूप से किस प्रकार के वातावरण में खेला जाता है?</v>
      </c>
      <c r="J113" s="8" t="str">
        <f>IFERROR(__xludf.DUMMYFUNCTION("GOOGLETRANSLATE(D113, ""en"", ""hi"")"),"A) आउटडोर अखाड़ा, B) इनडोर डोजो, C) मंदिर का मैदान, D) खुला मैदान")</f>
        <v>A) आउटडोर अखाड़ा, B) इनडोर डोजो, C) मंदिर का मैदान, D) खुला मैदान</v>
      </c>
      <c r="K113" s="8" t="str">
        <f>IFERROR(__xludf.DUMMYFUNCTION("GOOGLETRANSLATE(E113, ""en"", ""hi"")"),"C) मंदिर परिसर")</f>
        <v>C) मंदिर परिसर</v>
      </c>
    </row>
    <row r="114" ht="22.5" customHeight="1">
      <c r="A114" s="2">
        <v>113.0</v>
      </c>
      <c r="B114" s="3" t="s">
        <v>3758</v>
      </c>
      <c r="C114" s="3" t="s">
        <v>3759</v>
      </c>
      <c r="D114" s="3" t="s">
        <v>3760</v>
      </c>
      <c r="E114" s="3" t="s">
        <v>3599</v>
      </c>
      <c r="G114" s="8" t="str">
        <f>IFERROR(__xludf.DUMMYFUNCTION("GOOGLETRANSLATE(A114, ""en"", ""hi"")"),"113")</f>
        <v>113</v>
      </c>
      <c r="H114" s="8" t="str">
        <f>IFERROR(__xludf.DUMMYFUNCTION("GOOGLETRANSLATE(B114, ""en"", ""hi"")"),"कलारीपयट्टू_29")</f>
        <v>कलारीपयट्टू_29</v>
      </c>
      <c r="I114" s="8" t="str">
        <f>IFERROR(__xludf.DUMMYFUNCTION("GOOGLETRANSLATE(C114, ""en"", ""hi"")"),"चित्र में, दिखाई गई तकनीक के लिए अभ्यासकर्ता किस प्रकार की मुद्रा या स्थिति का उपयोग कर रहा है?")</f>
        <v>चित्र में, दिखाई गई तकनीक के लिए अभ्यासकर्ता किस प्रकार की मुद्रा या स्थिति का उपयोग कर रहा है?</v>
      </c>
      <c r="J114" s="8" t="str">
        <f>IFERROR(__xludf.DUMMYFUNCTION("GOOGLETRANSLATE(D114, ""en"", ""hi"")"),"A) आक्रामक रुख, B) रक्षात्मक रुख, C) तटस्थ स्थिति, D) आरामदायक रुख")</f>
        <v>A) आक्रामक रुख, B) रक्षात्मक रुख, C) तटस्थ स्थिति, D) आरामदायक रुख</v>
      </c>
      <c r="K114" s="8" t="str">
        <f>IFERROR(__xludf.DUMMYFUNCTION("GOOGLETRANSLATE(E114, ""en"", ""hi"")"),"बी) रक्षात्मक रुख")</f>
        <v>बी) रक्षात्मक रुख</v>
      </c>
    </row>
    <row r="115" ht="22.5" customHeight="1">
      <c r="A115" s="2">
        <v>114.0</v>
      </c>
      <c r="B115" s="3" t="s">
        <v>3758</v>
      </c>
      <c r="C115" s="3" t="s">
        <v>3761</v>
      </c>
      <c r="D115" s="3" t="s">
        <v>3762</v>
      </c>
      <c r="E115" s="3" t="s">
        <v>3671</v>
      </c>
      <c r="G115" s="8" t="str">
        <f>IFERROR(__xludf.DUMMYFUNCTION("GOOGLETRANSLATE(A115, ""en"", ""hi"")"),"114")</f>
        <v>114</v>
      </c>
      <c r="H115" s="8" t="str">
        <f>IFERROR(__xludf.DUMMYFUNCTION("GOOGLETRANSLATE(B115, ""en"", ""hi"")"),"कलारीपयट्टू_29")</f>
        <v>कलारीपयट्टू_29</v>
      </c>
      <c r="I115" s="8" t="str">
        <f>IFERROR(__xludf.DUMMYFUNCTION("GOOGLETRANSLATE(C115, ""en"", ""hi"")"),"चित्र में दिखाए गए खेल के लिए, युद्ध प्रशिक्षण में शामिल होने से पहले सामान्य अभ्यास क्या है?")</f>
        <v>चित्र में दिखाए गए खेल के लिए, युद्ध प्रशिक्षण में शामिल होने से पहले सामान्य अभ्यास क्या है?</v>
      </c>
      <c r="J115" s="8" t="str">
        <f>IFERROR(__xludf.DUMMYFUNCTION("GOOGLETRANSLATE(D115, ""en"", ""hi"")"),"A) अनुष्ठान प्रार्थना, B) वार्म-अप व्यायाम, C) स्ट्रेचिंग, D) ध्यान")</f>
        <v>A) अनुष्ठान प्रार्थना, B) वार्म-अप व्यायाम, C) स्ट्रेचिंग, D) ध्यान</v>
      </c>
      <c r="K115" s="8" t="str">
        <f>IFERROR(__xludf.DUMMYFUNCTION("GOOGLETRANSLATE(E115, ""en"", ""hi"")"),"A) अनुष्ठान प्रार्थना")</f>
        <v>A) अनुष्ठान प्रार्थना</v>
      </c>
    </row>
    <row r="116" ht="22.5" customHeight="1">
      <c r="A116" s="2">
        <v>115.0</v>
      </c>
      <c r="B116" s="3" t="s">
        <v>3758</v>
      </c>
      <c r="C116" s="3" t="s">
        <v>3763</v>
      </c>
      <c r="D116" s="3" t="s">
        <v>3764</v>
      </c>
      <c r="E116" s="3" t="s">
        <v>3765</v>
      </c>
      <c r="G116" s="8" t="str">
        <f>IFERROR(__xludf.DUMMYFUNCTION("GOOGLETRANSLATE(A116, ""en"", ""hi"")"),"115")</f>
        <v>115</v>
      </c>
      <c r="H116" s="8" t="str">
        <f>IFERROR(__xludf.DUMMYFUNCTION("GOOGLETRANSLATE(B116, ""en"", ""hi"")"),"कलारीपयट्टू_29")</f>
        <v>कलारीपयट्टू_29</v>
      </c>
      <c r="I116" s="8" t="str">
        <f>IFERROR(__xludf.DUMMYFUNCTION("GOOGLETRANSLATE(C116, ""en"", ""hi"")"),"चित्र में, चिकित्सक द्वारा दर्शाई गई विशिष्ट तकनीक से क्या प्रदर्शित किया जा रहा है?")</f>
        <v>चित्र में, चिकित्सक द्वारा दर्शाई गई विशिष्ट तकनीक से क्या प्रदर्शित किया जा रहा है?</v>
      </c>
      <c r="J116" s="8" t="str">
        <f>IFERROR(__xludf.DUMMYFUNCTION("GOOGLETRANSLATE(D116, ""en"", ""hi"")"),"ए) हथियार से प्रहार, बी) हाथापाई, सी) रक्षात्मक अवरोध, डी) लात मारने की तकनीक")</f>
        <v>ए) हथियार से प्रहार, बी) हाथापाई, सी) रक्षात्मक अवरोध, डी) लात मारने की तकनीक</v>
      </c>
      <c r="K116" s="8" t="str">
        <f>IFERROR(__xludf.DUMMYFUNCTION("GOOGLETRANSLATE(E116, ""en"", ""hi"")"),"C) रक्षात्मक ब्लॉक")</f>
        <v>C) रक्षात्मक ब्लॉक</v>
      </c>
    </row>
    <row r="117" ht="22.5" customHeight="1">
      <c r="A117" s="2">
        <v>116.0</v>
      </c>
      <c r="B117" s="3" t="s">
        <v>3758</v>
      </c>
      <c r="C117" s="3" t="s">
        <v>3766</v>
      </c>
      <c r="D117" s="3" t="s">
        <v>3767</v>
      </c>
      <c r="E117" s="3" t="s">
        <v>3768</v>
      </c>
      <c r="G117" s="8" t="str">
        <f>IFERROR(__xludf.DUMMYFUNCTION("GOOGLETRANSLATE(A117, ""en"", ""hi"")"),"116")</f>
        <v>116</v>
      </c>
      <c r="H117" s="8" t="str">
        <f>IFERROR(__xludf.DUMMYFUNCTION("GOOGLETRANSLATE(B117, ""en"", ""hi"")"),"कलारीपयट्टू_29")</f>
        <v>कलारीपयट्टू_29</v>
      </c>
      <c r="I117" s="8" t="str">
        <f>IFERROR(__xludf.DUMMYFUNCTION("GOOGLETRANSLATE(C117, ""en"", ""hi"")"),"चित्र में दर्शाया गया खेल अपने प्रशिक्षण की किस विशेषता के लिए जाना जाता है?")</f>
        <v>चित्र में दर्शाया गया खेल अपने प्रशिक्षण की किस विशेषता के लिए जाना जाता है?</v>
      </c>
      <c r="J117" s="8" t="str">
        <f>IFERROR(__xludf.DUMMYFUNCTION("GOOGLETRANSLATE(D117, ""en"", ""hi"")"),"A) गति और चपलता, B) सटीकता और नियंत्रण, C) शक्ति और सहनशक्ति, D) कलात्मक अभिव्यक्ति")</f>
        <v>A) गति और चपलता, B) सटीकता और नियंत्रण, C) शक्ति और सहनशक्ति, D) कलात्मक अभिव्यक्ति</v>
      </c>
      <c r="K117" s="8" t="str">
        <f>IFERROR(__xludf.DUMMYFUNCTION("GOOGLETRANSLATE(E117, ""en"", ""hi"")"),"बी) परिशुद्धता और नियंत्रण")</f>
        <v>बी) परिशुद्धता और नियंत्रण</v>
      </c>
    </row>
    <row r="118" ht="22.5" customHeight="1">
      <c r="A118" s="2">
        <v>117.0</v>
      </c>
      <c r="B118" s="3" t="s">
        <v>3769</v>
      </c>
      <c r="C118" s="3" t="s">
        <v>3770</v>
      </c>
      <c r="D118" s="3" t="s">
        <v>3771</v>
      </c>
      <c r="E118" s="3" t="s">
        <v>3772</v>
      </c>
      <c r="G118" s="8" t="str">
        <f>IFERROR(__xludf.DUMMYFUNCTION("GOOGLETRANSLATE(A118, ""en"", ""hi"")"),"117")</f>
        <v>117</v>
      </c>
      <c r="H118" s="8" t="str">
        <f>IFERROR(__xludf.DUMMYFUNCTION("GOOGLETRANSLATE(B118, ""en"", ""hi"")"),"कलारीपयट्टू_30")</f>
        <v>कलारीपयट्टू_30</v>
      </c>
      <c r="I118" s="8" t="str">
        <f>IFERROR(__xludf.DUMMYFUNCTION("GOOGLETRANSLATE(C118, ""en"", ""hi"")"),"चित्र में दिखाए जा रहे आंदोलन या रुख का प्राथमिक उद्देश्य क्या है?")</f>
        <v>चित्र में दिखाए जा रहे आंदोलन या रुख का प्राथमिक उद्देश्य क्या है?</v>
      </c>
      <c r="J118" s="8" t="str">
        <f>IFERROR(__xludf.DUMMYFUNCTION("GOOGLETRANSLATE(D118, ""en"", ""hi"")"),"A) शक्ति बढ़ाने के लिए, B) संतुलन सुधारने के लिए, C) गति विकसित करने के लिए, D) लचीलेपन का अभ्यास करने के लिए")</f>
        <v>A) शक्ति बढ़ाने के लिए, B) संतुलन सुधारने के लिए, C) गति विकसित करने के लिए, D) लचीलेपन का अभ्यास करने के लिए</v>
      </c>
      <c r="K118" s="8" t="str">
        <f>IFERROR(__xludf.DUMMYFUNCTION("GOOGLETRANSLATE(E118, ""en"", ""hi"")"),"बी) संतुलन में सुधार करने के लिए")</f>
        <v>बी) संतुलन में सुधार करने के लिए</v>
      </c>
    </row>
    <row r="119" ht="22.5" customHeight="1">
      <c r="A119" s="2">
        <v>118.0</v>
      </c>
      <c r="B119" s="3" t="s">
        <v>3769</v>
      </c>
      <c r="C119" s="3" t="s">
        <v>3773</v>
      </c>
      <c r="D119" s="3" t="s">
        <v>3774</v>
      </c>
      <c r="E119" s="3" t="s">
        <v>1873</v>
      </c>
      <c r="G119" s="8" t="str">
        <f>IFERROR(__xludf.DUMMYFUNCTION("GOOGLETRANSLATE(A119, ""en"", ""hi"")"),"118")</f>
        <v>118</v>
      </c>
      <c r="H119" s="8" t="str">
        <f>IFERROR(__xludf.DUMMYFUNCTION("GOOGLETRANSLATE(B119, ""en"", ""hi"")"),"कलारीपयट्टू_30")</f>
        <v>कलारीपयट्टू_30</v>
      </c>
      <c r="I119" s="8" t="str">
        <f>IFERROR(__xludf.DUMMYFUNCTION("GOOGLETRANSLATE(C119, ""en"", ""hi"")"),"चित्र में दर्शाए गए खेल के लिए आमतौर पर किस प्रकार की प्रशिक्षण पद्धति का उपयोग किया जाता है?")</f>
        <v>चित्र में दर्शाए गए खेल के लिए आमतौर पर किस प्रकार की प्रशिक्षण पद्धति का उपयोग किया जाता है?</v>
      </c>
      <c r="J119" s="8" t="str">
        <f>IFERROR(__xludf.DUMMYFUNCTION("GOOGLETRANSLATE(D119, ""en"", ""hi"")"),"A) पार्टनर ड्रिल्स, B) एकल अभ्यास, C) समूह प्रदर्शन, D) उपरोक्त सभी")</f>
        <v>A) पार्टनर ड्रिल्स, B) एकल अभ्यास, C) समूह प्रदर्शन, D) उपरोक्त सभी</v>
      </c>
      <c r="K119" s="8" t="str">
        <f>IFERROR(__xludf.DUMMYFUNCTION("GOOGLETRANSLATE(E119, ""en"", ""hi"")"),"D। उपरोक्त सभी")</f>
        <v>D। उपरोक्त सभी</v>
      </c>
    </row>
    <row r="120" ht="22.5" customHeight="1">
      <c r="A120" s="2">
        <v>119.0</v>
      </c>
      <c r="B120" s="3" t="s">
        <v>3769</v>
      </c>
      <c r="C120" s="3" t="s">
        <v>3775</v>
      </c>
      <c r="D120" s="3" t="s">
        <v>3776</v>
      </c>
      <c r="E120" s="3" t="s">
        <v>3704</v>
      </c>
      <c r="G120" s="8" t="str">
        <f>IFERROR(__xludf.DUMMYFUNCTION("GOOGLETRANSLATE(A120, ""en"", ""hi"")"),"119")</f>
        <v>119</v>
      </c>
      <c r="H120" s="8" t="str">
        <f>IFERROR(__xludf.DUMMYFUNCTION("GOOGLETRANSLATE(B120, ""en"", ""hi"")"),"कलारीपयट्टू_30")</f>
        <v>कलारीपयट्टू_30</v>
      </c>
      <c r="I120" s="8" t="str">
        <f>IFERROR(__xludf.DUMMYFUNCTION("GOOGLETRANSLATE(C120, ""en"", ""hi"")"),"चित्र में चिकित्सक किस प्रकार के उपकरण का उपयोग कर रहा है?")</f>
        <v>चित्र में चिकित्सक किस प्रकार के उपकरण का उपयोग कर रहा है?</v>
      </c>
      <c r="J120" s="8" t="str">
        <f>IFERROR(__xludf.DUMMYFUNCTION("GOOGLETRANSLATE(D120, ""en"", ""hi"")"),"A) लकड़ी का कर्मचारी, B) प्रशिक्षण तलवार, C) ढाल, D) भारी बैग")</f>
        <v>A) लकड़ी का कर्मचारी, B) प्रशिक्षण तलवार, C) ढाल, D) भारी बैग</v>
      </c>
      <c r="K120" s="8" t="str">
        <f>IFERROR(__xludf.DUMMYFUNCTION("GOOGLETRANSLATE(E120, ""en"", ""hi"")"),"A) लकड़ी का कर्मचारी")</f>
        <v>A) लकड़ी का कर्मचारी</v>
      </c>
    </row>
    <row r="121" ht="22.5" customHeight="1">
      <c r="A121" s="2">
        <v>120.0</v>
      </c>
      <c r="B121" s="3" t="s">
        <v>3769</v>
      </c>
      <c r="C121" s="3" t="s">
        <v>3777</v>
      </c>
      <c r="D121" s="3" t="s">
        <v>3778</v>
      </c>
      <c r="E121" s="3" t="s">
        <v>3532</v>
      </c>
      <c r="G121" s="8" t="str">
        <f>IFERROR(__xludf.DUMMYFUNCTION("GOOGLETRANSLATE(A121, ""en"", ""hi"")"),"120")</f>
        <v>120</v>
      </c>
      <c r="H121" s="8" t="str">
        <f>IFERROR(__xludf.DUMMYFUNCTION("GOOGLETRANSLATE(B121, ""en"", ""hi"")"),"कलारीपयट्टू_30")</f>
        <v>कलारीपयट्टू_30</v>
      </c>
      <c r="I121" s="8" t="str">
        <f>IFERROR(__xludf.DUMMYFUNCTION("GOOGLETRANSLATE(C121, ""en"", ""hi"")"),"चित्र में दिखाए गए खेल में किस प्रकार की गतिविधियाँ शामिल हैं?")</f>
        <v>चित्र में दिखाए गए खेल में किस प्रकार की गतिविधियाँ शामिल हैं?</v>
      </c>
      <c r="J121" s="8" t="str">
        <f>IFERROR(__xludf.DUMMYFUNCTION("GOOGLETRANSLATE(D121, ""en"", ""hi"")"),"A) त्वरित और चुस्त, B) धीमा और जानबूझकर, C) यादृच्छिक और विविध, D) स्थिर और सुसंगत")</f>
        <v>A) त्वरित और चुस्त, B) धीमा और जानबूझकर, C) यादृच्छिक और विविध, D) स्थिर और सुसंगत</v>
      </c>
      <c r="K121" s="8" t="str">
        <f>IFERROR(__xludf.DUMMYFUNCTION("GOOGLETRANSLATE(E121, ""en"", ""hi"")"),"बी) धीमा और जानबूझकर")</f>
        <v>बी) धीमा और जानबूझकर</v>
      </c>
    </row>
    <row r="122" ht="22.5" customHeight="1">
      <c r="A122" s="2">
        <v>121.0</v>
      </c>
      <c r="B122" s="3" t="s">
        <v>3779</v>
      </c>
      <c r="C122" s="3" t="s">
        <v>3780</v>
      </c>
      <c r="D122" s="3" t="s">
        <v>3781</v>
      </c>
      <c r="E122" s="3" t="s">
        <v>3782</v>
      </c>
      <c r="G122" s="8" t="str">
        <f>IFERROR(__xludf.DUMMYFUNCTION("GOOGLETRANSLATE(A122, ""en"", ""hi"")"),"121")</f>
        <v>121</v>
      </c>
      <c r="H122" s="8" t="str">
        <f>IFERROR(__xludf.DUMMYFUNCTION("GOOGLETRANSLATE(B122, ""en"", ""hi"")"),"कलारीपयट्टू_31")</f>
        <v>कलारीपयट्टू_31</v>
      </c>
      <c r="I122" s="8" t="str">
        <f>IFERROR(__xludf.DUMMYFUNCTION("GOOGLETRANSLATE(C122, ""en"", ""hi"")"),"चित्र में प्रदर्शित तकनीक या मुद्रा का प्राथमिक लाभ क्या है?")</f>
        <v>चित्र में प्रदर्शित तकनीक या मुद्रा का प्राथमिक लाभ क्या है?</v>
      </c>
      <c r="J122" s="8" t="str">
        <f>IFERROR(__xludf.DUMMYFUNCTION("GOOGLETRANSLATE(D122, ""en"", ""hi"")"),"A) बेहतर ताकत, B) बेहतर लचीलापन, C) बेहतर संतुलन, D) बढ़ी हुई गति")</f>
        <v>A) बेहतर ताकत, B) बेहतर लचीलापन, C) बेहतर संतुलन, D) बढ़ी हुई गति</v>
      </c>
      <c r="K122" s="8" t="str">
        <f>IFERROR(__xludf.DUMMYFUNCTION("GOOGLETRANSLATE(E122, ""en"", ""hi"")"),"C) बेहतर संतुलन")</f>
        <v>C) बेहतर संतुलन</v>
      </c>
    </row>
    <row r="123" ht="22.5" customHeight="1">
      <c r="A123" s="2">
        <v>122.0</v>
      </c>
      <c r="B123" s="3" t="s">
        <v>3779</v>
      </c>
      <c r="C123" s="3" t="s">
        <v>3783</v>
      </c>
      <c r="D123" s="3" t="s">
        <v>3784</v>
      </c>
      <c r="E123" s="3" t="s">
        <v>3785</v>
      </c>
      <c r="G123" s="8" t="str">
        <f>IFERROR(__xludf.DUMMYFUNCTION("GOOGLETRANSLATE(A123, ""en"", ""hi"")"),"122")</f>
        <v>122</v>
      </c>
      <c r="H123" s="8" t="str">
        <f>IFERROR(__xludf.DUMMYFUNCTION("GOOGLETRANSLATE(B123, ""en"", ""hi"")"),"कलारीपयट्टू_31")</f>
        <v>कलारीपयट्टू_31</v>
      </c>
      <c r="I123" s="8" t="str">
        <f>IFERROR(__xludf.DUMMYFUNCTION("GOOGLETRANSLATE(C123, ""en"", ""hi"")"),"चित्र में दिखाए गए खेल के लिए प्रशिक्षण हेतु किस प्रकार का वातावरण पसंद किया जाता है?")</f>
        <v>चित्र में दिखाए गए खेल के लिए प्रशिक्षण हेतु किस प्रकार का वातावरण पसंद किया जाता है?</v>
      </c>
      <c r="J123" s="8" t="str">
        <f>IFERROR(__xludf.DUMMYFUNCTION("GOOGLETRANSLATE(D123, ""en"", ""hi"")"),"A) पारंपरिक प्रशिक्षण क्षेत्र, B) आधुनिक जिम, C) आउटडोर मैदान, D) इनडोर डोजो")</f>
        <v>A) पारंपरिक प्रशिक्षण क्षेत्र, B) आधुनिक जिम, C) आउटडोर मैदान, D) इनडोर डोजो</v>
      </c>
      <c r="K123" s="8" t="str">
        <f>IFERROR(__xludf.DUMMYFUNCTION("GOOGLETRANSLATE(E123, ""en"", ""hi"")"),"ए) पारंपरिक प्रशिक्षण क्षेत्र")</f>
        <v>ए) पारंपरिक प्रशिक्षण क्षेत्र</v>
      </c>
    </row>
    <row r="124" ht="22.5" customHeight="1">
      <c r="A124" s="2">
        <v>123.0</v>
      </c>
      <c r="B124" s="3" t="s">
        <v>3779</v>
      </c>
      <c r="C124" s="3" t="s">
        <v>3786</v>
      </c>
      <c r="D124" s="3" t="s">
        <v>3787</v>
      </c>
      <c r="E124" s="3" t="s">
        <v>3501</v>
      </c>
      <c r="G124" s="8" t="str">
        <f>IFERROR(__xludf.DUMMYFUNCTION("GOOGLETRANSLATE(A124, ""en"", ""hi"")"),"123")</f>
        <v>123</v>
      </c>
      <c r="H124" s="8" t="str">
        <f>IFERROR(__xludf.DUMMYFUNCTION("GOOGLETRANSLATE(B124, ""en"", ""hi"")"),"कलारीपयट्टू_31")</f>
        <v>कलारीपयट्टू_31</v>
      </c>
      <c r="I124" s="8" t="str">
        <f>IFERROR(__xludf.DUMMYFUNCTION("GOOGLETRANSLATE(C124, ""en"", ""hi"")"),"चित्र में, अभ्यासकर्ता तकनीक के किस पहलू पर ध्यान केंद्रित कर रहा है?")</f>
        <v>चित्र में, अभ्यासकर्ता तकनीक के किस पहलू पर ध्यान केंद्रित कर रहा है?</v>
      </c>
      <c r="J124" s="8" t="str">
        <f>IFERROR(__xludf.DUMMYFUNCTION("GOOGLETRANSLATE(D124, ""en"", ""hi"")"),"A) शक्ति, B) गति, C) परिशुद्धता, D) लचीलापन")</f>
        <v>A) शक्ति, B) गति, C) परिशुद्धता, D) लचीलापन</v>
      </c>
      <c r="K124" s="8" t="str">
        <f>IFERROR(__xludf.DUMMYFUNCTION("GOOGLETRANSLATE(E124, ""en"", ""hi"")"),"सी) परिशुद्धता")</f>
        <v>सी) परिशुद्धता</v>
      </c>
    </row>
    <row r="125" ht="22.5" customHeight="1">
      <c r="A125" s="2">
        <v>124.0</v>
      </c>
      <c r="B125" s="3" t="s">
        <v>3779</v>
      </c>
      <c r="C125" s="3" t="s">
        <v>3788</v>
      </c>
      <c r="D125" s="3" t="s">
        <v>3789</v>
      </c>
      <c r="E125" s="3" t="s">
        <v>3790</v>
      </c>
      <c r="G125" s="8" t="str">
        <f>IFERROR(__xludf.DUMMYFUNCTION("GOOGLETRANSLATE(A125, ""en"", ""hi"")"),"124")</f>
        <v>124</v>
      </c>
      <c r="H125" s="8" t="str">
        <f>IFERROR(__xludf.DUMMYFUNCTION("GOOGLETRANSLATE(B125, ""en"", ""hi"")"),"कलारीपयट्टू_31")</f>
        <v>कलारीपयट्टू_31</v>
      </c>
      <c r="I125" s="8" t="str">
        <f>IFERROR(__xludf.DUMMYFUNCTION("GOOGLETRANSLATE(C125, ""en"", ""hi"")"),"चित्र में दर्शाया गया खेल किस प्रकार की तकनीकों के उपयोग के लिए जाना जाता है?")</f>
        <v>चित्र में दर्शाया गया खेल किस प्रकार की तकनीकों के उपयोग के लिए जाना जाता है?</v>
      </c>
      <c r="J125" s="8" t="str">
        <f>IFERROR(__xludf.DUMMYFUNCTION("GOOGLETRANSLATE(D125, ""en"", ""hi"")"),"A) प्रहार तकनीक, B) ग्रैपलिंग तकनीक, C) किकिंग तकनीक, D) थ्रोइंग तकनीक")</f>
        <v>A) प्रहार तकनीक, B) ग्रैपलिंग तकनीक, C) किकिंग तकनीक, D) थ्रोइंग तकनीक</v>
      </c>
      <c r="K125" s="8" t="str">
        <f>IFERROR(__xludf.DUMMYFUNCTION("GOOGLETRANSLATE(E125, ""en"", ""hi"")"),"A) प्रहार तकनीकें")</f>
        <v>A) प्रहार तकनीकें</v>
      </c>
    </row>
    <row r="126" ht="22.5" customHeight="1">
      <c r="A126" s="2">
        <v>125.0</v>
      </c>
      <c r="B126" s="3" t="s">
        <v>3791</v>
      </c>
      <c r="C126" s="3" t="s">
        <v>3759</v>
      </c>
      <c r="D126" s="3" t="s">
        <v>3792</v>
      </c>
      <c r="E126" s="3" t="s">
        <v>3630</v>
      </c>
      <c r="G126" s="8" t="str">
        <f>IFERROR(__xludf.DUMMYFUNCTION("GOOGLETRANSLATE(A126, ""en"", ""hi"")"),"125")</f>
        <v>125</v>
      </c>
      <c r="H126" s="8" t="str">
        <f>IFERROR(__xludf.DUMMYFUNCTION("GOOGLETRANSLATE(B126, ""en"", ""hi"")"),"कलारीपयट्टू_32")</f>
        <v>कलारीपयट्टू_32</v>
      </c>
      <c r="I126" s="8" t="str">
        <f>IFERROR(__xludf.DUMMYFUNCTION("GOOGLETRANSLATE(C126, ""en"", ""hi"")"),"चित्र में, दिखाई गई तकनीक के लिए अभ्यासकर्ता किस प्रकार की मुद्रा या स्थिति का उपयोग कर रहा है?")</f>
        <v>चित्र में, दिखाई गई तकनीक के लिए अभ्यासकर्ता किस प्रकार की मुद्रा या स्थिति का उपयोग कर रहा है?</v>
      </c>
      <c r="J126" s="8" t="str">
        <f>IFERROR(__xludf.DUMMYFUNCTION("GOOGLETRANSLATE(D126, ""en"", ""hi"")"),"A) आक्रामक रुख, B) रक्षात्मक मुद्रा, C) तटस्थ रुख, D) आराम की स्थिति")</f>
        <v>A) आक्रामक रुख, B) रक्षात्मक मुद्रा, C) तटस्थ रुख, D) आराम की स्थिति</v>
      </c>
      <c r="K126" s="8" t="str">
        <f>IFERROR(__xludf.DUMMYFUNCTION("GOOGLETRANSLATE(E126, ""en"", ""hi"")"),"बी) रक्षात्मक मुद्रा")</f>
        <v>बी) रक्षात्मक मुद्रा</v>
      </c>
    </row>
    <row r="127" ht="22.5" customHeight="1">
      <c r="A127" s="2">
        <v>126.0</v>
      </c>
      <c r="B127" s="3" t="s">
        <v>3791</v>
      </c>
      <c r="C127" s="3" t="s">
        <v>3793</v>
      </c>
      <c r="D127" s="3" t="s">
        <v>3794</v>
      </c>
      <c r="E127" s="3" t="s">
        <v>1873</v>
      </c>
      <c r="G127" s="8" t="str">
        <f>IFERROR(__xludf.DUMMYFUNCTION("GOOGLETRANSLATE(A127, ""en"", ""hi"")"),"126")</f>
        <v>126</v>
      </c>
      <c r="H127" s="8" t="str">
        <f>IFERROR(__xludf.DUMMYFUNCTION("GOOGLETRANSLATE(B127, ""en"", ""hi"")"),"कलारीपयट्टू_32")</f>
        <v>कलारीपयट्टू_32</v>
      </c>
      <c r="I127" s="8" t="str">
        <f>IFERROR(__xludf.DUMMYFUNCTION("GOOGLETRANSLATE(C127, ""en"", ""hi"")"),"चित्र में दिखाए गए खेल के लिए प्रशिक्षण के दौरान आमतौर पर किस प्रकार के अभ्यास किए जाते हैं?")</f>
        <v>चित्र में दिखाए गए खेल के लिए प्रशिक्षण के दौरान आमतौर पर किस प्रकार के अभ्यास किए जाते हैं?</v>
      </c>
      <c r="J127" s="8" t="str">
        <f>IFERROR(__xludf.DUMMYFUNCTION("GOOGLETRANSLATE(D127, ""en"", ""hi"")"),"A) एकल अभ्यास, B) साथी अभ्यास, C) समूह अभ्यास, D) उपरोक्त सभी")</f>
        <v>A) एकल अभ्यास, B) साथी अभ्यास, C) समूह अभ्यास, D) उपरोक्त सभी</v>
      </c>
      <c r="K127" s="8" t="str">
        <f>IFERROR(__xludf.DUMMYFUNCTION("GOOGLETRANSLATE(E127, ""en"", ""hi"")"),"D। उपरोक्त सभी")</f>
        <v>D। उपरोक्त सभी</v>
      </c>
    </row>
    <row r="128" ht="22.5" customHeight="1">
      <c r="A128" s="2">
        <v>127.0</v>
      </c>
      <c r="B128" s="3" t="s">
        <v>3791</v>
      </c>
      <c r="C128" s="3" t="s">
        <v>3795</v>
      </c>
      <c r="D128" s="3" t="s">
        <v>3635</v>
      </c>
      <c r="E128" s="3" t="s">
        <v>3636</v>
      </c>
      <c r="G128" s="8" t="str">
        <f>IFERROR(__xludf.DUMMYFUNCTION("GOOGLETRANSLATE(A128, ""en"", ""hi"")"),"127")</f>
        <v>127</v>
      </c>
      <c r="H128" s="8" t="str">
        <f>IFERROR(__xludf.DUMMYFUNCTION("GOOGLETRANSLATE(B128, ""en"", ""hi"")"),"कलारीपयट्टू_32")</f>
        <v>कलारीपयट्टू_32</v>
      </c>
      <c r="I128" s="8" t="str">
        <f>IFERROR(__xludf.DUMMYFUNCTION("GOOGLETRANSLATE(C128, ""en"", ""hi"")"),"चित्र में, अभ्यास किये जा रहे विशिष्ट आंदोलन का प्राथमिक उद्देश्य क्या है?")</f>
        <v>चित्र में, अभ्यास किये जा रहे विशिष्ट आंदोलन का प्राथमिक उद्देश्य क्या है?</v>
      </c>
      <c r="J128" s="8" t="str">
        <f>IFERROR(__xludf.DUMMYFUNCTION("GOOGLETRANSLATE(D128, ""en"", ""hi"")"),"A) गति बढ़ाने के लिए, B) सटीकता का अभ्यास करने के लिए, C) ताकत बनाने के लिए, D) चपलता विकसित करने के लिए")</f>
        <v>A) गति बढ़ाने के लिए, B) सटीकता का अभ्यास करने के लिए, C) ताकत बनाने के लिए, D) चपलता विकसित करने के लिए</v>
      </c>
      <c r="K128" s="8" t="str">
        <f>IFERROR(__xludf.DUMMYFUNCTION("GOOGLETRANSLATE(E128, ""en"", ""hi"")"),"बी) परिशुद्धता का अभ्यास करना")</f>
        <v>बी) परिशुद्धता का अभ्यास करना</v>
      </c>
    </row>
    <row r="129" ht="22.5" customHeight="1">
      <c r="A129" s="2">
        <v>128.0</v>
      </c>
      <c r="B129" s="3" t="s">
        <v>3791</v>
      </c>
      <c r="C129" s="3" t="s">
        <v>3796</v>
      </c>
      <c r="D129" s="3" t="s">
        <v>3797</v>
      </c>
      <c r="E129" s="3" t="s">
        <v>1873</v>
      </c>
      <c r="G129" s="8" t="str">
        <f>IFERROR(__xludf.DUMMYFUNCTION("GOOGLETRANSLATE(A129, ""en"", ""hi"")"),"128")</f>
        <v>128</v>
      </c>
      <c r="H129" s="8" t="str">
        <f>IFERROR(__xludf.DUMMYFUNCTION("GOOGLETRANSLATE(B129, ""en"", ""hi"")"),"कलारीपयट्टू_32")</f>
        <v>कलारीपयट्टू_32</v>
      </c>
      <c r="I129" s="8" t="str">
        <f>IFERROR(__xludf.DUMMYFUNCTION("GOOGLETRANSLATE(C129, ""en"", ""hi"")"),"चित्र में दिखाए गए खेल में प्रायः किस प्रकार की शारीरिक कंडीशनिंग शामिल होती है?")</f>
        <v>चित्र में दिखाए गए खेल में प्रायः किस प्रकार की शारीरिक कंडीशनिंग शामिल होती है?</v>
      </c>
      <c r="J129" s="8" t="str">
        <f>IFERROR(__xludf.DUMMYFUNCTION("GOOGLETRANSLATE(D129, ""en"", ""hi"")"),"A) धीरज प्रशिक्षण, B) शक्ति प्रशिक्षण, C) लचीलापन व्यायाम, D) उपरोक्त सभी")</f>
        <v>A) धीरज प्रशिक्षण, B) शक्ति प्रशिक्षण, C) लचीलापन व्यायाम, D) उपरोक्त सभी</v>
      </c>
      <c r="K129" s="8" t="str">
        <f>IFERROR(__xludf.DUMMYFUNCTION("GOOGLETRANSLATE(E129, ""en"", ""hi"")"),"D। उपरोक्त सभी")</f>
        <v>D। उपरोक्त सभी</v>
      </c>
    </row>
    <row r="130" ht="22.5" customHeight="1">
      <c r="A130" s="2">
        <v>129.0</v>
      </c>
      <c r="B130" s="3" t="s">
        <v>3798</v>
      </c>
      <c r="C130" s="3" t="s">
        <v>3705</v>
      </c>
      <c r="D130" s="3" t="s">
        <v>3706</v>
      </c>
      <c r="E130" s="3" t="s">
        <v>3707</v>
      </c>
      <c r="G130" s="8" t="str">
        <f>IFERROR(__xludf.DUMMYFUNCTION("GOOGLETRANSLATE(A130, ""en"", ""hi"")"),"129")</f>
        <v>129</v>
      </c>
      <c r="H130" s="8" t="str">
        <f>IFERROR(__xludf.DUMMYFUNCTION("GOOGLETRANSLATE(B130, ""en"", ""hi"")"),"कलारीपयट्टू_33")</f>
        <v>कलारीपयट्टू_33</v>
      </c>
      <c r="I130" s="8" t="str">
        <f>IFERROR(__xludf.DUMMYFUNCTION("GOOGLETRANSLATE(C130, ""en"", ""hi"")"),"चित्र में, अभ्यासकर्ता की मुद्रा या रुख का प्राथमिक फोकस क्या है?")</f>
        <v>चित्र में, अभ्यासकर्ता की मुद्रा या रुख का प्राथमिक फोकस क्या है?</v>
      </c>
      <c r="J130" s="8" t="str">
        <f>IFERROR(__xludf.DUMMYFUNCTION("GOOGLETRANSLATE(D130, ""en"", ""hi"")"),"A) आक्रामक क्षमता, B) रक्षात्मक तत्परता, C) गति, D) शक्ति")</f>
        <v>A) आक्रामक क्षमता, B) रक्षात्मक तत्परता, C) गति, D) शक्ति</v>
      </c>
      <c r="K130" s="8" t="str">
        <f>IFERROR(__xludf.DUMMYFUNCTION("GOOGLETRANSLATE(E130, ""en"", ""hi"")"),"बी) रक्षात्मक तत्परता")</f>
        <v>बी) रक्षात्मक तत्परता</v>
      </c>
    </row>
    <row r="131" ht="22.5" customHeight="1">
      <c r="A131" s="2">
        <v>130.0</v>
      </c>
      <c r="B131" s="3" t="s">
        <v>3798</v>
      </c>
      <c r="C131" s="3" t="s">
        <v>3799</v>
      </c>
      <c r="D131" s="3" t="s">
        <v>3703</v>
      </c>
      <c r="E131" s="3" t="s">
        <v>3704</v>
      </c>
      <c r="G131" s="8" t="str">
        <f>IFERROR(__xludf.DUMMYFUNCTION("GOOGLETRANSLATE(A131, ""en"", ""hi"")"),"130")</f>
        <v>130</v>
      </c>
      <c r="H131" s="8" t="str">
        <f>IFERROR(__xludf.DUMMYFUNCTION("GOOGLETRANSLATE(B131, ""en"", ""hi"")"),"कलारीपयट्टू_33")</f>
        <v>कलारीपयट्टू_33</v>
      </c>
      <c r="I131" s="8" t="str">
        <f>IFERROR(__xludf.DUMMYFUNCTION("GOOGLETRANSLATE(C131, ""en"", ""hi"")"),"चित्र में दिखाए गए खेल के लिए प्रशिक्षण के दौरान आमतौर पर किस प्रकार के उपकरण का उपयोग किया जाता है?")</f>
        <v>चित्र में दिखाए गए खेल के लिए प्रशिक्षण के दौरान आमतौर पर किस प्रकार के उपकरण का उपयोग किया जाता है?</v>
      </c>
      <c r="J131" s="8" t="str">
        <f>IFERROR(__xludf.DUMMYFUNCTION("GOOGLETRANSLATE(D131, ""en"", ""hi"")"),"A) लकड़ी का कर्मचारी, B) धातु की ढाल, C) चमड़े के दस्ताने, D) अभ्यास तलवारें")</f>
        <v>A) लकड़ी का कर्मचारी, B) धातु की ढाल, C) चमड़े के दस्ताने, D) अभ्यास तलवारें</v>
      </c>
      <c r="K131" s="8" t="str">
        <f>IFERROR(__xludf.DUMMYFUNCTION("GOOGLETRANSLATE(E131, ""en"", ""hi"")"),"A) लकड़ी का कर्मचारी")</f>
        <v>A) लकड़ी का कर्मचारी</v>
      </c>
    </row>
    <row r="132" ht="22.5" customHeight="1">
      <c r="A132" s="2">
        <v>131.0</v>
      </c>
      <c r="B132" s="3" t="s">
        <v>3798</v>
      </c>
      <c r="C132" s="3" t="s">
        <v>3800</v>
      </c>
      <c r="D132" s="3" t="s">
        <v>3749</v>
      </c>
      <c r="E132" s="3" t="s">
        <v>3750</v>
      </c>
      <c r="G132" s="8" t="str">
        <f>IFERROR(__xludf.DUMMYFUNCTION("GOOGLETRANSLATE(A132, ""en"", ""hi"")"),"131")</f>
        <v>131</v>
      </c>
      <c r="H132" s="8" t="str">
        <f>IFERROR(__xludf.DUMMYFUNCTION("GOOGLETRANSLATE(B132, ""en"", ""hi"")"),"कलारीपयट्टू_33")</f>
        <v>कलारीपयट्टू_33</v>
      </c>
      <c r="I132" s="8" t="str">
        <f>IFERROR(__xludf.DUMMYFUNCTION("GOOGLETRANSLATE(C132, ""en"", ""hi"")"),"चित्र में दर्शाई गई तकनीक का प्राथमिक लाभ क्या है?")</f>
        <v>चित्र में दर्शाई गई तकनीक का प्राथमिक लाभ क्या है?</v>
      </c>
      <c r="J132" s="8" t="str">
        <f>IFERROR(__xludf.DUMMYFUNCTION("GOOGLETRANSLATE(D132, ""en"", ""hi"")"),"A) बढ़ी हुई ताकत, B) बेहतर गति, C) बेहतर संतुलन, D) बेहतर लचीलापन")</f>
        <v>A) बढ़ी हुई ताकत, B) बेहतर गति, C) बेहतर संतुलन, D) बेहतर लचीलापन</v>
      </c>
      <c r="K132" s="8" t="str">
        <f>IFERROR(__xludf.DUMMYFUNCTION("GOOGLETRANSLATE(E132, ""en"", ""hi"")"),"C) उन्नत संतुलन")</f>
        <v>C) उन्नत संतुलन</v>
      </c>
    </row>
    <row r="133" ht="22.5" customHeight="1">
      <c r="A133" s="2">
        <v>132.0</v>
      </c>
      <c r="B133" s="3" t="s">
        <v>3798</v>
      </c>
      <c r="C133" s="3" t="s">
        <v>3801</v>
      </c>
      <c r="D133" s="3" t="s">
        <v>3802</v>
      </c>
      <c r="E133" s="3" t="s">
        <v>3698</v>
      </c>
      <c r="G133" s="8" t="str">
        <f>IFERROR(__xludf.DUMMYFUNCTION("GOOGLETRANSLATE(A133, ""en"", ""hi"")"),"132")</f>
        <v>132</v>
      </c>
      <c r="H133" s="8" t="str">
        <f>IFERROR(__xludf.DUMMYFUNCTION("GOOGLETRANSLATE(B133, ""en"", ""hi"")"),"कलारीपयट्टू_33")</f>
        <v>कलारीपयट्टू_33</v>
      </c>
      <c r="I133" s="8" t="str">
        <f>IFERROR(__xludf.DUMMYFUNCTION("GOOGLETRANSLATE(C133, ""en"", ""hi"")"),"चित्र में दर्शाया गया खेल पारंपरिक रूप से किस प्रकार के परिवेश में खेला जाता है?")</f>
        <v>चित्र में दर्शाया गया खेल पारंपरिक रूप से किस प्रकार के परिवेश में खेला जाता है?</v>
      </c>
      <c r="J133" s="8" t="str">
        <f>IFERROR(__xludf.DUMMYFUNCTION("GOOGLETRANSLATE(D133, ""en"", ""hi"")"),"A) आउटडोर मैदान, B) इनडोर डोजो, C) मंदिर का मैदान, D) आधुनिक जिम")</f>
        <v>A) आउटडोर मैदान, B) इनडोर डोजो, C) मंदिर का मैदान, D) आधुनिक जिम</v>
      </c>
      <c r="K133" s="8" t="str">
        <f>IFERROR(__xludf.DUMMYFUNCTION("GOOGLETRANSLATE(E133, ""en"", ""hi"")"),"C) मंदिर परिसर")</f>
        <v>C) मंदिर परिसर</v>
      </c>
    </row>
    <row r="134">
      <c r="A134" s="9"/>
      <c r="B134" s="5"/>
      <c r="C134" s="5"/>
      <c r="D134" s="5"/>
      <c r="E134" s="5"/>
    </row>
    <row r="135">
      <c r="A135" s="9"/>
      <c r="B135" s="5"/>
      <c r="C135" s="5"/>
      <c r="D135" s="5"/>
      <c r="E135" s="5"/>
    </row>
    <row r="136">
      <c r="A136" s="9"/>
      <c r="B136" s="5"/>
      <c r="C136" s="5"/>
      <c r="D136" s="5"/>
      <c r="E136" s="5"/>
    </row>
    <row r="137">
      <c r="A137" s="9"/>
      <c r="B137" s="5"/>
      <c r="C137" s="5"/>
      <c r="D137" s="5"/>
      <c r="E137" s="5"/>
    </row>
    <row r="138">
      <c r="A138" s="9"/>
      <c r="B138" s="5"/>
      <c r="C138" s="5"/>
      <c r="D138" s="5"/>
      <c r="E138" s="5"/>
    </row>
    <row r="139">
      <c r="A139" s="9"/>
      <c r="B139" s="5"/>
      <c r="C139" s="5"/>
      <c r="D139" s="5"/>
      <c r="E139" s="5"/>
    </row>
    <row r="140">
      <c r="A140" s="9"/>
      <c r="B140" s="5"/>
      <c r="C140" s="5"/>
      <c r="D140" s="5"/>
      <c r="E140" s="5"/>
    </row>
    <row r="141">
      <c r="A141" s="9"/>
      <c r="B141" s="5"/>
      <c r="C141" s="5"/>
      <c r="D141" s="5"/>
      <c r="E141" s="5"/>
    </row>
    <row r="142">
      <c r="A142" s="5"/>
      <c r="B142" s="5"/>
      <c r="C142" s="5"/>
      <c r="D142" s="5"/>
      <c r="E142" s="5"/>
    </row>
  </sheetData>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27.38"/>
    <col customWidth="1" min="9" max="10" width="37.63"/>
    <col customWidth="1" min="11" max="11" width="32.88"/>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3803</v>
      </c>
      <c r="C2" s="3" t="s">
        <v>3804</v>
      </c>
      <c r="D2" s="3" t="s">
        <v>3805</v>
      </c>
      <c r="E2" s="3" t="s">
        <v>3806</v>
      </c>
      <c r="G2" s="8" t="str">
        <f>IFERROR(__xludf.DUMMYFUNCTION("GOOGLETRANSLATE(A2, ""en"", ""hi"")"),"1")</f>
        <v>1</v>
      </c>
      <c r="H2" s="8" t="str">
        <f>IFERROR(__xludf.DUMMYFUNCTION("GOOGLETRANSLATE(B2, ""en"", ""hi"")"),"सिलंबम_1")</f>
        <v>सिलंबम_1</v>
      </c>
      <c r="I2" s="8" t="str">
        <f>IFERROR(__xludf.DUMMYFUNCTION("GOOGLETRANSLATE(C2, ""en"", ""hi"")"),"चित्र में दिखाए गए खेल में मुख्य हथियार क्या है?")</f>
        <v>चित्र में दिखाए गए खेल में मुख्य हथियार क्या है?</v>
      </c>
      <c r="J2" s="8" t="str">
        <f>IFERROR(__xludf.DUMMYFUNCTION("GOOGLETRANSLATE(D2, ""en"", ""hi"")"),"A) तलवार, B) छड़ी, C) भाला, D) ढाल")</f>
        <v>A) तलवार, B) छड़ी, C) भाला, D) ढाल</v>
      </c>
      <c r="K2" s="8" t="str">
        <f>IFERROR(__xludf.DUMMYFUNCTION("GOOGLETRANSLATE(E2, ""en"", ""hi"")"),"बी) छड़ी")</f>
        <v>बी) छड़ी</v>
      </c>
    </row>
    <row r="3" ht="22.5" customHeight="1">
      <c r="A3" s="2">
        <v>2.0</v>
      </c>
      <c r="B3" s="3" t="s">
        <v>3803</v>
      </c>
      <c r="C3" s="3" t="s">
        <v>3807</v>
      </c>
      <c r="D3" s="3" t="s">
        <v>3808</v>
      </c>
      <c r="E3" s="3" t="s">
        <v>3809</v>
      </c>
      <c r="G3" s="8" t="str">
        <f>IFERROR(__xludf.DUMMYFUNCTION("GOOGLETRANSLATE(A3, ""en"", ""hi"")"),"2")</f>
        <v>2</v>
      </c>
      <c r="H3" s="8" t="str">
        <f>IFERROR(__xludf.DUMMYFUNCTION("GOOGLETRANSLATE(B3, ""en"", ""hi"")"),"सिलंबम_1")</f>
        <v>सिलंबम_1</v>
      </c>
      <c r="I3" s="8" t="str">
        <f>IFERROR(__xludf.DUMMYFUNCTION("GOOGLETRANSLATE(C3, ""en"", ""hi"")"),"चित्र में दिखाए गए खेल में पारंपरिक सिलंबम छड़ी की लंबाई कितनी होती है?")</f>
        <v>चित्र में दिखाए गए खेल में पारंपरिक सिलंबम छड़ी की लंबाई कितनी होती है?</v>
      </c>
      <c r="J3" s="8" t="str">
        <f>IFERROR(__xludf.DUMMYFUNCTION("GOOGLETRANSLATE(D3, ""en"", ""hi"")"),"A) 5 फीट, B) 6 फीट, C) 7 फीट, D) 8 फीट")</f>
        <v>A) 5 फीट, B) 6 फीट, C) 7 फीट, D) 8 फीट</v>
      </c>
      <c r="K3" s="8" t="str">
        <f>IFERROR(__xludf.DUMMYFUNCTION("GOOGLETRANSLATE(E3, ""en"", ""hi"")"),"ए) 5 फीट")</f>
        <v>ए) 5 फीट</v>
      </c>
    </row>
    <row r="4" ht="22.5" customHeight="1">
      <c r="A4" s="2">
        <v>3.0</v>
      </c>
      <c r="B4" s="3" t="s">
        <v>3803</v>
      </c>
      <c r="C4" s="3" t="s">
        <v>3810</v>
      </c>
      <c r="D4" s="3" t="s">
        <v>3811</v>
      </c>
      <c r="E4" s="3" t="s">
        <v>3812</v>
      </c>
      <c r="G4" s="8" t="str">
        <f>IFERROR(__xludf.DUMMYFUNCTION("GOOGLETRANSLATE(A4, ""en"", ""hi"")"),"3")</f>
        <v>3</v>
      </c>
      <c r="H4" s="8" t="str">
        <f>IFERROR(__xludf.DUMMYFUNCTION("GOOGLETRANSLATE(B4, ""en"", ""hi"")"),"सिलंबम_1")</f>
        <v>सिलंबम_1</v>
      </c>
      <c r="I4" s="8" t="str">
        <f>IFERROR(__xludf.DUMMYFUNCTION("GOOGLETRANSLATE(C4, ""en"", ""hi"")"),"चित्र में दिखाए गए खेल के लिए मुख्य रुख क्या कहलाता है?")</f>
        <v>चित्र में दिखाए गए खेल के लिए मुख्य रुख क्या कहलाता है?</v>
      </c>
      <c r="J4" s="8" t="str">
        <f>IFERROR(__xludf.DUMMYFUNCTION("GOOGLETRANSLATE(D4, ""en"", ""hi"")"),"A) योद्धा मुद्रा, B) अश्व मुद्रा, C) सारस मुद्रा, D) बाघ मुद्रा")</f>
        <v>A) योद्धा मुद्रा, B) अश्व मुद्रा, C) सारस मुद्रा, D) बाघ मुद्रा</v>
      </c>
      <c r="K4" s="8" t="str">
        <f>IFERROR(__xludf.DUMMYFUNCTION("GOOGLETRANSLATE(E4, ""en"", ""hi"")"),"बी) घोड़े का रुख")</f>
        <v>बी) घोड़े का रुख</v>
      </c>
    </row>
    <row r="5" ht="22.5" customHeight="1">
      <c r="A5" s="2">
        <v>4.0</v>
      </c>
      <c r="B5" s="3" t="s">
        <v>3803</v>
      </c>
      <c r="C5" s="3" t="s">
        <v>3813</v>
      </c>
      <c r="D5" s="3" t="s">
        <v>3814</v>
      </c>
      <c r="E5" s="3" t="s">
        <v>3815</v>
      </c>
      <c r="G5" s="8" t="str">
        <f>IFERROR(__xludf.DUMMYFUNCTION("GOOGLETRANSLATE(A5, ""en"", ""hi"")"),"4")</f>
        <v>4</v>
      </c>
      <c r="H5" s="8" t="str">
        <f>IFERROR(__xludf.DUMMYFUNCTION("GOOGLETRANSLATE(B5, ""en"", ""hi"")"),"सिलंबम_1")</f>
        <v>सिलंबम_1</v>
      </c>
      <c r="I5" s="8" t="str">
        <f>IFERROR(__xludf.DUMMYFUNCTION("GOOGLETRANSLATE(C5, ""en"", ""hi"")"),"चित्र में दिखाए गए खेल में, सिलंबम की छड़ें बनाने के लिए आमतौर पर किस सामग्री का उपयोग किया जाता है?")</f>
        <v>चित्र में दिखाए गए खेल में, सिलंबम की छड़ें बनाने के लिए आमतौर पर किस सामग्री का उपयोग किया जाता है?</v>
      </c>
      <c r="J5" s="8" t="str">
        <f>IFERROR(__xludf.DUMMYFUNCTION("GOOGLETRANSLATE(D5, ""en"", ""hi"")"),"A) बांस, B) स्टील, C) लकड़ी, D) प्लास्टिक")</f>
        <v>A) बांस, B) स्टील, C) लकड़ी, D) प्लास्टिक</v>
      </c>
      <c r="K5" s="8" t="str">
        <f>IFERROR(__xludf.DUMMYFUNCTION("GOOGLETRANSLATE(E5, ""en"", ""hi"")"),"A) बांस")</f>
        <v>A) बांस</v>
      </c>
    </row>
    <row r="6" ht="22.5" customHeight="1">
      <c r="A6" s="2">
        <v>5.0</v>
      </c>
      <c r="B6" s="3" t="s">
        <v>3816</v>
      </c>
      <c r="C6" s="3" t="s">
        <v>3817</v>
      </c>
      <c r="D6" s="3" t="s">
        <v>3818</v>
      </c>
      <c r="E6" s="3" t="s">
        <v>3819</v>
      </c>
      <c r="G6" s="8" t="str">
        <f>IFERROR(__xludf.DUMMYFUNCTION("GOOGLETRANSLATE(A6, ""en"", ""hi"")"),"5")</f>
        <v>5</v>
      </c>
      <c r="H6" s="8" t="str">
        <f>IFERROR(__xludf.DUMMYFUNCTION("GOOGLETRANSLATE(B6, ""en"", ""hi"")"),"सिलंबम_2")</f>
        <v>सिलंबम_2</v>
      </c>
      <c r="I6" s="8" t="str">
        <f>IFERROR(__xludf.DUMMYFUNCTION("GOOGLETRANSLATE(C6, ""en"", ""hi"")"),"चित्र में दिखाए गए खेल के लिए, सिलंबम की उत्पत्ति किस भारतीय राज्य से हुई है?")</f>
        <v>चित्र में दिखाए गए खेल के लिए, सिलंबम की उत्पत्ति किस भारतीय राज्य से हुई है?</v>
      </c>
      <c r="J6" s="8" t="str">
        <f>IFERROR(__xludf.DUMMYFUNCTION("GOOGLETRANSLATE(D6, ""en"", ""hi"")"),"A) केरल, B) तमिलनाडु, C) कर्नाटक, D) आंध्र प्रदेश")</f>
        <v>A) केरल, B) तमिलनाडु, C) कर्नाटक, D) आंध्र प्रदेश</v>
      </c>
      <c r="K6" s="8" t="str">
        <f>IFERROR(__xludf.DUMMYFUNCTION("GOOGLETRANSLATE(E6, ""en"", ""hi"")"),"बी) तमिलनाडु")</f>
        <v>बी) तमिलनाडु</v>
      </c>
    </row>
    <row r="7" ht="22.5" customHeight="1">
      <c r="A7" s="2">
        <v>6.0</v>
      </c>
      <c r="B7" s="3" t="s">
        <v>3816</v>
      </c>
      <c r="C7" s="3" t="s">
        <v>3820</v>
      </c>
      <c r="D7" s="3" t="s">
        <v>3821</v>
      </c>
      <c r="E7" s="3" t="s">
        <v>3822</v>
      </c>
      <c r="G7" s="8" t="str">
        <f>IFERROR(__xludf.DUMMYFUNCTION("GOOGLETRANSLATE(A7, ""en"", ""hi"")"),"6")</f>
        <v>6</v>
      </c>
      <c r="H7" s="8" t="str">
        <f>IFERROR(__xludf.DUMMYFUNCTION("GOOGLETRANSLATE(B7, ""en"", ""hi"")"),"सिलंबम_2")</f>
        <v>सिलंबम_2</v>
      </c>
      <c r="I7" s="8" t="str">
        <f>IFERROR(__xludf.DUMMYFUNCTION("GOOGLETRANSLATE(C7, ""en"", ""hi"")"),"चित्र में दिखाए गए खेल में, सिलंबम का उद्देश्य क्या है?")</f>
        <v>चित्र में दिखाए गए खेल में, सिलंबम का उद्देश्य क्या है?</v>
      </c>
      <c r="J7" s="8" t="str">
        <f>IFERROR(__xludf.DUMMYFUNCTION("GOOGLETRANSLATE(D7, ""en"", ""hi"")"),"A) प्रतिद्वंद्वी को निहत्था करना, B) प्रहार से अंक अर्जित करना, C) छड़ी की गति को नियंत्रित करना, D) संतुलन बनाए रखना")</f>
        <v>A) प्रतिद्वंद्वी को निहत्था करना, B) प्रहार से अंक अर्जित करना, C) छड़ी की गति को नियंत्रित करना, D) संतुलन बनाए रखना</v>
      </c>
      <c r="K7" s="8" t="str">
        <f>IFERROR(__xludf.DUMMYFUNCTION("GOOGLETRANSLATE(E7, ""en"", ""hi"")"),"C) छड़ी की गतिविधियों को नियंत्रित करने के लिए")</f>
        <v>C) छड़ी की गतिविधियों को नियंत्रित करने के लिए</v>
      </c>
    </row>
    <row r="8" ht="22.5" customHeight="1">
      <c r="A8" s="2">
        <v>7.0</v>
      </c>
      <c r="B8" s="3" t="s">
        <v>3816</v>
      </c>
      <c r="C8" s="3" t="s">
        <v>3823</v>
      </c>
      <c r="D8" s="3" t="s">
        <v>3824</v>
      </c>
      <c r="E8" s="3" t="s">
        <v>3825</v>
      </c>
      <c r="G8" s="8" t="str">
        <f>IFERROR(__xludf.DUMMYFUNCTION("GOOGLETRANSLATE(A8, ""en"", ""hi"")"),"7")</f>
        <v>7</v>
      </c>
      <c r="H8" s="8" t="str">
        <f>IFERROR(__xludf.DUMMYFUNCTION("GOOGLETRANSLATE(B8, ""en"", ""hi"")"),"सिलंबम_2")</f>
        <v>सिलंबम_2</v>
      </c>
      <c r="I8" s="8" t="str">
        <f>IFERROR(__xludf.DUMMYFUNCTION("GOOGLETRANSLATE(C8, ""en"", ""hi"")"),"चित्र में दिखाए गए खेल के लिए, सिलंबम अभ्यासकर्ताओं द्वारा पहनी जाने वाली पारंपरिक पोशाक क्या है?")</f>
        <v>चित्र में दिखाए गए खेल के लिए, सिलंबम अभ्यासकर्ताओं द्वारा पहनी जाने वाली पारंपरिक पोशाक क्या है?</v>
      </c>
      <c r="J8" s="8" t="str">
        <f>IFERROR(__xludf.DUMMYFUNCTION("GOOGLETRANSLATE(D8, ""en"", ""hi"")"),"A) धोती, B) ट्रैक पैंट, C) कवच, D) गि")</f>
        <v>A) धोती, B) ट्रैक पैंट, C) कवच, D) गि</v>
      </c>
      <c r="K8" s="8" t="str">
        <f>IFERROR(__xludf.DUMMYFUNCTION("GOOGLETRANSLATE(E8, ""en"", ""hi"")"),"A) धोती")</f>
        <v>A) धोती</v>
      </c>
    </row>
    <row r="9" ht="22.5" customHeight="1">
      <c r="A9" s="2">
        <v>8.0</v>
      </c>
      <c r="B9" s="3" t="s">
        <v>3816</v>
      </c>
      <c r="C9" s="3" t="s">
        <v>3826</v>
      </c>
      <c r="D9" s="3" t="s">
        <v>51</v>
      </c>
      <c r="E9" s="3" t="s">
        <v>1254</v>
      </c>
      <c r="G9" s="8" t="str">
        <f>IFERROR(__xludf.DUMMYFUNCTION("GOOGLETRANSLATE(A9, ""en"", ""hi"")"),"8")</f>
        <v>8</v>
      </c>
      <c r="H9" s="8" t="str">
        <f>IFERROR(__xludf.DUMMYFUNCTION("GOOGLETRANSLATE(B9, ""en"", ""hi"")"),"सिलंबम_2")</f>
        <v>सिलंबम_2</v>
      </c>
      <c r="I9" s="8" t="str">
        <f>IFERROR(__xludf.DUMMYFUNCTION("GOOGLETRANSLATE(C9, ""en"", ""hi"")"),"चित्र में दिखाए गए खेल में, एक मानक सिलंबम मैच में कितने राउंड होते हैं?")</f>
        <v>चित्र में दिखाए गए खेल में, एक मानक सिलंबम मैच में कितने राउंड होते हैं?</v>
      </c>
      <c r="J9" s="8" t="str">
        <f>IFERROR(__xludf.DUMMYFUNCTION("GOOGLETRANSLATE(D9, ""en"", ""hi"")"),"ए) 1, बी) 2, सी) 3, डी) 4")</f>
        <v>ए) 1, बी) 2, सी) 3, डी) 4</v>
      </c>
      <c r="K9" s="8" t="str">
        <f>IFERROR(__xludf.DUMMYFUNCTION("GOOGLETRANSLATE(E9, ""en"", ""hi"")"),"सी) 3")</f>
        <v>सी) 3</v>
      </c>
    </row>
    <row r="10" ht="22.5" customHeight="1">
      <c r="A10" s="2">
        <v>9.0</v>
      </c>
      <c r="B10" s="3" t="s">
        <v>3827</v>
      </c>
      <c r="C10" s="3" t="s">
        <v>3828</v>
      </c>
      <c r="D10" s="3" t="s">
        <v>3829</v>
      </c>
      <c r="E10" s="3" t="s">
        <v>3830</v>
      </c>
      <c r="G10" s="8" t="str">
        <f>IFERROR(__xludf.DUMMYFUNCTION("GOOGLETRANSLATE(A10, ""en"", ""hi"")"),"9")</f>
        <v>9</v>
      </c>
      <c r="H10" s="8" t="str">
        <f>IFERROR(__xludf.DUMMYFUNCTION("GOOGLETRANSLATE(B10, ""en"", ""hi"")"),"सिलंबम_3")</f>
        <v>सिलंबम_3</v>
      </c>
      <c r="I10" s="8" t="str">
        <f>IFERROR(__xludf.DUMMYFUNCTION("GOOGLETRANSLATE(C10, ""en"", ""hi"")"),"चित्र में दिखाए गए खेल के लिए, सिलंबम में निम्नलिखित में से कौन सी मूल तकनीक प्रयुक्त की जाती है?")</f>
        <v>चित्र में दिखाए गए खेल के लिए, सिलंबम में निम्नलिखित में से कौन सी मूल तकनीक प्रयुक्त की जाती है?</v>
      </c>
      <c r="J10" s="8" t="str">
        <f>IFERROR(__xludf.DUMMYFUNCTION("GOOGLETRANSLATE(D10, ""en"", ""hi"")"),"A) भंवर, B) जोर, C) स्पिन, D) प्रहार")</f>
        <v>A) भंवर, B) जोर, C) स्पिन, D) प्रहार</v>
      </c>
      <c r="K10" s="8" t="str">
        <f>IFERROR(__xludf.DUMMYFUNCTION("GOOGLETRANSLATE(E10, ""en"", ""hi"")"),"बी) जोर")</f>
        <v>बी) जोर</v>
      </c>
    </row>
    <row r="11" ht="22.5" customHeight="1">
      <c r="A11" s="2">
        <v>10.0</v>
      </c>
      <c r="B11" s="3" t="s">
        <v>3827</v>
      </c>
      <c r="C11" s="3" t="s">
        <v>3831</v>
      </c>
      <c r="D11" s="3" t="s">
        <v>3832</v>
      </c>
      <c r="E11" s="3" t="s">
        <v>3833</v>
      </c>
      <c r="G11" s="8" t="str">
        <f>IFERROR(__xludf.DUMMYFUNCTION("GOOGLETRANSLATE(A11, ""en"", ""hi"")"),"10")</f>
        <v>10</v>
      </c>
      <c r="H11" s="8" t="str">
        <f>IFERROR(__xludf.DUMMYFUNCTION("GOOGLETRANSLATE(B11, ""en"", ""hi"")"),"सिलंबम_3")</f>
        <v>सिलंबम_3</v>
      </c>
      <c r="I11" s="8" t="str">
        <f>IFERROR(__xludf.DUMMYFUNCTION("GOOGLETRANSLATE(C11, ""en"", ""hi"")"),"चित्र में दिखाए गए खेल में, मैच के दौरान शरीर का कौन सा अंग सबसे अधिक लक्षित होता है?")</f>
        <v>चित्र में दिखाए गए खेल में, मैच के दौरान शरीर का कौन सा अंग सबसे अधिक लक्षित होता है?</v>
      </c>
      <c r="J11" s="8" t="str">
        <f>IFERROR(__xludf.DUMMYFUNCTION("GOOGLETRANSLATE(D11, ""en"", ""hi"")"),"A) सिर, B) पैर, C) भुजाएँ, D) छाती")</f>
        <v>A) सिर, B) पैर, C) भुजाएँ, D) छाती</v>
      </c>
      <c r="K11" s="8" t="str">
        <f>IFERROR(__xludf.DUMMYFUNCTION("GOOGLETRANSLATE(E11, ""en"", ""hi"")"),"बी) पैर")</f>
        <v>बी) पैर</v>
      </c>
    </row>
    <row r="12" ht="22.5" customHeight="1">
      <c r="A12" s="2">
        <v>11.0</v>
      </c>
      <c r="B12" s="3" t="s">
        <v>3827</v>
      </c>
      <c r="C12" s="3" t="s">
        <v>3834</v>
      </c>
      <c r="D12" s="3" t="s">
        <v>3835</v>
      </c>
      <c r="E12" s="3" t="s">
        <v>3836</v>
      </c>
      <c r="G12" s="8" t="str">
        <f>IFERROR(__xludf.DUMMYFUNCTION("GOOGLETRANSLATE(A12, ""en"", ""hi"")"),"11")</f>
        <v>11</v>
      </c>
      <c r="H12" s="8" t="str">
        <f>IFERROR(__xludf.DUMMYFUNCTION("GOOGLETRANSLATE(B12, ""en"", ""hi"")"),"सिलंबम_3")</f>
        <v>सिलंबम_3</v>
      </c>
      <c r="I12" s="8" t="str">
        <f>IFERROR(__xludf.DUMMYFUNCTION("GOOGLETRANSLATE(C12, ""en"", ""hi"")"),"चित्र में दिखाए गए खेल के लिए, किस प्राचीन तमिल ग्रंथ में सिलंबम का उल्लेख है?")</f>
        <v>चित्र में दिखाए गए खेल के लिए, किस प्राचीन तमिल ग्रंथ में सिलंबम का उल्लेख है?</v>
      </c>
      <c r="J12" s="8" t="str">
        <f>IFERROR(__xludf.DUMMYFUNCTION("GOOGLETRANSLATE(D12, ""en"", ""hi"")"),"ए) थिरुक्कुरल, बी) सिलप्पातिकरम, सी) संगम साहित्य, डी) कंबारामयणम")</f>
        <v>ए) थिरुक्कुरल, बी) सिलप्पातिकरम, सी) संगम साहित्य, डी) कंबारामयणम</v>
      </c>
      <c r="K12" s="8" t="str">
        <f>IFERROR(__xludf.DUMMYFUNCTION("GOOGLETRANSLATE(E12, ""en"", ""hi"")"),"बी) सिलप्पाटिकरम")</f>
        <v>बी) सिलप्पाटिकरम</v>
      </c>
    </row>
    <row r="13" ht="22.5" customHeight="1">
      <c r="A13" s="2">
        <v>12.0</v>
      </c>
      <c r="B13" s="3" t="s">
        <v>3827</v>
      </c>
      <c r="C13" s="3" t="s">
        <v>3837</v>
      </c>
      <c r="D13" s="3" t="s">
        <v>3838</v>
      </c>
      <c r="E13" s="3" t="s">
        <v>3839</v>
      </c>
      <c r="G13" s="8" t="str">
        <f>IFERROR(__xludf.DUMMYFUNCTION("GOOGLETRANSLATE(A13, ""en"", ""hi"")"),"12")</f>
        <v>12</v>
      </c>
      <c r="H13" s="8" t="str">
        <f>IFERROR(__xludf.DUMMYFUNCTION("GOOGLETRANSLATE(B13, ""en"", ""hi"")"),"सिलंबम_3")</f>
        <v>सिलंबम_3</v>
      </c>
      <c r="I13" s="8" t="str">
        <f>IFERROR(__xludf.DUMMYFUNCTION("GOOGLETRANSLATE(C13, ""en"", ""hi"")"),"चित्र में दिखाए गए खेल में, आम तौर पर मैच कैसे जीता जाता है?")</f>
        <v>चित्र में दिखाए गए खेल में, आम तौर पर मैच कैसे जीता जाता है?</v>
      </c>
      <c r="J13" s="8" t="str">
        <f>IFERROR(__xludf.DUMMYFUNCTION("GOOGLETRANSLATE(D13, ""en"", ""hi"")"),"A) नॉकआउट द्वारा, B) अंकों द्वारा, C) समर्पण द्वारा, D) निरस्त्रीकरण द्वारा")</f>
        <v>A) नॉकआउट द्वारा, B) अंकों द्वारा, C) समर्पण द्वारा, D) निरस्त्रीकरण द्वारा</v>
      </c>
      <c r="K13" s="8" t="str">
        <f>IFERROR(__xludf.DUMMYFUNCTION("GOOGLETRANSLATE(E13, ""en"", ""hi"")"),"बी) अंकों के आधार पर")</f>
        <v>बी) अंकों के आधार पर</v>
      </c>
    </row>
    <row r="14" ht="22.5" customHeight="1">
      <c r="A14" s="2">
        <v>13.0</v>
      </c>
      <c r="B14" s="3" t="s">
        <v>3840</v>
      </c>
      <c r="C14" s="3" t="s">
        <v>3841</v>
      </c>
      <c r="D14" s="3" t="s">
        <v>3842</v>
      </c>
      <c r="E14" s="3" t="s">
        <v>1873</v>
      </c>
      <c r="G14" s="8" t="str">
        <f>IFERROR(__xludf.DUMMYFUNCTION("GOOGLETRANSLATE(A14, ""en"", ""hi"")"),"13")</f>
        <v>13</v>
      </c>
      <c r="H14" s="8" t="str">
        <f>IFERROR(__xludf.DUMMYFUNCTION("GOOGLETRANSLATE(B14, ""en"", ""hi"")"),"सिलंबम_4")</f>
        <v>सिलंबम_4</v>
      </c>
      <c r="I14" s="8" t="str">
        <f>IFERROR(__xludf.DUMMYFUNCTION("GOOGLETRANSLATE(C14, ""en"", ""hi"")"),"चित्र में दिखाए गए खेल के लिए, सिलंबम प्रशिक्षण का प्राथमिक उद्देश्य क्या है?")</f>
        <v>चित्र में दिखाए गए खेल के लिए, सिलंबम प्रशिक्षण का प्राथमिक उद्देश्य क्या है?</v>
      </c>
      <c r="J14" s="8" t="str">
        <f>IFERROR(__xludf.DUMMYFUNCTION("GOOGLETRANSLATE(D14, ""en"", ""hi"")"),"A) आत्मरक्षा, B) शारीरिक फिटनेस, C) परंपरा, D) उपरोक्त सभी")</f>
        <v>A) आत्मरक्षा, B) शारीरिक फिटनेस, C) परंपरा, D) उपरोक्त सभी</v>
      </c>
      <c r="K14" s="8" t="str">
        <f>IFERROR(__xludf.DUMMYFUNCTION("GOOGLETRANSLATE(E14, ""en"", ""hi"")"),"D। उपरोक्त सभी")</f>
        <v>D। उपरोक्त सभी</v>
      </c>
    </row>
    <row r="15" ht="22.5" customHeight="1">
      <c r="A15" s="2">
        <v>14.0</v>
      </c>
      <c r="B15" s="3" t="s">
        <v>3840</v>
      </c>
      <c r="C15" s="3" t="s">
        <v>3843</v>
      </c>
      <c r="D15" s="3" t="s">
        <v>3844</v>
      </c>
      <c r="E15" s="3" t="s">
        <v>3845</v>
      </c>
      <c r="G15" s="8" t="str">
        <f>IFERROR(__xludf.DUMMYFUNCTION("GOOGLETRANSLATE(A15, ""en"", ""hi"")"),"14")</f>
        <v>14</v>
      </c>
      <c r="H15" s="8" t="str">
        <f>IFERROR(__xludf.DUMMYFUNCTION("GOOGLETRANSLATE(B15, ""en"", ""hi"")"),"सिलंबम_4")</f>
        <v>सिलंबम_4</v>
      </c>
      <c r="I15" s="8" t="str">
        <f>IFERROR(__xludf.DUMMYFUNCTION("GOOGLETRANSLATE(C15, ""en"", ""hi"")"),"चित्र में दिखाए गए खेल में, सिलंबम स्टिक को पकड़ने के लिए आमतौर पर किस पकड़ का उपयोग किया जाता है?")</f>
        <v>चित्र में दिखाए गए खेल में, सिलंबम स्टिक को पकड़ने के लिए आमतौर पर किस पकड़ का उपयोग किया जाता है?</v>
      </c>
      <c r="J15" s="8" t="str">
        <f>IFERROR(__xludf.DUMMYFUNCTION("GOOGLETRANSLATE(D15, ""en"", ""hi"")"),"A) ओवरहैंड ग्रिप, B) अंडरहैंड ग्रिप, C) दो-हाथों वाली ग्रिप, D) क्रॉस-ग्रिप")</f>
        <v>A) ओवरहैंड ग्रिप, B) अंडरहैंड ग्रिप, C) दो-हाथों वाली ग्रिप, D) क्रॉस-ग्रिप</v>
      </c>
      <c r="K15" s="8" t="str">
        <f>IFERROR(__xludf.DUMMYFUNCTION("GOOGLETRANSLATE(E15, ""en"", ""hi"")"),"ए) ओवरहैंड ग्रिप")</f>
        <v>ए) ओवरहैंड ग्रिप</v>
      </c>
    </row>
    <row r="16" ht="22.5" customHeight="1">
      <c r="A16" s="2">
        <v>15.0</v>
      </c>
      <c r="B16" s="3" t="s">
        <v>3840</v>
      </c>
      <c r="C16" s="3" t="s">
        <v>3846</v>
      </c>
      <c r="D16" s="3" t="s">
        <v>3847</v>
      </c>
      <c r="E16" s="3" t="s">
        <v>1688</v>
      </c>
      <c r="G16" s="8" t="str">
        <f>IFERROR(__xludf.DUMMYFUNCTION("GOOGLETRANSLATE(A16, ""en"", ""hi"")"),"15")</f>
        <v>15</v>
      </c>
      <c r="H16" s="8" t="str">
        <f>IFERROR(__xludf.DUMMYFUNCTION("GOOGLETRANSLATE(B16, ""en"", ""hi"")"),"सिलंबम_4")</f>
        <v>सिलंबम_4</v>
      </c>
      <c r="I16" s="8" t="str">
        <f>IFERROR(__xludf.DUMMYFUNCTION("GOOGLETRANSLATE(C16, ""en"", ""hi"")"),"चित्र में दिखाए गए खेल के लिए, निम्नलिखित में से कौन सा सिलंबम अभ्यास का प्रमुख तत्व है?")</f>
        <v>चित्र में दिखाए गए खेल के लिए, निम्नलिखित में से कौन सा सिलंबम अभ्यास का प्रमुख तत्व है?</v>
      </c>
      <c r="J16" s="8" t="str">
        <f>IFERROR(__xludf.DUMMYFUNCTION("GOOGLETRANSLATE(D16, ""en"", ""hi"")"),"A) लचीलापन, B) सहनशक्ति, C) गति, D) समन्वय")</f>
        <v>A) लचीलापन, B) सहनशक्ति, C) गति, D) समन्वय</v>
      </c>
      <c r="K16" s="8" t="str">
        <f>IFERROR(__xludf.DUMMYFUNCTION("GOOGLETRANSLATE(E16, ""en"", ""hi"")"),"डी) समन्वय")</f>
        <v>डी) समन्वय</v>
      </c>
    </row>
    <row r="17" ht="22.5" customHeight="1">
      <c r="A17" s="2">
        <v>16.0</v>
      </c>
      <c r="B17" s="3" t="s">
        <v>3840</v>
      </c>
      <c r="C17" s="3" t="s">
        <v>3848</v>
      </c>
      <c r="D17" s="3" t="s">
        <v>3849</v>
      </c>
      <c r="E17" s="3" t="s">
        <v>3850</v>
      </c>
      <c r="G17" s="8" t="str">
        <f>IFERROR(__xludf.DUMMYFUNCTION("GOOGLETRANSLATE(A17, ""en"", ""hi"")"),"16")</f>
        <v>16</v>
      </c>
      <c r="H17" s="8" t="str">
        <f>IFERROR(__xludf.DUMMYFUNCTION("GOOGLETRANSLATE(B17, ""en"", ""hi"")"),"सिलंबम_4")</f>
        <v>सिलंबम_4</v>
      </c>
      <c r="I17" s="8" t="str">
        <f>IFERROR(__xludf.DUMMYFUNCTION("GOOGLETRANSLATE(C17, ""en"", ""hi"")"),"चित्र में दिखाए गए खेल में, एक मानक सिलंबम मैच कितने समय तक चलता है?")</f>
        <v>चित्र में दिखाए गए खेल में, एक मानक सिलंबम मैच कितने समय तक चलता है?</v>
      </c>
      <c r="J17" s="8" t="str">
        <f>IFERROR(__xludf.DUMMYFUNCTION("GOOGLETRANSLATE(D17, ""en"", ""hi"")"),"A) 5 मिनट, B) 10 मिनट, C) 15 मिनट, D) 20 मिनट")</f>
        <v>A) 5 मिनट, B) 10 मिनट, C) 15 मिनट, D) 20 मिनट</v>
      </c>
      <c r="K17" s="8" t="str">
        <f>IFERROR(__xludf.DUMMYFUNCTION("GOOGLETRANSLATE(E17, ""en"", ""hi"")"),"सी) 15 मिनट")</f>
        <v>सी) 15 मिनट</v>
      </c>
    </row>
    <row r="18" ht="22.5" customHeight="1">
      <c r="A18" s="2">
        <v>17.0</v>
      </c>
      <c r="B18" s="3" t="s">
        <v>3851</v>
      </c>
      <c r="C18" s="3" t="s">
        <v>3852</v>
      </c>
      <c r="D18" s="3" t="s">
        <v>3853</v>
      </c>
      <c r="E18" s="3" t="s">
        <v>3854</v>
      </c>
      <c r="G18" s="8" t="str">
        <f>IFERROR(__xludf.DUMMYFUNCTION("GOOGLETRANSLATE(A18, ""en"", ""hi"")"),"17")</f>
        <v>17</v>
      </c>
      <c r="H18" s="8" t="str">
        <f>IFERROR(__xludf.DUMMYFUNCTION("GOOGLETRANSLATE(B18, ""en"", ""hi"")"),"सिलंबम_5")</f>
        <v>सिलंबम_5</v>
      </c>
      <c r="I18" s="8" t="str">
        <f>IFERROR(__xludf.DUMMYFUNCTION("GOOGLETRANSLATE(C18, ""en"", ""hi"")"),"चित्र में दिखाए गए खेल के लिए, मैच के दौरान विरोधियों के बीच कितनी दूरी रखी जाती है?")</f>
        <v>चित्र में दिखाए गए खेल के लिए, मैच के दौरान विरोधियों के बीच कितनी दूरी रखी जाती है?</v>
      </c>
      <c r="J18" s="8" t="str">
        <f>IFERROR(__xludf.DUMMYFUNCTION("GOOGLETRANSLATE(D18, ""en"", ""hi"")"),"A) 3 फीट, B) 5 फीट, C) 7 फीट, D) 10 फीट")</f>
        <v>A) 3 फीट, B) 5 फीट, C) 7 फीट, D) 10 फीट</v>
      </c>
      <c r="K18" s="8" t="str">
        <f>IFERROR(__xludf.DUMMYFUNCTION("GOOGLETRANSLATE(E18, ""en"", ""hi"")"),"बी) 5 फीट")</f>
        <v>बी) 5 फीट</v>
      </c>
    </row>
    <row r="19" ht="22.5" customHeight="1">
      <c r="A19" s="2">
        <v>18.0</v>
      </c>
      <c r="B19" s="3" t="s">
        <v>3851</v>
      </c>
      <c r="C19" s="3" t="s">
        <v>3855</v>
      </c>
      <c r="D19" s="3" t="s">
        <v>3856</v>
      </c>
      <c r="E19" s="3" t="s">
        <v>3140</v>
      </c>
      <c r="G19" s="8" t="str">
        <f>IFERROR(__xludf.DUMMYFUNCTION("GOOGLETRANSLATE(A19, ""en"", ""hi"")"),"18")</f>
        <v>18</v>
      </c>
      <c r="H19" s="8" t="str">
        <f>IFERROR(__xludf.DUMMYFUNCTION("GOOGLETRANSLATE(B19, ""en"", ""hi"")"),"सिलंबम_5")</f>
        <v>सिलंबम_5</v>
      </c>
      <c r="I19" s="8" t="str">
        <f>IFERROR(__xludf.DUMMYFUNCTION("GOOGLETRANSLATE(C19, ""en"", ""hi"")"),"चित्र में दिखाए गए खेल में किस प्रकार के फुटवर्क पर जोर दिया जाता है?")</f>
        <v>चित्र में दिखाए गए खेल में किस प्रकार के फुटवर्क पर जोर दिया जाता है?</v>
      </c>
      <c r="J19" s="8" t="str">
        <f>IFERROR(__xludf.DUMMYFUNCTION("GOOGLETRANSLATE(D19, ""en"", ""hi"")"),"A) वृत्ताकार, B) रैखिक, C) विकर्ण, D) ज़िगज़ैग")</f>
        <v>A) वृत्ताकार, B) रैखिक, C) विकर्ण, D) ज़िगज़ैग</v>
      </c>
      <c r="K19" s="8" t="str">
        <f>IFERROR(__xludf.DUMMYFUNCTION("GOOGLETRANSLATE(E19, ""en"", ""hi"")"),"ए) वृत्ताकार")</f>
        <v>ए) वृत्ताकार</v>
      </c>
    </row>
    <row r="20" ht="22.5" customHeight="1">
      <c r="A20" s="2">
        <v>19.0</v>
      </c>
      <c r="B20" s="3" t="s">
        <v>3851</v>
      </c>
      <c r="C20" s="3" t="s">
        <v>3857</v>
      </c>
      <c r="D20" s="3" t="s">
        <v>3858</v>
      </c>
      <c r="E20" s="3" t="s">
        <v>1873</v>
      </c>
      <c r="G20" s="8" t="str">
        <f>IFERROR(__xludf.DUMMYFUNCTION("GOOGLETRANSLATE(A20, ""en"", ""hi"")"),"19")</f>
        <v>19</v>
      </c>
      <c r="H20" s="8" t="str">
        <f>IFERROR(__xludf.DUMMYFUNCTION("GOOGLETRANSLATE(B20, ""en"", ""hi"")"),"सिलंबम_5")</f>
        <v>सिलंबम_5</v>
      </c>
      <c r="I20" s="8" t="str">
        <f>IFERROR(__xludf.DUMMYFUNCTION("GOOGLETRANSLATE(C20, ""en"", ""hi"")"),"चित्र में दिखाए गए खेल के लिए छड़ी को घुमाने का उद्देश्य क्या है?")</f>
        <v>चित्र में दिखाए गए खेल के लिए छड़ी को घुमाने का उद्देश्य क्या है?</v>
      </c>
      <c r="J20" s="8" t="str">
        <f>IFERROR(__xludf.DUMMYFUNCTION("GOOGLETRANSLATE(D20, ""en"", ""hi"")"),"A) बचाव के लिए, B) प्रतिद्वंद्वी को भ्रमित करने के लिए, C) गति बनाने के लिए, D) उपरोक्त सभी")</f>
        <v>A) बचाव के लिए, B) प्रतिद्वंद्वी को भ्रमित करने के लिए, C) गति बनाने के लिए, D) उपरोक्त सभी</v>
      </c>
      <c r="K20" s="8" t="str">
        <f>IFERROR(__xludf.DUMMYFUNCTION("GOOGLETRANSLATE(E20, ""en"", ""hi"")"),"D। उपरोक्त सभी")</f>
        <v>D। उपरोक्त सभी</v>
      </c>
    </row>
    <row r="21" ht="22.5" customHeight="1">
      <c r="A21" s="2">
        <v>20.0</v>
      </c>
      <c r="B21" s="3" t="s">
        <v>3851</v>
      </c>
      <c r="C21" s="3" t="s">
        <v>3859</v>
      </c>
      <c r="D21" s="3" t="s">
        <v>3860</v>
      </c>
      <c r="E21" s="3" t="s">
        <v>3861</v>
      </c>
      <c r="G21" s="8" t="str">
        <f>IFERROR(__xludf.DUMMYFUNCTION("GOOGLETRANSLATE(A21, ""en"", ""hi"")"),"20")</f>
        <v>20</v>
      </c>
      <c r="H21" s="8" t="str">
        <f>IFERROR(__xludf.DUMMYFUNCTION("GOOGLETRANSLATE(B21, ""en"", ""hi"")"),"सिलंबम_5")</f>
        <v>सिलंबम_5</v>
      </c>
      <c r="I21" s="8" t="str">
        <f>IFERROR(__xludf.DUMMYFUNCTION("GOOGLETRANSLATE(C21, ""en"", ""hi"")"),"चित्र में दिखाए गए खेल में, सिलंबम का कौन सा रूप कई विरोधियों के साथ लड़ाई पर केंद्रित है?")</f>
        <v>चित्र में दिखाए गए खेल में, सिलंबम का कौन सा रूप कई विरोधियों के साथ लड़ाई पर केंद्रित है?</v>
      </c>
      <c r="J21" s="8" t="str">
        <f>IFERROR(__xludf.DUMMYFUNCTION("GOOGLETRANSLATE(D21, ""en"", ""hi"")"),"ए) कुथु वरिसाई, बी) वीरा सिलंबम, सी) थांग ता, डी) वर्मा कलाई")</f>
        <v>ए) कुथु वरिसाई, बी) वीरा सिलंबम, सी) थांग ता, डी) वर्मा कलाई</v>
      </c>
      <c r="K21" s="8" t="str">
        <f>IFERROR(__xludf.DUMMYFUNCTION("GOOGLETRANSLATE(E21, ""en"", ""hi"")"),"बी) वीरा सिलंबम")</f>
        <v>बी) वीरा सिलंबम</v>
      </c>
    </row>
    <row r="22" ht="22.5" customHeight="1">
      <c r="A22" s="2">
        <v>21.0</v>
      </c>
      <c r="B22" s="3" t="s">
        <v>3862</v>
      </c>
      <c r="C22" s="3" t="s">
        <v>3863</v>
      </c>
      <c r="D22" s="3" t="s">
        <v>3864</v>
      </c>
      <c r="E22" s="3" t="s">
        <v>1873</v>
      </c>
      <c r="G22" s="8" t="str">
        <f>IFERROR(__xludf.DUMMYFUNCTION("GOOGLETRANSLATE(A22, ""en"", ""hi"")"),"21")</f>
        <v>21</v>
      </c>
      <c r="H22" s="8" t="str">
        <f>IFERROR(__xludf.DUMMYFUNCTION("GOOGLETRANSLATE(B22, ""en"", ""hi"")"),"सिलंबम_6")</f>
        <v>सिलंबम_6</v>
      </c>
      <c r="I22" s="8" t="str">
        <f>IFERROR(__xludf.DUMMYFUNCTION("GOOGLETRANSLATE(C22, ""en"", ""hi"")"),"चित्र में दिखाए गए खेल के लिए, आधुनिक सिलंबम प्रतियोगिताओं में किस प्रकार के सुरक्षात्मक गियर का उपयोग किया जाता है?")</f>
        <v>चित्र में दिखाए गए खेल के लिए, आधुनिक सिलंबम प्रतियोगिताओं में किस प्रकार के सुरक्षात्मक गियर का उपयोग किया जाता है?</v>
      </c>
      <c r="J22" s="8" t="str">
        <f>IFERROR(__xludf.DUMMYFUNCTION("GOOGLETRANSLATE(D22, ""en"", ""hi"")"),"A) हेलमेट, B) दस्ताने, C) घुटने के पैड, D) उपरोक्त सभी")</f>
        <v>A) हेलमेट, B) दस्ताने, C) घुटने के पैड, D) उपरोक्त सभी</v>
      </c>
      <c r="K22" s="8" t="str">
        <f>IFERROR(__xludf.DUMMYFUNCTION("GOOGLETRANSLATE(E22, ""en"", ""hi"")"),"D। उपरोक्त सभी")</f>
        <v>D। उपरोक्त सभी</v>
      </c>
    </row>
    <row r="23" ht="22.5" customHeight="1">
      <c r="A23" s="2">
        <v>22.0</v>
      </c>
      <c r="B23" s="3" t="s">
        <v>3862</v>
      </c>
      <c r="C23" s="3" t="s">
        <v>3865</v>
      </c>
      <c r="D23" s="3" t="s">
        <v>3866</v>
      </c>
      <c r="E23" s="3" t="s">
        <v>1128</v>
      </c>
      <c r="G23" s="8" t="str">
        <f>IFERROR(__xludf.DUMMYFUNCTION("GOOGLETRANSLATE(A23, ""en"", ""hi"")"),"22")</f>
        <v>22</v>
      </c>
      <c r="H23" s="8" t="str">
        <f>IFERROR(__xludf.DUMMYFUNCTION("GOOGLETRANSLATE(B23, ""en"", ""hi"")"),"सिलंबम_6")</f>
        <v>सिलंबम_6</v>
      </c>
      <c r="I23" s="8" t="str">
        <f>IFERROR(__xludf.DUMMYFUNCTION("GOOGLETRANSLATE(C23, ""en"", ""hi"")"),"चित्र में दिखाए गए खेल में 'गुरुक्कल' की क्या भूमिका है?")</f>
        <v>चित्र में दिखाए गए खेल में 'गुरुक्कल' की क्या भूमिका है?</v>
      </c>
      <c r="J23" s="8" t="str">
        <f>IFERROR(__xludf.DUMMYFUNCTION("GOOGLETRANSLATE(D23, ""en"", ""hi"")"),"A) प्रतिद्वंद्वी, B) कोच, C) रेफरी, D) टाइमकीपर")</f>
        <v>A) प्रतिद्वंद्वी, B) कोच, C) रेफरी, D) टाइमकीपर</v>
      </c>
      <c r="K23" s="8" t="str">
        <f>IFERROR(__xludf.DUMMYFUNCTION("GOOGLETRANSLATE(E23, ""en"", ""hi"")"),"बी) कोच")</f>
        <v>बी) कोच</v>
      </c>
    </row>
    <row r="24" ht="22.5" customHeight="1">
      <c r="A24" s="2">
        <v>23.0</v>
      </c>
      <c r="B24" s="3" t="s">
        <v>3862</v>
      </c>
      <c r="C24" s="3" t="s">
        <v>3867</v>
      </c>
      <c r="D24" s="3" t="s">
        <v>3868</v>
      </c>
      <c r="E24" s="3" t="s">
        <v>3679</v>
      </c>
      <c r="G24" s="8" t="str">
        <f>IFERROR(__xludf.DUMMYFUNCTION("GOOGLETRANSLATE(A24, ""en"", ""hi"")"),"23")</f>
        <v>23</v>
      </c>
      <c r="H24" s="8" t="str">
        <f>IFERROR(__xludf.DUMMYFUNCTION("GOOGLETRANSLATE(B24, ""en"", ""hi"")"),"सिलंबम_6")</f>
        <v>सिलंबम_6</v>
      </c>
      <c r="I24" s="8" t="str">
        <f>IFERROR(__xludf.DUMMYFUNCTION("GOOGLETRANSLATE(C24, ""en"", ""hi"")"),"चित्र में दिखाए गए खेल के लिए पैरों की गतिविधियों का क्या महत्व है?")</f>
        <v>चित्र में दिखाए गए खेल के लिए पैरों की गतिविधियों का क्या महत्व है?</v>
      </c>
      <c r="J24" s="8" t="str">
        <f>IFERROR(__xludf.DUMMYFUNCTION("GOOGLETRANSLATE(D24, ""en"", ""hi"")"),"A) गति, B) परिशुद्धता, C) लचीलापन, D) संतुलन")</f>
        <v>A) गति, B) परिशुद्धता, C) लचीलापन, D) संतुलन</v>
      </c>
      <c r="K24" s="8" t="str">
        <f>IFERROR(__xludf.DUMMYFUNCTION("GOOGLETRANSLATE(E24, ""en"", ""hi"")"),"डी) संतुलन")</f>
        <v>डी) संतुलन</v>
      </c>
    </row>
    <row r="25" ht="22.5" customHeight="1">
      <c r="A25" s="2">
        <v>24.0</v>
      </c>
      <c r="B25" s="3" t="s">
        <v>3862</v>
      </c>
      <c r="C25" s="3" t="s">
        <v>3869</v>
      </c>
      <c r="D25" s="3" t="s">
        <v>3870</v>
      </c>
      <c r="E25" s="3" t="s">
        <v>3871</v>
      </c>
      <c r="G25" s="8" t="str">
        <f>IFERROR(__xludf.DUMMYFUNCTION("GOOGLETRANSLATE(A25, ""en"", ""hi"")"),"24")</f>
        <v>24</v>
      </c>
      <c r="H25" s="8" t="str">
        <f>IFERROR(__xludf.DUMMYFUNCTION("GOOGLETRANSLATE(B25, ""en"", ""hi"")"),"सिलंबम_6")</f>
        <v>सिलंबम_6</v>
      </c>
      <c r="I25" s="8" t="str">
        <f>IFERROR(__xludf.DUMMYFUNCTION("GOOGLETRANSLATE(C25, ""en"", ""hi"")"),"चित्र में दिखाए गए खेल में, सिलंबम अक्सर किस संगीत वाद्ययंत्र की लय पर किया जाता है?")</f>
        <v>चित्र में दिखाए गए खेल में, सिलंबम अक्सर किस संगीत वाद्ययंत्र की लय पर किया जाता है?</v>
      </c>
      <c r="J25" s="8" t="str">
        <f>IFERROR(__xludf.DUMMYFUNCTION("GOOGLETRANSLATE(D25, ""en"", ""hi"")"),"ए) मृदंगम, बी) उरुमी, सी) नादस्वरम, डी) ढोल")</f>
        <v>ए) मृदंगम, बी) उरुमी, सी) नादस्वरम, डी) ढोल</v>
      </c>
      <c r="K25" s="8" t="str">
        <f>IFERROR(__xludf.DUMMYFUNCTION("GOOGLETRANSLATE(E25, ""en"", ""hi"")"),"बी) उरुमी")</f>
        <v>बी) उरुमी</v>
      </c>
    </row>
    <row r="26" ht="22.5" customHeight="1">
      <c r="A26" s="2">
        <v>25.0</v>
      </c>
      <c r="B26" s="3" t="s">
        <v>3872</v>
      </c>
      <c r="C26" s="3" t="s">
        <v>3873</v>
      </c>
      <c r="D26" s="3" t="s">
        <v>3874</v>
      </c>
      <c r="E26" s="3" t="s">
        <v>3875</v>
      </c>
      <c r="G26" s="8" t="str">
        <f>IFERROR(__xludf.DUMMYFUNCTION("GOOGLETRANSLATE(A26, ""en"", ""hi"")"),"25")</f>
        <v>25</v>
      </c>
      <c r="H26" s="8" t="str">
        <f>IFERROR(__xludf.DUMMYFUNCTION("GOOGLETRANSLATE(B26, ""en"", ""hi"")"),"सिलंबम_7")</f>
        <v>सिलंबम_7</v>
      </c>
      <c r="I26" s="8" t="str">
        <f>IFERROR(__xludf.DUMMYFUNCTION("GOOGLETRANSLATE(C26, ""en"", ""hi"")"),"चित्र में दिखाए गए खेल के लिए, कौन सी मार्शल आर्ट सिलंबम के साथ समानताएं साझा करती है?")</f>
        <v>चित्र में दिखाए गए खेल के लिए, कौन सी मार्शल आर्ट सिलंबम के साथ समानताएं साझा करती है?</v>
      </c>
      <c r="J26" s="8" t="str">
        <f>IFERROR(__xludf.DUMMYFUNCTION("GOOGLETRANSLATE(D26, ""en"", ""hi"")"),"ए) कलारी, बी) कराटे, सी) ताइक्वांडो, डी) बॉक्सिंग")</f>
        <v>ए) कलारी, बी) कराटे, सी) ताइक्वांडो, डी) बॉक्सिंग</v>
      </c>
      <c r="K26" s="8" t="str">
        <f>IFERROR(__xludf.DUMMYFUNCTION("GOOGLETRANSLATE(E26, ""en"", ""hi"")"),"A) कलारी")</f>
        <v>A) कलारी</v>
      </c>
    </row>
    <row r="27" ht="22.5" customHeight="1">
      <c r="A27" s="2">
        <v>26.0</v>
      </c>
      <c r="B27" s="3" t="s">
        <v>3872</v>
      </c>
      <c r="C27" s="3" t="s">
        <v>3876</v>
      </c>
      <c r="D27" s="3" t="s">
        <v>3877</v>
      </c>
      <c r="E27" s="3" t="s">
        <v>3878</v>
      </c>
      <c r="G27" s="8" t="str">
        <f>IFERROR(__xludf.DUMMYFUNCTION("GOOGLETRANSLATE(A27, ""en"", ""hi"")"),"26")</f>
        <v>26</v>
      </c>
      <c r="H27" s="8" t="str">
        <f>IFERROR(__xludf.DUMMYFUNCTION("GOOGLETRANSLATE(B27, ""en"", ""hi"")"),"सिलंबम_7")</f>
        <v>सिलंबम_7</v>
      </c>
      <c r="I27" s="8" t="str">
        <f>IFERROR(__xludf.DUMMYFUNCTION("GOOGLETRANSLATE(C27, ""en"", ""hi"")"),"चित्र में दिखाए गए खेल में, आमतौर पर छड़ी के किस भाग का उपयोग प्रहार करने के लिए किया जाता है?")</f>
        <v>चित्र में दिखाए गए खेल में, आमतौर पर छड़ी के किस भाग का उपयोग प्रहार करने के लिए किया जाता है?</v>
      </c>
      <c r="J27" s="8" t="str">
        <f>IFERROR(__xludf.DUMMYFUNCTION("GOOGLETRANSLATE(D27, ""en"", ""hi"")"),"A) मध्य, B) अंत, C) हैंडल, D) पूरी छड़ी")</f>
        <v>A) मध्य, B) अंत, C) हैंडल, D) पूरी छड़ी</v>
      </c>
      <c r="K27" s="8" t="str">
        <f>IFERROR(__xludf.DUMMYFUNCTION("GOOGLETRANSLATE(E27, ""en"", ""hi"")"),"झुकना")</f>
        <v>झुकना</v>
      </c>
    </row>
    <row r="28" ht="22.5" customHeight="1">
      <c r="A28" s="2">
        <v>27.0</v>
      </c>
      <c r="B28" s="3" t="s">
        <v>3872</v>
      </c>
      <c r="C28" s="3" t="s">
        <v>3879</v>
      </c>
      <c r="D28" s="3" t="s">
        <v>3880</v>
      </c>
      <c r="E28" s="3" t="s">
        <v>3881</v>
      </c>
      <c r="G28" s="8" t="str">
        <f>IFERROR(__xludf.DUMMYFUNCTION("GOOGLETRANSLATE(A28, ""en"", ""hi"")"),"27")</f>
        <v>27</v>
      </c>
      <c r="H28" s="8" t="str">
        <f>IFERROR(__xludf.DUMMYFUNCTION("GOOGLETRANSLATE(B28, ""en"", ""hi"")"),"सिलंबम_7")</f>
        <v>सिलंबम_7</v>
      </c>
      <c r="I28" s="8" t="str">
        <f>IFERROR(__xludf.DUMMYFUNCTION("GOOGLETRANSLATE(C28, ""en"", ""hi"")"),"चित्र में दिखाए गए खेल के लिए, सिलंबम प्रशिक्षण का प्राथमिक फोकस क्या है?")</f>
        <v>चित्र में दिखाए गए खेल के लिए, सिलंबम प्रशिक्षण का प्राथमिक फोकस क्या है?</v>
      </c>
      <c r="J28" s="8" t="str">
        <f>IFERROR(__xludf.DUMMYFUNCTION("GOOGLETRANSLATE(D28, ""en"", ""hi"")"),"A) मानसिक एकाग्रता, B) गति, C) शक्ति, D) सटीकता")</f>
        <v>A) मानसिक एकाग्रता, B) गति, C) शक्ति, D) सटीकता</v>
      </c>
      <c r="K28" s="8" t="str">
        <f>IFERROR(__xludf.DUMMYFUNCTION("GOOGLETRANSLATE(E28, ""en"", ""hi"")"),"डी) सटीकता")</f>
        <v>डी) सटीकता</v>
      </c>
    </row>
    <row r="29" ht="22.5" customHeight="1">
      <c r="A29" s="2">
        <v>28.0</v>
      </c>
      <c r="B29" s="3" t="s">
        <v>3872</v>
      </c>
      <c r="C29" s="3" t="s">
        <v>3882</v>
      </c>
      <c r="D29" s="3" t="s">
        <v>3883</v>
      </c>
      <c r="E29" s="3" t="s">
        <v>3884</v>
      </c>
      <c r="G29" s="8" t="str">
        <f>IFERROR(__xludf.DUMMYFUNCTION("GOOGLETRANSLATE(A29, ""en"", ""hi"")"),"28")</f>
        <v>28</v>
      </c>
      <c r="H29" s="8" t="str">
        <f>IFERROR(__xludf.DUMMYFUNCTION("GOOGLETRANSLATE(B29, ""en"", ""hi"")"),"सिलंबम_7")</f>
        <v>सिलंबम_7</v>
      </c>
      <c r="I29" s="8" t="str">
        <f>IFERROR(__xludf.DUMMYFUNCTION("GOOGLETRANSLATE(C29, ""en"", ""hi"")"),"चित्र में दिखाए गए खेल में, सिलंबम में ड्रॉ का निर्धारण कैसे किया जाता है?")</f>
        <v>चित्र में दिखाए गए खेल में, सिलंबम में ड्रॉ का निर्धारण कैसे किया जाता है?</v>
      </c>
      <c r="J29" s="8" t="str">
        <f>IFERROR(__xludf.DUMMYFUNCTION("GOOGLETRANSLATE(D29, ""en"", ""hi"")"),"A) बराबर अंक, B) कोई स्ट्राइक नहीं, C) दोनों खिलाड़ी नॉकआउट, D) रेफरी का निर्णय")</f>
        <v>A) बराबर अंक, B) कोई स्ट्राइक नहीं, C) दोनों खिलाड़ी नॉकआउट, D) रेफरी का निर्णय</v>
      </c>
      <c r="K29" s="8" t="str">
        <f>IFERROR(__xludf.DUMMYFUNCTION("GOOGLETRANSLATE(E29, ""en"", ""hi"")"),"A) समान अंक")</f>
        <v>A) समान अंक</v>
      </c>
    </row>
    <row r="30" ht="22.5" customHeight="1">
      <c r="A30" s="2">
        <v>29.0</v>
      </c>
      <c r="B30" s="3" t="s">
        <v>3885</v>
      </c>
      <c r="C30" s="3" t="s">
        <v>3886</v>
      </c>
      <c r="D30" s="3" t="s">
        <v>3887</v>
      </c>
      <c r="E30" s="3" t="s">
        <v>3888</v>
      </c>
      <c r="G30" s="8" t="str">
        <f>IFERROR(__xludf.DUMMYFUNCTION("GOOGLETRANSLATE(A30, ""en"", ""hi"")"),"29")</f>
        <v>29</v>
      </c>
      <c r="H30" s="8" t="str">
        <f>IFERROR(__xludf.DUMMYFUNCTION("GOOGLETRANSLATE(B30, ""en"", ""hi"")"),"सिलंबम_8")</f>
        <v>सिलंबम_8</v>
      </c>
      <c r="I30" s="8" t="str">
        <f>IFERROR(__xludf.DUMMYFUNCTION("GOOGLETRANSLATE(C30, ""en"", ""hi"")"),"चित्र में दिखाए गए खेल के लिए, सिलंबम पारंपरिक रूप से किस समूह द्वारा प्रचलित था?")</f>
        <v>चित्र में दिखाए गए खेल के लिए, सिलंबम पारंपरिक रूप से किस समूह द्वारा प्रचलित था?</v>
      </c>
      <c r="J30" s="8" t="str">
        <f>IFERROR(__xludf.DUMMYFUNCTION("GOOGLETRANSLATE(D30, ""en"", ""hi"")"),"A) सैनिक, B) भिक्षु, C) किसान, D) राजपरिवार")</f>
        <v>A) सैनिक, B) भिक्षु, C) किसान, D) राजपरिवार</v>
      </c>
      <c r="K30" s="8" t="str">
        <f>IFERROR(__xludf.DUMMYFUNCTION("GOOGLETRANSLATE(E30, ""en"", ""hi"")"),"ए) सैनिक")</f>
        <v>ए) सैनिक</v>
      </c>
    </row>
    <row r="31" ht="22.5" customHeight="1">
      <c r="A31" s="2">
        <v>30.0</v>
      </c>
      <c r="B31" s="3" t="s">
        <v>3885</v>
      </c>
      <c r="C31" s="3" t="s">
        <v>3889</v>
      </c>
      <c r="D31" s="3" t="s">
        <v>3890</v>
      </c>
      <c r="E31" s="3" t="s">
        <v>1873</v>
      </c>
      <c r="G31" s="8" t="str">
        <f>IFERROR(__xludf.DUMMYFUNCTION("GOOGLETRANSLATE(A31, ""en"", ""hi"")"),"30")</f>
        <v>30</v>
      </c>
      <c r="H31" s="8" t="str">
        <f>IFERROR(__xludf.DUMMYFUNCTION("GOOGLETRANSLATE(B31, ""en"", ""hi"")"),"सिलंबम_8")</f>
        <v>सिलंबम_8</v>
      </c>
      <c r="I31" s="8" t="str">
        <f>IFERROR(__xludf.DUMMYFUNCTION("GOOGLETRANSLATE(C31, ""en"", ""hi"")"),"चित्र में दिखाए गए खेल में, सिलंबम में निम्नलिखित में से कौन सी रक्षा तकनीक प्रयुक्त की जाती है?")</f>
        <v>चित्र में दिखाए गए खेल में, सिलंबम में निम्नलिखित में से कौन सी रक्षा तकनीक प्रयुक्त की जाती है?</v>
      </c>
      <c r="J31" s="8" t="str">
        <f>IFERROR(__xludf.DUMMYFUNCTION("GOOGLETRANSLATE(D31, ""en"", ""hi"")"),"A) चकमा देना, B) बचाव करना, C) रोकना, D) उपरोक्त सभी")</f>
        <v>A) चकमा देना, B) बचाव करना, C) रोकना, D) उपरोक्त सभी</v>
      </c>
      <c r="K31" s="8" t="str">
        <f>IFERROR(__xludf.DUMMYFUNCTION("GOOGLETRANSLATE(E31, ""en"", ""hi"")"),"D। उपरोक्त सभी")</f>
        <v>D। उपरोक्त सभी</v>
      </c>
    </row>
    <row r="32" ht="22.5" customHeight="1">
      <c r="A32" s="2">
        <v>31.0</v>
      </c>
      <c r="B32" s="3" t="s">
        <v>3885</v>
      </c>
      <c r="C32" s="3" t="s">
        <v>3891</v>
      </c>
      <c r="D32" s="3" t="s">
        <v>3892</v>
      </c>
      <c r="E32" s="3" t="s">
        <v>3893</v>
      </c>
      <c r="G32" s="8" t="str">
        <f>IFERROR(__xludf.DUMMYFUNCTION("GOOGLETRANSLATE(A32, ""en"", ""hi"")"),"31")</f>
        <v>31</v>
      </c>
      <c r="H32" s="8" t="str">
        <f>IFERROR(__xludf.DUMMYFUNCTION("GOOGLETRANSLATE(B32, ""en"", ""hi"")"),"सिलंबम_8")</f>
        <v>सिलंबम_8</v>
      </c>
      <c r="I32" s="8" t="str">
        <f>IFERROR(__xludf.DUMMYFUNCTION("GOOGLETRANSLATE(C32, ""en"", ""hi"")"),"चित्र में दिखाए गए खेल के लिए, सिलंबम अभ्यासकर्ता का नाम क्या है?")</f>
        <v>चित्र में दिखाए गए खेल के लिए, सिलंबम अभ्यासकर्ता का नाम क्या है?</v>
      </c>
      <c r="J32" s="8" t="str">
        <f>IFERROR(__xludf.DUMMYFUNCTION("GOOGLETRANSLATE(D32, ""en"", ""hi"")"),"ए) सिलंबक्कर, बी) गुरु, सी) शिफू, डी) कलारी")</f>
        <v>ए) सिलंबक्कर, बी) गुरु, सी) शिफू, डी) कलारी</v>
      </c>
      <c r="K32" s="8" t="str">
        <f>IFERROR(__xludf.DUMMYFUNCTION("GOOGLETRANSLATE(E32, ""en"", ""hi"")"),"A) सिलंबक्कर")</f>
        <v>A) सिलंबक्कर</v>
      </c>
    </row>
    <row r="33" ht="22.5" customHeight="1">
      <c r="A33" s="2">
        <v>32.0</v>
      </c>
      <c r="B33" s="3" t="s">
        <v>3885</v>
      </c>
      <c r="C33" s="3" t="s">
        <v>3894</v>
      </c>
      <c r="D33" s="3" t="s">
        <v>3895</v>
      </c>
      <c r="E33" s="3" t="s">
        <v>1873</v>
      </c>
      <c r="G33" s="8" t="str">
        <f>IFERROR(__xludf.DUMMYFUNCTION("GOOGLETRANSLATE(A33, ""en"", ""hi"")"),"32")</f>
        <v>32</v>
      </c>
      <c r="H33" s="8" t="str">
        <f>IFERROR(__xludf.DUMMYFUNCTION("GOOGLETRANSLATE(B33, ""en"", ""hi"")"),"सिलंबम_8")</f>
        <v>सिलंबम_8</v>
      </c>
      <c r="I33" s="8" t="str">
        <f>IFERROR(__xludf.DUMMYFUNCTION("GOOGLETRANSLATE(C33, ""en"", ""hi"")"),"चित्र में दिखाए गए खेल में, सिलंबम में बांस की छड़ी का उपयोग करने का क्या लाभ है?")</f>
        <v>चित्र में दिखाए गए खेल में, सिलंबम में बांस की छड़ी का उपयोग करने का क्या लाभ है?</v>
      </c>
      <c r="J33" s="8" t="str">
        <f>IFERROR(__xludf.DUMMYFUNCTION("GOOGLETRANSLATE(D33, ""en"", ""hi"")"),"A) लचीलापन, B) टिकाऊपन, C) हल्कापन, D) उपरोक्त सभी")</f>
        <v>A) लचीलापन, B) टिकाऊपन, C) हल्कापन, D) उपरोक्त सभी</v>
      </c>
      <c r="K33" s="8" t="str">
        <f>IFERROR(__xludf.DUMMYFUNCTION("GOOGLETRANSLATE(E33, ""en"", ""hi"")"),"D। उपरोक्त सभी")</f>
        <v>D। उपरोक्त सभी</v>
      </c>
    </row>
    <row r="34" ht="22.5" customHeight="1">
      <c r="A34" s="2">
        <v>33.0</v>
      </c>
      <c r="B34" s="3" t="s">
        <v>3896</v>
      </c>
      <c r="C34" s="3" t="s">
        <v>3897</v>
      </c>
      <c r="D34" s="3" t="s">
        <v>3898</v>
      </c>
      <c r="E34" s="3" t="s">
        <v>3899</v>
      </c>
      <c r="G34" s="8" t="str">
        <f>IFERROR(__xludf.DUMMYFUNCTION("GOOGLETRANSLATE(A34, ""en"", ""hi"")"),"33")</f>
        <v>33</v>
      </c>
      <c r="H34" s="8" t="str">
        <f>IFERROR(__xludf.DUMMYFUNCTION("GOOGLETRANSLATE(B34, ""en"", ""hi"")"),"सिलंबम_9")</f>
        <v>सिलंबम_9</v>
      </c>
      <c r="I34" s="8" t="str">
        <f>IFERROR(__xludf.DUMMYFUNCTION("GOOGLETRANSLATE(C34, ""en"", ""hi"")"),"चित्र में दिखाए गए खेल के लिए, सिलंबम में कौन सा उन्नत आंदोलन है?")</f>
        <v>चित्र में दिखाए गए खेल के लिए, सिलंबम में कौन सा उन्नत आंदोलन है?</v>
      </c>
      <c r="J34" s="8" t="str">
        <f>IFERROR(__xludf.DUMMYFUNCTION("GOOGLETRANSLATE(D34, ""en"", ""hi"")"),"A) घूमना, B) जोर लगाना, C) छलांग लगाना, D) उपरोक्त सभी")</f>
        <v>A) घूमना, B) जोर लगाना, C) छलांग लगाना, D) उपरोक्त सभी</v>
      </c>
      <c r="K34" s="8" t="str">
        <f>IFERROR(__xludf.DUMMYFUNCTION("GOOGLETRANSLATE(E34, ""en"", ""hi"")"),"सी) छलांग लगाना")</f>
        <v>सी) छलांग लगाना</v>
      </c>
    </row>
    <row r="35" ht="22.5" customHeight="1">
      <c r="A35" s="2">
        <v>34.0</v>
      </c>
      <c r="B35" s="3" t="s">
        <v>3896</v>
      </c>
      <c r="C35" s="3" t="s">
        <v>3900</v>
      </c>
      <c r="D35" s="3" t="s">
        <v>3901</v>
      </c>
      <c r="E35" s="3" t="s">
        <v>3902</v>
      </c>
      <c r="G35" s="8" t="str">
        <f>IFERROR(__xludf.DUMMYFUNCTION("GOOGLETRANSLATE(A35, ""en"", ""hi"")"),"34")</f>
        <v>34</v>
      </c>
      <c r="H35" s="8" t="str">
        <f>IFERROR(__xludf.DUMMYFUNCTION("GOOGLETRANSLATE(B35, ""en"", ""hi"")"),"सिलंबम_9")</f>
        <v>सिलंबम_9</v>
      </c>
      <c r="I35" s="8" t="str">
        <f>IFERROR(__xludf.DUMMYFUNCTION("GOOGLETRANSLATE(C35, ""en"", ""hi"")"),"चित्र में दिखाए गए खेल में, तमिल संस्कृति में सिलंबम का ऐतिहासिक महत्व क्या है?")</f>
        <v>चित्र में दिखाए गए खेल में, तमिल संस्कृति में सिलंबम का ऐतिहासिक महत्व क्या है?</v>
      </c>
      <c r="J35" s="8" t="str">
        <f>IFERROR(__xludf.DUMMYFUNCTION("GOOGLETRANSLATE(D35, ""en"", ""hi"")"),"A) शाही मनोरंजन, B) सैन्य प्रशिक्षण, C) आध्यात्मिक अभ्यास, D) उत्सव प्रदर्शन")</f>
        <v>A) शाही मनोरंजन, B) सैन्य प्रशिक्षण, C) आध्यात्मिक अभ्यास, D) उत्सव प्रदर्शन</v>
      </c>
      <c r="K35" s="8" t="str">
        <f>IFERROR(__xludf.DUMMYFUNCTION("GOOGLETRANSLATE(E35, ""en"", ""hi"")"),"बी) सैन्य प्रशिक्षण")</f>
        <v>बी) सैन्य प्रशिक्षण</v>
      </c>
    </row>
    <row r="36" ht="22.5" customHeight="1">
      <c r="A36" s="2">
        <v>35.0</v>
      </c>
      <c r="B36" s="3" t="s">
        <v>3896</v>
      </c>
      <c r="C36" s="3" t="s">
        <v>3903</v>
      </c>
      <c r="D36" s="3" t="s">
        <v>3904</v>
      </c>
      <c r="E36" s="3" t="s">
        <v>3905</v>
      </c>
      <c r="G36" s="8" t="str">
        <f>IFERROR(__xludf.DUMMYFUNCTION("GOOGLETRANSLATE(A36, ""en"", ""hi"")"),"35")</f>
        <v>35</v>
      </c>
      <c r="H36" s="8" t="str">
        <f>IFERROR(__xludf.DUMMYFUNCTION("GOOGLETRANSLATE(B36, ""en"", ""hi"")"),"सिलंबम_9")</f>
        <v>सिलंबम_9</v>
      </c>
      <c r="I36" s="8" t="str">
        <f>IFERROR(__xludf.DUMMYFUNCTION("GOOGLETRANSLATE(C36, ""en"", ""hi"")"),"चित्र में दिखाए गए खेल के लिए, सिलंबम को अक्सर किस अन्य कला के साथ संयोजन में प्रदर्शित किया जाता है?")</f>
        <v>चित्र में दिखाए गए खेल के लिए, सिलंबम को अक्सर किस अन्य कला के साथ संयोजन में प्रदर्शित किया जाता है?</v>
      </c>
      <c r="J36" s="8" t="str">
        <f>IFERROR(__xludf.DUMMYFUNCTION("GOOGLETRANSLATE(D36, ""en"", ""hi"")"),"A) योग, B) नृत्य, C) संगीत, D) चित्रकारी")</f>
        <v>A) योग, B) नृत्य, C) संगीत, D) चित्रकारी</v>
      </c>
      <c r="K36" s="8" t="str">
        <f>IFERROR(__xludf.DUMMYFUNCTION("GOOGLETRANSLATE(E36, ""en"", ""hi"")"),"बी) नृत्य")</f>
        <v>बी) नृत्य</v>
      </c>
    </row>
    <row r="37" ht="22.5" customHeight="1">
      <c r="A37" s="2">
        <v>36.0</v>
      </c>
      <c r="B37" s="3" t="s">
        <v>3896</v>
      </c>
      <c r="C37" s="3" t="s">
        <v>3906</v>
      </c>
      <c r="D37" s="3" t="s">
        <v>3907</v>
      </c>
      <c r="E37" s="3" t="s">
        <v>3908</v>
      </c>
      <c r="G37" s="8" t="str">
        <f>IFERROR(__xludf.DUMMYFUNCTION("GOOGLETRANSLATE(A37, ""en"", ""hi"")"),"36")</f>
        <v>36</v>
      </c>
      <c r="H37" s="8" t="str">
        <f>IFERROR(__xludf.DUMMYFUNCTION("GOOGLETRANSLATE(B37, ""en"", ""hi"")"),"सिलंबम_9")</f>
        <v>सिलंबम_9</v>
      </c>
      <c r="I37" s="8" t="str">
        <f>IFERROR(__xludf.DUMMYFUNCTION("GOOGLETRANSLATE(C37, ""en"", ""hi"")"),"चित्र में दिखाए गए खेल में, निम्नलिखित में से कौन-सा सिलंबम का हिस्सा नहीं है?")</f>
        <v>चित्र में दिखाए गए खेल में, निम्नलिखित में से कौन-सा सिलंबम का हिस्सा नहीं है?</v>
      </c>
      <c r="J37" s="8" t="str">
        <f>IFERROR(__xludf.DUMMYFUNCTION("GOOGLETRANSLATE(D37, ""en"", ""hi"")"),"A) लाठी, B) ढाल, C) जंजीर, D) चाकू")</f>
        <v>A) लाठी, B) ढाल, C) जंजीर, D) चाकू</v>
      </c>
      <c r="K37" s="8" t="str">
        <f>IFERROR(__xludf.DUMMYFUNCTION("GOOGLETRANSLATE(E37, ""en"", ""hi"")"),"D) चाकू")</f>
        <v>D) चाकू</v>
      </c>
    </row>
    <row r="38" ht="22.5" customHeight="1">
      <c r="A38" s="2">
        <v>37.0</v>
      </c>
      <c r="B38" s="3" t="s">
        <v>3909</v>
      </c>
      <c r="C38" s="3" t="s">
        <v>3910</v>
      </c>
      <c r="D38" s="3" t="s">
        <v>3911</v>
      </c>
      <c r="E38" s="3" t="s">
        <v>3912</v>
      </c>
      <c r="G38" s="8" t="str">
        <f>IFERROR(__xludf.DUMMYFUNCTION("GOOGLETRANSLATE(A38, ""en"", ""hi"")"),"37")</f>
        <v>37</v>
      </c>
      <c r="H38" s="8" t="str">
        <f>IFERROR(__xludf.DUMMYFUNCTION("GOOGLETRANSLATE(B38, ""en"", ""hi"")"),"सिलंबम_10")</f>
        <v>सिलंबम_10</v>
      </c>
      <c r="I38" s="8" t="str">
        <f>IFERROR(__xludf.DUMMYFUNCTION("GOOGLETRANSLATE(C38, ""en"", ""hi"")"),"चित्र में दिखाए गए खेल के लिए, प्रतिस्पर्धी सिलंबम मैच में अंक कैसे अर्जित किए जाते हैं?")</f>
        <v>चित्र में दिखाए गए खेल के लिए, प्रतिस्पर्धी सिलंबम मैच में अंक कैसे अर्जित किए जाते हैं?</v>
      </c>
      <c r="J38" s="8" t="str">
        <f>IFERROR(__xludf.DUMMYFUNCTION("GOOGLETRANSLATE(D38, ""en"", ""hi"")"),"A) प्रतिद्वंद्वी की स्टिक पर प्रहार करके, B) प्रतिद्वंद्वी के शरीर पर प्रहार करके, C) ब्लॉक करके, D) मैच को नियंत्रित करके")</f>
        <v>A) प्रतिद्वंद्वी की स्टिक पर प्रहार करके, B) प्रतिद्वंद्वी के शरीर पर प्रहार करके, C) ब्लॉक करके, D) मैच को नियंत्रित करके</v>
      </c>
      <c r="K38" s="8" t="str">
        <f>IFERROR(__xludf.DUMMYFUNCTION("GOOGLETRANSLATE(E38, ""en"", ""hi"")"),"B) प्रतिद्वंद्वी के शरीर पर प्रहार करके")</f>
        <v>B) प्रतिद्वंद्वी के शरीर पर प्रहार करके</v>
      </c>
    </row>
    <row r="39" ht="22.5" customHeight="1">
      <c r="A39" s="2">
        <v>38.0</v>
      </c>
      <c r="B39" s="3" t="s">
        <v>3909</v>
      </c>
      <c r="C39" s="3" t="s">
        <v>3913</v>
      </c>
      <c r="D39" s="3" t="s">
        <v>3914</v>
      </c>
      <c r="E39" s="3" t="s">
        <v>3915</v>
      </c>
      <c r="G39" s="8" t="str">
        <f>IFERROR(__xludf.DUMMYFUNCTION("GOOGLETRANSLATE(A39, ""en"", ""hi"")"),"38")</f>
        <v>38</v>
      </c>
      <c r="H39" s="8" t="str">
        <f>IFERROR(__xludf.DUMMYFUNCTION("GOOGLETRANSLATE(B39, ""en"", ""hi"")"),"सिलंबम_10")</f>
        <v>सिलंबम_10</v>
      </c>
      <c r="I39" s="8" t="str">
        <f>IFERROR(__xludf.DUMMYFUNCTION("GOOGLETRANSLATE(C39, ""en"", ""hi"")"),"चित्र में दिखाए गए खेल में, सिलंबम फुटवर्क का मुख्य फोकस क्या है?")</f>
        <v>चित्र में दिखाए गए खेल में, सिलंबम फुटवर्क का मुख्य फोकस क्या है?</v>
      </c>
      <c r="J39" s="8" t="str">
        <f>IFERROR(__xludf.DUMMYFUNCTION("GOOGLETRANSLATE(D39, ""en"", ""hi"")"),"A) गति, B) संतुलन, C) शक्ति, D) चपलता")</f>
        <v>A) गति, B) संतुलन, C) शक्ति, D) चपलता</v>
      </c>
      <c r="K39" s="8" t="str">
        <f>IFERROR(__xludf.DUMMYFUNCTION("GOOGLETRANSLATE(E39, ""en"", ""hi"")"),"बी) संतुलन")</f>
        <v>बी) संतुलन</v>
      </c>
    </row>
    <row r="40" ht="22.5" customHeight="1">
      <c r="A40" s="2">
        <v>39.0</v>
      </c>
      <c r="B40" s="3" t="s">
        <v>3909</v>
      </c>
      <c r="C40" s="3" t="s">
        <v>3916</v>
      </c>
      <c r="D40" s="3" t="s">
        <v>3917</v>
      </c>
      <c r="E40" s="3" t="s">
        <v>3918</v>
      </c>
      <c r="G40" s="8" t="str">
        <f>IFERROR(__xludf.DUMMYFUNCTION("GOOGLETRANSLATE(A40, ""en"", ""hi"")"),"39")</f>
        <v>39</v>
      </c>
      <c r="H40" s="8" t="str">
        <f>IFERROR(__xludf.DUMMYFUNCTION("GOOGLETRANSLATE(B40, ""en"", ""hi"")"),"सिलंबम_10")</f>
        <v>सिलंबम_10</v>
      </c>
      <c r="I40" s="8" t="str">
        <f>IFERROR(__xludf.DUMMYFUNCTION("GOOGLETRANSLATE(C40, ""en"", ""hi"")"),"चित्र में दिखाए गए खेल के लिए, एक सफल सिलंबम अभ्यासी के लिए आवश्यक विशेषता क्या है?")</f>
        <v>चित्र में दिखाए गए खेल के लिए, एक सफल सिलंबम अभ्यासी के लिए आवश्यक विशेषता क्या है?</v>
      </c>
      <c r="J40" s="8" t="str">
        <f>IFERROR(__xludf.DUMMYFUNCTION("GOOGLETRANSLATE(D40, ""en"", ""hi"")"),"A) शक्ति, B) सजगता, C) रणनीति, D) सहनशक्ति")</f>
        <v>A) शक्ति, B) सजगता, C) रणनीति, D) सहनशक्ति</v>
      </c>
      <c r="K40" s="8" t="str">
        <f>IFERROR(__xludf.DUMMYFUNCTION("GOOGLETRANSLATE(E40, ""en"", ""hi"")"),"बी) प्रतिवर्त")</f>
        <v>बी) प्रतिवर्त</v>
      </c>
    </row>
    <row r="41" ht="22.5" customHeight="1">
      <c r="A41" s="2">
        <v>40.0</v>
      </c>
      <c r="B41" s="3" t="s">
        <v>3909</v>
      </c>
      <c r="C41" s="3" t="s">
        <v>3919</v>
      </c>
      <c r="D41" s="3" t="s">
        <v>3920</v>
      </c>
      <c r="E41" s="3" t="s">
        <v>3921</v>
      </c>
      <c r="G41" s="8" t="str">
        <f>IFERROR(__xludf.DUMMYFUNCTION("GOOGLETRANSLATE(A41, ""en"", ""hi"")"),"40")</f>
        <v>40</v>
      </c>
      <c r="H41" s="8" t="str">
        <f>IFERROR(__xludf.DUMMYFUNCTION("GOOGLETRANSLATE(B41, ""en"", ""hi"")"),"सिलंबम_10")</f>
        <v>सिलंबम_10</v>
      </c>
      <c r="I41" s="8" t="str">
        <f>IFERROR(__xludf.DUMMYFUNCTION("GOOGLETRANSLATE(C41, ""en"", ""hi"")"),"चित्र में दिखाए गए खेल में, सिलंबम मुकाबला कैसे शुरू किया जाता है?")</f>
        <v>चित्र में दिखाए गए खेल में, सिलंबम मुकाबला कैसे शुरू किया जाता है?</v>
      </c>
      <c r="J41" s="8" t="str">
        <f>IFERROR(__xludf.DUMMYFUNCTION("GOOGLETRANSLATE(D41, ""en"", ""hi"")"),"A) झुकना, B) सलामी देना, C) लाठी छूना, D) रेफरी का संकेत")</f>
        <v>A) झुकना, B) सलामी देना, C) लाठी छूना, D) रेफरी का संकेत</v>
      </c>
      <c r="K41" s="8" t="str">
        <f>IFERROR(__xludf.DUMMYFUNCTION("GOOGLETRANSLATE(E41, ""en"", ""hi"")"),"C) छूने वाली छड़ें")</f>
        <v>C) छूने वाली छड़ें</v>
      </c>
    </row>
    <row r="42" ht="22.5" customHeight="1">
      <c r="A42" s="2">
        <v>41.0</v>
      </c>
      <c r="B42" s="3" t="s">
        <v>3922</v>
      </c>
      <c r="C42" s="3" t="s">
        <v>3923</v>
      </c>
      <c r="D42" s="3" t="s">
        <v>3924</v>
      </c>
      <c r="E42" s="3" t="s">
        <v>1873</v>
      </c>
      <c r="G42" s="8" t="str">
        <f>IFERROR(__xludf.DUMMYFUNCTION("GOOGLETRANSLATE(A42, ""en"", ""hi"")"),"41")</f>
        <v>41</v>
      </c>
      <c r="H42" s="8" t="str">
        <f>IFERROR(__xludf.DUMMYFUNCTION("GOOGLETRANSLATE(B42, ""en"", ""hi"")"),"सिलंबम_11")</f>
        <v>सिलंबम_11</v>
      </c>
      <c r="I42" s="8" t="str">
        <f>IFERROR(__xludf.DUMMYFUNCTION("GOOGLETRANSLATE(C42, ""en"", ""hi"")"),"चित्र में दिखाए गए खेल के लिए, सिलंबम में लय का क्या महत्व है?")</f>
        <v>चित्र में दिखाए गए खेल के लिए, सिलंबम में लय का क्या महत्व है?</v>
      </c>
      <c r="J42" s="8" t="str">
        <f>IFERROR(__xludf.DUMMYFUNCTION("GOOGLETRANSLATE(D42, ""en"", ""hi"")"),"A) स्ट्राइक का समय, B) फुटवर्क के साथ समन्वय, C) गति की तरलता, D) उपरोक्त सभी")</f>
        <v>A) स्ट्राइक का समय, B) फुटवर्क के साथ समन्वय, C) गति की तरलता, D) उपरोक्त सभी</v>
      </c>
      <c r="K42" s="8" t="str">
        <f>IFERROR(__xludf.DUMMYFUNCTION("GOOGLETRANSLATE(E42, ""en"", ""hi"")"),"D। उपरोक्त सभी")</f>
        <v>D। उपरोक्त सभी</v>
      </c>
    </row>
    <row r="43" ht="22.5" customHeight="1">
      <c r="A43" s="2">
        <v>42.0</v>
      </c>
      <c r="B43" s="3" t="s">
        <v>3922</v>
      </c>
      <c r="C43" s="3" t="s">
        <v>3925</v>
      </c>
      <c r="D43" s="3" t="s">
        <v>3926</v>
      </c>
      <c r="E43" s="3" t="s">
        <v>3927</v>
      </c>
      <c r="G43" s="8" t="str">
        <f>IFERROR(__xludf.DUMMYFUNCTION("GOOGLETRANSLATE(A43, ""en"", ""hi"")"),"42")</f>
        <v>42</v>
      </c>
      <c r="H43" s="8" t="str">
        <f>IFERROR(__xludf.DUMMYFUNCTION("GOOGLETRANSLATE(B43, ""en"", ""hi"")"),"सिलंबम_11")</f>
        <v>सिलंबम_11</v>
      </c>
      <c r="I43" s="8" t="str">
        <f>IFERROR(__xludf.DUMMYFUNCTION("GOOGLETRANSLATE(C43, ""en"", ""hi"")"),"चित्र में दिखाए गए खेल में, सिलंबम में कौन सी हाथ की स्थिति सामान्य है?")</f>
        <v>चित्र में दिखाए गए खेल में, सिलंबम में कौन सी हाथ की स्थिति सामान्य है?</v>
      </c>
      <c r="J43" s="8" t="str">
        <f>IFERROR(__xludf.DUMMYFUNCTION("GOOGLETRANSLATE(D43, ""en"", ""hi"")"),"A) एकल हाथ, B) दोहरा हाथ, C) वैकल्पिक हाथ, D) क्रॉस हाथ")</f>
        <v>A) एकल हाथ, B) दोहरा हाथ, C) वैकल्पिक हाथ, D) क्रॉस हाथ</v>
      </c>
      <c r="K43" s="8" t="str">
        <f>IFERROR(__xludf.DUMMYFUNCTION("GOOGLETRANSLATE(E43, ""en"", ""hi"")"),"बी) डबल हैंड")</f>
        <v>बी) डबल हैंड</v>
      </c>
    </row>
    <row r="44" ht="22.5" customHeight="1">
      <c r="A44" s="2">
        <v>43.0</v>
      </c>
      <c r="B44" s="3" t="s">
        <v>3922</v>
      </c>
      <c r="C44" s="3" t="s">
        <v>3928</v>
      </c>
      <c r="D44" s="3" t="s">
        <v>3929</v>
      </c>
      <c r="E44" s="3" t="s">
        <v>3930</v>
      </c>
      <c r="G44" s="8" t="str">
        <f>IFERROR(__xludf.DUMMYFUNCTION("GOOGLETRANSLATE(A44, ""en"", ""hi"")"),"43")</f>
        <v>43</v>
      </c>
      <c r="H44" s="8" t="str">
        <f>IFERROR(__xludf.DUMMYFUNCTION("GOOGLETRANSLATE(B44, ""en"", ""hi"")"),"सिलंबम_11")</f>
        <v>सिलंबम_11</v>
      </c>
      <c r="I44" s="8" t="str">
        <f>IFERROR(__xludf.DUMMYFUNCTION("GOOGLETRANSLATE(C44, ""en"", ""hi"")"),"चित्र में दिखाए गए खेल के लिए, सिलंबम हमलों का सामान्य लक्ष्य क्षेत्र क्या है?")</f>
        <v>चित्र में दिखाए गए खेल के लिए, सिलंबम हमलों का सामान्य लक्ष्य क्षेत्र क्या है?</v>
      </c>
      <c r="J44" s="8" t="str">
        <f>IFERROR(__xludf.DUMMYFUNCTION("GOOGLETRANSLATE(D44, ""en"", ""hi"")"),"A) सिर, B) छाती, C) पैर, D) बाहें")</f>
        <v>A) सिर, B) छाती, C) पैर, D) बाहें</v>
      </c>
      <c r="K44" s="8" t="str">
        <f>IFERROR(__xludf.DUMMYFUNCTION("GOOGLETRANSLATE(E44, ""en"", ""hi"")"),"सी) पैर")</f>
        <v>सी) पैर</v>
      </c>
    </row>
    <row r="45" ht="22.5" customHeight="1">
      <c r="A45" s="2">
        <v>44.0</v>
      </c>
      <c r="B45" s="3" t="s">
        <v>3922</v>
      </c>
      <c r="C45" s="3" t="s">
        <v>3931</v>
      </c>
      <c r="D45" s="3" t="s">
        <v>3932</v>
      </c>
      <c r="E45" s="3" t="s">
        <v>2286</v>
      </c>
      <c r="G45" s="8" t="str">
        <f>IFERROR(__xludf.DUMMYFUNCTION("GOOGLETRANSLATE(A45, ""en"", ""hi"")"),"44")</f>
        <v>44</v>
      </c>
      <c r="H45" s="8" t="str">
        <f>IFERROR(__xludf.DUMMYFUNCTION("GOOGLETRANSLATE(B45, ""en"", ""hi"")"),"सिलंबम_11")</f>
        <v>सिलंबम_11</v>
      </c>
      <c r="I45" s="8" t="str">
        <f>IFERROR(__xludf.DUMMYFUNCTION("GOOGLETRANSLATE(C45, ""en"", ""hi"")"),"चित्र में दिखाए गए खेल में, प्रहार को रोकने के लिए सिलंबम तकनीक क्या है?")</f>
        <v>चित्र में दिखाए गए खेल में, प्रहार को रोकने के लिए सिलंबम तकनीक क्या है?</v>
      </c>
      <c r="J45" s="8" t="str">
        <f>IFERROR(__xludf.DUMMYFUNCTION("GOOGLETRANSLATE(D45, ""en"", ""hi"")"),"A) पैरी, B) काउंटरस्ट्राइक, C) डिफ्लेक्ट, D) एब्ज़ॉर्ब")</f>
        <v>A) पैरी, B) काउंटरस्ट्राइक, C) डिफ्लेक्ट, D) एब्ज़ॉर्ब</v>
      </c>
      <c r="K45" s="8" t="str">
        <f>IFERROR(__xludf.DUMMYFUNCTION("GOOGLETRANSLATE(E45, ""en"", ""hi"")"),"ए) पैरी")</f>
        <v>ए) पैरी</v>
      </c>
    </row>
    <row r="46" ht="22.5" customHeight="1">
      <c r="A46" s="2">
        <v>45.0</v>
      </c>
      <c r="B46" s="3" t="s">
        <v>3933</v>
      </c>
      <c r="C46" s="3" t="s">
        <v>3934</v>
      </c>
      <c r="D46" s="3" t="s">
        <v>3935</v>
      </c>
      <c r="E46" s="3" t="s">
        <v>3936</v>
      </c>
      <c r="G46" s="8" t="str">
        <f>IFERROR(__xludf.DUMMYFUNCTION("GOOGLETRANSLATE(A46, ""en"", ""hi"")"),"45")</f>
        <v>45</v>
      </c>
      <c r="H46" s="8" t="str">
        <f>IFERROR(__xludf.DUMMYFUNCTION("GOOGLETRANSLATE(B46, ""en"", ""hi"")"),"सिलंबम_12")</f>
        <v>सिलंबम_12</v>
      </c>
      <c r="I46" s="8" t="str">
        <f>IFERROR(__xludf.DUMMYFUNCTION("GOOGLETRANSLATE(C46, ""en"", ""hi"")"),"चित्र में दिखाए गए खेल के लिए, सिलंबम अभ्यास का मुख्य फोकस क्या है?")</f>
        <v>चित्र में दिखाए गए खेल के लिए, सिलंबम अभ्यास का मुख्य फोकस क्या है?</v>
      </c>
      <c r="J46" s="8" t="str">
        <f>IFERROR(__xludf.DUMMYFUNCTION("GOOGLETRANSLATE(D46, ""en"", ""hi"")"),"A) परिशुद्धता, B) गति, C) शक्ति, D) लचीलापन")</f>
        <v>A) परिशुद्धता, B) गति, C) शक्ति, D) लचीलापन</v>
      </c>
      <c r="K46" s="8" t="str">
        <f>IFERROR(__xludf.DUMMYFUNCTION("GOOGLETRANSLATE(E46, ""en"", ""hi"")"),"ए) परिशुद्धता")</f>
        <v>ए) परिशुद्धता</v>
      </c>
    </row>
    <row r="47" ht="22.5" customHeight="1">
      <c r="A47" s="2">
        <v>46.0</v>
      </c>
      <c r="B47" s="3" t="s">
        <v>3933</v>
      </c>
      <c r="C47" s="3" t="s">
        <v>3937</v>
      </c>
      <c r="D47" s="3" t="s">
        <v>3938</v>
      </c>
      <c r="E47" s="3" t="s">
        <v>3939</v>
      </c>
      <c r="G47" s="8" t="str">
        <f>IFERROR(__xludf.DUMMYFUNCTION("GOOGLETRANSLATE(A47, ""en"", ""hi"")"),"46")</f>
        <v>46</v>
      </c>
      <c r="H47" s="8" t="str">
        <f>IFERROR(__xludf.DUMMYFUNCTION("GOOGLETRANSLATE(B47, ""en"", ""hi"")"),"सिलंबम_12")</f>
        <v>सिलंबम_12</v>
      </c>
      <c r="I47" s="8" t="str">
        <f>IFERROR(__xludf.DUMMYFUNCTION("GOOGLETRANSLATE(C47, ""en"", ""hi"")"),"चित्र में दिखाए गए खेल में, सिलंबम की आक्रामक तकनीकों में कौन सी प्रमुख गतिविधि है?")</f>
        <v>चित्र में दिखाए गए खेल में, सिलंबम की आक्रामक तकनीकों में कौन सी प्रमुख गतिविधि है?</v>
      </c>
      <c r="J47" s="8" t="str">
        <f>IFERROR(__xludf.DUMMYFUNCTION("GOOGLETRANSLATE(D47, ""en"", ""hi"")"),"ए) ओवरहेड स्ट्राइक, बी) साइड स्वाइप, सी) सर्कुलर थ्रस्ट, डी) डायगोनल स्लैश")</f>
        <v>ए) ओवरहेड स्ट्राइक, बी) साइड स्वाइप, सी) सर्कुलर थ्रस्ट, डी) डायगोनल स्लैश</v>
      </c>
      <c r="K47" s="8" t="str">
        <f>IFERROR(__xludf.DUMMYFUNCTION("GOOGLETRANSLATE(E47, ""en"", ""hi"")"),"ए) ओवरहेड स्ट्राइक")</f>
        <v>ए) ओवरहेड स्ट्राइक</v>
      </c>
    </row>
    <row r="48" ht="22.5" customHeight="1">
      <c r="A48" s="2">
        <v>47.0</v>
      </c>
      <c r="B48" s="3" t="s">
        <v>3933</v>
      </c>
      <c r="C48" s="3" t="s">
        <v>3940</v>
      </c>
      <c r="D48" s="3" t="s">
        <v>3941</v>
      </c>
      <c r="E48" s="3" t="s">
        <v>3942</v>
      </c>
      <c r="G48" s="8" t="str">
        <f>IFERROR(__xludf.DUMMYFUNCTION("GOOGLETRANSLATE(A48, ""en"", ""hi"")"),"47")</f>
        <v>47</v>
      </c>
      <c r="H48" s="8" t="str">
        <f>IFERROR(__xludf.DUMMYFUNCTION("GOOGLETRANSLATE(B48, ""en"", ""hi"")"),"सिलंबम_12")</f>
        <v>सिलंबम_12</v>
      </c>
      <c r="I48" s="8" t="str">
        <f>IFERROR(__xludf.DUMMYFUNCTION("GOOGLETRANSLATE(C48, ""en"", ""hi"")"),"चित्र में दिखाए गए खेल के लिए, सिलंबम का प्राथमिक हथियार पारंपरिक रूप से किस सामग्री से बनाया जाता है?")</f>
        <v>चित्र में दिखाए गए खेल के लिए, सिलंबम का प्राथमिक हथियार पारंपरिक रूप से किस सामग्री से बनाया जाता है?</v>
      </c>
      <c r="J48" s="8" t="str">
        <f>IFERROR(__xludf.DUMMYFUNCTION("GOOGLETRANSLATE(D48, ""en"", ""hi"")"),"A) स्टील, B) बांस, C) लोहा, D) कांस्य")</f>
        <v>A) स्टील, B) बांस, C) लोहा, D) कांस्य</v>
      </c>
      <c r="K48" s="8" t="str">
        <f>IFERROR(__xludf.DUMMYFUNCTION("GOOGLETRANSLATE(E48, ""en"", ""hi"")"),"बी) बांस")</f>
        <v>बी) बांस</v>
      </c>
    </row>
    <row r="49" ht="22.5" customHeight="1">
      <c r="A49" s="2">
        <v>48.0</v>
      </c>
      <c r="B49" s="3" t="s">
        <v>3933</v>
      </c>
      <c r="C49" s="3" t="s">
        <v>3943</v>
      </c>
      <c r="D49" s="3" t="s">
        <v>3944</v>
      </c>
      <c r="E49" s="3" t="s">
        <v>3945</v>
      </c>
      <c r="G49" s="8" t="str">
        <f>IFERROR(__xludf.DUMMYFUNCTION("GOOGLETRANSLATE(A49, ""en"", ""hi"")"),"48")</f>
        <v>48</v>
      </c>
      <c r="H49" s="8" t="str">
        <f>IFERROR(__xludf.DUMMYFUNCTION("GOOGLETRANSLATE(B49, ""en"", ""hi"")"),"सिलंबम_12")</f>
        <v>सिलंबम_12</v>
      </c>
      <c r="I49" s="8" t="str">
        <f>IFERROR(__xludf.DUMMYFUNCTION("GOOGLETRANSLATE(C49, ""en"", ""hi"")"),"चित्र में दिखाए गए खेल में, उचित सिलंबम रक्षा के लिए निम्नलिखित में से क्या आवश्यक है?")</f>
        <v>चित्र में दिखाए गए खेल में, उचित सिलंबम रक्षा के लिए निम्नलिखित में से क्या आवश्यक है?</v>
      </c>
      <c r="J49" s="8" t="str">
        <f>IFERROR(__xludf.DUMMYFUNCTION("GOOGLETRANSLATE(D49, ""en"", ""hi"")"),"A) बांह की ताकत, B) लचीलापन, C) समय, D) फुटवर्क")</f>
        <v>A) बांह की ताकत, B) लचीलापन, C) समय, D) फुटवर्क</v>
      </c>
      <c r="K49" s="8" t="str">
        <f>IFERROR(__xludf.DUMMYFUNCTION("GOOGLETRANSLATE(E49, ""en"", ""hi"")"),"डी) फुटवर्क")</f>
        <v>डी) फुटवर्क</v>
      </c>
    </row>
    <row r="50" ht="22.5" customHeight="1">
      <c r="A50" s="2">
        <v>49.0</v>
      </c>
      <c r="B50" s="3" t="s">
        <v>3946</v>
      </c>
      <c r="C50" s="3" t="s">
        <v>3947</v>
      </c>
      <c r="D50" s="3" t="s">
        <v>3948</v>
      </c>
      <c r="E50" s="3" t="s">
        <v>3949</v>
      </c>
      <c r="G50" s="8" t="str">
        <f>IFERROR(__xludf.DUMMYFUNCTION("GOOGLETRANSLATE(A50, ""en"", ""hi"")"),"49")</f>
        <v>49</v>
      </c>
      <c r="H50" s="8" t="str">
        <f>IFERROR(__xludf.DUMMYFUNCTION("GOOGLETRANSLATE(B50, ""en"", ""hi"")"),"सिलंबम_13")</f>
        <v>सिलंबम_13</v>
      </c>
      <c r="I50" s="8" t="str">
        <f>IFERROR(__xludf.DUMMYFUNCTION("GOOGLETRANSLATE(C50, ""en"", ""hi"")"),"चित्र में दिखाए गए खेल के लिए, सिलंबम में किस प्रकार के रुख शामिल हैं?")</f>
        <v>चित्र में दिखाए गए खेल के लिए, सिलंबम में किस प्रकार के रुख शामिल हैं?</v>
      </c>
      <c r="J50" s="8" t="str">
        <f>IFERROR(__xludf.DUMMYFUNCTION("GOOGLETRANSLATE(D50, ""en"", ""hi"")"),"A) उच्च रुख, B) निम्न रुख, C) तटस्थ रुख, D) स्थानांतरण रुख")</f>
        <v>A) उच्च रुख, B) निम्न रुख, C) तटस्थ रुख, D) स्थानांतरण रुख</v>
      </c>
      <c r="K50" s="8" t="str">
        <f>IFERROR(__xludf.DUMMYFUNCTION("GOOGLETRANSLATE(E50, ""en"", ""hi"")"),"बी) निम्न रुख")</f>
        <v>बी) निम्न रुख</v>
      </c>
    </row>
    <row r="51" ht="22.5" customHeight="1">
      <c r="A51" s="2">
        <v>50.0</v>
      </c>
      <c r="B51" s="3" t="s">
        <v>3946</v>
      </c>
      <c r="C51" s="3" t="s">
        <v>3950</v>
      </c>
      <c r="D51" s="3" t="s">
        <v>3951</v>
      </c>
      <c r="E51" s="3" t="s">
        <v>3952</v>
      </c>
      <c r="G51" s="8" t="str">
        <f>IFERROR(__xludf.DUMMYFUNCTION("GOOGLETRANSLATE(A51, ""en"", ""hi"")"),"50")</f>
        <v>50</v>
      </c>
      <c r="H51" s="8" t="str">
        <f>IFERROR(__xludf.DUMMYFUNCTION("GOOGLETRANSLATE(B51, ""en"", ""hi"")"),"सिलंबम_13")</f>
        <v>सिलंबम_13</v>
      </c>
      <c r="I51" s="8" t="str">
        <f>IFERROR(__xludf.DUMMYFUNCTION("GOOGLETRANSLATE(C51, ""en"", ""hi"")"),"चित्र में दिखाए गए खेल में, सिलंबम में प्रतिद्वंद्वी को निहत्था करने की सामान्य विधि क्या है?")</f>
        <v>चित्र में दिखाए गए खेल में, सिलंबम में प्रतिद्वंद्वी को निहत्था करने की सामान्य विधि क्या है?</v>
      </c>
      <c r="J51" s="8" t="str">
        <f>IFERROR(__xludf.DUMMYFUNCTION("GOOGLETRANSLATE(D51, ""en"", ""hi"")"),"A) छड़ी को हुक करना, B) कलाई पर प्रहार करना, C) प्रहार को रोकना, D) प्रतिद्वंद्वी को गिराना")</f>
        <v>A) छड़ी को हुक करना, B) कलाई पर प्रहार करना, C) प्रहार को रोकना, D) प्रतिद्वंद्वी को गिराना</v>
      </c>
      <c r="K51" s="8" t="str">
        <f>IFERROR(__xludf.DUMMYFUNCTION("GOOGLETRANSLATE(E51, ""en"", ""hi"")"),"बी) कलाई पर प्रहार")</f>
        <v>बी) कलाई पर प्रहार</v>
      </c>
    </row>
    <row r="52" ht="22.5" customHeight="1">
      <c r="A52" s="2">
        <v>51.0</v>
      </c>
      <c r="B52" s="3" t="s">
        <v>3946</v>
      </c>
      <c r="C52" s="3" t="s">
        <v>3953</v>
      </c>
      <c r="D52" s="3" t="s">
        <v>3954</v>
      </c>
      <c r="E52" s="3" t="s">
        <v>3930</v>
      </c>
      <c r="G52" s="8" t="str">
        <f>IFERROR(__xludf.DUMMYFUNCTION("GOOGLETRANSLATE(A52, ""en"", ""hi"")"),"51")</f>
        <v>51</v>
      </c>
      <c r="H52" s="8" t="str">
        <f>IFERROR(__xludf.DUMMYFUNCTION("GOOGLETRANSLATE(B52, ""en"", ""hi"")"),"सिलंबम_13")</f>
        <v>सिलंबम_13</v>
      </c>
      <c r="I52" s="8" t="str">
        <f>IFERROR(__xludf.DUMMYFUNCTION("GOOGLETRANSLATE(C52, ""en"", ""hi"")"),"चित्र में दिखाए गए खेल के लिए, सिलंबम के लंबी दूरी के हमलों में आमतौर पर शरीर के किस हिस्से को निशाना बनाया जाता है?")</f>
        <v>चित्र में दिखाए गए खेल के लिए, सिलंबम के लंबी दूरी के हमलों में आमतौर पर शरीर के किस हिस्से को निशाना बनाया जाता है?</v>
      </c>
      <c r="J52" s="8" t="str">
        <f>IFERROR(__xludf.DUMMYFUNCTION("GOOGLETRANSLATE(D52, ""en"", ""hi"")"),"A) सिर, B) भुजाएँ, C) पैर, D) छाती")</f>
        <v>A) सिर, B) भुजाएँ, C) पैर, D) छाती</v>
      </c>
      <c r="K52" s="8" t="str">
        <f>IFERROR(__xludf.DUMMYFUNCTION("GOOGLETRANSLATE(E52, ""en"", ""hi"")"),"सी) पैर")</f>
        <v>सी) पैर</v>
      </c>
    </row>
    <row r="53" ht="22.5" customHeight="1">
      <c r="A53" s="2">
        <v>52.0</v>
      </c>
      <c r="B53" s="3" t="s">
        <v>3946</v>
      </c>
      <c r="C53" s="3" t="s">
        <v>3955</v>
      </c>
      <c r="D53" s="3" t="s">
        <v>3956</v>
      </c>
      <c r="E53" s="3" t="s">
        <v>3464</v>
      </c>
      <c r="G53" s="8" t="str">
        <f>IFERROR(__xludf.DUMMYFUNCTION("GOOGLETRANSLATE(A53, ""en"", ""hi"")"),"52")</f>
        <v>52</v>
      </c>
      <c r="H53" s="8" t="str">
        <f>IFERROR(__xludf.DUMMYFUNCTION("GOOGLETRANSLATE(B53, ""en"", ""hi"")"),"सिलंबम_13")</f>
        <v>सिलंबम_13</v>
      </c>
      <c r="I53" s="8" t="str">
        <f>IFERROR(__xludf.DUMMYFUNCTION("GOOGLETRANSLATE(C53, ""en"", ""hi"")"),"चित्र में दिखाए गए खेल में, सिलंबम अपने ______ फुटवर्क के लिए जाना जाता है जो तेज हमले और बचाव की अनुमति देता है।")</f>
        <v>चित्र में दिखाए गए खेल में, सिलंबम अपने ______ फुटवर्क के लिए जाना जाता है जो तेज हमले और बचाव की अनुमति देता है।</v>
      </c>
      <c r="J53" s="8" t="str">
        <f>IFERROR(__xludf.DUMMYFUNCTION("GOOGLETRANSLATE(D53, ""en"", ""hi"")"),"A) रैखिक, B) वृत्ताकार, C) विकर्ण, D) ज़िग-ज़ैग")</f>
        <v>A) रैखिक, B) वृत्ताकार, C) विकर्ण, D) ज़िग-ज़ैग</v>
      </c>
      <c r="K53" s="8" t="str">
        <f>IFERROR(__xludf.DUMMYFUNCTION("GOOGLETRANSLATE(E53, ""en"", ""hi"")"),"बी) वृत्ताकार")</f>
        <v>बी) वृत्ताकार</v>
      </c>
    </row>
    <row r="54" ht="22.5" customHeight="1">
      <c r="A54" s="2">
        <v>53.0</v>
      </c>
      <c r="B54" s="3" t="s">
        <v>3957</v>
      </c>
      <c r="C54" s="3" t="s">
        <v>3958</v>
      </c>
      <c r="D54" s="3" t="s">
        <v>3959</v>
      </c>
      <c r="E54" s="3" t="s">
        <v>3960</v>
      </c>
      <c r="G54" s="8" t="str">
        <f>IFERROR(__xludf.DUMMYFUNCTION("GOOGLETRANSLATE(A54, ""en"", ""hi"")"),"53")</f>
        <v>53</v>
      </c>
      <c r="H54" s="8" t="str">
        <f>IFERROR(__xludf.DUMMYFUNCTION("GOOGLETRANSLATE(B54, ""en"", ""hi"")"),"सिलंबम_14")</f>
        <v>सिलंबम_14</v>
      </c>
      <c r="I54" s="8" t="str">
        <f>IFERROR(__xludf.DUMMYFUNCTION("GOOGLETRANSLATE(C54, ""en"", ""hi"")"),"चित्र में दिखाए गए खेल के लिए, निम्नलिखित में से कौन सी उन्नत सिलंबम तकनीक है?")</f>
        <v>चित्र में दिखाए गए खेल के लिए, निम्नलिखित में से कौन सी उन्नत सिलंबम तकनीक है?</v>
      </c>
      <c r="J54" s="8" t="str">
        <f>IFERROR(__xludf.DUMMYFUNCTION("GOOGLETRANSLATE(D54, ""en"", ""hi"")"),"A) छड़ी को पीठ के पीछे घुमाना, B) एक ही बार में दोहरा प्रहार करना, C) चकमा देने के लिए पीछे हटना, D) प्रहार के बीच में हाथ बदलना")</f>
        <v>A) छड़ी को पीठ के पीछे घुमाना, B) एक ही बार में दोहरा प्रहार करना, C) चकमा देने के लिए पीछे हटना, D) प्रहार के बीच में हाथ बदलना</v>
      </c>
      <c r="K54" s="8" t="str">
        <f>IFERROR(__xludf.DUMMYFUNCTION("GOOGLETRANSLATE(E54, ""en"", ""hi"")"),"A) छड़ी को पीठ के पीछे घुमाना")</f>
        <v>A) छड़ी को पीठ के पीछे घुमाना</v>
      </c>
    </row>
    <row r="55" ht="22.5" customHeight="1">
      <c r="A55" s="2">
        <v>54.0</v>
      </c>
      <c r="B55" s="3" t="s">
        <v>3957</v>
      </c>
      <c r="C55" s="3" t="s">
        <v>3961</v>
      </c>
      <c r="D55" s="3" t="s">
        <v>3962</v>
      </c>
      <c r="E55" s="3" t="s">
        <v>3501</v>
      </c>
      <c r="G55" s="8" t="str">
        <f>IFERROR(__xludf.DUMMYFUNCTION("GOOGLETRANSLATE(A55, ""en"", ""hi"")"),"54")</f>
        <v>54</v>
      </c>
      <c r="H55" s="8" t="str">
        <f>IFERROR(__xludf.DUMMYFUNCTION("GOOGLETRANSLATE(B55, ""en"", ""hi"")"),"सिलंबम_14")</f>
        <v>सिलंबम_14</v>
      </c>
      <c r="I55" s="8" t="str">
        <f>IFERROR(__xludf.DUMMYFUNCTION("GOOGLETRANSLATE(C55, ""en"", ""hi"")"),"चित्र में दिखाए गए खेल में, संतुलित प्रदर्शन के लिए सिलंबम किस बात पर जोर देता है?")</f>
        <v>चित्र में दिखाए गए खेल में, संतुलित प्रदर्शन के लिए सिलंबम किस बात पर जोर देता है?</v>
      </c>
      <c r="J55" s="8" t="str">
        <f>IFERROR(__xludf.DUMMYFUNCTION("GOOGLETRANSLATE(D55, ""en"", ""hi"")"),"A) ताकत, B) गति, C) सटीकता, D) सहनशक्ति")</f>
        <v>A) ताकत, B) गति, C) सटीकता, D) सहनशक्ति</v>
      </c>
      <c r="K55" s="8" t="str">
        <f>IFERROR(__xludf.DUMMYFUNCTION("GOOGLETRANSLATE(E55, ""en"", ""hi"")"),"सी) परिशुद्धता")</f>
        <v>सी) परिशुद्धता</v>
      </c>
    </row>
    <row r="56" ht="22.5" customHeight="1">
      <c r="A56" s="2">
        <v>55.0</v>
      </c>
      <c r="B56" s="3" t="s">
        <v>3957</v>
      </c>
      <c r="C56" s="3" t="s">
        <v>3963</v>
      </c>
      <c r="D56" s="3" t="s">
        <v>3964</v>
      </c>
      <c r="E56" s="3" t="s">
        <v>3965</v>
      </c>
      <c r="G56" s="8" t="str">
        <f>IFERROR(__xludf.DUMMYFUNCTION("GOOGLETRANSLATE(A56, ""en"", ""hi"")"),"55")</f>
        <v>55</v>
      </c>
      <c r="H56" s="8" t="str">
        <f>IFERROR(__xludf.DUMMYFUNCTION("GOOGLETRANSLATE(B56, ""en"", ""hi"")"),"सिलंबम_14")</f>
        <v>सिलंबम_14</v>
      </c>
      <c r="I56" s="8" t="str">
        <f>IFERROR(__xludf.DUMMYFUNCTION("GOOGLETRANSLATE(C56, ""en"", ""hi"")"),"चित्र में दिखाए गए खेल के लिए, सिलंबम अभ्यासकर्ता अक्सर किस प्रकार के उपकरणों के साथ अभ्यास करते हैं?")</f>
        <v>चित्र में दिखाए गए खेल के लिए, सिलंबम अभ्यासकर्ता अक्सर किस प्रकार के उपकरणों के साथ अभ्यास करते हैं?</v>
      </c>
      <c r="J56" s="8" t="str">
        <f>IFERROR(__xludf.DUMMYFUNCTION("GOOGLETRANSLATE(D56, ""en"", ""hi"")"),"A) लकड़ी की तलवारें, B) धातु की ढालें, C) बांस के डंडे, D) रबर की छड़ें")</f>
        <v>A) लकड़ी की तलवारें, B) धातु की ढालें, C) बांस के डंडे, D) रबर की छड़ें</v>
      </c>
      <c r="K56" s="8" t="str">
        <f>IFERROR(__xludf.DUMMYFUNCTION("GOOGLETRANSLATE(E56, ""en"", ""hi"")"),"C) बांस के खंभे")</f>
        <v>C) बांस के खंभे</v>
      </c>
    </row>
    <row r="57" ht="22.5" customHeight="1">
      <c r="A57" s="2">
        <v>56.0</v>
      </c>
      <c r="B57" s="3" t="s">
        <v>3957</v>
      </c>
      <c r="C57" s="3" t="s">
        <v>3966</v>
      </c>
      <c r="D57" s="3" t="s">
        <v>3967</v>
      </c>
      <c r="E57" s="3" t="s">
        <v>3968</v>
      </c>
      <c r="G57" s="8" t="str">
        <f>IFERROR(__xludf.DUMMYFUNCTION("GOOGLETRANSLATE(A57, ""en"", ""hi"")"),"56")</f>
        <v>56</v>
      </c>
      <c r="H57" s="8" t="str">
        <f>IFERROR(__xludf.DUMMYFUNCTION("GOOGLETRANSLATE(B57, ""en"", ""hi"")"),"सिलंबम_14")</f>
        <v>सिलंबम_14</v>
      </c>
      <c r="I57" s="8" t="str">
        <f>IFERROR(__xludf.DUMMYFUNCTION("GOOGLETRANSLATE(C57, ""en"", ""hi"")"),"चित्र में दिखाए गए खेल में, सिलंबम प्रहार में शक्ति कैसे उत्पन्न होती है?")</f>
        <v>चित्र में दिखाए गए खेल में, सिलंबम प्रहार में शक्ति कैसे उत्पन्न होती है?</v>
      </c>
      <c r="J57" s="8" t="str">
        <f>IFERROR(__xludf.DUMMYFUNCTION("GOOGLETRANSLATE(D57, ""en"", ""hi"")"),"A) कंधों को घुमाकर, B) कूल्हों को मोड़कर, C) छड़ी को कसकर पकड़कर, D) कलाई की गति का उपयोग करके")</f>
        <v>A) कंधों को घुमाकर, B) कूल्हों को मोड़कर, C) छड़ी को कसकर पकड़कर, D) कलाई की गति का उपयोग करके</v>
      </c>
      <c r="K57" s="8" t="str">
        <f>IFERROR(__xludf.DUMMYFUNCTION("GOOGLETRANSLATE(E57, ""en"", ""hi"")"),"B) कूल्हों को मोड़कर")</f>
        <v>B) कूल्हों को मोड़कर</v>
      </c>
    </row>
    <row r="58" ht="22.5" customHeight="1">
      <c r="A58" s="2">
        <v>57.0</v>
      </c>
      <c r="B58" s="3" t="s">
        <v>3969</v>
      </c>
      <c r="C58" s="3" t="s">
        <v>3970</v>
      </c>
      <c r="D58" s="3" t="s">
        <v>3971</v>
      </c>
      <c r="E58" s="3" t="s">
        <v>3972</v>
      </c>
      <c r="G58" s="8" t="str">
        <f>IFERROR(__xludf.DUMMYFUNCTION("GOOGLETRANSLATE(A58, ""en"", ""hi"")"),"57")</f>
        <v>57</v>
      </c>
      <c r="H58" s="8" t="str">
        <f>IFERROR(__xludf.DUMMYFUNCTION("GOOGLETRANSLATE(B58, ""en"", ""hi"")"),"सिलंबम_15")</f>
        <v>सिलंबम_15</v>
      </c>
      <c r="I58" s="8" t="str">
        <f>IFERROR(__xludf.DUMMYFUNCTION("GOOGLETRANSLATE(C58, ""en"", ""hi"")"),"चित्र में दिखाए गए खेल के लिए, सिलंबम को पारंपरिक रूप से निम्नलिखित में से किसके द्वारा सिखाया जाता था?")</f>
        <v>चित्र में दिखाए गए खेल के लिए, सिलंबम को पारंपरिक रूप से निम्नलिखित में से किसके द्वारा सिखाया जाता था?</v>
      </c>
      <c r="J58" s="8" t="str">
        <f>IFERROR(__xludf.DUMMYFUNCTION("GOOGLETRANSLATE(D58, ""en"", ""hi"")"),"A) परिवार के बुजुर्ग, B) मार्शल आर्ट स्कूल, C) आदिवासी नेता, D) पुजारी")</f>
        <v>A) परिवार के बुजुर्ग, B) मार्शल आर्ट स्कूल, C) आदिवासी नेता, D) पुजारी</v>
      </c>
      <c r="K58" s="8" t="str">
        <f>IFERROR(__xludf.DUMMYFUNCTION("GOOGLETRANSLATE(E58, ""en"", ""hi"")"),"C) आदिवासी नेता")</f>
        <v>C) आदिवासी नेता</v>
      </c>
    </row>
    <row r="59" ht="22.5" customHeight="1">
      <c r="A59" s="2">
        <v>58.0</v>
      </c>
      <c r="B59" s="3" t="s">
        <v>3969</v>
      </c>
      <c r="C59" s="3" t="s">
        <v>3973</v>
      </c>
      <c r="D59" s="3" t="s">
        <v>3974</v>
      </c>
      <c r="E59" s="3" t="s">
        <v>3975</v>
      </c>
      <c r="G59" s="8" t="str">
        <f>IFERROR(__xludf.DUMMYFUNCTION("GOOGLETRANSLATE(A59, ""en"", ""hi"")"),"58")</f>
        <v>58</v>
      </c>
      <c r="H59" s="8" t="str">
        <f>IFERROR(__xludf.DUMMYFUNCTION("GOOGLETRANSLATE(B59, ""en"", ""hi"")"),"सिलंबम_15")</f>
        <v>सिलंबम_15</v>
      </c>
      <c r="I59" s="8" t="str">
        <f>IFERROR(__xludf.DUMMYFUNCTION("GOOGLETRANSLATE(C59, ""en"", ""hi"")"),"चित्र में दिखाए गए खेल में, सिलंबम में कौन सी रक्षात्मक रणनीति आम है?")</f>
        <v>चित्र में दिखाए गए खेल में, सिलंबम में कौन सी रक्षात्मक रणनीति आम है?</v>
      </c>
      <c r="J59" s="8" t="str">
        <f>IFERROR(__xludf.DUMMYFUNCTION("GOOGLETRANSLATE(D59, ""en"", ""hi"")"),"A) वार से बचना, B) हथियारों से रोकना, C) वार सहना, D) छड़ी से बचाव करना")</f>
        <v>A) वार से बचना, B) हथियारों से रोकना, C) वार सहना, D) छड़ी से बचाव करना</v>
      </c>
      <c r="K59" s="8" t="str">
        <f>IFERROR(__xludf.DUMMYFUNCTION("GOOGLETRANSLATE(E59, ""en"", ""hi"")"),"D) छड़ी से बचाव करना")</f>
        <v>D) छड़ी से बचाव करना</v>
      </c>
    </row>
    <row r="60" ht="22.5" customHeight="1">
      <c r="A60" s="2">
        <v>59.0</v>
      </c>
      <c r="B60" s="3" t="s">
        <v>3969</v>
      </c>
      <c r="C60" s="3" t="s">
        <v>3976</v>
      </c>
      <c r="D60" s="3" t="s">
        <v>3977</v>
      </c>
      <c r="E60" s="3" t="s">
        <v>3978</v>
      </c>
      <c r="G60" s="8" t="str">
        <f>IFERROR(__xludf.DUMMYFUNCTION("GOOGLETRANSLATE(A60, ""en"", ""hi"")"),"59")</f>
        <v>59</v>
      </c>
      <c r="H60" s="8" t="str">
        <f>IFERROR(__xludf.DUMMYFUNCTION("GOOGLETRANSLATE(B60, ""en"", ""hi"")"),"सिलंबम_15")</f>
        <v>सिलंबम_15</v>
      </c>
      <c r="I60" s="8" t="str">
        <f>IFERROR(__xludf.DUMMYFUNCTION("GOOGLETRANSLATE(C60, ""en"", ""hi"")"),"चित्र में दिखाए गए खेल के लिए, सिलंबम अभ्यासकर्ता युद्ध में निम्नलिखित में से किसका लक्ष्य रखते हैं?")</f>
        <v>चित्र में दिखाए गए खेल के लिए, सिलंबम अभ्यासकर्ता युद्ध में निम्नलिखित में से किसका लक्ष्य रखते हैं?</v>
      </c>
      <c r="J60" s="8" t="str">
        <f>IFERROR(__xludf.DUMMYFUNCTION("GOOGLETRANSLATE(D60, ""en"", ""hi"")"),"ए) नॉकआउट, बी) सबमिशन, सी) प्रतिद्वंद्वी को निहत्था करना, डी) अंक अर्जित करना")</f>
        <v>ए) नॉकआउट, बी) सबमिशन, सी) प्रतिद्वंद्वी को निहत्था करना, डी) अंक अर्जित करना</v>
      </c>
      <c r="K60" s="8" t="str">
        <f>IFERROR(__xludf.DUMMYFUNCTION("GOOGLETRANSLATE(E60, ""en"", ""hi"")"),"C) प्रतिद्वंद्वी को निहत्था करना")</f>
        <v>C) प्रतिद्वंद्वी को निहत्था करना</v>
      </c>
    </row>
    <row r="61" ht="22.5" customHeight="1">
      <c r="A61" s="2">
        <v>60.0</v>
      </c>
      <c r="B61" s="3" t="s">
        <v>3969</v>
      </c>
      <c r="C61" s="3" t="s">
        <v>3979</v>
      </c>
      <c r="D61" s="3" t="s">
        <v>3980</v>
      </c>
      <c r="E61" s="3" t="s">
        <v>3981</v>
      </c>
      <c r="G61" s="8" t="str">
        <f>IFERROR(__xludf.DUMMYFUNCTION("GOOGLETRANSLATE(A61, ""en"", ""hi"")"),"60")</f>
        <v>60</v>
      </c>
      <c r="H61" s="8" t="str">
        <f>IFERROR(__xludf.DUMMYFUNCTION("GOOGLETRANSLATE(B61, ""en"", ""hi"")"),"सिलंबम_15")</f>
        <v>सिलंबम_15</v>
      </c>
      <c r="I61" s="8" t="str">
        <f>IFERROR(__xludf.DUMMYFUNCTION("GOOGLETRANSLATE(C61, ""en"", ""hi"")"),"चित्र में दिखाए गए खेल में, तमिलनाडु के इतिहास में सिलंबम का क्या महत्व है?")</f>
        <v>चित्र में दिखाए गए खेल में, तमिलनाडु के इतिहास में सिलंबम का क्या महत्व है?</v>
      </c>
      <c r="J61" s="8" t="str">
        <f>IFERROR(__xludf.DUMMYFUNCTION("GOOGLETRANSLATE(D61, ""en"", ""hi"")"),"A) यह मनोरंजन का एक रूप था, B) इसका प्रयोग सैन्य प्रशिक्षण में किया जाता था, C) यह एक धार्मिक प्रथा थी, D) यह विरोध का एक रूप था")</f>
        <v>A) यह मनोरंजन का एक रूप था, B) इसका प्रयोग सैन्य प्रशिक्षण में किया जाता था, C) यह एक धार्मिक प्रथा थी, D) यह विरोध का एक रूप था</v>
      </c>
      <c r="K61" s="8" t="str">
        <f>IFERROR(__xludf.DUMMYFUNCTION("GOOGLETRANSLATE(E61, ""en"", ""hi"")"),"B) इसका उपयोग सैन्य प्रशिक्षण में किया जाता था")</f>
        <v>B) इसका उपयोग सैन्य प्रशिक्षण में किया जाता था</v>
      </c>
    </row>
    <row r="62" ht="22.5" customHeight="1">
      <c r="A62" s="2">
        <v>61.0</v>
      </c>
      <c r="B62" s="3" t="s">
        <v>3982</v>
      </c>
      <c r="C62" s="3" t="s">
        <v>3983</v>
      </c>
      <c r="D62" s="3" t="s">
        <v>3984</v>
      </c>
      <c r="E62" s="3" t="s">
        <v>3985</v>
      </c>
      <c r="G62" s="8" t="str">
        <f>IFERROR(__xludf.DUMMYFUNCTION("GOOGLETRANSLATE(A62, ""en"", ""hi"")"),"61")</f>
        <v>61</v>
      </c>
      <c r="H62" s="8" t="str">
        <f>IFERROR(__xludf.DUMMYFUNCTION("GOOGLETRANSLATE(B62, ""en"", ""hi"")"),"सिलंबम_16")</f>
        <v>सिलंबम_16</v>
      </c>
      <c r="I62" s="8" t="str">
        <f>IFERROR(__xludf.DUMMYFUNCTION("GOOGLETRANSLATE(C62, ""en"", ""hi"")"),"चित्र में दिखाए गए खेल के लिए, सिलंबम में कताई तकनीक के लिए क्या शब्द प्रयुक्त किया जाता है?")</f>
        <v>चित्र में दिखाए गए खेल के लिए, सिलंबम में कताई तकनीक के लिए क्या शब्द प्रयुक्त किया जाता है?</v>
      </c>
      <c r="J62" s="8" t="str">
        <f>IFERROR(__xludf.DUMMYFUNCTION("GOOGLETRANSLATE(D62, ""en"", ""hi"")"),"ए) पिरौएट, बी) मझुवुधल, सी) विलायट्टु, डी) थेरवु")</f>
        <v>ए) पिरौएट, बी) मझुवुधल, सी) विलायट्टु, डी) थेरवु</v>
      </c>
      <c r="K62" s="8" t="str">
        <f>IFERROR(__xludf.DUMMYFUNCTION("GOOGLETRANSLATE(E62, ""en"", ""hi"")"),"बी) मझुवुधल")</f>
        <v>बी) मझुवुधल</v>
      </c>
    </row>
    <row r="63" ht="22.5" customHeight="1">
      <c r="A63" s="2">
        <v>62.0</v>
      </c>
      <c r="B63" s="3" t="s">
        <v>3982</v>
      </c>
      <c r="C63" s="3" t="s">
        <v>3986</v>
      </c>
      <c r="D63" s="3" t="s">
        <v>3987</v>
      </c>
      <c r="E63" s="3" t="s">
        <v>3988</v>
      </c>
      <c r="G63" s="8" t="str">
        <f>IFERROR(__xludf.DUMMYFUNCTION("GOOGLETRANSLATE(A63, ""en"", ""hi"")"),"62")</f>
        <v>62</v>
      </c>
      <c r="H63" s="8" t="str">
        <f>IFERROR(__xludf.DUMMYFUNCTION("GOOGLETRANSLATE(B63, ""en"", ""hi"")"),"सिलंबम_16")</f>
        <v>सिलंबम_16</v>
      </c>
      <c r="I63" s="8" t="str">
        <f>IFERROR(__xludf.DUMMYFUNCTION("GOOGLETRANSLATE(C63, ""en"", ""hi"")"),"चित्र में दिखाए गए खेल में, सिलंबम अभ्यासकर्ता अक्सर कौन सा पूरक व्यायाम करते हैं?")</f>
        <v>चित्र में दिखाए गए खेल में, सिलंबम अभ्यासकर्ता अक्सर कौन सा पूरक व्यायाम करते हैं?</v>
      </c>
      <c r="J63" s="8" t="str">
        <f>IFERROR(__xludf.DUMMYFUNCTION("GOOGLETRANSLATE(D63, ""en"", ""hi"")"),"A) योग, B) भारोत्तोलन, C) तैराकी, D) दौड़ना")</f>
        <v>A) योग, B) भारोत्तोलन, C) तैराकी, D) दौड़ना</v>
      </c>
      <c r="K63" s="8" t="str">
        <f>IFERROR(__xludf.DUMMYFUNCTION("GOOGLETRANSLATE(E63, ""en"", ""hi"")"),"ए) योग")</f>
        <v>ए) योग</v>
      </c>
    </row>
    <row r="64" ht="22.5" customHeight="1">
      <c r="A64" s="2">
        <v>63.0</v>
      </c>
      <c r="B64" s="3" t="s">
        <v>3982</v>
      </c>
      <c r="C64" s="3" t="s">
        <v>3989</v>
      </c>
      <c r="D64" s="3" t="s">
        <v>3990</v>
      </c>
      <c r="E64" s="3" t="s">
        <v>3991</v>
      </c>
      <c r="G64" s="8" t="str">
        <f>IFERROR(__xludf.DUMMYFUNCTION("GOOGLETRANSLATE(A64, ""en"", ""hi"")"),"63")</f>
        <v>63</v>
      </c>
      <c r="H64" s="8" t="str">
        <f>IFERROR(__xludf.DUMMYFUNCTION("GOOGLETRANSLATE(B64, ""en"", ""hi"")"),"सिलंबम_16")</f>
        <v>सिलंबम_16</v>
      </c>
      <c r="I64" s="8" t="str">
        <f>IFERROR(__xludf.DUMMYFUNCTION("GOOGLETRANSLATE(C64, ""en"", ""hi"")"),"चित्र में दिखाए गए खेल के लिए, निम्नलिखित में से कौन सी सिलंबम ड्रिल आमतौर पर इस्तेमाल की जाती है?")</f>
        <v>चित्र में दिखाए गए खेल के लिए, निम्नलिखित में से कौन सी सिलंबम ड्रिल आमतौर पर इस्तेमाल की जाती है?</v>
      </c>
      <c r="J64" s="8" t="str">
        <f>IFERROR(__xludf.DUMMYFUNCTION("GOOGLETRANSLATE(D64, ""en"", ""hi"")"),"ए) पार्टनर स्पैरिंग, बी) शैडो स्ट्राइकिंग, सी) स्टिक बैलेंसिंग, डी) स्टिक स्पिनिंग")</f>
        <v>ए) पार्टनर स्पैरिंग, बी) शैडो स्ट्राइकिंग, सी) स्टिक बैलेंसिंग, डी) स्टिक स्पिनिंग</v>
      </c>
      <c r="K64" s="8" t="str">
        <f>IFERROR(__xludf.DUMMYFUNCTION("GOOGLETRANSLATE(E64, ""en"", ""hi"")"),"बी) छाया प्रहार")</f>
        <v>बी) छाया प्रहार</v>
      </c>
    </row>
    <row r="65" ht="22.5" customHeight="1">
      <c r="A65" s="2">
        <v>64.0</v>
      </c>
      <c r="B65" s="3" t="s">
        <v>3982</v>
      </c>
      <c r="C65" s="3" t="s">
        <v>3992</v>
      </c>
      <c r="D65" s="3" t="s">
        <v>3993</v>
      </c>
      <c r="E65" s="3" t="s">
        <v>3994</v>
      </c>
      <c r="G65" s="8" t="str">
        <f>IFERROR(__xludf.DUMMYFUNCTION("GOOGLETRANSLATE(A65, ""en"", ""hi"")"),"64")</f>
        <v>64</v>
      </c>
      <c r="H65" s="8" t="str">
        <f>IFERROR(__xludf.DUMMYFUNCTION("GOOGLETRANSLATE(B65, ""en"", ""hi"")"),"सिलंबम_16")</f>
        <v>सिलंबम_16</v>
      </c>
      <c r="I65" s="8" t="str">
        <f>IFERROR(__xludf.DUMMYFUNCTION("GOOGLETRANSLATE(C65, ""en"", ""hi"")"),"चित्र में दिखाए गए खेल में, सिलंबम विरोधियों को चौंका देने के लिए किस प्रकार के हमले का उपयोग करता है?")</f>
        <v>चित्र में दिखाए गए खेल में, सिलंबम विरोधियों को चौंका देने के लिए किस प्रकार के हमले का उपयोग करता है?</v>
      </c>
      <c r="J65" s="8" t="str">
        <f>IFERROR(__xludf.DUMMYFUNCTION("GOOGLETRANSLATE(D65, ""en"", ""hi"")"),"A) छल, B) प्रत्यक्ष प्रहार, C) जवाबी हमला, D) आश्चर्यजनक प्रहार")</f>
        <v>A) छल, B) प्रत्यक्ष प्रहार, C) जवाबी हमला, D) आश्चर्यजनक प्रहार</v>
      </c>
      <c r="K65" s="8" t="str">
        <f>IFERROR(__xludf.DUMMYFUNCTION("GOOGLETRANSLATE(E65, ""en"", ""hi"")"),"ए) फाइनटिंग")</f>
        <v>ए) फाइनटिंग</v>
      </c>
    </row>
    <row r="66" ht="22.5" customHeight="1">
      <c r="A66" s="2">
        <v>65.0</v>
      </c>
      <c r="B66" s="3" t="s">
        <v>3995</v>
      </c>
      <c r="C66" s="3" t="s">
        <v>3996</v>
      </c>
      <c r="D66" s="3" t="s">
        <v>3997</v>
      </c>
      <c r="E66" s="3" t="s">
        <v>3936</v>
      </c>
      <c r="G66" s="8" t="str">
        <f>IFERROR(__xludf.DUMMYFUNCTION("GOOGLETRANSLATE(A66, ""en"", ""hi"")"),"65")</f>
        <v>65</v>
      </c>
      <c r="H66" s="8" t="str">
        <f>IFERROR(__xludf.DUMMYFUNCTION("GOOGLETRANSLATE(B66, ""en"", ""hi"")"),"सिलंबम_17")</f>
        <v>सिलंबम_17</v>
      </c>
      <c r="I66" s="8" t="str">
        <f>IFERROR(__xludf.DUMMYFUNCTION("GOOGLETRANSLATE(C66, ""en"", ""hi"")"),"चित्र में दिखाए गए खेल के लिए, सिलंबम प्रशिक्षण में निम्नलिखित में से कौन सा तत्व महत्वपूर्ण है?")</f>
        <v>चित्र में दिखाए गए खेल के लिए, सिलंबम प्रशिक्षण में निम्नलिखित में से कौन सा तत्व महत्वपूर्ण है?</v>
      </c>
      <c r="J66" s="8" t="str">
        <f>IFERROR(__xludf.DUMMYFUNCTION("GOOGLETRANSLATE(D66, ""en"", ""hi"")"),"A) परिशुद्धता, B) लचीलापन, C) गति, D) शक्ति")</f>
        <v>A) परिशुद्धता, B) लचीलापन, C) गति, D) शक्ति</v>
      </c>
      <c r="K66" s="8" t="str">
        <f>IFERROR(__xludf.DUMMYFUNCTION("GOOGLETRANSLATE(E66, ""en"", ""hi"")"),"ए) परिशुद्धता")</f>
        <v>ए) परिशुद्धता</v>
      </c>
    </row>
    <row r="67" ht="22.5" customHeight="1">
      <c r="A67" s="2">
        <v>66.0</v>
      </c>
      <c r="B67" s="3" t="s">
        <v>3995</v>
      </c>
      <c r="C67" s="3" t="s">
        <v>3998</v>
      </c>
      <c r="D67" s="3" t="s">
        <v>3999</v>
      </c>
      <c r="E67" s="3" t="s">
        <v>4000</v>
      </c>
      <c r="G67" s="8" t="str">
        <f>IFERROR(__xludf.DUMMYFUNCTION("GOOGLETRANSLATE(A67, ""en"", ""hi"")"),"66")</f>
        <v>66</v>
      </c>
      <c r="H67" s="8" t="str">
        <f>IFERROR(__xludf.DUMMYFUNCTION("GOOGLETRANSLATE(B67, ""en"", ""hi"")"),"सिलंबम_17")</f>
        <v>सिलंबम_17</v>
      </c>
      <c r="I67" s="8" t="str">
        <f>IFERROR(__xludf.DUMMYFUNCTION("GOOGLETRANSLATE(C67, ""en"", ""hi"")"),"चित्र में दिखाए गए खेल में, सिलंबम के गोलाकार फुटवर्क का केंद्र बिंदु क्या है?")</f>
        <v>चित्र में दिखाए गए खेल में, सिलंबम के गोलाकार फुटवर्क का केंद्र बिंदु क्या है?</v>
      </c>
      <c r="J67" s="8" t="str">
        <f>IFERROR(__xludf.DUMMYFUNCTION("GOOGLETRANSLATE(D67, ""en"", ""hi"")"),"A) हमले के लिए कोण बनाना, B) आने वाले हमलों से बचना, C) प्रतिद्वंद्वी के करीब जाना, D) प्रतिद्वंद्वी को भ्रमित करना")</f>
        <v>A) हमले के लिए कोण बनाना, B) आने वाले हमलों से बचना, C) प्रतिद्वंद्वी के करीब जाना, D) प्रतिद्वंद्वी को भ्रमित करना</v>
      </c>
      <c r="K67" s="8" t="str">
        <f>IFERROR(__xludf.DUMMYFUNCTION("GOOGLETRANSLATE(E67, ""en"", ""hi"")"),"A) हमले के लिए कोण बनाना")</f>
        <v>A) हमले के लिए कोण बनाना</v>
      </c>
    </row>
    <row r="68" ht="22.5" customHeight="1">
      <c r="A68" s="2">
        <v>67.0</v>
      </c>
      <c r="B68" s="3" t="s">
        <v>3995</v>
      </c>
      <c r="C68" s="3" t="s">
        <v>4001</v>
      </c>
      <c r="D68" s="3" t="s">
        <v>4002</v>
      </c>
      <c r="E68" s="3" t="s">
        <v>3833</v>
      </c>
      <c r="G68" s="8" t="str">
        <f>IFERROR(__xludf.DUMMYFUNCTION("GOOGLETRANSLATE(A68, ""en"", ""hi"")"),"67")</f>
        <v>67</v>
      </c>
      <c r="H68" s="8" t="str">
        <f>IFERROR(__xludf.DUMMYFUNCTION("GOOGLETRANSLATE(B68, ""en"", ""hi"")"),"सिलंबम_17")</f>
        <v>सिलंबम_17</v>
      </c>
      <c r="I68" s="8" t="str">
        <f>IFERROR(__xludf.DUMMYFUNCTION("GOOGLETRANSLATE(C68, ""en"", ""hi"")"),"चित्र में दिखाए गए खेल के लिए, सिलंबम युद्ध में निम्नलिखित में से कौन सा शरीर का अंग सबसे अधिक असुरक्षित है?")</f>
        <v>चित्र में दिखाए गए खेल के लिए, सिलंबम युद्ध में निम्नलिखित में से कौन सा शरीर का अंग सबसे अधिक असुरक्षित है?</v>
      </c>
      <c r="J68" s="8" t="str">
        <f>IFERROR(__xludf.DUMMYFUNCTION("GOOGLETRANSLATE(D68, ""en"", ""hi"")"),"A) सिर, B) पैर, C) भुजाएँ, D) धड़")</f>
        <v>A) सिर, B) पैर, C) भुजाएँ, D) धड़</v>
      </c>
      <c r="K68" s="8" t="str">
        <f>IFERROR(__xludf.DUMMYFUNCTION("GOOGLETRANSLATE(E68, ""en"", ""hi"")"),"बी) पैर")</f>
        <v>बी) पैर</v>
      </c>
    </row>
    <row r="69" ht="22.5" customHeight="1">
      <c r="A69" s="2">
        <v>68.0</v>
      </c>
      <c r="B69" s="3" t="s">
        <v>3995</v>
      </c>
      <c r="C69" s="3" t="s">
        <v>4003</v>
      </c>
      <c r="D69" s="3" t="s">
        <v>4004</v>
      </c>
      <c r="E69" s="3" t="s">
        <v>4005</v>
      </c>
      <c r="G69" s="8" t="str">
        <f>IFERROR(__xludf.DUMMYFUNCTION("GOOGLETRANSLATE(A69, ""en"", ""hi"")"),"68")</f>
        <v>68</v>
      </c>
      <c r="H69" s="8" t="str">
        <f>IFERROR(__xludf.DUMMYFUNCTION("GOOGLETRANSLATE(B69, ""en"", ""hi"")"),"सिलंबम_17")</f>
        <v>सिलंबम_17</v>
      </c>
      <c r="I69" s="8" t="str">
        <f>IFERROR(__xludf.DUMMYFUNCTION("GOOGLETRANSLATE(C69, ""en"", ""hi"")"),"चित्र में दिखाए गए खेल सिलंबम में संतुलन बनाए रखने के लिए किस मुद्रा का उपयोग किया जाता है?")</f>
        <v>चित्र में दिखाए गए खेल सिलंबम में संतुलन बनाए रखने के लिए किस मुद्रा का उपयोग किया जाता है?</v>
      </c>
      <c r="J69" s="8" t="str">
        <f>IFERROR(__xludf.DUMMYFUNCTION("GOOGLETRANSLATE(D69, ""en"", ""hi"")"),"ए) तटस्थ रुख, बी) उच्च रुख, सी) रक्षात्मक रुख, डी) चौड़ा रुख")</f>
        <v>ए) तटस्थ रुख, बी) उच्च रुख, सी) रक्षात्मक रुख, डी) चौड़ा रुख</v>
      </c>
      <c r="K69" s="8" t="str">
        <f>IFERROR(__xludf.DUMMYFUNCTION("GOOGLETRANSLATE(E69, ""en"", ""hi"")"),"D) चौड़ा रुख")</f>
        <v>D) चौड़ा रुख</v>
      </c>
    </row>
    <row r="70" ht="22.5" customHeight="1">
      <c r="A70" s="2">
        <v>69.0</v>
      </c>
      <c r="B70" s="3" t="s">
        <v>4006</v>
      </c>
      <c r="C70" s="3" t="s">
        <v>4007</v>
      </c>
      <c r="D70" s="3" t="s">
        <v>4008</v>
      </c>
      <c r="E70" s="3" t="s">
        <v>4009</v>
      </c>
      <c r="G70" s="8" t="str">
        <f>IFERROR(__xludf.DUMMYFUNCTION("GOOGLETRANSLATE(A70, ""en"", ""hi"")"),"69")</f>
        <v>69</v>
      </c>
      <c r="H70" s="8" t="str">
        <f>IFERROR(__xludf.DUMMYFUNCTION("GOOGLETRANSLATE(B70, ""en"", ""hi"")"),"सिलंबम_18")</f>
        <v>सिलंबम_18</v>
      </c>
      <c r="I70" s="8" t="str">
        <f>IFERROR(__xludf.DUMMYFUNCTION("GOOGLETRANSLATE(C70, ""en"", ""hi"")"),"चित्र में दिखाए गए खेल के लिए, सिलंबम प्रशिक्षण में अक्सर निम्नलिखित में से किस पर जोर दिया जाता है?")</f>
        <v>चित्र में दिखाए गए खेल के लिए, सिलंबम प्रशिक्षण में अक्सर निम्नलिखित में से किस पर जोर दिया जाता है?</v>
      </c>
      <c r="J70" s="8" t="str">
        <f>IFERROR(__xludf.DUMMYFUNCTION("GOOGLETRANSLATE(D70, ""en"", ""hi"")"),"A) कलाइयों का लचीलापन, B) पैरों की गति, C) हाथों और पैरों के बीच समन्वय, D) कंधों की मजबूती")</f>
        <v>A) कलाइयों का लचीलापन, B) पैरों की गति, C) हाथों और पैरों के बीच समन्वय, D) कंधों की मजबूती</v>
      </c>
      <c r="K70" s="8" t="str">
        <f>IFERROR(__xludf.DUMMYFUNCTION("GOOGLETRANSLATE(E70, ""en"", ""hi"")"),"C) हाथों और पैरों के बीच समन्वय")</f>
        <v>C) हाथों और पैरों के बीच समन्वय</v>
      </c>
    </row>
    <row r="71" ht="22.5" customHeight="1">
      <c r="A71" s="2">
        <v>70.0</v>
      </c>
      <c r="B71" s="3" t="s">
        <v>4006</v>
      </c>
      <c r="C71" s="3" t="s">
        <v>4010</v>
      </c>
      <c r="D71" s="3" t="s">
        <v>4011</v>
      </c>
      <c r="E71" s="3" t="s">
        <v>4012</v>
      </c>
      <c r="G71" s="8" t="str">
        <f>IFERROR(__xludf.DUMMYFUNCTION("GOOGLETRANSLATE(A71, ""en"", ""hi"")"),"70")</f>
        <v>70</v>
      </c>
      <c r="H71" s="8" t="str">
        <f>IFERROR(__xludf.DUMMYFUNCTION("GOOGLETRANSLATE(B71, ""en"", ""hi"")"),"सिलंबम_18")</f>
        <v>सिलंबम_18</v>
      </c>
      <c r="I71" s="8" t="str">
        <f>IFERROR(__xludf.DUMMYFUNCTION("GOOGLETRANSLATE(C71, ""en"", ""hi"")"),"चित्र में दिखाए गए खेल में, सिलंबम प्रशिक्षण का कौन सा भाग अभ्यासकर्ताओं को अपना संतुलन सुधारने में मदद करता है?")</f>
        <v>चित्र में दिखाए गए खेल में, सिलंबम प्रशिक्षण का कौन सा भाग अभ्यासकर्ताओं को अपना संतुलन सुधारने में मदद करता है?</v>
      </c>
      <c r="J71" s="8" t="str">
        <f>IFERROR(__xludf.DUMMYFUNCTION("GOOGLETRANSLATE(D71, ""en"", ""hi"")"),"ए) पोल स्पिनिंग, बी) स्टिक ट्वर्लिंग, सी) स्टांस ड्रिल्स, डी) स्पीड स्ट्राइकिंग")</f>
        <v>ए) पोल स्पिनिंग, बी) स्टिक ट्वर्लिंग, सी) स्टांस ड्रिल्स, डी) स्पीड स्ट्राइकिंग</v>
      </c>
      <c r="K71" s="8" t="str">
        <f>IFERROR(__xludf.DUMMYFUNCTION("GOOGLETRANSLATE(E71, ""en"", ""hi"")"),"सी) रुख अभ्यास")</f>
        <v>सी) रुख अभ्यास</v>
      </c>
    </row>
    <row r="72" ht="22.5" customHeight="1">
      <c r="A72" s="2">
        <v>71.0</v>
      </c>
      <c r="B72" s="3" t="s">
        <v>4006</v>
      </c>
      <c r="C72" s="3" t="s">
        <v>4013</v>
      </c>
      <c r="D72" s="3" t="s">
        <v>4014</v>
      </c>
      <c r="E72" s="3" t="s">
        <v>4015</v>
      </c>
      <c r="G72" s="8" t="str">
        <f>IFERROR(__xludf.DUMMYFUNCTION("GOOGLETRANSLATE(A72, ""en"", ""hi"")"),"71")</f>
        <v>71</v>
      </c>
      <c r="H72" s="8" t="str">
        <f>IFERROR(__xludf.DUMMYFUNCTION("GOOGLETRANSLATE(B72, ""en"", ""hi"")"),"सिलंबम_18")</f>
        <v>सिलंबम_18</v>
      </c>
      <c r="I72" s="8" t="str">
        <f>IFERROR(__xludf.DUMMYFUNCTION("GOOGLETRANSLATE(C72, ""en"", ""hi"")"),"चित्र में दिखाए गए खेल के लिए, सिलंबम का पारंपरिक रूप से किस प्रकार के युद्ध के साथ संयोजन में उपयोग किया जाता था?")</f>
        <v>चित्र में दिखाए गए खेल के लिए, सिलंबम का पारंपरिक रूप से किस प्रकार के युद्ध के साथ संयोजन में उपयोग किया जाता था?</v>
      </c>
      <c r="J72" s="8" t="str">
        <f>IFERROR(__xludf.DUMMYFUNCTION("GOOGLETRANSLATE(D72, ""en"", ""hi"")"),"A) तलवारबाजी, B) कुश्ती, C) तीरंदाजी, D) मुक्केबाजी")</f>
        <v>A) तलवारबाजी, B) कुश्ती, C) तीरंदाजी, D) मुक्केबाजी</v>
      </c>
      <c r="K72" s="8" t="str">
        <f>IFERROR(__xludf.DUMMYFUNCTION("GOOGLETRANSLATE(E72, ""en"", ""hi"")"),"A) तलवारबाजी")</f>
        <v>A) तलवारबाजी</v>
      </c>
    </row>
    <row r="73" ht="22.5" customHeight="1">
      <c r="A73" s="2">
        <v>72.0</v>
      </c>
      <c r="B73" s="3" t="s">
        <v>4006</v>
      </c>
      <c r="C73" s="3" t="s">
        <v>4016</v>
      </c>
      <c r="D73" s="3" t="s">
        <v>4017</v>
      </c>
      <c r="E73" s="3" t="s">
        <v>4018</v>
      </c>
      <c r="G73" s="8" t="str">
        <f>IFERROR(__xludf.DUMMYFUNCTION("GOOGLETRANSLATE(A73, ""en"", ""hi"")"),"72")</f>
        <v>72</v>
      </c>
      <c r="H73" s="8" t="str">
        <f>IFERROR(__xludf.DUMMYFUNCTION("GOOGLETRANSLATE(B73, ""en"", ""hi"")"),"सिलंबम_18")</f>
        <v>सिलंबम_18</v>
      </c>
      <c r="I73" s="8" t="str">
        <f>IFERROR(__xludf.DUMMYFUNCTION("GOOGLETRANSLATE(C73, ""en"", ""hi"")"),"चित्र में दिखाए गए खेल में, सिलंबम की प्रभावशीलता में निम्नलिखित में से कौन सा कारक प्रमुख है?")</f>
        <v>चित्र में दिखाए गए खेल में, सिलंबम की प्रभावशीलता में निम्नलिखित में से कौन सा कारक प्रमुख है?</v>
      </c>
      <c r="J73" s="8" t="str">
        <f>IFERROR(__xludf.DUMMYFUNCTION("GOOGLETRANSLATE(D73, ""en"", ""hi"")"),"A) दूरी प्रबंधन, B) शक्ति, C) सहनशक्ति, D) छड़ी का वजन")</f>
        <v>A) दूरी प्रबंधन, B) शक्ति, C) सहनशक्ति, D) छड़ी का वजन</v>
      </c>
      <c r="K73" s="8" t="str">
        <f>IFERROR(__xludf.DUMMYFUNCTION("GOOGLETRANSLATE(E73, ""en"", ""hi"")"),"ए) दूरस्थ प्रबंधन")</f>
        <v>ए) दूरस्थ प्रबंधन</v>
      </c>
    </row>
    <row r="74" ht="22.5" customHeight="1">
      <c r="A74" s="2">
        <v>73.0</v>
      </c>
      <c r="B74" s="3" t="s">
        <v>4019</v>
      </c>
      <c r="C74" s="3" t="s">
        <v>4020</v>
      </c>
      <c r="D74" s="3" t="s">
        <v>4021</v>
      </c>
      <c r="E74" s="3" t="s">
        <v>4022</v>
      </c>
      <c r="G74" s="8" t="str">
        <f>IFERROR(__xludf.DUMMYFUNCTION("GOOGLETRANSLATE(A74, ""en"", ""hi"")"),"73")</f>
        <v>73</v>
      </c>
      <c r="H74" s="8" t="str">
        <f>IFERROR(__xludf.DUMMYFUNCTION("GOOGLETRANSLATE(B74, ""en"", ""hi"")"),"सिलंबम_19")</f>
        <v>सिलंबम_19</v>
      </c>
      <c r="I74" s="8" t="str">
        <f>IFERROR(__xludf.DUMMYFUNCTION("GOOGLETRANSLATE(C74, ""en"", ""hi"")"),"चित्र में दिखाए गए खेल के लिए, सिलंबम का अभ्यास करने हेतु किस प्रकार का वातावरण आदर्श है?")</f>
        <v>चित्र में दिखाए गए खेल के लिए, सिलंबम का अभ्यास करने हेतु किस प्रकार का वातावरण आदर्श है?</v>
      </c>
      <c r="J74" s="8" t="str">
        <f>IFERROR(__xludf.DUMMYFUNCTION("GOOGLETRANSLATE(D74, ""en"", ""hi"")"),"A) खुला मैदान, B) वन क्षेत्र, C) इनडोर अखाड़ा, D) पहाड़ी क्षेत्र")</f>
        <v>A) खुला मैदान, B) वन क्षेत्र, C) इनडोर अखाड़ा, D) पहाड़ी क्षेत्र</v>
      </c>
      <c r="K74" s="8" t="str">
        <f>IFERROR(__xludf.DUMMYFUNCTION("GOOGLETRANSLATE(E74, ""en"", ""hi"")"),"ए) खुला मैदान")</f>
        <v>ए) खुला मैदान</v>
      </c>
    </row>
    <row r="75" ht="22.5" customHeight="1">
      <c r="A75" s="2">
        <v>74.0</v>
      </c>
      <c r="B75" s="3" t="s">
        <v>4019</v>
      </c>
      <c r="C75" s="3" t="s">
        <v>4023</v>
      </c>
      <c r="D75" s="3" t="s">
        <v>4024</v>
      </c>
      <c r="E75" s="3" t="s">
        <v>3679</v>
      </c>
      <c r="G75" s="8" t="str">
        <f>IFERROR(__xludf.DUMMYFUNCTION("GOOGLETRANSLATE(A75, ""en"", ""hi"")"),"74")</f>
        <v>74</v>
      </c>
      <c r="H75" s="8" t="str">
        <f>IFERROR(__xludf.DUMMYFUNCTION("GOOGLETRANSLATE(B75, ""en"", ""hi"")"),"सिलंबम_19")</f>
        <v>सिलंबम_19</v>
      </c>
      <c r="I75" s="8" t="str">
        <f>IFERROR(__xludf.DUMMYFUNCTION("GOOGLETRANSLATE(C75, ""en"", ""hi"")"),"चित्र में दिखाए गए खेल में, सिलंबम मुद्राओं के अभ्यास के लिए कौन सा घटक आवश्यक है?")</f>
        <v>चित्र में दिखाए गए खेल में, सिलंबम मुद्राओं के अभ्यास के लिए कौन सा घटक आवश्यक है?</v>
      </c>
      <c r="J75" s="8" t="str">
        <f>IFERROR(__xludf.DUMMYFUNCTION("GOOGLETRANSLATE(D75, ""en"", ""hi"")"),"A) लचीलापन, B) ताकत, C) गति, D) संतुलन")</f>
        <v>A) लचीलापन, B) ताकत, C) गति, D) संतुलन</v>
      </c>
      <c r="K75" s="8" t="str">
        <f>IFERROR(__xludf.DUMMYFUNCTION("GOOGLETRANSLATE(E75, ""en"", ""hi"")"),"डी) संतुलन")</f>
        <v>डी) संतुलन</v>
      </c>
    </row>
    <row r="76" ht="22.5" customHeight="1">
      <c r="A76" s="2">
        <v>75.0</v>
      </c>
      <c r="B76" s="3" t="s">
        <v>4019</v>
      </c>
      <c r="C76" s="3" t="s">
        <v>4025</v>
      </c>
      <c r="D76" s="3" t="s">
        <v>4026</v>
      </c>
      <c r="E76" s="3" t="s">
        <v>4027</v>
      </c>
      <c r="G76" s="8" t="str">
        <f>IFERROR(__xludf.DUMMYFUNCTION("GOOGLETRANSLATE(A76, ""en"", ""hi"")"),"75")</f>
        <v>75</v>
      </c>
      <c r="H76" s="8" t="str">
        <f>IFERROR(__xludf.DUMMYFUNCTION("GOOGLETRANSLATE(B76, ""en"", ""hi"")"),"सिलंबम_19")</f>
        <v>सिलंबम_19</v>
      </c>
      <c r="I76" s="8" t="str">
        <f>IFERROR(__xludf.DUMMYFUNCTION("GOOGLETRANSLATE(C76, ""en"", ""hi"")"),"चित्र में दिखाए गए खेल के लिए, निम्नलिखित में से कौन सी गतिविधि सिलंबम स्पैरिंग सत्र का अभिन्न अंग है?")</f>
        <v>चित्र में दिखाए गए खेल के लिए, निम्नलिखित में से कौन सी गतिविधि सिलंबम स्पैरिंग सत्र का अभिन्न अंग है?</v>
      </c>
      <c r="J76" s="8" t="str">
        <f>IFERROR(__xludf.DUMMYFUNCTION("GOOGLETRANSLATE(D76, ""en"", ""hi"")"),"ए) हाई किक, बी) रोलिंग, सी) स्टिक थ्रस्ट, डी) जंपिंग स्ट्राइक")</f>
        <v>ए) हाई किक, बी) रोलिंग, सी) स्टिक थ्रस्ट, डी) जंपिंग स्ट्राइक</v>
      </c>
      <c r="K76" s="8" t="str">
        <f>IFERROR(__xludf.DUMMYFUNCTION("GOOGLETRANSLATE(E76, ""en"", ""hi"")"),"C) स्टिक थ्रस्ट")</f>
        <v>C) स्टिक थ्रस्ट</v>
      </c>
    </row>
    <row r="77" ht="22.5" customHeight="1">
      <c r="A77" s="2">
        <v>76.0</v>
      </c>
      <c r="B77" s="3" t="s">
        <v>4019</v>
      </c>
      <c r="C77" s="3" t="s">
        <v>4028</v>
      </c>
      <c r="D77" s="3" t="s">
        <v>4029</v>
      </c>
      <c r="E77" s="3" t="s">
        <v>4030</v>
      </c>
      <c r="G77" s="8" t="str">
        <f>IFERROR(__xludf.DUMMYFUNCTION("GOOGLETRANSLATE(A77, ""en"", ""hi"")"),"76")</f>
        <v>76</v>
      </c>
      <c r="H77" s="8" t="str">
        <f>IFERROR(__xludf.DUMMYFUNCTION("GOOGLETRANSLATE(B77, ""en"", ""hi"")"),"सिलंबम_19")</f>
        <v>सिलंबम_19</v>
      </c>
      <c r="I77" s="8" t="str">
        <f>IFERROR(__xludf.DUMMYFUNCTION("GOOGLETRANSLATE(C77, ""en"", ""hi"")"),"चित्र में दिखाए गए खेल में, सिलंबम अभ्यासकर्ता अक्सर सुरक्षा के लिए निम्नलिखित में से क्या पहनते हैं?")</f>
        <v>चित्र में दिखाए गए खेल में, सिलंबम अभ्यासकर्ता अक्सर सुरक्षा के लिए निम्नलिखित में से क्या पहनते हैं?</v>
      </c>
      <c r="J77" s="8" t="str">
        <f>IFERROR(__xludf.DUMMYFUNCTION("GOOGLETRANSLATE(D77, ""en"", ""hi"")"),"A) हेडगियर, B) चेस्ट गार्ड, C) दस्ताने, D) आर्म गार्ड")</f>
        <v>A) हेडगियर, B) चेस्ट गार्ड, C) दस्ताने, D) आर्म गार्ड</v>
      </c>
      <c r="K77" s="8" t="str">
        <f>IFERROR(__xludf.DUMMYFUNCTION("GOOGLETRANSLATE(E77, ""en"", ""hi"")"),"बी) चेस्ट गार्ड")</f>
        <v>बी) चेस्ट गार्ड</v>
      </c>
    </row>
    <row r="78" ht="22.5" customHeight="1">
      <c r="A78" s="2">
        <v>77.0</v>
      </c>
      <c r="B78" s="3" t="s">
        <v>4031</v>
      </c>
      <c r="C78" s="3" t="s">
        <v>4032</v>
      </c>
      <c r="D78" s="3" t="s">
        <v>4033</v>
      </c>
      <c r="E78" s="3" t="s">
        <v>4034</v>
      </c>
      <c r="G78" s="8" t="str">
        <f>IFERROR(__xludf.DUMMYFUNCTION("GOOGLETRANSLATE(A78, ""en"", ""hi"")"),"77")</f>
        <v>77</v>
      </c>
      <c r="H78" s="8" t="str">
        <f>IFERROR(__xludf.DUMMYFUNCTION("GOOGLETRANSLATE(B78, ""en"", ""hi"")"),"सिलंबम_20")</f>
        <v>सिलंबम_20</v>
      </c>
      <c r="I78" s="8" t="str">
        <f>IFERROR(__xludf.DUMMYFUNCTION("GOOGLETRANSLATE(C78, ""en"", ""hi"")"),"चित्र में दिखाए गए खेल के लिए, सिलंबम में हमले से बचने के लिए आमतौर पर किस गति का उपयोग किया जाता है?")</f>
        <v>चित्र में दिखाए गए खेल के लिए, सिलंबम में हमले से बचने के लिए आमतौर पर किस गति का उपयोग किया जाता है?</v>
      </c>
      <c r="J78" s="8" t="str">
        <f>IFERROR(__xludf.DUMMYFUNCTION("GOOGLETRANSLATE(D78, ""en"", ""hi"")"),"A) साइडस्टेपिंग, B) डकिंग, C) जंपिंग, D) पीछे झुकना")</f>
        <v>A) साइडस्टेपिंग, B) डकिंग, C) जंपिंग, D) पीछे झुकना</v>
      </c>
      <c r="K78" s="8" t="str">
        <f>IFERROR(__xludf.DUMMYFUNCTION("GOOGLETRANSLATE(E78, ""en"", ""hi"")"),"ए) साइडस्टेपिंग")</f>
        <v>ए) साइडस्टेपिंग</v>
      </c>
    </row>
    <row r="79" ht="22.5" customHeight="1">
      <c r="A79" s="2">
        <v>78.0</v>
      </c>
      <c r="B79" s="3" t="s">
        <v>4031</v>
      </c>
      <c r="C79" s="3" t="s">
        <v>4035</v>
      </c>
      <c r="D79" s="3" t="s">
        <v>4036</v>
      </c>
      <c r="E79" s="3" t="s">
        <v>4037</v>
      </c>
      <c r="G79" s="8" t="str">
        <f>IFERROR(__xludf.DUMMYFUNCTION("GOOGLETRANSLATE(A79, ""en"", ""hi"")"),"78")</f>
        <v>78</v>
      </c>
      <c r="H79" s="8" t="str">
        <f>IFERROR(__xludf.DUMMYFUNCTION("GOOGLETRANSLATE(B79, ""en"", ""hi"")"),"सिलंबम_20")</f>
        <v>सिलंबम_20</v>
      </c>
      <c r="I79" s="8" t="str">
        <f>IFERROR(__xludf.DUMMYFUNCTION("GOOGLETRANSLATE(C79, ""en"", ""hi"")"),"चित्र में दिखाए गए खेल में, सिलंबम अभ्यास के दौरान नियंत्रण पर किस प्रकार जोर देता है?")</f>
        <v>चित्र में दिखाए गए खेल में, सिलंबम अभ्यास के दौरान नियंत्रण पर किस प्रकार जोर देता है?</v>
      </c>
      <c r="J79" s="8" t="str">
        <f>IFERROR(__xludf.DUMMYFUNCTION("GOOGLETRANSLATE(D79, ""en"", ""hi"")"),"A) बल को न्यूनतम करके, B) गति को बढ़ाकर, C) सटीकता पर ध्यान केंद्रित करके, D) गति को सीमित करके")</f>
        <v>A) बल को न्यूनतम करके, B) गति को बढ़ाकर, C) सटीकता पर ध्यान केंद्रित करके, D) गति को सीमित करके</v>
      </c>
      <c r="K79" s="8" t="str">
        <f>IFERROR(__xludf.DUMMYFUNCTION("GOOGLETRANSLATE(E79, ""en"", ""hi"")"),"C) सटीकता पर ध्यान केंद्रित करके")</f>
        <v>C) सटीकता पर ध्यान केंद्रित करके</v>
      </c>
    </row>
    <row r="80" ht="22.5" customHeight="1">
      <c r="A80" s="2">
        <v>79.0</v>
      </c>
      <c r="B80" s="3" t="s">
        <v>4031</v>
      </c>
      <c r="C80" s="3" t="s">
        <v>4038</v>
      </c>
      <c r="D80" s="3" t="s">
        <v>4039</v>
      </c>
      <c r="E80" s="3" t="s">
        <v>952</v>
      </c>
      <c r="G80" s="8" t="str">
        <f>IFERROR(__xludf.DUMMYFUNCTION("GOOGLETRANSLATE(A80, ""en"", ""hi"")"),"79")</f>
        <v>79</v>
      </c>
      <c r="H80" s="8" t="str">
        <f>IFERROR(__xludf.DUMMYFUNCTION("GOOGLETRANSLATE(B80, ""en"", ""hi"")"),"सिलंबम_20")</f>
        <v>सिलंबम_20</v>
      </c>
      <c r="I80" s="8" t="str">
        <f>IFERROR(__xludf.DUMMYFUNCTION("GOOGLETRANSLATE(C80, ""en"", ""hi"")"),"चित्र में दिखाए गए खेल में प्रतिद्वंद्वी के प्रहार को विफल करने के लिए कौन सा कौशल आवश्यक है?")</f>
        <v>चित्र में दिखाए गए खेल में प्रतिद्वंद्वी के प्रहार को विफल करने के लिए कौन सा कौशल आवश्यक है?</v>
      </c>
      <c r="J80" s="8" t="str">
        <f>IFERROR(__xludf.DUMMYFUNCTION("GOOGLETRANSLATE(D80, ""en"", ""hi"")"),"A) ताकत, B) चपलता, C) गति, D) लचीलापन")</f>
        <v>A) ताकत, B) चपलता, C) गति, D) लचीलापन</v>
      </c>
      <c r="K80" s="8" t="str">
        <f>IFERROR(__xludf.DUMMYFUNCTION("GOOGLETRANSLATE(E80, ""en"", ""hi"")"),"बी) चपलता")</f>
        <v>बी) चपलता</v>
      </c>
    </row>
    <row r="81" ht="22.5" customHeight="1">
      <c r="A81" s="2">
        <v>80.0</v>
      </c>
      <c r="B81" s="3" t="s">
        <v>4031</v>
      </c>
      <c r="C81" s="3" t="s">
        <v>4040</v>
      </c>
      <c r="D81" s="3" t="s">
        <v>4041</v>
      </c>
      <c r="E81" s="3" t="s">
        <v>4042</v>
      </c>
      <c r="G81" s="8" t="str">
        <f>IFERROR(__xludf.DUMMYFUNCTION("GOOGLETRANSLATE(A81, ""en"", ""hi"")"),"80")</f>
        <v>80</v>
      </c>
      <c r="H81" s="8" t="str">
        <f>IFERROR(__xludf.DUMMYFUNCTION("GOOGLETRANSLATE(B81, ""en"", ""hi"")"),"सिलंबम_20")</f>
        <v>सिलंबम_20</v>
      </c>
      <c r="I81" s="8" t="str">
        <f>IFERROR(__xludf.DUMMYFUNCTION("GOOGLETRANSLATE(C81, ""en"", ""hi"")"),"चित्र में दिखाए गए खेल में, निम्नलिखित में से कौन सा सिलंबम रक्षा का पारंपरिक रूप है?")</f>
        <v>चित्र में दिखाए गए खेल में, निम्नलिखित में से कौन सा सिलंबम रक्षा का पारंपरिक रूप है?</v>
      </c>
      <c r="J81" s="8" t="str">
        <f>IFERROR(__xludf.DUMMYFUNCTION("GOOGLETRANSLATE(D81, ""en"", ""hi"")"),"ए) स्टिक ब्लॉकिंग, बी) स्टिक ग्रैबिंग, सी) हैंड-टू-हैंड डिफेंस, डी) साइडस्टेपिंग")</f>
        <v>ए) स्टिक ब्लॉकिंग, बी) स्टिक ग्रैबिंग, सी) हैंड-टू-हैंड डिफेंस, डी) साइडस्टेपिंग</v>
      </c>
      <c r="K81" s="8" t="str">
        <f>IFERROR(__xludf.DUMMYFUNCTION("GOOGLETRANSLATE(E81, ""en"", ""hi"")"),"A) स्टिक ब्लॉकिंग")</f>
        <v>A) स्टिक ब्लॉकिंग</v>
      </c>
    </row>
    <row r="82" ht="22.5" customHeight="1">
      <c r="A82" s="2">
        <v>81.0</v>
      </c>
      <c r="B82" s="3" t="s">
        <v>4043</v>
      </c>
      <c r="C82" s="3" t="s">
        <v>4044</v>
      </c>
      <c r="D82" s="3" t="s">
        <v>4045</v>
      </c>
      <c r="E82" s="3" t="s">
        <v>4046</v>
      </c>
      <c r="G82" s="8" t="str">
        <f>IFERROR(__xludf.DUMMYFUNCTION("GOOGLETRANSLATE(A82, ""en"", ""hi"")"),"81")</f>
        <v>81</v>
      </c>
      <c r="H82" s="8" t="str">
        <f>IFERROR(__xludf.DUMMYFUNCTION("GOOGLETRANSLATE(B82, ""en"", ""hi"")"),"सिलंबम_21")</f>
        <v>सिलंबम_21</v>
      </c>
      <c r="I82" s="8" t="str">
        <f>IFERROR(__xludf.DUMMYFUNCTION("GOOGLETRANSLATE(C82, ""en"", ""hi"")"),"चित्र में दिखाए गए खेल के लिए, सिलंबम में 'वीचु अदि' शब्द का क्या अर्थ है?")</f>
        <v>चित्र में दिखाए गए खेल के लिए, सिलंबम में 'वीचु अदि' शब्द का क्या अर्थ है?</v>
      </c>
      <c r="J82" s="8" t="str">
        <f>IFERROR(__xludf.DUMMYFUNCTION("GOOGLETRANSLATE(D82, ""en"", ""hi"")"),"ए) गोलाकार फुटवर्क, बी) ओवरहेड स्ट्राइक, सी) स्वीपिंग स्ट्राइक, डी) रक्षात्मक मुद्रा")</f>
        <v>ए) गोलाकार फुटवर्क, बी) ओवरहेड स्ट्राइक, सी) स्वीपिंग स्ट्राइक, डी) रक्षात्मक मुद्रा</v>
      </c>
      <c r="K82" s="8" t="str">
        <f>IFERROR(__xludf.DUMMYFUNCTION("GOOGLETRANSLATE(E82, ""en"", ""hi"")"),"C) व्यापक हड़ताल")</f>
        <v>C) व्यापक हड़ताल</v>
      </c>
    </row>
    <row r="83" ht="22.5" customHeight="1">
      <c r="A83" s="2">
        <v>82.0</v>
      </c>
      <c r="B83" s="3" t="s">
        <v>4043</v>
      </c>
      <c r="C83" s="3" t="s">
        <v>4047</v>
      </c>
      <c r="D83" s="3" t="s">
        <v>4048</v>
      </c>
      <c r="E83" s="3" t="s">
        <v>4049</v>
      </c>
      <c r="G83" s="8" t="str">
        <f>IFERROR(__xludf.DUMMYFUNCTION("GOOGLETRANSLATE(A83, ""en"", ""hi"")"),"82")</f>
        <v>82</v>
      </c>
      <c r="H83" s="8" t="str">
        <f>IFERROR(__xludf.DUMMYFUNCTION("GOOGLETRANSLATE(B83, ""en"", ""hi"")"),"सिलंबम_21")</f>
        <v>सिलंबम_21</v>
      </c>
      <c r="I83" s="8" t="str">
        <f>IFERROR(__xludf.DUMMYFUNCTION("GOOGLETRANSLATE(C83, ""en"", ""hi"")"),"चित्र में दिखाए गए खेल में बांस की छड़ियों के अलावा किस प्रकार के सिलंबम हथियार का आमतौर पर उपयोग किया जाता है?")</f>
        <v>चित्र में दिखाए गए खेल में बांस की छड़ियों के अलावा किस प्रकार के सिलंबम हथियार का आमतौर पर उपयोग किया जाता है?</v>
      </c>
      <c r="J83" s="8" t="str">
        <f>IFERROR(__xludf.DUMMYFUNCTION("GOOGLETRANSLATE(D83, ""en"", ""hi"")"),"A) तलवारें, B) भाले, C) ढालें, D) गदा")</f>
        <v>A) तलवारें, B) भाले, C) ढालें, D) गदा</v>
      </c>
      <c r="K83" s="8" t="str">
        <f>IFERROR(__xludf.DUMMYFUNCTION("GOOGLETRANSLATE(E83, ""en"", ""hi"")"),"बी) स्पीयर्स")</f>
        <v>बी) स्पीयर्स</v>
      </c>
    </row>
    <row r="84" ht="22.5" customHeight="1">
      <c r="A84" s="2">
        <v>83.0</v>
      </c>
      <c r="B84" s="3" t="s">
        <v>4043</v>
      </c>
      <c r="C84" s="3" t="s">
        <v>4050</v>
      </c>
      <c r="D84" s="3" t="s">
        <v>4051</v>
      </c>
      <c r="E84" s="3" t="s">
        <v>4052</v>
      </c>
      <c r="G84" s="8" t="str">
        <f>IFERROR(__xludf.DUMMYFUNCTION("GOOGLETRANSLATE(A84, ""en"", ""hi"")"),"83")</f>
        <v>83</v>
      </c>
      <c r="H84" s="8" t="str">
        <f>IFERROR(__xludf.DUMMYFUNCTION("GOOGLETRANSLATE(B84, ""en"", ""hi"")"),"सिलंबम_21")</f>
        <v>सिलंबम_21</v>
      </c>
      <c r="I84" s="8" t="str">
        <f>IFERROR(__xludf.DUMMYFUNCTION("GOOGLETRANSLATE(C84, ""en"", ""hi"")"),"चित्र में दिखाए गए खेल के लिए, सिलंबम में समन्वय में सुधार के लिए निम्नलिखित में से किसका उपयोग किया जाता है?")</f>
        <v>चित्र में दिखाए गए खेल के लिए, सिलंबम में समन्वय में सुधार के लिए निम्नलिखित में से किसका उपयोग किया जाता है?</v>
      </c>
      <c r="J84" s="8" t="str">
        <f>IFERROR(__xludf.DUMMYFUNCTION("GOOGLETRANSLATE(D84, ""en"", ""hi"")"),"A) हाथ-आँख अभ्यास, B) गति दौड़, C) शक्ति प्रशिक्षण, D) ध्यान")</f>
        <v>A) हाथ-आँख अभ्यास, B) गति दौड़, C) शक्ति प्रशिक्षण, D) ध्यान</v>
      </c>
      <c r="K84" s="8" t="str">
        <f>IFERROR(__xludf.DUMMYFUNCTION("GOOGLETRANSLATE(E84, ""en"", ""hi"")"),"A) हाथ-आँख अभ्यास")</f>
        <v>A) हाथ-आँख अभ्यास</v>
      </c>
    </row>
    <row r="85" ht="22.5" customHeight="1">
      <c r="A85" s="2">
        <v>84.0</v>
      </c>
      <c r="B85" s="3" t="s">
        <v>4043</v>
      </c>
      <c r="C85" s="3" t="s">
        <v>4053</v>
      </c>
      <c r="D85" s="3" t="s">
        <v>4054</v>
      </c>
      <c r="E85" s="3" t="s">
        <v>4055</v>
      </c>
      <c r="G85" s="8" t="str">
        <f>IFERROR(__xludf.DUMMYFUNCTION("GOOGLETRANSLATE(A85, ""en"", ""hi"")"),"84")</f>
        <v>84</v>
      </c>
      <c r="H85" s="8" t="str">
        <f>IFERROR(__xludf.DUMMYFUNCTION("GOOGLETRANSLATE(B85, ""en"", ""hi"")"),"सिलंबम_21")</f>
        <v>सिलंबम_21</v>
      </c>
      <c r="I85" s="8" t="str">
        <f>IFERROR(__xludf.DUMMYFUNCTION("GOOGLETRANSLATE(C85, ""en"", ""hi"")"),"चित्र में दिखाए गए खेल में, सिलंबम में फुटवर्क को किस प्रकार एकीकृत किया जाता है?")</f>
        <v>चित्र में दिखाए गए खेल में, सिलंबम में फुटवर्क को किस प्रकार एकीकृत किया जाता है?</v>
      </c>
      <c r="J85" s="8" t="str">
        <f>IFERROR(__xludf.DUMMYFUNCTION("GOOGLETRANSLATE(D85, ""en"", ""hi"")"),"A) सीधी रेखा में चलना, B) जटिल पैटर्न बनाना, C) प्रहारों की लय का मिलान करना, D) प्रतिद्वंद्वी के चारों ओर चक्कर लगाना")</f>
        <v>A) सीधी रेखा में चलना, B) जटिल पैटर्न बनाना, C) प्रहारों की लय का मिलान करना, D) प्रतिद्वंद्वी के चारों ओर चक्कर लगाना</v>
      </c>
      <c r="K85" s="8" t="str">
        <f>IFERROR(__xludf.DUMMYFUNCTION("GOOGLETRANSLATE(E85, ""en"", ""hi"")"),"C) हमलों की लय का मिलान")</f>
        <v>C) हमलों की लय का मिलान</v>
      </c>
    </row>
    <row r="86" ht="22.5" customHeight="1">
      <c r="A86" s="2">
        <v>85.0</v>
      </c>
      <c r="B86" s="3" t="s">
        <v>4056</v>
      </c>
      <c r="C86" s="3" t="s">
        <v>4057</v>
      </c>
      <c r="D86" s="3" t="s">
        <v>4058</v>
      </c>
      <c r="E86" s="3" t="s">
        <v>4059</v>
      </c>
      <c r="G86" s="8" t="str">
        <f>IFERROR(__xludf.DUMMYFUNCTION("GOOGLETRANSLATE(A86, ""en"", ""hi"")"),"85")</f>
        <v>85</v>
      </c>
      <c r="H86" s="8" t="str">
        <f>IFERROR(__xludf.DUMMYFUNCTION("GOOGLETRANSLATE(B86, ""en"", ""hi"")"),"सिलंबम_22")</f>
        <v>सिलंबम_22</v>
      </c>
      <c r="I86" s="8" t="str">
        <f>IFERROR(__xludf.DUMMYFUNCTION("GOOGLETRANSLATE(C86, ""en"", ""hi"")"),"चित्र में दिखाए गए खेल के लिए, सिलंबम अभ्यास के दौरान किस प्रकार की जागरूकता सिखाता है?")</f>
        <v>चित्र में दिखाए गए खेल के लिए, सिलंबम अभ्यास के दौरान किस प्रकार की जागरूकता सिखाता है?</v>
      </c>
      <c r="J86" s="8" t="str">
        <f>IFERROR(__xludf.DUMMYFUNCTION("GOOGLETRANSLATE(D86, ""en"", ""hi"")"),"A) स्थानिक, B) पर्यावरणीय, C) मानसिक, D) शारीरिक")</f>
        <v>A) स्थानिक, B) पर्यावरणीय, C) मानसिक, D) शारीरिक</v>
      </c>
      <c r="K86" s="8" t="str">
        <f>IFERROR(__xludf.DUMMYFUNCTION("GOOGLETRANSLATE(E86, ""en"", ""hi"")"),"ए) स्थानिक")</f>
        <v>ए) स्थानिक</v>
      </c>
    </row>
    <row r="87" ht="22.5" customHeight="1">
      <c r="A87" s="2">
        <v>86.0</v>
      </c>
      <c r="B87" s="3" t="s">
        <v>4056</v>
      </c>
      <c r="C87" s="3" t="s">
        <v>4060</v>
      </c>
      <c r="D87" s="3" t="s">
        <v>4061</v>
      </c>
      <c r="E87" s="3" t="s">
        <v>4062</v>
      </c>
      <c r="G87" s="8" t="str">
        <f>IFERROR(__xludf.DUMMYFUNCTION("GOOGLETRANSLATE(A87, ""en"", ""hi"")"),"86")</f>
        <v>86</v>
      </c>
      <c r="H87" s="8" t="str">
        <f>IFERROR(__xludf.DUMMYFUNCTION("GOOGLETRANSLATE(B87, ""en"", ""hi"")"),"सिलंबम_22")</f>
        <v>सिलंबम_22</v>
      </c>
      <c r="I87" s="8" t="str">
        <f>IFERROR(__xludf.DUMMYFUNCTION("GOOGLETRANSLATE(C87, ""en"", ""hi"")"),"चित्र में दिखाए गए खेल में, ऊंचे लक्ष्यों पर हमला करने के लिए कौन सी गतिविधि आवश्यक है?")</f>
        <v>चित्र में दिखाए गए खेल में, ऊंचे लक्ष्यों पर हमला करने के लिए कौन सी गतिविधि आवश्यक है?</v>
      </c>
      <c r="J87" s="8" t="str">
        <f>IFERROR(__xludf.DUMMYFUNCTION("GOOGLETRANSLATE(D87, ""en"", ""hi"")"),"A) उच्च प्रहार, B) आगे की ओर जोर, C) वृत्ताकार गति, D) बैकहैंड स्वाइप")</f>
        <v>A) उच्च प्रहार, B) आगे की ओर जोर, C) वृत्ताकार गति, D) बैकहैंड स्वाइप</v>
      </c>
      <c r="K87" s="8" t="str">
        <f>IFERROR(__xludf.DUMMYFUNCTION("GOOGLETRANSLATE(E87, ""en"", ""hi"")"),"A) उच्च स्ट्राइक")</f>
        <v>A) उच्च स्ट्राइक</v>
      </c>
    </row>
    <row r="88" ht="22.5" customHeight="1">
      <c r="A88" s="2">
        <v>87.0</v>
      </c>
      <c r="B88" s="3" t="s">
        <v>4056</v>
      </c>
      <c r="C88" s="3" t="s">
        <v>4063</v>
      </c>
      <c r="D88" s="3" t="s">
        <v>4064</v>
      </c>
      <c r="E88" s="3" t="s">
        <v>4065</v>
      </c>
      <c r="G88" s="8" t="str">
        <f>IFERROR(__xludf.DUMMYFUNCTION("GOOGLETRANSLATE(A88, ""en"", ""hi"")"),"87")</f>
        <v>87</v>
      </c>
      <c r="H88" s="8" t="str">
        <f>IFERROR(__xludf.DUMMYFUNCTION("GOOGLETRANSLATE(B88, ""en"", ""hi"")"),"सिलंबम_22")</f>
        <v>सिलंबम_22</v>
      </c>
      <c r="I88" s="8" t="str">
        <f>IFERROR(__xludf.DUMMYFUNCTION("GOOGLETRANSLATE(C88, ""en"", ""hi"")"),"चित्र में दिखाए गए खेल के लिए, सिलंबम अभ्यासकर्ता प्रतिक्रिया समय में सुधार कैसे करते हैं?")</f>
        <v>चित्र में दिखाए गए खेल के लिए, सिलंबम अभ्यासकर्ता प्रतिक्रिया समय में सुधार कैसे करते हैं?</v>
      </c>
      <c r="J88" s="8" t="str">
        <f>IFERROR(__xludf.DUMMYFUNCTION("GOOGLETRANSLATE(D88, ""en"", ""hi"")"),"ए) ध्यान, बी) स्पैरिंग, सी) रिफ्लेक्स प्रशिक्षण, डी) स्टिक स्पिनिंग अभ्यास")</f>
        <v>ए) ध्यान, बी) स्पैरिंग, सी) रिफ्लेक्स प्रशिक्षण, डी) स्टिक स्पिनिंग अभ्यास</v>
      </c>
      <c r="K88" s="8" t="str">
        <f>IFERROR(__xludf.DUMMYFUNCTION("GOOGLETRANSLATE(E88, ""en"", ""hi"")"),"सी) रिफ्लेक्स प्रशिक्षण")</f>
        <v>सी) रिफ्लेक्स प्रशिक्षण</v>
      </c>
    </row>
    <row r="89" ht="22.5" customHeight="1">
      <c r="A89" s="2">
        <v>88.0</v>
      </c>
      <c r="B89" s="3" t="s">
        <v>4056</v>
      </c>
      <c r="C89" s="3" t="s">
        <v>4066</v>
      </c>
      <c r="D89" s="3" t="s">
        <v>4067</v>
      </c>
      <c r="E89" s="3" t="s">
        <v>4068</v>
      </c>
      <c r="G89" s="8" t="str">
        <f>IFERROR(__xludf.DUMMYFUNCTION("GOOGLETRANSLATE(A89, ""en"", ""hi"")"),"88")</f>
        <v>88</v>
      </c>
      <c r="H89" s="8" t="str">
        <f>IFERROR(__xludf.DUMMYFUNCTION("GOOGLETRANSLATE(B89, ""en"", ""hi"")"),"सिलंबम_22")</f>
        <v>सिलंबम_22</v>
      </c>
      <c r="I89" s="8" t="str">
        <f>IFERROR(__xludf.DUMMYFUNCTION("GOOGLETRANSLATE(C89, ""en"", ""hi"")"),"चित्र में दिखाए गए खेल में, निम्न प्रहारों से बचने के लिए इनमें से कौन सी गतिविधि सामान्य है?")</f>
        <v>चित्र में दिखाए गए खेल में, निम्न प्रहारों से बचने के लिए इनमें से कौन सी गतिविधि सामान्य है?</v>
      </c>
      <c r="J89" s="8" t="str">
        <f>IFERROR(__xludf.DUMMYFUNCTION("GOOGLETRANSLATE(D89, ""en"", ""hi"")"),"A) कूदना, B) मुड़ना, C) पीछे हटना, D) आगे झुकना")</f>
        <v>A) कूदना, B) मुड़ना, C) पीछे हटना, D) आगे झुकना</v>
      </c>
      <c r="K89" s="8" t="str">
        <f>IFERROR(__xludf.DUMMYFUNCTION("GOOGLETRANSLATE(E89, ""en"", ""hi"")"),"ए) कूदना")</f>
        <v>ए) कूदना</v>
      </c>
    </row>
    <row r="90" ht="22.5" customHeight="1">
      <c r="A90" s="2">
        <v>89.0</v>
      </c>
      <c r="B90" s="3" t="s">
        <v>4069</v>
      </c>
      <c r="C90" s="3" t="s">
        <v>4070</v>
      </c>
      <c r="D90" s="3" t="s">
        <v>4071</v>
      </c>
      <c r="E90" s="3" t="s">
        <v>4072</v>
      </c>
      <c r="G90" s="8" t="str">
        <f>IFERROR(__xludf.DUMMYFUNCTION("GOOGLETRANSLATE(A90, ""en"", ""hi"")"),"89")</f>
        <v>89</v>
      </c>
      <c r="H90" s="8" t="str">
        <f>IFERROR(__xludf.DUMMYFUNCTION("GOOGLETRANSLATE(B90, ""en"", ""hi"")"),"सिलंबम_23")</f>
        <v>सिलंबम_23</v>
      </c>
      <c r="I90" s="8" t="str">
        <f>IFERROR(__xludf.DUMMYFUNCTION("GOOGLETRANSLATE(C90, ""en"", ""hi"")"),"चित्र में दिखाए गए खेल के लिए, किस प्रकार का सिलंबम व्यायाम लचीलेपन पर केंद्रित है?")</f>
        <v>चित्र में दिखाए गए खेल के लिए, किस प्रकार का सिलंबम व्यायाम लचीलेपन पर केंद्रित है?</v>
      </c>
      <c r="J90" s="8" t="str">
        <f>IFERROR(__xludf.DUMMYFUNCTION("GOOGLETRANSLATE(D90, ""en"", ""hi"")"),"ए) स्टिक ड्रिल, बी) स्ट्रेचिंग, सी) स्पैरिंग, डी) एंड्योरेंस ड्रिल")</f>
        <v>ए) स्टिक ड्रिल, बी) स्ट्रेचिंग, सी) स्पैरिंग, डी) एंड्योरेंस ड्रिल</v>
      </c>
      <c r="K90" s="8" t="str">
        <f>IFERROR(__xludf.DUMMYFUNCTION("GOOGLETRANSLATE(E90, ""en"", ""hi"")"),"बी) स्ट्रेचिंग")</f>
        <v>बी) स्ट्रेचिंग</v>
      </c>
    </row>
    <row r="91" ht="22.5" customHeight="1">
      <c r="A91" s="2">
        <v>90.0</v>
      </c>
      <c r="B91" s="3" t="s">
        <v>4069</v>
      </c>
      <c r="C91" s="3" t="s">
        <v>4073</v>
      </c>
      <c r="D91" s="3" t="s">
        <v>4074</v>
      </c>
      <c r="E91" s="3" t="s">
        <v>4075</v>
      </c>
      <c r="G91" s="8" t="str">
        <f>IFERROR(__xludf.DUMMYFUNCTION("GOOGLETRANSLATE(A91, ""en"", ""hi"")"),"90")</f>
        <v>90</v>
      </c>
      <c r="H91" s="8" t="str">
        <f>IFERROR(__xludf.DUMMYFUNCTION("GOOGLETRANSLATE(B91, ""en"", ""hi"")"),"सिलंबम_23")</f>
        <v>सिलंबम_23</v>
      </c>
      <c r="I91" s="8" t="str">
        <f>IFERROR(__xludf.DUMMYFUNCTION("GOOGLETRANSLATE(C91, ""en"", ""hi"")"),"चित्र में दिखाए गए खेल में, कई विरोधियों से लड़ते समय निम्नलिखित में से कौन सी तकनीक आम है?")</f>
        <v>चित्र में दिखाए गए खेल में, कई विरोधियों से लड़ते समय निम्नलिखित में से कौन सी तकनीक आम है?</v>
      </c>
      <c r="J91" s="8" t="str">
        <f>IFERROR(__xludf.DUMMYFUNCTION("GOOGLETRANSLATE(D91, ""en"", ""hi"")"),"A) त्वरित हमले, B) चकमा देना, C) लंबी दूरी के हमले, D) घूमते हुए हमले")</f>
        <v>A) त्वरित हमले, B) चकमा देना, C) लंबी दूरी के हमले, D) घूमते हुए हमले</v>
      </c>
      <c r="K91" s="8" t="str">
        <f>IFERROR(__xludf.DUMMYFUNCTION("GOOGLETRANSLATE(E91, ""en"", ""hi"")"),"D) स्पिनिंग स्ट्राइक")</f>
        <v>D) स्पिनिंग स्ट्राइक</v>
      </c>
    </row>
    <row r="92" ht="22.5" customHeight="1">
      <c r="A92" s="2">
        <v>91.0</v>
      </c>
      <c r="B92" s="3" t="s">
        <v>4069</v>
      </c>
      <c r="C92" s="3" t="s">
        <v>4076</v>
      </c>
      <c r="D92" s="3" t="s">
        <v>4077</v>
      </c>
      <c r="E92" s="3" t="s">
        <v>4078</v>
      </c>
      <c r="G92" s="8" t="str">
        <f>IFERROR(__xludf.DUMMYFUNCTION("GOOGLETRANSLATE(A92, ""en"", ""hi"")"),"91")</f>
        <v>91</v>
      </c>
      <c r="H92" s="8" t="str">
        <f>IFERROR(__xludf.DUMMYFUNCTION("GOOGLETRANSLATE(B92, ""en"", ""hi"")"),"सिलंबम_23")</f>
        <v>सिलंबम_23</v>
      </c>
      <c r="I92" s="8" t="str">
        <f>IFERROR(__xludf.DUMMYFUNCTION("GOOGLETRANSLATE(C92, ""en"", ""hi"")"),"चित्र में दिखाए गए खेल के लिए, मानसिक स्पष्टता में सुधार के लिए सिलंबम किस प्रकार के अभ्यास को प्रोत्साहित करता है?")</f>
        <v>चित्र में दिखाए गए खेल के लिए, मानसिक स्पष्टता में सुधार के लिए सिलंबम किस प्रकार के अभ्यास को प्रोत्साहित करता है?</v>
      </c>
      <c r="J92" s="8" t="str">
        <f>IFERROR(__xludf.DUMMYFUNCTION("GOOGLETRANSLATE(D92, ""en"", ""hi"")"),"A) स्पैरिंग, B) ध्यान, C) श्वास व्यायाम, D) गति अभ्यास")</f>
        <v>A) स्पैरिंग, B) ध्यान, C) श्वास व्यायाम, D) गति अभ्यास</v>
      </c>
      <c r="K92" s="8" t="str">
        <f>IFERROR(__xludf.DUMMYFUNCTION("GOOGLETRANSLATE(E92, ""en"", ""hi"")"),"बी) ध्यान")</f>
        <v>बी) ध्यान</v>
      </c>
    </row>
    <row r="93" ht="22.5" customHeight="1">
      <c r="A93" s="2">
        <v>92.0</v>
      </c>
      <c r="B93" s="3" t="s">
        <v>4069</v>
      </c>
      <c r="C93" s="3" t="s">
        <v>4079</v>
      </c>
      <c r="D93" s="3" t="s">
        <v>4080</v>
      </c>
      <c r="E93" s="3" t="s">
        <v>3483</v>
      </c>
      <c r="G93" s="8" t="str">
        <f>IFERROR(__xludf.DUMMYFUNCTION("GOOGLETRANSLATE(A93, ""en"", ""hi"")"),"92")</f>
        <v>92</v>
      </c>
      <c r="H93" s="8" t="str">
        <f>IFERROR(__xludf.DUMMYFUNCTION("GOOGLETRANSLATE(B93, ""en"", ""hi"")"),"सिलंबम_23")</f>
        <v>सिलंबम_23</v>
      </c>
      <c r="I93" s="8" t="str">
        <f>IFERROR(__xludf.DUMMYFUNCTION("GOOGLETRANSLATE(C93, ""en"", ""hi"")"),"चित्र में दिखाए गए खेल में, सिलंबम मुद्राओं का मुख्य पहलू क्या है?")</f>
        <v>चित्र में दिखाए गए खेल में, सिलंबम मुद्राओं का मुख्य पहलू क्या है?</v>
      </c>
      <c r="J93" s="8" t="str">
        <f>IFERROR(__xludf.DUMMYFUNCTION("GOOGLETRANSLATE(D93, ""en"", ""hi"")"),"A) निम्न रुख, B) उच्च रुख, C) तटस्थ रुख, D) संतुलित रुख")</f>
        <v>A) निम्न रुख, B) उच्च रुख, C) तटस्थ रुख, D) संतुलित रुख</v>
      </c>
      <c r="K93" s="8" t="str">
        <f>IFERROR(__xludf.DUMMYFUNCTION("GOOGLETRANSLATE(E93, ""en"", ""hi"")"),"A) निम्न रुख")</f>
        <v>A) निम्न रुख</v>
      </c>
    </row>
    <row r="94" ht="22.5" customHeight="1">
      <c r="A94" s="2">
        <v>93.0</v>
      </c>
      <c r="B94" s="3" t="s">
        <v>4081</v>
      </c>
      <c r="C94" s="3" t="s">
        <v>4082</v>
      </c>
      <c r="D94" s="3" t="s">
        <v>4083</v>
      </c>
      <c r="E94" s="3" t="s">
        <v>4084</v>
      </c>
      <c r="G94" s="8" t="str">
        <f>IFERROR(__xludf.DUMMYFUNCTION("GOOGLETRANSLATE(A94, ""en"", ""hi"")"),"93")</f>
        <v>93</v>
      </c>
      <c r="H94" s="8" t="str">
        <f>IFERROR(__xludf.DUMMYFUNCTION("GOOGLETRANSLATE(B94, ""en"", ""hi"")"),"सिलंबम_24")</f>
        <v>सिलंबम_24</v>
      </c>
      <c r="I94" s="8" t="str">
        <f>IFERROR(__xludf.DUMMYFUNCTION("GOOGLETRANSLATE(C94, ""en"", ""hi"")"),"चित्र में दिखाए गए खेल के लिए, सिलंबम रक्षा और आक्रमण में किस प्रकार संतुलन बनाता है?")</f>
        <v>चित्र में दिखाए गए खेल के लिए, सिलंबम रक्षा और आक्रमण में किस प्रकार संतुलन बनाता है?</v>
      </c>
      <c r="J94" s="8" t="str">
        <f>IFERROR(__xludf.DUMMYFUNCTION("GOOGLETRANSLATE(D94, ""en"", ""hi"")"),"A) छल-कपट का प्रयोग करके, B) एक साथ अवरोधन और प्रहार करके, C) सटीकता पर ध्यान केन्द्रित करके, D) दूरी बनाए रखकर")</f>
        <v>A) छल-कपट का प्रयोग करके, B) एक साथ अवरोधन और प्रहार करके, C) सटीकता पर ध्यान केन्द्रित करके, D) दूरी बनाए रखकर</v>
      </c>
      <c r="K94" s="8" t="str">
        <f>IFERROR(__xludf.DUMMYFUNCTION("GOOGLETRANSLATE(E94, ""en"", ""hi"")"),"बी) एक साथ अवरोधन और प्रहार करके")</f>
        <v>बी) एक साथ अवरोधन और प्रहार करके</v>
      </c>
    </row>
    <row r="95" ht="22.5" customHeight="1">
      <c r="A95" s="2">
        <v>94.0</v>
      </c>
      <c r="B95" s="3" t="s">
        <v>4081</v>
      </c>
      <c r="C95" s="3" t="s">
        <v>4085</v>
      </c>
      <c r="D95" s="3" t="s">
        <v>4086</v>
      </c>
      <c r="E95" s="3" t="s">
        <v>4087</v>
      </c>
      <c r="G95" s="8" t="str">
        <f>IFERROR(__xludf.DUMMYFUNCTION("GOOGLETRANSLATE(A95, ""en"", ""hi"")"),"94")</f>
        <v>94</v>
      </c>
      <c r="H95" s="8" t="str">
        <f>IFERROR(__xludf.DUMMYFUNCTION("GOOGLETRANSLATE(B95, ""en"", ""hi"")"),"सिलंबम_24")</f>
        <v>सिलंबम_24</v>
      </c>
      <c r="I95" s="8" t="str">
        <f>IFERROR(__xludf.DUMMYFUNCTION("GOOGLETRANSLATE(C95, ""en"", ""hi"")"),"चित्र में दिखाए गए खेल में, प्रतिद्वंद्वी के मध्य भाग को निशाना बनाने के लिए किस प्रहार का उपयोग किया जाता है?")</f>
        <v>चित्र में दिखाए गए खेल में, प्रतिद्वंद्वी के मध्य भाग को निशाना बनाने के लिए किस प्रहार का उपयोग किया जाता है?</v>
      </c>
      <c r="J95" s="8" t="str">
        <f>IFERROR(__xludf.DUMMYFUNCTION("GOOGLETRANSLATE(D95, ""en"", ""hi"")"),"ए) अपरकट स्ट्राइक, बी) साइड थ्रस्ट, सी) ओवरहेड स्ट्राइक, डी) लो जैब")</f>
        <v>ए) अपरकट स्ट्राइक, बी) साइड थ्रस्ट, सी) ओवरहेड स्ट्राइक, डी) लो जैब</v>
      </c>
      <c r="K95" s="8" t="str">
        <f>IFERROR(__xludf.DUMMYFUNCTION("GOOGLETRANSLATE(E95, ""en"", ""hi"")"),"बी) साइड थ्रस्ट")</f>
        <v>बी) साइड थ्रस्ट</v>
      </c>
    </row>
    <row r="96" ht="22.5" customHeight="1">
      <c r="A96" s="2">
        <v>95.0</v>
      </c>
      <c r="B96" s="3" t="s">
        <v>4081</v>
      </c>
      <c r="C96" s="3" t="s">
        <v>4088</v>
      </c>
      <c r="D96" s="3" t="s">
        <v>4089</v>
      </c>
      <c r="E96" s="3" t="s">
        <v>4090</v>
      </c>
      <c r="G96" s="8" t="str">
        <f>IFERROR(__xludf.DUMMYFUNCTION("GOOGLETRANSLATE(A96, ""en"", ""hi"")"),"95")</f>
        <v>95</v>
      </c>
      <c r="H96" s="8" t="str">
        <f>IFERROR(__xludf.DUMMYFUNCTION("GOOGLETRANSLATE(B96, ""en"", ""hi"")"),"सिलंबम_24")</f>
        <v>सिलंबम_24</v>
      </c>
      <c r="I96" s="8" t="str">
        <f>IFERROR(__xludf.DUMMYFUNCTION("GOOGLETRANSLATE(C96, ""en"", ""hi"")"),"चित्र में दिखाए गए खेल के लिए, सफल सिलंबम हमले के लिए निम्नलिखित में से कौन सा घटक महत्वपूर्ण है?")</f>
        <v>चित्र में दिखाए गए खेल के लिए, सफल सिलंबम हमले के लिए निम्नलिखित में से कौन सा घटक महत्वपूर्ण है?</v>
      </c>
      <c r="J96" s="8" t="str">
        <f>IFERROR(__xludf.DUMMYFUNCTION("GOOGLETRANSLATE(D96, ""en"", ""hi"")"),"A) गति, B) शक्ति, C) समय, D) चपलता")</f>
        <v>A) गति, B) शक्ति, C) समय, D) चपलता</v>
      </c>
      <c r="K96" s="8" t="str">
        <f>IFERROR(__xludf.DUMMYFUNCTION("GOOGLETRANSLATE(E96, ""en"", ""hi"")"),"सी) समय")</f>
        <v>सी) समय</v>
      </c>
    </row>
    <row r="97" ht="22.5" customHeight="1">
      <c r="A97" s="2">
        <v>96.0</v>
      </c>
      <c r="B97" s="3" t="s">
        <v>4081</v>
      </c>
      <c r="C97" s="3" t="s">
        <v>4091</v>
      </c>
      <c r="D97" s="3" t="s">
        <v>4092</v>
      </c>
      <c r="E97" s="3" t="s">
        <v>4093</v>
      </c>
      <c r="G97" s="8" t="str">
        <f>IFERROR(__xludf.DUMMYFUNCTION("GOOGLETRANSLATE(A97, ""en"", ""hi"")"),"96")</f>
        <v>96</v>
      </c>
      <c r="H97" s="8" t="str">
        <f>IFERROR(__xludf.DUMMYFUNCTION("GOOGLETRANSLATE(B97, ""en"", ""hi"")"),"सिलंबम_24")</f>
        <v>सिलंबम_24</v>
      </c>
      <c r="I97" s="8" t="str">
        <f>IFERROR(__xludf.DUMMYFUNCTION("GOOGLETRANSLATE(C97, ""en"", ""hi"")"),"चित्र में दिखाए गए खेल में प्रत्यक्ष प्रभाव से बचने के लिए कौन सी रक्षात्मक तकनीक अपनाई जाती है?")</f>
        <v>चित्र में दिखाए गए खेल में प्रत्यक्ष प्रभाव से बचने के लिए कौन सी रक्षात्मक तकनीक अपनाई जाती है?</v>
      </c>
      <c r="J97" s="8" t="str">
        <f>IFERROR(__xludf.DUMMYFUNCTION("GOOGLETRANSLATE(D97, ""en"", ""hi"")"),"A) बचाव करना, B) चकमा देना, C) विक्षेपण करना, D) प्रतिकार करना")</f>
        <v>A) बचाव करना, B) चकमा देना, C) विक्षेपण करना, D) प्रतिकार करना</v>
      </c>
      <c r="K97" s="8" t="str">
        <f>IFERROR(__xludf.DUMMYFUNCTION("GOOGLETRANSLATE(E97, ""en"", ""hi"")"),"ए) पैरीइंग")</f>
        <v>ए) पैरीइंग</v>
      </c>
    </row>
    <row r="98" ht="22.5" customHeight="1">
      <c r="A98" s="2">
        <v>97.0</v>
      </c>
      <c r="B98" s="3" t="s">
        <v>4094</v>
      </c>
      <c r="C98" s="3" t="s">
        <v>4095</v>
      </c>
      <c r="D98" s="3" t="s">
        <v>4096</v>
      </c>
      <c r="E98" s="3" t="s">
        <v>4097</v>
      </c>
      <c r="G98" s="8" t="str">
        <f>IFERROR(__xludf.DUMMYFUNCTION("GOOGLETRANSLATE(A98, ""en"", ""hi"")"),"97")</f>
        <v>97</v>
      </c>
      <c r="H98" s="8" t="str">
        <f>IFERROR(__xludf.DUMMYFUNCTION("GOOGLETRANSLATE(B98, ""en"", ""hi"")"),"सिलंबम_25")</f>
        <v>सिलंबम_25</v>
      </c>
      <c r="I98" s="8" t="str">
        <f>IFERROR(__xludf.DUMMYFUNCTION("GOOGLETRANSLATE(C98, ""en"", ""hi"")"),"चित्र में दिखाए गए खेल में, कौन सी स्थिति सिलंबम अभ्यासियों को अभ्यास के दौरान संतुलन बनाए रखने में मदद करती है?")</f>
        <v>चित्र में दिखाए गए खेल में, कौन सी स्थिति सिलंबम अभ्यासियों को अभ्यास के दौरान संतुलन बनाए रखने में मदद करती है?</v>
      </c>
      <c r="J98" s="8" t="str">
        <f>IFERROR(__xludf.DUMMYFUNCTION("GOOGLETRANSLATE(D98, ""en"", ""hi"")"),"A) संकीर्ण रुख, B) चौड़ा रुख, C) मध्य-स्तरीय रुख, D) रक्षात्मक रुख")</f>
        <v>A) संकीर्ण रुख, B) चौड़ा रुख, C) मध्य-स्तरीय रुख, D) रक्षात्मक रुख</v>
      </c>
      <c r="K98" s="8" t="str">
        <f>IFERROR(__xludf.DUMMYFUNCTION("GOOGLETRANSLATE(E98, ""en"", ""hi"")"),"बी) चौड़ा रुख")</f>
        <v>बी) चौड़ा रुख</v>
      </c>
    </row>
    <row r="99" ht="22.5" customHeight="1">
      <c r="A99" s="2">
        <v>98.0</v>
      </c>
      <c r="B99" s="3" t="s">
        <v>4094</v>
      </c>
      <c r="C99" s="3" t="s">
        <v>4098</v>
      </c>
      <c r="D99" s="3" t="s">
        <v>4099</v>
      </c>
      <c r="E99" s="3" t="s">
        <v>4100</v>
      </c>
      <c r="G99" s="8" t="str">
        <f>IFERROR(__xludf.DUMMYFUNCTION("GOOGLETRANSLATE(A99, ""en"", ""hi"")"),"98")</f>
        <v>98</v>
      </c>
      <c r="H99" s="8" t="str">
        <f>IFERROR(__xludf.DUMMYFUNCTION("GOOGLETRANSLATE(B99, ""en"", ""hi"")"),"सिलंबम_25")</f>
        <v>सिलंबम_25</v>
      </c>
      <c r="I99" s="8" t="str">
        <f>IFERROR(__xludf.DUMMYFUNCTION("GOOGLETRANSLATE(C99, ""en"", ""hi"")"),"चित्र में दिखाए गए खेल में, सिलंबम में छड़ी को घुमाने का उद्देश्य क्या है?")</f>
        <v>चित्र में दिखाए गए खेल में, सिलंबम में छड़ी को घुमाने का उद्देश्य क्या है?</v>
      </c>
      <c r="J99" s="8" t="str">
        <f>IFERROR(__xludf.DUMMYFUNCTION("GOOGLETRANSLATE(D99, ""en"", ""hi"")"),"A) प्रतिद्वंद्वी को भ्रमित करने के लिए, B) गति प्राप्त करने के लिए, C) रक्षा बढ़ाने के लिए, D) कौशल दिखाने के लिए")</f>
        <v>A) प्रतिद्वंद्वी को भ्रमित करने के लिए, B) गति प्राप्त करने के लिए, C) रक्षा बढ़ाने के लिए, D) कौशल दिखाने के लिए</v>
      </c>
      <c r="K99" s="8" t="str">
        <f>IFERROR(__xludf.DUMMYFUNCTION("GOOGLETRANSLATE(E99, ""en"", ""hi"")"),"बी) गति प्राप्त करने के लिए")</f>
        <v>बी) गति प्राप्त करने के लिए</v>
      </c>
    </row>
    <row r="100" ht="22.5" customHeight="1">
      <c r="A100" s="2">
        <v>99.0</v>
      </c>
      <c r="B100" s="3" t="s">
        <v>4094</v>
      </c>
      <c r="C100" s="3" t="s">
        <v>4101</v>
      </c>
      <c r="D100" s="3" t="s">
        <v>4102</v>
      </c>
      <c r="E100" s="3" t="s">
        <v>4103</v>
      </c>
      <c r="G100" s="8" t="str">
        <f>IFERROR(__xludf.DUMMYFUNCTION("GOOGLETRANSLATE(A100, ""en"", ""hi"")"),"99")</f>
        <v>99</v>
      </c>
      <c r="H100" s="8" t="str">
        <f>IFERROR(__xludf.DUMMYFUNCTION("GOOGLETRANSLATE(B100, ""en"", ""hi"")"),"सिलंबम_25")</f>
        <v>सिलंबम_25</v>
      </c>
      <c r="I100" s="8" t="str">
        <f>IFERROR(__xludf.DUMMYFUNCTION("GOOGLETRANSLATE(C100, ""en"", ""hi"")"),"चित्र में दिखाए गए खेल में, सिलंबम में हाथ-आँख समन्वय को बढ़ाने के लिए किस प्रकार की ड्रिल का उपयोग किया जाता है?")</f>
        <v>चित्र में दिखाए गए खेल में, सिलंबम में हाथ-आँख समन्वय को बढ़ाने के लिए किस प्रकार की ड्रिल का उपयोग किया जाता है?</v>
      </c>
      <c r="J100" s="8" t="str">
        <f>IFERROR(__xludf.DUMMYFUNCTION("GOOGLETRANSLATE(D100, ""en"", ""hi"")"),"ए) रिफ्लेक्स ड्रिल, बी) स्टिक टैपिंग, सी) पार्टनर स्पैरिंग, डी) टारगेट प्रैक्टिस")</f>
        <v>ए) रिफ्लेक्स ड्रिल, बी) स्टिक टैपिंग, सी) पार्टनर स्पैरिंग, डी) टारगेट प्रैक्टिस</v>
      </c>
      <c r="K100" s="8" t="str">
        <f>IFERROR(__xludf.DUMMYFUNCTION("GOOGLETRANSLATE(E100, ""en"", ""hi"")"),"बी) स्टिक टैपिंग")</f>
        <v>बी) स्टिक टैपिंग</v>
      </c>
    </row>
    <row r="101" ht="22.5" customHeight="1">
      <c r="A101" s="2">
        <v>100.0</v>
      </c>
      <c r="B101" s="3" t="s">
        <v>4094</v>
      </c>
      <c r="C101" s="3" t="s">
        <v>4104</v>
      </c>
      <c r="D101" s="3" t="s">
        <v>3954</v>
      </c>
      <c r="E101" s="3" t="s">
        <v>3930</v>
      </c>
      <c r="G101" s="8" t="str">
        <f>IFERROR(__xludf.DUMMYFUNCTION("GOOGLETRANSLATE(A101, ""en"", ""hi"")"),"100")</f>
        <v>100</v>
      </c>
      <c r="H101" s="8" t="str">
        <f>IFERROR(__xludf.DUMMYFUNCTION("GOOGLETRANSLATE(B101, ""en"", ""hi"")"),"सिलंबम_25")</f>
        <v>सिलंबम_25</v>
      </c>
      <c r="I101" s="8" t="str">
        <f>IFERROR(__xludf.DUMMYFUNCTION("GOOGLETRANSLATE(C101, ""en"", ""hi"")"),"चित्र में दिखाए गए खेल में, सिलंबम मुख्य रूप से शरीर के किस हिस्से की रक्षा पर ध्यान केंद्रित करता है?")</f>
        <v>चित्र में दिखाए गए खेल में, सिलंबम मुख्य रूप से शरीर के किस हिस्से की रक्षा पर ध्यान केंद्रित करता है?</v>
      </c>
      <c r="J101" s="8" t="str">
        <f>IFERROR(__xludf.DUMMYFUNCTION("GOOGLETRANSLATE(D101, ""en"", ""hi"")"),"A) सिर, B) भुजाएँ, C) पैर, D) छाती")</f>
        <v>A) सिर, B) भुजाएँ, C) पैर, D) छाती</v>
      </c>
      <c r="K101" s="8" t="str">
        <f>IFERROR(__xludf.DUMMYFUNCTION("GOOGLETRANSLATE(E101, ""en"", ""hi"")"),"सी) पैर")</f>
        <v>सी) पैर</v>
      </c>
    </row>
    <row r="102" ht="22.5" customHeight="1">
      <c r="A102" s="2">
        <v>101.0</v>
      </c>
      <c r="B102" s="3" t="s">
        <v>4105</v>
      </c>
      <c r="C102" s="3" t="s">
        <v>4106</v>
      </c>
      <c r="D102" s="3" t="s">
        <v>4107</v>
      </c>
      <c r="E102" s="3" t="s">
        <v>4108</v>
      </c>
      <c r="G102" s="8" t="str">
        <f>IFERROR(__xludf.DUMMYFUNCTION("GOOGLETRANSLATE(A102, ""en"", ""hi"")"),"101")</f>
        <v>101</v>
      </c>
      <c r="H102" s="8" t="str">
        <f>IFERROR(__xludf.DUMMYFUNCTION("GOOGLETRANSLATE(B102, ""en"", ""hi"")"),"सिलंबम_26")</f>
        <v>सिलंबम_26</v>
      </c>
      <c r="I102" s="8" t="str">
        <f>IFERROR(__xludf.DUMMYFUNCTION("GOOGLETRANSLATE(C102, ""en"", ""hi"")"),"चित्र में दिखाए गए खेल के लिए, निम्नलिखित में से कौन-सा सिलंबम संयोजन तकनीक का उदाहरण है?")</f>
        <v>चित्र में दिखाए गए खेल के लिए, निम्नलिखित में से कौन-सा सिलंबम संयोजन तकनीक का उदाहरण है?</v>
      </c>
      <c r="J102" s="8" t="str">
        <f>IFERROR(__xludf.DUMMYFUNCTION("GOOGLETRANSLATE(D102, ""en"", ""hi"")"),"ए) जैब और पैरी, बी) हाई और लो स्ट्राइक, सी) ब्लॉक और थ्रस्ट, डी) स्पिन और स्ट्राइक")</f>
        <v>ए) जैब और पैरी, बी) हाई और लो स्ट्राइक, सी) ब्लॉक और थ्रस्ट, डी) स्पिन और स्ट्राइक</v>
      </c>
      <c r="K102" s="8" t="str">
        <f>IFERROR(__xludf.DUMMYFUNCTION("GOOGLETRANSLATE(E102, ""en"", ""hi"")"),"D) स्पिन और स्ट्राइक")</f>
        <v>D) स्पिन और स्ट्राइक</v>
      </c>
    </row>
    <row r="103" ht="22.5" customHeight="1">
      <c r="A103" s="2">
        <v>102.0</v>
      </c>
      <c r="B103" s="3" t="s">
        <v>4105</v>
      </c>
      <c r="C103" s="3" t="s">
        <v>4109</v>
      </c>
      <c r="D103" s="3" t="s">
        <v>4110</v>
      </c>
      <c r="E103" s="3" t="s">
        <v>4111</v>
      </c>
      <c r="G103" s="8" t="str">
        <f>IFERROR(__xludf.DUMMYFUNCTION("GOOGLETRANSLATE(A103, ""en"", ""hi"")"),"102")</f>
        <v>102</v>
      </c>
      <c r="H103" s="8" t="str">
        <f>IFERROR(__xludf.DUMMYFUNCTION("GOOGLETRANSLATE(B103, ""en"", ""hi"")"),"सिलंबम_26")</f>
        <v>सिलंबम_26</v>
      </c>
      <c r="I103" s="8" t="str">
        <f>IFERROR(__xludf.DUMMYFUNCTION("GOOGLETRANSLATE(C103, ""en"", ""hi"")"),"चित्र में दिखाए गए खेल में, सिलंबम में प्रतिद्वंद्वी के साथ दूरी कम करने के लिए किस चाल का उपयोग किया जाता है?")</f>
        <v>चित्र में दिखाए गए खेल में, सिलंबम में प्रतिद्वंद्वी के साथ दूरी कम करने के लिए किस चाल का उपयोग किया जाता है?</v>
      </c>
      <c r="J103" s="8" t="str">
        <f>IFERROR(__xludf.DUMMYFUNCTION("GOOGLETRANSLATE(D103, ""en"", ""hi"")"),"A) झपट्टा मारना, B) आगे कदम रखना, C) छलांग लगाना, D) मुड़ना")</f>
        <v>A) झपट्टा मारना, B) आगे कदम रखना, C) छलांग लगाना, D) मुड़ना</v>
      </c>
      <c r="K103" s="8" t="str">
        <f>IFERROR(__xludf.DUMMYFUNCTION("GOOGLETRANSLATE(E103, ""en"", ""hi"")"),"ए) लंजिंग")</f>
        <v>ए) लंजिंग</v>
      </c>
    </row>
    <row r="104" ht="22.5" customHeight="1">
      <c r="A104" s="2">
        <v>103.0</v>
      </c>
      <c r="B104" s="3" t="s">
        <v>4105</v>
      </c>
      <c r="C104" s="3" t="s">
        <v>4112</v>
      </c>
      <c r="D104" s="3" t="s">
        <v>4113</v>
      </c>
      <c r="E104" s="3" t="s">
        <v>4114</v>
      </c>
      <c r="G104" s="8" t="str">
        <f>IFERROR(__xludf.DUMMYFUNCTION("GOOGLETRANSLATE(A104, ""en"", ""hi"")"),"103")</f>
        <v>103</v>
      </c>
      <c r="H104" s="8" t="str">
        <f>IFERROR(__xludf.DUMMYFUNCTION("GOOGLETRANSLATE(B104, ""en"", ""hi"")"),"सिलंबम_26")</f>
        <v>सिलंबम_26</v>
      </c>
      <c r="I104" s="8" t="str">
        <f>IFERROR(__xludf.DUMMYFUNCTION("GOOGLETRANSLATE(C104, ""en"", ""hi"")"),"चित्र में दिखाए गए खेल के लिए, सिलंबम धीरज को कैसे बेहतर बनाता है?")</f>
        <v>चित्र में दिखाए गए खेल के लिए, सिलंबम धीरज को कैसे बेहतर बनाता है?</v>
      </c>
      <c r="J104" s="8" t="str">
        <f>IFERROR(__xludf.DUMMYFUNCTION("GOOGLETRANSLATE(D104, ""en"", ""hi"")"),"A) निरंतर प्रहारों के माध्यम से, B) स्पैरिंग अभ्यासों के माध्यम से, C) रक्षात्मक अभ्यासों के माध्यम से, D) रुख अभ्यास के माध्यम से")</f>
        <v>A) निरंतर प्रहारों के माध्यम से, B) स्पैरिंग अभ्यासों के माध्यम से, C) रक्षात्मक अभ्यासों के माध्यम से, D) रुख अभ्यास के माध्यम से</v>
      </c>
      <c r="K104" s="8" t="str">
        <f>IFERROR(__xludf.DUMMYFUNCTION("GOOGLETRANSLATE(E104, ""en"", ""hi"")"),"बी) स्पैरिंग अभ्यास के माध्यम से")</f>
        <v>बी) स्पैरिंग अभ्यास के माध्यम से</v>
      </c>
    </row>
    <row r="105" ht="22.5" customHeight="1">
      <c r="A105" s="2">
        <v>104.0</v>
      </c>
      <c r="B105" s="3" t="s">
        <v>4105</v>
      </c>
      <c r="C105" s="3" t="s">
        <v>4115</v>
      </c>
      <c r="D105" s="3" t="s">
        <v>4116</v>
      </c>
      <c r="E105" s="3" t="s">
        <v>4117</v>
      </c>
      <c r="G105" s="8" t="str">
        <f>IFERROR(__xludf.DUMMYFUNCTION("GOOGLETRANSLATE(A105, ""en"", ""hi"")"),"104")</f>
        <v>104</v>
      </c>
      <c r="H105" s="8" t="str">
        <f>IFERROR(__xludf.DUMMYFUNCTION("GOOGLETRANSLATE(B105, ""en"", ""hi"")"),"सिलंबम_26")</f>
        <v>सिलंबम_26</v>
      </c>
      <c r="I105" s="8" t="str">
        <f>IFERROR(__xludf.DUMMYFUNCTION("GOOGLETRANSLATE(C105, ""en"", ""hi"")"),"चित्र में दिखाए गए खेल में, सिलंबम फुटवर्क में निपुणता प्राप्त करने के लिए कौन सा तत्व महत्वपूर्ण है?")</f>
        <v>चित्र में दिखाए गए खेल में, सिलंबम फुटवर्क में निपुणता प्राप्त करने के लिए कौन सा तत्व महत्वपूर्ण है?</v>
      </c>
      <c r="J105" s="8" t="str">
        <f>IFERROR(__xludf.DUMMYFUNCTION("GOOGLETRANSLATE(D105, ""en"", ""hi"")"),"A) लचीलापन, B) गति, C) लय, D) शक्ति")</f>
        <v>A) लचीलापन, B) गति, C) लय, D) शक्ति</v>
      </c>
      <c r="K105" s="8" t="str">
        <f>IFERROR(__xludf.DUMMYFUNCTION("GOOGLETRANSLATE(E105, ""en"", ""hi"")"),"सी) लय")</f>
        <v>सी) लय</v>
      </c>
    </row>
    <row r="106" ht="22.5" customHeight="1">
      <c r="A106" s="2">
        <v>105.0</v>
      </c>
      <c r="B106" s="3" t="s">
        <v>4118</v>
      </c>
      <c r="C106" s="3" t="s">
        <v>4119</v>
      </c>
      <c r="D106" s="3" t="s">
        <v>4120</v>
      </c>
      <c r="E106" s="3" t="s">
        <v>4121</v>
      </c>
      <c r="G106" s="8" t="str">
        <f>IFERROR(__xludf.DUMMYFUNCTION("GOOGLETRANSLATE(A106, ""en"", ""hi"")"),"105")</f>
        <v>105</v>
      </c>
      <c r="H106" s="8" t="str">
        <f>IFERROR(__xludf.DUMMYFUNCTION("GOOGLETRANSLATE(B106, ""en"", ""hi"")"),"सिलंबम_27")</f>
        <v>सिलंबम_27</v>
      </c>
      <c r="I106" s="8" t="str">
        <f>IFERROR(__xludf.DUMMYFUNCTION("GOOGLETRANSLATE(C106, ""en"", ""hi"")"),"चित्र में दिखाए गए खेल के लिए, सिलंबम स्ट्राइक में शरीर का कौन सा हिस्सा सबसे अधिक शक्ति उत्पन्न करता है?")</f>
        <v>चित्र में दिखाए गए खेल के लिए, सिलंबम स्ट्राइक में शरीर का कौन सा हिस्सा सबसे अधिक शक्ति उत्पन्न करता है?</v>
      </c>
      <c r="J106" s="8" t="str">
        <f>IFERROR(__xludf.DUMMYFUNCTION("GOOGLETRANSLATE(D106, ""en"", ""hi"")"),"A) कंधे, B) कलाई, C) पैर, D) कूल्हे")</f>
        <v>A) कंधे, B) कलाई, C) पैर, D) कूल्हे</v>
      </c>
      <c r="K106" s="8" t="str">
        <f>IFERROR(__xludf.DUMMYFUNCTION("GOOGLETRANSLATE(E106, ""en"", ""hi"")"),"डी) कूल्हे")</f>
        <v>डी) कूल्हे</v>
      </c>
    </row>
    <row r="107" ht="22.5" customHeight="1">
      <c r="A107" s="2">
        <v>106.0</v>
      </c>
      <c r="B107" s="3" t="s">
        <v>4118</v>
      </c>
      <c r="C107" s="3" t="s">
        <v>4122</v>
      </c>
      <c r="D107" s="3" t="s">
        <v>4123</v>
      </c>
      <c r="E107" s="3" t="s">
        <v>4124</v>
      </c>
      <c r="G107" s="8" t="str">
        <f>IFERROR(__xludf.DUMMYFUNCTION("GOOGLETRANSLATE(A107, ""en"", ""hi"")"),"106")</f>
        <v>106</v>
      </c>
      <c r="H107" s="8" t="str">
        <f>IFERROR(__xludf.DUMMYFUNCTION("GOOGLETRANSLATE(B107, ""en"", ""hi"")"),"सिलंबम_27")</f>
        <v>सिलंबम_27</v>
      </c>
      <c r="I107" s="8" t="str">
        <f>IFERROR(__xludf.DUMMYFUNCTION("GOOGLETRANSLATE(C107, ""en"", ""hi"")"),"चित्र में दिखाए गए खेल में, सिलंबम में 'कुट्टू' शब्द का क्या अर्थ है?")</f>
        <v>चित्र में दिखाए गए खेल में, सिलंबम में 'कुट्टू' शब्द का क्या अर्थ है?</v>
      </c>
      <c r="J107" s="8" t="str">
        <f>IFERROR(__xludf.DUMMYFUNCTION("GOOGLETRANSLATE(D107, ""en"", ""hi"")"),"A) फुटवर्क का एक रूप, B) रक्षात्मक ब्लॉक, C) जोरदार हमला, D) लो जैब")</f>
        <v>A) फुटवर्क का एक रूप, B) रक्षात्मक ब्लॉक, C) जोरदार हमला, D) लो जैब</v>
      </c>
      <c r="K107" s="8" t="str">
        <f>IFERROR(__xludf.DUMMYFUNCTION("GOOGLETRANSLATE(E107, ""en"", ""hi"")"),"C) एक जोरदार हमला")</f>
        <v>C) एक जोरदार हमला</v>
      </c>
    </row>
    <row r="108" ht="22.5" customHeight="1">
      <c r="A108" s="2">
        <v>107.0</v>
      </c>
      <c r="B108" s="3" t="s">
        <v>4118</v>
      </c>
      <c r="C108" s="3" t="s">
        <v>4125</v>
      </c>
      <c r="D108" s="3" t="s">
        <v>4126</v>
      </c>
      <c r="E108" s="3" t="s">
        <v>4127</v>
      </c>
      <c r="G108" s="8" t="str">
        <f>IFERROR(__xludf.DUMMYFUNCTION("GOOGLETRANSLATE(A108, ""en"", ""hi"")"),"107")</f>
        <v>107</v>
      </c>
      <c r="H108" s="8" t="str">
        <f>IFERROR(__xludf.DUMMYFUNCTION("GOOGLETRANSLATE(B108, ""en"", ""hi"")"),"सिलंबम_27")</f>
        <v>सिलंबम_27</v>
      </c>
      <c r="I108" s="8" t="str">
        <f>IFERROR(__xludf.DUMMYFUNCTION("GOOGLETRANSLATE(C108, ""en"", ""hi"")"),"चित्र में दिखाए गए खेल के लिए, सिलंबम में श्वास तकनीक का क्या महत्व है?")</f>
        <v>चित्र में दिखाए गए खेल के लिए, सिलंबम में श्वास तकनीक का क्या महत्व है?</v>
      </c>
      <c r="J108" s="8" t="str">
        <f>IFERROR(__xludf.DUMMYFUNCTION("GOOGLETRANSLATE(D108, ""en"", ""hi"")"),"A) फोकस बढ़ाने के लिए, B) गति बढ़ाने के लिए, C) सहनशक्ति बढ़ाने के लिए, D) प्रहारों पर नियंत्रण करने के लिए")</f>
        <v>A) फोकस बढ़ाने के लिए, B) गति बढ़ाने के लिए, C) सहनशक्ति बढ़ाने के लिए, D) प्रहारों पर नियंत्रण करने के लिए</v>
      </c>
      <c r="K108" s="8" t="str">
        <f>IFERROR(__xludf.DUMMYFUNCTION("GOOGLETRANSLATE(E108, ""en"", ""hi"")"),"C) सहनशक्ति बढ़ाने के लिए")</f>
        <v>C) सहनशक्ति बढ़ाने के लिए</v>
      </c>
    </row>
    <row r="109" ht="22.5" customHeight="1">
      <c r="A109" s="2">
        <v>108.0</v>
      </c>
      <c r="B109" s="3" t="s">
        <v>4118</v>
      </c>
      <c r="C109" s="3" t="s">
        <v>4128</v>
      </c>
      <c r="D109" s="3" t="s">
        <v>4129</v>
      </c>
      <c r="E109" s="3" t="s">
        <v>4130</v>
      </c>
      <c r="G109" s="8" t="str">
        <f>IFERROR(__xludf.DUMMYFUNCTION("GOOGLETRANSLATE(A109, ""en"", ""hi"")"),"108")</f>
        <v>108</v>
      </c>
      <c r="H109" s="8" t="str">
        <f>IFERROR(__xludf.DUMMYFUNCTION("GOOGLETRANSLATE(B109, ""en"", ""hi"")"),"सिलंबम_27")</f>
        <v>सिलंबम_27</v>
      </c>
      <c r="I109" s="8" t="str">
        <f>IFERROR(__xludf.DUMMYFUNCTION("GOOGLETRANSLATE(C109, ""en"", ""hi"")"),"चित्र में दिखाए गए खेल में, ऊंचे प्रहार से बचने के लिए आमतौर पर किस प्रकार के फुटवर्क का उपयोग किया जाता है?")</f>
        <v>चित्र में दिखाए गए खेल में, ऊंचे प्रहार से बचने के लिए आमतौर पर किस प्रकार के फुटवर्क का उपयोग किया जाता है?</v>
      </c>
      <c r="J109" s="8" t="str">
        <f>IFERROR(__xludf.DUMMYFUNCTION("GOOGLETRANSLATE(D109, ""en"", ""hi"")"),"ए) साइड स्टेप, बी) बैक स्टेप, सी) फॉरवर्ड लंज, डी) पिवट")</f>
        <v>ए) साइड स्टेप, बी) बैक स्टेप, सी) फॉरवर्ड लंज, डी) पिवट</v>
      </c>
      <c r="K109" s="8" t="str">
        <f>IFERROR(__xludf.DUMMYFUNCTION("GOOGLETRANSLATE(E109, ""en"", ""hi"")"),"ए) साइड स्टेप")</f>
        <v>ए) साइड स्टेप</v>
      </c>
    </row>
    <row r="110" ht="22.5" customHeight="1">
      <c r="A110" s="2">
        <v>109.0</v>
      </c>
      <c r="B110" s="3" t="s">
        <v>4131</v>
      </c>
      <c r="C110" s="3" t="s">
        <v>4132</v>
      </c>
      <c r="D110" s="3" t="s">
        <v>4133</v>
      </c>
      <c r="E110" s="3" t="s">
        <v>4134</v>
      </c>
      <c r="G110" s="8" t="str">
        <f>IFERROR(__xludf.DUMMYFUNCTION("GOOGLETRANSLATE(A110, ""en"", ""hi"")"),"109")</f>
        <v>109</v>
      </c>
      <c r="H110" s="8" t="str">
        <f>IFERROR(__xludf.DUMMYFUNCTION("GOOGLETRANSLATE(B110, ""en"", ""hi"")"),"सिलंबम_28")</f>
        <v>सिलंबम_28</v>
      </c>
      <c r="I110" s="8" t="str">
        <f>IFERROR(__xludf.DUMMYFUNCTION("GOOGLETRANSLATE(C110, ""en"", ""hi"")"),"चित्र में दिखाए गए खेल के लिए, निम्नलिखित में से कौन सा सिलंबम स्पैरिंग शिष्टाचार का एक अनिवार्य हिस्सा है?")</f>
        <v>चित्र में दिखाए गए खेल के लिए, निम्नलिखित में से कौन सा सिलंबम स्पैरिंग शिष्टाचार का एक अनिवार्य हिस्सा है?</v>
      </c>
      <c r="J110" s="8" t="str">
        <f>IFERROR(__xludf.DUMMYFUNCTION("GOOGLETRANSLATE(D110, ""en"", ""hi"")"),"A) मैच से पहले झुकना, B) मैच के बाद हाथ मिलाना, C) हल्के प्रहार करना, D) सिर पर प्रहार से बचना")</f>
        <v>A) मैच से पहले झुकना, B) मैच के बाद हाथ मिलाना, C) हल्के प्रहार करना, D) सिर पर प्रहार से बचना</v>
      </c>
      <c r="K110" s="8" t="str">
        <f>IFERROR(__xludf.DUMMYFUNCTION("GOOGLETRANSLATE(E110, ""en"", ""hi"")"),"A) मैच से पहले झुकना")</f>
        <v>A) मैच से पहले झुकना</v>
      </c>
    </row>
    <row r="111" ht="22.5" customHeight="1">
      <c r="A111" s="2">
        <v>110.0</v>
      </c>
      <c r="B111" s="3" t="s">
        <v>4131</v>
      </c>
      <c r="C111" s="3" t="s">
        <v>4135</v>
      </c>
      <c r="D111" s="3" t="s">
        <v>4136</v>
      </c>
      <c r="E111" s="3" t="s">
        <v>4137</v>
      </c>
      <c r="G111" s="8" t="str">
        <f>IFERROR(__xludf.DUMMYFUNCTION("GOOGLETRANSLATE(A111, ""en"", ""hi"")"),"110")</f>
        <v>110</v>
      </c>
      <c r="H111" s="8" t="str">
        <f>IFERROR(__xludf.DUMMYFUNCTION("GOOGLETRANSLATE(B111, ""en"", ""hi"")"),"सिलंबम_28")</f>
        <v>सिलंबम_28</v>
      </c>
      <c r="I111" s="8" t="str">
        <f>IFERROR(__xludf.DUMMYFUNCTION("GOOGLETRANSLATE(C111, ""en"", ""hi"")"),"चित्र में दिखाए गए खेल में, सिलंबम वास्तविक जीवन के युद्ध परिदृश्यों के लिए अभ्यासकर्ताओं को कैसे प्रशिक्षित करता है?")</f>
        <v>चित्र में दिखाए गए खेल में, सिलंबम वास्तविक जीवन के युद्ध परिदृश्यों के लिए अभ्यासकर्ताओं को कैसे प्रशिक्षित करता है?</v>
      </c>
      <c r="J111" s="8" t="str">
        <f>IFERROR(__xludf.DUMMYFUNCTION("GOOGLETRANSLATE(D111, ""en"", ""hi"")"),"A) सहनशक्ति प्रशिक्षण के माध्यम से, B) पूर्ण संपर्क स्पैरिंग का अभ्यास करके, C) नियंत्रित स्पैरिंग का उपयोग करके, D) मानसिक कंडीशनिंग के माध्यम से")</f>
        <v>A) सहनशक्ति प्रशिक्षण के माध्यम से, B) पूर्ण संपर्क स्पैरिंग का अभ्यास करके, C) नियंत्रित स्पैरिंग का उपयोग करके, D) मानसिक कंडीशनिंग के माध्यम से</v>
      </c>
      <c r="K111" s="8" t="str">
        <f>IFERROR(__xludf.DUMMYFUNCTION("GOOGLETRANSLATE(E111, ""en"", ""hi"")"),"C) नियंत्रित स्पैरिंग का उपयोग करके")</f>
        <v>C) नियंत्रित स्पैरिंग का उपयोग करके</v>
      </c>
    </row>
    <row r="112" ht="22.5" customHeight="1">
      <c r="A112" s="2">
        <v>111.0</v>
      </c>
      <c r="B112" s="3" t="s">
        <v>4131</v>
      </c>
      <c r="C112" s="3" t="s">
        <v>4138</v>
      </c>
      <c r="D112" s="3" t="s">
        <v>4139</v>
      </c>
      <c r="E112" s="3" t="s">
        <v>4140</v>
      </c>
      <c r="G112" s="8" t="str">
        <f>IFERROR(__xludf.DUMMYFUNCTION("GOOGLETRANSLATE(A112, ""en"", ""hi"")"),"111")</f>
        <v>111</v>
      </c>
      <c r="H112" s="8" t="str">
        <f>IFERROR(__xludf.DUMMYFUNCTION("GOOGLETRANSLATE(B112, ""en"", ""hi"")"),"सिलंबम_28")</f>
        <v>सिलंबम_28</v>
      </c>
      <c r="I112" s="8" t="str">
        <f>IFERROR(__xludf.DUMMYFUNCTION("GOOGLETRANSLATE(C112, ""en"", ""hi"")"),"चित्र में दिखाए गए खेल के लिए, सिलंबम का अभ्यास करने का मुख्य लाभ इनमें से कौन सा है?")</f>
        <v>चित्र में दिखाए गए खेल के लिए, सिलंबम का अभ्यास करने का मुख्य लाभ इनमें से कौन सा है?</v>
      </c>
      <c r="J112" s="8" t="str">
        <f>IFERROR(__xludf.DUMMYFUNCTION("GOOGLETRANSLATE(D112, ""en"", ""hi"")"),"A) शरीर समन्वय में सुधार, B) ऊपरी शरीर को मजबूत करना, C) मानसिक सतर्कता को बढ़ावा देना, D) निचले शरीर की ताकत बढ़ाना")</f>
        <v>A) शरीर समन्वय में सुधार, B) ऊपरी शरीर को मजबूत करना, C) मानसिक सतर्कता को बढ़ावा देना, D) निचले शरीर की ताकत बढ़ाना</v>
      </c>
      <c r="K112" s="8" t="str">
        <f>IFERROR(__xludf.DUMMYFUNCTION("GOOGLETRANSLATE(E112, ""en"", ""hi"")"),"A) शरीर समन्वय में सुधार")</f>
        <v>A) शरीर समन्वय में सुधार</v>
      </c>
    </row>
    <row r="113" ht="22.5" customHeight="1">
      <c r="A113" s="2">
        <v>112.0</v>
      </c>
      <c r="B113" s="3" t="s">
        <v>4131</v>
      </c>
      <c r="C113" s="3" t="s">
        <v>4141</v>
      </c>
      <c r="D113" s="3" t="s">
        <v>4142</v>
      </c>
      <c r="E113" s="3" t="s">
        <v>4143</v>
      </c>
      <c r="G113" s="8" t="str">
        <f>IFERROR(__xludf.DUMMYFUNCTION("GOOGLETRANSLATE(A113, ""en"", ""hi"")"),"112")</f>
        <v>112</v>
      </c>
      <c r="H113" s="8" t="str">
        <f>IFERROR(__xludf.DUMMYFUNCTION("GOOGLETRANSLATE(B113, ""en"", ""hi"")"),"सिलंबम_28")</f>
        <v>सिलंबम_28</v>
      </c>
      <c r="I113" s="8" t="str">
        <f>IFERROR(__xludf.DUMMYFUNCTION("GOOGLETRANSLATE(C113, ""en"", ""hi"")"),"चित्र में दिखाए गए खेल में, प्रतिस्पर्धी सिलंबम में निम्नलिखित में से कौन सी रणनीति आम है?")</f>
        <v>चित्र में दिखाए गए खेल में, प्रतिस्पर्धी सिलंबम में निम्नलिखित में से कौन सी रणनीति आम है?</v>
      </c>
      <c r="J113" s="8" t="str">
        <f>IFERROR(__xludf.DUMMYFUNCTION("GOOGLETRANSLATE(D113, ""en"", ""hi"")"),"ए) आक्रामक हमले, बी) रक्षात्मक जवाबी हमले, सी) चकमा देने वाली गतिविधियां, डी) त्वरित प्रहार")</f>
        <v>ए) आक्रामक हमले, बी) रक्षात्मक जवाबी हमले, सी) चकमा देने वाली गतिविधियां, डी) त्वरित प्रहार</v>
      </c>
      <c r="K113" s="8" t="str">
        <f>IFERROR(__xludf.DUMMYFUNCTION("GOOGLETRANSLATE(E113, ""en"", ""hi"")"),"बी) रक्षात्मक काउंटर")</f>
        <v>बी) रक्षात्मक काउंटर</v>
      </c>
    </row>
    <row r="114">
      <c r="A114" s="9"/>
      <c r="B114" s="5"/>
      <c r="C114" s="5"/>
      <c r="D114" s="5"/>
      <c r="E114" s="5"/>
    </row>
    <row r="115">
      <c r="A115" s="9"/>
      <c r="B115" s="5"/>
      <c r="C115" s="5"/>
      <c r="D115" s="5"/>
      <c r="E115" s="5"/>
    </row>
    <row r="116">
      <c r="A116" s="9"/>
      <c r="B116" s="5"/>
      <c r="C116" s="5"/>
      <c r="D116" s="5"/>
      <c r="E116" s="5"/>
    </row>
    <row r="117">
      <c r="A117" s="9"/>
      <c r="B117" s="5"/>
      <c r="C117" s="5"/>
      <c r="D117" s="5"/>
      <c r="E117" s="5"/>
    </row>
    <row r="118">
      <c r="A118" s="9"/>
      <c r="B118" s="5"/>
      <c r="C118" s="5"/>
      <c r="D118" s="5"/>
      <c r="E118" s="5"/>
    </row>
    <row r="119">
      <c r="A119" s="9"/>
      <c r="B119" s="5"/>
      <c r="C119" s="5"/>
      <c r="D119" s="5"/>
      <c r="E119" s="5"/>
    </row>
    <row r="120">
      <c r="A120" s="9"/>
      <c r="B120" s="5"/>
      <c r="C120" s="5"/>
      <c r="D120" s="5"/>
      <c r="E120" s="5"/>
    </row>
    <row r="121">
      <c r="A121" s="9"/>
      <c r="B121" s="5"/>
      <c r="C121" s="5"/>
      <c r="D121" s="5"/>
      <c r="E121" s="5"/>
    </row>
    <row r="122">
      <c r="A122" s="9"/>
      <c r="B122" s="5"/>
      <c r="C122" s="5"/>
      <c r="D122" s="5"/>
      <c r="E122" s="5"/>
    </row>
    <row r="123">
      <c r="A123" s="9"/>
      <c r="B123" s="5"/>
      <c r="C123" s="5"/>
      <c r="D123" s="5"/>
      <c r="E123" s="5"/>
    </row>
    <row r="124">
      <c r="A124" s="9"/>
      <c r="B124" s="5"/>
      <c r="C124" s="5"/>
      <c r="D124" s="5"/>
      <c r="E124" s="5"/>
    </row>
    <row r="125">
      <c r="A125" s="9"/>
      <c r="B125" s="5"/>
      <c r="C125" s="5"/>
      <c r="D125" s="5"/>
      <c r="E125" s="5"/>
    </row>
    <row r="126">
      <c r="A126" s="9"/>
      <c r="B126" s="5"/>
      <c r="C126" s="5"/>
      <c r="D126" s="5"/>
      <c r="E126" s="5"/>
    </row>
    <row r="127">
      <c r="A127" s="9"/>
      <c r="B127" s="5"/>
      <c r="C127" s="5"/>
      <c r="D127" s="5"/>
      <c r="E127" s="5"/>
    </row>
    <row r="128">
      <c r="A128" s="9"/>
      <c r="B128" s="5"/>
      <c r="C128" s="5"/>
      <c r="D128" s="5"/>
      <c r="E128" s="5"/>
    </row>
    <row r="129">
      <c r="A129" s="9"/>
      <c r="B129" s="5"/>
      <c r="C129" s="5"/>
      <c r="D129" s="5"/>
      <c r="E129" s="5"/>
    </row>
    <row r="130">
      <c r="A130" s="9"/>
      <c r="B130" s="5"/>
      <c r="C130" s="5"/>
      <c r="D130" s="5"/>
      <c r="E130" s="5"/>
    </row>
    <row r="131">
      <c r="A131" s="9"/>
      <c r="B131" s="5"/>
      <c r="C131" s="5"/>
      <c r="D131" s="5"/>
      <c r="E131" s="5"/>
    </row>
    <row r="132">
      <c r="A132" s="9"/>
      <c r="B132" s="5"/>
      <c r="C132" s="5"/>
      <c r="D132" s="5"/>
      <c r="E132" s="5"/>
    </row>
    <row r="133">
      <c r="A133" s="9"/>
      <c r="B133" s="5"/>
      <c r="C133" s="5"/>
      <c r="D133" s="5"/>
      <c r="E133" s="5"/>
    </row>
    <row r="134">
      <c r="A134" s="9"/>
      <c r="B134" s="5"/>
      <c r="C134" s="5"/>
      <c r="D134" s="5"/>
      <c r="E134" s="5"/>
    </row>
    <row r="135">
      <c r="A135" s="9"/>
      <c r="B135" s="5"/>
      <c r="C135" s="5"/>
      <c r="D135" s="5"/>
      <c r="E135" s="5"/>
    </row>
    <row r="136">
      <c r="A136" s="9"/>
      <c r="B136" s="5"/>
      <c r="C136" s="5"/>
      <c r="D136" s="5"/>
      <c r="E136" s="5"/>
    </row>
    <row r="137">
      <c r="A137" s="9"/>
      <c r="B137" s="5"/>
      <c r="C137" s="5"/>
      <c r="D137" s="5"/>
      <c r="E137" s="5"/>
    </row>
    <row r="138">
      <c r="A138" s="9"/>
      <c r="B138" s="5"/>
      <c r="C138" s="5"/>
      <c r="D138" s="5"/>
      <c r="E138" s="5"/>
    </row>
    <row r="139">
      <c r="A139" s="9"/>
      <c r="B139" s="5"/>
      <c r="C139" s="5"/>
      <c r="D139" s="5"/>
      <c r="E139" s="5"/>
    </row>
    <row r="140">
      <c r="A140" s="9"/>
      <c r="B140" s="5"/>
      <c r="C140" s="5"/>
      <c r="D140" s="5"/>
      <c r="E140" s="5"/>
    </row>
    <row r="141">
      <c r="A141" s="9"/>
      <c r="B141" s="5"/>
      <c r="C141" s="5"/>
      <c r="D141" s="5"/>
      <c r="E141" s="5"/>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24.88"/>
    <col customWidth="1" min="9" max="10" width="37.63"/>
    <col customWidth="1" min="11" max="11" width="20.5"/>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4144</v>
      </c>
      <c r="C2" s="3" t="s">
        <v>4145</v>
      </c>
      <c r="D2" s="3" t="s">
        <v>4146</v>
      </c>
      <c r="E2" s="3" t="s">
        <v>4147</v>
      </c>
      <c r="G2" s="8" t="str">
        <f>IFERROR(__xludf.DUMMYFUNCTION("GOOGLETRANSLATE(A2, ""en"", ""hi"")"),"1")</f>
        <v>1</v>
      </c>
      <c r="H2" s="8" t="str">
        <f>IFERROR(__xludf.DUMMYFUNCTION("GOOGLETRANSLATE(B2, ""en"", ""hi"")"),"मलखंभ_1")</f>
        <v>मलखंभ_1</v>
      </c>
      <c r="I2" s="8" t="str">
        <f>IFERROR(__xludf.DUMMYFUNCTION("GOOGLETRANSLATE(C2, ""en"", ""hi"")"),"चित्र में कौन सा खेल दर्शाया गया है?")</f>
        <v>चित्र में कौन सा खेल दर्शाया गया है?</v>
      </c>
      <c r="J2" s="8" t="str">
        <f>IFERROR(__xludf.DUMMYFUNCTION("GOOGLETRANSLATE(D2, ""en"", ""hi"")"),"A) कबड्डी, B) मल्लखंब, C) कुश्ती, D) जिम्नास्टिक")</f>
        <v>A) कबड्डी, B) मल्लखंब, C) कुश्ती, D) जिम्नास्टिक</v>
      </c>
      <c r="K2" s="8" t="str">
        <f>IFERROR(__xludf.DUMMYFUNCTION("GOOGLETRANSLATE(E2, ""en"", ""hi"")"),"बी) मल्लखंब")</f>
        <v>बी) मल्लखंब</v>
      </c>
    </row>
    <row r="3" ht="22.5" customHeight="1">
      <c r="A3" s="2">
        <v>2.0</v>
      </c>
      <c r="B3" s="3" t="s">
        <v>4144</v>
      </c>
      <c r="C3" s="3" t="s">
        <v>4148</v>
      </c>
      <c r="D3" s="3" t="s">
        <v>4149</v>
      </c>
      <c r="E3" s="3" t="s">
        <v>4150</v>
      </c>
      <c r="G3" s="8" t="str">
        <f>IFERROR(__xludf.DUMMYFUNCTION("GOOGLETRANSLATE(A3, ""en"", ""hi"")"),"2")</f>
        <v>2</v>
      </c>
      <c r="H3" s="8" t="str">
        <f>IFERROR(__xludf.DUMMYFUNCTION("GOOGLETRANSLATE(B3, ""en"", ""hi"")"),"मलखंभ_1")</f>
        <v>मलखंभ_1</v>
      </c>
      <c r="I3" s="8" t="str">
        <f>IFERROR(__xludf.DUMMYFUNCTION("GOOGLETRANSLATE(C3, ""en"", ""hi"")"),"चित्र में दिखाए गए खेल में कौन सा उपकरण आवश्यक है?")</f>
        <v>चित्र में दिखाए गए खेल में कौन सा उपकरण आवश्यक है?</v>
      </c>
      <c r="J3" s="8" t="str">
        <f>IFERROR(__xludf.DUMMYFUNCTION("GOOGLETRANSLATE(D3, ""en"", ""hi"")"),"A) रस्सी, B) डंडा, C) चटाई, D) गेंद")</f>
        <v>A) रस्सी, B) डंडा, C) चटाई, D) गेंद</v>
      </c>
      <c r="K3" s="8" t="str">
        <f>IFERROR(__xludf.DUMMYFUNCTION("GOOGLETRANSLATE(E3, ""en"", ""hi"")"),"बी) ध्रुव")</f>
        <v>बी) ध्रुव</v>
      </c>
    </row>
    <row r="4" ht="22.5" customHeight="1">
      <c r="A4" s="2">
        <v>3.0</v>
      </c>
      <c r="B4" s="3" t="s">
        <v>4144</v>
      </c>
      <c r="C4" s="3" t="s">
        <v>4151</v>
      </c>
      <c r="D4" s="3" t="s">
        <v>4152</v>
      </c>
      <c r="E4" s="3" t="s">
        <v>4153</v>
      </c>
      <c r="G4" s="8" t="str">
        <f>IFERROR(__xludf.DUMMYFUNCTION("GOOGLETRANSLATE(A4, ""en"", ""hi"")"),"3")</f>
        <v>3</v>
      </c>
      <c r="H4" s="8" t="str">
        <f>IFERROR(__xludf.DUMMYFUNCTION("GOOGLETRANSLATE(B4, ""en"", ""hi"")"),"मलखंभ_1")</f>
        <v>मलखंभ_1</v>
      </c>
      <c r="I4" s="8" t="str">
        <f>IFERROR(__xludf.DUMMYFUNCTION("GOOGLETRANSLATE(C4, ""en"", ""hi"")"),"चित्र में दिखाया गया खेल किस देश में उत्पन्न हुआ?")</f>
        <v>चित्र में दिखाया गया खेल किस देश में उत्पन्न हुआ?</v>
      </c>
      <c r="J4" s="8" t="str">
        <f>IFERROR(__xludf.DUMMYFUNCTION("GOOGLETRANSLATE(D4, ""en"", ""hi"")"),"A) चीन, B) जापान, C) भारत, D) नेपाल")</f>
        <v>A) चीन, B) जापान, C) भारत, D) नेपाल</v>
      </c>
      <c r="K4" s="8" t="str">
        <f>IFERROR(__xludf.DUMMYFUNCTION("GOOGLETRANSLATE(E4, ""en"", ""hi"")"),"C) भारत")</f>
        <v>C) भारत</v>
      </c>
    </row>
    <row r="5" ht="22.5" customHeight="1">
      <c r="A5" s="2">
        <v>4.0</v>
      </c>
      <c r="B5" s="3" t="s">
        <v>4144</v>
      </c>
      <c r="C5" s="3" t="s">
        <v>4154</v>
      </c>
      <c r="D5" s="3" t="s">
        <v>4155</v>
      </c>
      <c r="E5" s="3" t="s">
        <v>4156</v>
      </c>
      <c r="G5" s="8" t="str">
        <f>IFERROR(__xludf.DUMMYFUNCTION("GOOGLETRANSLATE(A5, ""en"", ""hi"")"),"4")</f>
        <v>4</v>
      </c>
      <c r="H5" s="8" t="str">
        <f>IFERROR(__xludf.DUMMYFUNCTION("GOOGLETRANSLATE(B5, ""en"", ""hi"")"),"मलखंभ_1")</f>
        <v>मलखंभ_1</v>
      </c>
      <c r="I5" s="8" t="str">
        <f>IFERROR(__xludf.DUMMYFUNCTION("GOOGLETRANSLATE(C5, ""en"", ""hi"")"),"चित्र में दिखाए गए खेल का प्राथमिक फोकस क्या है?")</f>
        <v>चित्र में दिखाए गए खेल का प्राथमिक फोकस क्या है?</v>
      </c>
      <c r="J5" s="8" t="str">
        <f>IFERROR(__xludf.DUMMYFUNCTION("GOOGLETRANSLATE(D5, ""en"", ""hi"")"),"A) शक्ति और चपलता, B) गति और सहनशक्ति, C) लचीलापन और संतुलन, D) समन्वय और समय")</f>
        <v>A) शक्ति और चपलता, B) गति और सहनशक्ति, C) लचीलापन और संतुलन, D) समन्वय और समय</v>
      </c>
      <c r="K5" s="8" t="str">
        <f>IFERROR(__xludf.DUMMYFUNCTION("GOOGLETRANSLATE(E5, ""en"", ""hi"")"),"C) लचीलापन और संतुलन")</f>
        <v>C) लचीलापन और संतुलन</v>
      </c>
    </row>
    <row r="6" ht="22.5" customHeight="1">
      <c r="A6" s="2">
        <v>5.0</v>
      </c>
      <c r="B6" s="3" t="s">
        <v>4157</v>
      </c>
      <c r="C6" s="3" t="s">
        <v>4158</v>
      </c>
      <c r="D6" s="3" t="s">
        <v>4159</v>
      </c>
      <c r="E6" s="3" t="s">
        <v>4160</v>
      </c>
      <c r="G6" s="8" t="str">
        <f>IFERROR(__xludf.DUMMYFUNCTION("GOOGLETRANSLATE(A6, ""en"", ""hi"")"),"5")</f>
        <v>5</v>
      </c>
      <c r="H6" s="8" t="str">
        <f>IFERROR(__xludf.DUMMYFUNCTION("GOOGLETRANSLATE(B6, ""en"", ""hi"")"),"मलखंभ_2")</f>
        <v>मलखंभ_2</v>
      </c>
      <c r="I6" s="8" t="str">
        <f>IFERROR(__xludf.DUMMYFUNCTION("GOOGLETRANSLATE(C6, ""en"", ""hi"")"),"भारत में किस क्षेत्र को इस खेल का उद्गम स्थल माना जाता है?")</f>
        <v>भारत में किस क्षेत्र को इस खेल का उद्गम स्थल माना जाता है?</v>
      </c>
      <c r="J6" s="8" t="str">
        <f>IFERROR(__xludf.DUMMYFUNCTION("GOOGLETRANSLATE(D6, ""en"", ""hi"")"),"A) पंजाब, B) महाराष्ट्र, C) केरल, D) तमिलनाडु")</f>
        <v>A) पंजाब, B) महाराष्ट्र, C) केरल, D) तमिलनाडु</v>
      </c>
      <c r="K6" s="8" t="str">
        <f>IFERROR(__xludf.DUMMYFUNCTION("GOOGLETRANSLATE(E6, ""en"", ""hi"")"),"बी) महाराष्ट्र")</f>
        <v>बी) महाराष्ट्र</v>
      </c>
    </row>
    <row r="7" ht="22.5" customHeight="1">
      <c r="A7" s="2">
        <v>6.0</v>
      </c>
      <c r="B7" s="3" t="s">
        <v>4157</v>
      </c>
      <c r="C7" s="3" t="s">
        <v>4161</v>
      </c>
      <c r="D7" s="3" t="s">
        <v>4162</v>
      </c>
      <c r="E7" s="3" t="s">
        <v>1873</v>
      </c>
      <c r="G7" s="8" t="str">
        <f>IFERROR(__xludf.DUMMYFUNCTION("GOOGLETRANSLATE(A7, ""en"", ""hi"")"),"6")</f>
        <v>6</v>
      </c>
      <c r="H7" s="8" t="str">
        <f>IFERROR(__xludf.DUMMYFUNCTION("GOOGLETRANSLATE(B7, ""en"", ""hi"")"),"मलखंभ_2")</f>
        <v>मलखंभ_2</v>
      </c>
      <c r="I7" s="8" t="str">
        <f>IFERROR(__xludf.DUMMYFUNCTION("GOOGLETRANSLATE(C7, ""en"", ""hi"")"),"कौन सा आयु वर्ग आमतौर पर इस खेल का अभ्यास करता है?")</f>
        <v>कौन सा आयु वर्ग आमतौर पर इस खेल का अभ्यास करता है?</v>
      </c>
      <c r="J7" s="8" t="str">
        <f>IFERROR(__xludf.DUMMYFUNCTION("GOOGLETRANSLATE(D7, ""en"", ""hi"")"),"A) बच्चे, B) किशोर, C) वयस्क, D) उपरोक्त सभी")</f>
        <v>A) बच्चे, B) किशोर, C) वयस्क, D) उपरोक्त सभी</v>
      </c>
      <c r="K7" s="8" t="str">
        <f>IFERROR(__xludf.DUMMYFUNCTION("GOOGLETRANSLATE(E7, ""en"", ""hi"")"),"D। उपरोक्त सभी")</f>
        <v>D। उपरोक्त सभी</v>
      </c>
    </row>
    <row r="8" ht="22.5" customHeight="1">
      <c r="A8" s="2">
        <v>7.0</v>
      </c>
      <c r="B8" s="3" t="s">
        <v>4157</v>
      </c>
      <c r="C8" s="3" t="s">
        <v>4163</v>
      </c>
      <c r="D8" s="3" t="s">
        <v>4164</v>
      </c>
      <c r="E8" s="3" t="s">
        <v>4165</v>
      </c>
      <c r="G8" s="8" t="str">
        <f>IFERROR(__xludf.DUMMYFUNCTION("GOOGLETRANSLATE(A8, ""en"", ""hi"")"),"7")</f>
        <v>7</v>
      </c>
      <c r="H8" s="8" t="str">
        <f>IFERROR(__xludf.DUMMYFUNCTION("GOOGLETRANSLATE(B8, ""en"", ""hi"")"),"मलखंभ_2")</f>
        <v>मलखंभ_2</v>
      </c>
      <c r="I8" s="8" t="str">
        <f>IFERROR(__xludf.DUMMYFUNCTION("GOOGLETRANSLATE(C8, ""en"", ""hi"")"),"इस खेल में मुख्यतः किस प्रकार की गतिविधियाँ शामिल होती हैं?")</f>
        <v>इस खेल में मुख्यतः किस प्रकार की गतिविधियाँ शामिल होती हैं?</v>
      </c>
      <c r="J8" s="8" t="str">
        <f>IFERROR(__xludf.DUMMYFUNCTION("GOOGLETRANSLATE(D8, ""en"", ""hi"")"),"A) झूलना और संतुलन बनाना, B) दौड़ना और कूदना, C) मुक्के मारना और लात मारना, D) तैराकी स्ट्रोक")</f>
        <v>A) झूलना और संतुलन बनाना, B) दौड़ना और कूदना, C) मुक्के मारना और लात मारना, D) तैराकी स्ट्रोक</v>
      </c>
      <c r="K8" s="8" t="str">
        <f>IFERROR(__xludf.DUMMYFUNCTION("GOOGLETRANSLATE(E8, ""en"", ""hi"")"),"A) झूलना और संतुलन बनाना")</f>
        <v>A) झूलना और संतुलन बनाना</v>
      </c>
    </row>
    <row r="9" ht="22.5" customHeight="1">
      <c r="A9" s="2">
        <v>8.0</v>
      </c>
      <c r="B9" s="3" t="s">
        <v>4157</v>
      </c>
      <c r="C9" s="3" t="s">
        <v>4166</v>
      </c>
      <c r="D9" s="3" t="s">
        <v>4167</v>
      </c>
      <c r="E9" s="3" t="s">
        <v>4168</v>
      </c>
      <c r="G9" s="8" t="str">
        <f>IFERROR(__xludf.DUMMYFUNCTION("GOOGLETRANSLATE(A9, ""en"", ""hi"")"),"8")</f>
        <v>8</v>
      </c>
      <c r="H9" s="8" t="str">
        <f>IFERROR(__xludf.DUMMYFUNCTION("GOOGLETRANSLATE(B9, ""en"", ""hi"")"),"मलखंभ_2")</f>
        <v>मलखंभ_2</v>
      </c>
      <c r="I9" s="8" t="str">
        <f>IFERROR(__xludf.DUMMYFUNCTION("GOOGLETRANSLATE(C9, ""en"", ""hi"")"),"इस खेल में प्रयुक्त मुख्य उपकरण क्या है?")</f>
        <v>इस खेल में प्रयुक्त मुख्य उपकरण क्या है?</v>
      </c>
      <c r="J9" s="8" t="str">
        <f>IFERROR(__xludf.DUMMYFUNCTION("GOOGLETRANSLATE(D9, ""en"", ""hi"")"),"A) रस्सियाँ, B) डंडे, C) चटाई, D) छल्ले")</f>
        <v>A) रस्सियाँ, B) डंडे, C) चटाई, D) छल्ले</v>
      </c>
      <c r="K9" s="8" t="str">
        <f>IFERROR(__xludf.DUMMYFUNCTION("GOOGLETRANSLATE(E9, ""en"", ""hi"")"),"बी) ध्रुव")</f>
        <v>बी) ध्रुव</v>
      </c>
    </row>
    <row r="10" ht="22.5" customHeight="1">
      <c r="A10" s="2">
        <v>9.0</v>
      </c>
      <c r="B10" s="3" t="s">
        <v>4169</v>
      </c>
      <c r="C10" s="3" t="s">
        <v>4170</v>
      </c>
      <c r="D10" s="3" t="s">
        <v>4171</v>
      </c>
      <c r="E10" s="3" t="s">
        <v>4172</v>
      </c>
      <c r="G10" s="8" t="str">
        <f>IFERROR(__xludf.DUMMYFUNCTION("GOOGLETRANSLATE(A10, ""en"", ""hi"")"),"9")</f>
        <v>9</v>
      </c>
      <c r="H10" s="8" t="str">
        <f>IFERROR(__xludf.DUMMYFUNCTION("GOOGLETRANSLATE(B10, ""en"", ""hi"")"),"मलखंभ_3")</f>
        <v>मलखंभ_3</v>
      </c>
      <c r="I10" s="8" t="str">
        <f>IFERROR(__xludf.DUMMYFUNCTION("GOOGLETRANSLATE(C10, ""en"", ""hi"")"),"चित्र में किस प्रकार का मल्लखम्ब दर्शाया गया है?")</f>
        <v>चित्र में किस प्रकार का मल्लखम्ब दर्शाया गया है?</v>
      </c>
      <c r="J10" s="8" t="str">
        <f>IFERROR(__xludf.DUMMYFUNCTION("GOOGLETRANSLATE(D10, ""en"", ""hi"")"),"A) रस्सी मल्लखम्ब, B) लटकता मल्लखम्ब, C) स्थिर खंभे वाला मल्लखम्ब, D) बेंत मल्लखम्ब")</f>
        <v>A) रस्सी मल्लखम्ब, B) लटकता मल्लखम्ब, C) स्थिर खंभे वाला मल्लखम्ब, D) बेंत मल्लखम्ब</v>
      </c>
      <c r="K10" s="8" t="str">
        <f>IFERROR(__xludf.DUMMYFUNCTION("GOOGLETRANSLATE(E10, ""en"", ""hi"")"),"सी) स्थिर पोल मल्लखम्ब")</f>
        <v>सी) स्थिर पोल मल्लखम्ब</v>
      </c>
    </row>
    <row r="11" ht="22.5" customHeight="1">
      <c r="A11" s="2">
        <v>10.0</v>
      </c>
      <c r="B11" s="3" t="s">
        <v>4169</v>
      </c>
      <c r="C11" s="3" t="s">
        <v>4173</v>
      </c>
      <c r="D11" s="3" t="s">
        <v>4174</v>
      </c>
      <c r="E11" s="3" t="s">
        <v>4175</v>
      </c>
      <c r="G11" s="8" t="str">
        <f>IFERROR(__xludf.DUMMYFUNCTION("GOOGLETRANSLATE(A11, ""en"", ""hi"")"),"10")</f>
        <v>10</v>
      </c>
      <c r="H11" s="8" t="str">
        <f>IFERROR(__xludf.DUMMYFUNCTION("GOOGLETRANSLATE(B11, ""en"", ""hi"")"),"मलखंभ_3")</f>
        <v>मलखंभ_3</v>
      </c>
      <c r="I11" s="8" t="str">
        <f>IFERROR(__xludf.DUMMYFUNCTION("GOOGLETRANSLATE(C11, ""en"", ""hi"")"),"मल्लखम्ब खेल का मुख्य उद्देश्य क्या है?")</f>
        <v>मल्लखम्ब खेल का मुख्य उद्देश्य क्या है?</v>
      </c>
      <c r="J11" s="8" t="str">
        <f>IFERROR(__xludf.DUMMYFUNCTION("GOOGLETRANSLATE(D11, ""en"", ""hi"")"),"A) कुश्ती, B) कलाबाजी, C) योग और जिम्नास्टिक, D) मार्शल आर्ट")</f>
        <v>A) कुश्ती, B) कलाबाजी, C) योग और जिम्नास्टिक, D) मार्शल आर्ट</v>
      </c>
      <c r="K11" s="8" t="str">
        <f>IFERROR(__xludf.DUMMYFUNCTION("GOOGLETRANSLATE(E11, ""en"", ""hi"")"),"C) योग और जिम्नास्टिक")</f>
        <v>C) योग और जिम्नास्टिक</v>
      </c>
    </row>
    <row r="12" ht="22.5" customHeight="1">
      <c r="A12" s="2">
        <v>11.0</v>
      </c>
      <c r="B12" s="3" t="s">
        <v>4169</v>
      </c>
      <c r="C12" s="3" t="s">
        <v>4176</v>
      </c>
      <c r="D12" s="3" t="s">
        <v>4177</v>
      </c>
      <c r="E12" s="3" t="s">
        <v>1873</v>
      </c>
      <c r="G12" s="8" t="str">
        <f>IFERROR(__xludf.DUMMYFUNCTION("GOOGLETRANSLATE(A12, ""en"", ""hi"")"),"11")</f>
        <v>11</v>
      </c>
      <c r="H12" s="8" t="str">
        <f>IFERROR(__xludf.DUMMYFUNCTION("GOOGLETRANSLATE(B12, ""en"", ""hi"")"),"मलखंभ_3")</f>
        <v>मलखंभ_3</v>
      </c>
      <c r="I12" s="8" t="str">
        <f>IFERROR(__xludf.DUMMYFUNCTION("GOOGLETRANSLATE(C12, ""en"", ""hi"")"),"स्थिर ध्रुव मल्लखम्ब में प्रदर्शित प्राथमिक कौशल क्या है?")</f>
        <v>स्थिर ध्रुव मल्लखम्ब में प्रदर्शित प्राथमिक कौशल क्या है?</v>
      </c>
      <c r="J12" s="8" t="str">
        <f>IFERROR(__xludf.DUMMYFUNCTION("GOOGLETRANSLATE(D12, ""en"", ""hi"")"),"A) शक्ति, B) संतुलन, C) लचीलापन, D) उपरोक्त सभी")</f>
        <v>A) शक्ति, B) संतुलन, C) लचीलापन, D) उपरोक्त सभी</v>
      </c>
      <c r="K12" s="8" t="str">
        <f>IFERROR(__xludf.DUMMYFUNCTION("GOOGLETRANSLATE(E12, ""en"", ""hi"")"),"D। उपरोक्त सभी")</f>
        <v>D। उपरोक्त सभी</v>
      </c>
    </row>
    <row r="13" ht="22.5" customHeight="1">
      <c r="A13" s="2">
        <v>12.0</v>
      </c>
      <c r="B13" s="3" t="s">
        <v>4169</v>
      </c>
      <c r="C13" s="3" t="s">
        <v>4178</v>
      </c>
      <c r="D13" s="3" t="s">
        <v>4179</v>
      </c>
      <c r="E13" s="3" t="s">
        <v>4180</v>
      </c>
      <c r="G13" s="8" t="str">
        <f>IFERROR(__xludf.DUMMYFUNCTION("GOOGLETRANSLATE(A13, ""en"", ""hi"")"),"12")</f>
        <v>12</v>
      </c>
      <c r="H13" s="8" t="str">
        <f>IFERROR(__xludf.DUMMYFUNCTION("GOOGLETRANSLATE(B13, ""en"", ""hi"")"),"मलखंभ_3")</f>
        <v>मलखंभ_3</v>
      </c>
      <c r="I13" s="8" t="str">
        <f>IFERROR(__xludf.DUMMYFUNCTION("GOOGLETRANSLATE(C13, ""en"", ""hi"")"),"चित्र में कौन सा पोस्टर प्रदर्शित किया जा रहा है?")</f>
        <v>चित्र में कौन सा पोस्टर प्रदर्शित किया जा रहा है?</v>
      </c>
      <c r="J13" s="8" t="str">
        <f>IFERROR(__xludf.DUMMYFUNCTION("GOOGLETRANSLATE(D13, ""en"", ""hi"")"),"ए) पद्मासन, बी) चक्रासन, सी) सर्वांगासन, डी) निरालंब सर्वांगासन")</f>
        <v>ए) पद्मासन, बी) चक्रासन, सी) सर्वांगासन, डी) निरालंब सर्वांगासन</v>
      </c>
      <c r="K13" s="8" t="str">
        <f>IFERROR(__xludf.DUMMYFUNCTION("GOOGLETRANSLATE(E13, ""en"", ""hi"")"),"D) निरालम्बा सर्वांगासन")</f>
        <v>D) निरालम्बा सर्वांगासन</v>
      </c>
    </row>
    <row r="14" ht="22.5" customHeight="1">
      <c r="A14" s="2">
        <v>13.0</v>
      </c>
      <c r="B14" s="3" t="s">
        <v>4181</v>
      </c>
      <c r="C14" s="3" t="s">
        <v>4182</v>
      </c>
      <c r="D14" s="3" t="s">
        <v>4183</v>
      </c>
      <c r="E14" s="3" t="s">
        <v>4184</v>
      </c>
      <c r="G14" s="8" t="str">
        <f>IFERROR(__xludf.DUMMYFUNCTION("GOOGLETRANSLATE(A14, ""en"", ""hi"")"),"13")</f>
        <v>13</v>
      </c>
      <c r="H14" s="8" t="str">
        <f>IFERROR(__xludf.DUMMYFUNCTION("GOOGLETRANSLATE(B14, ""en"", ""hi"")"),"मलखंभ_4")</f>
        <v>मलखंभ_4</v>
      </c>
      <c r="I14" s="8" t="str">
        <f>IFERROR(__xludf.DUMMYFUNCTION("GOOGLETRANSLATE(C14, ""en"", ""hi"")"),"चित्र में कौन सा खेल खेला जा रहा है?")</f>
        <v>चित्र में कौन सा खेल खेला जा रहा है?</v>
      </c>
      <c r="J14" s="8" t="str">
        <f>IFERROR(__xludf.DUMMYFUNCTION("GOOGLETRANSLATE(D14, ""en"", ""hi"")"),"A) रस्सी मल्लखम्ब, B) पोल वॉल्ट, C) जिम्नास्टिक, D) एरियल सिल्क")</f>
        <v>A) रस्सी मल्लखम्ब, B) पोल वॉल्ट, C) जिम्नास्टिक, D) एरियल सिल्क</v>
      </c>
      <c r="K14" s="8" t="str">
        <f>IFERROR(__xludf.DUMMYFUNCTION("GOOGLETRANSLATE(E14, ""en"", ""hi"")"),"A) रस्सी मल्लखम्ब")</f>
        <v>A) रस्सी मल्लखम्ब</v>
      </c>
    </row>
    <row r="15" ht="22.5" customHeight="1">
      <c r="A15" s="2">
        <v>14.0</v>
      </c>
      <c r="B15" s="3" t="s">
        <v>4181</v>
      </c>
      <c r="C15" s="3" t="s">
        <v>4185</v>
      </c>
      <c r="D15" s="3" t="s">
        <v>4186</v>
      </c>
      <c r="E15" s="3" t="s">
        <v>4187</v>
      </c>
      <c r="G15" s="8" t="str">
        <f>IFERROR(__xludf.DUMMYFUNCTION("GOOGLETRANSLATE(A15, ""en"", ""hi"")"),"14")</f>
        <v>14</v>
      </c>
      <c r="H15" s="8" t="str">
        <f>IFERROR(__xludf.DUMMYFUNCTION("GOOGLETRANSLATE(B15, ""en"", ""hi"")"),"मलखंभ_4")</f>
        <v>मलखंभ_4</v>
      </c>
      <c r="I15" s="8" t="str">
        <f>IFERROR(__xludf.DUMMYFUNCTION("GOOGLETRANSLATE(C15, ""en"", ""hi"")"),"इस खेल में प्रयुक्त होने वाला प्राथमिक उपकरण क्या है?")</f>
        <v>इस खेल में प्रयुक्त होने वाला प्राथमिक उपकरण क्या है?</v>
      </c>
      <c r="J15" s="8" t="str">
        <f>IFERROR(__xludf.DUMMYFUNCTION("GOOGLETRANSLATE(D15, ""en"", ""hi"")"),"A) लकड़ी का खंभा, B) रस्सी, C) छल्ले, D) बीम")</f>
        <v>A) लकड़ी का खंभा, B) रस्सी, C) छल्ले, D) बीम</v>
      </c>
      <c r="K15" s="8" t="str">
        <f>IFERROR(__xludf.DUMMYFUNCTION("GOOGLETRANSLATE(E15, ""en"", ""hi"")"),"बी) रस्सी")</f>
        <v>बी) रस्सी</v>
      </c>
    </row>
    <row r="16" ht="22.5" customHeight="1">
      <c r="A16" s="2">
        <v>15.0</v>
      </c>
      <c r="B16" s="3" t="s">
        <v>4181</v>
      </c>
      <c r="C16" s="3" t="s">
        <v>4188</v>
      </c>
      <c r="D16" s="3" t="s">
        <v>4189</v>
      </c>
      <c r="E16" s="3" t="s">
        <v>4190</v>
      </c>
      <c r="G16" s="8" t="str">
        <f>IFERROR(__xludf.DUMMYFUNCTION("GOOGLETRANSLATE(A16, ""en"", ""hi"")"),"15")</f>
        <v>15</v>
      </c>
      <c r="H16" s="8" t="str">
        <f>IFERROR(__xludf.DUMMYFUNCTION("GOOGLETRANSLATE(B16, ""en"", ""hi"")"),"मलखंभ_4")</f>
        <v>मलखंभ_4</v>
      </c>
      <c r="I16" s="8" t="str">
        <f>IFERROR(__xludf.DUMMYFUNCTION("GOOGLETRANSLATE(C16, ""en"", ""hi"")"),"रोप मल्लखम्ब में रस्सी का उद्देश्य क्या है?")</f>
        <v>रोप मल्लखम्ब में रस्सी का उद्देश्य क्या है?</v>
      </c>
      <c r="J16" s="8" t="str">
        <f>IFERROR(__xludf.DUMMYFUNCTION("GOOGLETRANSLATE(D16, ""en"", ""hi"")"),"A) चढ़ना और आसन करना, B) झूलना, C) संतुलन बनाना, D) कूदना")</f>
        <v>A) चढ़ना और आसन करना, B) झूलना, C) संतुलन बनाना, D) कूदना</v>
      </c>
      <c r="K16" s="8" t="str">
        <f>IFERROR(__xludf.DUMMYFUNCTION("GOOGLETRANSLATE(E16, ""en"", ""hi"")"),"A) चढ़ना और आसन करना")</f>
        <v>A) चढ़ना और आसन करना</v>
      </c>
    </row>
    <row r="17" ht="22.5" customHeight="1">
      <c r="A17" s="2">
        <v>16.0</v>
      </c>
      <c r="B17" s="3" t="s">
        <v>4181</v>
      </c>
      <c r="C17" s="3" t="s">
        <v>4191</v>
      </c>
      <c r="D17" s="3" t="s">
        <v>4192</v>
      </c>
      <c r="E17" s="3" t="s">
        <v>4193</v>
      </c>
      <c r="G17" s="8" t="str">
        <f>IFERROR(__xludf.DUMMYFUNCTION("GOOGLETRANSLATE(A17, ""en"", ""hi"")"),"16")</f>
        <v>16</v>
      </c>
      <c r="H17" s="8" t="str">
        <f>IFERROR(__xludf.DUMMYFUNCTION("GOOGLETRANSLATE(B17, ""en"", ""hi"")"),"मलखंभ_4")</f>
        <v>मलखंभ_4</v>
      </c>
      <c r="I17" s="8" t="str">
        <f>IFERROR(__xludf.DUMMYFUNCTION("GOOGLETRANSLATE(C17, ""en"", ""hi"")"),"रस्सी मल्लखंभ करने के लिए किस प्रकार का प्रशिक्षण आवश्यक है?")</f>
        <v>रस्सी मल्लखंभ करने के लिए किस प्रकार का प्रशिक्षण आवश्यक है?</v>
      </c>
      <c r="J17" s="8" t="str">
        <f>IFERROR(__xludf.DUMMYFUNCTION("GOOGLETRANSLATE(D17, ""en"", ""hi"")"),"A) जिम्नास्टिक प्रशिक्षण, B) मार्शल आर्ट प्रशिक्षण, C) नृत्य प्रशिक्षण, D) भारोत्तोलन प्रशिक्षण")</f>
        <v>A) जिम्नास्टिक प्रशिक्षण, B) मार्शल आर्ट प्रशिक्षण, C) नृत्य प्रशिक्षण, D) भारोत्तोलन प्रशिक्षण</v>
      </c>
      <c r="K17" s="8" t="str">
        <f>IFERROR(__xludf.DUMMYFUNCTION("GOOGLETRANSLATE(E17, ""en"", ""hi"")"),"ए) जिमनास्टिक प्रशिक्षण")</f>
        <v>ए) जिमनास्टिक प्रशिक्षण</v>
      </c>
    </row>
    <row r="18" ht="22.5" customHeight="1">
      <c r="A18" s="2">
        <v>17.0</v>
      </c>
      <c r="B18" s="3" t="s">
        <v>4194</v>
      </c>
      <c r="C18" s="3" t="s">
        <v>4195</v>
      </c>
      <c r="D18" s="3" t="s">
        <v>4196</v>
      </c>
      <c r="E18" s="3" t="s">
        <v>4197</v>
      </c>
      <c r="G18" s="8" t="str">
        <f>IFERROR(__xludf.DUMMYFUNCTION("GOOGLETRANSLATE(A18, ""en"", ""hi"")"),"17")</f>
        <v>17</v>
      </c>
      <c r="H18" s="8" t="str">
        <f>IFERROR(__xludf.DUMMYFUNCTION("GOOGLETRANSLATE(B18, ""en"", ""hi"")"),"मलखंभ_5")</f>
        <v>मलखंभ_5</v>
      </c>
      <c r="I18" s="8" t="str">
        <f>IFERROR(__xludf.DUMMYFUNCTION("GOOGLETRANSLATE(C18, ""en"", ""hi"")"),"चित्र में दिखाया गया व्यक्ति कौन है?")</f>
        <v>चित्र में दिखाया गया व्यक्ति कौन है?</v>
      </c>
      <c r="J18" s="8" t="str">
        <f>IFERROR(__xludf.DUMMYFUNCTION("GOOGLETRANSLATE(D18, ""en"", ""hi"")"),"A) दीपक शिंदे, B) अनिल कुमार, C) राजेश पटेल, D) संदीप सिंह")</f>
        <v>A) दीपक शिंदे, B) अनिल कुमार, C) राजेश पटेल, D) संदीप सिंह</v>
      </c>
      <c r="K18" s="8" t="str">
        <f>IFERROR(__xludf.DUMMYFUNCTION("GOOGLETRANSLATE(E18, ""en"", ""hi"")"),"A) दीपक शिंदे")</f>
        <v>A) दीपक शिंदे</v>
      </c>
    </row>
    <row r="19" ht="22.5" customHeight="1">
      <c r="A19" s="2">
        <v>18.0</v>
      </c>
      <c r="B19" s="3" t="s">
        <v>4194</v>
      </c>
      <c r="C19" s="3" t="s">
        <v>4198</v>
      </c>
      <c r="D19" s="3" t="s">
        <v>4199</v>
      </c>
      <c r="E19" s="3" t="s">
        <v>4200</v>
      </c>
      <c r="G19" s="8" t="str">
        <f>IFERROR(__xludf.DUMMYFUNCTION("GOOGLETRANSLATE(A19, ""en"", ""hi"")"),"18")</f>
        <v>18</v>
      </c>
      <c r="H19" s="8" t="str">
        <f>IFERROR(__xludf.DUMMYFUNCTION("GOOGLETRANSLATE(B19, ""en"", ""hi"")"),"मलखंभ_5")</f>
        <v>मलखंभ_5</v>
      </c>
      <c r="I19" s="8" t="str">
        <f>IFERROR(__xludf.DUMMYFUNCTION("GOOGLETRANSLATE(C19, ""en"", ""hi"")"),"मल्लखम्ब में प्रयुक्त होने वाला प्राथमिक उपकरण क्या है?")</f>
        <v>मल्लखम्ब में प्रयुक्त होने वाला प्राथमिक उपकरण क्या है?</v>
      </c>
      <c r="J19" s="8" t="str">
        <f>IFERROR(__xludf.DUMMYFUNCTION("GOOGLETRANSLATE(D19, ""en"", ""hi"")"),"A) एक लकड़ी का खंभा, B) एक रस्सी, C) एक चटाई, D) डम्बल")</f>
        <v>A) एक लकड़ी का खंभा, B) एक रस्सी, C) एक चटाई, D) डम्बल</v>
      </c>
      <c r="K19" s="8" t="str">
        <f>IFERROR(__xludf.DUMMYFUNCTION("GOOGLETRANSLATE(E19, ""en"", ""hi"")"),"A) एक लकड़ी का खंभा")</f>
        <v>A) एक लकड़ी का खंभा</v>
      </c>
    </row>
    <row r="20" ht="22.5" customHeight="1">
      <c r="A20" s="2">
        <v>19.0</v>
      </c>
      <c r="B20" s="3" t="s">
        <v>4194</v>
      </c>
      <c r="C20" s="3" t="s">
        <v>4201</v>
      </c>
      <c r="D20" s="3" t="s">
        <v>4202</v>
      </c>
      <c r="E20" s="3" t="s">
        <v>4203</v>
      </c>
      <c r="G20" s="8" t="str">
        <f>IFERROR(__xludf.DUMMYFUNCTION("GOOGLETRANSLATE(A20, ""en"", ""hi"")"),"19")</f>
        <v>19</v>
      </c>
      <c r="H20" s="8" t="str">
        <f>IFERROR(__xludf.DUMMYFUNCTION("GOOGLETRANSLATE(B20, ""en"", ""hi"")"),"मलखंभ_5")</f>
        <v>मलखंभ_5</v>
      </c>
      <c r="I20" s="8" t="str">
        <f>IFERROR(__xludf.DUMMYFUNCTION("GOOGLETRANSLATE(C20, ""en"", ""hi"")"),"भारत का कौन सा क्षेत्र मल्लखम्ब के लिए जाना जाता है?")</f>
        <v>भारत का कौन सा क्षेत्र मल्लखम्ब के लिए जाना जाता है?</v>
      </c>
      <c r="J20" s="8" t="str">
        <f>IFERROR(__xludf.DUMMYFUNCTION("GOOGLETRANSLATE(D20, ""en"", ""hi"")"),"ए) महाराष्ट्र, बी) पंजाब, सी) तमिलनाडु, डी) उत्तर प्रदेश")</f>
        <v>ए) महाराष्ट्र, बी) पंजाब, सी) तमिलनाडु, डी) उत्तर प्रदेश</v>
      </c>
      <c r="K20" s="8" t="str">
        <f>IFERROR(__xludf.DUMMYFUNCTION("GOOGLETRANSLATE(E20, ""en"", ""hi"")"),"A) महाराष्ट्र")</f>
        <v>A) महाराष्ट्र</v>
      </c>
    </row>
    <row r="21" ht="22.5" customHeight="1">
      <c r="A21" s="2">
        <v>20.0</v>
      </c>
      <c r="B21" s="3" t="s">
        <v>4194</v>
      </c>
      <c r="C21" s="3" t="s">
        <v>4204</v>
      </c>
      <c r="D21" s="3" t="s">
        <v>4205</v>
      </c>
      <c r="E21" s="3" t="s">
        <v>4206</v>
      </c>
      <c r="G21" s="8" t="str">
        <f>IFERROR(__xludf.DUMMYFUNCTION("GOOGLETRANSLATE(A21, ""en"", ""hi"")"),"20")</f>
        <v>20</v>
      </c>
      <c r="H21" s="8" t="str">
        <f>IFERROR(__xludf.DUMMYFUNCTION("GOOGLETRANSLATE(B21, ""en"", ""hi"")"),"मलखंभ_5")</f>
        <v>मलखंभ_5</v>
      </c>
      <c r="I21" s="8" t="str">
        <f>IFERROR(__xludf.DUMMYFUNCTION("GOOGLETRANSLATE(C21, ""en"", ""hi"")"),"मल्लखम्ब प्रशिक्षण का प्राथमिक फोकस क्या है?")</f>
        <v>मल्लखम्ब प्रशिक्षण का प्राथमिक फोकस क्या है?</v>
      </c>
      <c r="J21" s="8" t="str">
        <f>IFERROR(__xludf.DUMMYFUNCTION("GOOGLETRANSLATE(D21, ""en"", ""hi"")"),"A) लचीलापन और ताकत, B) गति और सहनशक्ति, C) संतुलन और समन्वय, D) चपलता और शक्ति")</f>
        <v>A) लचीलापन और ताकत, B) गति और सहनशक्ति, C) संतुलन और समन्वय, D) चपलता और शक्ति</v>
      </c>
      <c r="K21" s="8" t="str">
        <f>IFERROR(__xludf.DUMMYFUNCTION("GOOGLETRANSLATE(E21, ""en"", ""hi"")"),"ए) लचीलापन और ताकत")</f>
        <v>ए) लचीलापन और ताकत</v>
      </c>
    </row>
    <row r="22" ht="22.5" customHeight="1">
      <c r="A22" s="2">
        <v>21.0</v>
      </c>
      <c r="B22" s="3" t="s">
        <v>4207</v>
      </c>
      <c r="C22" s="3" t="s">
        <v>4208</v>
      </c>
      <c r="D22" s="3" t="s">
        <v>4209</v>
      </c>
      <c r="E22" s="3" t="s">
        <v>4210</v>
      </c>
      <c r="G22" s="8" t="str">
        <f>IFERROR(__xludf.DUMMYFUNCTION("GOOGLETRANSLATE(A22, ""en"", ""hi"")"),"21")</f>
        <v>21</v>
      </c>
      <c r="H22" s="8" t="str">
        <f>IFERROR(__xludf.DUMMYFUNCTION("GOOGLETRANSLATE(B22, ""en"", ""hi"")"),"मलखंभ_6")</f>
        <v>मलखंभ_6</v>
      </c>
      <c r="I22" s="8" t="str">
        <f>IFERROR(__xludf.DUMMYFUNCTION("GOOGLETRANSLATE(C22, ""en"", ""hi"")"),"मल्लखम्ब में प्रयुक्त होने वाली मुख्य वस्तु क्या है?")</f>
        <v>मल्लखम्ब में प्रयुक्त होने वाली मुख्य वस्तु क्या है?</v>
      </c>
      <c r="J22" s="8" t="str">
        <f>IFERROR(__xludf.DUMMYFUNCTION("GOOGLETRANSLATE(D22, ""en"", ""hi"")"),"A) एक रस्सी, B) एक खंभा, C) एक चटाई, D) एक गेंद")</f>
        <v>A) एक रस्सी, B) एक खंभा, C) एक चटाई, D) एक गेंद</v>
      </c>
      <c r="K22" s="8" t="str">
        <f>IFERROR(__xludf.DUMMYFUNCTION("GOOGLETRANSLATE(E22, ""en"", ""hi"")"),"बी) एक पोल")</f>
        <v>बी) एक पोल</v>
      </c>
    </row>
    <row r="23" ht="22.5" customHeight="1">
      <c r="A23" s="2">
        <v>22.0</v>
      </c>
      <c r="B23" s="3" t="s">
        <v>4207</v>
      </c>
      <c r="C23" s="3" t="s">
        <v>4211</v>
      </c>
      <c r="D23" s="3" t="s">
        <v>4212</v>
      </c>
      <c r="E23" s="3" t="s">
        <v>4213</v>
      </c>
      <c r="G23" s="8" t="str">
        <f>IFERROR(__xludf.DUMMYFUNCTION("GOOGLETRANSLATE(A23, ""en"", ""hi"")"),"22")</f>
        <v>22</v>
      </c>
      <c r="H23" s="8" t="str">
        <f>IFERROR(__xludf.DUMMYFUNCTION("GOOGLETRANSLATE(B23, ""en"", ""hi"")"),"मलखंभ_6")</f>
        <v>मलखंभ_6</v>
      </c>
      <c r="I23" s="8" t="str">
        <f>IFERROR(__xludf.DUMMYFUNCTION("GOOGLETRANSLATE(C23, ""en"", ""hi"")"),"मल्लखम्ब में सामान्यतः किस प्रकार के व्यायाम किये जाते हैं?")</f>
        <v>मल्लखम्ब में सामान्यतः किस प्रकार के व्यायाम किये जाते हैं?</v>
      </c>
      <c r="J23" s="8" t="str">
        <f>IFERROR(__xludf.DUMMYFUNCTION("GOOGLETRANSLATE(D23, ""en"", ""hi"")"),"ए) शक्ति प्रशिक्षण, बी) कार्डियो व्यायाम, सी) लचीलापन और संतुलन व्यायाम, डी) धीरज प्रशिक्षण")</f>
        <v>ए) शक्ति प्रशिक्षण, बी) कार्डियो व्यायाम, सी) लचीलापन और संतुलन व्यायाम, डी) धीरज प्रशिक्षण</v>
      </c>
      <c r="K23" s="8" t="str">
        <f>IFERROR(__xludf.DUMMYFUNCTION("GOOGLETRANSLATE(E23, ""en"", ""hi"")"),"सी) लचीलापन और संतुलन व्यायाम")</f>
        <v>सी) लचीलापन और संतुलन व्यायाम</v>
      </c>
    </row>
    <row r="24" ht="22.5" customHeight="1">
      <c r="A24" s="2">
        <v>23.0</v>
      </c>
      <c r="B24" s="3" t="s">
        <v>4207</v>
      </c>
      <c r="C24" s="3" t="s">
        <v>4214</v>
      </c>
      <c r="D24" s="3" t="s">
        <v>4215</v>
      </c>
      <c r="E24" s="3" t="s">
        <v>4216</v>
      </c>
      <c r="G24" s="8" t="str">
        <f>IFERROR(__xludf.DUMMYFUNCTION("GOOGLETRANSLATE(A24, ""en"", ""hi"")"),"23")</f>
        <v>23</v>
      </c>
      <c r="H24" s="8" t="str">
        <f>IFERROR(__xludf.DUMMYFUNCTION("GOOGLETRANSLATE(B24, ""en"", ""hi"")"),"मलखंभ_6")</f>
        <v>मलखंभ_6</v>
      </c>
      <c r="I24" s="8" t="str">
        <f>IFERROR(__xludf.DUMMYFUNCTION("GOOGLETRANSLATE(C24, ""en"", ""hi"")"),"मल्लखम्ब करने के लिए मुख्यतः शरीर के किस भाग का उपयोग किया जाता है?")</f>
        <v>मल्लखम्ब करने के लिए मुख्यतः शरीर के किस भाग का उपयोग किया जाता है?</v>
      </c>
      <c r="J24" s="8" t="str">
        <f>IFERROR(__xludf.DUMMYFUNCTION("GOOGLETRANSLATE(D24, ""en"", ""hi"")"),"A) पैर, B) हाथ और पैर, C) कोर मांसपेशियां, D) भुजाएं और कंधे")</f>
        <v>A) पैर, B) हाथ और पैर, C) कोर मांसपेशियां, D) भुजाएं और कंधे</v>
      </c>
      <c r="K24" s="8" t="str">
        <f>IFERROR(__xludf.DUMMYFUNCTION("GOOGLETRANSLATE(E24, ""en"", ""hi"")"),"बी) हाथ और पैर")</f>
        <v>बी) हाथ और पैर</v>
      </c>
    </row>
    <row r="25" ht="22.5" customHeight="1">
      <c r="A25" s="2">
        <v>24.0</v>
      </c>
      <c r="B25" s="3" t="s">
        <v>4207</v>
      </c>
      <c r="C25" s="3" t="s">
        <v>4217</v>
      </c>
      <c r="D25" s="3" t="s">
        <v>4218</v>
      </c>
      <c r="E25" s="3" t="s">
        <v>202</v>
      </c>
      <c r="G25" s="8" t="str">
        <f>IFERROR(__xludf.DUMMYFUNCTION("GOOGLETRANSLATE(A25, ""en"", ""hi"")"),"24")</f>
        <v>24</v>
      </c>
      <c r="H25" s="8" t="str">
        <f>IFERROR(__xludf.DUMMYFUNCTION("GOOGLETRANSLATE(B25, ""en"", ""hi"")"),"मलखंभ_6")</f>
        <v>मलखंभ_6</v>
      </c>
      <c r="I25" s="8" t="str">
        <f>IFERROR(__xludf.DUMMYFUNCTION("GOOGLETRANSLATE(C25, ""en"", ""hi"")"),"यह खेल किस देश में प्रसिद्ध है?")</f>
        <v>यह खेल किस देश में प्रसिद्ध है?</v>
      </c>
      <c r="J25" s="8" t="str">
        <f>IFERROR(__xludf.DUMMYFUNCTION("GOOGLETRANSLATE(D25, ""en"", ""hi"")"),"A) भारत, B) चीन, C) जापान, D) थाईलैंड")</f>
        <v>A) भारत, B) चीन, C) जापान, D) थाईलैंड</v>
      </c>
      <c r="K25" s="8" t="str">
        <f>IFERROR(__xludf.DUMMYFUNCTION("GOOGLETRANSLATE(E25, ""en"", ""hi"")"),"ए) भारत")</f>
        <v>ए) भारत</v>
      </c>
    </row>
    <row r="26" ht="22.5" customHeight="1">
      <c r="A26" s="2">
        <v>25.0</v>
      </c>
      <c r="B26" s="3" t="s">
        <v>4219</v>
      </c>
      <c r="C26" s="3" t="s">
        <v>4220</v>
      </c>
      <c r="D26" s="3" t="s">
        <v>4221</v>
      </c>
      <c r="E26" s="3" t="s">
        <v>4222</v>
      </c>
      <c r="G26" s="8" t="str">
        <f>IFERROR(__xludf.DUMMYFUNCTION("GOOGLETRANSLATE(A26, ""en"", ""hi"")"),"25")</f>
        <v>25</v>
      </c>
      <c r="H26" s="8" t="str">
        <f>IFERROR(__xludf.DUMMYFUNCTION("GOOGLETRANSLATE(B26, ""en"", ""hi"")"),"मलखंभ_7")</f>
        <v>मलखंभ_7</v>
      </c>
      <c r="I26" s="8" t="str">
        <f>IFERROR(__xludf.DUMMYFUNCTION("GOOGLETRANSLATE(C26, ""en"", ""hi"")"),"चित्र में रस्सी मल्लखम्ब प्रदर्शन करते हुए कौन सा संगठन या समूह दिखाया गया है?")</f>
        <v>चित्र में रस्सी मल्लखम्ब प्रदर्शन करते हुए कौन सा संगठन या समूह दिखाया गया है?</v>
      </c>
      <c r="J26" s="8" t="str">
        <f>IFERROR(__xludf.DUMMYFUNCTION("GOOGLETRANSLATE(D26, ""en"", ""hi"")"),"ए) समर्थ व्यायाम मंदिर, बी) श्री मल्लखंब मंडल, सी) मुंबई जिमखाना, डी) पुणे स्पोर्ट्स क्लब")</f>
        <v>ए) समर्थ व्यायाम मंदिर, बी) श्री मल्लखंब मंडल, सी) मुंबई जिमखाना, डी) पुणे स्पोर्ट्स क्लब</v>
      </c>
      <c r="K26" s="8" t="str">
        <f>IFERROR(__xludf.DUMMYFUNCTION("GOOGLETRANSLATE(E26, ""en"", ""hi"")"),"A) समर्थ व्यायाम मंदिर")</f>
        <v>A) समर्थ व्यायाम मंदिर</v>
      </c>
    </row>
    <row r="27" ht="22.5" customHeight="1">
      <c r="A27" s="2">
        <v>26.0</v>
      </c>
      <c r="B27" s="3" t="s">
        <v>4219</v>
      </c>
      <c r="C27" s="3" t="s">
        <v>4223</v>
      </c>
      <c r="D27" s="3" t="s">
        <v>4224</v>
      </c>
      <c r="E27" s="3" t="s">
        <v>4225</v>
      </c>
      <c r="G27" s="8" t="str">
        <f>IFERROR(__xludf.DUMMYFUNCTION("GOOGLETRANSLATE(A27, ""en"", ""hi"")"),"26")</f>
        <v>26</v>
      </c>
      <c r="H27" s="8" t="str">
        <f>IFERROR(__xludf.DUMMYFUNCTION("GOOGLETRANSLATE(B27, ""en"", ""hi"")"),"मलखंभ_7")</f>
        <v>मलखंभ_7</v>
      </c>
      <c r="I27" s="8" t="str">
        <f>IFERROR(__xludf.DUMMYFUNCTION("GOOGLETRANSLATE(C27, ""en"", ""hi"")"),"रोप मल्लखम्ब के कलाकारों की प्राथमिक अपेक्षाएं क्या हैं?")</f>
        <v>रोप मल्लखम्ब के कलाकारों की प्राथमिक अपेक्षाएं क्या हैं?</v>
      </c>
      <c r="J27" s="8" t="str">
        <f>IFERROR(__xludf.DUMMYFUNCTION("GOOGLETRANSLATE(D27, ""en"", ""hi"")"),"A) रस्सी में गांठ लगाना, B) रस्सी में गांठ लगाए बिना प्रदर्शन करना, C) लकड़ी की छड़ी का उपयोग करना, D) विशेष पोशाक पहनना")</f>
        <v>A) रस्सी में गांठ लगाना, B) रस्सी में गांठ लगाए बिना प्रदर्शन करना, C) लकड़ी की छड़ी का उपयोग करना, D) विशेष पोशाक पहनना</v>
      </c>
      <c r="K27" s="8" t="str">
        <f>IFERROR(__xludf.DUMMYFUNCTION("GOOGLETRANSLATE(E27, ""en"", ""hi"")"),"बी) रस्सी में गांठ लगाए बिना प्रदर्शन करना")</f>
        <v>बी) रस्सी में गांठ लगाए बिना प्रदर्शन करना</v>
      </c>
    </row>
    <row r="28" ht="22.5" customHeight="1">
      <c r="A28" s="2">
        <v>27.0</v>
      </c>
      <c r="B28" s="3" t="s">
        <v>4219</v>
      </c>
      <c r="C28" s="3" t="s">
        <v>4226</v>
      </c>
      <c r="D28" s="3" t="s">
        <v>4227</v>
      </c>
      <c r="E28" s="3" t="s">
        <v>3679</v>
      </c>
      <c r="G28" s="8" t="str">
        <f>IFERROR(__xludf.DUMMYFUNCTION("GOOGLETRANSLATE(A28, ""en"", ""hi"")"),"27")</f>
        <v>27</v>
      </c>
      <c r="H28" s="8" t="str">
        <f>IFERROR(__xludf.DUMMYFUNCTION("GOOGLETRANSLATE(B28, ""en"", ""hi"")"),"मलखंभ_7")</f>
        <v>मलखंभ_7</v>
      </c>
      <c r="I28" s="8" t="str">
        <f>IFERROR(__xludf.DUMMYFUNCTION("GOOGLETRANSLATE(C28, ""en"", ""hi"")"),"रस्सी मल्लखम्ब में कलाकारों द्वारा प्रदर्शित प्राथमिक कौशल क्या है?")</f>
        <v>रस्सी मल्लखम्ब में कलाकारों द्वारा प्रदर्शित प्राथमिक कौशल क्या है?</v>
      </c>
      <c r="J28" s="8" t="str">
        <f>IFERROR(__xludf.DUMMYFUNCTION("GOOGLETRANSLATE(D28, ""en"", ""hi"")"),"A) लचीलापन, B) ताकत, C) चपलता, D) संतुलन")</f>
        <v>A) लचीलापन, B) ताकत, C) चपलता, D) संतुलन</v>
      </c>
      <c r="K28" s="8" t="str">
        <f>IFERROR(__xludf.DUMMYFUNCTION("GOOGLETRANSLATE(E28, ""en"", ""hi"")"),"डी) संतुलन")</f>
        <v>डी) संतुलन</v>
      </c>
    </row>
    <row r="29" ht="22.5" customHeight="1">
      <c r="A29" s="2">
        <v>28.0</v>
      </c>
      <c r="B29" s="3" t="s">
        <v>4219</v>
      </c>
      <c r="C29" s="3" t="s">
        <v>4228</v>
      </c>
      <c r="D29" s="3" t="s">
        <v>4229</v>
      </c>
      <c r="E29" s="3" t="s">
        <v>4230</v>
      </c>
      <c r="G29" s="8" t="str">
        <f>IFERROR(__xludf.DUMMYFUNCTION("GOOGLETRANSLATE(A29, ""en"", ""hi"")"),"28")</f>
        <v>28</v>
      </c>
      <c r="H29" s="8" t="str">
        <f>IFERROR(__xludf.DUMMYFUNCTION("GOOGLETRANSLATE(B29, ""en"", ""hi"")"),"मलखंभ_7")</f>
        <v>मलखंभ_7</v>
      </c>
      <c r="I29" s="8" t="str">
        <f>IFERROR(__xludf.DUMMYFUNCTION("GOOGLETRANSLATE(C29, ""en"", ""hi"")"),"रस्सी मल्लखम्ब अभ्यास के लिए कौन सी विशेषता आवश्यक है?")</f>
        <v>रस्सी मल्लखम्ब अभ्यास के लिए कौन सी विशेषता आवश्यक है?</v>
      </c>
      <c r="J29" s="8" t="str">
        <f>IFERROR(__xludf.DUMMYFUNCTION("GOOGLETRANSLATE(D29, ""en"", ""hi"")"),"A) एक निश्चित संरचना, B) एक स्थिर रस्सी, C) एक गद्देदार फर्श, D) विशेष जूते")</f>
        <v>A) एक निश्चित संरचना, B) एक स्थिर रस्सी, C) एक गद्देदार फर्श, D) विशेष जूते</v>
      </c>
      <c r="K29" s="8" t="str">
        <f>IFERROR(__xludf.DUMMYFUNCTION("GOOGLETRANSLATE(E29, ""en"", ""hi"")"),"बी) एक स्थिर रस्सी")</f>
        <v>बी) एक स्थिर रस्सी</v>
      </c>
    </row>
    <row r="30" ht="22.5" customHeight="1">
      <c r="A30" s="2">
        <v>29.0</v>
      </c>
      <c r="B30" s="3" t="s">
        <v>4231</v>
      </c>
      <c r="C30" s="3" t="s">
        <v>4232</v>
      </c>
      <c r="D30" s="3" t="s">
        <v>4233</v>
      </c>
      <c r="E30" s="3" t="s">
        <v>4234</v>
      </c>
      <c r="G30" s="8" t="str">
        <f>IFERROR(__xludf.DUMMYFUNCTION("GOOGLETRANSLATE(A30, ""en"", ""hi"")"),"29")</f>
        <v>29</v>
      </c>
      <c r="H30" s="8" t="str">
        <f>IFERROR(__xludf.DUMMYFUNCTION("GOOGLETRANSLATE(B30, ""en"", ""hi"")"),"मलखंभ_8")</f>
        <v>मलखंभ_8</v>
      </c>
      <c r="I30" s="8" t="str">
        <f>IFERROR(__xludf.DUMMYFUNCTION("GOOGLETRANSLATE(C30, ""en"", ""hi"")"),"चित्र में कौन सी घटना दर्शाई गई है?")</f>
        <v>चित्र में कौन सी घटना दर्शाई गई है?</v>
      </c>
      <c r="J30" s="8" t="str">
        <f>IFERROR(__xludf.DUMMYFUNCTION("GOOGLETRANSLATE(D30, ""en"", ""hi"")"),"A) राष्ट्रीय मल्लखम्ब चैम्पियनशिप, B) मल्लखम्ब विश्व चैम्पियनशिप, C) राज्य मल्लखम्ब टूर्नामेंट, D) मल्लखम्ब प्रदर्शनी मैच")</f>
        <v>A) राष्ट्रीय मल्लखम्ब चैम्पियनशिप, B) मल्लखम्ब विश्व चैम्पियनशिप, C) राज्य मल्लखम्ब टूर्नामेंट, D) मल्लखम्ब प्रदर्शनी मैच</v>
      </c>
      <c r="K30" s="8" t="str">
        <f>IFERROR(__xludf.DUMMYFUNCTION("GOOGLETRANSLATE(E30, ""en"", ""hi"")"),"बी) मल्लखम्ब विश्व चैम्पियनशिप")</f>
        <v>बी) मल्लखम्ब विश्व चैम्पियनशिप</v>
      </c>
    </row>
    <row r="31" ht="22.5" customHeight="1">
      <c r="A31" s="2">
        <v>30.0</v>
      </c>
      <c r="B31" s="3" t="s">
        <v>4231</v>
      </c>
      <c r="C31" s="3" t="s">
        <v>4235</v>
      </c>
      <c r="D31" s="3" t="s">
        <v>4236</v>
      </c>
      <c r="E31" s="3" t="s">
        <v>4237</v>
      </c>
      <c r="G31" s="8" t="str">
        <f>IFERROR(__xludf.DUMMYFUNCTION("GOOGLETRANSLATE(A31, ""en"", ""hi"")"),"30")</f>
        <v>30</v>
      </c>
      <c r="H31" s="8" t="str">
        <f>IFERROR(__xludf.DUMMYFUNCTION("GOOGLETRANSLATE(B31, ""en"", ""hi"")"),"मलखंभ_8")</f>
        <v>मलखंभ_8</v>
      </c>
      <c r="I31" s="8" t="str">
        <f>IFERROR(__xludf.DUMMYFUNCTION("GOOGLETRANSLATE(C31, ""en"", ""hi"")"),"मल्लखम्ब विश्व चैम्पियनशिप का आयोजन किस संगठन ने किया?")</f>
        <v>मल्लखम्ब विश्व चैम्पियनशिप का आयोजन किस संगठन ने किया?</v>
      </c>
      <c r="J31" s="8" t="str">
        <f>IFERROR(__xludf.DUMMYFUNCTION("GOOGLETRANSLATE(D31, ""en"", ""hi"")"),"A) विश्व मलखम्ब महासंघ, B) अंतर्राष्ट्रीय मलखम्ब संघ, C) मलखम्ब खेल परिषद, D) भारतीय जिम्नास्टिक महासंघ")</f>
        <v>A) विश्व मलखम्ब महासंघ, B) अंतर्राष्ट्रीय मलखम्ब संघ, C) मलखम्ब खेल परिषद, D) भारतीय जिम्नास्टिक महासंघ</v>
      </c>
      <c r="K31" s="8" t="str">
        <f>IFERROR(__xludf.DUMMYFUNCTION("GOOGLETRANSLATE(E31, ""en"", ""hi"")"),"A) विश्व मलखंभ महासंघ")</f>
        <v>A) विश्व मलखंभ महासंघ</v>
      </c>
    </row>
    <row r="32" ht="22.5" customHeight="1">
      <c r="A32" s="2">
        <v>31.0</v>
      </c>
      <c r="B32" s="3" t="s">
        <v>4231</v>
      </c>
      <c r="C32" s="3" t="s">
        <v>4238</v>
      </c>
      <c r="D32" s="3" t="s">
        <v>4239</v>
      </c>
      <c r="E32" s="3" t="s">
        <v>4240</v>
      </c>
      <c r="G32" s="8" t="str">
        <f>IFERROR(__xludf.DUMMYFUNCTION("GOOGLETRANSLATE(A32, ""en"", ""hi"")"),"31")</f>
        <v>31</v>
      </c>
      <c r="H32" s="8" t="str">
        <f>IFERROR(__xludf.DUMMYFUNCTION("GOOGLETRANSLATE(B32, ""en"", ""hi"")"),"मलखंभ_8")</f>
        <v>मलखंभ_8</v>
      </c>
      <c r="I32" s="8" t="str">
        <f>IFERROR(__xludf.DUMMYFUNCTION("GOOGLETRANSLATE(C32, ""en"", ""hi"")"),"मल्लखम्ब में किस प्रकार के प्रदर्शन किये जाते हैं?")</f>
        <v>मल्लखम्ब में किस प्रकार के प्रदर्शन किये जाते हैं?</v>
      </c>
      <c r="J32" s="8" t="str">
        <f>IFERROR(__xludf.DUMMYFUNCTION("GOOGLETRANSLATE(D32, ""en"", ""hi"")"),"ए) एरियल योग और कुश्ती पकड़, बी) मार्शल आर्ट और कलाबाजी, सी) नृत्य और जिम्नास्टिक, डी) शक्ति प्रशिक्षण और सहनशक्ति")</f>
        <v>ए) एरियल योग और कुश्ती पकड़, बी) मार्शल आर्ट और कलाबाजी, सी) नृत्य और जिम्नास्टिक, डी) शक्ति प्रशिक्षण और सहनशक्ति</v>
      </c>
      <c r="K32" s="8" t="str">
        <f>IFERROR(__xludf.DUMMYFUNCTION("GOOGLETRANSLATE(E32, ""en"", ""hi"")"),"ए) एरियल योगा और कुश्ती पकड़")</f>
        <v>ए) एरियल योगा और कुश्ती पकड़</v>
      </c>
    </row>
    <row r="33" ht="22.5" customHeight="1">
      <c r="A33" s="2">
        <v>32.0</v>
      </c>
      <c r="B33" s="3" t="s">
        <v>4241</v>
      </c>
      <c r="C33" s="3" t="s">
        <v>4242</v>
      </c>
      <c r="D33" s="3" t="s">
        <v>4243</v>
      </c>
      <c r="E33" s="3" t="s">
        <v>4244</v>
      </c>
      <c r="G33" s="8" t="str">
        <f>IFERROR(__xludf.DUMMYFUNCTION("GOOGLETRANSLATE(A33, ""en"", ""hi"")"),"32")</f>
        <v>32</v>
      </c>
      <c r="H33" s="8" t="str">
        <f>IFERROR(__xludf.DUMMYFUNCTION("GOOGLETRANSLATE(B33, ""en"", ""hi"")"),"मलखंभ_9")</f>
        <v>मलखंभ_9</v>
      </c>
      <c r="I33" s="8" t="str">
        <f>IFERROR(__xludf.DUMMYFUNCTION("GOOGLETRANSLATE(C33, ""en"", ""hi"")"),"भारत के किस क्षेत्र में मल्लखम्ब पारंपरिक रूप से प्रचलित है?")</f>
        <v>भारत के किस क्षेत्र में मल्लखम्ब पारंपरिक रूप से प्रचलित है?</v>
      </c>
      <c r="J33" s="8" t="str">
        <f>IFERROR(__xludf.DUMMYFUNCTION("GOOGLETRANSLATE(D33, ""en"", ""hi"")"),"A) उत्तर भारत, B) दक्षिण भारत, C) पश्चिम भारत, D) पूर्वी भारत")</f>
        <v>A) उत्तर भारत, B) दक्षिण भारत, C) पश्चिम भारत, D) पूर्वी भारत</v>
      </c>
      <c r="K33" s="8" t="str">
        <f>IFERROR(__xludf.DUMMYFUNCTION("GOOGLETRANSLATE(E33, ""en"", ""hi"")"),"C) पश्चिम भारत")</f>
        <v>C) पश्चिम भारत</v>
      </c>
    </row>
    <row r="34" ht="22.5" customHeight="1">
      <c r="A34" s="2">
        <v>33.0</v>
      </c>
      <c r="B34" s="3" t="s">
        <v>4241</v>
      </c>
      <c r="C34" s="3" t="s">
        <v>4245</v>
      </c>
      <c r="D34" s="3" t="s">
        <v>4246</v>
      </c>
      <c r="E34" s="3" t="s">
        <v>4247</v>
      </c>
      <c r="G34" s="8" t="str">
        <f>IFERROR(__xludf.DUMMYFUNCTION("GOOGLETRANSLATE(A34, ""en"", ""hi"")"),"33")</f>
        <v>33</v>
      </c>
      <c r="H34" s="8" t="str">
        <f>IFERROR(__xludf.DUMMYFUNCTION("GOOGLETRANSLATE(B34, ""en"", ""hi"")"),"मलखंभ_9")</f>
        <v>मलखंभ_9</v>
      </c>
      <c r="I34" s="8" t="str">
        <f>IFERROR(__xludf.DUMMYFUNCTION("GOOGLETRANSLATE(C34, ""en"", ""hi"")"),"चित्र में खिलाड़ी किस प्रकार की पोशाक पहने हुए हैं?")</f>
        <v>चित्र में खिलाड़ी किस प्रकार की पोशाक पहने हुए हैं?</v>
      </c>
      <c r="J34" s="8" t="str">
        <f>IFERROR(__xludf.DUMMYFUNCTION("GOOGLETRANSLATE(D34, ""en"", ""hi"")"),"A) पारंपरिक भारतीय पोशाक, B) जिमवियर, C) कुश्ती पोशाक, D) मार्शल आर्ट वर्दी")</f>
        <v>A) पारंपरिक भारतीय पोशाक, B) जिमवियर, C) कुश्ती पोशाक, D) मार्शल आर्ट वर्दी</v>
      </c>
      <c r="K34" s="8" t="str">
        <f>IFERROR(__xludf.DUMMYFUNCTION("GOOGLETRANSLATE(E34, ""en"", ""hi"")"),"A) पारंपरिक भारतीय पोशाक")</f>
        <v>A) पारंपरिक भारतीय पोशाक</v>
      </c>
    </row>
    <row r="35" ht="22.5" customHeight="1">
      <c r="A35" s="2">
        <v>34.0</v>
      </c>
      <c r="B35" s="3" t="s">
        <v>4241</v>
      </c>
      <c r="C35" s="3" t="s">
        <v>4248</v>
      </c>
      <c r="D35" s="3" t="s">
        <v>4249</v>
      </c>
      <c r="E35" s="3" t="s">
        <v>4250</v>
      </c>
      <c r="G35" s="8" t="str">
        <f>IFERROR(__xludf.DUMMYFUNCTION("GOOGLETRANSLATE(A35, ""en"", ""hi"")"),"34")</f>
        <v>34</v>
      </c>
      <c r="H35" s="8" t="str">
        <f>IFERROR(__xludf.DUMMYFUNCTION("GOOGLETRANSLATE(B35, ""en"", ""hi"")"),"मलखंभ_9")</f>
        <v>मलखंभ_9</v>
      </c>
      <c r="I35" s="8" t="str">
        <f>IFERROR(__xludf.DUMMYFUNCTION("GOOGLETRANSLATE(C35, ""en"", ""hi"")"),"भारतीय संस्कृति में मल्लखम्ब का क्या महत्व है?")</f>
        <v>भारतीय संस्कृति में मल्लखम्ब का क्या महत्व है?</v>
      </c>
      <c r="J35" s="8" t="str">
        <f>IFERROR(__xludf.DUMMYFUNCTION("GOOGLETRANSLATE(D35, ""en"", ""hi"")"),"A) यह ध्यान का एक रूप है, B) यह एक पारंपरिक प्रतिस्पर्धी खेल है, C) यह नृत्य का एक रूप है, D) यह कहानी कहने का एक रूप है")</f>
        <v>A) यह ध्यान का एक रूप है, B) यह एक पारंपरिक प्रतिस्पर्धी खेल है, C) यह नृत्य का एक रूप है, D) यह कहानी कहने का एक रूप है</v>
      </c>
      <c r="K35" s="8" t="str">
        <f>IFERROR(__xludf.DUMMYFUNCTION("GOOGLETRANSLATE(E35, ""en"", ""hi"")"),"B) यह एक पारंपरिक प्रतिस्पर्धी खेल है")</f>
        <v>B) यह एक पारंपरिक प्रतिस्पर्धी खेल है</v>
      </c>
    </row>
    <row r="36" ht="22.5" customHeight="1">
      <c r="A36" s="2">
        <v>35.0</v>
      </c>
      <c r="B36" s="3" t="s">
        <v>4241</v>
      </c>
      <c r="C36" s="3" t="s">
        <v>4251</v>
      </c>
      <c r="D36" s="3" t="s">
        <v>4252</v>
      </c>
      <c r="E36" s="3" t="s">
        <v>4253</v>
      </c>
      <c r="G36" s="8" t="str">
        <f>IFERROR(__xludf.DUMMYFUNCTION("GOOGLETRANSLATE(A36, ""en"", ""hi"")"),"35")</f>
        <v>35</v>
      </c>
      <c r="H36" s="8" t="str">
        <f>IFERROR(__xludf.DUMMYFUNCTION("GOOGLETRANSLATE(B36, ""en"", ""hi"")"),"मलखंभ_9")</f>
        <v>मलखंभ_9</v>
      </c>
      <c r="I36" s="8" t="str">
        <f>IFERROR(__xludf.DUMMYFUNCTION("GOOGLETRANSLATE(C36, ""en"", ""hi"")"),"मल्लखम्ब करने के लिए सामान्य शारीरिक आवश्यकता क्या है?")</f>
        <v>मल्लखम्ब करने के लिए सामान्य शारीरिक आवश्यकता क्या है?</v>
      </c>
      <c r="J36" s="8" t="str">
        <f>IFERROR(__xludf.DUMMYFUNCTION("GOOGLETRANSLATE(D36, ""en"", ""hi"")"),"A) उच्च सहनशक्ति, B) लचीलापन और ताकत, C) गति, D) चपलता")</f>
        <v>A) उच्च सहनशक्ति, B) लचीलापन और ताकत, C) गति, D) चपलता</v>
      </c>
      <c r="K36" s="8" t="str">
        <f>IFERROR(__xludf.DUMMYFUNCTION("GOOGLETRANSLATE(E36, ""en"", ""hi"")"),"बी) लचीलापन और ताकत")</f>
        <v>बी) लचीलापन और ताकत</v>
      </c>
    </row>
    <row r="37" ht="22.5" customHeight="1">
      <c r="A37" s="2">
        <v>36.0</v>
      </c>
      <c r="B37" s="3" t="s">
        <v>4254</v>
      </c>
      <c r="C37" s="3" t="s">
        <v>4255</v>
      </c>
      <c r="D37" s="3" t="s">
        <v>4256</v>
      </c>
      <c r="E37" s="3" t="s">
        <v>4257</v>
      </c>
      <c r="G37" s="8" t="str">
        <f>IFERROR(__xludf.DUMMYFUNCTION("GOOGLETRANSLATE(A37, ""en"", ""hi"")"),"36")</f>
        <v>36</v>
      </c>
      <c r="H37" s="8" t="str">
        <f>IFERROR(__xludf.DUMMYFUNCTION("GOOGLETRANSLATE(B37, ""en"", ""hi"")"),"मलखंभ_10")</f>
        <v>मलखंभ_10</v>
      </c>
      <c r="I37" s="8" t="str">
        <f>IFERROR(__xludf.DUMMYFUNCTION("GOOGLETRANSLATE(C37, ""en"", ""hi"")"),"चित्र में किस खेल को दर्शाया गया है?")</f>
        <v>चित्र में किस खेल को दर्शाया गया है?</v>
      </c>
      <c r="J37" s="8" t="str">
        <f>IFERROR(__xludf.DUMMYFUNCTION("GOOGLETRANSLATE(D37, ""en"", ""hi"")"),"A) मल्लखंब, B) जिम्नास्टिक, C) पोल वॉल्टिंग, D) एरियल सिल्क्स")</f>
        <v>A) मल्लखंब, B) जिम्नास्टिक, C) पोल वॉल्टिंग, D) एरियल सिल्क्स</v>
      </c>
      <c r="K37" s="8" t="str">
        <f>IFERROR(__xludf.DUMMYFUNCTION("GOOGLETRANSLATE(E37, ""en"", ""hi"")"),"A) मल्लखंब")</f>
        <v>A) मल्लखंब</v>
      </c>
    </row>
    <row r="38" ht="22.5" customHeight="1">
      <c r="A38" s="2">
        <v>37.0</v>
      </c>
      <c r="B38" s="3" t="s">
        <v>4254</v>
      </c>
      <c r="C38" s="3" t="s">
        <v>4258</v>
      </c>
      <c r="D38" s="3" t="s">
        <v>4259</v>
      </c>
      <c r="E38" s="3" t="s">
        <v>4150</v>
      </c>
      <c r="G38" s="8" t="str">
        <f>IFERROR(__xludf.DUMMYFUNCTION("GOOGLETRANSLATE(A38, ""en"", ""hi"")"),"37")</f>
        <v>37</v>
      </c>
      <c r="H38" s="8" t="str">
        <f>IFERROR(__xludf.DUMMYFUNCTION("GOOGLETRANSLATE(B38, ""en"", ""hi"")"),"मलखंभ_10")</f>
        <v>मलखंभ_10</v>
      </c>
      <c r="I38" s="8" t="str">
        <f>IFERROR(__xludf.DUMMYFUNCTION("GOOGLETRANSLATE(C38, ""en"", ""hi"")"),"चित्र में दिखाए गए खेल में कौन से उपकरण का उपयोग किया जाता है?")</f>
        <v>चित्र में दिखाए गए खेल में कौन से उपकरण का उपयोग किया जाता है?</v>
      </c>
      <c r="J38" s="8" t="str">
        <f>IFERROR(__xludf.DUMMYFUNCTION("GOOGLETRANSLATE(D38, ""en"", ""hi"")"),"A) रस्सी, B) पोल, C) चटाई, D) घेरा")</f>
        <v>A) रस्सी, B) पोल, C) चटाई, D) घेरा</v>
      </c>
      <c r="K38" s="8" t="str">
        <f>IFERROR(__xludf.DUMMYFUNCTION("GOOGLETRANSLATE(E38, ""en"", ""hi"")"),"बी) ध्रुव")</f>
        <v>बी) ध्रुव</v>
      </c>
    </row>
    <row r="39" ht="22.5" customHeight="1">
      <c r="A39" s="2">
        <v>38.0</v>
      </c>
      <c r="B39" s="3" t="s">
        <v>4254</v>
      </c>
      <c r="C39" s="3" t="s">
        <v>4260</v>
      </c>
      <c r="D39" s="3" t="s">
        <v>4261</v>
      </c>
      <c r="E39" s="3" t="s">
        <v>4262</v>
      </c>
      <c r="G39" s="8" t="str">
        <f>IFERROR(__xludf.DUMMYFUNCTION("GOOGLETRANSLATE(A39, ""en"", ""hi"")"),"38")</f>
        <v>38</v>
      </c>
      <c r="H39" s="8" t="str">
        <f>IFERROR(__xludf.DUMMYFUNCTION("GOOGLETRANSLATE(B39, ""en"", ""hi"")"),"मलखंभ_10")</f>
        <v>मलखंभ_10</v>
      </c>
      <c r="I39" s="8" t="str">
        <f>IFERROR(__xludf.DUMMYFUNCTION("GOOGLETRANSLATE(C39, ""en"", ""hi"")"),"मल्लखम्ब खेल कितना पुराना है?")</f>
        <v>मल्लखम्ब खेल कितना पुराना है?</v>
      </c>
      <c r="J39" s="8" t="str">
        <f>IFERROR(__xludf.DUMMYFUNCTION("GOOGLETRANSLATE(D39, ""en"", ""hi"")"),"A) 1000 वर्ष से अधिक, B) 500 वर्ष से अधिक, C) 200 वर्ष से अधिक, D) 50 वर्ष से अधिक")</f>
        <v>A) 1000 वर्ष से अधिक, B) 500 वर्ष से अधिक, C) 200 वर्ष से अधिक, D) 50 वर्ष से अधिक</v>
      </c>
      <c r="K39" s="8" t="str">
        <f>IFERROR(__xludf.DUMMYFUNCTION("GOOGLETRANSLATE(E39, ""en"", ""hi"")"),"A) 1000 वर्ष से अधिक")</f>
        <v>A) 1000 वर्ष से अधिक</v>
      </c>
    </row>
    <row r="40" ht="22.5" customHeight="1">
      <c r="A40" s="2">
        <v>39.0</v>
      </c>
      <c r="B40" s="3" t="s">
        <v>4254</v>
      </c>
      <c r="C40" s="3" t="s">
        <v>4263</v>
      </c>
      <c r="D40" s="3" t="s">
        <v>4264</v>
      </c>
      <c r="E40" s="3" t="s">
        <v>4265</v>
      </c>
      <c r="G40" s="8" t="str">
        <f>IFERROR(__xludf.DUMMYFUNCTION("GOOGLETRANSLATE(A40, ""en"", ""hi"")"),"39")</f>
        <v>39</v>
      </c>
      <c r="H40" s="8" t="str">
        <f>IFERROR(__xludf.DUMMYFUNCTION("GOOGLETRANSLATE(B40, ""en"", ""hi"")"),"मलखंभ_10")</f>
        <v>मलखंभ_10</v>
      </c>
      <c r="I40" s="8" t="str">
        <f>IFERROR(__xludf.DUMMYFUNCTION("GOOGLETRANSLATE(C40, ""en"", ""hi"")"),"मल्लखम्ब आमतौर पर कौन करता है?")</f>
        <v>मल्लखम्ब आमतौर पर कौन करता है?</v>
      </c>
      <c r="J40" s="8" t="str">
        <f>IFERROR(__xludf.DUMMYFUNCTION("GOOGLETRANSLATE(D40, ""en"", ""hi"")"),"A) पुरुष, B) महिला, C) पुरुष और महिला दोनों, D) केवल बच्चे")</f>
        <v>A) पुरुष, B) महिला, C) पुरुष और महिला दोनों, D) केवल बच्चे</v>
      </c>
      <c r="K40" s="8" t="str">
        <f>IFERROR(__xludf.DUMMYFUNCTION("GOOGLETRANSLATE(E40, ""en"", ""hi"")"),"C) पुरुष और महिला दोनों")</f>
        <v>C) पुरुष और महिला दोनों</v>
      </c>
    </row>
    <row r="41" ht="22.5" customHeight="1">
      <c r="A41" s="2">
        <v>40.0</v>
      </c>
      <c r="B41" s="3" t="s">
        <v>4266</v>
      </c>
      <c r="C41" s="3" t="s">
        <v>4267</v>
      </c>
      <c r="D41" s="3" t="s">
        <v>4268</v>
      </c>
      <c r="E41" s="3" t="s">
        <v>4269</v>
      </c>
      <c r="G41" s="8" t="str">
        <f>IFERROR(__xludf.DUMMYFUNCTION("GOOGLETRANSLATE(A41, ""en"", ""hi"")"),"40")</f>
        <v>40</v>
      </c>
      <c r="H41" s="8" t="str">
        <f>IFERROR(__xludf.DUMMYFUNCTION("GOOGLETRANSLATE(B41, ""en"", ""hi"")"),"मलखंभ_11")</f>
        <v>मलखंभ_11</v>
      </c>
      <c r="I41" s="8" t="str">
        <f>IFERROR(__xludf.DUMMYFUNCTION("GOOGLETRANSLATE(C41, ""en"", ""hi"")"),"मल्लखम्ब प्रतियोगिताएं आमतौर पर कैसे आयोजित की जाती हैं?")</f>
        <v>मल्लखम्ब प्रतियोगिताएं आमतौर पर कैसे आयोजित की जाती हैं?</v>
      </c>
      <c r="J41" s="8" t="str">
        <f>IFERROR(__xludf.DUMMYFUNCTION("GOOGLETRANSLATE(D41, ""en"", ""hi"")"),"A) राष्ट्रीय और अंतरराष्ट्रीय स्तर पर, B) केवल स्थानीय स्तर पर, C) केवल स्कूलों में, D) ऑनलाइन")</f>
        <v>A) राष्ट्रीय और अंतरराष्ट्रीय स्तर पर, B) केवल स्थानीय स्तर पर, C) केवल स्कूलों में, D) ऑनलाइन</v>
      </c>
      <c r="K41" s="8" t="str">
        <f>IFERROR(__xludf.DUMMYFUNCTION("GOOGLETRANSLATE(E41, ""en"", ""hi"")"),"ए) राष्ट्रीय और अंतरराष्ट्रीय स्तर पर")</f>
        <v>ए) राष्ट्रीय और अंतरराष्ट्रीय स्तर पर</v>
      </c>
    </row>
    <row r="42" ht="22.5" customHeight="1">
      <c r="A42" s="2">
        <v>41.0</v>
      </c>
      <c r="B42" s="3" t="s">
        <v>4266</v>
      </c>
      <c r="C42" s="3" t="s">
        <v>4270</v>
      </c>
      <c r="D42" s="3" t="s">
        <v>4271</v>
      </c>
      <c r="E42" s="3" t="s">
        <v>4272</v>
      </c>
      <c r="G42" s="8" t="str">
        <f>IFERROR(__xludf.DUMMYFUNCTION("GOOGLETRANSLATE(A42, ""en"", ""hi"")"),"41")</f>
        <v>41</v>
      </c>
      <c r="H42" s="8" t="str">
        <f>IFERROR(__xludf.DUMMYFUNCTION("GOOGLETRANSLATE(B42, ""en"", ""hi"")"),"मलखंभ_11")</f>
        <v>मलखंभ_11</v>
      </c>
      <c r="I42" s="8" t="str">
        <f>IFERROR(__xludf.DUMMYFUNCTION("GOOGLETRANSLATE(C42, ""en"", ""hi"")"),"मल्लखम्ब में भाग लेने वाले लोग आम तौर पर क्या पोशाक पहनते हैं?")</f>
        <v>मल्लखम्ब में भाग लेने वाले लोग आम तौर पर क्या पोशाक पहनते हैं?</v>
      </c>
      <c r="J42" s="8" t="str">
        <f>IFERROR(__xludf.DUMMYFUNCTION("GOOGLETRANSLATE(D42, ""en"", ""hi"")"),"A) ट्रैकसूट, B) पारंपरिक भारतीय पोशाक, C) जिम वियर, D) कैज़ुअल कपड़े")</f>
        <v>A) ट्रैकसूट, B) पारंपरिक भारतीय पोशाक, C) जिम वियर, D) कैज़ुअल कपड़े</v>
      </c>
      <c r="K42" s="8" t="str">
        <f>IFERROR(__xludf.DUMMYFUNCTION("GOOGLETRANSLATE(E42, ""en"", ""hi"")"),"बी) पारंपरिक भारतीय पोशाक")</f>
        <v>बी) पारंपरिक भारतीय पोशाक</v>
      </c>
    </row>
    <row r="43" ht="22.5" customHeight="1">
      <c r="A43" s="2">
        <v>42.0</v>
      </c>
      <c r="B43" s="3" t="s">
        <v>4266</v>
      </c>
      <c r="C43" s="3" t="s">
        <v>4273</v>
      </c>
      <c r="D43" s="3" t="s">
        <v>4274</v>
      </c>
      <c r="E43" s="3" t="s">
        <v>4275</v>
      </c>
      <c r="G43" s="8" t="str">
        <f>IFERROR(__xludf.DUMMYFUNCTION("GOOGLETRANSLATE(A43, ""en"", ""hi"")"),"42")</f>
        <v>42</v>
      </c>
      <c r="H43" s="8" t="str">
        <f>IFERROR(__xludf.DUMMYFUNCTION("GOOGLETRANSLATE(B43, ""en"", ""hi"")"),"मलखंभ_11")</f>
        <v>मलखंभ_11</v>
      </c>
      <c r="I43" s="8" t="str">
        <f>IFERROR(__xludf.DUMMYFUNCTION("GOOGLETRANSLATE(C43, ""en"", ""hi"")"),"एथलीटों के लिए मल्लखम्ब अभ्यास के क्या लाभ हैं?")</f>
        <v>एथलीटों के लिए मल्लखम्ब अभ्यास के क्या लाभ हैं?</v>
      </c>
      <c r="J43" s="8" t="str">
        <f>IFERROR(__xludf.DUMMYFUNCTION("GOOGLETRANSLATE(D43, ""en"", ""hi"")"),"A) मानसिक एकाग्रता में सुधार करता है, B) मांसपेशियों की सहनशक्ति बढ़ाता है, C) हृदय स्वास्थ्य को बढ़ावा देता है, D) लचीलापन और संतुलन बढ़ाता है")</f>
        <v>A) मानसिक एकाग्रता में सुधार करता है, B) मांसपेशियों की सहनशक्ति बढ़ाता है, C) हृदय स्वास्थ्य को बढ़ावा देता है, D) लचीलापन और संतुलन बढ़ाता है</v>
      </c>
      <c r="K43" s="8" t="str">
        <f>IFERROR(__xludf.DUMMYFUNCTION("GOOGLETRANSLATE(E43, ""en"", ""hi"")"),"D) लचीलापन और संतुलन बढ़ाता है")</f>
        <v>D) लचीलापन और संतुलन बढ़ाता है</v>
      </c>
    </row>
    <row r="44" ht="22.5" customHeight="1">
      <c r="A44" s="2">
        <v>43.0</v>
      </c>
      <c r="B44" s="3" t="s">
        <v>4266</v>
      </c>
      <c r="C44" s="3" t="s">
        <v>4170</v>
      </c>
      <c r="D44" s="3" t="s">
        <v>4276</v>
      </c>
      <c r="E44" s="3" t="s">
        <v>4277</v>
      </c>
      <c r="G44" s="8" t="str">
        <f>IFERROR(__xludf.DUMMYFUNCTION("GOOGLETRANSLATE(A44, ""en"", ""hi"")"),"43")</f>
        <v>43</v>
      </c>
      <c r="H44" s="8" t="str">
        <f>IFERROR(__xludf.DUMMYFUNCTION("GOOGLETRANSLATE(B44, ""en"", ""hi"")"),"मलखंभ_11")</f>
        <v>मलखंभ_11</v>
      </c>
      <c r="I44" s="8" t="str">
        <f>IFERROR(__xludf.DUMMYFUNCTION("GOOGLETRANSLATE(C44, ""en"", ""hi"")"),"चित्र में किस प्रकार का मल्लखम्ब दर्शाया गया है?")</f>
        <v>चित्र में किस प्रकार का मल्लखम्ब दर्शाया गया है?</v>
      </c>
      <c r="J44" s="8" t="str">
        <f>IFERROR(__xludf.DUMMYFUNCTION("GOOGLETRANSLATE(D44, ""en"", ""hi"")"),"ए) रस्सी मल्लखंब, बी) पोल मल्लखंब, सी) कपड़ा मल्लखंब, डी) लकड़ी का मल्लखंब")</f>
        <v>ए) रस्सी मल्लखंब, बी) पोल मल्लखंब, सी) कपड़ा मल्लखंब, डी) लकड़ी का मल्लखंब</v>
      </c>
      <c r="K44" s="8" t="str">
        <f>IFERROR(__xludf.DUMMYFUNCTION("GOOGLETRANSLATE(E44, ""en"", ""hi"")"),"बी) पोल मल्लखम्ब")</f>
        <v>बी) पोल मल्लखम्ब</v>
      </c>
    </row>
    <row r="45" ht="22.5" customHeight="1">
      <c r="A45" s="2">
        <v>44.0</v>
      </c>
      <c r="B45" s="3" t="s">
        <v>4278</v>
      </c>
      <c r="C45" s="3" t="s">
        <v>4279</v>
      </c>
      <c r="D45" s="3" t="s">
        <v>4280</v>
      </c>
      <c r="E45" s="3" t="s">
        <v>4281</v>
      </c>
      <c r="G45" s="8" t="str">
        <f>IFERROR(__xludf.DUMMYFUNCTION("GOOGLETRANSLATE(A45, ""en"", ""hi"")"),"44")</f>
        <v>44</v>
      </c>
      <c r="H45" s="8" t="str">
        <f>IFERROR(__xludf.DUMMYFUNCTION("GOOGLETRANSLATE(B45, ""en"", ""hi"")"),"मलखंभ_12")</f>
        <v>मलखंभ_12</v>
      </c>
      <c r="I45" s="8" t="str">
        <f>IFERROR(__xludf.DUMMYFUNCTION("GOOGLETRANSLATE(C45, ""en"", ""hi"")"),"इस मल्लखम्ब चित्र में एथलीट किस स्थिति में प्रदर्शन कर रहा है?")</f>
        <v>इस मल्लखम्ब चित्र में एथलीट किस स्थिति में प्रदर्शन कर रहा है?</v>
      </c>
      <c r="J45" s="8" t="str">
        <f>IFERROR(__xludf.DUMMYFUNCTION("GOOGLETRANSLATE(D45, ""en"", ""hi"")"),"ए) हैंडस्टैंड, बी) स्प्लिट, सी) बैकबेंड, डी) फॉरवर्ड रोल")</f>
        <v>ए) हैंडस्टैंड, बी) स्प्लिट, सी) बैकबेंड, डी) फॉरवर्ड रोल</v>
      </c>
      <c r="K45" s="8" t="str">
        <f>IFERROR(__xludf.DUMMYFUNCTION("GOOGLETRANSLATE(E45, ""en"", ""hi"")"),"सी) बैकबेंड")</f>
        <v>सी) बैकबेंड</v>
      </c>
    </row>
    <row r="46" ht="22.5" customHeight="1">
      <c r="A46" s="2">
        <v>45.0</v>
      </c>
      <c r="B46" s="3" t="s">
        <v>4278</v>
      </c>
      <c r="C46" s="3" t="s">
        <v>4282</v>
      </c>
      <c r="D46" s="3" t="s">
        <v>4283</v>
      </c>
      <c r="E46" s="3" t="s">
        <v>4284</v>
      </c>
      <c r="G46" s="8" t="str">
        <f>IFERROR(__xludf.DUMMYFUNCTION("GOOGLETRANSLATE(A46, ""en"", ""hi"")"),"45")</f>
        <v>45</v>
      </c>
      <c r="H46" s="8" t="str">
        <f>IFERROR(__xludf.DUMMYFUNCTION("GOOGLETRANSLATE(B46, ""en"", ""hi"")"),"मलखंभ_12")</f>
        <v>मलखंभ_12</v>
      </c>
      <c r="I46" s="8" t="str">
        <f>IFERROR(__xludf.DUMMYFUNCTION("GOOGLETRANSLATE(C46, ""en"", ""hi"")"),"चित्र में किस प्रकार का मल्लखम्ब प्रदर्शित किया गया है (जैसे, खंभा, रस्सी, या फांसी)?")</f>
        <v>चित्र में किस प्रकार का मल्लखम्ब प्रदर्शित किया गया है (जैसे, खंभा, रस्सी, या फांसी)?</v>
      </c>
      <c r="J46" s="8" t="str">
        <f>IFERROR(__xludf.DUMMYFUNCTION("GOOGLETRANSLATE(D46, ""en"", ""hi"")"),"A) पोल मल्लखम्ब, B) रस्सी मल्लखम्ब, C) लटकता मल्लखम्ब, D) उपरोक्त में से कोई नहीं")</f>
        <v>A) पोल मल्लखम्ब, B) रस्सी मल्लखम्ब, C) लटकता मल्लखम्ब, D) उपरोक्त में से कोई नहीं</v>
      </c>
      <c r="K46" s="8" t="str">
        <f>IFERROR(__xludf.DUMMYFUNCTION("GOOGLETRANSLATE(E46, ""en"", ""hi"")"),"A) पोल मल्लखम्ब")</f>
        <v>A) पोल मल्लखम्ब</v>
      </c>
    </row>
    <row r="47" ht="22.5" customHeight="1">
      <c r="A47" s="2">
        <v>46.0</v>
      </c>
      <c r="B47" s="3" t="s">
        <v>4278</v>
      </c>
      <c r="C47" s="3" t="s">
        <v>4285</v>
      </c>
      <c r="D47" s="3" t="s">
        <v>4286</v>
      </c>
      <c r="E47" s="3" t="s">
        <v>4287</v>
      </c>
      <c r="G47" s="8" t="str">
        <f>IFERROR(__xludf.DUMMYFUNCTION("GOOGLETRANSLATE(A47, ""en"", ""hi"")"),"46")</f>
        <v>46</v>
      </c>
      <c r="H47" s="8" t="str">
        <f>IFERROR(__xludf.DUMMYFUNCTION("GOOGLETRANSLATE(B47, ""en"", ""hi"")"),"मलखंभ_12")</f>
        <v>मलखंभ_12</v>
      </c>
      <c r="I47" s="8" t="str">
        <f>IFERROR(__xludf.DUMMYFUNCTION("GOOGLETRANSLATE(C47, ""en"", ""hi"")"),"इस मल्लखम्ब चित्र में एथलीट कौन सा कौशल या चाल प्रदर्शित कर रहा है?")</f>
        <v>इस मल्लखम्ब चित्र में एथलीट कौन सा कौशल या चाल प्रदर्शित कर रहा है?</v>
      </c>
      <c r="J47" s="8" t="str">
        <f>IFERROR(__xludf.DUMMYFUNCTION("GOOGLETRANSLATE(D47, ""en"", ""hi"")"),"A) कमल मुद्रा, B) ईगल मुद्रा, C) प्लैंक मुद्रा, D) कोबरा मुद्रा")</f>
        <v>A) कमल मुद्रा, B) ईगल मुद्रा, C) प्लैंक मुद्रा, D) कोबरा मुद्रा</v>
      </c>
      <c r="K47" s="8" t="str">
        <f>IFERROR(__xludf.DUMMYFUNCTION("GOOGLETRANSLATE(E47, ""en"", ""hi"")"),"बी) ईगल मुद्रा")</f>
        <v>बी) ईगल मुद्रा</v>
      </c>
    </row>
    <row r="48" ht="22.5" customHeight="1">
      <c r="A48" s="2">
        <v>47.0</v>
      </c>
      <c r="B48" s="3" t="s">
        <v>4278</v>
      </c>
      <c r="C48" s="3" t="s">
        <v>4288</v>
      </c>
      <c r="D48" s="3" t="s">
        <v>4289</v>
      </c>
      <c r="E48" s="3" t="s">
        <v>4290</v>
      </c>
      <c r="G48" s="8" t="str">
        <f>IFERROR(__xludf.DUMMYFUNCTION("GOOGLETRANSLATE(A48, ""en"", ""hi"")"),"47")</f>
        <v>47</v>
      </c>
      <c r="H48" s="8" t="str">
        <f>IFERROR(__xludf.DUMMYFUNCTION("GOOGLETRANSLATE(B48, ""en"", ""hi"")"),"मलखंभ_12")</f>
        <v>मलखंभ_12</v>
      </c>
      <c r="I48" s="8" t="str">
        <f>IFERROR(__xludf.DUMMYFUNCTION("GOOGLETRANSLATE(C48, ""en"", ""hi"")"),"इस मल्लखम्ब मुद्रा में प्रदर्शन का मूल्यांकन आमतौर पर कैसे किया जाता है?")</f>
        <v>इस मल्लखम्ब मुद्रा में प्रदर्शन का मूल्यांकन आमतौर पर कैसे किया जाता है?</v>
      </c>
      <c r="J48" s="8" t="str">
        <f>IFERROR(__xludf.DUMMYFUNCTION("GOOGLETRANSLATE(D48, ""en"", ""hi"")"),"A) सटीकता और रूप के आधार पर, B) गति और चपलता के आधार पर, C) दर्शकों की तालियों के आधार पर, D) मुद्रा की जटिलता के आधार पर")</f>
        <v>A) सटीकता और रूप के आधार पर, B) गति और चपलता के आधार पर, C) दर्शकों की तालियों के आधार पर, D) मुद्रा की जटिलता के आधार पर</v>
      </c>
      <c r="K48" s="8" t="str">
        <f>IFERROR(__xludf.DUMMYFUNCTION("GOOGLETRANSLATE(E48, ""en"", ""hi"")"),"A) सटीकता और रूप के आधार पर")</f>
        <v>A) सटीकता और रूप के आधार पर</v>
      </c>
    </row>
    <row r="49" ht="22.5" customHeight="1">
      <c r="A49" s="2">
        <v>48.0</v>
      </c>
      <c r="B49" s="3" t="s">
        <v>4291</v>
      </c>
      <c r="C49" s="3" t="s">
        <v>4282</v>
      </c>
      <c r="D49" s="3" t="s">
        <v>4292</v>
      </c>
      <c r="E49" s="3" t="s">
        <v>4284</v>
      </c>
      <c r="G49" s="8" t="str">
        <f>IFERROR(__xludf.DUMMYFUNCTION("GOOGLETRANSLATE(A49, ""en"", ""hi"")"),"48")</f>
        <v>48</v>
      </c>
      <c r="H49" s="8" t="str">
        <f>IFERROR(__xludf.DUMMYFUNCTION("GOOGLETRANSLATE(B49, ""en"", ""hi"")"),"मलखंभ_13")</f>
        <v>मलखंभ_13</v>
      </c>
      <c r="I49" s="8" t="str">
        <f>IFERROR(__xludf.DUMMYFUNCTION("GOOGLETRANSLATE(C49, ""en"", ""hi"")"),"चित्र में किस प्रकार का मल्लखम्ब प्रदर्शित किया गया है (जैसे, खंभा, रस्सी, या फांसी)?")</f>
        <v>चित्र में किस प्रकार का मल्लखम्ब प्रदर्शित किया गया है (जैसे, खंभा, रस्सी, या फांसी)?</v>
      </c>
      <c r="J49" s="8" t="str">
        <f>IFERROR(__xludf.DUMMYFUNCTION("GOOGLETRANSLATE(D49, ""en"", ""hi"")"),"A) पोल मल्लखम्ब, B) रस्सी मल्लखम्ब, C) लटकता मल्लखम्ब, D) ज़मीन मल्लखम्ब")</f>
        <v>A) पोल मल्लखम्ब, B) रस्सी मल्लखम्ब, C) लटकता मल्लखम्ब, D) ज़मीन मल्लखम्ब</v>
      </c>
      <c r="K49" s="8" t="str">
        <f>IFERROR(__xludf.DUMMYFUNCTION("GOOGLETRANSLATE(E49, ""en"", ""hi"")"),"A) पोल मल्लखम्ब")</f>
        <v>A) पोल मल्लखम्ब</v>
      </c>
    </row>
    <row r="50" ht="22.5" customHeight="1">
      <c r="A50" s="2">
        <v>49.0</v>
      </c>
      <c r="B50" s="3" t="s">
        <v>4291</v>
      </c>
      <c r="C50" s="3" t="s">
        <v>4293</v>
      </c>
      <c r="D50" s="3" t="s">
        <v>4294</v>
      </c>
      <c r="E50" s="3" t="s">
        <v>4295</v>
      </c>
      <c r="G50" s="8" t="str">
        <f>IFERROR(__xludf.DUMMYFUNCTION("GOOGLETRANSLATE(A50, ""en"", ""hi"")"),"49")</f>
        <v>49</v>
      </c>
      <c r="H50" s="8" t="str">
        <f>IFERROR(__xludf.DUMMYFUNCTION("GOOGLETRANSLATE(B50, ""en"", ""hi"")"),"मलखंभ_13")</f>
        <v>मलखंभ_13</v>
      </c>
      <c r="I50" s="8" t="str">
        <f>IFERROR(__xludf.DUMMYFUNCTION("GOOGLETRANSLATE(C50, ""en"", ""hi"")"),"चित्र में दिखाए गए पोज़ को प्राप्त करने के लिए प्रयुक्त सामान्य तकनीकें क्या हैं?")</f>
        <v>चित्र में दिखाए गए पोज़ को प्राप्त करने के लिए प्रयुक्त सामान्य तकनीकें क्या हैं?</v>
      </c>
      <c r="J50" s="8" t="str">
        <f>IFERROR(__xludf.DUMMYFUNCTION("GOOGLETRANSLATE(D50, ""en"", ""hi"")"),"A) संतुलन और शक्ति, B) लचीलापन और पकड़, C) गति और चपलता, D) धीरज और सटीकता")</f>
        <v>A) संतुलन और शक्ति, B) लचीलापन और पकड़, C) गति और चपलता, D) धीरज और सटीकता</v>
      </c>
      <c r="K50" s="8" t="str">
        <f>IFERROR(__xludf.DUMMYFUNCTION("GOOGLETRANSLATE(E50, ""en"", ""hi"")"),"बी) लचीलापन और पकड़")</f>
        <v>बी) लचीलापन और पकड़</v>
      </c>
    </row>
    <row r="51" ht="22.5" customHeight="1">
      <c r="A51" s="2">
        <v>50.0</v>
      </c>
      <c r="B51" s="3" t="s">
        <v>4291</v>
      </c>
      <c r="C51" s="3" t="s">
        <v>4296</v>
      </c>
      <c r="D51" s="3" t="s">
        <v>4297</v>
      </c>
      <c r="E51" s="3" t="s">
        <v>4298</v>
      </c>
      <c r="G51" s="8" t="str">
        <f>IFERROR(__xludf.DUMMYFUNCTION("GOOGLETRANSLATE(A51, ""en"", ""hi"")"),"50")</f>
        <v>50</v>
      </c>
      <c r="H51" s="8" t="str">
        <f>IFERROR(__xludf.DUMMYFUNCTION("GOOGLETRANSLATE(B51, ""en"", ""hi"")"),"मलखंभ_13")</f>
        <v>मलखंभ_13</v>
      </c>
      <c r="I51" s="8" t="str">
        <f>IFERROR(__xludf.DUMMYFUNCTION("GOOGLETRANSLATE(C51, ""en"", ""hi"")"),"इस मल्लखम्ब चित्र में दर्शाई गई मुद्रा का ऐतिहासिक महत्व क्या है?")</f>
        <v>इस मल्लखम्ब चित्र में दर्शाई गई मुद्रा का ऐतिहासिक महत्व क्या है?</v>
      </c>
      <c r="J51" s="8" t="str">
        <f>IFERROR(__xludf.DUMMYFUNCTION("GOOGLETRANSLATE(D51, ""en"", ""hi"")"),"A) यह मल्लखंब के विकास को दर्शाता है, B) इसका उपयोग पहलवानों द्वारा शारीरिक प्रशिक्षण के लिए किया जाता था, C) यह एक पारंपरिक नृत्य मुद्रा है, D) यह आध्यात्मिक अभ्यास का प्रतीक है")</f>
        <v>A) यह मल्लखंब के विकास को दर्शाता है, B) इसका उपयोग पहलवानों द्वारा शारीरिक प्रशिक्षण के लिए किया जाता था, C) यह एक पारंपरिक नृत्य मुद्रा है, D) यह आध्यात्मिक अभ्यास का प्रतीक है</v>
      </c>
      <c r="K51" s="8" t="str">
        <f>IFERROR(__xludf.DUMMYFUNCTION("GOOGLETRANSLATE(E51, ""en"", ""hi"")"),"B) इसका उपयोग पहलवानों द्वारा शारीरिक प्रशिक्षण के लिए किया जाता था")</f>
        <v>B) इसका उपयोग पहलवानों द्वारा शारीरिक प्रशिक्षण के लिए किया जाता था</v>
      </c>
    </row>
    <row r="52" ht="22.5" customHeight="1">
      <c r="A52" s="2">
        <v>51.0</v>
      </c>
      <c r="B52" s="3" t="s">
        <v>4291</v>
      </c>
      <c r="C52" s="3" t="s">
        <v>4299</v>
      </c>
      <c r="D52" s="3" t="s">
        <v>4300</v>
      </c>
      <c r="E52" s="3" t="s">
        <v>4301</v>
      </c>
      <c r="G52" s="8" t="str">
        <f>IFERROR(__xludf.DUMMYFUNCTION("GOOGLETRANSLATE(A52, ""en"", ""hi"")"),"51")</f>
        <v>51</v>
      </c>
      <c r="H52" s="8" t="str">
        <f>IFERROR(__xludf.DUMMYFUNCTION("GOOGLETRANSLATE(B52, ""en"", ""hi"")"),"मलखंभ_13")</f>
        <v>मलखंभ_13</v>
      </c>
      <c r="I52" s="8" t="str">
        <f>IFERROR(__xludf.DUMMYFUNCTION("GOOGLETRANSLATE(C52, ""en"", ""hi"")"),"इस मल्लखम्ब चित्र में दिखाए गए चाल को निष्पादित करने के नियम क्या हैं?")</f>
        <v>इस मल्लखम्ब चित्र में दिखाए गए चाल को निष्पादित करने के नियम क्या हैं?</v>
      </c>
      <c r="J52" s="8" t="str">
        <f>IFERROR(__xludf.DUMMYFUNCTION("GOOGLETRANSLATE(D52, ""en"", ""hi"")"),"A) संतुलन और नियंत्रण बनाए रखें, B) केवल एक हाथ का उपयोग करें, C) 30 सेकंड के भीतर पूरा करें, D) एक साथी के साथ प्रदर्शन करें")</f>
        <v>A) संतुलन और नियंत्रण बनाए रखें, B) केवल एक हाथ का उपयोग करें, C) 30 सेकंड के भीतर पूरा करें, D) एक साथी के साथ प्रदर्शन करें</v>
      </c>
      <c r="K52" s="8" t="str">
        <f>IFERROR(__xludf.DUMMYFUNCTION("GOOGLETRANSLATE(E52, ""en"", ""hi"")"),"A) संतुलन और नियंत्रण बनाए रखें")</f>
        <v>A) संतुलन और नियंत्रण बनाए रखें</v>
      </c>
    </row>
    <row r="53" ht="22.5" customHeight="1">
      <c r="A53" s="2">
        <v>52.0</v>
      </c>
      <c r="B53" s="3" t="s">
        <v>4302</v>
      </c>
      <c r="C53" s="3" t="s">
        <v>4296</v>
      </c>
      <c r="D53" s="3" t="s">
        <v>4303</v>
      </c>
      <c r="E53" s="3" t="s">
        <v>4304</v>
      </c>
      <c r="G53" s="8" t="str">
        <f>IFERROR(__xludf.DUMMYFUNCTION("GOOGLETRANSLATE(A53, ""en"", ""hi"")"),"52")</f>
        <v>52</v>
      </c>
      <c r="H53" s="8" t="str">
        <f>IFERROR(__xludf.DUMMYFUNCTION("GOOGLETRANSLATE(B53, ""en"", ""hi"")"),"मलखंभ_14")</f>
        <v>मलखंभ_14</v>
      </c>
      <c r="I53" s="8" t="str">
        <f>IFERROR(__xludf.DUMMYFUNCTION("GOOGLETRANSLATE(C53, ""en"", ""hi"")"),"इस मल्लखम्ब चित्र में दर्शाई गई मुद्रा का ऐतिहासिक महत्व क्या है?")</f>
        <v>इस मल्लखम्ब चित्र में दर्शाई गई मुद्रा का ऐतिहासिक महत्व क्या है?</v>
      </c>
      <c r="J53" s="8" t="str">
        <f>IFERROR(__xludf.DUMMYFUNCTION("GOOGLETRANSLATE(D53, ""en"", ""hi"")"),"A) यह प्राचीन प्रशिक्षण में प्रयुक्त एक पारंपरिक मुद्रा है, B) यह एक आधुनिक प्रतिस्पर्धी चाल है, C) यह एक धार्मिक प्रतीक का प्रतिनिधित्व करता है, D) यह मल्लखंब में एक हालिया नवाचार है")</f>
        <v>A) यह प्राचीन प्रशिक्षण में प्रयुक्त एक पारंपरिक मुद्रा है, B) यह एक आधुनिक प्रतिस्पर्धी चाल है, C) यह एक धार्मिक प्रतीक का प्रतिनिधित्व करता है, D) यह मल्लखंब में एक हालिया नवाचार है</v>
      </c>
      <c r="K53" s="8" t="str">
        <f>IFERROR(__xludf.DUMMYFUNCTION("GOOGLETRANSLATE(E53, ""en"", ""hi"")"),"A) यह प्राचीन प्रशिक्षण में प्रयुक्त एक पारंपरिक मुद्रा है")</f>
        <v>A) यह प्राचीन प्रशिक्षण में प्रयुक्त एक पारंपरिक मुद्रा है</v>
      </c>
    </row>
    <row r="54" ht="22.5" customHeight="1">
      <c r="A54" s="2">
        <v>53.0</v>
      </c>
      <c r="B54" s="3" t="s">
        <v>4302</v>
      </c>
      <c r="C54" s="3" t="s">
        <v>4299</v>
      </c>
      <c r="D54" s="3" t="s">
        <v>4305</v>
      </c>
      <c r="E54" s="3" t="s">
        <v>4306</v>
      </c>
      <c r="G54" s="8" t="str">
        <f>IFERROR(__xludf.DUMMYFUNCTION("GOOGLETRANSLATE(A54, ""en"", ""hi"")"),"53")</f>
        <v>53</v>
      </c>
      <c r="H54" s="8" t="str">
        <f>IFERROR(__xludf.DUMMYFUNCTION("GOOGLETRANSLATE(B54, ""en"", ""hi"")"),"मलखंभ_14")</f>
        <v>मलखंभ_14</v>
      </c>
      <c r="I54" s="8" t="str">
        <f>IFERROR(__xludf.DUMMYFUNCTION("GOOGLETRANSLATE(C54, ""en"", ""hi"")"),"इस मल्लखम्ब चित्र में दिखाए गए चाल को निष्पादित करने के नियम क्या हैं?")</f>
        <v>इस मल्लखम्ब चित्र में दिखाए गए चाल को निष्पादित करने के नियम क्या हैं?</v>
      </c>
      <c r="J54" s="8" t="str">
        <f>IFERROR(__xludf.DUMMYFUNCTION("GOOGLETRANSLATE(D54, ""en"", ""hi"")"),"A) 10 सेकंड तक संतुलन बनाए रखना होगा, B) हाथों को पोल को नहीं छूना चाहिए, C) एक ही मुद्रा से शुरू और समाप्त करना होगा, D) कोई विशेष नियम नहीं")</f>
        <v>A) 10 सेकंड तक संतुलन बनाए रखना होगा, B) हाथों को पोल को नहीं छूना चाहिए, C) एक ही मुद्रा से शुरू और समाप्त करना होगा, D) कोई विशेष नियम नहीं</v>
      </c>
      <c r="K54" s="8" t="str">
        <f>IFERROR(__xludf.DUMMYFUNCTION("GOOGLETRANSLATE(E54, ""en"", ""hi"")"),"A) 10 सेकंड तक संतुलन बनाए रखना होगा")</f>
        <v>A) 10 सेकंड तक संतुलन बनाए रखना होगा</v>
      </c>
    </row>
    <row r="55" ht="22.5" customHeight="1">
      <c r="A55" s="2">
        <v>54.0</v>
      </c>
      <c r="B55" s="3" t="s">
        <v>4302</v>
      </c>
      <c r="C55" s="3" t="s">
        <v>4307</v>
      </c>
      <c r="D55" s="3" t="s">
        <v>4308</v>
      </c>
      <c r="E55" s="3" t="s">
        <v>4309</v>
      </c>
      <c r="G55" s="8" t="str">
        <f>IFERROR(__xludf.DUMMYFUNCTION("GOOGLETRANSLATE(A55, ""en"", ""hi"")"),"54")</f>
        <v>54</v>
      </c>
      <c r="H55" s="8" t="str">
        <f>IFERROR(__xludf.DUMMYFUNCTION("GOOGLETRANSLATE(B55, ""en"", ""hi"")"),"मलखंभ_14")</f>
        <v>मलखंभ_14</v>
      </c>
      <c r="I55" s="8" t="str">
        <f>IFERROR(__xludf.DUMMYFUNCTION("GOOGLETRANSLATE(C55, ""en"", ""hi"")"),"इस चित्र में दिखाए गए पोज़ के आधार पर, एथलीट के कौशल स्तर के बारे में क्या अनुमान लगाया जा सकता है?")</f>
        <v>इस चित्र में दिखाए गए पोज़ के आधार पर, एथलीट के कौशल स्तर के बारे में क्या अनुमान लगाया जा सकता है?</v>
      </c>
      <c r="J55" s="8" t="str">
        <f>IFERROR(__xludf.DUMMYFUNCTION("GOOGLETRANSLATE(D55, ""en"", ""hi"")"),"A) उन्नत कौशल स्तर, B) शुरुआती कौशल स्तर, C) मध्यवर्ती कौशल स्तर, D) विशेषज्ञ कौशल स्तर")</f>
        <v>A) उन्नत कौशल स्तर, B) शुरुआती कौशल स्तर, C) मध्यवर्ती कौशल स्तर, D) विशेषज्ञ कौशल स्तर</v>
      </c>
      <c r="K55" s="8" t="str">
        <f>IFERROR(__xludf.DUMMYFUNCTION("GOOGLETRANSLATE(E55, ""en"", ""hi"")"),"ए) उन्नत कौशल स्तर")</f>
        <v>ए) उन्नत कौशल स्तर</v>
      </c>
    </row>
    <row r="56" ht="22.5" customHeight="1">
      <c r="A56" s="2">
        <v>55.0</v>
      </c>
      <c r="B56" s="3" t="s">
        <v>4302</v>
      </c>
      <c r="C56" s="3" t="s">
        <v>4310</v>
      </c>
      <c r="D56" s="3" t="s">
        <v>4311</v>
      </c>
      <c r="E56" s="3" t="s">
        <v>4312</v>
      </c>
      <c r="G56" s="8" t="str">
        <f>IFERROR(__xludf.DUMMYFUNCTION("GOOGLETRANSLATE(A56, ""en"", ""hi"")"),"55")</f>
        <v>55</v>
      </c>
      <c r="H56" s="8" t="str">
        <f>IFERROR(__xludf.DUMMYFUNCTION("GOOGLETRANSLATE(B56, ""en"", ""hi"")"),"मलखंभ_14")</f>
        <v>मलखंभ_14</v>
      </c>
      <c r="I56" s="8" t="str">
        <f>IFERROR(__xludf.DUMMYFUNCTION("GOOGLETRANSLATE(C56, ""en"", ""hi"")"),"इस मल्लखम्ब चित्र में दिखाए गए चाल को करते समय किन सामान्य गलतियों से बचना चाहिए?")</f>
        <v>इस मल्लखम्ब चित्र में दिखाए गए चाल को करते समय किन सामान्य गलतियों से बचना चाहिए?</v>
      </c>
      <c r="J56" s="8" t="str">
        <f>IFERROR(__xludf.DUMMYFUNCTION("GOOGLETRANSLATE(D56, ""en"", ""hi"")"),"ए) संतुलन की हानि और अनुचित पकड़, बी) गलत उपकरण का उपयोग, सी) लचीलेपन की कमी, डी) अपर्याप्त वार्म-अप")</f>
        <v>ए) संतुलन की हानि और अनुचित पकड़, बी) गलत उपकरण का उपयोग, सी) लचीलेपन की कमी, डी) अपर्याप्त वार्म-अप</v>
      </c>
      <c r="K56" s="8" t="str">
        <f>IFERROR(__xludf.DUMMYFUNCTION("GOOGLETRANSLATE(E56, ""en"", ""hi"")"),"A) संतुलन की हानि और अनुचित पकड़")</f>
        <v>A) संतुलन की हानि और अनुचित पकड़</v>
      </c>
    </row>
    <row r="57" ht="22.5" customHeight="1">
      <c r="A57" s="2">
        <v>56.0</v>
      </c>
      <c r="B57" s="3" t="s">
        <v>4302</v>
      </c>
      <c r="C57" s="3" t="s">
        <v>4313</v>
      </c>
      <c r="D57" s="3" t="s">
        <v>4314</v>
      </c>
      <c r="E57" s="3" t="s">
        <v>4315</v>
      </c>
      <c r="G57" s="8" t="str">
        <f>IFERROR(__xludf.DUMMYFUNCTION("GOOGLETRANSLATE(A57, ""en"", ""hi"")"),"56")</f>
        <v>56</v>
      </c>
      <c r="H57" s="8" t="str">
        <f>IFERROR(__xludf.DUMMYFUNCTION("GOOGLETRANSLATE(B57, ""en"", ""hi"")"),"मलखंभ_14")</f>
        <v>मलखंभ_14</v>
      </c>
      <c r="I57" s="8" t="str">
        <f>IFERROR(__xludf.DUMMYFUNCTION("GOOGLETRANSLATE(C57, ""en"", ""hi"")"),"मल्लखम्ब अभ्यास से कौन सी सामान्य चोटें जुड़ी हैं?")</f>
        <v>मल्लखम्ब अभ्यास से कौन सी सामान्य चोटें जुड़ी हैं?</v>
      </c>
      <c r="J57" s="8" t="str">
        <f>IFERROR(__xludf.DUMMYFUNCTION("GOOGLETRANSLATE(D57, ""en"", ""hi"")"),"ए) मोच और खिंचाव, बी) फ्रैक्चर, सी) अव्यवस्था, डी) सिर की चोटें")</f>
        <v>ए) मोच और खिंचाव, बी) फ्रैक्चर, सी) अव्यवस्था, डी) सिर की चोटें</v>
      </c>
      <c r="K57" s="8" t="str">
        <f>IFERROR(__xludf.DUMMYFUNCTION("GOOGLETRANSLATE(E57, ""en"", ""hi"")"),"ए) खिंचाव और मोच")</f>
        <v>ए) खिंचाव और मोच</v>
      </c>
    </row>
    <row r="58" ht="22.5" customHeight="1">
      <c r="A58" s="2">
        <v>57.0</v>
      </c>
      <c r="B58" s="3" t="s">
        <v>4316</v>
      </c>
      <c r="C58" s="3" t="s">
        <v>4317</v>
      </c>
      <c r="D58" s="3" t="s">
        <v>4318</v>
      </c>
      <c r="E58" s="3" t="s">
        <v>4319</v>
      </c>
      <c r="G58" s="8" t="str">
        <f>IFERROR(__xludf.DUMMYFUNCTION("GOOGLETRANSLATE(A58, ""en"", ""hi"")"),"57")</f>
        <v>57</v>
      </c>
      <c r="H58" s="8" t="str">
        <f>IFERROR(__xludf.DUMMYFUNCTION("GOOGLETRANSLATE(B58, ""en"", ""hi"")"),"मलखंभ_15")</f>
        <v>मलखंभ_15</v>
      </c>
      <c r="I58" s="8" t="str">
        <f>IFERROR(__xludf.DUMMYFUNCTION("GOOGLETRANSLATE(C58, ""en"", ""hi"")"),"इस मल्लखम्ब मुद्रा में प्रयुक्त प्रमुख उपकरणों की पहचान करें।")</f>
        <v>इस मल्लखम्ब मुद्रा में प्रयुक्त प्रमुख उपकरणों की पहचान करें।</v>
      </c>
      <c r="J58" s="8" t="str">
        <f>IFERROR(__xludf.DUMMYFUNCTION("GOOGLETRANSLATE(D58, ""en"", ""hi"")"),"A) एक खंभा, B) एक रस्सी, C) एक चटाई, D) एक घेरा")</f>
        <v>A) एक खंभा, B) एक रस्सी, C) एक चटाई, D) एक घेरा</v>
      </c>
      <c r="K58" s="8" t="str">
        <f>IFERROR(__xludf.DUMMYFUNCTION("GOOGLETRANSLATE(E58, ""en"", ""hi"")"),"A) एक खंभा")</f>
        <v>A) एक खंभा</v>
      </c>
    </row>
    <row r="59" ht="22.5" customHeight="1">
      <c r="A59" s="2">
        <v>58.0</v>
      </c>
      <c r="B59" s="3" t="s">
        <v>4316</v>
      </c>
      <c r="C59" s="3" t="s">
        <v>4285</v>
      </c>
      <c r="D59" s="3" t="s">
        <v>4320</v>
      </c>
      <c r="E59" s="3" t="s">
        <v>4321</v>
      </c>
      <c r="G59" s="8" t="str">
        <f>IFERROR(__xludf.DUMMYFUNCTION("GOOGLETRANSLATE(A59, ""en"", ""hi"")"),"58")</f>
        <v>58</v>
      </c>
      <c r="H59" s="8" t="str">
        <f>IFERROR(__xludf.DUMMYFUNCTION("GOOGLETRANSLATE(B59, ""en"", ""hi"")"),"मलखंभ_15")</f>
        <v>मलखंभ_15</v>
      </c>
      <c r="I59" s="8" t="str">
        <f>IFERROR(__xludf.DUMMYFUNCTION("GOOGLETRANSLATE(C59, ""en"", ""hi"")"),"इस मल्लखम्ब चित्र में एथलीट कौन सा कौशल या चाल प्रदर्शित कर रहा है?")</f>
        <v>इस मल्लखम्ब चित्र में एथलीट कौन सा कौशल या चाल प्रदर्शित कर रहा है?</v>
      </c>
      <c r="J59" s="8" t="str">
        <f>IFERROR(__xludf.DUMMYFUNCTION("GOOGLETRANSLATE(D59, ""en"", ""hi"")"),"ए) हैंडस्टैंड, बी) स्प्लिट्स, सी) क्रेन पोज़, डी) बैकबेंड")</f>
        <v>ए) हैंडस्टैंड, बी) स्प्लिट्स, सी) क्रेन पोज़, डी) बैकबेंड</v>
      </c>
      <c r="K59" s="8" t="str">
        <f>IFERROR(__xludf.DUMMYFUNCTION("GOOGLETRANSLATE(E59, ""en"", ""hi"")"),"C) क्रेन मुद्रा")</f>
        <v>C) क्रेन मुद्रा</v>
      </c>
    </row>
    <row r="60" ht="22.5" customHeight="1">
      <c r="A60" s="2">
        <v>59.0</v>
      </c>
      <c r="B60" s="3" t="s">
        <v>4316</v>
      </c>
      <c r="C60" s="3" t="s">
        <v>4293</v>
      </c>
      <c r="D60" s="3" t="s">
        <v>4322</v>
      </c>
      <c r="E60" s="3" t="s">
        <v>4323</v>
      </c>
      <c r="G60" s="8" t="str">
        <f>IFERROR(__xludf.DUMMYFUNCTION("GOOGLETRANSLATE(A60, ""en"", ""hi"")"),"59")</f>
        <v>59</v>
      </c>
      <c r="H60" s="8" t="str">
        <f>IFERROR(__xludf.DUMMYFUNCTION("GOOGLETRANSLATE(B60, ""en"", ""hi"")"),"मलखंभ_15")</f>
        <v>मलखंभ_15</v>
      </c>
      <c r="I60" s="8" t="str">
        <f>IFERROR(__xludf.DUMMYFUNCTION("GOOGLETRANSLATE(C60, ""en"", ""hi"")"),"चित्र में दिखाए गए पोज़ को प्राप्त करने के लिए प्रयुक्त सामान्य तकनीकें क्या हैं?")</f>
        <v>चित्र में दिखाए गए पोज़ को प्राप्त करने के लिए प्रयुक्त सामान्य तकनीकें क्या हैं?</v>
      </c>
      <c r="J60" s="8" t="str">
        <f>IFERROR(__xludf.DUMMYFUNCTION("GOOGLETRANSLATE(D60, ""en"", ""hi"")"),"A) संतुलन और पकड़ की ताकत, B) लचीलापन और सहनशक्ति, C) कूदना और उतरना, D) गति और चपलता")</f>
        <v>A) संतुलन और पकड़ की ताकत, B) लचीलापन और सहनशक्ति, C) कूदना और उतरना, D) गति और चपलता</v>
      </c>
      <c r="K60" s="8" t="str">
        <f>IFERROR(__xludf.DUMMYFUNCTION("GOOGLETRANSLATE(E60, ""en"", ""hi"")"),"A) संतुलन और पकड़ की ताकत")</f>
        <v>A) संतुलन और पकड़ की ताकत</v>
      </c>
    </row>
    <row r="61" ht="22.5" customHeight="1">
      <c r="A61" s="2">
        <v>60.0</v>
      </c>
      <c r="B61" s="3" t="s">
        <v>4316</v>
      </c>
      <c r="C61" s="3" t="s">
        <v>4324</v>
      </c>
      <c r="D61" s="3" t="s">
        <v>4325</v>
      </c>
      <c r="E61" s="3" t="s">
        <v>4326</v>
      </c>
      <c r="G61" s="8" t="str">
        <f>IFERROR(__xludf.DUMMYFUNCTION("GOOGLETRANSLATE(A61, ""en"", ""hi"")"),"60")</f>
        <v>60</v>
      </c>
      <c r="H61" s="8" t="str">
        <f>IFERROR(__xludf.DUMMYFUNCTION("GOOGLETRANSLATE(B61, ""en"", ""hi"")"),"मलखंभ_15")</f>
        <v>मलखंभ_15</v>
      </c>
      <c r="I61" s="8" t="str">
        <f>IFERROR(__xludf.DUMMYFUNCTION("GOOGLETRANSLATE(C61, ""en"", ""hi"")"),"इस मल्लखम्ब चित्र में दर्शाए गए आसन को करने के लिए आवश्यक सुरक्षा उपाय क्या हैं?")</f>
        <v>इस मल्लखम्ब चित्र में दर्शाए गए आसन को करने के लिए आवश्यक सुरक्षा उपाय क्या हैं?</v>
      </c>
      <c r="J61" s="8" t="str">
        <f>IFERROR(__xludf.DUMMYFUNCTION("GOOGLETRANSLATE(D61, ""en"", ""hi"")"),"ए) सुरक्षा चटाई का उपयोग और उचित प्रशिक्षण, बी) हार्नेस और स्पॉटर का उपयोग, सी) गद्देदार कमरे में मुद्रा का प्रदर्शन, डी) सुरक्षात्मक गियर पहनना")</f>
        <v>ए) सुरक्षा चटाई का उपयोग और उचित प्रशिक्षण, बी) हार्नेस और स्पॉटर का उपयोग, सी) गद्देदार कमरे में मुद्रा का प्रदर्शन, डी) सुरक्षात्मक गियर पहनना</v>
      </c>
      <c r="K61" s="8" t="str">
        <f>IFERROR(__xludf.DUMMYFUNCTION("GOOGLETRANSLATE(E61, ""en"", ""hi"")"),"ए) सुरक्षा चटाई का उपयोग और उचित प्रशिक्षण")</f>
        <v>ए) सुरक्षा चटाई का उपयोग और उचित प्रशिक्षण</v>
      </c>
    </row>
    <row r="62" ht="22.5" customHeight="1">
      <c r="A62" s="2">
        <v>61.0</v>
      </c>
      <c r="B62" s="3" t="s">
        <v>4327</v>
      </c>
      <c r="C62" s="3" t="s">
        <v>4328</v>
      </c>
      <c r="D62" s="3" t="s">
        <v>4329</v>
      </c>
      <c r="E62" s="3" t="s">
        <v>3845</v>
      </c>
      <c r="G62" s="8" t="str">
        <f>IFERROR(__xludf.DUMMYFUNCTION("GOOGLETRANSLATE(A62, ""en"", ""hi"")"),"61")</f>
        <v>61</v>
      </c>
      <c r="H62" s="8" t="str">
        <f>IFERROR(__xludf.DUMMYFUNCTION("GOOGLETRANSLATE(B62, ""en"", ""hi"")"),"मलखंभ_16")</f>
        <v>मलखंभ_16</v>
      </c>
      <c r="I62" s="8" t="str">
        <f>IFERROR(__xludf.DUMMYFUNCTION("GOOGLETRANSLATE(C62, ""en"", ""hi"")"),"इस मल्लखम्ब चित्र में दिखाए गए चाल को करने के लिए किस प्रकार की पकड़ आवश्यक है?")</f>
        <v>इस मल्लखम्ब चित्र में दिखाए गए चाल को करने के लिए किस प्रकार की पकड़ आवश्यक है?</v>
      </c>
      <c r="J62" s="8" t="str">
        <f>IFERROR(__xludf.DUMMYFUNCTION("GOOGLETRANSLATE(D62, ""en"", ""hi"")"),"ए) ओवरहैंड ग्रिप, बी) अंडरहैंड ग्रिप, सी) मिश्रित ग्रिप, डी) कोई ग्रिप की आवश्यकता नहीं")</f>
        <v>ए) ओवरहैंड ग्रिप, बी) अंडरहैंड ग्रिप, सी) मिश्रित ग्रिप, डी) कोई ग्रिप की आवश्यकता नहीं</v>
      </c>
      <c r="K62" s="8" t="str">
        <f>IFERROR(__xludf.DUMMYFUNCTION("GOOGLETRANSLATE(E62, ""en"", ""hi"")"),"ए) ओवरहैंड ग्रिप")</f>
        <v>ए) ओवरहैंड ग्रिप</v>
      </c>
    </row>
    <row r="63" ht="22.5" customHeight="1">
      <c r="A63" s="2">
        <v>62.0</v>
      </c>
      <c r="B63" s="3" t="s">
        <v>4327</v>
      </c>
      <c r="C63" s="3" t="s">
        <v>4330</v>
      </c>
      <c r="D63" s="3" t="s">
        <v>4331</v>
      </c>
      <c r="E63" s="3" t="s">
        <v>4332</v>
      </c>
      <c r="G63" s="8" t="str">
        <f>IFERROR(__xludf.DUMMYFUNCTION("GOOGLETRANSLATE(A63, ""en"", ""hi"")"),"62")</f>
        <v>62</v>
      </c>
      <c r="H63" s="8" t="str">
        <f>IFERROR(__xludf.DUMMYFUNCTION("GOOGLETRANSLATE(B63, ""en"", ""hi"")"),"मलखंभ_16")</f>
        <v>मलखंभ_16</v>
      </c>
      <c r="I63" s="8" t="str">
        <f>IFERROR(__xludf.DUMMYFUNCTION("GOOGLETRANSLATE(C63, ""en"", ""hi"")"),"इस मल्लखम्ब चित्र में दर्शाए गए आसन की प्रभावशीलता में एथलीट की शारीरिक स्थिति किस प्रकार योगदान देती है?")</f>
        <v>इस मल्लखम्ब चित्र में दर्शाए गए आसन की प्रभावशीलता में एथलीट की शारीरिक स्थिति किस प्रकार योगदान देती है?</v>
      </c>
      <c r="J63" s="8" t="str">
        <f>IFERROR(__xludf.DUMMYFUNCTION("GOOGLETRANSLATE(D63, ""en"", ""hi"")"),"A) सीधी रेखा बनाए रखना, B) चौड़ा रुख अपनाना, C) सिर ऊपर रखना, D) घुटनों को मोड़ना")</f>
        <v>A) सीधी रेखा बनाए रखना, B) चौड़ा रुख अपनाना, C) सिर ऊपर रखना, D) घुटनों को मोड़ना</v>
      </c>
      <c r="K63" s="8" t="str">
        <f>IFERROR(__xludf.DUMMYFUNCTION("GOOGLETRANSLATE(E63, ""en"", ""hi"")"),"A) सीधी रेखा बनाए रखना")</f>
        <v>A) सीधी रेखा बनाए रखना</v>
      </c>
    </row>
    <row r="64" ht="22.5" customHeight="1">
      <c r="A64" s="2">
        <v>63.0</v>
      </c>
      <c r="B64" s="3" t="s">
        <v>4327</v>
      </c>
      <c r="C64" s="3" t="s">
        <v>4333</v>
      </c>
      <c r="D64" s="3" t="s">
        <v>4334</v>
      </c>
      <c r="E64" s="3" t="s">
        <v>1873</v>
      </c>
      <c r="G64" s="8" t="str">
        <f>IFERROR(__xludf.DUMMYFUNCTION("GOOGLETRANSLATE(A64, ""en"", ""hi"")"),"63")</f>
        <v>63</v>
      </c>
      <c r="H64" s="8" t="str">
        <f>IFERROR(__xludf.DUMMYFUNCTION("GOOGLETRANSLATE(B64, ""en"", ""hi"")"),"मलखंभ_16")</f>
        <v>मलखंभ_16</v>
      </c>
      <c r="I64" s="8" t="str">
        <f>IFERROR(__xludf.DUMMYFUNCTION("GOOGLETRANSLATE(C64, ""en"", ""hi"")"),"इस मल्लखम्ब चित्र में दर्शाए गए आसन को करने में कौन सी प्राथमिक मांसपेशियां शामिल होती हैं?")</f>
        <v>इस मल्लखम्ब चित्र में दर्शाए गए आसन को करने में कौन सी प्राथमिक मांसपेशियां शामिल होती हैं?</v>
      </c>
      <c r="J64" s="8" t="str">
        <f>IFERROR(__xludf.DUMMYFUNCTION("GOOGLETRANSLATE(D64, ""en"", ""hi"")"),"A) कोर मांसपेशियां, B) पैर की मांसपेशियां, C) बांह की मांसपेशियां, D) उपरोक्त सभी")</f>
        <v>A) कोर मांसपेशियां, B) पैर की मांसपेशियां, C) बांह की मांसपेशियां, D) उपरोक्त सभी</v>
      </c>
      <c r="K64" s="8" t="str">
        <f>IFERROR(__xludf.DUMMYFUNCTION("GOOGLETRANSLATE(E64, ""en"", ""hi"")"),"D। उपरोक्त सभी")</f>
        <v>D। उपरोक्त सभी</v>
      </c>
    </row>
    <row r="65" ht="22.5" customHeight="1">
      <c r="A65" s="2">
        <v>64.0</v>
      </c>
      <c r="B65" s="3" t="s">
        <v>4327</v>
      </c>
      <c r="C65" s="3" t="s">
        <v>4335</v>
      </c>
      <c r="D65" s="3" t="s">
        <v>4336</v>
      </c>
      <c r="E65" s="3" t="s">
        <v>1873</v>
      </c>
      <c r="G65" s="8" t="str">
        <f>IFERROR(__xludf.DUMMYFUNCTION("GOOGLETRANSLATE(A65, ""en"", ""hi"")"),"64")</f>
        <v>64</v>
      </c>
      <c r="H65" s="8" t="str">
        <f>IFERROR(__xludf.DUMMYFUNCTION("GOOGLETRANSLATE(B65, ""en"", ""hi"")"),"मलखंभ_16")</f>
        <v>मलखंभ_16</v>
      </c>
      <c r="I65" s="8" t="str">
        <f>IFERROR(__xludf.DUMMYFUNCTION("GOOGLETRANSLATE(C65, ""en"", ""hi"")"),"मल्लखम्ब में प्रदर्शन सुधारने के लिए निम्नलिखित में से कौन सा सामान्य प्रशिक्षण अभ्यास है?")</f>
        <v>मल्लखम्ब में प्रदर्शन सुधारने के लिए निम्नलिखित में से कौन सा सामान्य प्रशिक्षण अभ्यास है?</v>
      </c>
      <c r="J65" s="8" t="str">
        <f>IFERROR(__xludf.DUMMYFUNCTION("GOOGLETRANSLATE(D65, ""en"", ""hi"")"),"A) रस्सी पर चढ़ना, B) पुश-अप्स, C) बैलेंस बीम व्यायाम, D) उपरोक्त सभी")</f>
        <v>A) रस्सी पर चढ़ना, B) पुश-अप्स, C) बैलेंस बीम व्यायाम, D) उपरोक्त सभी</v>
      </c>
      <c r="K65" s="8" t="str">
        <f>IFERROR(__xludf.DUMMYFUNCTION("GOOGLETRANSLATE(E65, ""en"", ""hi"")"),"D। उपरोक्त सभी")</f>
        <v>D। उपरोक्त सभी</v>
      </c>
    </row>
    <row r="66" ht="22.5" customHeight="1">
      <c r="A66" s="2">
        <v>65.0</v>
      </c>
      <c r="B66" s="3" t="s">
        <v>4337</v>
      </c>
      <c r="C66" s="3" t="s">
        <v>4310</v>
      </c>
      <c r="D66" s="3" t="s">
        <v>4338</v>
      </c>
      <c r="E66" s="3" t="s">
        <v>1873</v>
      </c>
      <c r="G66" s="8" t="str">
        <f>IFERROR(__xludf.DUMMYFUNCTION("GOOGLETRANSLATE(A66, ""en"", ""hi"")"),"65")</f>
        <v>65</v>
      </c>
      <c r="H66" s="8" t="str">
        <f>IFERROR(__xludf.DUMMYFUNCTION("GOOGLETRANSLATE(B66, ""en"", ""hi"")"),"मलखंभ_17")</f>
        <v>मलखंभ_17</v>
      </c>
      <c r="I66" s="8" t="str">
        <f>IFERROR(__xludf.DUMMYFUNCTION("GOOGLETRANSLATE(C66, ""en"", ""hi"")"),"इस मल्लखम्ब चित्र में दिखाए गए चाल को करते समय किन सामान्य गलतियों से बचना चाहिए?")</f>
        <v>इस मल्लखम्ब चित्र में दिखाए गए चाल को करते समय किन सामान्य गलतियों से बचना चाहिए?</v>
      </c>
      <c r="J66" s="8" t="str">
        <f>IFERROR(__xludf.DUMMYFUNCTION("GOOGLETRANSLATE(D66, ""en"", ""hi"")"),"A) संतुलन की हानि, B) हाथ की गलत स्थिति, C) अपर्याप्त वार्म-अप, D) उपरोक्त सभी")</f>
        <v>A) संतुलन की हानि, B) हाथ की गलत स्थिति, C) अपर्याप्त वार्म-अप, D) उपरोक्त सभी</v>
      </c>
      <c r="K66" s="8" t="str">
        <f>IFERROR(__xludf.DUMMYFUNCTION("GOOGLETRANSLATE(E66, ""en"", ""hi"")"),"D। उपरोक्त सभी")</f>
        <v>D। उपरोक्त सभी</v>
      </c>
    </row>
    <row r="67" ht="22.5" customHeight="1">
      <c r="A67" s="2">
        <v>66.0</v>
      </c>
      <c r="B67" s="3" t="s">
        <v>4337</v>
      </c>
      <c r="C67" s="3" t="s">
        <v>4339</v>
      </c>
      <c r="D67" s="3" t="s">
        <v>4340</v>
      </c>
      <c r="E67" s="3" t="s">
        <v>4341</v>
      </c>
      <c r="G67" s="8" t="str">
        <f>IFERROR(__xludf.DUMMYFUNCTION("GOOGLETRANSLATE(A67, ""en"", ""hi"")"),"66")</f>
        <v>66</v>
      </c>
      <c r="H67" s="8" t="str">
        <f>IFERROR(__xludf.DUMMYFUNCTION("GOOGLETRANSLATE(B67, ""en"", ""hi"")"),"मलखंभ_17")</f>
        <v>मलखंभ_17</v>
      </c>
      <c r="I67" s="8" t="str">
        <f>IFERROR(__xludf.DUMMYFUNCTION("GOOGLETRANSLATE(C67, ""en"", ""hi"")"),"चित्र में दिखाए गए मल्लखम्ब आसन को करते समय किस प्रकार की श्वास तकनीक की सिफारिश की जाती है?")</f>
        <v>चित्र में दिखाए गए मल्लखम्ब आसन को करते समय किस प्रकार की श्वास तकनीक की सिफारिश की जाती है?</v>
      </c>
      <c r="J67" s="8" t="str">
        <f>IFERROR(__xludf.DUMMYFUNCTION("GOOGLETRANSLATE(D67, ""en"", ""hi"")"),"A) गहरी, नियंत्रित साँसें, B) तेज़ उथली साँसें, C) साँस रोकना, D) अनियमित साँस लेना")</f>
        <v>A) गहरी, नियंत्रित साँसें, B) तेज़ उथली साँसें, C) साँस रोकना, D) अनियमित साँस लेना</v>
      </c>
      <c r="K67" s="8" t="str">
        <f>IFERROR(__xludf.DUMMYFUNCTION("GOOGLETRANSLATE(E67, ""en"", ""hi"")"),"A) गहरी, नियंत्रित साँसें")</f>
        <v>A) गहरी, नियंत्रित साँसें</v>
      </c>
    </row>
    <row r="68" ht="22.5" customHeight="1">
      <c r="A68" s="2">
        <v>67.0</v>
      </c>
      <c r="B68" s="3" t="s">
        <v>4337</v>
      </c>
      <c r="C68" s="3" t="s">
        <v>4342</v>
      </c>
      <c r="D68" s="3" t="s">
        <v>4343</v>
      </c>
      <c r="E68" s="3" t="s">
        <v>4344</v>
      </c>
      <c r="G68" s="8" t="str">
        <f>IFERROR(__xludf.DUMMYFUNCTION("GOOGLETRANSLATE(A68, ""en"", ""hi"")"),"67")</f>
        <v>67</v>
      </c>
      <c r="H68" s="8" t="str">
        <f>IFERROR(__xludf.DUMMYFUNCTION("GOOGLETRANSLATE(B68, ""en"", ""hi"")"),"मलखंभ_17")</f>
        <v>मलखंभ_17</v>
      </c>
      <c r="I68" s="8" t="str">
        <f>IFERROR(__xludf.DUMMYFUNCTION("GOOGLETRANSLATE(C68, ""en"", ""hi"")"),"इस मल्लखम्ब चित्र में दर्शाए गए आसन का अभ्यास करने से किसी खिलाड़ी के अन्य खेलों में प्रदर्शन को किस प्रकार लाभ हो सकता है?")</f>
        <v>इस मल्लखम्ब चित्र में दर्शाए गए आसन का अभ्यास करने से किसी खिलाड़ी के अन्य खेलों में प्रदर्शन को किस प्रकार लाभ हो सकता है?</v>
      </c>
      <c r="J68" s="8" t="str">
        <f>IFERROR(__xludf.DUMMYFUNCTION("GOOGLETRANSLATE(D68, ""en"", ""hi"")"),"A) सम्पूर्ण शारीरिक शक्ति को बढ़ाकर, B) गति में सुधार करके, C) हृदय-संवहनी क्षमता को बढ़ाकर, D) चपलता को परिष्कृत करके")</f>
        <v>A) सम्पूर्ण शारीरिक शक्ति को बढ़ाकर, B) गति में सुधार करके, C) हृदय-संवहनी क्षमता को बढ़ाकर, D) चपलता को परिष्कृत करके</v>
      </c>
      <c r="K68" s="8" t="str">
        <f>IFERROR(__xludf.DUMMYFUNCTION("GOOGLETRANSLATE(E68, ""en"", ""hi"")"),"A) समग्र शारीरिक शक्ति को बढ़ाकर")</f>
        <v>A) समग्र शारीरिक शक्ति को बढ़ाकर</v>
      </c>
    </row>
    <row r="69" ht="22.5" customHeight="1">
      <c r="A69" s="2">
        <v>68.0</v>
      </c>
      <c r="B69" s="3" t="s">
        <v>4337</v>
      </c>
      <c r="C69" s="3" t="s">
        <v>4345</v>
      </c>
      <c r="D69" s="3" t="s">
        <v>4346</v>
      </c>
      <c r="E69" s="3" t="s">
        <v>4347</v>
      </c>
      <c r="G69" s="8" t="str">
        <f>IFERROR(__xludf.DUMMYFUNCTION("GOOGLETRANSLATE(A69, ""en"", ""hi"")"),"68")</f>
        <v>68</v>
      </c>
      <c r="H69" s="8" t="str">
        <f>IFERROR(__xludf.DUMMYFUNCTION("GOOGLETRANSLATE(B69, ""en"", ""hi"")"),"मलखंभ_17")</f>
        <v>मलखंभ_17</v>
      </c>
      <c r="I69" s="8" t="str">
        <f>IFERROR(__xludf.DUMMYFUNCTION("GOOGLETRANSLATE(C69, ""en"", ""hi"")"),"मल्लखम्ब चित्र में दर्शाई गई मुद्रा में निपुणता प्राप्त करने के लिए सामान्य प्रारंभिक अभ्यास क्या है?")</f>
        <v>मल्लखम्ब चित्र में दर्शाई गई मुद्रा में निपुणता प्राप्त करने के लिए सामान्य प्रारंभिक अभ्यास क्या है?</v>
      </c>
      <c r="J69" s="8" t="str">
        <f>IFERROR(__xludf.DUMMYFUNCTION("GOOGLETRANSLATE(D69, ""en"", ""hi"")"),"A) प्लैंक्स, B) स्क्वैट्स, C) लंजेस, D) पुल-अप्स")</f>
        <v>A) प्लैंक्स, B) स्क्वैट्स, C) लंजेस, D) पुल-अप्स</v>
      </c>
      <c r="K69" s="8" t="str">
        <f>IFERROR(__xludf.DUMMYFUNCTION("GOOGLETRANSLATE(E69, ""en"", ""hi"")"),"ए) तख्तों")</f>
        <v>ए) तख्तों</v>
      </c>
    </row>
    <row r="70" ht="22.5" customHeight="1">
      <c r="A70" s="2">
        <v>69.0</v>
      </c>
      <c r="B70" s="3" t="s">
        <v>4348</v>
      </c>
      <c r="C70" s="3" t="s">
        <v>4349</v>
      </c>
      <c r="D70" s="3" t="s">
        <v>4350</v>
      </c>
      <c r="E70" s="3" t="s">
        <v>4351</v>
      </c>
      <c r="G70" s="8" t="str">
        <f>IFERROR(__xludf.DUMMYFUNCTION("GOOGLETRANSLATE(A70, ""en"", ""hi"")"),"69")</f>
        <v>69</v>
      </c>
      <c r="H70" s="8" t="str">
        <f>IFERROR(__xludf.DUMMYFUNCTION("GOOGLETRANSLATE(B70, ""en"", ""hi"")"),"मलखंभ_18")</f>
        <v>मलखंभ_18</v>
      </c>
      <c r="I70" s="8" t="str">
        <f>IFERROR(__xludf.DUMMYFUNCTION("GOOGLETRANSLATE(C70, ""en"", ""hi"")"),"इस मल्लखम्ब चित्र में मुद्रा द्वारा लक्षित प्राथमिक मांसपेशी समूह कौन सा है?")</f>
        <v>इस मल्लखम्ब चित्र में मुद्रा द्वारा लक्षित प्राथमिक मांसपेशी समूह कौन सा है?</v>
      </c>
      <c r="J70" s="8" t="str">
        <f>IFERROR(__xludf.DUMMYFUNCTION("GOOGLETRANSLATE(D70, ""en"", ""hi"")"),"A) कोर, B) पैर, C) बाहें, D) पीठ")</f>
        <v>A) कोर, B) पैर, C) बाहें, D) पीठ</v>
      </c>
      <c r="K70" s="8" t="str">
        <f>IFERROR(__xludf.DUMMYFUNCTION("GOOGLETRANSLATE(E70, ""en"", ""hi"")"),"प्रमुख")</f>
        <v>प्रमुख</v>
      </c>
    </row>
    <row r="71" ht="22.5" customHeight="1">
      <c r="A71" s="2">
        <v>70.0</v>
      </c>
      <c r="B71" s="3" t="s">
        <v>4348</v>
      </c>
      <c r="C71" s="3" t="s">
        <v>4352</v>
      </c>
      <c r="D71" s="3" t="s">
        <v>4353</v>
      </c>
      <c r="E71" s="3" t="s">
        <v>4354</v>
      </c>
      <c r="G71" s="8" t="str">
        <f>IFERROR(__xludf.DUMMYFUNCTION("GOOGLETRANSLATE(A71, ""en"", ""hi"")"),"70")</f>
        <v>70</v>
      </c>
      <c r="H71" s="8" t="str">
        <f>IFERROR(__xludf.DUMMYFUNCTION("GOOGLETRANSLATE(B71, ""en"", ""hi"")"),"मलखंभ_18")</f>
        <v>मलखंभ_18</v>
      </c>
      <c r="I71" s="8" t="str">
        <f>IFERROR(__xludf.DUMMYFUNCTION("GOOGLETRANSLATE(C71, ""en"", ""hi"")"),"चित्र में दिखाए गए आसन को करने से पहले कौन से सामान्य वार्म-अप व्यायाम की सिफारिश की जाती है?")</f>
        <v>चित्र में दिखाए गए आसन को करने से पहले कौन से सामान्य वार्म-अप व्यायाम की सिफारिश की जाती है?</v>
      </c>
      <c r="J71" s="8" t="str">
        <f>IFERROR(__xludf.DUMMYFUNCTION("GOOGLETRANSLATE(D71, ""en"", ""hi"")"),"ए) स्ट्रेचिंग, बी) कार्डियो, सी) स्ट्रेंथ ट्रेनिंग, डी) फ्लेक्सिबिलिटी ड्रिल्स")</f>
        <v>ए) स्ट्रेचिंग, बी) कार्डियो, सी) स्ट्रेंथ ट्रेनिंग, डी) फ्लेक्सिबिलिटी ड्रिल्स</v>
      </c>
      <c r="K71" s="8" t="str">
        <f>IFERROR(__xludf.DUMMYFUNCTION("GOOGLETRANSLATE(E71, ""en"", ""hi"")"),"ए) स्ट्रेचिंग")</f>
        <v>ए) स्ट्रेचिंग</v>
      </c>
    </row>
    <row r="72" ht="22.5" customHeight="1">
      <c r="A72" s="2">
        <v>71.0</v>
      </c>
      <c r="B72" s="3" t="s">
        <v>4348</v>
      </c>
      <c r="C72" s="3" t="s">
        <v>4355</v>
      </c>
      <c r="D72" s="3" t="s">
        <v>4356</v>
      </c>
      <c r="E72" s="3" t="s">
        <v>4357</v>
      </c>
      <c r="G72" s="8" t="str">
        <f>IFERROR(__xludf.DUMMYFUNCTION("GOOGLETRANSLATE(A72, ""en"", ""hi"")"),"71")</f>
        <v>71</v>
      </c>
      <c r="H72" s="8" t="str">
        <f>IFERROR(__xludf.DUMMYFUNCTION("GOOGLETRANSLATE(B72, ""en"", ""hi"")"),"मलखंभ_18")</f>
        <v>मलखंभ_18</v>
      </c>
      <c r="I72" s="8" t="str">
        <f>IFERROR(__xludf.DUMMYFUNCTION("GOOGLETRANSLATE(C72, ""en"", ""hi"")"),"इस चित्र में दिखाई गई मुद्रा मल्लखम्ब के समग्र प्रदर्शन में किस प्रकार योगदान देती है?")</f>
        <v>इस चित्र में दिखाई गई मुद्रा मल्लखम्ब के समग्र प्रदर्शन में किस प्रकार योगदान देती है?</v>
      </c>
      <c r="J72" s="8" t="str">
        <f>IFERROR(__xludf.DUMMYFUNCTION("GOOGLETRANSLATE(D72, ""en"", ""hi"")"),"A) लचीलापन बढ़ाता है, B) संतुलन सुधारता है, C) ताकत बढ़ाता है, D) उपरोक्त सभी")</f>
        <v>A) लचीलापन बढ़ाता है, B) संतुलन सुधारता है, C) ताकत बढ़ाता है, D) उपरोक्त सभी</v>
      </c>
      <c r="K72" s="8" t="str">
        <f>IFERROR(__xludf.DUMMYFUNCTION("GOOGLETRANSLATE(E72, ""en"", ""hi"")"),"D। उपरोक्त सभी")</f>
        <v>D। उपरोक्त सभी</v>
      </c>
    </row>
    <row r="73" ht="22.5" customHeight="1">
      <c r="A73" s="2">
        <v>72.0</v>
      </c>
      <c r="B73" s="3" t="s">
        <v>4348</v>
      </c>
      <c r="C73" s="3" t="s">
        <v>4358</v>
      </c>
      <c r="D73" s="3" t="s">
        <v>4359</v>
      </c>
      <c r="E73" s="3" t="s">
        <v>4360</v>
      </c>
      <c r="G73" s="8" t="str">
        <f>IFERROR(__xludf.DUMMYFUNCTION("GOOGLETRANSLATE(A73, ""en"", ""hi"")"),"72")</f>
        <v>72</v>
      </c>
      <c r="H73" s="8" t="str">
        <f>IFERROR(__xludf.DUMMYFUNCTION("GOOGLETRANSLATE(B73, ""en"", ""hi"")"),"मलखंभ_18")</f>
        <v>मलखंभ_18</v>
      </c>
      <c r="I73" s="8" t="str">
        <f>IFERROR(__xludf.DUMMYFUNCTION("GOOGLETRANSLATE(C73, ""en"", ""hi"")"),"चित्र में दिखाए गए आसन का अभ्यास करते समय धीरे-धीरे कठिनाई बढ़ाने का सबसे अच्छा तरीका क्या है?")</f>
        <v>चित्र में दिखाए गए आसन का अभ्यास करते समय धीरे-धीरे कठिनाई बढ़ाने का सबसे अच्छा तरीका क्या है?</v>
      </c>
      <c r="J73" s="8" t="str">
        <f>IFERROR(__xludf.DUMMYFUNCTION("GOOGLETRANSLATE(D73, ""en"", ""hi"")"),"A) अवधि बढ़ाएँ, B) विविधताएँ जोड़ें, C) भार का उपयोग करें, D) गति बढ़ाएँ")</f>
        <v>A) अवधि बढ़ाएँ, B) विविधताएँ जोड़ें, C) भार का उपयोग करें, D) गति बढ़ाएँ</v>
      </c>
      <c r="K73" s="8" t="str">
        <f>IFERROR(__xludf.DUMMYFUNCTION("GOOGLETRANSLATE(E73, ""en"", ""hi"")"),"बी) विविधताएं जोड़ें")</f>
        <v>बी) विविधताएं जोड़ें</v>
      </c>
    </row>
    <row r="74" ht="22.5" customHeight="1">
      <c r="A74" s="2">
        <v>73.0</v>
      </c>
      <c r="B74" s="3" t="s">
        <v>4361</v>
      </c>
      <c r="C74" s="3" t="s">
        <v>4282</v>
      </c>
      <c r="D74" s="3" t="s">
        <v>4362</v>
      </c>
      <c r="E74" s="3" t="s">
        <v>4284</v>
      </c>
      <c r="G74" s="8" t="str">
        <f>IFERROR(__xludf.DUMMYFUNCTION("GOOGLETRANSLATE(A74, ""en"", ""hi"")"),"73")</f>
        <v>73</v>
      </c>
      <c r="H74" s="8" t="str">
        <f>IFERROR(__xludf.DUMMYFUNCTION("GOOGLETRANSLATE(B74, ""en"", ""hi"")"),"मलखंभ_19")</f>
        <v>मलखंभ_19</v>
      </c>
      <c r="I74" s="8" t="str">
        <f>IFERROR(__xludf.DUMMYFUNCTION("GOOGLETRANSLATE(C74, ""en"", ""hi"")"),"चित्र में किस प्रकार का मल्लखम्ब प्रदर्शित किया गया है (जैसे, खंभा, रस्सी, या फांसी)?")</f>
        <v>चित्र में किस प्रकार का मल्लखम्ब प्रदर्शित किया गया है (जैसे, खंभा, रस्सी, या फांसी)?</v>
      </c>
      <c r="J74" s="8" t="str">
        <f>IFERROR(__xludf.DUMMYFUNCTION("GOOGLETRANSLATE(D74, ""en"", ""hi"")"),"A) पोल मल्लखम्ब, B) रस्सी मल्लखम्ब, C) लटकता मल्लखम्ब, D) उपरोक्त में से कोई नहीं")</f>
        <v>A) पोल मल्लखम्ब, B) रस्सी मल्लखम्ब, C) लटकता मल्लखम्ब, D) उपरोक्त में से कोई नहीं</v>
      </c>
      <c r="K74" s="8" t="str">
        <f>IFERROR(__xludf.DUMMYFUNCTION("GOOGLETRANSLATE(E74, ""en"", ""hi"")"),"A) पोल मल्लखम्ब")</f>
        <v>A) पोल मल्लखम्ब</v>
      </c>
    </row>
    <row r="75" ht="22.5" customHeight="1">
      <c r="A75" s="2">
        <v>74.0</v>
      </c>
      <c r="B75" s="3" t="s">
        <v>4361</v>
      </c>
      <c r="C75" s="3" t="s">
        <v>4317</v>
      </c>
      <c r="D75" s="3" t="s">
        <v>4363</v>
      </c>
      <c r="E75" s="3" t="s">
        <v>4364</v>
      </c>
      <c r="G75" s="8" t="str">
        <f>IFERROR(__xludf.DUMMYFUNCTION("GOOGLETRANSLATE(A75, ""en"", ""hi"")"),"74")</f>
        <v>74</v>
      </c>
      <c r="H75" s="8" t="str">
        <f>IFERROR(__xludf.DUMMYFUNCTION("GOOGLETRANSLATE(B75, ""en"", ""hi"")"),"मलखंभ_19")</f>
        <v>मलखंभ_19</v>
      </c>
      <c r="I75" s="8" t="str">
        <f>IFERROR(__xludf.DUMMYFUNCTION("GOOGLETRANSLATE(C75, ""en"", ""hi"")"),"इस मल्लखम्ब मुद्रा में प्रयुक्त प्रमुख उपकरणों की पहचान करें।")</f>
        <v>इस मल्लखम्ब मुद्रा में प्रयुक्त प्रमुख उपकरणों की पहचान करें।</v>
      </c>
      <c r="J75" s="8" t="str">
        <f>IFERROR(__xludf.DUMMYFUNCTION("GOOGLETRANSLATE(D75, ""en"", ""hi"")"),"A) जिम्नास्टिक रिंग्स, B) हॉरिजॉन्टल बार, C) मल्लखंब पोल, D) व्यायाम मैट")</f>
        <v>A) जिम्नास्टिक रिंग्स, B) हॉरिजॉन्टल बार, C) मल्लखंब पोल, D) व्यायाम मैट</v>
      </c>
      <c r="K75" s="8" t="str">
        <f>IFERROR(__xludf.DUMMYFUNCTION("GOOGLETRANSLATE(E75, ""en"", ""hi"")"),"C) मल्लखम्ब पोल")</f>
        <v>C) मल्लखम्ब पोल</v>
      </c>
    </row>
    <row r="76" ht="22.5" customHeight="1">
      <c r="A76" s="2">
        <v>75.0</v>
      </c>
      <c r="B76" s="3" t="s">
        <v>4361</v>
      </c>
      <c r="C76" s="3" t="s">
        <v>4365</v>
      </c>
      <c r="D76" s="3" t="s">
        <v>4366</v>
      </c>
      <c r="E76" s="3" t="s">
        <v>4203</v>
      </c>
      <c r="G76" s="8" t="str">
        <f>IFERROR(__xludf.DUMMYFUNCTION("GOOGLETRANSLATE(A76, ""en"", ""hi"")"),"75")</f>
        <v>75</v>
      </c>
      <c r="H76" s="8" t="str">
        <f>IFERROR(__xludf.DUMMYFUNCTION("GOOGLETRANSLATE(B76, ""en"", ""hi"")"),"मलखंभ_19")</f>
        <v>मलखंभ_19</v>
      </c>
      <c r="I76" s="8" t="str">
        <f>IFERROR(__xludf.DUMMYFUNCTION("GOOGLETRANSLATE(C76, ""en"", ""hi"")"),"मल्लखम्ब की उत्पत्ति भारत के किस राज्य में हुई?")</f>
        <v>मल्लखम्ब की उत्पत्ति भारत के किस राज्य में हुई?</v>
      </c>
      <c r="J76" s="8" t="str">
        <f>IFERROR(__xludf.DUMMYFUNCTION("GOOGLETRANSLATE(D76, ""en"", ""hi"")"),"ए) महाराष्ट्र, बी) कर्नाटक, सी) तमिलनाडु, डी) गुजरात")</f>
        <v>ए) महाराष्ट्र, बी) कर्नाटक, सी) तमिलनाडु, डी) गुजरात</v>
      </c>
      <c r="K76" s="8" t="str">
        <f>IFERROR(__xludf.DUMMYFUNCTION("GOOGLETRANSLATE(E76, ""en"", ""hi"")"),"A) महाराष्ट्र")</f>
        <v>A) महाराष्ट्र</v>
      </c>
    </row>
    <row r="77" ht="22.5" customHeight="1">
      <c r="A77" s="2">
        <v>76.0</v>
      </c>
      <c r="B77" s="3" t="s">
        <v>4361</v>
      </c>
      <c r="C77" s="3" t="s">
        <v>4296</v>
      </c>
      <c r="D77" s="3" t="s">
        <v>4367</v>
      </c>
      <c r="E77" s="3" t="s">
        <v>4368</v>
      </c>
      <c r="G77" s="8" t="str">
        <f>IFERROR(__xludf.DUMMYFUNCTION("GOOGLETRANSLATE(A77, ""en"", ""hi"")"),"76")</f>
        <v>76</v>
      </c>
      <c r="H77" s="8" t="str">
        <f>IFERROR(__xludf.DUMMYFUNCTION("GOOGLETRANSLATE(B77, ""en"", ""hi"")"),"मलखंभ_19")</f>
        <v>मलखंभ_19</v>
      </c>
      <c r="I77" s="8" t="str">
        <f>IFERROR(__xludf.DUMMYFUNCTION("GOOGLETRANSLATE(C77, ""en"", ""hi"")"),"इस मल्लखम्ब चित्र में दर्शाई गई मुद्रा का ऐतिहासिक महत्व क्या है?")</f>
        <v>इस मल्लखम्ब चित्र में दर्शाई गई मुद्रा का ऐतिहासिक महत्व क्या है?</v>
      </c>
      <c r="J77" s="8" t="str">
        <f>IFERROR(__xludf.DUMMYFUNCTION("GOOGLETRANSLATE(D77, ""en"", ""hi"")"),"A) यह चपलता और शक्ति का प्रतीक है, B) यह एक पारंपरिक नृत्य मुद्रा है, C) यह एक ऐतिहासिक युद्ध मुद्रा का प्रतिनिधित्व करता है, D) यह योग अभ्यास का हिस्सा है")</f>
        <v>A) यह चपलता और शक्ति का प्रतीक है, B) यह एक पारंपरिक नृत्य मुद्रा है, C) यह एक ऐतिहासिक युद्ध मुद्रा का प्रतिनिधित्व करता है, D) यह योग अभ्यास का हिस्सा है</v>
      </c>
      <c r="K77" s="8" t="str">
        <f>IFERROR(__xludf.DUMMYFUNCTION("GOOGLETRANSLATE(E77, ""en"", ""hi"")"),"A) यह चपलता और शक्ति का प्रतीक है")</f>
        <v>A) यह चपलता और शक्ति का प्रतीक है</v>
      </c>
    </row>
    <row r="78" ht="22.5" customHeight="1">
      <c r="A78" s="2">
        <v>77.0</v>
      </c>
      <c r="B78" s="3" t="s">
        <v>4369</v>
      </c>
      <c r="C78" s="3" t="s">
        <v>4370</v>
      </c>
      <c r="D78" s="3" t="s">
        <v>4371</v>
      </c>
      <c r="E78" s="3" t="s">
        <v>4187</v>
      </c>
      <c r="G78" s="8" t="str">
        <f>IFERROR(__xludf.DUMMYFUNCTION("GOOGLETRANSLATE(A78, ""en"", ""hi"")"),"77")</f>
        <v>77</v>
      </c>
      <c r="H78" s="8" t="str">
        <f>IFERROR(__xludf.DUMMYFUNCTION("GOOGLETRANSLATE(B78, ""en"", ""hi"")"),"मलखंभ_20")</f>
        <v>मलखंभ_20</v>
      </c>
      <c r="I78" s="8" t="str">
        <f>IFERROR(__xludf.DUMMYFUNCTION("GOOGLETRANSLATE(C78, ""en"", ""hi"")"),"चित्र में किस प्रकार के मल्लखम्ब का प्रदर्शन किया जा रहा है?")</f>
        <v>चित्र में किस प्रकार के मल्लखम्ब का प्रदर्शन किया जा रहा है?</v>
      </c>
      <c r="J78" s="8" t="str">
        <f>IFERROR(__xludf.DUMMYFUNCTION("GOOGLETRANSLATE(D78, ""en"", ""hi"")"),"A) पोल, B) रस्सी, C) लटकना, D) फर्श")</f>
        <v>A) पोल, B) रस्सी, C) लटकना, D) फर्श</v>
      </c>
      <c r="K78" s="8" t="str">
        <f>IFERROR(__xludf.DUMMYFUNCTION("GOOGLETRANSLATE(E78, ""en"", ""hi"")"),"बी) रस्सी")</f>
        <v>बी) रस्सी</v>
      </c>
    </row>
    <row r="79" ht="22.5" customHeight="1">
      <c r="A79" s="2">
        <v>78.0</v>
      </c>
      <c r="B79" s="3" t="s">
        <v>4369</v>
      </c>
      <c r="C79" s="3" t="s">
        <v>4317</v>
      </c>
      <c r="D79" s="3" t="s">
        <v>4372</v>
      </c>
      <c r="E79" s="3" t="s">
        <v>4187</v>
      </c>
      <c r="G79" s="8" t="str">
        <f>IFERROR(__xludf.DUMMYFUNCTION("GOOGLETRANSLATE(A79, ""en"", ""hi"")"),"78")</f>
        <v>78</v>
      </c>
      <c r="H79" s="8" t="str">
        <f>IFERROR(__xludf.DUMMYFUNCTION("GOOGLETRANSLATE(B79, ""en"", ""hi"")"),"मलखंभ_20")</f>
        <v>मलखंभ_20</v>
      </c>
      <c r="I79" s="8" t="str">
        <f>IFERROR(__xludf.DUMMYFUNCTION("GOOGLETRANSLATE(C79, ""en"", ""hi"")"),"इस मल्लखम्ब मुद्रा में प्रयुक्त प्रमुख उपकरणों की पहचान करें।")</f>
        <v>इस मल्लखम्ब मुद्रा में प्रयुक्त प्रमुख उपकरणों की पहचान करें।</v>
      </c>
      <c r="J79" s="8" t="str">
        <f>IFERROR(__xludf.DUMMYFUNCTION("GOOGLETRANSLATE(D79, ""en"", ""hi"")"),"A) पोल, B) रस्सी, C) फर्श की चटाई, D) बार")</f>
        <v>A) पोल, B) रस्सी, C) फर्श की चटाई, D) बार</v>
      </c>
      <c r="K79" s="8" t="str">
        <f>IFERROR(__xludf.DUMMYFUNCTION("GOOGLETRANSLATE(E79, ""en"", ""hi"")"),"बी) रस्सी")</f>
        <v>बी) रस्सी</v>
      </c>
    </row>
    <row r="80" ht="22.5" customHeight="1">
      <c r="A80" s="2">
        <v>79.0</v>
      </c>
      <c r="B80" s="3" t="s">
        <v>4369</v>
      </c>
      <c r="C80" s="3" t="s">
        <v>4285</v>
      </c>
      <c r="D80" s="3" t="s">
        <v>4373</v>
      </c>
      <c r="E80" s="3" t="s">
        <v>4374</v>
      </c>
      <c r="G80" s="8" t="str">
        <f>IFERROR(__xludf.DUMMYFUNCTION("GOOGLETRANSLATE(A80, ""en"", ""hi"")"),"79")</f>
        <v>79</v>
      </c>
      <c r="H80" s="8" t="str">
        <f>IFERROR(__xludf.DUMMYFUNCTION("GOOGLETRANSLATE(B80, ""en"", ""hi"")"),"मलखंभ_20")</f>
        <v>मलखंभ_20</v>
      </c>
      <c r="I80" s="8" t="str">
        <f>IFERROR(__xludf.DUMMYFUNCTION("GOOGLETRANSLATE(C80, ""en"", ""hi"")"),"इस मल्लखम्ब चित्र में एथलीट कौन सा कौशल या चाल प्रदर्शित कर रहा है?")</f>
        <v>इस मल्लखम्ब चित्र में एथलीट कौन सा कौशल या चाल प्रदर्शित कर रहा है?</v>
      </c>
      <c r="J80" s="8" t="str">
        <f>IFERROR(__xludf.DUMMYFUNCTION("GOOGLETRANSLATE(D80, ""en"", ""hi"")"),"A) घूमना, B) संतुलन बनाना, C) चढ़ना, D) कूदना")</f>
        <v>A) घूमना, B) संतुलन बनाना, C) चढ़ना, D) कूदना</v>
      </c>
      <c r="K80" s="8" t="str">
        <f>IFERROR(__xludf.DUMMYFUNCTION("GOOGLETRANSLATE(E80, ""en"", ""hi"")"),"बी) संतुलन")</f>
        <v>बी) संतुलन</v>
      </c>
    </row>
    <row r="81" ht="22.5" customHeight="1">
      <c r="A81" s="2">
        <v>80.0</v>
      </c>
      <c r="B81" s="3" t="s">
        <v>4369</v>
      </c>
      <c r="C81" s="3" t="s">
        <v>4293</v>
      </c>
      <c r="D81" s="3" t="s">
        <v>4375</v>
      </c>
      <c r="E81" s="3" t="s">
        <v>4376</v>
      </c>
      <c r="G81" s="8" t="str">
        <f>IFERROR(__xludf.DUMMYFUNCTION("GOOGLETRANSLATE(A81, ""en"", ""hi"")"),"80")</f>
        <v>80</v>
      </c>
      <c r="H81" s="8" t="str">
        <f>IFERROR(__xludf.DUMMYFUNCTION("GOOGLETRANSLATE(B81, ""en"", ""hi"")"),"मलखंभ_20")</f>
        <v>मलखंभ_20</v>
      </c>
      <c r="I81" s="8" t="str">
        <f>IFERROR(__xludf.DUMMYFUNCTION("GOOGLETRANSLATE(C81, ""en"", ""hi"")"),"चित्र में दिखाए गए पोज़ को प्राप्त करने के लिए प्रयुक्त सामान्य तकनीकें क्या हैं?")</f>
        <v>चित्र में दिखाए गए पोज़ को प्राप्त करने के लिए प्रयुक्त सामान्य तकनीकें क्या हैं?</v>
      </c>
      <c r="J81" s="8" t="str">
        <f>IFERROR(__xludf.DUMMYFUNCTION("GOOGLETRANSLATE(D81, ""en"", ""hi"")"),"A) लचीलापन और ताकत, B) गति और चपलता, C) कूदना और मुड़ना, D) झूलना और घूमना")</f>
        <v>A) लचीलापन और ताकत, B) गति और चपलता, C) कूदना और मुड़ना, D) झूलना और घूमना</v>
      </c>
      <c r="K81" s="8" t="str">
        <f>IFERROR(__xludf.DUMMYFUNCTION("GOOGLETRANSLATE(E81, ""en"", ""hi"")"),"ए) लचीलापन और ताकत")</f>
        <v>ए) लचीलापन और ताकत</v>
      </c>
    </row>
    <row r="82" ht="22.5" customHeight="1">
      <c r="A82" s="2">
        <v>81.0</v>
      </c>
      <c r="B82" s="3" t="s">
        <v>4377</v>
      </c>
      <c r="C82" s="3" t="s">
        <v>4293</v>
      </c>
      <c r="D82" s="3" t="s">
        <v>4378</v>
      </c>
      <c r="E82" s="3" t="s">
        <v>4379</v>
      </c>
      <c r="G82" s="8" t="str">
        <f>IFERROR(__xludf.DUMMYFUNCTION("GOOGLETRANSLATE(A82, ""en"", ""hi"")"),"81")</f>
        <v>81</v>
      </c>
      <c r="H82" s="8" t="str">
        <f>IFERROR(__xludf.DUMMYFUNCTION("GOOGLETRANSLATE(B82, ""en"", ""hi"")"),"मलखंभ_21")</f>
        <v>मलखंभ_21</v>
      </c>
      <c r="I82" s="8" t="str">
        <f>IFERROR(__xludf.DUMMYFUNCTION("GOOGLETRANSLATE(C82, ""en"", ""hi"")"),"चित्र में दिखाए गए पोज़ को प्राप्त करने के लिए प्रयुक्त सामान्य तकनीकें क्या हैं?")</f>
        <v>चित्र में दिखाए गए पोज़ को प्राप्त करने के लिए प्रयुक्त सामान्य तकनीकें क्या हैं?</v>
      </c>
      <c r="J82" s="8" t="str">
        <f>IFERROR(__xludf.DUMMYFUNCTION("GOOGLETRANSLATE(D82, ""en"", ""hi"")"),"ए) कोर ताकत और संतुलन, बी) लचीलापन और चपलता, सी) गति और ताकत, डी) धीरज और समन्वय")</f>
        <v>ए) कोर ताकत और संतुलन, बी) लचीलापन और चपलता, सी) गति और ताकत, डी) धीरज और समन्वय</v>
      </c>
      <c r="K82" s="8" t="str">
        <f>IFERROR(__xludf.DUMMYFUNCTION("GOOGLETRANSLATE(E82, ""en"", ""hi"")"),"A) कोर ताकत और संतुलन")</f>
        <v>A) कोर ताकत और संतुलन</v>
      </c>
    </row>
    <row r="83" ht="22.5" customHeight="1">
      <c r="A83" s="2">
        <v>82.0</v>
      </c>
      <c r="B83" s="3" t="s">
        <v>4377</v>
      </c>
      <c r="C83" s="3" t="s">
        <v>4299</v>
      </c>
      <c r="D83" s="3" t="s">
        <v>4380</v>
      </c>
      <c r="E83" s="3" t="s">
        <v>4381</v>
      </c>
      <c r="G83" s="8" t="str">
        <f>IFERROR(__xludf.DUMMYFUNCTION("GOOGLETRANSLATE(A83, ""en"", ""hi"")"),"82")</f>
        <v>82</v>
      </c>
      <c r="H83" s="8" t="str">
        <f>IFERROR(__xludf.DUMMYFUNCTION("GOOGLETRANSLATE(B83, ""en"", ""hi"")"),"मलखंभ_21")</f>
        <v>मलखंभ_21</v>
      </c>
      <c r="I83" s="8" t="str">
        <f>IFERROR(__xludf.DUMMYFUNCTION("GOOGLETRANSLATE(C83, ""en"", ""hi"")"),"इस मल्लखम्ब चित्र में दिखाए गए चाल को निष्पादित करने के नियम क्या हैं?")</f>
        <v>इस मल्लखम्ब चित्र में दिखाए गए चाल को निष्पादित करने के नियम क्या हैं?</v>
      </c>
      <c r="J83" s="8" t="str">
        <f>IFERROR(__xludf.DUMMYFUNCTION("GOOGLETRANSLATE(D83, ""en"", ""hi"")"),"A) उचित संरेखण और संतुलन बनाए रखें, B) अधिकतम गति के साथ प्रदर्शन करें, C) न्यूनतम उपकरण का उपयोग करें, D) न्यूनतम गति के साथ निष्पादित करें")</f>
        <v>A) उचित संरेखण और संतुलन बनाए रखें, B) अधिकतम गति के साथ प्रदर्शन करें, C) न्यूनतम उपकरण का उपयोग करें, D) न्यूनतम गति के साथ निष्पादित करें</v>
      </c>
      <c r="K83" s="8" t="str">
        <f>IFERROR(__xludf.DUMMYFUNCTION("GOOGLETRANSLATE(E83, ""en"", ""hi"")"),"A) उचित संरेखण और संतुलन बनाए रखें")</f>
        <v>A) उचित संरेखण और संतुलन बनाए रखें</v>
      </c>
    </row>
    <row r="84" ht="22.5" customHeight="1">
      <c r="A84" s="2">
        <v>83.0</v>
      </c>
      <c r="B84" s="3" t="s">
        <v>4377</v>
      </c>
      <c r="C84" s="3" t="s">
        <v>4307</v>
      </c>
      <c r="D84" s="3" t="s">
        <v>4382</v>
      </c>
      <c r="E84" s="3" t="s">
        <v>4383</v>
      </c>
      <c r="G84" s="8" t="str">
        <f>IFERROR(__xludf.DUMMYFUNCTION("GOOGLETRANSLATE(A84, ""en"", ""hi"")"),"83")</f>
        <v>83</v>
      </c>
      <c r="H84" s="8" t="str">
        <f>IFERROR(__xludf.DUMMYFUNCTION("GOOGLETRANSLATE(B84, ""en"", ""hi"")"),"मलखंभ_21")</f>
        <v>मलखंभ_21</v>
      </c>
      <c r="I84" s="8" t="str">
        <f>IFERROR(__xludf.DUMMYFUNCTION("GOOGLETRANSLATE(C84, ""en"", ""hi"")"),"इस चित्र में दिखाए गए पोज़ के आधार पर, एथलीट के कौशल स्तर के बारे में क्या अनुमान लगाया जा सकता है?")</f>
        <v>इस चित्र में दिखाए गए पोज़ के आधार पर, एथलीट के कौशल स्तर के बारे में क्या अनुमान लगाया जा सकता है?</v>
      </c>
      <c r="J84" s="8" t="str">
        <f>IFERROR(__xludf.DUMMYFUNCTION("GOOGLETRANSLATE(D84, ""en"", ""hi"")"),"ए) शुरुआती, बी) मध्यवर्ती, सी) उन्नत, डी) विशेषज्ञ")</f>
        <v>ए) शुरुआती, बी) मध्यवर्ती, सी) उन्नत, डी) विशेषज्ञ</v>
      </c>
      <c r="K84" s="8" t="str">
        <f>IFERROR(__xludf.DUMMYFUNCTION("GOOGLETRANSLATE(E84, ""en"", ""hi"")"),"सी) उन्नत")</f>
        <v>सी) उन्नत</v>
      </c>
    </row>
    <row r="85" ht="22.5" customHeight="1">
      <c r="A85" s="2">
        <v>84.0</v>
      </c>
      <c r="B85" s="3" t="s">
        <v>4377</v>
      </c>
      <c r="C85" s="3" t="s">
        <v>4310</v>
      </c>
      <c r="D85" s="3" t="s">
        <v>4384</v>
      </c>
      <c r="E85" s="3" t="s">
        <v>1873</v>
      </c>
      <c r="G85" s="8" t="str">
        <f>IFERROR(__xludf.DUMMYFUNCTION("GOOGLETRANSLATE(A85, ""en"", ""hi"")"),"84")</f>
        <v>84</v>
      </c>
      <c r="H85" s="8" t="str">
        <f>IFERROR(__xludf.DUMMYFUNCTION("GOOGLETRANSLATE(B85, ""en"", ""hi"")"),"मलखंभ_21")</f>
        <v>मलखंभ_21</v>
      </c>
      <c r="I85" s="8" t="str">
        <f>IFERROR(__xludf.DUMMYFUNCTION("GOOGLETRANSLATE(C85, ""en"", ""hi"")"),"इस मल्लखम्ब चित्र में दिखाए गए चाल को करते समय किन सामान्य गलतियों से बचना चाहिए?")</f>
        <v>इस मल्लखम्ब चित्र में दिखाए गए चाल को करते समय किन सामान्य गलतियों से बचना चाहिए?</v>
      </c>
      <c r="J85" s="8" t="str">
        <f>IFERROR(__xludf.DUMMYFUNCTION("GOOGLETRANSLATE(D85, ""en"", ""hi"")"),"A) हाथों की गलत स्थिति, B) कोर जुड़ाव की कमी, C) खराब संरेखण, D) उपरोक्त सभी")</f>
        <v>A) हाथों की गलत स्थिति, B) कोर जुड़ाव की कमी, C) खराब संरेखण, D) उपरोक्त सभी</v>
      </c>
      <c r="K85" s="8" t="str">
        <f>IFERROR(__xludf.DUMMYFUNCTION("GOOGLETRANSLATE(E85, ""en"", ""hi"")"),"D। उपरोक्त सभी")</f>
        <v>D। उपरोक्त सभी</v>
      </c>
    </row>
    <row r="86" ht="22.5" customHeight="1">
      <c r="A86" s="2">
        <v>85.0</v>
      </c>
      <c r="B86" s="3" t="s">
        <v>4385</v>
      </c>
      <c r="C86" s="3" t="s">
        <v>4282</v>
      </c>
      <c r="D86" s="3" t="s">
        <v>4283</v>
      </c>
      <c r="E86" s="3" t="s">
        <v>4284</v>
      </c>
      <c r="G86" s="8" t="str">
        <f>IFERROR(__xludf.DUMMYFUNCTION("GOOGLETRANSLATE(A86, ""en"", ""hi"")"),"85")</f>
        <v>85</v>
      </c>
      <c r="H86" s="8" t="str">
        <f>IFERROR(__xludf.DUMMYFUNCTION("GOOGLETRANSLATE(B86, ""en"", ""hi"")"),"मलखंभ_22")</f>
        <v>मलखंभ_22</v>
      </c>
      <c r="I86" s="8" t="str">
        <f>IFERROR(__xludf.DUMMYFUNCTION("GOOGLETRANSLATE(C86, ""en"", ""hi"")"),"चित्र में किस प्रकार का मल्लखम्ब प्रदर्शित किया गया है (जैसे, खंभा, रस्सी, या फांसी)?")</f>
        <v>चित्र में किस प्रकार का मल्लखम्ब प्रदर्शित किया गया है (जैसे, खंभा, रस्सी, या फांसी)?</v>
      </c>
      <c r="J86" s="8" t="str">
        <f>IFERROR(__xludf.DUMMYFUNCTION("GOOGLETRANSLATE(D86, ""en"", ""hi"")"),"A) पोल मल्लखम्ब, B) रस्सी मल्लखम्ब, C) लटकता मल्लखम्ब, D) उपरोक्त में से कोई नहीं")</f>
        <v>A) पोल मल्लखम्ब, B) रस्सी मल्लखम्ब, C) लटकता मल्लखम्ब, D) उपरोक्त में से कोई नहीं</v>
      </c>
      <c r="K86" s="8" t="str">
        <f>IFERROR(__xludf.DUMMYFUNCTION("GOOGLETRANSLATE(E86, ""en"", ""hi"")"),"A) पोल मल्लखम्ब")</f>
        <v>A) पोल मल्लखम्ब</v>
      </c>
    </row>
    <row r="87" ht="22.5" customHeight="1">
      <c r="A87" s="2">
        <v>86.0</v>
      </c>
      <c r="B87" s="3" t="s">
        <v>4385</v>
      </c>
      <c r="C87" s="3" t="s">
        <v>4386</v>
      </c>
      <c r="D87" s="3" t="s">
        <v>4387</v>
      </c>
      <c r="E87" s="3" t="s">
        <v>4388</v>
      </c>
      <c r="G87" s="8" t="str">
        <f>IFERROR(__xludf.DUMMYFUNCTION("GOOGLETRANSLATE(A87, ""en"", ""hi"")"),"86")</f>
        <v>86</v>
      </c>
      <c r="H87" s="8" t="str">
        <f>IFERROR(__xludf.DUMMYFUNCTION("GOOGLETRANSLATE(B87, ""en"", ""hi"")"),"मलखंभ_22")</f>
        <v>मलखंभ_22</v>
      </c>
      <c r="I87" s="8" t="str">
        <f>IFERROR(__xludf.DUMMYFUNCTION("GOOGLETRANSLATE(C87, ""en"", ""hi"")"),"इस खेल में अरंडी के तेल की क्या भूमिका है?")</f>
        <v>इस खेल में अरंडी के तेल की क्या भूमिका है?</v>
      </c>
      <c r="J87" s="8" t="str">
        <f>IFERROR(__xludf.DUMMYFUNCTION("GOOGLETRANSLATE(D87, ""en"", ""hi"")"),"A) घर्षण कम करने के लिए, B) पकड़ बढ़ाने के लिए, C) चोट से बचाव के लिए, D) लचीलेपन में सुधार करने के लिए")</f>
        <v>A) घर्षण कम करने के लिए, B) पकड़ बढ़ाने के लिए, C) चोट से बचाव के लिए, D) लचीलेपन में सुधार करने के लिए</v>
      </c>
      <c r="K87" s="8" t="str">
        <f>IFERROR(__xludf.DUMMYFUNCTION("GOOGLETRANSLATE(E87, ""en"", ""hi"")"),"बी) पकड़ बढ़ाने के लिए")</f>
        <v>बी) पकड़ बढ़ाने के लिए</v>
      </c>
    </row>
    <row r="88" ht="22.5" customHeight="1">
      <c r="A88" s="2">
        <v>87.0</v>
      </c>
      <c r="B88" s="3" t="s">
        <v>4385</v>
      </c>
      <c r="C88" s="3" t="s">
        <v>4389</v>
      </c>
      <c r="D88" s="3" t="s">
        <v>4390</v>
      </c>
      <c r="E88" s="3" t="s">
        <v>4391</v>
      </c>
      <c r="G88" s="8" t="str">
        <f>IFERROR(__xludf.DUMMYFUNCTION("GOOGLETRANSLATE(A88, ""en"", ""hi"")"),"87")</f>
        <v>87</v>
      </c>
      <c r="H88" s="8" t="str">
        <f>IFERROR(__xludf.DUMMYFUNCTION("GOOGLETRANSLATE(B88, ""en"", ""hi"")"),"मलखंभ_22")</f>
        <v>मलखंभ_22</v>
      </c>
      <c r="I88" s="8" t="str">
        <f>IFERROR(__xludf.DUMMYFUNCTION("GOOGLETRANSLATE(C88, ""en"", ""hi"")"),"इस खेल का अभ्यास करने का प्राथमिक उद्देश्य क्या है?")</f>
        <v>इस खेल का अभ्यास करने का प्राथमिक उद्देश्य क्या है?</v>
      </c>
      <c r="J88" s="8" t="str">
        <f>IFERROR(__xludf.DUMMYFUNCTION("GOOGLETRANSLATE(D88, ""en"", ""hi"")"),"A) शारीरिक शक्ति में सुधार के लिए, B) कलात्मक कौशल को बढ़ाने के लिए, C) आध्यात्मिक विकास के लिए, D) प्रतिस्पर्धी खेलों के लिए तैयार करने के लिए")</f>
        <v>A) शारीरिक शक्ति में सुधार के लिए, B) कलात्मक कौशल को बढ़ाने के लिए, C) आध्यात्मिक विकास के लिए, D) प्रतिस्पर्धी खेलों के लिए तैयार करने के लिए</v>
      </c>
      <c r="K88" s="8" t="str">
        <f>IFERROR(__xludf.DUMMYFUNCTION("GOOGLETRANSLATE(E88, ""en"", ""hi"")"),"A) शारीरिक शक्ति में सुधार करने के लिए")</f>
        <v>A) शारीरिक शक्ति में सुधार करने के लिए</v>
      </c>
    </row>
    <row r="89" ht="22.5" customHeight="1">
      <c r="A89" s="2">
        <v>88.0</v>
      </c>
      <c r="B89" s="3" t="s">
        <v>4385</v>
      </c>
      <c r="C89" s="3" t="s">
        <v>4392</v>
      </c>
      <c r="D89" s="3" t="s">
        <v>4393</v>
      </c>
      <c r="E89" s="3" t="s">
        <v>4394</v>
      </c>
      <c r="G89" s="8" t="str">
        <f>IFERROR(__xludf.DUMMYFUNCTION("GOOGLETRANSLATE(A89, ""en"", ""hi"")"),"88")</f>
        <v>88</v>
      </c>
      <c r="H89" s="8" t="str">
        <f>IFERROR(__xludf.DUMMYFUNCTION("GOOGLETRANSLATE(B89, ""en"", ""hi"")"),"मलखंभ_22")</f>
        <v>मलखंभ_22</v>
      </c>
      <c r="I89" s="8" t="str">
        <f>IFERROR(__xludf.DUMMYFUNCTION("GOOGLETRANSLATE(C89, ""en"", ""hi"")"),"कौन सा ऐतिहासिक व्यक्ति इस खेल को अंतर्राष्ट्रीय स्तर पर बढ़ावा देने के लिए जाना जाता है?")</f>
        <v>कौन सा ऐतिहासिक व्यक्ति इस खेल को अंतर्राष्ट्रीय स्तर पर बढ़ावा देने के लिए जाना जाता है?</v>
      </c>
      <c r="J89" s="8" t="str">
        <f>IFERROR(__xludf.DUMMYFUNCTION("GOOGLETRANSLATE(D89, ""en"", ""hi"")"),"A) महात्मा गांधी, B) जवाहरलाल नेहरू, C) एडोल्फ हिटलर, D) सरदार पटेल")</f>
        <v>A) महात्मा गांधी, B) जवाहरलाल नेहरू, C) एडोल्फ हिटलर, D) सरदार पटेल</v>
      </c>
      <c r="K89" s="8" t="str">
        <f>IFERROR(__xludf.DUMMYFUNCTION("GOOGLETRANSLATE(E89, ""en"", ""hi"")"),"C) एडॉल्फ हिटलर")</f>
        <v>C) एडॉल्फ हिटलर</v>
      </c>
    </row>
    <row r="90" ht="22.5" customHeight="1">
      <c r="A90" s="2">
        <v>89.0</v>
      </c>
      <c r="B90" s="3" t="s">
        <v>4395</v>
      </c>
      <c r="C90" s="3" t="s">
        <v>4396</v>
      </c>
      <c r="D90" s="3" t="s">
        <v>4397</v>
      </c>
      <c r="E90" s="3" t="s">
        <v>4398</v>
      </c>
      <c r="G90" s="8" t="str">
        <f>IFERROR(__xludf.DUMMYFUNCTION("GOOGLETRANSLATE(A90, ""en"", ""hi"")"),"89")</f>
        <v>89</v>
      </c>
      <c r="H90" s="8" t="str">
        <f>IFERROR(__xludf.DUMMYFUNCTION("GOOGLETRANSLATE(B90, ""en"", ""hi"")"),"मलखंभ_23")</f>
        <v>मलखंभ_23</v>
      </c>
      <c r="I90" s="8" t="str">
        <f>IFERROR(__xludf.DUMMYFUNCTION("GOOGLETRANSLATE(C90, ""en"", ""hi"")"),"चित्र से पता चलता है कि एथलीट किस पर प्रदर्शन कर रहा है?")</f>
        <v>चित्र से पता चलता है कि एथलीट किस पर प्रदर्शन कर रहा है?</v>
      </c>
      <c r="J90" s="8" t="str">
        <f>IFERROR(__xludf.DUMMYFUNCTION("GOOGLETRANSLATE(D90, ""en"", ""hi"")"),"A) एक क्षैतिज बार, B) एक ऊर्ध्वाधर पोल, C) एक बैलेंस बीम, D) एक ट्रेपीज़")</f>
        <v>A) एक क्षैतिज बार, B) एक ऊर्ध्वाधर पोल, C) एक बैलेंस बीम, D) एक ट्रेपीज़</v>
      </c>
      <c r="K90" s="8" t="str">
        <f>IFERROR(__xludf.DUMMYFUNCTION("GOOGLETRANSLATE(E90, ""en"", ""hi"")"),"बी) एक ऊर्ध्वाधर पोल")</f>
        <v>बी) एक ऊर्ध्वाधर पोल</v>
      </c>
    </row>
    <row r="91" ht="22.5" customHeight="1">
      <c r="A91" s="2">
        <v>90.0</v>
      </c>
      <c r="B91" s="3" t="s">
        <v>4395</v>
      </c>
      <c r="C91" s="3" t="s">
        <v>4399</v>
      </c>
      <c r="D91" s="3" t="s">
        <v>3642</v>
      </c>
      <c r="E91" s="3" t="s">
        <v>3643</v>
      </c>
      <c r="G91" s="8" t="str">
        <f>IFERROR(__xludf.DUMMYFUNCTION("GOOGLETRANSLATE(A91, ""en"", ""hi"")"),"90")</f>
        <v>90</v>
      </c>
      <c r="H91" s="8" t="str">
        <f>IFERROR(__xludf.DUMMYFUNCTION("GOOGLETRANSLATE(B91, ""en"", ""hi"")"),"मलखंभ_23")</f>
        <v>मलखंभ_23</v>
      </c>
      <c r="I91" s="8" t="str">
        <f>IFERROR(__xludf.DUMMYFUNCTION("GOOGLETRANSLATE(C91, ""en"", ""hi"")"),"छवि से, एथलीट की स्थिति का मुख्य फोकस क्या है?")</f>
        <v>छवि से, एथलीट की स्थिति का मुख्य फोकस क्या है?</v>
      </c>
      <c r="J91" s="8" t="str">
        <f>IFERROR(__xludf.DUMMYFUNCTION("GOOGLETRANSLATE(D91, ""en"", ""hi"")"),"A) लचीलापन, B) ताकत, C) संतुलन, D) गति")</f>
        <v>A) लचीलापन, B) ताकत, C) संतुलन, D) गति</v>
      </c>
      <c r="K91" s="8" t="str">
        <f>IFERROR(__xludf.DUMMYFUNCTION("GOOGLETRANSLATE(E91, ""en"", ""hi"")"),"सी) संतुलन")</f>
        <v>सी) संतुलन</v>
      </c>
    </row>
    <row r="92" ht="22.5" customHeight="1">
      <c r="A92" s="2">
        <v>91.0</v>
      </c>
      <c r="B92" s="3" t="s">
        <v>4395</v>
      </c>
      <c r="C92" s="3" t="s">
        <v>4400</v>
      </c>
      <c r="D92" s="3" t="s">
        <v>4401</v>
      </c>
      <c r="E92" s="3" t="s">
        <v>3179</v>
      </c>
      <c r="G92" s="8" t="str">
        <f>IFERROR(__xludf.DUMMYFUNCTION("GOOGLETRANSLATE(A92, ""en"", ""hi"")"),"91")</f>
        <v>91</v>
      </c>
      <c r="H92" s="8" t="str">
        <f>IFERROR(__xludf.DUMMYFUNCTION("GOOGLETRANSLATE(B92, ""en"", ""hi"")"),"मलखंभ_23")</f>
        <v>मलखंभ_23</v>
      </c>
      <c r="I92" s="8" t="str">
        <f>IFERROR(__xludf.DUMMYFUNCTION("GOOGLETRANSLATE(C92, ""en"", ""hi"")"),"चित्र से पता चलता है कि मल्लखम्ब स्तंभ किस प्रकार की सतह पर रखा गया है?")</f>
        <v>चित्र से पता चलता है कि मल्लखम्ब स्तंभ किस प्रकार की सतह पर रखा गया है?</v>
      </c>
      <c r="J92" s="8" t="str">
        <f>IFERROR(__xludf.DUMMYFUNCTION("GOOGLETRANSLATE(D92, ""en"", ""hi"")"),"A) घास, B) रेत, C) लकड़ी, D) कंक्रीट")</f>
        <v>A) घास, B) रेत, C) लकड़ी, D) कंक्रीट</v>
      </c>
      <c r="K92" s="8" t="str">
        <f>IFERROR(__xludf.DUMMYFUNCTION("GOOGLETRANSLATE(E92, ""en"", ""hi"")"),"C) लकड़ी")</f>
        <v>C) लकड़ी</v>
      </c>
    </row>
    <row r="93" ht="22.5" customHeight="1">
      <c r="A93" s="2">
        <v>92.0</v>
      </c>
      <c r="B93" s="3" t="s">
        <v>4395</v>
      </c>
      <c r="C93" s="3" t="s">
        <v>4402</v>
      </c>
      <c r="D93" s="3" t="s">
        <v>4403</v>
      </c>
      <c r="E93" s="3" t="s">
        <v>4404</v>
      </c>
      <c r="G93" s="8" t="str">
        <f>IFERROR(__xludf.DUMMYFUNCTION("GOOGLETRANSLATE(A93, ""en"", ""hi"")"),"92")</f>
        <v>92</v>
      </c>
      <c r="H93" s="8" t="str">
        <f>IFERROR(__xludf.DUMMYFUNCTION("GOOGLETRANSLATE(B93, ""en"", ""hi"")"),"मलखंभ_23")</f>
        <v>मलखंभ_23</v>
      </c>
      <c r="I93" s="8" t="str">
        <f>IFERROR(__xludf.DUMMYFUNCTION("GOOGLETRANSLATE(C93, ""en"", ""hi"")"),"चित्र से एथलीट की स्थिति का सबसे अच्छा वर्णन कैसे किया गया है?")</f>
        <v>चित्र से एथलीट की स्थिति का सबसे अच्छा वर्णन कैसे किया गया है?</v>
      </c>
      <c r="J93" s="8" t="str">
        <f>IFERROR(__xludf.DUMMYFUNCTION("GOOGLETRANSLATE(D93, ""en"", ""hi"")"),"A) खड़े होकर, B) लटककर, C) बैठकर, D) लेटकर")</f>
        <v>A) खड़े होकर, B) लटककर, C) बैठकर, D) लेटकर</v>
      </c>
      <c r="K93" s="8" t="str">
        <f>IFERROR(__xludf.DUMMYFUNCTION("GOOGLETRANSLATE(E93, ""en"", ""hi"")"),"बी) फांसी")</f>
        <v>बी) फांसी</v>
      </c>
    </row>
    <row r="94" ht="22.5" customHeight="1">
      <c r="A94" s="2">
        <v>93.0</v>
      </c>
      <c r="B94" s="3" t="s">
        <v>4405</v>
      </c>
      <c r="C94" s="3" t="s">
        <v>4406</v>
      </c>
      <c r="D94" s="3" t="s">
        <v>4407</v>
      </c>
      <c r="E94" s="3" t="s">
        <v>4408</v>
      </c>
      <c r="G94" s="8" t="str">
        <f>IFERROR(__xludf.DUMMYFUNCTION("GOOGLETRANSLATE(A94, ""en"", ""hi"")"),"93")</f>
        <v>93</v>
      </c>
      <c r="H94" s="8" t="str">
        <f>IFERROR(__xludf.DUMMYFUNCTION("GOOGLETRANSLATE(B94, ""en"", ""hi"")"),"मलखंभ_24")</f>
        <v>मलखंभ_24</v>
      </c>
      <c r="I94" s="8" t="str">
        <f>IFERROR(__xludf.DUMMYFUNCTION("GOOGLETRANSLATE(C94, ""en"", ""hi"")"),"चित्र से पता चलता है कि रस्सी की कौन सी विशेषता एथलीट को गिरने से रोकती है?")</f>
        <v>चित्र से पता चलता है कि रस्सी की कौन सी विशेषता एथलीट को गिरने से रोकती है?</v>
      </c>
      <c r="J94" s="8" t="str">
        <f>IFERROR(__xludf.DUMMYFUNCTION("GOOGLETRANSLATE(D94, ""en"", ""hi"")"),"A) एक गाँठ, B) एक लूप, C) एक क्लैंप, D) एक हुक")</f>
        <v>A) एक गाँठ, B) एक लूप, C) एक क्लैंप, D) एक हुक</v>
      </c>
      <c r="K94" s="8" t="str">
        <f>IFERROR(__xludf.DUMMYFUNCTION("GOOGLETRANSLATE(E94, ""en"", ""hi"")"),"बी) एक लूप")</f>
        <v>बी) एक लूप</v>
      </c>
    </row>
    <row r="95" ht="22.5" customHeight="1">
      <c r="A95" s="2">
        <v>94.0</v>
      </c>
      <c r="B95" s="3" t="s">
        <v>4405</v>
      </c>
      <c r="C95" s="3" t="s">
        <v>4409</v>
      </c>
      <c r="D95" s="3" t="s">
        <v>4410</v>
      </c>
      <c r="E95" s="3" t="s">
        <v>4411</v>
      </c>
      <c r="G95" s="8" t="str">
        <f>IFERROR(__xludf.DUMMYFUNCTION("GOOGLETRANSLATE(A95, ""en"", ""hi"")"),"94")</f>
        <v>94</v>
      </c>
      <c r="H95" s="8" t="str">
        <f>IFERROR(__xludf.DUMMYFUNCTION("GOOGLETRANSLATE(B95, ""en"", ""hi"")"),"मलखंभ_24")</f>
        <v>मलखंभ_24</v>
      </c>
      <c r="I95" s="8" t="str">
        <f>IFERROR(__xludf.DUMMYFUNCTION("GOOGLETRANSLATE(C95, ""en"", ""hi"")"),"चित्र से, एथलीट के प्रदर्शन के माध्यम से मल्लखम्ब का कौन सा पहलू उजागर होता है?")</f>
        <v>चित्र से, एथलीट के प्रदर्शन के माध्यम से मल्लखम्ब का कौन सा पहलू उजागर होता है?</v>
      </c>
      <c r="J95" s="8" t="str">
        <f>IFERROR(__xludf.DUMMYFUNCTION("GOOGLETRANSLATE(D95, ""en"", ""hi"")"),"A) लचीलापन, B) ताकत, C) संतुलन, D) चपलता")</f>
        <v>A) लचीलापन, B) ताकत, C) संतुलन, D) चपलता</v>
      </c>
      <c r="K95" s="8" t="str">
        <f>IFERROR(__xludf.DUMMYFUNCTION("GOOGLETRANSLATE(E95, ""en"", ""hi"")"),"बी) ताकत")</f>
        <v>बी) ताकत</v>
      </c>
    </row>
    <row r="96" ht="22.5" customHeight="1">
      <c r="A96" s="2">
        <v>95.0</v>
      </c>
      <c r="B96" s="3" t="s">
        <v>4405</v>
      </c>
      <c r="C96" s="3" t="s">
        <v>4412</v>
      </c>
      <c r="D96" s="3" t="s">
        <v>4413</v>
      </c>
      <c r="E96" s="3" t="s">
        <v>4414</v>
      </c>
      <c r="G96" s="8" t="str">
        <f>IFERROR(__xludf.DUMMYFUNCTION("GOOGLETRANSLATE(A96, ""en"", ""hi"")"),"95")</f>
        <v>95</v>
      </c>
      <c r="H96" s="8" t="str">
        <f>IFERROR(__xludf.DUMMYFUNCTION("GOOGLETRANSLATE(B96, ""en"", ""hi"")"),"मलखंभ_24")</f>
        <v>मलखंभ_24</v>
      </c>
      <c r="I96" s="8" t="str">
        <f>IFERROR(__xludf.DUMMYFUNCTION("GOOGLETRANSLATE(C96, ""en"", ""hi"")"),"चित्र से, प्रदर्शन किये जा रहे कदम के कठिनाई स्तर के बारे में क्या अनुमान लगाया जा सकता है?")</f>
        <v>चित्र से, प्रदर्शन किये जा रहे कदम के कठिनाई स्तर के बारे में क्या अनुमान लगाया जा सकता है?</v>
      </c>
      <c r="J96" s="8" t="str">
        <f>IFERROR(__xludf.DUMMYFUNCTION("GOOGLETRANSLATE(D96, ""en"", ""hi"")"),"A) आसान, B) मध्यम, C) चुनौतीपूर्ण, D) सरल")</f>
        <v>A) आसान, B) मध्यम, C) चुनौतीपूर्ण, D) सरल</v>
      </c>
      <c r="K96" s="8" t="str">
        <f>IFERROR(__xludf.DUMMYFUNCTION("GOOGLETRANSLATE(E96, ""en"", ""hi"")"),"सी) चुनौतीपूर्ण")</f>
        <v>सी) चुनौतीपूर्ण</v>
      </c>
    </row>
    <row r="97" ht="22.5" customHeight="1">
      <c r="A97" s="2">
        <v>96.0</v>
      </c>
      <c r="B97" s="3" t="s">
        <v>4405</v>
      </c>
      <c r="C97" s="3" t="s">
        <v>4415</v>
      </c>
      <c r="D97" s="3" t="s">
        <v>4416</v>
      </c>
      <c r="E97" s="3" t="s">
        <v>4417</v>
      </c>
      <c r="G97" s="8" t="str">
        <f>IFERROR(__xludf.DUMMYFUNCTION("GOOGLETRANSLATE(A97, ""en"", ""hi"")"),"96")</f>
        <v>96</v>
      </c>
      <c r="H97" s="8" t="str">
        <f>IFERROR(__xludf.DUMMYFUNCTION("GOOGLETRANSLATE(B97, ""en"", ""hi"")"),"मलखंभ_24")</f>
        <v>मलखंभ_24</v>
      </c>
      <c r="I97" s="8" t="str">
        <f>IFERROR(__xludf.DUMMYFUNCTION("GOOGLETRANSLATE(C97, ""en"", ""hi"")"),"छवि से, कोच के विस्तृत अवलोकन का संभावित कारण क्या है?")</f>
        <v>छवि से, कोच के विस्तृत अवलोकन का संभावित कारण क्या है?</v>
      </c>
      <c r="J97" s="8" t="str">
        <f>IFERROR(__xludf.DUMMYFUNCTION("GOOGLETRANSLATE(D97, ""en"", ""hi"")"),"A) उचित तकनीक सुनिश्चित करने के लिए, B) एथलीट को प्रेरित करने के लिए, C) प्रगति का दस्तावेजीकरण करने के लिए, D) सुरक्षा का आकलन करने के लिए")</f>
        <v>A) उचित तकनीक सुनिश्चित करने के लिए, B) एथलीट को प्रेरित करने के लिए, C) प्रगति का दस्तावेजीकरण करने के लिए, D) सुरक्षा का आकलन करने के लिए</v>
      </c>
      <c r="K97" s="8" t="str">
        <f>IFERROR(__xludf.DUMMYFUNCTION("GOOGLETRANSLATE(E97, ""en"", ""hi"")"),"A) उचित तकनीक सुनिश्चित करने के लिए")</f>
        <v>A) उचित तकनीक सुनिश्चित करने के लिए</v>
      </c>
    </row>
    <row r="98" ht="22.5" customHeight="1">
      <c r="A98" s="2">
        <v>97.0</v>
      </c>
      <c r="B98" s="3" t="s">
        <v>4405</v>
      </c>
      <c r="C98" s="3" t="s">
        <v>4418</v>
      </c>
      <c r="D98" s="3" t="s">
        <v>4419</v>
      </c>
      <c r="E98" s="3" t="s">
        <v>4420</v>
      </c>
      <c r="G98" s="8" t="str">
        <f>IFERROR(__xludf.DUMMYFUNCTION("GOOGLETRANSLATE(A98, ""en"", ""hi"")"),"97")</f>
        <v>97</v>
      </c>
      <c r="H98" s="8" t="str">
        <f>IFERROR(__xludf.DUMMYFUNCTION("GOOGLETRANSLATE(B98, ""en"", ""hi"")"),"मलखंभ_24")</f>
        <v>मलखंभ_24</v>
      </c>
      <c r="I98" s="8" t="str">
        <f>IFERROR(__xludf.DUMMYFUNCTION("GOOGLETRANSLATE(C98, ""en"", ""hi"")"),"चित्र से, एथलीट की रस्सी पर वापस चढ़ने की क्षमता क्या दर्शाती है?")</f>
        <v>चित्र से, एथलीट की रस्सी पर वापस चढ़ने की क्षमता क्या दर्शाती है?</v>
      </c>
      <c r="J98" s="8" t="str">
        <f>IFERROR(__xludf.DUMMYFUNCTION("GOOGLETRANSLATE(D98, ""en"", ""hi"")"),"A) शारीरिक शक्ति, B) सहनशक्ति, C) चपलता, D) लचीलापन")</f>
        <v>A) शारीरिक शक्ति, B) सहनशक्ति, C) चपलता, D) लचीलापन</v>
      </c>
      <c r="K98" s="8" t="str">
        <f>IFERROR(__xludf.DUMMYFUNCTION("GOOGLETRANSLATE(E98, ""en"", ""hi"")"),"A) शारीरिक शक्ति")</f>
        <v>A) शारीरिक शक्ति</v>
      </c>
    </row>
    <row r="99" ht="22.5" customHeight="1">
      <c r="A99" s="2">
        <v>98.0</v>
      </c>
      <c r="B99" s="3" t="s">
        <v>4405</v>
      </c>
      <c r="C99" s="3" t="s">
        <v>4421</v>
      </c>
      <c r="D99" s="3" t="s">
        <v>4422</v>
      </c>
      <c r="E99" s="3" t="s">
        <v>4423</v>
      </c>
      <c r="G99" s="8" t="str">
        <f>IFERROR(__xludf.DUMMYFUNCTION("GOOGLETRANSLATE(A99, ""en"", ""hi"")"),"98")</f>
        <v>98</v>
      </c>
      <c r="H99" s="8" t="str">
        <f>IFERROR(__xludf.DUMMYFUNCTION("GOOGLETRANSLATE(B99, ""en"", ""hi"")"),"मलखंभ_24")</f>
        <v>मलखंभ_24</v>
      </c>
      <c r="I99" s="8" t="str">
        <f>IFERROR(__xludf.DUMMYFUNCTION("GOOGLETRANSLATE(C99, ""en"", ""hi"")"),"चित्र से पता चलता है कि प्रशिक्षण के प्रति कोच का दृष्टिकोण सामान्य कोचिंग पद्धतियों से किस प्रकार तुलना करता है?")</f>
        <v>चित्र से पता चलता है कि प्रशिक्षण के प्रति कोच का दृष्टिकोण सामान्य कोचिंग पद्धतियों से किस प्रकार तुलना करता है?</v>
      </c>
      <c r="J99" s="8" t="str">
        <f>IFERROR(__xludf.DUMMYFUNCTION("GOOGLETRANSLATE(D99, ""en"", ""hi"")"),"A) बहुत पारंपरिक, B) बहुत आधुनिक, C) बैले के समान, D) अनौपचारिक और आरामदायक")</f>
        <v>A) बहुत पारंपरिक, B) बहुत आधुनिक, C) बैले के समान, D) अनौपचारिक और आरामदायक</v>
      </c>
      <c r="K99" s="8" t="str">
        <f>IFERROR(__xludf.DUMMYFUNCTION("GOOGLETRANSLATE(E99, ""en"", ""hi"")"),"C) बैले के समान")</f>
        <v>C) बैले के समान</v>
      </c>
    </row>
    <row r="100" ht="22.5" customHeight="1">
      <c r="A100" s="2">
        <v>99.0</v>
      </c>
      <c r="B100" s="3" t="s">
        <v>4405</v>
      </c>
      <c r="C100" s="3" t="s">
        <v>4424</v>
      </c>
      <c r="D100" s="3" t="s">
        <v>4425</v>
      </c>
      <c r="E100" s="3" t="s">
        <v>4426</v>
      </c>
      <c r="G100" s="8" t="str">
        <f>IFERROR(__xludf.DUMMYFUNCTION("GOOGLETRANSLATE(A100, ""en"", ""hi"")"),"99")</f>
        <v>99</v>
      </c>
      <c r="H100" s="8" t="str">
        <f>IFERROR(__xludf.DUMMYFUNCTION("GOOGLETRANSLATE(B100, ""en"", ""hi"")"),"मलखंभ_24")</f>
        <v>मलखंभ_24</v>
      </c>
      <c r="I100" s="8" t="str">
        <f>IFERROR(__xludf.DUMMYFUNCTION("GOOGLETRANSLATE(C100, ""en"", ""hi"")"),"चित्र से पता चलता है कि जब खिलाड़ी प्रदर्शन कर रहा है तो कोच क्या कर रहा है?")</f>
        <v>चित्र से पता चलता है कि जब खिलाड़ी प्रदर्शन कर रहा है तो कोच क्या कर रहा है?</v>
      </c>
      <c r="J100" s="8" t="str">
        <f>IFERROR(__xludf.DUMMYFUNCTION("GOOGLETRANSLATE(D100, ""en"", ""hi"")"),"A) नोट्स लेना, B) समायोजन करना, C) उत्साहवर्धन करना, D) निष्क्रिय होकर देखना")</f>
        <v>A) नोट्स लेना, B) समायोजन करना, C) उत्साहवर्धन करना, D) निष्क्रिय होकर देखना</v>
      </c>
      <c r="K100" s="8" t="str">
        <f>IFERROR(__xludf.DUMMYFUNCTION("GOOGLETRANSLATE(E100, ""en"", ""hi"")"),"बी) समायोजन करना")</f>
        <v>बी) समायोजन करना</v>
      </c>
    </row>
    <row r="101" ht="22.5" customHeight="1">
      <c r="A101" s="2">
        <v>100.0</v>
      </c>
      <c r="B101" s="3" t="s">
        <v>4405</v>
      </c>
      <c r="C101" s="3" t="s">
        <v>4427</v>
      </c>
      <c r="D101" s="3" t="s">
        <v>4428</v>
      </c>
      <c r="E101" s="3" t="s">
        <v>4429</v>
      </c>
      <c r="G101" s="8" t="str">
        <f>IFERROR(__xludf.DUMMYFUNCTION("GOOGLETRANSLATE(A101, ""en"", ""hi"")"),"100")</f>
        <v>100</v>
      </c>
      <c r="H101" s="8" t="str">
        <f>IFERROR(__xludf.DUMMYFUNCTION("GOOGLETRANSLATE(B101, ""en"", ""hi"")"),"मलखंभ_24")</f>
        <v>मलखंभ_24</v>
      </c>
      <c r="I101" s="8" t="str">
        <f>IFERROR(__xludf.DUMMYFUNCTION("GOOGLETRANSLATE(C101, ""en"", ""hi"")"),"चित्र से पता चलता है कि रस्सी पर एथलीट की पकड़ कैसी है?")</f>
        <v>चित्र से पता चलता है कि रस्सी पर एथलीट की पकड़ कैसी है?</v>
      </c>
      <c r="J101" s="8" t="str">
        <f>IFERROR(__xludf.DUMMYFUNCTION("GOOGLETRANSLATE(D101, ""en"", ""hi"")"),"A) ढीला, B) तंग, C) फिसलन भरा, D) अनिश्चित")</f>
        <v>A) ढीला, B) तंग, C) फिसलन भरा, D) अनिश्चित</v>
      </c>
      <c r="K101" s="8" t="str">
        <f>IFERROR(__xludf.DUMMYFUNCTION("GOOGLETRANSLATE(E101, ""en"", ""hi"")"),"बी) तंग")</f>
        <v>बी) तंग</v>
      </c>
    </row>
    <row r="102" ht="22.5" customHeight="1">
      <c r="A102" s="2">
        <v>101.0</v>
      </c>
      <c r="B102" s="3" t="s">
        <v>4430</v>
      </c>
      <c r="C102" s="3" t="s">
        <v>4431</v>
      </c>
      <c r="D102" s="3" t="s">
        <v>4432</v>
      </c>
      <c r="E102" s="3" t="s">
        <v>4433</v>
      </c>
      <c r="G102" s="8" t="str">
        <f>IFERROR(__xludf.DUMMYFUNCTION("GOOGLETRANSLATE(A102, ""en"", ""hi"")"),"101")</f>
        <v>101</v>
      </c>
      <c r="H102" s="8" t="str">
        <f>IFERROR(__xludf.DUMMYFUNCTION("GOOGLETRANSLATE(B102, ""en"", ""hi"")"),"मलखंभ_25")</f>
        <v>मलखंभ_25</v>
      </c>
      <c r="I102" s="8" t="str">
        <f>IFERROR(__xludf.DUMMYFUNCTION("GOOGLETRANSLATE(C102, ""en"", ""hi"")"),"चित्र में दिखाए गए खेल के लिए, एथलीट के प्रशिक्षण का प्राथमिक फोकस क्या है?")</f>
        <v>चित्र में दिखाए गए खेल के लिए, एथलीट के प्रशिक्षण का प्राथमिक फोकस क्या है?</v>
      </c>
      <c r="J102" s="8" t="str">
        <f>IFERROR(__xludf.DUMMYFUNCTION("GOOGLETRANSLATE(D102, ""en"", ""hi"")"),"A) ताकत, B) गति, C) धीरज, D) लचीलापन")</f>
        <v>A) ताकत, B) गति, C) धीरज, D) लचीलापन</v>
      </c>
      <c r="K102" s="8" t="str">
        <f>IFERROR(__xludf.DUMMYFUNCTION("GOOGLETRANSLATE(E102, ""en"", ""hi"")"),"ए) ताकत")</f>
        <v>ए) ताकत</v>
      </c>
    </row>
    <row r="103" ht="22.5" customHeight="1">
      <c r="A103" s="2">
        <v>102.0</v>
      </c>
      <c r="B103" s="3" t="s">
        <v>4430</v>
      </c>
      <c r="C103" s="3" t="s">
        <v>4434</v>
      </c>
      <c r="D103" s="3" t="s">
        <v>4435</v>
      </c>
      <c r="E103" s="3" t="s">
        <v>4187</v>
      </c>
      <c r="G103" s="8" t="str">
        <f>IFERROR(__xludf.DUMMYFUNCTION("GOOGLETRANSLATE(A103, ""en"", ""hi"")"),"102")</f>
        <v>102</v>
      </c>
      <c r="H103" s="8" t="str">
        <f>IFERROR(__xludf.DUMMYFUNCTION("GOOGLETRANSLATE(B103, ""en"", ""hi"")"),"मलखंभ_25")</f>
        <v>मलखंभ_25</v>
      </c>
      <c r="I103" s="8" t="str">
        <f>IFERROR(__xludf.DUMMYFUNCTION("GOOGLETRANSLATE(C103, ""en"", ""hi"")"),"चित्र में दिखाए गए खेल में, खिलाड़ी किस उपकरण का उपयोग कर रहा है?")</f>
        <v>चित्र में दिखाए गए खेल में, खिलाड़ी किस उपकरण का उपयोग कर रहा है?</v>
      </c>
      <c r="J103" s="8" t="str">
        <f>IFERROR(__xludf.DUMMYFUNCTION("GOOGLETRANSLATE(D103, ""en"", ""hi"")"),"A) स्थिर पोल, B) रस्सी, C) लटकता हुआ पोल, D) समानांतर सलाखें")</f>
        <v>A) स्थिर पोल, B) रस्सी, C) लटकता हुआ पोल, D) समानांतर सलाखें</v>
      </c>
      <c r="K103" s="8" t="str">
        <f>IFERROR(__xludf.DUMMYFUNCTION("GOOGLETRANSLATE(E103, ""en"", ""hi"")"),"बी) रस्सी")</f>
        <v>बी) रस्सी</v>
      </c>
    </row>
    <row r="104" ht="22.5" customHeight="1">
      <c r="A104" s="2">
        <v>103.0</v>
      </c>
      <c r="B104" s="3" t="s">
        <v>4430</v>
      </c>
      <c r="C104" s="3" t="s">
        <v>4436</v>
      </c>
      <c r="D104" s="3" t="s">
        <v>4437</v>
      </c>
      <c r="E104" s="3" t="s">
        <v>4438</v>
      </c>
      <c r="G104" s="8" t="str">
        <f>IFERROR(__xludf.DUMMYFUNCTION("GOOGLETRANSLATE(A104, ""en"", ""hi"")"),"103")</f>
        <v>103</v>
      </c>
      <c r="H104" s="8" t="str">
        <f>IFERROR(__xludf.DUMMYFUNCTION("GOOGLETRANSLATE(B104, ""en"", ""hi"")"),"मलखंभ_25")</f>
        <v>मलखंभ_25</v>
      </c>
      <c r="I104" s="8" t="str">
        <f>IFERROR(__xludf.DUMMYFUNCTION("GOOGLETRANSLATE(C104, ""en"", ""hi"")"),"चित्र में दर्शाए गए खेल में प्रयुक्त मुख्य उपकरण क्या है?")</f>
        <v>चित्र में दर्शाए गए खेल में प्रयुक्त मुख्य उपकरण क्या है?</v>
      </c>
      <c r="J104" s="8" t="str">
        <f>IFERROR(__xludf.DUMMYFUNCTION("GOOGLETRANSLATE(D104, ""en"", ""hi"")"),"A) पोल, B) रस्सी, C) छल्ले, D) बीम")</f>
        <v>A) पोल, B) रस्सी, C) छल्ले, D) बीम</v>
      </c>
      <c r="K104" s="8" t="str">
        <f>IFERROR(__xludf.DUMMYFUNCTION("GOOGLETRANSLATE(E104, ""en"", ""hi"")"),"ए) ध्रुव")</f>
        <v>ए) ध्रुव</v>
      </c>
    </row>
    <row r="105" ht="22.5" customHeight="1">
      <c r="A105" s="2">
        <v>104.0</v>
      </c>
      <c r="B105" s="3" t="s">
        <v>4430</v>
      </c>
      <c r="C105" s="3" t="s">
        <v>4439</v>
      </c>
      <c r="D105" s="3" t="s">
        <v>4440</v>
      </c>
      <c r="E105" s="3" t="s">
        <v>3664</v>
      </c>
      <c r="G105" s="8" t="str">
        <f>IFERROR(__xludf.DUMMYFUNCTION("GOOGLETRANSLATE(A105, ""en"", ""hi"")"),"104")</f>
        <v>104</v>
      </c>
      <c r="H105" s="8" t="str">
        <f>IFERROR(__xludf.DUMMYFUNCTION("GOOGLETRANSLATE(B105, ""en"", ""hi"")"),"मलखंभ_25")</f>
        <v>मलखंभ_25</v>
      </c>
      <c r="I105" s="8" t="str">
        <f>IFERROR(__xludf.DUMMYFUNCTION("GOOGLETRANSLATE(C105, ""en"", ""hi"")"),"चित्र में दिखाए गए खेल में मुख्य रूप से किस प्रकार की गतिविधियां शामिल हैं?")</f>
        <v>चित्र में दिखाए गए खेल में मुख्य रूप से किस प्रकार की गतिविधियां शामिल हैं?</v>
      </c>
      <c r="J105" s="8" t="str">
        <f>IFERROR(__xludf.DUMMYFUNCTION("GOOGLETRANSLATE(D105, ""en"", ""hi"")"),"A) स्थैतिक, B) गतिशील, C) लयबद्ध, D) एरोबिक")</f>
        <v>A) स्थैतिक, B) गतिशील, C) लयबद्ध, D) एरोबिक</v>
      </c>
      <c r="K105" s="8" t="str">
        <f>IFERROR(__xludf.DUMMYFUNCTION("GOOGLETRANSLATE(E105, ""en"", ""hi"")"),"बी) गतिशील")</f>
        <v>बी) गतिशील</v>
      </c>
    </row>
    <row r="106" ht="22.5" customHeight="1">
      <c r="A106" s="2">
        <v>105.0</v>
      </c>
      <c r="B106" s="3" t="s">
        <v>4441</v>
      </c>
      <c r="C106" s="3" t="s">
        <v>4151</v>
      </c>
      <c r="D106" s="3" t="s">
        <v>4218</v>
      </c>
      <c r="E106" s="3" t="s">
        <v>202</v>
      </c>
      <c r="G106" s="8" t="str">
        <f>IFERROR(__xludf.DUMMYFUNCTION("GOOGLETRANSLATE(A106, ""en"", ""hi"")"),"105")</f>
        <v>105</v>
      </c>
      <c r="H106" s="8" t="str">
        <f>IFERROR(__xludf.DUMMYFUNCTION("GOOGLETRANSLATE(B106, ""en"", ""hi"")"),"मलखंभ_26")</f>
        <v>मलखंभ_26</v>
      </c>
      <c r="I106" s="8" t="str">
        <f>IFERROR(__xludf.DUMMYFUNCTION("GOOGLETRANSLATE(C106, ""en"", ""hi"")"),"चित्र में दिखाया गया खेल किस देश में उत्पन्न हुआ?")</f>
        <v>चित्र में दिखाया गया खेल किस देश में उत्पन्न हुआ?</v>
      </c>
      <c r="J106" s="8" t="str">
        <f>IFERROR(__xludf.DUMMYFUNCTION("GOOGLETRANSLATE(D106, ""en"", ""hi"")"),"A) भारत, B) चीन, C) जापान, D) थाईलैंड")</f>
        <v>A) भारत, B) चीन, C) जापान, D) थाईलैंड</v>
      </c>
      <c r="K106" s="8" t="str">
        <f>IFERROR(__xludf.DUMMYFUNCTION("GOOGLETRANSLATE(E106, ""en"", ""hi"")"),"ए) भारत")</f>
        <v>ए) भारत</v>
      </c>
    </row>
    <row r="107" ht="22.5" customHeight="1">
      <c r="A107" s="2">
        <v>106.0</v>
      </c>
      <c r="B107" s="3" t="s">
        <v>4441</v>
      </c>
      <c r="C107" s="3" t="s">
        <v>4176</v>
      </c>
      <c r="D107" s="3" t="s">
        <v>4442</v>
      </c>
      <c r="E107" s="3" t="s">
        <v>3915</v>
      </c>
      <c r="G107" s="8" t="str">
        <f>IFERROR(__xludf.DUMMYFUNCTION("GOOGLETRANSLATE(A107, ""en"", ""hi"")"),"106")</f>
        <v>106</v>
      </c>
      <c r="H107" s="8" t="str">
        <f>IFERROR(__xludf.DUMMYFUNCTION("GOOGLETRANSLATE(B107, ""en"", ""hi"")"),"मलखंभ_26")</f>
        <v>मलखंभ_26</v>
      </c>
      <c r="I107" s="8" t="str">
        <f>IFERROR(__xludf.DUMMYFUNCTION("GOOGLETRANSLATE(C107, ""en"", ""hi"")"),"स्थिर ध्रुव मल्लखम्ब में प्रदर्शित प्राथमिक कौशल क्या है?")</f>
        <v>स्थिर ध्रुव मल्लखम्ब में प्रदर्शित प्राथमिक कौशल क्या है?</v>
      </c>
      <c r="J107" s="8" t="str">
        <f>IFERROR(__xludf.DUMMYFUNCTION("GOOGLETRANSLATE(D107, ""en"", ""hi"")"),"A) शक्ति, B) संतुलन, C) लचीलापन, D) धीरज")</f>
        <v>A) शक्ति, B) संतुलन, C) लचीलापन, D) धीरज</v>
      </c>
      <c r="K107" s="8" t="str">
        <f>IFERROR(__xludf.DUMMYFUNCTION("GOOGLETRANSLATE(E107, ""en"", ""hi"")"),"बी) संतुलन")</f>
        <v>बी) संतुलन</v>
      </c>
    </row>
    <row r="108" ht="22.5" customHeight="1">
      <c r="A108" s="2">
        <v>107.0</v>
      </c>
      <c r="B108" s="3" t="s">
        <v>4441</v>
      </c>
      <c r="C108" s="3" t="s">
        <v>4443</v>
      </c>
      <c r="D108" s="3" t="s">
        <v>4444</v>
      </c>
      <c r="E108" s="3" t="s">
        <v>4445</v>
      </c>
      <c r="G108" s="8" t="str">
        <f>IFERROR(__xludf.DUMMYFUNCTION("GOOGLETRANSLATE(A108, ""en"", ""hi"")"),"107")</f>
        <v>107</v>
      </c>
      <c r="H108" s="8" t="str">
        <f>IFERROR(__xludf.DUMMYFUNCTION("GOOGLETRANSLATE(B108, ""en"", ""hi"")"),"मलखंभ_26")</f>
        <v>मलखंभ_26</v>
      </c>
      <c r="I108" s="8" t="str">
        <f>IFERROR(__xludf.DUMMYFUNCTION("GOOGLETRANSLATE(C108, ""en"", ""hi"")"),"चित्र में दिखाए गए खेल के लिए, कौन सा आयु वर्ग आमतौर पर इस खेल का अभ्यास करता है?")</f>
        <v>चित्र में दिखाए गए खेल के लिए, कौन सा आयु वर्ग आमतौर पर इस खेल का अभ्यास करता है?</v>
      </c>
      <c r="J108" s="8" t="str">
        <f>IFERROR(__xludf.DUMMYFUNCTION("GOOGLETRANSLATE(D108, ""en"", ""hi"")"),"A) बच्चे, B) वयस्क, C) वरिष्ठ, D) सभी आयु वर्ग")</f>
        <v>A) बच्चे, B) वयस्क, C) वरिष्ठ, D) सभी आयु वर्ग</v>
      </c>
      <c r="K108" s="8" t="str">
        <f>IFERROR(__xludf.DUMMYFUNCTION("GOOGLETRANSLATE(E108, ""en"", ""hi"")"),"डी) सभी आयु वर्ग")</f>
        <v>डी) सभी आयु वर्ग</v>
      </c>
    </row>
    <row r="109" ht="22.5" customHeight="1">
      <c r="A109" s="2">
        <v>108.0</v>
      </c>
      <c r="B109" s="3" t="s">
        <v>4441</v>
      </c>
      <c r="C109" s="3" t="s">
        <v>4446</v>
      </c>
      <c r="D109" s="3" t="s">
        <v>4447</v>
      </c>
      <c r="E109" s="3" t="s">
        <v>4448</v>
      </c>
      <c r="G109" s="8" t="str">
        <f>IFERROR(__xludf.DUMMYFUNCTION("GOOGLETRANSLATE(A109, ""en"", ""hi"")"),"108")</f>
        <v>108</v>
      </c>
      <c r="H109" s="8" t="str">
        <f>IFERROR(__xludf.DUMMYFUNCTION("GOOGLETRANSLATE(B109, ""en"", ""hi"")"),"मलखंभ_26")</f>
        <v>मलखंभ_26</v>
      </c>
      <c r="I109" s="8" t="str">
        <f>IFERROR(__xludf.DUMMYFUNCTION("GOOGLETRANSLATE(C109, ""en"", ""hi"")"),"चित्र में दर्शाए गए मल्लखम्ब खेल का मुख्य उद्देश्य क्या है?")</f>
        <v>चित्र में दर्शाए गए मल्लखम्ब खेल का मुख्य उद्देश्य क्या है?</v>
      </c>
      <c r="J109" s="8" t="str">
        <f>IFERROR(__xludf.DUMMYFUNCTION("GOOGLETRANSLATE(D109, ""en"", ""hi"")"),"A) प्रतियोगिता, B) फिटनेस, C) ध्यान, D) आत्मरक्षा")</f>
        <v>A) प्रतियोगिता, B) फिटनेस, C) ध्यान, D) आत्मरक्षा</v>
      </c>
      <c r="K109" s="8" t="str">
        <f>IFERROR(__xludf.DUMMYFUNCTION("GOOGLETRANSLATE(E109, ""en"", ""hi"")"),"बी) फिटनेस")</f>
        <v>बी) फिटनेस</v>
      </c>
    </row>
    <row r="110" ht="22.5" customHeight="1">
      <c r="A110" s="2">
        <v>109.0</v>
      </c>
      <c r="B110" s="3" t="s">
        <v>4449</v>
      </c>
      <c r="C110" s="3" t="s">
        <v>4450</v>
      </c>
      <c r="D110" s="3" t="s">
        <v>4451</v>
      </c>
      <c r="E110" s="3" t="s">
        <v>4452</v>
      </c>
      <c r="G110" s="8" t="str">
        <f>IFERROR(__xludf.DUMMYFUNCTION("GOOGLETRANSLATE(A110, ""en"", ""hi"")"),"109")</f>
        <v>109</v>
      </c>
      <c r="H110" s="8" t="str">
        <f>IFERROR(__xludf.DUMMYFUNCTION("GOOGLETRANSLATE(B110, ""en"", ""hi"")"),"मलखंभ_27")</f>
        <v>मलखंभ_27</v>
      </c>
      <c r="I110" s="8" t="str">
        <f>IFERROR(__xludf.DUMMYFUNCTION("GOOGLETRANSLATE(C110, ""en"", ""hi"")"),"चित्र में किस प्रकार का मल्लखम्ब प्रदर्शित किया जा रहा है?")</f>
        <v>चित्र में किस प्रकार का मल्लखम्ब प्रदर्शित किया जा रहा है?</v>
      </c>
      <c r="J110" s="8" t="str">
        <f>IFERROR(__xludf.DUMMYFUNCTION("GOOGLETRANSLATE(D110, ""en"", ""hi"")"),"A) स्थिर पोल, B) लटकता हुआ पोल, C) रस्सी, D) जल-आधारित")</f>
        <v>A) स्थिर पोल, B) लटकता हुआ पोल, C) रस्सी, D) जल-आधारित</v>
      </c>
      <c r="K110" s="8" t="str">
        <f>IFERROR(__xludf.DUMMYFUNCTION("GOOGLETRANSLATE(E110, ""en"", ""hi"")"),"सी) रस्सी")</f>
        <v>सी) रस्सी</v>
      </c>
    </row>
    <row r="111" ht="22.5" customHeight="1">
      <c r="A111" s="2">
        <v>110.0</v>
      </c>
      <c r="B111" s="3" t="s">
        <v>4449</v>
      </c>
      <c r="C111" s="3" t="s">
        <v>4453</v>
      </c>
      <c r="D111" s="3" t="s">
        <v>4454</v>
      </c>
      <c r="E111" s="3" t="s">
        <v>4455</v>
      </c>
      <c r="G111" s="8" t="str">
        <f>IFERROR(__xludf.DUMMYFUNCTION("GOOGLETRANSLATE(A111, ""en"", ""hi"")"),"110")</f>
        <v>110</v>
      </c>
      <c r="H111" s="8" t="str">
        <f>IFERROR(__xludf.DUMMYFUNCTION("GOOGLETRANSLATE(B111, ""en"", ""hi"")"),"मलखंभ_27")</f>
        <v>मलखंभ_27</v>
      </c>
      <c r="I111" s="8" t="str">
        <f>IFERROR(__xludf.DUMMYFUNCTION("GOOGLETRANSLATE(C111, ""en"", ""hi"")"),"चित्र में दिखाए गए खेल के लिए रस्सी का क्या उद्देश्य है?")</f>
        <v>चित्र में दिखाए गए खेल के लिए रस्सी का क्या उद्देश्य है?</v>
      </c>
      <c r="J111" s="8" t="str">
        <f>IFERROR(__xludf.DUMMYFUNCTION("GOOGLETRANSLATE(D111, ""en"", ""hi"")"),"A) संतुलन में सहायता, B) चढ़ने में सहायता, C) लचीलापन प्रदान करना, D) गति में सहायता")</f>
        <v>A) संतुलन में सहायता, B) चढ़ने में सहायता, C) लचीलापन प्रदान करना, D) गति में सहायता</v>
      </c>
      <c r="K111" s="8" t="str">
        <f>IFERROR(__xludf.DUMMYFUNCTION("GOOGLETRANSLATE(E111, ""en"", ""hi"")"),"बी) चढ़ाई में सहायता करना")</f>
        <v>बी) चढ़ाई में सहायता करना</v>
      </c>
    </row>
    <row r="112" ht="22.5" customHeight="1">
      <c r="A112" s="2">
        <v>111.0</v>
      </c>
      <c r="B112" s="3" t="s">
        <v>4449</v>
      </c>
      <c r="C112" s="3" t="s">
        <v>4456</v>
      </c>
      <c r="D112" s="3" t="s">
        <v>4457</v>
      </c>
      <c r="E112" s="3" t="s">
        <v>4458</v>
      </c>
      <c r="G112" s="8" t="str">
        <f>IFERROR(__xludf.DUMMYFUNCTION("GOOGLETRANSLATE(A112, ""en"", ""hi"")"),"111")</f>
        <v>111</v>
      </c>
      <c r="H112" s="8" t="str">
        <f>IFERROR(__xludf.DUMMYFUNCTION("GOOGLETRANSLATE(B112, ""en"", ""hi"")"),"मलखंभ_27")</f>
        <v>मलखंभ_27</v>
      </c>
      <c r="I112" s="8" t="str">
        <f>IFERROR(__xludf.DUMMYFUNCTION("GOOGLETRANSLATE(C112, ""en"", ""hi"")"),"चित्र में दिख रहे एथलीट के लिए किस प्रकार का प्रशिक्षण आवश्यक है?")</f>
        <v>चित्र में दिख रहे एथलीट के लिए किस प्रकार का प्रशिक्षण आवश्यक है?</v>
      </c>
      <c r="J112" s="8" t="str">
        <f>IFERROR(__xludf.DUMMYFUNCTION("GOOGLETRANSLATE(D112, ""en"", ""hi"")"),"A) गति प्रशिक्षण, B) शक्ति प्रशिक्षण, C) धीरज प्रशिक्षण, D) लचीलापन प्रशिक्षण")</f>
        <v>A) गति प्रशिक्षण, B) शक्ति प्रशिक्षण, C) धीरज प्रशिक्षण, D) लचीलापन प्रशिक्षण</v>
      </c>
      <c r="K112" s="8" t="str">
        <f>IFERROR(__xludf.DUMMYFUNCTION("GOOGLETRANSLATE(E112, ""en"", ""hi"")"),"सी) धीरज प्रशिक्षण")</f>
        <v>सी) धीरज प्रशिक्षण</v>
      </c>
    </row>
    <row r="113" ht="22.5" customHeight="1">
      <c r="A113" s="2">
        <v>112.0</v>
      </c>
      <c r="B113" s="3" t="s">
        <v>4449</v>
      </c>
      <c r="C113" s="3" t="s">
        <v>4459</v>
      </c>
      <c r="D113" s="3" t="s">
        <v>4460</v>
      </c>
      <c r="E113" s="3" t="s">
        <v>4461</v>
      </c>
      <c r="G113" s="8" t="str">
        <f>IFERROR(__xludf.DUMMYFUNCTION("GOOGLETRANSLATE(A113, ""en"", ""hi"")"),"112")</f>
        <v>112</v>
      </c>
      <c r="H113" s="8" t="str">
        <f>IFERROR(__xludf.DUMMYFUNCTION("GOOGLETRANSLATE(B113, ""en"", ""hi"")"),"मलखंभ_27")</f>
        <v>मलखंभ_27</v>
      </c>
      <c r="I113" s="8" t="str">
        <f>IFERROR(__xludf.DUMMYFUNCTION("GOOGLETRANSLATE(C113, ""en"", ""hi"")"),"चित्र में एथलीट किस स्थिति में प्रदर्शन कर रहा है?")</f>
        <v>चित्र में एथलीट किस स्थिति में प्रदर्शन कर रहा है?</v>
      </c>
      <c r="J113" s="8" t="str">
        <f>IFERROR(__xludf.DUMMYFUNCTION("GOOGLETRANSLATE(D113, ""en"", ""hi"")"),"ए) हैंडस्टैंड, बी) बैकबेंड, सी) स्प्लिट, डी) क्लाइम्बिंग पोज़")</f>
        <v>ए) हैंडस्टैंड, बी) बैकबेंड, सी) स्प्लिट, डी) क्लाइम्बिंग पोज़</v>
      </c>
      <c r="K113" s="8" t="str">
        <f>IFERROR(__xludf.DUMMYFUNCTION("GOOGLETRANSLATE(E113, ""en"", ""hi"")"),"डी) चढ़ाई की मुद्रा")</f>
        <v>डी) चढ़ाई की मुद्रा</v>
      </c>
    </row>
    <row r="114" ht="22.5" customHeight="1">
      <c r="A114" s="2">
        <v>113.0</v>
      </c>
      <c r="B114" s="3" t="s">
        <v>4462</v>
      </c>
      <c r="C114" s="3" t="s">
        <v>4463</v>
      </c>
      <c r="D114" s="3" t="s">
        <v>4464</v>
      </c>
      <c r="E114" s="3" t="s">
        <v>4203</v>
      </c>
      <c r="G114" s="8" t="str">
        <f>IFERROR(__xludf.DUMMYFUNCTION("GOOGLETRANSLATE(A114, ""en"", ""hi"")"),"113")</f>
        <v>113</v>
      </c>
      <c r="H114" s="8" t="str">
        <f>IFERROR(__xludf.DUMMYFUNCTION("GOOGLETRANSLATE(B114, ""en"", ""hi"")"),"मलखंभ_28")</f>
        <v>मलखंभ_28</v>
      </c>
      <c r="I114" s="8" t="str">
        <f>IFERROR(__xludf.DUMMYFUNCTION("GOOGLETRANSLATE(C114, ""en"", ""hi"")"),"भारत का कौन सा क्षेत्र पारंपरिक रूप से छवि में खेल का अभ्यास करने के लिए जाना जाता है?")</f>
        <v>भारत का कौन सा क्षेत्र पारंपरिक रूप से छवि में खेल का अभ्यास करने के लिए जाना जाता है?</v>
      </c>
      <c r="J114" s="8" t="str">
        <f>IFERROR(__xludf.DUMMYFUNCTION("GOOGLETRANSLATE(D114, ""en"", ""hi"")"),"ए) महाराष्ट्र, बी) पंजाब, सी) केरल, डी) गुजरात")</f>
        <v>ए) महाराष्ट्र, बी) पंजाब, सी) केरल, डी) गुजरात</v>
      </c>
      <c r="K114" s="8" t="str">
        <f>IFERROR(__xludf.DUMMYFUNCTION("GOOGLETRANSLATE(E114, ""en"", ""hi"")"),"A) महाराष्ट्र")</f>
        <v>A) महाराष्ट्र</v>
      </c>
    </row>
    <row r="115" ht="22.5" customHeight="1">
      <c r="A115" s="2">
        <v>114.0</v>
      </c>
      <c r="B115" s="3" t="s">
        <v>4462</v>
      </c>
      <c r="C115" s="3" t="s">
        <v>4465</v>
      </c>
      <c r="D115" s="3" t="s">
        <v>4466</v>
      </c>
      <c r="E115" s="3" t="s">
        <v>4467</v>
      </c>
      <c r="G115" s="8" t="str">
        <f>IFERROR(__xludf.DUMMYFUNCTION("GOOGLETRANSLATE(A115, ""en"", ""hi"")"),"114")</f>
        <v>114</v>
      </c>
      <c r="H115" s="8" t="str">
        <f>IFERROR(__xludf.DUMMYFUNCTION("GOOGLETRANSLATE(B115, ""en"", ""hi"")"),"मलखंभ_28")</f>
        <v>मलखंभ_28</v>
      </c>
      <c r="I115" s="8" t="str">
        <f>IFERROR(__xludf.DUMMYFUNCTION("GOOGLETRANSLATE(C115, ""en"", ""hi"")"),"चित्र में दिखाए गए खेल में भाग लेने वाले प्रतिभागियों द्वारा पहनी जाने वाली सामान्य पोशाक क्या है?")</f>
        <v>चित्र में दिखाए गए खेल में भाग लेने वाले प्रतिभागियों द्वारा पहनी जाने वाली सामान्य पोशाक क्या है?</v>
      </c>
      <c r="J115" s="8" t="str">
        <f>IFERROR(__xludf.DUMMYFUNCTION("GOOGLETRANSLATE(D115, ""en"", ""hi"")"),"A) पारंपरिक भारतीय कपड़े, B) जिमनास्टिक्स लियोटार्ड, C) शॉर्ट्स और टैंक टॉप, D) कराटे जिम")</f>
        <v>A) पारंपरिक भारतीय कपड़े, B) जिमनास्टिक्स लियोटार्ड, C) शॉर्ट्स और टैंक टॉप, D) कराटे जिम</v>
      </c>
      <c r="K115" s="8" t="str">
        <f>IFERROR(__xludf.DUMMYFUNCTION("GOOGLETRANSLATE(E115, ""en"", ""hi"")"),"सी) शॉर्ट्स और टैंक टॉप")</f>
        <v>सी) शॉर्ट्स और टैंक टॉप</v>
      </c>
    </row>
    <row r="116" ht="22.5" customHeight="1">
      <c r="A116" s="2">
        <v>115.0</v>
      </c>
      <c r="B116" s="3" t="s">
        <v>4462</v>
      </c>
      <c r="C116" s="3" t="s">
        <v>4468</v>
      </c>
      <c r="D116" s="3" t="s">
        <v>4469</v>
      </c>
      <c r="E116" s="3" t="s">
        <v>4470</v>
      </c>
      <c r="G116" s="8" t="str">
        <f>IFERROR(__xludf.DUMMYFUNCTION("GOOGLETRANSLATE(A116, ""en"", ""hi"")"),"115")</f>
        <v>115</v>
      </c>
      <c r="H116" s="8" t="str">
        <f>IFERROR(__xludf.DUMMYFUNCTION("GOOGLETRANSLATE(B116, ""en"", ""hi"")"),"मलखंभ_28")</f>
        <v>मलखंभ_28</v>
      </c>
      <c r="I116" s="8" t="str">
        <f>IFERROR(__xludf.DUMMYFUNCTION("GOOGLETRANSLATE(C116, ""en"", ""hi"")"),"चित्र में दिखाए गए खेल के लिए मुख्यतः शरीर के किस भाग का उपयोग किया गया है?")</f>
        <v>चित्र में दिखाए गए खेल के लिए मुख्यतः शरीर के किस भाग का उपयोग किया गया है?</v>
      </c>
      <c r="J116" s="8" t="str">
        <f>IFERROR(__xludf.DUMMYFUNCTION("GOOGLETRANSLATE(D116, ""en"", ""hi"")"),"A) भुजाएँ, B) पैर, C) कोर, D) हाथ और पैर")</f>
        <v>A) भुजाएँ, B) पैर, C) कोर, D) हाथ और पैर</v>
      </c>
      <c r="K116" s="8" t="str">
        <f>IFERROR(__xludf.DUMMYFUNCTION("GOOGLETRANSLATE(E116, ""en"", ""hi"")"),"डी) हाथ और पैर")</f>
        <v>डी) हाथ और पैर</v>
      </c>
    </row>
    <row r="117" ht="22.5" customHeight="1">
      <c r="A117" s="2">
        <v>116.0</v>
      </c>
      <c r="B117" s="3" t="s">
        <v>4462</v>
      </c>
      <c r="C117" s="3" t="s">
        <v>4471</v>
      </c>
      <c r="D117" s="3" t="s">
        <v>4472</v>
      </c>
      <c r="E117" s="3" t="s">
        <v>3915</v>
      </c>
      <c r="G117" s="8" t="str">
        <f>IFERROR(__xludf.DUMMYFUNCTION("GOOGLETRANSLATE(A117, ""en"", ""hi"")"),"116")</f>
        <v>116</v>
      </c>
      <c r="H117" s="8" t="str">
        <f>IFERROR(__xludf.DUMMYFUNCTION("GOOGLETRANSLATE(B117, ""en"", ""hi"")"),"मलखंभ_28")</f>
        <v>मलखंभ_28</v>
      </c>
      <c r="I117" s="8" t="str">
        <f>IFERROR(__xludf.DUMMYFUNCTION("GOOGLETRANSLATE(C117, ""en"", ""hi"")"),"चित्र में दिखाए गए खेल में मुख्य कौशल क्या प्रदर्शित किया गया है?")</f>
        <v>चित्र में दिखाए गए खेल में मुख्य कौशल क्या प्रदर्शित किया गया है?</v>
      </c>
      <c r="J117" s="8" t="str">
        <f>IFERROR(__xludf.DUMMYFUNCTION("GOOGLETRANSLATE(D117, ""en"", ""hi"")"),"A) लचीलापन, B) संतुलन, C) चपलता, D) धीरज")</f>
        <v>A) लचीलापन, B) संतुलन, C) चपलता, D) धीरज</v>
      </c>
      <c r="K117" s="8" t="str">
        <f>IFERROR(__xludf.DUMMYFUNCTION("GOOGLETRANSLATE(E117, ""en"", ""hi"")"),"बी) संतुलन")</f>
        <v>बी) संतुलन</v>
      </c>
    </row>
    <row r="118" ht="22.5" customHeight="1">
      <c r="A118" s="2">
        <v>117.0</v>
      </c>
      <c r="B118" s="3" t="s">
        <v>4473</v>
      </c>
      <c r="C118" s="3" t="s">
        <v>4474</v>
      </c>
      <c r="D118" s="3" t="s">
        <v>4475</v>
      </c>
      <c r="E118" s="3" t="s">
        <v>622</v>
      </c>
      <c r="G118" s="8" t="str">
        <f>IFERROR(__xludf.DUMMYFUNCTION("GOOGLETRANSLATE(A118, ""en"", ""hi"")"),"117")</f>
        <v>117</v>
      </c>
      <c r="H118" s="8" t="str">
        <f>IFERROR(__xludf.DUMMYFUNCTION("GOOGLETRANSLATE(B118, ""en"", ""hi"")"),"मलखंभ_29")</f>
        <v>मलखंभ_29</v>
      </c>
      <c r="I118" s="8" t="str">
        <f>IFERROR(__xludf.DUMMYFUNCTION("GOOGLETRANSLATE(C118, ""en"", ""hi"")"),"चित्र में दिखाए गए खेल के लिए मुख्य उपकरण किससे बना है?")</f>
        <v>चित्र में दिखाए गए खेल के लिए मुख्य उपकरण किससे बना है?</v>
      </c>
      <c r="J118" s="8" t="str">
        <f>IFERROR(__xludf.DUMMYFUNCTION("GOOGLETRANSLATE(D118, ""en"", ""hi"")"),"A) धातु, B) लकड़ी, C) प्लास्टिक, D) स्टील")</f>
        <v>A) धातु, B) लकड़ी, C) प्लास्टिक, D) स्टील</v>
      </c>
      <c r="K118" s="8" t="str">
        <f>IFERROR(__xludf.DUMMYFUNCTION("GOOGLETRANSLATE(E118, ""en"", ""hi"")"),"बी) लकड़ी")</f>
        <v>बी) लकड़ी</v>
      </c>
    </row>
    <row r="119" ht="22.5" customHeight="1">
      <c r="A119" s="2">
        <v>118.0</v>
      </c>
      <c r="B119" s="3" t="s">
        <v>4473</v>
      </c>
      <c r="C119" s="3" t="s">
        <v>4476</v>
      </c>
      <c r="D119" s="3" t="s">
        <v>4477</v>
      </c>
      <c r="E119" s="3" t="s">
        <v>4478</v>
      </c>
      <c r="G119" s="8" t="str">
        <f>IFERROR(__xludf.DUMMYFUNCTION("GOOGLETRANSLATE(A119, ""en"", ""hi"")"),"118")</f>
        <v>118</v>
      </c>
      <c r="H119" s="8" t="str">
        <f>IFERROR(__xludf.DUMMYFUNCTION("GOOGLETRANSLATE(B119, ""en"", ""hi"")"),"मलखंभ_29")</f>
        <v>मलखंभ_29</v>
      </c>
      <c r="I119" s="8" t="str">
        <f>IFERROR(__xludf.DUMMYFUNCTION("GOOGLETRANSLATE(C119, ""en"", ""hi"")"),"चित्र में दिखाए गए खेल का अभ्यास करने से कौन सा शारीरिक कौशल बढ़ता है?")</f>
        <v>चित्र में दिखाए गए खेल का अभ्यास करने से कौन सा शारीरिक कौशल बढ़ता है?</v>
      </c>
      <c r="J119" s="8" t="str">
        <f>IFERROR(__xludf.DUMMYFUNCTION("GOOGLETRANSLATE(D119, ""en"", ""hi"")"),"A) कार्डियो, B) लचीलापन, C) ताकत, D) गति")</f>
        <v>A) कार्डियो, B) लचीलापन, C) ताकत, D) गति</v>
      </c>
      <c r="K119" s="8" t="str">
        <f>IFERROR(__xludf.DUMMYFUNCTION("GOOGLETRANSLATE(E119, ""en"", ""hi"")"),"सी) ताकत")</f>
        <v>सी) ताकत</v>
      </c>
    </row>
    <row r="120" ht="22.5" customHeight="1">
      <c r="A120" s="2">
        <v>119.0</v>
      </c>
      <c r="B120" s="3" t="s">
        <v>4473</v>
      </c>
      <c r="C120" s="3" t="s">
        <v>4479</v>
      </c>
      <c r="D120" s="3" t="s">
        <v>4480</v>
      </c>
      <c r="E120" s="3" t="s">
        <v>4481</v>
      </c>
      <c r="G120" s="8" t="str">
        <f>IFERROR(__xludf.DUMMYFUNCTION("GOOGLETRANSLATE(A120, ""en"", ""hi"")"),"119")</f>
        <v>119</v>
      </c>
      <c r="H120" s="8" t="str">
        <f>IFERROR(__xludf.DUMMYFUNCTION("GOOGLETRANSLATE(B120, ""en"", ""hi"")"),"मलखंभ_29")</f>
        <v>मलखंभ_29</v>
      </c>
      <c r="I120" s="8" t="str">
        <f>IFERROR(__xludf.DUMMYFUNCTION("GOOGLETRANSLATE(C120, ""en"", ""hi"")"),"कौन सा ऐतिहासिक व्यक्ति छवि में खेल को बढ़ावा देने के लिए जाना जाता है?")</f>
        <v>कौन सा ऐतिहासिक व्यक्ति छवि में खेल को बढ़ावा देने के लिए जाना जाता है?</v>
      </c>
      <c r="J120" s="8" t="str">
        <f>IFERROR(__xludf.DUMMYFUNCTION("GOOGLETRANSLATE(D120, ""en"", ""hi"")"),"ए) बालमभट्ट देवधर, बी) महात्मा गांधी, सी) अक्षय कुमार, डी) सरदार पटेल")</f>
        <v>ए) बालमभट्ट देवधर, बी) महात्मा गांधी, सी) अक्षय कुमार, डी) सरदार पटेल</v>
      </c>
      <c r="K120" s="8" t="str">
        <f>IFERROR(__xludf.DUMMYFUNCTION("GOOGLETRANSLATE(E120, ""en"", ""hi"")"),"A) बलमभट्ट देवधर")</f>
        <v>A) बलमभट्ट देवधर</v>
      </c>
    </row>
    <row r="121" ht="22.5" customHeight="1">
      <c r="A121" s="2">
        <v>120.0</v>
      </c>
      <c r="B121" s="3" t="s">
        <v>4473</v>
      </c>
      <c r="C121" s="3" t="s">
        <v>4482</v>
      </c>
      <c r="D121" s="3" t="s">
        <v>4483</v>
      </c>
      <c r="E121" s="3" t="s">
        <v>4484</v>
      </c>
      <c r="G121" s="8" t="str">
        <f>IFERROR(__xludf.DUMMYFUNCTION("GOOGLETRANSLATE(A121, ""en"", ""hi"")"),"120")</f>
        <v>120</v>
      </c>
      <c r="H121" s="8" t="str">
        <f>IFERROR(__xludf.DUMMYFUNCTION("GOOGLETRANSLATE(B121, ""en"", ""hi"")"),"मलखंभ_29")</f>
        <v>मलखंभ_29</v>
      </c>
      <c r="I121" s="8" t="str">
        <f>IFERROR(__xludf.DUMMYFUNCTION("GOOGLETRANSLATE(C121, ""en"", ""hi"")"),"चित्र में दिखाया गया खंभा संभवतः किस सतह पर रखा गया है?")</f>
        <v>चित्र में दिखाया गया खंभा संभवतः किस सतह पर रखा गया है?</v>
      </c>
      <c r="J121" s="8" t="str">
        <f>IFERROR(__xludf.DUMMYFUNCTION("GOOGLETRANSLATE(D121, ""en"", ""hi"")"),"A) लकड़ी का प्लेटफार्म, B) घास, C) रेत, D) रबर की चटाई")</f>
        <v>A) लकड़ी का प्लेटफार्म, B) घास, C) रेत, D) रबर की चटाई</v>
      </c>
      <c r="K121" s="8" t="str">
        <f>IFERROR(__xludf.DUMMYFUNCTION("GOOGLETRANSLATE(E121, ""en"", ""hi"")"),"A) लकड़ी का मंच")</f>
        <v>A) लकड़ी का मंच</v>
      </c>
    </row>
    <row r="122" ht="22.5" customHeight="1">
      <c r="A122" s="2">
        <v>121.0</v>
      </c>
      <c r="B122" s="3" t="s">
        <v>4485</v>
      </c>
      <c r="C122" s="3" t="s">
        <v>4486</v>
      </c>
      <c r="D122" s="3" t="s">
        <v>4487</v>
      </c>
      <c r="E122" s="3" t="s">
        <v>2931</v>
      </c>
      <c r="G122" s="8" t="str">
        <f>IFERROR(__xludf.DUMMYFUNCTION("GOOGLETRANSLATE(A122, ""en"", ""hi"")"),"121")</f>
        <v>121</v>
      </c>
      <c r="H122" s="8" t="str">
        <f>IFERROR(__xludf.DUMMYFUNCTION("GOOGLETRANSLATE(B122, ""en"", ""hi"")"),"मलखंभ_30")</f>
        <v>मलखंभ_30</v>
      </c>
      <c r="I122" s="8" t="str">
        <f>IFERROR(__xludf.DUMMYFUNCTION("GOOGLETRANSLATE(C122, ""en"", ""hi"")"),"चित्र में दिखाए गए खेल के लिए, एथलीट की स्थिति का आकलन कैसे किया जाता है?")</f>
        <v>चित्र में दिखाए गए खेल के लिए, एथलीट की स्थिति का आकलन कैसे किया जाता है?</v>
      </c>
      <c r="J122" s="8" t="str">
        <f>IFERROR(__xludf.DUMMYFUNCTION("GOOGLETRANSLATE(D122, ""en"", ""hi"")"),"A) गति, B) परिशुद्धता, C) रचनात्मकता, D) लिया गया समय")</f>
        <v>A) गति, B) परिशुद्धता, C) रचनात्मकता, D) लिया गया समय</v>
      </c>
      <c r="K122" s="8" t="str">
        <f>IFERROR(__xludf.DUMMYFUNCTION("GOOGLETRANSLATE(E122, ""en"", ""hi"")"),"बी) परिशुद्धता")</f>
        <v>बी) परिशुद्धता</v>
      </c>
    </row>
    <row r="123" ht="22.5" customHeight="1">
      <c r="A123" s="2">
        <v>122.0</v>
      </c>
      <c r="B123" s="3" t="s">
        <v>4485</v>
      </c>
      <c r="C123" s="3" t="s">
        <v>4170</v>
      </c>
      <c r="D123" s="3" t="s">
        <v>4488</v>
      </c>
      <c r="E123" s="3" t="s">
        <v>4489</v>
      </c>
      <c r="G123" s="8" t="str">
        <f>IFERROR(__xludf.DUMMYFUNCTION("GOOGLETRANSLATE(A123, ""en"", ""hi"")"),"122")</f>
        <v>122</v>
      </c>
      <c r="H123" s="8" t="str">
        <f>IFERROR(__xludf.DUMMYFUNCTION("GOOGLETRANSLATE(B123, ""en"", ""hi"")"),"मलखंभ_30")</f>
        <v>मलखंभ_30</v>
      </c>
      <c r="I123" s="8" t="str">
        <f>IFERROR(__xludf.DUMMYFUNCTION("GOOGLETRANSLATE(C123, ""en"", ""hi"")"),"चित्र में किस प्रकार का मल्लखम्ब दर्शाया गया है?")</f>
        <v>चित्र में किस प्रकार का मल्लखम्ब दर्शाया गया है?</v>
      </c>
      <c r="J123" s="8" t="str">
        <f>IFERROR(__xludf.DUMMYFUNCTION("GOOGLETRANSLATE(D123, ""en"", ""hi"")"),"A) स्थिर पोल, B) रस्सी, C) लटकता पोल, D) जल-आधारित")</f>
        <v>A) स्थिर पोल, B) रस्सी, C) लटकता पोल, D) जल-आधारित</v>
      </c>
      <c r="K123" s="8" t="str">
        <f>IFERROR(__xludf.DUMMYFUNCTION("GOOGLETRANSLATE(E123, ""en"", ""hi"")"),"ए) स्थिर ध्रुव")</f>
        <v>ए) स्थिर ध्रुव</v>
      </c>
    </row>
    <row r="124" ht="22.5" customHeight="1">
      <c r="A124" s="2">
        <v>123.0</v>
      </c>
      <c r="B124" s="3" t="s">
        <v>4485</v>
      </c>
      <c r="C124" s="3" t="s">
        <v>4235</v>
      </c>
      <c r="D124" s="3" t="s">
        <v>4490</v>
      </c>
      <c r="E124" s="3" t="s">
        <v>4491</v>
      </c>
      <c r="G124" s="8" t="str">
        <f>IFERROR(__xludf.DUMMYFUNCTION("GOOGLETRANSLATE(A124, ""en"", ""hi"")"),"123")</f>
        <v>123</v>
      </c>
      <c r="H124" s="8" t="str">
        <f>IFERROR(__xludf.DUMMYFUNCTION("GOOGLETRANSLATE(B124, ""en"", ""hi"")"),"मलखंभ_30")</f>
        <v>मलखंभ_30</v>
      </c>
      <c r="I124" s="8" t="str">
        <f>IFERROR(__xludf.DUMMYFUNCTION("GOOGLETRANSLATE(C124, ""en"", ""hi"")"),"मल्लखम्ब विश्व चैम्पियनशिप का आयोजन किस संगठन ने किया?")</f>
        <v>मल्लखम्ब विश्व चैम्पियनशिप का आयोजन किस संगठन ने किया?</v>
      </c>
      <c r="J124" s="8" t="str">
        <f>IFERROR(__xludf.DUMMYFUNCTION("GOOGLETRANSLATE(D124, ""en"", ""hi"")"),"A) भारतीय ओलंपिक संघ, B) अंतर्राष्ट्रीय मल्लखंब महासंघ, C) विश्व जिम्नास्टिक महासंघ, D) भारतीय खेल प्राधिकरण")</f>
        <v>A) भारतीय ओलंपिक संघ, B) अंतर्राष्ट्रीय मल्लखंब महासंघ, C) विश्व जिम्नास्टिक महासंघ, D) भारतीय खेल प्राधिकरण</v>
      </c>
      <c r="K124" s="8" t="str">
        <f>IFERROR(__xludf.DUMMYFUNCTION("GOOGLETRANSLATE(E124, ""en"", ""hi"")"),"बी) अंतर्राष्ट्रीय मल्लखंब महासंघ")</f>
        <v>बी) अंतर्राष्ट्रीय मल्लखंब महासंघ</v>
      </c>
    </row>
    <row r="125" ht="22.5" customHeight="1">
      <c r="A125" s="2">
        <v>124.0</v>
      </c>
      <c r="B125" s="3" t="s">
        <v>4485</v>
      </c>
      <c r="C125" s="3" t="s">
        <v>4492</v>
      </c>
      <c r="D125" s="3" t="s">
        <v>4493</v>
      </c>
      <c r="E125" s="3" t="s">
        <v>4494</v>
      </c>
      <c r="G125" s="8" t="str">
        <f>IFERROR(__xludf.DUMMYFUNCTION("GOOGLETRANSLATE(A125, ""en"", ""hi"")"),"124")</f>
        <v>124</v>
      </c>
      <c r="H125" s="8" t="str">
        <f>IFERROR(__xludf.DUMMYFUNCTION("GOOGLETRANSLATE(B125, ""en"", ""hi"")"),"मलखंभ_30")</f>
        <v>मलखंभ_30</v>
      </c>
      <c r="I125" s="8" t="str">
        <f>IFERROR(__xludf.DUMMYFUNCTION("GOOGLETRANSLATE(C125, ""en"", ""hi"")"),"चित्र में दिखाए गए खेल में रस्सी की मुख्य विशेषता क्या है?")</f>
        <v>चित्र में दिखाए गए खेल में रस्सी की मुख्य विशेषता क्या है?</v>
      </c>
      <c r="J125" s="8" t="str">
        <f>IFERROR(__xludf.DUMMYFUNCTION("GOOGLETRANSLATE(D125, ""en"", ""hi"")"),"A) इसकी लंबाई, B) इसका लचीलापन, C) इसकी मजबूती, D) इसकी बनावट")</f>
        <v>A) इसकी लंबाई, B) इसका लचीलापन, C) इसकी मजबूती, D) इसकी बनावट</v>
      </c>
      <c r="K125" s="8" t="str">
        <f>IFERROR(__xludf.DUMMYFUNCTION("GOOGLETRANSLATE(E125, ""en"", ""hi"")"),"C) इसकी ताकत")</f>
        <v>C) इसकी ताकत</v>
      </c>
    </row>
    <row r="126" ht="22.5" customHeight="1">
      <c r="A126" s="2">
        <v>125.0</v>
      </c>
      <c r="B126" s="3" t="s">
        <v>4495</v>
      </c>
      <c r="C126" s="3" t="s">
        <v>4496</v>
      </c>
      <c r="D126" s="3" t="s">
        <v>4497</v>
      </c>
      <c r="E126" s="3" t="s">
        <v>4498</v>
      </c>
      <c r="G126" s="8" t="str">
        <f>IFERROR(__xludf.DUMMYFUNCTION("GOOGLETRANSLATE(A126, ""en"", ""hi"")"),"125")</f>
        <v>125</v>
      </c>
      <c r="H126" s="8" t="str">
        <f>IFERROR(__xludf.DUMMYFUNCTION("GOOGLETRANSLATE(B126, ""en"", ""hi"")"),"मलखंभ_31")</f>
        <v>मलखंभ_31</v>
      </c>
      <c r="I126" s="8" t="str">
        <f>IFERROR(__xludf.DUMMYFUNCTION("GOOGLETRANSLATE(C126, ""en"", ""hi"")"),"चित्र में दिखाए गए खेल का अभ्यास करने का प्राथमिक उद्देश्य क्या है?")</f>
        <v>चित्र में दिखाए गए खेल का अभ्यास करने का प्राथमिक उद्देश्य क्या है?</v>
      </c>
      <c r="J126" s="8" t="str">
        <f>IFERROR(__xludf.DUMMYFUNCTION("GOOGLETRANSLATE(D126, ""en"", ""hi"")"),"A) स्वास्थ्य लाभ, B) रक्षा कौशल, C) मनोरंजन, D) ध्यान")</f>
        <v>A) स्वास्थ्य लाभ, B) रक्षा कौशल, C) मनोरंजन, D) ध्यान</v>
      </c>
      <c r="K126" s="8" t="str">
        <f>IFERROR(__xludf.DUMMYFUNCTION("GOOGLETRANSLATE(E126, ""en"", ""hi"")"),"A) स्वास्थ्य लाभ")</f>
        <v>A) स्वास्थ्य लाभ</v>
      </c>
    </row>
    <row r="127" ht="22.5" customHeight="1">
      <c r="A127" s="2">
        <v>126.0</v>
      </c>
      <c r="B127" s="3" t="s">
        <v>4495</v>
      </c>
      <c r="C127" s="3" t="s">
        <v>4499</v>
      </c>
      <c r="D127" s="3" t="s">
        <v>4500</v>
      </c>
      <c r="E127" s="3" t="s">
        <v>4501</v>
      </c>
      <c r="G127" s="8" t="str">
        <f>IFERROR(__xludf.DUMMYFUNCTION("GOOGLETRANSLATE(A127, ""en"", ""hi"")"),"126")</f>
        <v>126</v>
      </c>
      <c r="H127" s="8" t="str">
        <f>IFERROR(__xludf.DUMMYFUNCTION("GOOGLETRANSLATE(B127, ""en"", ""hi"")"),"मलखंभ_31")</f>
        <v>मलखंभ_31</v>
      </c>
      <c r="I127" s="8" t="str">
        <f>IFERROR(__xludf.DUMMYFUNCTION("GOOGLETRANSLATE(C127, ""en"", ""hi"")"),"चित्र में दिखाए गए खेल में मुख्य रूप से कौन सा मांसपेशी समूह शामिल है?")</f>
        <v>चित्र में दिखाए गए खेल में मुख्य रूप से कौन सा मांसपेशी समूह शामिल है?</v>
      </c>
      <c r="J127" s="8" t="str">
        <f>IFERROR(__xludf.DUMMYFUNCTION("GOOGLETRANSLATE(D127, ""en"", ""hi"")"),"A) पैर, B) कोर, C) बाहें, D) कंधे")</f>
        <v>A) पैर, B) कोर, C) बाहें, D) कंधे</v>
      </c>
      <c r="K127" s="8" t="str">
        <f>IFERROR(__xludf.DUMMYFUNCTION("GOOGLETRANSLATE(E127, ""en"", ""hi"")"),"बी) कोर")</f>
        <v>बी) कोर</v>
      </c>
    </row>
    <row r="128" ht="22.5" customHeight="1">
      <c r="A128" s="2">
        <v>127.0</v>
      </c>
      <c r="B128" s="3" t="s">
        <v>4495</v>
      </c>
      <c r="C128" s="3" t="s">
        <v>4502</v>
      </c>
      <c r="D128" s="3" t="s">
        <v>4503</v>
      </c>
      <c r="E128" s="3" t="s">
        <v>4504</v>
      </c>
      <c r="G128" s="8" t="str">
        <f>IFERROR(__xludf.DUMMYFUNCTION("GOOGLETRANSLATE(A128, ""en"", ""hi"")"),"127")</f>
        <v>127</v>
      </c>
      <c r="H128" s="8" t="str">
        <f>IFERROR(__xludf.DUMMYFUNCTION("GOOGLETRANSLATE(B128, ""en"", ""hi"")"),"मलखंभ_31")</f>
        <v>मलखंभ_31</v>
      </c>
      <c r="I128" s="8" t="str">
        <f>IFERROR(__xludf.DUMMYFUNCTION("GOOGLETRANSLATE(C128, ""en"", ""hi"")"),"चित्र में एथलीट के लिए किस प्रकार की पकड़ आवश्यक है?")</f>
        <v>चित्र में एथलीट के लिए किस प्रकार की पकड़ आवश्यक है?</v>
      </c>
      <c r="J128" s="8" t="str">
        <f>IFERROR(__xludf.DUMMYFUNCTION("GOOGLETRANSLATE(D128, ""en"", ""hi"")"),"A) मजबूत पकड़, B) ढीली पकड़, C) नरम पकड़, D) घूर्णी पकड़")</f>
        <v>A) मजबूत पकड़, B) ढीली पकड़, C) नरम पकड़, D) घूर्णी पकड़</v>
      </c>
      <c r="K128" s="8" t="str">
        <f>IFERROR(__xludf.DUMMYFUNCTION("GOOGLETRANSLATE(E128, ""en"", ""hi"")"),"A) मजबूत पकड़")</f>
        <v>A) मजबूत पकड़</v>
      </c>
    </row>
    <row r="129" ht="22.5" customHeight="1">
      <c r="A129" s="2">
        <v>128.0</v>
      </c>
      <c r="B129" s="3" t="s">
        <v>4495</v>
      </c>
      <c r="C129" s="3" t="s">
        <v>4505</v>
      </c>
      <c r="D129" s="3" t="s">
        <v>4506</v>
      </c>
      <c r="E129" s="3" t="s">
        <v>4388</v>
      </c>
      <c r="G129" s="8" t="str">
        <f>IFERROR(__xludf.DUMMYFUNCTION("GOOGLETRANSLATE(A129, ""en"", ""hi"")"),"128")</f>
        <v>128</v>
      </c>
      <c r="H129" s="8" t="str">
        <f>IFERROR(__xludf.DUMMYFUNCTION("GOOGLETRANSLATE(B129, ""en"", ""hi"")"),"मलखंभ_31")</f>
        <v>मलखंभ_31</v>
      </c>
      <c r="I129" s="8" t="str">
        <f>IFERROR(__xludf.DUMMYFUNCTION("GOOGLETRANSLATE(C129, ""en"", ""hi"")"),"चित्र में दिखाए गए खेल में अरंडी के तेल का उपयोग करने का उद्देश्य क्या है?")</f>
        <v>चित्र में दिखाए गए खेल में अरंडी के तेल का उपयोग करने का उद्देश्य क्या है?</v>
      </c>
      <c r="J129" s="8" t="str">
        <f>IFERROR(__xludf.DUMMYFUNCTION("GOOGLETRANSLATE(D129, ""en"", ""hi"")"),"A) घर्षण कम करने के लिए, B) पकड़ बढ़ाने के लिए, C) उपकरणों को चमकाने के लिए, D) चोटों को रोकने के लिए")</f>
        <v>A) घर्षण कम करने के लिए, B) पकड़ बढ़ाने के लिए, C) उपकरणों को चमकाने के लिए, D) चोटों को रोकने के लिए</v>
      </c>
      <c r="K129" s="8" t="str">
        <f>IFERROR(__xludf.DUMMYFUNCTION("GOOGLETRANSLATE(E129, ""en"", ""hi"")"),"बी) पकड़ बढ़ाने के लिए")</f>
        <v>बी) पकड़ बढ़ाने के लिए</v>
      </c>
    </row>
    <row r="130" ht="22.5" customHeight="1">
      <c r="A130" s="2">
        <v>129.0</v>
      </c>
      <c r="B130" s="3" t="s">
        <v>4507</v>
      </c>
      <c r="C130" s="3" t="s">
        <v>4508</v>
      </c>
      <c r="D130" s="3" t="s">
        <v>4509</v>
      </c>
      <c r="E130" s="3" t="s">
        <v>4203</v>
      </c>
      <c r="G130" s="8" t="str">
        <f>IFERROR(__xludf.DUMMYFUNCTION("GOOGLETRANSLATE(A130, ""en"", ""hi"")"),"129")</f>
        <v>129</v>
      </c>
      <c r="H130" s="8" t="str">
        <f>IFERROR(__xludf.DUMMYFUNCTION("GOOGLETRANSLATE(B130, ""en"", ""hi"")"),"मलखंभ_32")</f>
        <v>मलखंभ_32</v>
      </c>
      <c r="I130" s="8" t="str">
        <f>IFERROR(__xludf.DUMMYFUNCTION("GOOGLETRANSLATE(C130, ""en"", ""hi"")"),"चित्र में दर्शाए गए खेल का उद्गम भारत के किस क्षेत्र को माना जाता है?")</f>
        <v>चित्र में दर्शाए गए खेल का उद्गम भारत के किस क्षेत्र को माना जाता है?</v>
      </c>
      <c r="J130" s="8" t="str">
        <f>IFERROR(__xludf.DUMMYFUNCTION("GOOGLETRANSLATE(D130, ""en"", ""hi"")"),"ए) महाराष्ट्र, बी) तमिलनाडु, सी) केरल, डी) कर्नाटक")</f>
        <v>ए) महाराष्ट्र, बी) तमिलनाडु, सी) केरल, डी) कर्नाटक</v>
      </c>
      <c r="K130" s="8" t="str">
        <f>IFERROR(__xludf.DUMMYFUNCTION("GOOGLETRANSLATE(E130, ""en"", ""hi"")"),"A) महाराष्ट्र")</f>
        <v>A) महाराष्ट्र</v>
      </c>
    </row>
    <row r="131" ht="22.5" customHeight="1">
      <c r="A131" s="2">
        <v>130.0</v>
      </c>
      <c r="B131" s="3" t="s">
        <v>4507</v>
      </c>
      <c r="C131" s="3" t="s">
        <v>4510</v>
      </c>
      <c r="D131" s="3" t="s">
        <v>4511</v>
      </c>
      <c r="E131" s="3" t="s">
        <v>4512</v>
      </c>
      <c r="G131" s="8" t="str">
        <f>IFERROR(__xludf.DUMMYFUNCTION("GOOGLETRANSLATE(A131, ""en"", ""hi"")"),"130")</f>
        <v>130</v>
      </c>
      <c r="H131" s="8" t="str">
        <f>IFERROR(__xludf.DUMMYFUNCTION("GOOGLETRANSLATE(B131, ""en"", ""hi"")"),"मलखंभ_32")</f>
        <v>मलखंभ_32</v>
      </c>
      <c r="I131" s="8" t="str">
        <f>IFERROR(__xludf.DUMMYFUNCTION("GOOGLETRANSLATE(C131, ""en"", ""hi"")"),"मल्लखम्ब अभ्यास के दौरान किस प्रकार की श्वास तकनीक की सिफारिश की जाती है?")</f>
        <v>मल्लखम्ब अभ्यास के दौरान किस प्रकार की श्वास तकनीक की सिफारिश की जाती है?</v>
      </c>
      <c r="J131" s="8" t="str">
        <f>IFERROR(__xludf.DUMMYFUNCTION("GOOGLETRANSLATE(D131, ""en"", ""hi"")"),"A) गहरी साँस लेना, B) उथली साँस लेना, C) नियंत्रित साँस छोड़ना, D) तेज़ साँस लेना")</f>
        <v>A) गहरी साँस लेना, B) उथली साँस लेना, C) नियंत्रित साँस छोड़ना, D) तेज़ साँस लेना</v>
      </c>
      <c r="K131" s="8" t="str">
        <f>IFERROR(__xludf.DUMMYFUNCTION("GOOGLETRANSLATE(E131, ""en"", ""hi"")"),"ए) गहरी साँस लेना")</f>
        <v>ए) गहरी साँस लेना</v>
      </c>
    </row>
    <row r="132" ht="22.5" customHeight="1">
      <c r="A132" s="2">
        <v>131.0</v>
      </c>
      <c r="B132" s="3" t="s">
        <v>4507</v>
      </c>
      <c r="C132" s="3" t="s">
        <v>4513</v>
      </c>
      <c r="D132" s="3" t="s">
        <v>4514</v>
      </c>
      <c r="E132" s="3" t="s">
        <v>4515</v>
      </c>
      <c r="G132" s="8" t="str">
        <f>IFERROR(__xludf.DUMMYFUNCTION("GOOGLETRANSLATE(A132, ""en"", ""hi"")"),"131")</f>
        <v>131</v>
      </c>
      <c r="H132" s="8" t="str">
        <f>IFERROR(__xludf.DUMMYFUNCTION("GOOGLETRANSLATE(B132, ""en"", ""hi"")"),"मलखंभ_32")</f>
        <v>मलखंभ_32</v>
      </c>
      <c r="I132" s="8" t="str">
        <f>IFERROR(__xludf.DUMMYFUNCTION("GOOGLETRANSLATE(C132, ""en"", ""hi"")"),"चित्र में दिखाए गए खेल का अभ्यास करने से पहले किस प्रकार के वार्म-अप की सिफारिश की जाती है?")</f>
        <v>चित्र में दिखाए गए खेल का अभ्यास करने से पहले किस प्रकार के वार्म-अप की सिफारिश की जाती है?</v>
      </c>
      <c r="J132" s="8" t="str">
        <f>IFERROR(__xludf.DUMMYFUNCTION("GOOGLETRANSLATE(D132, ""en"", ""hi"")"),"A) कार्डियो, B) स्टैटिक स्ट्रेचिंग, C) डायनेमिक स्ट्रेचिंग, D) वेट लिफ्टिंग")</f>
        <v>A) कार्डियो, B) स्टैटिक स्ट्रेचिंग, C) डायनेमिक स्ट्रेचिंग, D) वेट लिफ्टिंग</v>
      </c>
      <c r="K132" s="8" t="str">
        <f>IFERROR(__xludf.DUMMYFUNCTION("GOOGLETRANSLATE(E132, ""en"", ""hi"")"),"सी) गतिशील स्ट्रेचिंग")</f>
        <v>सी) गतिशील स्ट्रेचिंग</v>
      </c>
    </row>
    <row r="133" ht="22.5" customHeight="1">
      <c r="A133" s="2">
        <v>132.0</v>
      </c>
      <c r="B133" s="3" t="s">
        <v>4507</v>
      </c>
      <c r="C133" s="3" t="s">
        <v>4516</v>
      </c>
      <c r="D133" s="3" t="s">
        <v>4517</v>
      </c>
      <c r="E133" s="3" t="s">
        <v>4445</v>
      </c>
      <c r="G133" s="8" t="str">
        <f>IFERROR(__xludf.DUMMYFUNCTION("GOOGLETRANSLATE(A133, ""en"", ""hi"")"),"132")</f>
        <v>132</v>
      </c>
      <c r="H133" s="8" t="str">
        <f>IFERROR(__xludf.DUMMYFUNCTION("GOOGLETRANSLATE(B133, ""en"", ""hi"")"),"मलखंभ_32")</f>
        <v>मलखंभ_32</v>
      </c>
      <c r="I133" s="8" t="str">
        <f>IFERROR(__xludf.DUMMYFUNCTION("GOOGLETRANSLATE(C133, ""en"", ""hi"")"),"चित्र में दिखाए गए खेल का अभ्यास मुख्यतः किस आयु वर्ग द्वारा किया जाता है?")</f>
        <v>चित्र में दिखाए गए खेल का अभ्यास मुख्यतः किस आयु वर्ग द्वारा किया जाता है?</v>
      </c>
      <c r="J133" s="8" t="str">
        <f>IFERROR(__xludf.DUMMYFUNCTION("GOOGLETRANSLATE(D133, ""en"", ""hi"")"),"A) 5-10 वर्ष, B) 10-20 वर्ष, C) 20-40 वर्ष, D) सभी आयु वर्ग")</f>
        <v>A) 5-10 वर्ष, B) 10-20 वर्ष, C) 20-40 वर्ष, D) सभी आयु वर्ग</v>
      </c>
      <c r="K133" s="8" t="str">
        <f>IFERROR(__xludf.DUMMYFUNCTION("GOOGLETRANSLATE(E133, ""en"", ""hi"")"),"डी) सभी आयु वर्ग")</f>
        <v>डी) सभी आयु वर्ग</v>
      </c>
    </row>
    <row r="134" ht="22.5" customHeight="1">
      <c r="A134" s="2">
        <v>133.0</v>
      </c>
      <c r="B134" s="3" t="s">
        <v>4518</v>
      </c>
      <c r="C134" s="3" t="s">
        <v>4519</v>
      </c>
      <c r="D134" s="3" t="s">
        <v>4177</v>
      </c>
      <c r="E134" s="3" t="s">
        <v>1873</v>
      </c>
      <c r="G134" s="8" t="str">
        <f>IFERROR(__xludf.DUMMYFUNCTION("GOOGLETRANSLATE(A134, ""en"", ""hi"")"),"133")</f>
        <v>133</v>
      </c>
      <c r="H134" s="8" t="str">
        <f>IFERROR(__xludf.DUMMYFUNCTION("GOOGLETRANSLATE(B134, ""en"", ""hi"")"),"मलखंभ_33")</f>
        <v>मलखंभ_33</v>
      </c>
      <c r="I134" s="8" t="str">
        <f>IFERROR(__xludf.DUMMYFUNCTION("GOOGLETRANSLATE(C134, ""en"", ""hi"")"),"निम्नलिखित में से कौन सी फिक्स्ड पोल मल्लखम्ब की प्रमुख विशेषता है?")</f>
        <v>निम्नलिखित में से कौन सी फिक्स्ड पोल मल्लखम्ब की प्रमुख विशेषता है?</v>
      </c>
      <c r="J134" s="8" t="str">
        <f>IFERROR(__xludf.DUMMYFUNCTION("GOOGLETRANSLATE(D134, ""en"", ""hi"")"),"A) शक्ति, B) संतुलन, C) लचीलापन, D) उपरोक्त सभी")</f>
        <v>A) शक्ति, B) संतुलन, C) लचीलापन, D) उपरोक्त सभी</v>
      </c>
      <c r="K134" s="8" t="str">
        <f>IFERROR(__xludf.DUMMYFUNCTION("GOOGLETRANSLATE(E134, ""en"", ""hi"")"),"D। उपरोक्त सभी")</f>
        <v>D। उपरोक्त सभी</v>
      </c>
    </row>
    <row r="135" ht="22.5" customHeight="1">
      <c r="A135" s="2">
        <v>134.0</v>
      </c>
      <c r="B135" s="3" t="s">
        <v>4518</v>
      </c>
      <c r="C135" s="3" t="s">
        <v>4520</v>
      </c>
      <c r="D135" s="3" t="s">
        <v>4521</v>
      </c>
      <c r="E135" s="3" t="s">
        <v>4522</v>
      </c>
      <c r="G135" s="8" t="str">
        <f>IFERROR(__xludf.DUMMYFUNCTION("GOOGLETRANSLATE(A135, ""en"", ""hi"")"),"134")</f>
        <v>134</v>
      </c>
      <c r="H135" s="8" t="str">
        <f>IFERROR(__xludf.DUMMYFUNCTION("GOOGLETRANSLATE(B135, ""en"", ""hi"")"),"मलखंभ_33")</f>
        <v>मलखंभ_33</v>
      </c>
      <c r="I135" s="8" t="str">
        <f>IFERROR(__xludf.DUMMYFUNCTION("GOOGLETRANSLATE(C135, ""en"", ""hi"")"),"रस्सी मल्लखम्ब करने के लिए किस प्रकार की पकड़ आवश्यक है?")</f>
        <v>रस्सी मल्लखम्ब करने के लिए किस प्रकार की पकड़ आवश्यक है?</v>
      </c>
      <c r="J135" s="8" t="str">
        <f>IFERROR(__xludf.DUMMYFUNCTION("GOOGLETRANSLATE(D135, ""en"", ""hi"")"),"A) हल्की पकड़, B) घूर्णी पकड़, C) मजबूत पकड़, D) फिसलन पकड़")</f>
        <v>A) हल्की पकड़, B) घूर्णी पकड़, C) मजबूत पकड़, D) फिसलन पकड़</v>
      </c>
      <c r="K135" s="8" t="str">
        <f>IFERROR(__xludf.DUMMYFUNCTION("GOOGLETRANSLATE(E135, ""en"", ""hi"")"),"सी) मजबूत पकड़")</f>
        <v>सी) मजबूत पकड़</v>
      </c>
    </row>
    <row r="136" ht="22.5" customHeight="1">
      <c r="A136" s="2">
        <v>135.0</v>
      </c>
      <c r="B136" s="3" t="s">
        <v>4518</v>
      </c>
      <c r="C136" s="3" t="s">
        <v>4523</v>
      </c>
      <c r="D136" s="3" t="s">
        <v>4524</v>
      </c>
      <c r="E136" s="3" t="s">
        <v>4525</v>
      </c>
      <c r="G136" s="8" t="str">
        <f>IFERROR(__xludf.DUMMYFUNCTION("GOOGLETRANSLATE(A136, ""en"", ""hi"")"),"135")</f>
        <v>135</v>
      </c>
      <c r="H136" s="8" t="str">
        <f>IFERROR(__xludf.DUMMYFUNCTION("GOOGLETRANSLATE(B136, ""en"", ""hi"")"),"मलखंभ_33")</f>
        <v>मलखंभ_33</v>
      </c>
      <c r="I136" s="8" t="str">
        <f>IFERROR(__xludf.DUMMYFUNCTION("GOOGLETRANSLATE(C136, ""en"", ""hi"")"),"चित्र में दिखाए गए खेल के लिए सामान्य प्रारंभिक अभ्यास क्या है?")</f>
        <v>चित्र में दिखाए गए खेल के लिए सामान्य प्रारंभिक अभ्यास क्या है?</v>
      </c>
      <c r="J136" s="8" t="str">
        <f>IFERROR(__xludf.DUMMYFUNCTION("GOOGLETRANSLATE(D136, ""en"", ""hi"")"),"A) पुश-अप्स, B) स्क्वैट्स, C) लटकने वाले व्यायाम, D) दौड़ना")</f>
        <v>A) पुश-अप्स, B) स्क्वैट्स, C) लटकने वाले व्यायाम, D) दौड़ना</v>
      </c>
      <c r="K136" s="8" t="str">
        <f>IFERROR(__xludf.DUMMYFUNCTION("GOOGLETRANSLATE(E136, ""en"", ""hi"")"),"C) लटकने वाले व्यायाम")</f>
        <v>C) लटकने वाले व्यायाम</v>
      </c>
    </row>
    <row r="137" ht="22.5" customHeight="1">
      <c r="A137" s="2">
        <v>136.0</v>
      </c>
      <c r="B137" s="3" t="s">
        <v>4518</v>
      </c>
      <c r="C137" s="3" t="s">
        <v>4526</v>
      </c>
      <c r="D137" s="3" t="s">
        <v>4527</v>
      </c>
      <c r="E137" s="3" t="s">
        <v>4528</v>
      </c>
      <c r="G137" s="8" t="str">
        <f>IFERROR(__xludf.DUMMYFUNCTION("GOOGLETRANSLATE(A137, ""en"", ""hi"")"),"136")</f>
        <v>136</v>
      </c>
      <c r="H137" s="8" t="str">
        <f>IFERROR(__xludf.DUMMYFUNCTION("GOOGLETRANSLATE(B137, ""en"", ""hi"")"),"मलखंभ_33")</f>
        <v>मलखंभ_33</v>
      </c>
      <c r="I137" s="8" t="str">
        <f>IFERROR(__xludf.DUMMYFUNCTION("GOOGLETRANSLATE(C137, ""en"", ""hi"")"),"चित्र में दर्शाई गई मुद्रा का ऐतिहासिक महत्व क्या है?")</f>
        <v>चित्र में दर्शाई गई मुद्रा का ऐतिहासिक महत्व क्या है?</v>
      </c>
      <c r="J137" s="8" t="str">
        <f>IFERROR(__xludf.DUMMYFUNCTION("GOOGLETRANSLATE(D137, ""en"", ""hi"")"),"A) प्राचीन मार्शल आर्ट, B) पारंपरिक जिम्नास्टिक, C) सांस्कृतिक प्रदर्शन, D) आधुनिक खेल")</f>
        <v>A) प्राचीन मार्शल आर्ट, B) पारंपरिक जिम्नास्टिक, C) सांस्कृतिक प्रदर्शन, D) आधुनिक खेल</v>
      </c>
      <c r="K137" s="8" t="str">
        <f>IFERROR(__xludf.DUMMYFUNCTION("GOOGLETRANSLATE(E137, ""en"", ""hi"")"),"C) सांस्कृतिक प्रदर्शन")</f>
        <v>C) सांस्कृतिक प्रदर्शन</v>
      </c>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13"/>
    <col customWidth="1" min="3" max="4" width="37.63"/>
    <col customWidth="1" min="5" max="5" width="32.0"/>
    <col customWidth="1" min="9" max="10" width="37.63"/>
    <col customWidth="1" min="11" max="11" width="29.13"/>
  </cols>
  <sheetData>
    <row r="1" ht="22.5" customHeight="1">
      <c r="A1" s="1" t="s">
        <v>0</v>
      </c>
      <c r="B1" s="1" t="s">
        <v>1</v>
      </c>
      <c r="C1" s="1" t="s">
        <v>2</v>
      </c>
      <c r="D1" s="1" t="s">
        <v>3</v>
      </c>
      <c r="E1" s="1" t="s">
        <v>4</v>
      </c>
      <c r="G1" s="7" t="s">
        <v>5</v>
      </c>
      <c r="H1" s="7" t="s">
        <v>6</v>
      </c>
      <c r="I1" s="7" t="s">
        <v>7</v>
      </c>
      <c r="J1" s="7" t="s">
        <v>8</v>
      </c>
      <c r="K1" s="7" t="s">
        <v>9</v>
      </c>
    </row>
    <row r="2" ht="22.5" customHeight="1">
      <c r="A2" s="2">
        <v>1.0</v>
      </c>
      <c r="B2" s="3" t="s">
        <v>4529</v>
      </c>
      <c r="C2" s="3" t="s">
        <v>4530</v>
      </c>
      <c r="D2" s="3" t="s">
        <v>4531</v>
      </c>
      <c r="E2" s="3" t="s">
        <v>4532</v>
      </c>
      <c r="G2" s="8" t="str">
        <f>IFERROR(__xludf.DUMMYFUNCTION("GOOGLETRANSLATE(A2, ""en"", ""hi"")"),"1")</f>
        <v>1</v>
      </c>
      <c r="H2" s="8" t="str">
        <f>IFERROR(__xludf.DUMMYFUNCTION("GOOGLETRANSLATE(B2, ""en"", ""hi"")"),"गिल्ली_डंडा_1")</f>
        <v>गिल्ली_डंडा_1</v>
      </c>
      <c r="I2" s="8" t="str">
        <f>IFERROR(__xludf.DUMMYFUNCTION("GOOGLETRANSLATE(C2, ""en"", ""hi"")"),"चित्र में दिखाए गए खेल से, लक्ष्य पर प्रहार करने के लिए प्रयुक्त प्राथमिक उपकरण क्या है?")</f>
        <v>चित्र में दिखाए गए खेल से, लक्ष्य पर प्रहार करने के लिए प्रयुक्त प्राथमिक उपकरण क्या है?</v>
      </c>
      <c r="J2" s="8" t="str">
        <f>IFERROR(__xludf.DUMMYFUNCTION("GOOGLETRANSLATE(D2, ""en"", ""hi"")"),"a) एक लकड़ी की छड़ी, b) एक धातु की छड़, c) एक प्लास्टिक का बल्ला, d) एक रबर का हथौड़ा")</f>
        <v>a) एक लकड़ी की छड़ी, b) एक धातु की छड़, c) एक प्लास्टिक का बल्ला, d) एक रबर का हथौड़ा</v>
      </c>
      <c r="K2" s="8" t="str">
        <f>IFERROR(__xludf.DUMMYFUNCTION("GOOGLETRANSLATE(E2, ""en"", ""hi"")"),"क) एक लकड़ी की छड़ी")</f>
        <v>क) एक लकड़ी की छड़ी</v>
      </c>
    </row>
    <row r="3" ht="22.5" customHeight="1">
      <c r="A3" s="2">
        <v>2.0</v>
      </c>
      <c r="B3" s="3" t="s">
        <v>4529</v>
      </c>
      <c r="C3" s="3" t="s">
        <v>4533</v>
      </c>
      <c r="D3" s="3" t="s">
        <v>4534</v>
      </c>
      <c r="E3" s="3" t="s">
        <v>4535</v>
      </c>
      <c r="G3" s="8" t="str">
        <f>IFERROR(__xludf.DUMMYFUNCTION("GOOGLETRANSLATE(A3, ""en"", ""hi"")"),"2")</f>
        <v>2</v>
      </c>
      <c r="H3" s="8" t="str">
        <f>IFERROR(__xludf.DUMMYFUNCTION("GOOGLETRANSLATE(B3, ""en"", ""hi"")"),"गिल्ली_डंडा_1")</f>
        <v>गिल्ली_डंडा_1</v>
      </c>
      <c r="I3" s="8" t="str">
        <f>IFERROR(__xludf.DUMMYFUNCTION("GOOGLETRANSLATE(C3, ""en"", ""hi"")"),"चित्र में दिखाए गए खेल से, छोटे टुकड़े को मारने के बाद स्ट्राइकर को क्या क्रिया करनी चाहिए?")</f>
        <v>चित्र में दिखाए गए खेल से, छोटे टुकड़े को मारने के बाद स्ट्राइकर को क्या क्रिया करनी चाहिए?</v>
      </c>
      <c r="J3" s="8" t="str">
        <f>IFERROR(__xludf.DUMMYFUNCTION("GOOGLETRANSLATE(D3, ""en"", ""hi"")"),"a) सुरक्षित स्थान पर दौड़ें, b) टुकड़ा पकड़ें, c) घूमें, d) गोल करें")</f>
        <v>a) सुरक्षित स्थान पर दौड़ें, b) टुकड़ा पकड़ें, c) घूमें, d) गोल करें</v>
      </c>
      <c r="K3" s="8" t="str">
        <f>IFERROR(__xludf.DUMMYFUNCTION("GOOGLETRANSLATE(E3, ""en"", ""hi"")"),"a) सुरक्षित स्थान पर भागें")</f>
        <v>a) सुरक्षित स्थान पर भागें</v>
      </c>
    </row>
    <row r="4" ht="22.5" customHeight="1">
      <c r="A4" s="2">
        <v>3.0</v>
      </c>
      <c r="B4" s="3" t="s">
        <v>4529</v>
      </c>
      <c r="C4" s="3" t="s">
        <v>4536</v>
      </c>
      <c r="D4" s="3" t="s">
        <v>4537</v>
      </c>
      <c r="E4" s="3" t="s">
        <v>4538</v>
      </c>
      <c r="G4" s="8" t="str">
        <f>IFERROR(__xludf.DUMMYFUNCTION("GOOGLETRANSLATE(A4, ""en"", ""hi"")"),"3")</f>
        <v>3</v>
      </c>
      <c r="H4" s="8" t="str">
        <f>IFERROR(__xludf.DUMMYFUNCTION("GOOGLETRANSLATE(B4, ""en"", ""hi"")"),"गिल्ली_डंडा_1")</f>
        <v>गिल्ली_डंडा_1</v>
      </c>
      <c r="I4" s="8" t="str">
        <f>IFERROR(__xludf.DUMMYFUNCTION("GOOGLETRANSLATE(C4, ""en"", ""hi"")"),"चित्र में दिखाए गए खेल से, छोटी बेलनाकार वस्तु को क्या कहा जाता है?")</f>
        <v>चित्र में दिखाए गए खेल से, छोटी बेलनाकार वस्तु को क्या कहा जाता है?</v>
      </c>
      <c r="J4" s="8" t="str">
        <f>IFERROR(__xludf.DUMMYFUNCTION("GOOGLETRANSLATE(D4, ""en"", ""hi"")"),"ए) गिल्ली, बी) डंडा, सी) किट्टी, डी) छोटा")</f>
        <v>ए) गिल्ली, बी) डंडा, सी) किट्टी, डी) छोटा</v>
      </c>
      <c r="K4" s="8" t="str">
        <f>IFERROR(__xludf.DUMMYFUNCTION("GOOGLETRANSLATE(E4, ""en"", ""hi"")"),"a) गिल्ली")</f>
        <v>a) गिल्ली</v>
      </c>
    </row>
    <row r="5" ht="22.5" customHeight="1">
      <c r="A5" s="2">
        <v>4.0</v>
      </c>
      <c r="B5" s="3" t="s">
        <v>4529</v>
      </c>
      <c r="C5" s="3" t="s">
        <v>4539</v>
      </c>
      <c r="D5" s="3" t="s">
        <v>4540</v>
      </c>
      <c r="E5" s="3" t="s">
        <v>4541</v>
      </c>
      <c r="G5" s="8" t="str">
        <f>IFERROR(__xludf.DUMMYFUNCTION("GOOGLETRANSLATE(A5, ""en"", ""hi"")"),"4")</f>
        <v>4</v>
      </c>
      <c r="H5" s="8" t="str">
        <f>IFERROR(__xludf.DUMMYFUNCTION("GOOGLETRANSLATE(B5, ""en"", ""hi"")"),"गिल्ली_डंडा_1")</f>
        <v>गिल्ली_डंडा_1</v>
      </c>
      <c r="I5" s="8" t="str">
        <f>IFERROR(__xludf.DUMMYFUNCTION("GOOGLETRANSLATE(C5, ""en"", ""hi"")"),"चित्र में दिखाए गए खेल से अंक कैसे प्राप्त किया जाता है?")</f>
        <v>चित्र में दिखाए गए खेल से अंक कैसे प्राप्त किया जाता है?</v>
      </c>
      <c r="J5" s="8" t="str">
        <f>IFERROR(__xludf.DUMMYFUNCTION("GOOGLETRANSLATE(D5, ""en"", ""hi"")"),"क) लक्ष्य पर यथासंभव दूर तक प्रहार करके, ख) आधार तक दौड़कर, ग) वस्तु को पकड़कर, घ) लक्ष्य पर सटीकता से प्रहार करके")</f>
        <v>क) लक्ष्य पर यथासंभव दूर तक प्रहार करके, ख) आधार तक दौड़कर, ग) वस्तु को पकड़कर, घ) लक्ष्य पर सटीकता से प्रहार करके</v>
      </c>
      <c r="K5" s="8" t="str">
        <f>IFERROR(__xludf.DUMMYFUNCTION("GOOGLETRANSLATE(E5, ""en"", ""hi"")"),"क) लक्ष्य पर यथासंभव दूर तक प्रहार करके")</f>
        <v>क) लक्ष्य पर यथासंभव दूर तक प्रहार करके</v>
      </c>
    </row>
    <row r="6" ht="22.5" customHeight="1">
      <c r="A6" s="2">
        <v>5.0</v>
      </c>
      <c r="B6" s="3" t="s">
        <v>4542</v>
      </c>
      <c r="C6" s="3" t="s">
        <v>4543</v>
      </c>
      <c r="D6" s="3" t="s">
        <v>4544</v>
      </c>
      <c r="E6" s="3" t="s">
        <v>4545</v>
      </c>
      <c r="G6" s="8" t="str">
        <f>IFERROR(__xludf.DUMMYFUNCTION("GOOGLETRANSLATE(A6, ""en"", ""hi"")"),"5")</f>
        <v>5</v>
      </c>
      <c r="H6" s="8" t="str">
        <f>IFERROR(__xludf.DUMMYFUNCTION("GOOGLETRANSLATE(B6, ""en"", ""hi"")"),"गिल्ली_डंडा_2")</f>
        <v>गिल्ली_डंडा_2</v>
      </c>
      <c r="I6" s="8" t="str">
        <f>IFERROR(__xludf.DUMMYFUNCTION("GOOGLETRANSLATE(C6, ""en"", ""hi"")"),"चित्र में दिखाए गए खेल में, स्ट्राइकर को स्टिक से किस क्षेत्र पर प्रहार करने से बचना चाहिए?")</f>
        <v>चित्र में दिखाए गए खेल में, स्ट्राइकर को स्टिक से किस क्षेत्र पर प्रहार करने से बचना चाहिए?</v>
      </c>
      <c r="J6" s="8" t="str">
        <f>IFERROR(__xludf.DUMMYFUNCTION("GOOGLETRANSLATE(D6, ""en"", ""hi"")"),"a) मैदान, b) प्रतिद्वंद्वी, c) बेस, d) सीमा रेखा")</f>
        <v>a) मैदान, b) प्रतिद्वंद्वी, c) बेस, d) सीमा रेखा</v>
      </c>
      <c r="K6" s="8" t="str">
        <f>IFERROR(__xludf.DUMMYFUNCTION("GOOGLETRANSLATE(E6, ""en"", ""hi"")"),"ख) प्रतिद्वंद्वी")</f>
        <v>ख) प्रतिद्वंद्वी</v>
      </c>
    </row>
    <row r="7" ht="22.5" customHeight="1">
      <c r="A7" s="2">
        <v>6.0</v>
      </c>
      <c r="B7" s="3" t="s">
        <v>4542</v>
      </c>
      <c r="C7" s="3" t="s">
        <v>4546</v>
      </c>
      <c r="D7" s="3" t="s">
        <v>4547</v>
      </c>
      <c r="E7" s="3" t="s">
        <v>4548</v>
      </c>
      <c r="G7" s="8" t="str">
        <f>IFERROR(__xludf.DUMMYFUNCTION("GOOGLETRANSLATE(A7, ""en"", ""hi"")"),"6")</f>
        <v>6</v>
      </c>
      <c r="H7" s="8" t="str">
        <f>IFERROR(__xludf.DUMMYFUNCTION("GOOGLETRANSLATE(B7, ""en"", ""hi"")"),"गिल्ली_डंडा_2")</f>
        <v>गिल्ली_डंडा_2</v>
      </c>
      <c r="I7" s="8" t="str">
        <f>IFERROR(__xludf.DUMMYFUNCTION("GOOGLETRANSLATE(C7, ""en"", ""hi"")"),"चित्र में दिखाए गए खेल के अनुसार, यदि स्ट्राइकर लक्ष्य पर निशाना लगाने से चूक जाए तो क्या होगा?")</f>
        <v>चित्र में दिखाए गए खेल के अनुसार, यदि स्ट्राइकर लक्ष्य पर निशाना लगाने से चूक जाए तो क्या होगा?</v>
      </c>
      <c r="J7" s="8" t="str">
        <f>IFERROR(__xludf.DUMMYFUNCTION("GOOGLETRANSLATE(D7, ""en"", ""hi"")"),"a) बारी खो जाती है, b) एक अंक काट लिया जाता है, c) खेल फिर से शुरू हो जाता है, d) स्ट्राइकर फिर से प्रयास करता है")</f>
        <v>a) बारी खो जाती है, b) एक अंक काट लिया जाता है, c) खेल फिर से शुरू हो जाता है, d) स्ट्राइकर फिर से प्रयास करता है</v>
      </c>
      <c r="K7" s="8" t="str">
        <f>IFERROR(__xludf.DUMMYFUNCTION("GOOGLETRANSLATE(E7, ""en"", ""hi"")"),"a) बारी खो गई है")</f>
        <v>a) बारी खो गई है</v>
      </c>
    </row>
    <row r="8" ht="22.5" customHeight="1">
      <c r="A8" s="2">
        <v>7.0</v>
      </c>
      <c r="B8" s="3" t="s">
        <v>4542</v>
      </c>
      <c r="C8" s="3" t="s">
        <v>4549</v>
      </c>
      <c r="D8" s="3" t="s">
        <v>4550</v>
      </c>
      <c r="E8" s="3" t="s">
        <v>4551</v>
      </c>
      <c r="G8" s="8" t="str">
        <f>IFERROR(__xludf.DUMMYFUNCTION("GOOGLETRANSLATE(A8, ""en"", ""hi"")"),"7")</f>
        <v>7</v>
      </c>
      <c r="H8" s="8" t="str">
        <f>IFERROR(__xludf.DUMMYFUNCTION("GOOGLETRANSLATE(B8, ""en"", ""hi"")"),"गिल्ली_डंडा_2")</f>
        <v>गिल्ली_डंडा_2</v>
      </c>
      <c r="I8" s="8" t="str">
        <f>IFERROR(__xludf.DUMMYFUNCTION("GOOGLETRANSLATE(C8, ""en"", ""hi"")"),"चित्र में दिखाए गए खेल से, छोटी छड़ी का उद्देश्य क्या है?")</f>
        <v>चित्र में दिखाए गए खेल से, छोटी छड़ी का उद्देश्य क्या है?</v>
      </c>
      <c r="J8" s="8" t="str">
        <f>IFERROR(__xludf.DUMMYFUNCTION("GOOGLETRANSLATE(D8, ""en"", ""hi"")"),"क) बड़ी छड़ी से मारना, ख) दूरी मापना, ग) सीमा चिन्हित करना, घ) विरोधियों पर फेंकना")</f>
        <v>क) बड़ी छड़ी से मारना, ख) दूरी मापना, ग) सीमा चिन्हित करना, घ) विरोधियों पर फेंकना</v>
      </c>
      <c r="K8" s="8" t="str">
        <f>IFERROR(__xludf.DUMMYFUNCTION("GOOGLETRANSLATE(E8, ""en"", ""hi"")"),"a) बड़ी छड़ी से मारा जाना")</f>
        <v>a) बड़ी छड़ी से मारा जाना</v>
      </c>
    </row>
    <row r="9" ht="22.5" customHeight="1">
      <c r="A9" s="2">
        <v>8.0</v>
      </c>
      <c r="B9" s="3" t="s">
        <v>4542</v>
      </c>
      <c r="C9" s="3" t="s">
        <v>4552</v>
      </c>
      <c r="D9" s="3" t="s">
        <v>4553</v>
      </c>
      <c r="E9" s="3" t="s">
        <v>4554</v>
      </c>
      <c r="G9" s="8" t="str">
        <f>IFERROR(__xludf.DUMMYFUNCTION("GOOGLETRANSLATE(A9, ""en"", ""hi"")"),"8")</f>
        <v>8</v>
      </c>
      <c r="H9" s="8" t="str">
        <f>IFERROR(__xludf.DUMMYFUNCTION("GOOGLETRANSLATE(B9, ""en"", ""hi"")"),"गिल्ली_डंडा_2")</f>
        <v>गिल्ली_डंडा_2</v>
      </c>
      <c r="I9" s="8" t="str">
        <f>IFERROR(__xludf.DUMMYFUNCTION("GOOGLETRANSLATE(C9, ""en"", ""hi"")"),"चित्र में दिखाए गए खेल से विजेता का निर्धारण कैसे किया जाता है?")</f>
        <v>चित्र में दिखाए गए खेल से विजेता का निर्धारण कैसे किया जाता है?</v>
      </c>
      <c r="J9" s="8" t="str">
        <f>IFERROR(__xludf.DUMMYFUNCTION("GOOGLETRANSLATE(D9, ""en"", ""hi"")"),"a) सबसे दूर तक मारने वाले खिलाड़ी द्वारा, b) सबसे अधिक दौड़ने वाले खिलाड़ी द्वारा, c) सबसे अधिक पकड़ने वाले खिलाड़ी द्वारा, d) सबसे अधिक लक्ष्यों पर प्रहार करने वाले खिलाड़ी द्वारा")</f>
        <v>a) सबसे दूर तक मारने वाले खिलाड़ी द्वारा, b) सबसे अधिक दौड़ने वाले खिलाड़ी द्वारा, c) सबसे अधिक पकड़ने वाले खिलाड़ी द्वारा, d) सबसे अधिक लक्ष्यों पर प्रहार करने वाले खिलाड़ी द्वारा</v>
      </c>
      <c r="K9" s="8" t="str">
        <f>IFERROR(__xludf.DUMMYFUNCTION("GOOGLETRANSLATE(E9, ""en"", ""hi"")"),"a) सबसे दूर तक मारने वाले खिलाड़ी द्वारा")</f>
        <v>a) सबसे दूर तक मारने वाले खिलाड़ी द्वारा</v>
      </c>
    </row>
    <row r="10" ht="22.5" customHeight="1">
      <c r="A10" s="2">
        <v>9.0</v>
      </c>
      <c r="B10" s="3" t="s">
        <v>4555</v>
      </c>
      <c r="C10" s="3" t="s">
        <v>4556</v>
      </c>
      <c r="D10" s="3" t="s">
        <v>4557</v>
      </c>
      <c r="E10" s="3" t="s">
        <v>4558</v>
      </c>
      <c r="G10" s="8" t="str">
        <f>IFERROR(__xludf.DUMMYFUNCTION("GOOGLETRANSLATE(A10, ""en"", ""hi"")"),"9")</f>
        <v>9</v>
      </c>
      <c r="H10" s="8" t="str">
        <f>IFERROR(__xludf.DUMMYFUNCTION("GOOGLETRANSLATE(B10, ""en"", ""hi"")"),"गिल्ली_डंडा_3")</f>
        <v>गिल्ली_डंडा_3</v>
      </c>
      <c r="I10" s="8" t="str">
        <f>IFERROR(__xludf.DUMMYFUNCTION("GOOGLETRANSLATE(C10, ""en"", ""hi"")"),"चित्र में दिखाए गए खेल से, सामान्य खेल क्षेत्र क्या है?")</f>
        <v>चित्र में दिखाए गए खेल से, सामान्य खेल क्षेत्र क्या है?</v>
      </c>
      <c r="J10" s="8" t="str">
        <f>IFERROR(__xludf.DUMMYFUNCTION("GOOGLETRANSLATE(D10, ""en"", ""hi"")"),"a) खुला मैदान, b) कोर्ट, c) घास वाला लॉन, d) रेतीला क्षेत्र")</f>
        <v>a) खुला मैदान, b) कोर्ट, c) घास वाला लॉन, d) रेतीला क्षेत्र</v>
      </c>
      <c r="K10" s="8" t="str">
        <f>IFERROR(__xludf.DUMMYFUNCTION("GOOGLETRANSLATE(E10, ""en"", ""hi"")"),"क) एक खुला मैदान")</f>
        <v>क) एक खुला मैदान</v>
      </c>
    </row>
    <row r="11" ht="22.5" customHeight="1">
      <c r="A11" s="2">
        <v>10.0</v>
      </c>
      <c r="B11" s="3" t="s">
        <v>4555</v>
      </c>
      <c r="C11" s="3" t="s">
        <v>4559</v>
      </c>
      <c r="D11" s="3" t="s">
        <v>4560</v>
      </c>
      <c r="E11" s="3" t="s">
        <v>4561</v>
      </c>
      <c r="G11" s="8" t="str">
        <f>IFERROR(__xludf.DUMMYFUNCTION("GOOGLETRANSLATE(A11, ""en"", ""hi"")"),"10")</f>
        <v>10</v>
      </c>
      <c r="H11" s="8" t="str">
        <f>IFERROR(__xludf.DUMMYFUNCTION("GOOGLETRANSLATE(B11, ""en"", ""hi"")"),"गिल्ली_डंडा_3")</f>
        <v>गिल्ली_डंडा_3</v>
      </c>
      <c r="I11" s="8" t="str">
        <f>IFERROR(__xludf.DUMMYFUNCTION("GOOGLETRANSLATE(C11, ""en"", ""hi"")"),"चित्र में दिखाए गए खेल में आमतौर पर किस हाथ से बड़ी छड़ी पकड़ी जाती है?")</f>
        <v>चित्र में दिखाए गए खेल में आमतौर पर किस हाथ से बड़ी छड़ी पकड़ी जाती है?</v>
      </c>
      <c r="J11" s="8" t="str">
        <f>IFERROR(__xludf.DUMMYFUNCTION("GOOGLETRANSLATE(D11, ""en"", ""hi"")"),"a) प्रभावी हाथ, b) कम प्रभावी हाथ, c) दोनों हाथ, d) कोई भी हाथ")</f>
        <v>a) प्रभावी हाथ, b) कम प्रभावी हाथ, c) दोनों हाथ, d) कोई भी हाथ</v>
      </c>
      <c r="K11" s="8" t="str">
        <f>IFERROR(__xludf.DUMMYFUNCTION("GOOGLETRANSLATE(E11, ""en"", ""hi"")"),"a) प्रमुख हाथ")</f>
        <v>a) प्रमुख हाथ</v>
      </c>
    </row>
    <row r="12" ht="22.5" customHeight="1">
      <c r="A12" s="2">
        <v>11.0</v>
      </c>
      <c r="B12" s="3" t="s">
        <v>4555</v>
      </c>
      <c r="C12" s="3" t="s">
        <v>4562</v>
      </c>
      <c r="D12" s="3" t="s">
        <v>4563</v>
      </c>
      <c r="E12" s="3" t="s">
        <v>2714</v>
      </c>
      <c r="G12" s="8" t="str">
        <f>IFERROR(__xludf.DUMMYFUNCTION("GOOGLETRANSLATE(A12, ""en"", ""hi"")"),"11")</f>
        <v>11</v>
      </c>
      <c r="H12" s="8" t="str">
        <f>IFERROR(__xludf.DUMMYFUNCTION("GOOGLETRANSLATE(B12, ""en"", ""hi"")"),"गिल्ली_डंडा_3")</f>
        <v>गिल्ली_डंडा_3</v>
      </c>
      <c r="I12" s="8" t="str">
        <f>IFERROR(__xludf.DUMMYFUNCTION("GOOGLETRANSLATE(C12, ""en"", ""hi"")"),"चित्र में दिखाए गए खेल से, प्रतिबंधित क्षेत्र में लक्ष्य को मारने का परिणाम क्या है?")</f>
        <v>चित्र में दिखाए गए खेल से, प्रतिबंधित क्षेत्र में लक्ष्य को मारने का परिणाम क्या है?</v>
      </c>
      <c r="J12" s="8" t="str">
        <f>IFERROR(__xludf.DUMMYFUNCTION("GOOGLETRANSLATE(D12, ""en"", ""hi"")"),"a) बारी जब्त कर ली जाती है, b) अतिरिक्त अंक दिए जाते हैं, c) प्रतिद्वंद्वी को एक अंक मिलता है, d) लक्ष्य को रीसेट कर दिया जाता है")</f>
        <v>a) बारी जब्त कर ली जाती है, b) अतिरिक्त अंक दिए जाते हैं, c) प्रतिद्वंद्वी को एक अंक मिलता है, d) लक्ष्य को रीसेट कर दिया जाता है</v>
      </c>
      <c r="K12" s="8" t="str">
        <f>IFERROR(__xludf.DUMMYFUNCTION("GOOGLETRANSLATE(E12, ""en"", ""hi"")"),"a) बारी जब्त कर ली जाती है")</f>
        <v>a) बारी जब्त कर ली जाती है</v>
      </c>
    </row>
    <row r="13" ht="22.5" customHeight="1">
      <c r="A13" s="2">
        <v>12.0</v>
      </c>
      <c r="B13" s="3" t="s">
        <v>4555</v>
      </c>
      <c r="C13" s="3" t="s">
        <v>4564</v>
      </c>
      <c r="D13" s="3" t="s">
        <v>4565</v>
      </c>
      <c r="E13" s="3" t="s">
        <v>4566</v>
      </c>
      <c r="G13" s="8" t="str">
        <f>IFERROR(__xludf.DUMMYFUNCTION("GOOGLETRANSLATE(A13, ""en"", ""hi"")"),"12")</f>
        <v>12</v>
      </c>
      <c r="H13" s="8" t="str">
        <f>IFERROR(__xludf.DUMMYFUNCTION("GOOGLETRANSLATE(B13, ""en"", ""hi"")"),"गिल्ली_डंडा_3")</f>
        <v>गिल्ली_डंडा_3</v>
      </c>
      <c r="I13" s="8" t="str">
        <f>IFERROR(__xludf.DUMMYFUNCTION("GOOGLETRANSLATE(C13, ""en"", ""hi"")"),"चित्र में दिखाए गए खेल से, खेल की शुरुआत कैसे होती है?")</f>
        <v>चित्र में दिखाए गए खेल से, खेल की शुरुआत कैसे होती है?</v>
      </c>
      <c r="J13" s="8" t="str">
        <f>IFERROR(__xludf.DUMMYFUNCTION("GOOGLETRANSLATE(D13, ""en"", ""hi"")"),"क) बड़ी छड़ी से लक्ष्य पर प्रहार करके, ख) लक्ष्य को हवा में उछालकर, ग) आधार की ओर दौड़कर, घ) सिक्का उछालकर")</f>
        <v>क) बड़ी छड़ी से लक्ष्य पर प्रहार करके, ख) लक्ष्य को हवा में उछालकर, ग) आधार की ओर दौड़कर, घ) सिक्का उछालकर</v>
      </c>
      <c r="K13" s="8" t="str">
        <f>IFERROR(__xludf.DUMMYFUNCTION("GOOGLETRANSLATE(E13, ""en"", ""hi"")"),"ख) लक्ष्य को हवा में फेंककर")</f>
        <v>ख) लक्ष्य को हवा में फेंककर</v>
      </c>
    </row>
    <row r="14" ht="22.5" customHeight="1">
      <c r="A14" s="2">
        <v>13.0</v>
      </c>
      <c r="B14" s="3" t="s">
        <v>4567</v>
      </c>
      <c r="C14" s="3" t="s">
        <v>4568</v>
      </c>
      <c r="D14" s="3" t="s">
        <v>4569</v>
      </c>
      <c r="E14" s="3" t="s">
        <v>4570</v>
      </c>
      <c r="G14" s="8" t="str">
        <f>IFERROR(__xludf.DUMMYFUNCTION("GOOGLETRANSLATE(A14, ""en"", ""hi"")"),"13")</f>
        <v>13</v>
      </c>
      <c r="H14" s="8" t="str">
        <f>IFERROR(__xludf.DUMMYFUNCTION("GOOGLETRANSLATE(B14, ""en"", ""hi"")"),"गिल्ली_डंडा_4")</f>
        <v>गिल्ली_डंडा_4</v>
      </c>
      <c r="I14" s="8" t="str">
        <f>IFERROR(__xludf.DUMMYFUNCTION("GOOGLETRANSLATE(C14, ""en"", ""hi"")"),"चित्र में दिखाए गए खेल के अनुसार, जब लक्ष्य प्रतिद्वंद्वी द्वारा पकड़ लिया जाता है तो क्या होता है?")</f>
        <v>चित्र में दिखाए गए खेल के अनुसार, जब लक्ष्य प्रतिद्वंद्वी द्वारा पकड़ लिया जाता है तो क्या होता है?</v>
      </c>
      <c r="J14" s="8" t="str">
        <f>IFERROR(__xludf.DUMMYFUNCTION("GOOGLETRANSLATE(D14, ""en"", ""hi"")"),"a) स्ट्राइकर की बारी समाप्त हो जाती है, b) खेल रुक जाता है, c) अंकों का आदान-प्रदान होता है, d) लक्ष्य पर पुनः स्ट्राइक होती है")</f>
        <v>a) स्ट्राइकर की बारी समाप्त हो जाती है, b) खेल रुक जाता है, c) अंकों का आदान-प्रदान होता है, d) लक्ष्य पर पुनः स्ट्राइक होती है</v>
      </c>
      <c r="K14" s="8" t="str">
        <f>IFERROR(__xludf.DUMMYFUNCTION("GOOGLETRANSLATE(E14, ""en"", ""hi"")"),"a) स्ट्राइकर की बारी समाप्त हो जाती है")</f>
        <v>a) स्ट्राइकर की बारी समाप्त हो जाती है</v>
      </c>
    </row>
    <row r="15" ht="22.5" customHeight="1">
      <c r="A15" s="2">
        <v>14.0</v>
      </c>
      <c r="B15" s="3" t="s">
        <v>4567</v>
      </c>
      <c r="C15" s="3" t="s">
        <v>4571</v>
      </c>
      <c r="D15" s="3" t="s">
        <v>4572</v>
      </c>
      <c r="E15" s="3" t="s">
        <v>4573</v>
      </c>
      <c r="G15" s="8" t="str">
        <f>IFERROR(__xludf.DUMMYFUNCTION("GOOGLETRANSLATE(A15, ""en"", ""hi"")"),"14")</f>
        <v>14</v>
      </c>
      <c r="H15" s="8" t="str">
        <f>IFERROR(__xludf.DUMMYFUNCTION("GOOGLETRANSLATE(B15, ""en"", ""hi"")"),"गिल्ली_डंडा_4")</f>
        <v>गिल्ली_डंडा_4</v>
      </c>
      <c r="I15" s="8" t="str">
        <f>IFERROR(__xludf.DUMMYFUNCTION("GOOGLETRANSLATE(C15, ""en"", ""hi"")"),"चित्र में दिखाए गए खेल से, स्ट्राइकर लक्ष्य पर निशाना लगाने के लिए दूरी का चयन कैसे करता है?")</f>
        <v>चित्र में दिखाए गए खेल से, स्ट्राइकर लक्ष्य पर निशाना लगाने के लिए दूरी का चयन कैसे करता है?</v>
      </c>
      <c r="J15" s="8" t="str">
        <f>IFERROR(__xludf.DUMMYFUNCTION("GOOGLETRANSLATE(D15, ""en"", ""hi"")"),"क) कौशल स्तर के आधार पर, ख) प्रतिद्वंद्वी की स्थिति के आधार पर, ग) यादृच्छिक रूप से, घ) छड़ी से माप कर")</f>
        <v>क) कौशल स्तर के आधार पर, ख) प्रतिद्वंद्वी की स्थिति के आधार पर, ग) यादृच्छिक रूप से, घ) छड़ी से माप कर</v>
      </c>
      <c r="K15" s="8" t="str">
        <f>IFERROR(__xludf.DUMMYFUNCTION("GOOGLETRANSLATE(E15, ""en"", ""hi"")"),"ख) प्रतिद्वंद्वी की स्थिति के आधार पर")</f>
        <v>ख) प्रतिद्वंद्वी की स्थिति के आधार पर</v>
      </c>
    </row>
    <row r="16" ht="22.5" customHeight="1">
      <c r="A16" s="2">
        <v>15.0</v>
      </c>
      <c r="B16" s="3" t="s">
        <v>4567</v>
      </c>
      <c r="C16" s="3" t="s">
        <v>4574</v>
      </c>
      <c r="D16" s="3" t="s">
        <v>4575</v>
      </c>
      <c r="E16" s="3" t="s">
        <v>4576</v>
      </c>
      <c r="G16" s="8" t="str">
        <f>IFERROR(__xludf.DUMMYFUNCTION("GOOGLETRANSLATE(A16, ""en"", ""hi"")"),"15")</f>
        <v>15</v>
      </c>
      <c r="H16" s="8" t="str">
        <f>IFERROR(__xludf.DUMMYFUNCTION("GOOGLETRANSLATE(B16, ""en"", ""hi"")"),"गिल्ली_डंडा_4")</f>
        <v>गिल्ली_डंडा_4</v>
      </c>
      <c r="I16" s="8" t="str">
        <f>IFERROR(__xludf.DUMMYFUNCTION("GOOGLETRANSLATE(C16, ""en"", ""hi"")"),"चित्र में दिखाए गए खेल से, बड़ी छड़ी की क्या भूमिका है?")</f>
        <v>चित्र में दिखाए गए खेल से, बड़ी छड़ी की क्या भूमिका है?</v>
      </c>
      <c r="J16" s="8" t="str">
        <f>IFERROR(__xludf.DUMMYFUNCTION("GOOGLETRANSLATE(D16, ""en"", ""hi"")"),"क) छोटी छड़ी पर प्रहार करना, ख) विरोधियों से बचाव करना, ग) दूरी मापना, घ) खेल क्षेत्र को चिह्नित करना")</f>
        <v>क) छोटी छड़ी पर प्रहार करना, ख) विरोधियों से बचाव करना, ग) दूरी मापना, घ) खेल क्षेत्र को चिह्नित करना</v>
      </c>
      <c r="K16" s="8" t="str">
        <f>IFERROR(__xludf.DUMMYFUNCTION("GOOGLETRANSLATE(E16, ""en"", ""hi"")"),"a) छोटी छड़ी पर प्रहार करना")</f>
        <v>a) छोटी छड़ी पर प्रहार करना</v>
      </c>
    </row>
    <row r="17" ht="22.5" customHeight="1">
      <c r="A17" s="2">
        <v>16.0</v>
      </c>
      <c r="B17" s="3" t="s">
        <v>4567</v>
      </c>
      <c r="C17" s="3" t="s">
        <v>4577</v>
      </c>
      <c r="D17" s="3" t="s">
        <v>4578</v>
      </c>
      <c r="E17" s="3" t="s">
        <v>4579</v>
      </c>
      <c r="G17" s="8" t="str">
        <f>IFERROR(__xludf.DUMMYFUNCTION("GOOGLETRANSLATE(A17, ""en"", ""hi"")"),"16")</f>
        <v>16</v>
      </c>
      <c r="H17" s="8" t="str">
        <f>IFERROR(__xludf.DUMMYFUNCTION("GOOGLETRANSLATE(B17, ""en"", ""hi"")"),"गिल्ली_डंडा_4")</f>
        <v>गिल्ली_डंडा_4</v>
      </c>
      <c r="I17" s="8" t="str">
        <f>IFERROR(__xludf.DUMMYFUNCTION("GOOGLETRANSLATE(C17, ""en"", ""hi"")"),"चित्र में दिखाए गए खेल से, किसी खिलाड़ी की बारी का अंत क्या निर्धारित करता है?")</f>
        <v>चित्र में दिखाए गए खेल से, किसी खिलाड़ी की बारी का अंत क्या निर्धारित करता है?</v>
      </c>
      <c r="J17" s="8" t="str">
        <f>IFERROR(__xludf.DUMMYFUNCTION("GOOGLETRANSLATE(D17, ""en"", ""hi"")"),"क) लक्ष्य चूकना, ख) लक्ष्य को ज़मीन पर मारना, ग) प्रतिद्वंद्वी द्वारा लक्ष्य को पकड़ना, घ) सीमा रेखा पार करना")</f>
        <v>क) लक्ष्य चूकना, ख) लक्ष्य को ज़मीन पर मारना, ग) प्रतिद्वंद्वी द्वारा लक्ष्य को पकड़ना, घ) सीमा रेखा पार करना</v>
      </c>
      <c r="K17" s="8" t="str">
        <f>IFERROR(__xludf.DUMMYFUNCTION("GOOGLETRANSLATE(E17, ""en"", ""hi"")"),"c) प्रतिद्वंद्वी द्वारा लक्ष्य को पकड़ना")</f>
        <v>c) प्रतिद्वंद्वी द्वारा लक्ष्य को पकड़ना</v>
      </c>
    </row>
    <row r="18" ht="22.5" customHeight="1">
      <c r="A18" s="2">
        <v>17.0</v>
      </c>
      <c r="B18" s="3" t="s">
        <v>4580</v>
      </c>
      <c r="C18" s="3" t="s">
        <v>4581</v>
      </c>
      <c r="D18" s="3" t="s">
        <v>4582</v>
      </c>
      <c r="E18" s="3" t="s">
        <v>1362</v>
      </c>
      <c r="G18" s="8" t="str">
        <f>IFERROR(__xludf.DUMMYFUNCTION("GOOGLETRANSLATE(A18, ""en"", ""hi"")"),"17")</f>
        <v>17</v>
      </c>
      <c r="H18" s="8" t="str">
        <f>IFERROR(__xludf.DUMMYFUNCTION("GOOGLETRANSLATE(B18, ""en"", ""hi"")"),"गिल्ली_डंडा_5")</f>
        <v>गिल्ली_डंडा_5</v>
      </c>
      <c r="I18" s="8" t="str">
        <f>IFERROR(__xludf.DUMMYFUNCTION("GOOGLETRANSLATE(C18, ""en"", ""hi"")"),"चित्र में दिखाए गए खेल में से कौन सा कौशल स्ट्राइकर के लिए सबसे महत्वपूर्ण है?")</f>
        <v>चित्र में दिखाए गए खेल में से कौन सा कौशल स्ट्राइकर के लिए सबसे महत्वपूर्ण है?</v>
      </c>
      <c r="J18" s="8" t="str">
        <f>IFERROR(__xludf.DUMMYFUNCTION("GOOGLETRANSLATE(D18, ""en"", ""hi"")"),"a) परिशुद्धता, b) शक्ति, c) गति, d) सहनशक्ति")</f>
        <v>a) परिशुद्धता, b) शक्ति, c) गति, d) सहनशक्ति</v>
      </c>
      <c r="K18" s="8" t="str">
        <f>IFERROR(__xludf.DUMMYFUNCTION("GOOGLETRANSLATE(E18, ""en"", ""hi"")"),"क) परिशुद्धता")</f>
        <v>क) परिशुद्धता</v>
      </c>
    </row>
    <row r="19" ht="22.5" customHeight="1">
      <c r="A19" s="2">
        <v>18.0</v>
      </c>
      <c r="B19" s="3" t="s">
        <v>4580</v>
      </c>
      <c r="C19" s="3" t="s">
        <v>4583</v>
      </c>
      <c r="D19" s="3" t="s">
        <v>4584</v>
      </c>
      <c r="E19" s="3" t="s">
        <v>4585</v>
      </c>
      <c r="G19" s="8" t="str">
        <f>IFERROR(__xludf.DUMMYFUNCTION("GOOGLETRANSLATE(A19, ""en"", ""hi"")"),"18")</f>
        <v>18</v>
      </c>
      <c r="H19" s="8" t="str">
        <f>IFERROR(__xludf.DUMMYFUNCTION("GOOGLETRANSLATE(B19, ""en"", ""hi"")"),"गिल्ली_डंडा_5")</f>
        <v>गिल्ली_डंडा_5</v>
      </c>
      <c r="I19" s="8" t="str">
        <f>IFERROR(__xludf.DUMMYFUNCTION("GOOGLETRANSLATE(C19, ""en"", ""hi"")"),"चित्र में दिखाए गए खेल के अनुसार, यदि स्ट्राइकर सीमा के पार लक्ष्य पर हिट करता है तो क्या होता है?")</f>
        <v>चित्र में दिखाए गए खेल के अनुसार, यदि स्ट्राइकर सीमा के पार लक्ष्य पर हिट करता है तो क्या होता है?</v>
      </c>
      <c r="J19" s="8" t="str">
        <f>IFERROR(__xludf.DUMMYFUNCTION("GOOGLETRANSLATE(D19, ""en"", ""hi"")"),"a) अंक दिए जाते हैं, b) बारी जब्त कर ली जाती है, c) लक्ष्य वापस ले लिया जाता है, d) जुर्माना लगाया जाता है")</f>
        <v>a) अंक दिए जाते हैं, b) बारी जब्त कर ली जाती है, c) लक्ष्य वापस ले लिया जाता है, d) जुर्माना लगाया जाता है</v>
      </c>
      <c r="K19" s="8" t="str">
        <f>IFERROR(__xludf.DUMMYFUNCTION("GOOGLETRANSLATE(E19, ""en"", ""hi"")"),"a) अंक प्रदान किए जाते हैं")</f>
        <v>a) अंक प्रदान किए जाते हैं</v>
      </c>
    </row>
    <row r="20" ht="22.5" customHeight="1">
      <c r="A20" s="2">
        <v>19.0</v>
      </c>
      <c r="B20" s="3" t="s">
        <v>4580</v>
      </c>
      <c r="C20" s="3" t="s">
        <v>4586</v>
      </c>
      <c r="D20" s="3" t="s">
        <v>4587</v>
      </c>
      <c r="E20" s="3" t="s">
        <v>4588</v>
      </c>
      <c r="G20" s="8" t="str">
        <f>IFERROR(__xludf.DUMMYFUNCTION("GOOGLETRANSLATE(A20, ""en"", ""hi"")"),"19")</f>
        <v>19</v>
      </c>
      <c r="H20" s="8" t="str">
        <f>IFERROR(__xludf.DUMMYFUNCTION("GOOGLETRANSLATE(B20, ""en"", ""hi"")"),"गिल्ली_डंडा_5")</f>
        <v>गिल्ली_डंडा_5</v>
      </c>
      <c r="I20" s="8" t="str">
        <f>IFERROR(__xludf.DUMMYFUNCTION("GOOGLETRANSLATE(C20, ""en"", ""hi"")"),"चित्र में दिखाए गए खेल में जीतने की सामान्य रणनीति क्या है?")</f>
        <v>चित्र में दिखाए गए खेल में जीतने की सामान्य रणनीति क्या है?</v>
      </c>
      <c r="J20" s="8" t="str">
        <f>IFERROR(__xludf.DUMMYFUNCTION("GOOGLETRANSLATE(D20, ""en"", ""hi"")"),"क) लक्ष्य को दूर से मारना, ख) लक्ष्य को नीचे रखना, ग) विरोधियों पर निशाना साधना, घ) पूरी ताकत से वार करना")</f>
        <v>क) लक्ष्य को दूर से मारना, ख) लक्ष्य को नीचे रखना, ग) विरोधियों पर निशाना साधना, घ) पूरी ताकत से वार करना</v>
      </c>
      <c r="K20" s="8" t="str">
        <f>IFERROR(__xludf.DUMMYFUNCTION("GOOGLETRANSLATE(E20, ""en"", ""hi"")"),"क) लक्ष्य को दूर तक मारना")</f>
        <v>क) लक्ष्य को दूर तक मारना</v>
      </c>
    </row>
    <row r="21" ht="22.5" customHeight="1">
      <c r="A21" s="2">
        <v>20.0</v>
      </c>
      <c r="B21" s="3" t="s">
        <v>4580</v>
      </c>
      <c r="C21" s="3" t="s">
        <v>2549</v>
      </c>
      <c r="D21" s="3" t="s">
        <v>4589</v>
      </c>
      <c r="E21" s="3" t="s">
        <v>4590</v>
      </c>
      <c r="G21" s="8" t="str">
        <f>IFERROR(__xludf.DUMMYFUNCTION("GOOGLETRANSLATE(A21, ""en"", ""hi"")"),"20")</f>
        <v>20</v>
      </c>
      <c r="H21" s="8" t="str">
        <f>IFERROR(__xludf.DUMMYFUNCTION("GOOGLETRANSLATE(B21, ""en"", ""hi"")"),"गिल्ली_डंडा_5")</f>
        <v>गिल्ली_डंडा_5</v>
      </c>
      <c r="I21" s="8" t="str">
        <f>IFERROR(__xludf.DUMMYFUNCTION("GOOGLETRANSLATE(C21, ""en"", ""hi"")"),"चित्र में दिखाए गए खेल से, एक खेल की सामान्य अवधि क्या है?")</f>
        <v>चित्र में दिखाए गए खेल से, एक खेल की सामान्य अवधि क्या है?</v>
      </c>
      <c r="J21" s="8" t="str">
        <f>IFERROR(__xludf.DUMMYFUNCTION("GOOGLETRANSLATE(D21, ""en"", ""hi"")"),"क) जब तक सभी खिलाड़ियों की बारी न आ जाए, ख) जब तक निर्धारित स्कोर न हो जाए, ग) जब तक लक्ष्य पूरा न हो जाए, घ) जब तक टाइमर समाप्त न हो जाए")</f>
        <v>क) जब तक सभी खिलाड़ियों की बारी न आ जाए, ख) जब तक निर्धारित स्कोर न हो जाए, ग) जब तक लक्ष्य पूरा न हो जाए, घ) जब तक टाइमर समाप्त न हो जाए</v>
      </c>
      <c r="K21" s="8" t="str">
        <f>IFERROR(__xludf.DUMMYFUNCTION("GOOGLETRANSLATE(E21, ""en"", ""hi"")"),"a) जब तक सभी खिलाड़ियों की बारी न आ जाए")</f>
        <v>a) जब तक सभी खिलाड़ियों की बारी न आ जाए</v>
      </c>
    </row>
    <row r="22" ht="22.5" customHeight="1">
      <c r="A22" s="2">
        <v>21.0</v>
      </c>
      <c r="B22" s="3" t="s">
        <v>4591</v>
      </c>
      <c r="C22" s="3" t="s">
        <v>4592</v>
      </c>
      <c r="D22" s="3" t="s">
        <v>4593</v>
      </c>
      <c r="E22" s="3" t="s">
        <v>4594</v>
      </c>
      <c r="G22" s="8" t="str">
        <f>IFERROR(__xludf.DUMMYFUNCTION("GOOGLETRANSLATE(A22, ""en"", ""hi"")"),"21")</f>
        <v>21</v>
      </c>
      <c r="H22" s="8" t="str">
        <f>IFERROR(__xludf.DUMMYFUNCTION("GOOGLETRANSLATE(B22, ""en"", ""hi"")"),"गिल्ली_डंडा_6")</f>
        <v>गिल्ली_डंडा_6</v>
      </c>
      <c r="I22" s="8" t="str">
        <f>IFERROR(__xludf.DUMMYFUNCTION("GOOGLETRANSLATE(C22, ""en"", ""hi"")"),"चित्र में दिखाए गए खेल से, लक्ष्य का कौन सा भाग लक्षित है?")</f>
        <v>चित्र में दिखाए गए खेल से, लक्ष्य का कौन सा भाग लक्षित है?</v>
      </c>
      <c r="J22" s="8" t="str">
        <f>IFERROR(__xludf.DUMMYFUNCTION("GOOGLETRANSLATE(D22, ""en"", ""hi"")"),"a) मध्य, b) अंत, c) सिरा, d) किनारा")</f>
        <v>a) मध्य, b) अंत, c) सिरा, d) किनारा</v>
      </c>
      <c r="K22" s="8" t="str">
        <f>IFERROR(__xludf.DUMMYFUNCTION("GOOGLETRANSLATE(E22, ""en"", ""hi"")"),"ख) अंत")</f>
        <v>ख) अंत</v>
      </c>
    </row>
    <row r="23" ht="22.5" customHeight="1">
      <c r="A23" s="2">
        <v>22.0</v>
      </c>
      <c r="B23" s="3" t="s">
        <v>4591</v>
      </c>
      <c r="C23" s="3" t="s">
        <v>4595</v>
      </c>
      <c r="D23" s="3" t="s">
        <v>4596</v>
      </c>
      <c r="E23" s="3" t="s">
        <v>1957</v>
      </c>
      <c r="G23" s="8" t="str">
        <f>IFERROR(__xludf.DUMMYFUNCTION("GOOGLETRANSLATE(A23, ""en"", ""hi"")"),"22")</f>
        <v>22</v>
      </c>
      <c r="H23" s="8" t="str">
        <f>IFERROR(__xludf.DUMMYFUNCTION("GOOGLETRANSLATE(B23, ""en"", ""hi"")"),"गिल्ली_डंडा_6")</f>
        <v>गिल्ली_डंडा_6</v>
      </c>
      <c r="I23" s="8" t="str">
        <f>IFERROR(__xludf.DUMMYFUNCTION("GOOGLETRANSLATE(C23, ""en"", ""hi"")"),"चित्र में दिखाए गए खेल से, लक्ष्य की विशिष्ट सामग्री क्या है?")</f>
        <v>चित्र में दिखाए गए खेल से, लक्ष्य की विशिष्ट सामग्री क्या है?</v>
      </c>
      <c r="J23" s="8" t="str">
        <f>IFERROR(__xludf.DUMMYFUNCTION("GOOGLETRANSLATE(D23, ""en"", ""hi"")"),"a) लकड़ी, b) धातु, c) प्लास्टिक, d) पत्थर")</f>
        <v>a) लकड़ी, b) धातु, c) प्लास्टिक, d) पत्थर</v>
      </c>
      <c r="K23" s="8" t="str">
        <f>IFERROR(__xludf.DUMMYFUNCTION("GOOGLETRANSLATE(E23, ""en"", ""hi"")"),"एक लकड़ी")</f>
        <v>एक लकड़ी</v>
      </c>
    </row>
    <row r="24" ht="22.5" customHeight="1">
      <c r="A24" s="2">
        <v>23.0</v>
      </c>
      <c r="B24" s="3" t="s">
        <v>4591</v>
      </c>
      <c r="C24" s="3" t="s">
        <v>4597</v>
      </c>
      <c r="D24" s="3" t="s">
        <v>4598</v>
      </c>
      <c r="E24" s="3" t="s">
        <v>4599</v>
      </c>
      <c r="G24" s="8" t="str">
        <f>IFERROR(__xludf.DUMMYFUNCTION("GOOGLETRANSLATE(A24, ""en"", ""hi"")"),"23")</f>
        <v>23</v>
      </c>
      <c r="H24" s="8" t="str">
        <f>IFERROR(__xludf.DUMMYFUNCTION("GOOGLETRANSLATE(B24, ""en"", ""hi"")"),"गिल्ली_डंडा_6")</f>
        <v>गिल्ली_डंडा_6</v>
      </c>
      <c r="I24" s="8" t="str">
        <f>IFERROR(__xludf.DUMMYFUNCTION("GOOGLETRANSLATE(C24, ""en"", ""hi"")"),"चित्र में दिखाए गए खेल में से कौन सा समूह अक्सर यह खेल खेलता है?")</f>
        <v>चित्र में दिखाए गए खेल में से कौन सा समूह अक्सर यह खेल खेलता है?</v>
      </c>
      <c r="J24" s="8" t="str">
        <f>IFERROR(__xludf.DUMMYFUNCTION("GOOGLETRANSLATE(D24, ""en"", ""hi"")"),"a) बच्चे, b) वयस्क, c) बुजुर्ग, d) पेशेवर")</f>
        <v>a) बच्चे, b) वयस्क, c) बुजुर्ग, d) पेशेवर</v>
      </c>
      <c r="K24" s="8" t="str">
        <f>IFERROR(__xludf.DUMMYFUNCTION("GOOGLETRANSLATE(E24, ""en"", ""hi"")"),"एक बच्चा")</f>
        <v>एक बच्चा</v>
      </c>
    </row>
    <row r="25" ht="22.5" customHeight="1">
      <c r="A25" s="2">
        <v>24.0</v>
      </c>
      <c r="B25" s="3" t="s">
        <v>4591</v>
      </c>
      <c r="C25" s="3" t="s">
        <v>4600</v>
      </c>
      <c r="D25" s="3" t="s">
        <v>4601</v>
      </c>
      <c r="E25" s="3" t="s">
        <v>4602</v>
      </c>
      <c r="G25" s="8" t="str">
        <f>IFERROR(__xludf.DUMMYFUNCTION("GOOGLETRANSLATE(A25, ""en"", ""hi"")"),"24")</f>
        <v>24</v>
      </c>
      <c r="H25" s="8" t="str">
        <f>IFERROR(__xludf.DUMMYFUNCTION("GOOGLETRANSLATE(B25, ""en"", ""hi"")"),"गिल्ली_डंडा_6")</f>
        <v>गिल्ली_डंडा_6</v>
      </c>
      <c r="I25" s="8" t="str">
        <f>IFERROR(__xludf.DUMMYFUNCTION("GOOGLETRANSLATE(C25, ""en"", ""hi"")"),"चित्र में दिखाए गए खेल से, लक्ष्य को प्रारंभ में किस प्रकार रखा गया है?")</f>
        <v>चित्र में दिखाए गए खेल से, लक्ष्य को प्रारंभ में किस प्रकार रखा गया है?</v>
      </c>
      <c r="J25" s="8" t="str">
        <f>IFERROR(__xludf.DUMMYFUNCTION("GOOGLETRANSLATE(D25, ""en"", ""hi"")"),"a) ज़मीन पर, b) हवा में, c) स्टैंड पर, d) खिलाड़ी के हाथ में")</f>
        <v>a) ज़मीन पर, b) हवा में, c) स्टैंड पर, d) खिलाड़ी के हाथ में</v>
      </c>
      <c r="K25" s="8" t="str">
        <f>IFERROR(__xludf.DUMMYFUNCTION("GOOGLETRANSLATE(E25, ""en"", ""hi"")"),"क) ज़मीन पर")</f>
        <v>क) ज़मीन पर</v>
      </c>
    </row>
    <row r="26" ht="22.5" customHeight="1">
      <c r="A26" s="2">
        <v>25.0</v>
      </c>
      <c r="B26" s="3" t="s">
        <v>4603</v>
      </c>
      <c r="C26" s="3" t="s">
        <v>4604</v>
      </c>
      <c r="D26" s="3" t="s">
        <v>4605</v>
      </c>
      <c r="E26" s="3" t="s">
        <v>4606</v>
      </c>
      <c r="G26" s="8" t="str">
        <f>IFERROR(__xludf.DUMMYFUNCTION("GOOGLETRANSLATE(A26, ""en"", ""hi"")"),"25")</f>
        <v>25</v>
      </c>
      <c r="H26" s="8" t="str">
        <f>IFERROR(__xludf.DUMMYFUNCTION("GOOGLETRANSLATE(B26, ""en"", ""hi"")"),"गिल्ली_डंडा_7")</f>
        <v>गिल्ली_डंडा_7</v>
      </c>
      <c r="I26" s="8" t="str">
        <f>IFERROR(__xludf.DUMMYFUNCTION("GOOGLETRANSLATE(C26, ""en"", ""hi"")"),"चित्र में दिखाए गए खेल से, लक्ष्य को बेलनाकार बनाने का उद्देश्य क्या है?")</f>
        <v>चित्र में दिखाए गए खेल से, लक्ष्य को बेलनाकार बनाने का उद्देश्य क्या है?</v>
      </c>
      <c r="J26" s="8" t="str">
        <f>IFERROR(__xludf.DUMMYFUNCTION("GOOGLETRANSLATE(D26, ""en"", ""hi"")"),"क) आसानी से मारा जाना, ख) आगे लुढ़कना, ग) हवा में घूमना, घ) संतुलित होना")</f>
        <v>क) आसानी से मारा जाना, ख) आगे लुढ़कना, ग) हवा में घूमना, घ) संतुलित होना</v>
      </c>
      <c r="K26" s="8" t="str">
        <f>IFERROR(__xludf.DUMMYFUNCTION("GOOGLETRANSLATE(E26, ""en"", ""hi"")"),"ग) हवा में घूमना")</f>
        <v>ग) हवा में घूमना</v>
      </c>
    </row>
    <row r="27" ht="22.5" customHeight="1">
      <c r="A27" s="2">
        <v>26.0</v>
      </c>
      <c r="B27" s="3" t="s">
        <v>4603</v>
      </c>
      <c r="C27" s="3" t="s">
        <v>4607</v>
      </c>
      <c r="D27" s="3" t="s">
        <v>4608</v>
      </c>
      <c r="E27" s="3" t="s">
        <v>4609</v>
      </c>
      <c r="G27" s="8" t="str">
        <f>IFERROR(__xludf.DUMMYFUNCTION("GOOGLETRANSLATE(A27, ""en"", ""hi"")"),"26")</f>
        <v>26</v>
      </c>
      <c r="H27" s="8" t="str">
        <f>IFERROR(__xludf.DUMMYFUNCTION("GOOGLETRANSLATE(B27, ""en"", ""hi"")"),"गिल्ली_डंडा_7")</f>
        <v>गिल्ली_डंडा_7</v>
      </c>
      <c r="I27" s="8" t="str">
        <f>IFERROR(__xludf.DUMMYFUNCTION("GOOGLETRANSLATE(C27, ""en"", ""hi"")"),"चित्र में दिखाए गए खेल के अनुसार, यदि लक्ष्य पर सही ढंग से प्रहार नहीं किया जाए तो क्या होगा?")</f>
        <v>चित्र में दिखाए गए खेल के अनुसार, यदि लक्ष्य पर सही ढंग से प्रहार नहीं किया जाए तो क्या होगा?</v>
      </c>
      <c r="J27" s="8" t="str">
        <f>IFERROR(__xludf.DUMMYFUNCTION("GOOGLETRANSLATE(D27, ""en"", ""hi"")"),"a) स्ट्राइकर अपनी बारी खो देता है, b) स्ट्राइकर पुनः प्रयास करता है, c) लक्ष्य पुनः निर्धारित हो जाता है, d) प्रतिद्वंद्वी अंक अर्जित करता है")</f>
        <v>a) स्ट्राइकर अपनी बारी खो देता है, b) स्ट्राइकर पुनः प्रयास करता है, c) लक्ष्य पुनः निर्धारित हो जाता है, d) प्रतिद्वंद्वी अंक अर्जित करता है</v>
      </c>
      <c r="K27" s="8" t="str">
        <f>IFERROR(__xludf.DUMMYFUNCTION("GOOGLETRANSLATE(E27, ""en"", ""hi"")"),"a) स्ट्राइकर अपनी बारी खो देता है")</f>
        <v>a) स्ट्राइकर अपनी बारी खो देता है</v>
      </c>
    </row>
    <row r="28" ht="22.5" customHeight="1">
      <c r="A28" s="2">
        <v>27.0</v>
      </c>
      <c r="B28" s="3" t="s">
        <v>4603</v>
      </c>
      <c r="C28" s="3" t="s">
        <v>4610</v>
      </c>
      <c r="D28" s="3" t="s">
        <v>4611</v>
      </c>
      <c r="E28" s="3" t="s">
        <v>4612</v>
      </c>
      <c r="G28" s="8" t="str">
        <f>IFERROR(__xludf.DUMMYFUNCTION("GOOGLETRANSLATE(A28, ""en"", ""hi"")"),"27")</f>
        <v>27</v>
      </c>
      <c r="H28" s="8" t="str">
        <f>IFERROR(__xludf.DUMMYFUNCTION("GOOGLETRANSLATE(B28, ""en"", ""hi"")"),"गिल्ली_डंडा_7")</f>
        <v>गिल्ली_डंडा_7</v>
      </c>
      <c r="I28" s="8" t="str">
        <f>IFERROR(__xludf.DUMMYFUNCTION("GOOGLETRANSLATE(C28, ""en"", ""hi"")"),"चित्र में दिखाए गए खेल से, प्रतिद्वंद्वी के लिए एक सामान्य रक्षात्मक रणनीति क्या है?")</f>
        <v>चित्र में दिखाए गए खेल से, प्रतिद्वंद्वी के लिए एक सामान्य रक्षात्मक रणनीति क्या है?</v>
      </c>
      <c r="J28" s="8" t="str">
        <f>IFERROR(__xludf.DUMMYFUNCTION("GOOGLETRANSLATE(D28, ""en"", ""hi"")"),"क) लक्ष्य को पकड़ना, ख) स्ट्राइकर को रोकना, ग) बेस की ओर दौड़ना, घ) लक्ष्य को छिपाना")</f>
        <v>क) लक्ष्य को पकड़ना, ख) स्ट्राइकर को रोकना, ग) बेस की ओर दौड़ना, घ) लक्ष्य को छिपाना</v>
      </c>
      <c r="K28" s="8" t="str">
        <f>IFERROR(__xludf.DUMMYFUNCTION("GOOGLETRANSLATE(E28, ""en"", ""hi"")"),"क) लक्ष्य को पकड़ना")</f>
        <v>क) लक्ष्य को पकड़ना</v>
      </c>
    </row>
    <row r="29" ht="22.5" customHeight="1">
      <c r="A29" s="2">
        <v>28.0</v>
      </c>
      <c r="B29" s="3" t="s">
        <v>4603</v>
      </c>
      <c r="C29" s="3" t="s">
        <v>4613</v>
      </c>
      <c r="D29" s="3" t="s">
        <v>4614</v>
      </c>
      <c r="E29" s="3" t="s">
        <v>4615</v>
      </c>
      <c r="G29" s="8" t="str">
        <f>IFERROR(__xludf.DUMMYFUNCTION("GOOGLETRANSLATE(A29, ""en"", ""hi"")"),"28")</f>
        <v>28</v>
      </c>
      <c r="H29" s="8" t="str">
        <f>IFERROR(__xludf.DUMMYFUNCTION("GOOGLETRANSLATE(B29, ""en"", ""hi"")"),"गिल्ली_डंडा_7")</f>
        <v>गिल्ली_डंडा_7</v>
      </c>
      <c r="I29" s="8" t="str">
        <f>IFERROR(__xludf.DUMMYFUNCTION("GOOGLETRANSLATE(C29, ""en"", ""hi"")"),"चित्र में दिखाए गए खेल से यह निर्धारित करने का सामान्य तरीका क्या है कि खेल कौन शुरू करेगा?")</f>
        <v>चित्र में दिखाए गए खेल से यह निर्धारित करने का सामान्य तरीका क्या है कि खेल कौन शुरू करेगा?</v>
      </c>
      <c r="J29" s="8" t="str">
        <f>IFERROR(__xludf.DUMMYFUNCTION("GOOGLETRANSLATE(D29, ""en"", ""hi"")"),"क) सिक्का उछालना, ख) लॉटरी निकालना, ग) उम्र के अनुसार, घ) पत्थर-कागज़-कैंची")</f>
        <v>क) सिक्का उछालना, ख) लॉटरी निकालना, ग) उम्र के अनुसार, घ) पत्थर-कागज़-कैंची</v>
      </c>
      <c r="K29" s="8" t="str">
        <f>IFERROR(__xludf.DUMMYFUNCTION("GOOGLETRANSLATE(E29, ""en"", ""hi"")"),"क) सिक्का उछालना")</f>
        <v>क) सिक्का उछालना</v>
      </c>
    </row>
    <row r="30" ht="22.5" customHeight="1">
      <c r="A30" s="2">
        <v>29.0</v>
      </c>
      <c r="B30" s="3" t="s">
        <v>4616</v>
      </c>
      <c r="C30" s="3" t="s">
        <v>4617</v>
      </c>
      <c r="D30" s="3" t="s">
        <v>4618</v>
      </c>
      <c r="E30" s="3" t="s">
        <v>4619</v>
      </c>
      <c r="G30" s="8" t="str">
        <f>IFERROR(__xludf.DUMMYFUNCTION("GOOGLETRANSLATE(A30, ""en"", ""hi"")"),"29")</f>
        <v>29</v>
      </c>
      <c r="H30" s="8" t="str">
        <f>IFERROR(__xludf.DUMMYFUNCTION("GOOGLETRANSLATE(B30, ""en"", ""hi"")"),"गिल्ली_डंडा_8")</f>
        <v>गिल्ली_डंडा_8</v>
      </c>
      <c r="I30" s="8" t="str">
        <f>IFERROR(__xludf.DUMMYFUNCTION("GOOGLETRANSLATE(C30, ""en"", ""hi"")"),"चित्र में दिखाए गए खेल के अनुसार, नियम तोड़ने पर सामान्य दंड क्या है?")</f>
        <v>चित्र में दिखाए गए खेल के अनुसार, नियम तोड़ने पर सामान्य दंड क्या है?</v>
      </c>
      <c r="J30" s="8" t="str">
        <f>IFERROR(__xludf.DUMMYFUNCTION("GOOGLETRANSLATE(D30, ""en"", ""hi"")"),"क) बारी का नुकसान, ख) अंकों की कटौती, ग) समय समाप्ति, घ) अयोग्यता")</f>
        <v>क) बारी का नुकसान, ख) अंकों की कटौती, ग) समय समाप्ति, घ) अयोग्यता</v>
      </c>
      <c r="K30" s="8" t="str">
        <f>IFERROR(__xludf.DUMMYFUNCTION("GOOGLETRANSLATE(E30, ""en"", ""hi"")"),"a) मोड़ का नुकसान")</f>
        <v>a) मोड़ का नुकसान</v>
      </c>
    </row>
    <row r="31" ht="22.5" customHeight="1">
      <c r="A31" s="2">
        <v>30.0</v>
      </c>
      <c r="B31" s="3" t="s">
        <v>4616</v>
      </c>
      <c r="C31" s="3" t="s">
        <v>4620</v>
      </c>
      <c r="D31" s="3" t="s">
        <v>2608</v>
      </c>
      <c r="E31" s="3" t="s">
        <v>2609</v>
      </c>
      <c r="G31" s="8" t="str">
        <f>IFERROR(__xludf.DUMMYFUNCTION("GOOGLETRANSLATE(A31, ""en"", ""hi"")"),"30")</f>
        <v>30</v>
      </c>
      <c r="H31" s="8" t="str">
        <f>IFERROR(__xludf.DUMMYFUNCTION("GOOGLETRANSLATE(B31, ""en"", ""hi"")"),"गिल्ली_डंडा_8")</f>
        <v>गिल्ली_डंडा_8</v>
      </c>
      <c r="I31" s="8" t="str">
        <f>IFERROR(__xludf.DUMMYFUNCTION("GOOGLETRANSLATE(C31, ""en"", ""hi"")"),"चित्र में दिखाए गए खेल में आमतौर पर कितने खिलाड़ी शामिल होते हैं?")</f>
        <v>चित्र में दिखाए गए खेल में आमतौर पर कितने खिलाड़ी शामिल होते हैं?</v>
      </c>
      <c r="J31" s="8" t="str">
        <f>IFERROR(__xludf.DUMMYFUNCTION("GOOGLETRANSLATE(D31, ""en"", ""hi"")"),"ए) 2, बी) 4, सी) 6, डी) 8")</f>
        <v>ए) 2, बी) 4, सी) 6, डी) 8</v>
      </c>
      <c r="K31" s="8" t="str">
        <f>IFERROR(__xludf.DUMMYFUNCTION("GOOGLETRANSLATE(E31, ""en"", ""hi"")"),"क) 2")</f>
        <v>क) 2</v>
      </c>
    </row>
    <row r="32" ht="22.5" customHeight="1">
      <c r="A32" s="2">
        <v>31.0</v>
      </c>
      <c r="B32" s="3" t="s">
        <v>4616</v>
      </c>
      <c r="C32" s="3" t="s">
        <v>4621</v>
      </c>
      <c r="D32" s="3" t="s">
        <v>4622</v>
      </c>
      <c r="E32" s="3" t="s">
        <v>4623</v>
      </c>
      <c r="G32" s="8" t="str">
        <f>IFERROR(__xludf.DUMMYFUNCTION("GOOGLETRANSLATE(A32, ""en"", ""hi"")"),"31")</f>
        <v>31</v>
      </c>
      <c r="H32" s="8" t="str">
        <f>IFERROR(__xludf.DUMMYFUNCTION("GOOGLETRANSLATE(B32, ""en"", ""hi"")"),"गिल्ली_डंडा_8")</f>
        <v>गिल्ली_डंडा_8</v>
      </c>
      <c r="I32" s="8" t="str">
        <f>IFERROR(__xludf.DUMMYFUNCTION("GOOGLETRANSLATE(C32, ""en"", ""hi"")"),"चित्र में दिखाए गए खेल से, स्ट्राइकर का मुख्य लक्ष्य क्या है?")</f>
        <v>चित्र में दिखाए गए खेल से, स्ट्राइकर का मुख्य लक्ष्य क्या है?</v>
      </c>
      <c r="J32" s="8" t="str">
        <f>IFERROR(__xludf.DUMMYFUNCTION("GOOGLETRANSLATE(D32, ""en"", ""hi"")"),"क) लक्ष्य पर यथासंभव दूर तक प्रहार करना, ख) लक्ष्य को पकड़ना, ग) लक्ष्य की रक्षा करना, घ) प्रतिद्वंद्वी को रोकना")</f>
        <v>क) लक्ष्य पर यथासंभव दूर तक प्रहार करना, ख) लक्ष्य को पकड़ना, ग) लक्ष्य की रक्षा करना, घ) प्रतिद्वंद्वी को रोकना</v>
      </c>
      <c r="K32" s="8" t="str">
        <f>IFERROR(__xludf.DUMMYFUNCTION("GOOGLETRANSLATE(E32, ""en"", ""hi"")"),"क) लक्ष्य को यथासंभव दूर तक मारना")</f>
        <v>क) लक्ष्य को यथासंभव दूर तक मारना</v>
      </c>
    </row>
    <row r="33" ht="22.5" customHeight="1">
      <c r="A33" s="2">
        <v>32.0</v>
      </c>
      <c r="B33" s="3" t="s">
        <v>4616</v>
      </c>
      <c r="C33" s="3" t="s">
        <v>4624</v>
      </c>
      <c r="D33" s="3" t="s">
        <v>4625</v>
      </c>
      <c r="E33" s="3" t="s">
        <v>4626</v>
      </c>
      <c r="G33" s="8" t="str">
        <f>IFERROR(__xludf.DUMMYFUNCTION("GOOGLETRANSLATE(A33, ""en"", ""hi"")"),"32")</f>
        <v>32</v>
      </c>
      <c r="H33" s="8" t="str">
        <f>IFERROR(__xludf.DUMMYFUNCTION("GOOGLETRANSLATE(B33, ""en"", ""hi"")"),"गिल्ली_डंडा_8")</f>
        <v>गिल्ली_डंडा_8</v>
      </c>
      <c r="I33" s="8" t="str">
        <f>IFERROR(__xludf.DUMMYFUNCTION("GOOGLETRANSLATE(C33, ""en"", ""hi"")"),"चित्र में दिखाए गए खेल के लिए आवश्यक प्राथमिक शारीरिक कौशल क्या है?")</f>
        <v>चित्र में दिखाए गए खेल के लिए आवश्यक प्राथमिक शारीरिक कौशल क्या है?</v>
      </c>
      <c r="J33" s="8" t="str">
        <f>IFERROR(__xludf.DUMMYFUNCTION("GOOGLETRANSLATE(D33, ""en"", ""hi"")"),"क) हाथ-आँख समन्वय, ख) शक्ति, ग) सहनशक्ति, घ) लचीलापन")</f>
        <v>क) हाथ-आँख समन्वय, ख) शक्ति, ग) सहनशक्ति, घ) लचीलापन</v>
      </c>
      <c r="K33" s="8" t="str">
        <f>IFERROR(__xludf.DUMMYFUNCTION("GOOGLETRANSLATE(E33, ""en"", ""hi"")"),"क) हाथ-आँख समन्वय")</f>
        <v>क) हाथ-आँख समन्वय</v>
      </c>
    </row>
    <row r="34" ht="22.5" customHeight="1">
      <c r="A34" s="2">
        <v>33.0</v>
      </c>
      <c r="B34" s="3" t="s">
        <v>4627</v>
      </c>
      <c r="C34" s="3" t="s">
        <v>4628</v>
      </c>
      <c r="D34" s="3" t="s">
        <v>4629</v>
      </c>
      <c r="E34" s="3" t="s">
        <v>4630</v>
      </c>
      <c r="G34" s="8" t="str">
        <f>IFERROR(__xludf.DUMMYFUNCTION("GOOGLETRANSLATE(A34, ""en"", ""hi"")"),"33")</f>
        <v>33</v>
      </c>
      <c r="H34" s="8" t="str">
        <f>IFERROR(__xludf.DUMMYFUNCTION("GOOGLETRANSLATE(B34, ""en"", ""hi"")"),"गिल्ली_डंडा_9")</f>
        <v>गिल्ली_डंडा_9</v>
      </c>
      <c r="I34" s="8" t="str">
        <f>IFERROR(__xludf.DUMMYFUNCTION("GOOGLETRANSLATE(C34, ""en"", ""hi"")"),"चित्र में दिखाए गए खेल के अनुसार, स्ट्राइकर को खेल के दौरान किन चीजों से बचना चाहिए?")</f>
        <v>चित्र में दिखाए गए खेल के अनुसार, स्ट्राइकर को खेल के दौरान किन चीजों से बचना चाहिए?</v>
      </c>
      <c r="J34" s="8" t="str">
        <f>IFERROR(__xludf.DUMMYFUNCTION("GOOGLETRANSLATE(D34, ""en"", ""hi"")"),"क) लक्ष्य को ज़मीन पर मारना, ख) बहुत ज़ोर से झूलना, ग) बहुत तेज़ दौड़ना, घ) लक्ष्य को पकड़ना")</f>
        <v>क) लक्ष्य को ज़मीन पर मारना, ख) बहुत ज़ोर से झूलना, ग) बहुत तेज़ दौड़ना, घ) लक्ष्य को पकड़ना</v>
      </c>
      <c r="K34" s="8" t="str">
        <f>IFERROR(__xludf.DUMMYFUNCTION("GOOGLETRANSLATE(E34, ""en"", ""hi"")"),"क) लक्ष्य को ज़मीन पर मारना")</f>
        <v>क) लक्ष्य को ज़मीन पर मारना</v>
      </c>
    </row>
    <row r="35" ht="22.5" customHeight="1">
      <c r="A35" s="2">
        <v>34.0</v>
      </c>
      <c r="B35" s="3" t="s">
        <v>4627</v>
      </c>
      <c r="C35" s="3" t="s">
        <v>4631</v>
      </c>
      <c r="D35" s="3" t="s">
        <v>4632</v>
      </c>
      <c r="E35" s="3" t="s">
        <v>4633</v>
      </c>
      <c r="G35" s="8" t="str">
        <f>IFERROR(__xludf.DUMMYFUNCTION("GOOGLETRANSLATE(A35, ""en"", ""hi"")"),"34")</f>
        <v>34</v>
      </c>
      <c r="H35" s="8" t="str">
        <f>IFERROR(__xludf.DUMMYFUNCTION("GOOGLETRANSLATE(B35, ""en"", ""hi"")"),"गिल्ली_डंडा_9")</f>
        <v>गिल्ली_डंडा_9</v>
      </c>
      <c r="I35" s="8" t="str">
        <f>IFERROR(__xludf.DUMMYFUNCTION("GOOGLETRANSLATE(C35, ""en"", ""hi"")"),"चित्र में दिखाए गए खेल के अनुसार, यदि प्रतिद्वंद्वी लक्ष्य को पकड़ने में विफल रहता है तो संभावित परिणाम क्या होगा?")</f>
        <v>चित्र में दिखाए गए खेल के अनुसार, यदि प्रतिद्वंद्वी लक्ष्य को पकड़ने में विफल रहता है तो संभावित परिणाम क्या होगा?</v>
      </c>
      <c r="J35" s="8" t="str">
        <f>IFERROR(__xludf.DUMMYFUNCTION("GOOGLETRANSLATE(D35, ""en"", ""hi"")"),"a) स्ट्राइकर अधिक अंक अर्जित करता है, b) खेल पुनः शुरू होता है, c) प्रतिद्वंद्वी अंक खो देता है, d) स्ट्राइकर को एक और बारी मिलती है")</f>
        <v>a) स्ट्राइकर अधिक अंक अर्जित करता है, b) खेल पुनः शुरू होता है, c) प्रतिद्वंद्वी अंक खो देता है, d) स्ट्राइकर को एक और बारी मिलती है</v>
      </c>
      <c r="K35" s="8" t="str">
        <f>IFERROR(__xludf.DUMMYFUNCTION("GOOGLETRANSLATE(E35, ""en"", ""hi"")"),"a) स्ट्राइकर अधिक अंक अर्जित करता है")</f>
        <v>a) स्ट्राइकर अधिक अंक अर्जित करता है</v>
      </c>
    </row>
    <row r="36" ht="22.5" customHeight="1">
      <c r="A36" s="2">
        <v>35.0</v>
      </c>
      <c r="B36" s="3" t="s">
        <v>4627</v>
      </c>
      <c r="C36" s="3" t="s">
        <v>4634</v>
      </c>
      <c r="D36" s="3" t="s">
        <v>4635</v>
      </c>
      <c r="E36" s="3" t="s">
        <v>4636</v>
      </c>
      <c r="G36" s="8" t="str">
        <f>IFERROR(__xludf.DUMMYFUNCTION("GOOGLETRANSLATE(A36, ""en"", ""hi"")"),"35")</f>
        <v>35</v>
      </c>
      <c r="H36" s="8" t="str">
        <f>IFERROR(__xludf.DUMMYFUNCTION("GOOGLETRANSLATE(B36, ""en"", ""hi"")"),"गिल्ली_डंडा_9")</f>
        <v>गिल्ली_डंडा_9</v>
      </c>
      <c r="I36" s="8" t="str">
        <f>IFERROR(__xludf.DUMMYFUNCTION("GOOGLETRANSLATE(C36, ""en"", ""hi"")"),"चित्र में दिखाए गए खेल के अनुसार, किस प्रकार का मैदान खेलने के लिए आदर्श है?")</f>
        <v>चित्र में दिखाए गए खेल के अनुसार, किस प्रकार का मैदान खेलने के लिए आदर्श है?</v>
      </c>
      <c r="J36" s="8" t="str">
        <f>IFERROR(__xludf.DUMMYFUNCTION("GOOGLETRANSLATE(D36, ""en"", ""hi"")"),"a) समतल और खुला, b) पथरीला और ऊबड़-खाबड़, c) घास वाला और मुलायम, d) रेतीला और ढीला")</f>
        <v>a) समतल और खुला, b) पथरीला और ऊबड़-खाबड़, c) घास वाला और मुलायम, d) रेतीला और ढीला</v>
      </c>
      <c r="K36" s="8" t="str">
        <f>IFERROR(__xludf.DUMMYFUNCTION("GOOGLETRANSLATE(E36, ""en"", ""hi"")"),"a) सपाट और खुला")</f>
        <v>a) सपाट और खुला</v>
      </c>
    </row>
    <row r="37" ht="22.5" customHeight="1">
      <c r="A37" s="2">
        <v>36.0</v>
      </c>
      <c r="B37" s="3" t="s">
        <v>4627</v>
      </c>
      <c r="C37" s="3" t="s">
        <v>4637</v>
      </c>
      <c r="D37" s="3" t="s">
        <v>4638</v>
      </c>
      <c r="E37" s="3" t="s">
        <v>4639</v>
      </c>
      <c r="G37" s="8" t="str">
        <f>IFERROR(__xludf.DUMMYFUNCTION("GOOGLETRANSLATE(A37, ""en"", ""hi"")"),"36")</f>
        <v>36</v>
      </c>
      <c r="H37" s="8" t="str">
        <f>IFERROR(__xludf.DUMMYFUNCTION("GOOGLETRANSLATE(B37, ""en"", ""hi"")"),"गिल्ली_डंडा_9")</f>
        <v>गिल्ली_डंडा_9</v>
      </c>
      <c r="I37" s="8" t="str">
        <f>IFERROR(__xludf.DUMMYFUNCTION("GOOGLETRANSLATE(C37, ""en"", ""hi"")"),"चित्र में दिखाए गए खेल से, खेल को समाप्त करने का एक तरीका क्या है?")</f>
        <v>चित्र में दिखाए गए खेल से, खेल को समाप्त करने का एक तरीका क्या है?</v>
      </c>
      <c r="J37" s="8" t="str">
        <f>IFERROR(__xludf.DUMMYFUNCTION("GOOGLETRANSLATE(D37, ""en"", ""hi"")"),"क) जब निर्धारित अंक प्राप्त हो जाएं, ख) जब लक्ष्य खो जाए, ग) जब सभी खिलाड़ियों की बारी आ जाए, घ) जब अंधेरा हो जाए")</f>
        <v>क) जब निर्धारित अंक प्राप्त हो जाएं, ख) जब लक्ष्य खो जाए, ग) जब सभी खिलाड़ियों की बारी आ जाए, घ) जब अंधेरा हो जाए</v>
      </c>
      <c r="K37" s="8" t="str">
        <f>IFERROR(__xludf.DUMMYFUNCTION("GOOGLETRANSLATE(E37, ""en"", ""hi"")"),"c) जब सभी खिलाड़ियों की बारी आ चुकी हो")</f>
        <v>c) जब सभी खिलाड़ियों की बारी आ चुकी हो</v>
      </c>
    </row>
    <row r="38" ht="22.5" customHeight="1">
      <c r="A38" s="2">
        <v>37.0</v>
      </c>
      <c r="B38" s="3" t="s">
        <v>4640</v>
      </c>
      <c r="C38" s="3" t="s">
        <v>4641</v>
      </c>
      <c r="D38" s="3" t="s">
        <v>4642</v>
      </c>
      <c r="E38" s="3" t="s">
        <v>4643</v>
      </c>
      <c r="G38" s="8" t="str">
        <f>IFERROR(__xludf.DUMMYFUNCTION("GOOGLETRANSLATE(A38, ""en"", ""hi"")"),"37")</f>
        <v>37</v>
      </c>
      <c r="H38" s="8" t="str">
        <f>IFERROR(__xludf.DUMMYFUNCTION("GOOGLETRANSLATE(B38, ""en"", ""hi"")"),"गिल्ली_डंडा_10")</f>
        <v>गिल्ली_डंडा_10</v>
      </c>
      <c r="I38" s="8" t="str">
        <f>IFERROR(__xludf.DUMMYFUNCTION("GOOGLETRANSLATE(C38, ""en"", ""hi"")"),"चित्र में दिखाए गए खेल में लक्ष्य पर प्रहार करने के लिए प्रायः किस हाथ की तकनीक का प्रयोग किया जाता है?")</f>
        <v>चित्र में दिखाए गए खेल में लक्ष्य पर प्रहार करने के लिए प्रायः किस हाथ की तकनीक का प्रयोग किया जाता है?</v>
      </c>
      <c r="J38" s="8" t="str">
        <f>IFERROR(__xludf.DUMMYFUNCTION("GOOGLETRANSLATE(D38, ""en"", ""hi"")"),"a) ओवरहैंड, b) अंडरहैंड, c) साइडआर्म, d) बैकहैंड")</f>
        <v>a) ओवरहैंड, b) अंडरहैंड, c) साइडआर्म, d) बैकहैंड</v>
      </c>
      <c r="K38" s="8" t="str">
        <f>IFERROR(__xludf.DUMMYFUNCTION("GOOGLETRANSLATE(E38, ""en"", ""hi"")"),"क) ओवरहैंड")</f>
        <v>क) ओवरहैंड</v>
      </c>
    </row>
    <row r="39" ht="22.5" customHeight="1">
      <c r="A39" s="2">
        <v>38.0</v>
      </c>
      <c r="B39" s="3" t="s">
        <v>4640</v>
      </c>
      <c r="C39" s="3" t="s">
        <v>4644</v>
      </c>
      <c r="D39" s="3" t="s">
        <v>4645</v>
      </c>
      <c r="E39" s="3" t="s">
        <v>4646</v>
      </c>
      <c r="G39" s="8" t="str">
        <f>IFERROR(__xludf.DUMMYFUNCTION("GOOGLETRANSLATE(A39, ""en"", ""hi"")"),"38")</f>
        <v>38</v>
      </c>
      <c r="H39" s="8" t="str">
        <f>IFERROR(__xludf.DUMMYFUNCTION("GOOGLETRANSLATE(B39, ""en"", ""hi"")"),"गिल्ली_डंडा_10")</f>
        <v>गिल्ली_डंडा_10</v>
      </c>
      <c r="I39" s="8" t="str">
        <f>IFERROR(__xludf.DUMMYFUNCTION("GOOGLETRANSLATE(C39, ""en"", ""hi"")"),"चित्र में दिखाए गए खेल से, नॉन-स्ट्राइकिंग हाथ की क्या भूमिका है?")</f>
        <v>चित्र में दिखाए गए खेल से, नॉन-स्ट्राइकिंग हाथ की क्या भूमिका है?</v>
      </c>
      <c r="J39" s="8" t="str">
        <f>IFERROR(__xludf.DUMMYFUNCTION("GOOGLETRANSLATE(D39, ""en"", ""hi"")"),"क) छड़ी को संतुलित करने के लिए, ख) लक्ष्य को पकड़ने के लिए, ग) प्रतिद्वंद्वी से बचाव करने के लिए, घ) दूरी मापने के लिए")</f>
        <v>क) छड़ी को संतुलित करने के लिए, ख) लक्ष्य को पकड़ने के लिए, ग) प्रतिद्वंद्वी से बचाव करने के लिए, घ) दूरी मापने के लिए</v>
      </c>
      <c r="K39" s="8" t="str">
        <f>IFERROR(__xludf.DUMMYFUNCTION("GOOGLETRANSLATE(E39, ""en"", ""hi"")"),"ख) लक्ष्य को पकड़ना")</f>
        <v>ख) लक्ष्य को पकड़ना</v>
      </c>
    </row>
    <row r="40" ht="22.5" customHeight="1">
      <c r="A40" s="2">
        <v>39.0</v>
      </c>
      <c r="B40" s="3" t="s">
        <v>4640</v>
      </c>
      <c r="C40" s="3" t="s">
        <v>4647</v>
      </c>
      <c r="D40" s="3" t="s">
        <v>4648</v>
      </c>
      <c r="E40" s="3" t="s">
        <v>4649</v>
      </c>
      <c r="G40" s="8" t="str">
        <f>IFERROR(__xludf.DUMMYFUNCTION("GOOGLETRANSLATE(A40, ""en"", ""hi"")"),"39")</f>
        <v>39</v>
      </c>
      <c r="H40" s="8" t="str">
        <f>IFERROR(__xludf.DUMMYFUNCTION("GOOGLETRANSLATE(B40, ""en"", ""hi"")"),"गिल्ली_डंडा_10")</f>
        <v>गिल्ली_डंडा_10</v>
      </c>
      <c r="I40" s="8" t="str">
        <f>IFERROR(__xludf.DUMMYFUNCTION("GOOGLETRANSLATE(C40, ""en"", ""hi"")"),"चित्र में दिखाए गए खेल से, मैदान को चिह्नित करने का उद्देश्य क्या है?")</f>
        <v>चित्र में दिखाए गए खेल से, मैदान को चिह्नित करने का उद्देश्य क्या है?</v>
      </c>
      <c r="J40" s="8" t="str">
        <f>IFERROR(__xludf.DUMMYFUNCTION("GOOGLETRANSLATE(D40, ""en"", ""hi"")"),"a) सीमाओं को इंगित करने के लिए, b) यह दिखाने के लिए कि कहाँ खड़ा होना है, c) दूरी मापने के लिए, d) स्कोरिंग ज़ोन को चिह्नित करने के लिए")</f>
        <v>a) सीमाओं को इंगित करने के लिए, b) यह दिखाने के लिए कि कहाँ खड़ा होना है, c) दूरी मापने के लिए, d) स्कोरिंग ज़ोन को चिह्नित करने के लिए</v>
      </c>
      <c r="K40" s="8" t="str">
        <f>IFERROR(__xludf.DUMMYFUNCTION("GOOGLETRANSLATE(E40, ""en"", ""hi"")"),"ख) यह दिखाने के लिए कि कहाँ खड़ा होना है")</f>
        <v>ख) यह दिखाने के लिए कि कहाँ खड़ा होना है</v>
      </c>
    </row>
    <row r="41" ht="22.5" customHeight="1">
      <c r="A41" s="2">
        <v>40.0</v>
      </c>
      <c r="B41" s="3" t="s">
        <v>4640</v>
      </c>
      <c r="C41" s="3" t="s">
        <v>4650</v>
      </c>
      <c r="D41" s="3" t="s">
        <v>4651</v>
      </c>
      <c r="E41" s="3" t="s">
        <v>4588</v>
      </c>
      <c r="G41" s="8" t="str">
        <f>IFERROR(__xludf.DUMMYFUNCTION("GOOGLETRANSLATE(A41, ""en"", ""hi"")"),"40")</f>
        <v>40</v>
      </c>
      <c r="H41" s="8" t="str">
        <f>IFERROR(__xludf.DUMMYFUNCTION("GOOGLETRANSLATE(B41, ""en"", ""hi"")"),"गिल्ली_डंडा_10")</f>
        <v>गिल्ली_डंडा_10</v>
      </c>
      <c r="I41" s="8" t="str">
        <f>IFERROR(__xludf.DUMMYFUNCTION("GOOGLETRANSLATE(C41, ""en"", ""hi"")"),"चित्र में दिखाए गए खेल से, खेल में सफलता का एक सामान्य संकेत क्या है?")</f>
        <v>चित्र में दिखाए गए खेल से, खेल में सफलता का एक सामान्य संकेत क्या है?</v>
      </c>
      <c r="J41" s="8" t="str">
        <f>IFERROR(__xludf.DUMMYFUNCTION("GOOGLETRANSLATE(D41, ""en"", ""hi"")"),"क) लक्ष्य को दूर से मारना, ख) लक्ष्य को नीचे रखना, ग) विरोधियों से बचना, घ) संतुलन बनाए रखना")</f>
        <v>क) लक्ष्य को दूर से मारना, ख) लक्ष्य को नीचे रखना, ग) विरोधियों से बचना, घ) संतुलन बनाए रखना</v>
      </c>
      <c r="K41" s="8" t="str">
        <f>IFERROR(__xludf.DUMMYFUNCTION("GOOGLETRANSLATE(E41, ""en"", ""hi"")"),"क) लक्ष्य को दूर तक मारना")</f>
        <v>क) लक्ष्य को दूर तक मारना</v>
      </c>
    </row>
    <row r="42" ht="22.5" customHeight="1">
      <c r="A42" s="2">
        <v>41.0</v>
      </c>
      <c r="B42" s="3" t="s">
        <v>4652</v>
      </c>
      <c r="C42" s="3" t="s">
        <v>4653</v>
      </c>
      <c r="D42" s="3" t="s">
        <v>4654</v>
      </c>
      <c r="E42" s="3" t="s">
        <v>4655</v>
      </c>
      <c r="G42" s="8" t="str">
        <f>IFERROR(__xludf.DUMMYFUNCTION("GOOGLETRANSLATE(A42, ""en"", ""hi"")"),"41")</f>
        <v>41</v>
      </c>
      <c r="H42" s="8" t="str">
        <f>IFERROR(__xludf.DUMMYFUNCTION("GOOGLETRANSLATE(B42, ""en"", ""hi"")"),"गिल्ली_डंडा_11")</f>
        <v>गिल्ली_डंडा_11</v>
      </c>
      <c r="I42" s="8" t="str">
        <f>IFERROR(__xludf.DUMMYFUNCTION("GOOGLETRANSLATE(C42, ""en"", ""hi"")"),"चित्र में दिखाए गए खेल से, नॉन-स्ट्राइकिंग खिलाड़ी का प्राथमिक उद्देश्य क्या है?")</f>
        <v>चित्र में दिखाए गए खेल से, नॉन-स्ट्राइकिंग खिलाड़ी का प्राथमिक उद्देश्य क्या है?</v>
      </c>
      <c r="J42" s="8" t="str">
        <f>IFERROR(__xludf.DUMMYFUNCTION("GOOGLETRANSLATE(D42, ""en"", ""hi"")"),"क) लक्ष्य को पकड़ना, ख) स्ट्राइकर को रोकना, ग) अंक प्राप्त करना, घ) सुरक्षित क्षेत्र की ओर भागना")</f>
        <v>क) लक्ष्य को पकड़ना, ख) स्ट्राइकर को रोकना, ग) अंक प्राप्त करना, घ) सुरक्षित क्षेत्र की ओर भागना</v>
      </c>
      <c r="K42" s="8" t="str">
        <f>IFERROR(__xludf.DUMMYFUNCTION("GOOGLETRANSLATE(E42, ""en"", ""hi"")"),"क) लक्ष्य को पकड़ने के लिए")</f>
        <v>क) लक्ष्य को पकड़ने के लिए</v>
      </c>
    </row>
    <row r="43" ht="22.5" customHeight="1">
      <c r="A43" s="2">
        <v>42.0</v>
      </c>
      <c r="B43" s="3" t="s">
        <v>4652</v>
      </c>
      <c r="C43" s="3" t="s">
        <v>4656</v>
      </c>
      <c r="D43" s="3" t="s">
        <v>4657</v>
      </c>
      <c r="E43" s="3" t="s">
        <v>4658</v>
      </c>
      <c r="G43" s="8" t="str">
        <f>IFERROR(__xludf.DUMMYFUNCTION("GOOGLETRANSLATE(A43, ""en"", ""hi"")"),"42")</f>
        <v>42</v>
      </c>
      <c r="H43" s="8" t="str">
        <f>IFERROR(__xludf.DUMMYFUNCTION("GOOGLETRANSLATE(B43, ""en"", ""hi"")"),"गिल्ली_डंडा_11")</f>
        <v>गिल्ली_डंडा_11</v>
      </c>
      <c r="I43" s="8" t="str">
        <f>IFERROR(__xludf.DUMMYFUNCTION("GOOGLETRANSLATE(C43, ""en"", ""hi"")"),"चित्र में दिखाए गए खेल के अनुसार, यदि लक्ष्य को ऊँचे क्षेत्र में मारा जाए तो क्या होगा?")</f>
        <v>चित्र में दिखाए गए खेल के अनुसार, यदि लक्ष्य को ऊँचे क्षेत्र में मारा जाए तो क्या होगा?</v>
      </c>
      <c r="J43" s="8" t="str">
        <f>IFERROR(__xludf.DUMMYFUNCTION("GOOGLETRANSLATE(D43, ""en"", ""hi"")"),"a) अतिरिक्त अंक दिए जाते हैं, b) बारी खो जाती है, c) खेल रोक दिया जाता है, d) प्रतिद्वंद्वी को लाभ मिलता है")</f>
        <v>a) अतिरिक्त अंक दिए जाते हैं, b) बारी खो जाती है, c) खेल रोक दिया जाता है, d) प्रतिद्वंद्वी को लाभ मिलता है</v>
      </c>
      <c r="K43" s="8" t="str">
        <f>IFERROR(__xludf.DUMMYFUNCTION("GOOGLETRANSLATE(E43, ""en"", ""hi"")"),"a) अतिरिक्त अंक दिए जाते हैं")</f>
        <v>a) अतिरिक्त अंक दिए जाते हैं</v>
      </c>
    </row>
    <row r="44" ht="22.5" customHeight="1">
      <c r="A44" s="2">
        <v>43.0</v>
      </c>
      <c r="B44" s="3" t="s">
        <v>4652</v>
      </c>
      <c r="C44" s="3" t="s">
        <v>4659</v>
      </c>
      <c r="D44" s="3" t="s">
        <v>4660</v>
      </c>
      <c r="E44" s="3" t="s">
        <v>4626</v>
      </c>
      <c r="G44" s="8" t="str">
        <f>IFERROR(__xludf.DUMMYFUNCTION("GOOGLETRANSLATE(A44, ""en"", ""hi"")"),"43")</f>
        <v>43</v>
      </c>
      <c r="H44" s="8" t="str">
        <f>IFERROR(__xludf.DUMMYFUNCTION("GOOGLETRANSLATE(B44, ""en"", ""hi"")"),"गिल्ली_डंडा_11")</f>
        <v>गिल्ली_डंडा_11</v>
      </c>
      <c r="I44" s="8" t="str">
        <f>IFERROR(__xludf.DUMMYFUNCTION("GOOGLETRANSLATE(C44, ""en"", ""hi"")"),"चित्र में दिखाए गए खेल से, लक्ष्य पर सटीक निशाना लगाने के लिए किस कौशल की आवश्यकता होती है?")</f>
        <v>चित्र में दिखाए गए खेल से, लक्ष्य पर सटीक निशाना लगाने के लिए किस कौशल की आवश्यकता होती है?</v>
      </c>
      <c r="J44" s="8" t="str">
        <f>IFERROR(__xludf.DUMMYFUNCTION("GOOGLETRANSLATE(D44, ""en"", ""hi"")"),"क) हाथ-आँख समन्वय, ख) सहनशक्ति, ग) चपलता, घ) लचीलापन")</f>
        <v>क) हाथ-आँख समन्वय, ख) सहनशक्ति, ग) चपलता, घ) लचीलापन</v>
      </c>
      <c r="K44" s="8" t="str">
        <f>IFERROR(__xludf.DUMMYFUNCTION("GOOGLETRANSLATE(E44, ""en"", ""hi"")"),"क) हाथ-आँख समन्वय")</f>
        <v>क) हाथ-आँख समन्वय</v>
      </c>
    </row>
    <row r="45" ht="22.5" customHeight="1">
      <c r="A45" s="2">
        <v>44.0</v>
      </c>
      <c r="B45" s="3" t="s">
        <v>4652</v>
      </c>
      <c r="C45" s="3" t="s">
        <v>4661</v>
      </c>
      <c r="D45" s="3" t="s">
        <v>4662</v>
      </c>
      <c r="E45" s="3" t="s">
        <v>2196</v>
      </c>
      <c r="G45" s="8" t="str">
        <f>IFERROR(__xludf.DUMMYFUNCTION("GOOGLETRANSLATE(A45, ""en"", ""hi"")"),"44")</f>
        <v>44</v>
      </c>
      <c r="H45" s="8" t="str">
        <f>IFERROR(__xludf.DUMMYFUNCTION("GOOGLETRANSLATE(B45, ""en"", ""hi"")"),"गिल्ली_डंडा_11")</f>
        <v>गिल्ली_डंडा_11</v>
      </c>
      <c r="I45" s="8" t="str">
        <f>IFERROR(__xludf.DUMMYFUNCTION("GOOGLETRANSLATE(C45, ""en"", ""hi"")"),"चित्र में दिखाए गए खेल से, स्ट्राइकर के रुख का क्या महत्व है?")</f>
        <v>चित्र में दिखाए गए खेल से, स्ट्राइकर के रुख का क्या महत्व है?</v>
      </c>
      <c r="J45" s="8" t="str">
        <f>IFERROR(__xludf.DUMMYFUNCTION("GOOGLETRANSLATE(D45, ""en"", ""hi"")"),"क) संतुलन बनाए रखने के लिए, ख) प्रतिद्वंद्वी को भ्रमित करने के लिए, ग) ताकत दिखाने के लिए, घ) गति प्राप्त करने के लिए")</f>
        <v>क) संतुलन बनाए रखने के लिए, ख) प्रतिद्वंद्वी को भ्रमित करने के लिए, ग) ताकत दिखाने के लिए, घ) गति प्राप्त करने के लिए</v>
      </c>
      <c r="K45" s="8" t="str">
        <f>IFERROR(__xludf.DUMMYFUNCTION("GOOGLETRANSLATE(E45, ""en"", ""hi"")"),"a) संतुलन बनाए रखने के लिए")</f>
        <v>a) संतुलन बनाए रखने के लिए</v>
      </c>
    </row>
    <row r="46" ht="22.5" customHeight="1">
      <c r="A46" s="2">
        <v>45.0</v>
      </c>
      <c r="B46" s="3" t="s">
        <v>4663</v>
      </c>
      <c r="C46" s="3" t="s">
        <v>4664</v>
      </c>
      <c r="D46" s="3" t="s">
        <v>4665</v>
      </c>
      <c r="E46" s="3" t="s">
        <v>4666</v>
      </c>
      <c r="G46" s="8" t="str">
        <f>IFERROR(__xludf.DUMMYFUNCTION("GOOGLETRANSLATE(A46, ""en"", ""hi"")"),"45")</f>
        <v>45</v>
      </c>
      <c r="H46" s="8" t="str">
        <f>IFERROR(__xludf.DUMMYFUNCTION("GOOGLETRANSLATE(B46, ""en"", ""hi"")"),"गिल्ली_डंडा_12")</f>
        <v>गिल्ली_डंडा_12</v>
      </c>
      <c r="I46" s="8" t="str">
        <f>IFERROR(__xludf.DUMMYFUNCTION("GOOGLETRANSLATE(C46, ""en"", ""hi"")"),"चित्र में दिखाए गए खेल के अनुसार, यदि लक्ष्य खेल क्षेत्र के बाहर गिर जाए तो क्या होगा?")</f>
        <v>चित्र में दिखाए गए खेल के अनुसार, यदि लक्ष्य खेल क्षेत्र के बाहर गिर जाए तो क्या होगा?</v>
      </c>
      <c r="J46" s="8" t="str">
        <f>IFERROR(__xludf.DUMMYFUNCTION("GOOGLETRANSLATE(D46, ""en"", ""hi"")"),"a) स्ट्राइकर अधिक अंक अर्जित करता है, b) बारी रद्द हो जाती है, c) लक्ष्य पुनः निर्धारित हो जाता है, d) प्रतिद्वंद्वी राउंड जीत जाता है")</f>
        <v>a) स्ट्राइकर अधिक अंक अर्जित करता है, b) बारी रद्द हो जाती है, c) लक्ष्य पुनः निर्धारित हो जाता है, d) प्रतिद्वंद्वी राउंड जीत जाता है</v>
      </c>
      <c r="K46" s="8" t="str">
        <f>IFERROR(__xludf.DUMMYFUNCTION("GOOGLETRANSLATE(E46, ""en"", ""hi"")"),"b) बारी जब्त कर ली जाती है")</f>
        <v>b) बारी जब्त कर ली जाती है</v>
      </c>
    </row>
    <row r="47" ht="22.5" customHeight="1">
      <c r="A47" s="2">
        <v>46.0</v>
      </c>
      <c r="B47" s="3" t="s">
        <v>4663</v>
      </c>
      <c r="C47" s="3" t="s">
        <v>4667</v>
      </c>
      <c r="D47" s="3" t="s">
        <v>4668</v>
      </c>
      <c r="E47" s="3" t="s">
        <v>4669</v>
      </c>
      <c r="G47" s="8" t="str">
        <f>IFERROR(__xludf.DUMMYFUNCTION("GOOGLETRANSLATE(A47, ""en"", ""hi"")"),"46")</f>
        <v>46</v>
      </c>
      <c r="H47" s="8" t="str">
        <f>IFERROR(__xludf.DUMMYFUNCTION("GOOGLETRANSLATE(B47, ""en"", ""hi"")"),"गिल्ली_डंडा_12")</f>
        <v>गिल्ली_डंडा_12</v>
      </c>
      <c r="I47" s="8" t="str">
        <f>IFERROR(__xludf.DUMMYFUNCTION("GOOGLETRANSLATE(C47, ""en"", ""hi"")"),"चित्र में दिखाए गए खेल से, लक्ष्य पर निशाना लगाने की तैयारी करते समय स्ट्राइकर को किस पर ध्यान केंद्रित करना चाहिए?")</f>
        <v>चित्र में दिखाए गए खेल से, लक्ष्य पर निशाना लगाने की तैयारी करते समय स्ट्राइकर को किस पर ध्यान केंद्रित करना चाहिए?</v>
      </c>
      <c r="J47" s="8" t="str">
        <f>IFERROR(__xludf.DUMMYFUNCTION("GOOGLETRANSLATE(D47, ""en"", ""hi"")"),"क) प्रतिद्वंद्वी की स्थिति, ख) सीमा से दूरी, ग) लक्ष्य की ऊंचाई, घ) स्विंग की ताकत")</f>
        <v>क) प्रतिद्वंद्वी की स्थिति, ख) सीमा से दूरी, ग) लक्ष्य की ऊंचाई, घ) स्विंग की ताकत</v>
      </c>
      <c r="K47" s="8" t="str">
        <f>IFERROR(__xludf.DUMMYFUNCTION("GOOGLETRANSLATE(E47, ""en"", ""hi"")"),"c) लक्ष्य की ऊंचाई")</f>
        <v>c) लक्ष्य की ऊंचाई</v>
      </c>
    </row>
    <row r="48" ht="22.5" customHeight="1">
      <c r="A48" s="2">
        <v>47.0</v>
      </c>
      <c r="B48" s="3" t="s">
        <v>4663</v>
      </c>
      <c r="C48" s="3" t="s">
        <v>4670</v>
      </c>
      <c r="D48" s="3" t="s">
        <v>4671</v>
      </c>
      <c r="E48" s="3" t="s">
        <v>4672</v>
      </c>
      <c r="G48" s="8" t="str">
        <f>IFERROR(__xludf.DUMMYFUNCTION("GOOGLETRANSLATE(A48, ""en"", ""hi"")"),"47")</f>
        <v>47</v>
      </c>
      <c r="H48" s="8" t="str">
        <f>IFERROR(__xludf.DUMMYFUNCTION("GOOGLETRANSLATE(B48, ""en"", ""hi"")"),"गिल्ली_डंडा_12")</f>
        <v>गिल्ली_डंडा_12</v>
      </c>
      <c r="I48" s="8" t="str">
        <f>IFERROR(__xludf.DUMMYFUNCTION("GOOGLETRANSLATE(C48, ""en"", ""hi"")"),"चित्र में दिखाए गए खेल से, स्ट्राइकर लक्ष्य पर प्रहार करने के लिए आवश्यक बल का निर्धारण कैसे करता है?")</f>
        <v>चित्र में दिखाए गए खेल से, स्ट्राइकर लक्ष्य पर प्रहार करने के लिए आवश्यक बल का निर्धारण कैसे करता है?</v>
      </c>
      <c r="J48" s="8" t="str">
        <f>IFERROR(__xludf.DUMMYFUNCTION("GOOGLETRANSLATE(D48, ""en"", ""hi"")"),"क) दूरी का अंदाजा लगाकर, ख) प्रतिद्वंद्वी को देखकर, ग) लक्ष्य को मापकर, घ) पूरी ताकत से वार करके")</f>
        <v>क) दूरी का अंदाजा लगाकर, ख) प्रतिद्वंद्वी को देखकर, ग) लक्ष्य को मापकर, घ) पूरी ताकत से वार करके</v>
      </c>
      <c r="K48" s="8" t="str">
        <f>IFERROR(__xludf.DUMMYFUNCTION("GOOGLETRANSLATE(E48, ""en"", ""hi"")"),"a) दूरी का आकलन करके")</f>
        <v>a) दूरी का आकलन करके</v>
      </c>
    </row>
    <row r="49" ht="22.5" customHeight="1">
      <c r="A49" s="2">
        <v>48.0</v>
      </c>
      <c r="B49" s="3" t="s">
        <v>4663</v>
      </c>
      <c r="C49" s="3" t="s">
        <v>4673</v>
      </c>
      <c r="D49" s="3" t="s">
        <v>4674</v>
      </c>
      <c r="E49" s="3" t="s">
        <v>4675</v>
      </c>
      <c r="G49" s="8" t="str">
        <f>IFERROR(__xludf.DUMMYFUNCTION("GOOGLETRANSLATE(A49, ""en"", ""hi"")"),"48")</f>
        <v>48</v>
      </c>
      <c r="H49" s="8" t="str">
        <f>IFERROR(__xludf.DUMMYFUNCTION("GOOGLETRANSLATE(B49, ""en"", ""hi"")"),"गिल्ली_डंडा_12")</f>
        <v>गिल्ली_डंडा_12</v>
      </c>
      <c r="I49" s="8" t="str">
        <f>IFERROR(__xludf.DUMMYFUNCTION("GOOGLETRANSLATE(C49, ""en"", ""hi"")"),"चित्र में दिखाए गए खेल से, लक्ष्य पर बहुत धीरे से प्रहार करने का क्या परिणाम होता है?")</f>
        <v>चित्र में दिखाए गए खेल से, लक्ष्य पर बहुत धीरे से प्रहार करने का क्या परिणाम होता है?</v>
      </c>
      <c r="J49" s="8" t="str">
        <f>IFERROR(__xludf.DUMMYFUNCTION("GOOGLETRANSLATE(D49, ""en"", ""hi"")"),"क) लक्ष्य दूर नहीं जाता, ख) प्रतिद्वंद्वी अंक प्राप्त करता है, ग) लक्ष्य टूट जाता है, घ) खेल रीसेट हो जाता है")</f>
        <v>क) लक्ष्य दूर नहीं जाता, ख) प्रतिद्वंद्वी अंक प्राप्त करता है, ग) लक्ष्य टूट जाता है, घ) खेल रीसेट हो जाता है</v>
      </c>
      <c r="K49" s="8" t="str">
        <f>IFERROR(__xludf.DUMMYFUNCTION("GOOGLETRANSLATE(E49, ""en"", ""hi"")"),"क) लक्ष्य दूर नहीं जाता")</f>
        <v>क) लक्ष्य दूर नहीं जाता</v>
      </c>
    </row>
    <row r="50" ht="22.5" customHeight="1">
      <c r="A50" s="2">
        <v>49.0</v>
      </c>
      <c r="B50" s="3" t="s">
        <v>4676</v>
      </c>
      <c r="C50" s="3" t="s">
        <v>4677</v>
      </c>
      <c r="D50" s="3" t="s">
        <v>4678</v>
      </c>
      <c r="E50" s="3" t="s">
        <v>4679</v>
      </c>
      <c r="G50" s="8" t="str">
        <f>IFERROR(__xludf.DUMMYFUNCTION("GOOGLETRANSLATE(A50, ""en"", ""hi"")"),"49")</f>
        <v>49</v>
      </c>
      <c r="H50" s="8" t="str">
        <f>IFERROR(__xludf.DUMMYFUNCTION("GOOGLETRANSLATE(B50, ""en"", ""hi"")"),"गिल्ली_डंडा_13")</f>
        <v>गिल्ली_डंडा_13</v>
      </c>
      <c r="I50" s="8" t="str">
        <f>IFERROR(__xludf.DUMMYFUNCTION("GOOGLETRANSLATE(C50, ""en"", ""hi"")"),"चित्र में दिखाए गए खेल के अनुसार, स्ट्राइकर को स्विंग के दौरान क्या नहीं करना चाहिए?")</f>
        <v>चित्र में दिखाए गए खेल के अनुसार, स्ट्राइकर को स्विंग के दौरान क्या नहीं करना चाहिए?</v>
      </c>
      <c r="J50" s="8" t="str">
        <f>IFERROR(__xludf.DUMMYFUNCTION("GOOGLETRANSLATE(D50, ""en"", ""hi"")"),"क) शरीर को अधिक घुमाना, ख) लक्ष्य को कम आंकना, ग) प्रतिद्वंद्वी पर ध्यान केंद्रित करना, घ) जमीन की ओर देखना")</f>
        <v>क) शरीर को अधिक घुमाना, ख) लक्ष्य को कम आंकना, ग) प्रतिद्वंद्वी पर ध्यान केंद्रित करना, घ) जमीन की ओर देखना</v>
      </c>
      <c r="K50" s="8" t="str">
        <f>IFERROR(__xludf.DUMMYFUNCTION("GOOGLETRANSLATE(E50, ""en"", ""hi"")"),"a) शरीर को अधिक घुमाना")</f>
        <v>a) शरीर को अधिक घुमाना</v>
      </c>
    </row>
    <row r="51" ht="22.5" customHeight="1">
      <c r="A51" s="2">
        <v>50.0</v>
      </c>
      <c r="B51" s="3" t="s">
        <v>4676</v>
      </c>
      <c r="C51" s="3" t="s">
        <v>4680</v>
      </c>
      <c r="D51" s="3" t="s">
        <v>4681</v>
      </c>
      <c r="E51" s="3" t="s">
        <v>4682</v>
      </c>
      <c r="G51" s="8" t="str">
        <f>IFERROR(__xludf.DUMMYFUNCTION("GOOGLETRANSLATE(A51, ""en"", ""hi"")"),"50")</f>
        <v>50</v>
      </c>
      <c r="H51" s="8" t="str">
        <f>IFERROR(__xludf.DUMMYFUNCTION("GOOGLETRANSLATE(B51, ""en"", ""hi"")"),"गिल्ली_डंडा_13")</f>
        <v>गिल्ली_डंडा_13</v>
      </c>
      <c r="I51" s="8" t="str">
        <f>IFERROR(__xludf.DUMMYFUNCTION("GOOGLETRANSLATE(C51, ""en"", ""hi"")"),"चित्र में दिखाए गए खेल से, लक्ष्य पर प्रहार करने के लिए प्रयुक्त की जाने वाली सामान्य तकनीक क्या है?")</f>
        <v>चित्र में दिखाए गए खेल से, लक्ष्य पर प्रहार करने के लिए प्रयुक्त की जाने वाली सामान्य तकनीक क्या है?</v>
      </c>
      <c r="J51" s="8" t="str">
        <f>IFERROR(__xludf.DUMMYFUNCTION("GOOGLETRANSLATE(D51, ""en"", ""hi"")"),"क) कलाई से झटका देना, ख) पूरे हाथ से घुमाना, ग) कम प्रभावी हाथ का उपयोग करना, घ) घुमाते समय कूदना")</f>
        <v>क) कलाई से झटका देना, ख) पूरे हाथ से घुमाना, ग) कम प्रभावी हाथ का उपयोग करना, घ) घुमाते समय कूदना</v>
      </c>
      <c r="K51" s="8" t="str">
        <f>IFERROR(__xludf.DUMMYFUNCTION("GOOGLETRANSLATE(E51, ""en"", ""hi"")"),"क) कलाई से झटका देना")</f>
        <v>क) कलाई से झटका देना</v>
      </c>
    </row>
    <row r="52" ht="22.5" customHeight="1">
      <c r="A52" s="2">
        <v>51.0</v>
      </c>
      <c r="B52" s="3" t="s">
        <v>4676</v>
      </c>
      <c r="C52" s="3" t="s">
        <v>4683</v>
      </c>
      <c r="D52" s="3" t="s">
        <v>4684</v>
      </c>
      <c r="E52" s="3" t="s">
        <v>4685</v>
      </c>
      <c r="G52" s="8" t="str">
        <f>IFERROR(__xludf.DUMMYFUNCTION("GOOGLETRANSLATE(A52, ""en"", ""hi"")"),"51")</f>
        <v>51</v>
      </c>
      <c r="H52" s="8" t="str">
        <f>IFERROR(__xludf.DUMMYFUNCTION("GOOGLETRANSLATE(B52, ""en"", ""hi"")"),"गिल्ली_डंडा_13")</f>
        <v>गिल्ली_डंडा_13</v>
      </c>
      <c r="I52" s="8" t="str">
        <f>IFERROR(__xludf.DUMMYFUNCTION("GOOGLETRANSLATE(C52, ""en"", ""hi"")"),"चित्र में दिखाए गए खेल से, स्ट्राइकर के लिए मुख्य चुनौती क्या है?")</f>
        <v>चित्र में दिखाए गए खेल से, स्ट्राइकर के लिए मुख्य चुनौती क्या है?</v>
      </c>
      <c r="J52" s="8" t="str">
        <f>IFERROR(__xludf.DUMMYFUNCTION("GOOGLETRANSLATE(D52, ""en"", ""hi"")"),"क) लक्ष्य पर सटीक निशाना लगाना, ख) प्रतिद्वंद्वी से बचना, ग) स्टिक को संतुलित करना, घ) बेस की ओर दौड़ना")</f>
        <v>क) लक्ष्य पर सटीक निशाना लगाना, ख) प्रतिद्वंद्वी से बचना, ग) स्टिक को संतुलित करना, घ) बेस की ओर दौड़ना</v>
      </c>
      <c r="K52" s="8" t="str">
        <f>IFERROR(__xludf.DUMMYFUNCTION("GOOGLETRANSLATE(E52, ""en"", ""hi"")"),"क) लक्ष्य पर सटीक निशाना लगाना")</f>
        <v>क) लक्ष्य पर सटीक निशाना लगाना</v>
      </c>
    </row>
    <row r="53" ht="22.5" customHeight="1">
      <c r="A53" s="2">
        <v>52.0</v>
      </c>
      <c r="B53" s="3" t="s">
        <v>4676</v>
      </c>
      <c r="C53" s="3" t="s">
        <v>4686</v>
      </c>
      <c r="D53" s="3" t="s">
        <v>4687</v>
      </c>
      <c r="E53" s="3" t="s">
        <v>4688</v>
      </c>
      <c r="G53" s="8" t="str">
        <f>IFERROR(__xludf.DUMMYFUNCTION("GOOGLETRANSLATE(A53, ""en"", ""hi"")"),"52")</f>
        <v>52</v>
      </c>
      <c r="H53" s="8" t="str">
        <f>IFERROR(__xludf.DUMMYFUNCTION("GOOGLETRANSLATE(B53, ""en"", ""hi"")"),"गिल्ली_डंडा_13")</f>
        <v>गिल्ली_डंडा_13</v>
      </c>
      <c r="I53" s="8" t="str">
        <f>IFERROR(__xludf.DUMMYFUNCTION("GOOGLETRANSLATE(C53, ""en"", ""hi"")"),"चित्र में दिखाए गए खेल के अनुसार, यदि स्ट्राइकर सीधे प्रतिद्वंद्वी की ओर लक्ष्य मारता है तो क्या होता है?")</f>
        <v>चित्र में दिखाए गए खेल के अनुसार, यदि स्ट्राइकर सीधे प्रतिद्वंद्वी की ओर लक्ष्य मारता है तो क्या होता है?</v>
      </c>
      <c r="J53" s="8" t="str">
        <f>IFERROR(__xludf.DUMMYFUNCTION("GOOGLETRANSLATE(D53, ""en"", ""hi"")"),"क) प्रतिद्वंद्वी इसे पकड़ने की कोशिश करता है, ख) खेल फिर से शुरू होता है, ग) स्ट्राइकर अंक खो देता है, घ) लक्ष्य हटा दिया जाता है")</f>
        <v>क) प्रतिद्वंद्वी इसे पकड़ने की कोशिश करता है, ख) खेल फिर से शुरू होता है, ग) स्ट्राइकर अंक खो देता है, घ) लक्ष्य हटा दिया जाता है</v>
      </c>
      <c r="K53" s="8" t="str">
        <f>IFERROR(__xludf.DUMMYFUNCTION("GOOGLETRANSLATE(E53, ""en"", ""hi"")"),"a) प्रतिद्वंद्वी इसे पकड़ने की कोशिश करता है")</f>
        <v>a) प्रतिद्वंद्वी इसे पकड़ने की कोशिश करता है</v>
      </c>
    </row>
    <row r="54" ht="22.5" customHeight="1">
      <c r="A54" s="2">
        <v>53.0</v>
      </c>
      <c r="B54" s="3" t="s">
        <v>4689</v>
      </c>
      <c r="C54" s="3" t="s">
        <v>4690</v>
      </c>
      <c r="D54" s="3" t="s">
        <v>4691</v>
      </c>
      <c r="E54" s="3" t="s">
        <v>4692</v>
      </c>
      <c r="G54" s="8" t="str">
        <f>IFERROR(__xludf.DUMMYFUNCTION("GOOGLETRANSLATE(A54, ""en"", ""hi"")"),"53")</f>
        <v>53</v>
      </c>
      <c r="H54" s="8" t="str">
        <f>IFERROR(__xludf.DUMMYFUNCTION("GOOGLETRANSLATE(B54, ""en"", ""hi"")"),"गिल्ली_डंडा_14")</f>
        <v>गिल्ली_डंडा_14</v>
      </c>
      <c r="I54" s="8" t="str">
        <f>IFERROR(__xludf.DUMMYFUNCTION("GOOGLETRANSLATE(C54, ""en"", ""hi"")"),"चित्र में दिखाए गए खेल से, खेल में छोटी छड़ी की क्या भूमिका है?")</f>
        <v>चित्र में दिखाए गए खेल से, खेल में छोटी छड़ी की क्या भूमिका है?</v>
      </c>
      <c r="J54" s="8" t="str">
        <f>IFERROR(__xludf.DUMMYFUNCTION("GOOGLETRANSLATE(D54, ""en"", ""hi"")"),"a) यह लक्ष्य के रूप में कार्य करता है, b) यह सीमाओं को चिह्नित करता है, c) इसका उपयोग मापने के लिए किया जाता है, d) यह प्रारंभ का संकेत देता है")</f>
        <v>a) यह लक्ष्य के रूप में कार्य करता है, b) यह सीमाओं को चिह्नित करता है, c) इसका उपयोग मापने के लिए किया जाता है, d) यह प्रारंभ का संकेत देता है</v>
      </c>
      <c r="K54" s="8" t="str">
        <f>IFERROR(__xludf.DUMMYFUNCTION("GOOGLETRANSLATE(E54, ""en"", ""hi"")"),"a) यह लक्ष्य के रूप में कार्य करता है")</f>
        <v>a) यह लक्ष्य के रूप में कार्य करता है</v>
      </c>
    </row>
    <row r="55" ht="22.5" customHeight="1">
      <c r="A55" s="2">
        <v>54.0</v>
      </c>
      <c r="B55" s="3" t="s">
        <v>4689</v>
      </c>
      <c r="C55" s="3" t="s">
        <v>4693</v>
      </c>
      <c r="D55" s="3" t="s">
        <v>4694</v>
      </c>
      <c r="E55" s="3" t="s">
        <v>4695</v>
      </c>
      <c r="G55" s="8" t="str">
        <f>IFERROR(__xludf.DUMMYFUNCTION("GOOGLETRANSLATE(A55, ""en"", ""hi"")"),"54")</f>
        <v>54</v>
      </c>
      <c r="H55" s="8" t="str">
        <f>IFERROR(__xludf.DUMMYFUNCTION("GOOGLETRANSLATE(B55, ""en"", ""hi"")"),"गिल्ली_डंडा_14")</f>
        <v>गिल्ली_डंडा_14</v>
      </c>
      <c r="I55" s="8" t="str">
        <f>IFERROR(__xludf.DUMMYFUNCTION("GOOGLETRANSLATE(C55, ""en"", ""hi"")"),"चित्र में दिखाए गए खेल से, स्ट्राइकर लक्ष्य की यात्रा की दूरी को अधिकतम कैसे कर सकता है?")</f>
        <v>चित्र में दिखाए गए खेल से, स्ट्राइकर लक्ष्य की यात्रा की दूरी को अधिकतम कैसे कर सकता है?</v>
      </c>
      <c r="J55" s="8" t="str">
        <f>IFERROR(__xludf.DUMMYFUNCTION("GOOGLETRANSLATE(D55, ""en"", ""hi"")"),"क) कोण पर प्रहार करके, ख) पूरी ताकत से प्रहार करके, ग) लंबी छड़ी का उपयोग करके, घ) जमीन पर निशाना लगाकर")</f>
        <v>क) कोण पर प्रहार करके, ख) पूरी ताकत से प्रहार करके, ग) लंबी छड़ी का उपयोग करके, घ) जमीन पर निशाना लगाकर</v>
      </c>
      <c r="K55" s="8" t="str">
        <f>IFERROR(__xludf.DUMMYFUNCTION("GOOGLETRANSLATE(E55, ""en"", ""hi"")"),"a) किसी कोण पर प्रहार करके")</f>
        <v>a) किसी कोण पर प्रहार करके</v>
      </c>
    </row>
    <row r="56" ht="22.5" customHeight="1">
      <c r="A56" s="2">
        <v>55.0</v>
      </c>
      <c r="B56" s="3" t="s">
        <v>4689</v>
      </c>
      <c r="C56" s="3" t="s">
        <v>4696</v>
      </c>
      <c r="D56" s="3" t="s">
        <v>4697</v>
      </c>
      <c r="E56" s="3" t="s">
        <v>4698</v>
      </c>
      <c r="G56" s="8" t="str">
        <f>IFERROR(__xludf.DUMMYFUNCTION("GOOGLETRANSLATE(A56, ""en"", ""hi"")"),"55")</f>
        <v>55</v>
      </c>
      <c r="H56" s="8" t="str">
        <f>IFERROR(__xludf.DUMMYFUNCTION("GOOGLETRANSLATE(B56, ""en"", ""hi"")"),"गिल्ली_डंडा_14")</f>
        <v>गिल्ली_डंडा_14</v>
      </c>
      <c r="I56" s="8" t="str">
        <f>IFERROR(__xludf.DUMMYFUNCTION("GOOGLETRANSLATE(C56, ""en"", ""hi"")"),"चित्र में दिखाए गए खेल से, प्रतिद्वंद्वी के लिए एक सामान्य रणनीति क्या है?")</f>
        <v>चित्र में दिखाए गए खेल से, प्रतिद्वंद्वी के लिए एक सामान्य रणनीति क्या है?</v>
      </c>
      <c r="J56" s="8" t="str">
        <f>IFERROR(__xludf.DUMMYFUNCTION("GOOGLETRANSLATE(D56, ""en"", ""hi"")"),"क) लक्ष्य के रास्ते में खुद को रखना, ख) स्ट्राइकर का ध्यान भटकाना, ग) बेस की ओर दौड़ना, घ) लक्ष्य को पकड़ना")</f>
        <v>क) लक्ष्य के रास्ते में खुद को रखना, ख) स्ट्राइकर का ध्यान भटकाना, ग) बेस की ओर दौड़ना, घ) लक्ष्य को पकड़ना</v>
      </c>
      <c r="K56" s="8" t="str">
        <f>IFERROR(__xludf.DUMMYFUNCTION("GOOGLETRANSLATE(E56, ""en"", ""hi"")"),"क) लक्ष्य के मार्ग में स्वयं को स्थापित करना")</f>
        <v>क) लक्ष्य के मार्ग में स्वयं को स्थापित करना</v>
      </c>
    </row>
    <row r="57" ht="22.5" customHeight="1">
      <c r="A57" s="2">
        <v>56.0</v>
      </c>
      <c r="B57" s="3" t="s">
        <v>4689</v>
      </c>
      <c r="C57" s="3" t="s">
        <v>4699</v>
      </c>
      <c r="D57" s="3" t="s">
        <v>4700</v>
      </c>
      <c r="E57" s="3" t="s">
        <v>4701</v>
      </c>
      <c r="G57" s="8" t="str">
        <f>IFERROR(__xludf.DUMMYFUNCTION("GOOGLETRANSLATE(A57, ""en"", ""hi"")"),"56")</f>
        <v>56</v>
      </c>
      <c r="H57" s="8" t="str">
        <f>IFERROR(__xludf.DUMMYFUNCTION("GOOGLETRANSLATE(B57, ""en"", ""hi"")"),"गिल्ली_डंडा_14")</f>
        <v>गिल्ली_डंडा_14</v>
      </c>
      <c r="I57" s="8" t="str">
        <f>IFERROR(__xludf.DUMMYFUNCTION("GOOGLETRANSLATE(C57, ""en"", ""hi"")"),"चित्र में दिखाए गए खेल के अनुसार, यदि खेल के दौरान लक्ष्य टूट जाए तो क्या होगा?")</f>
        <v>चित्र में दिखाए गए खेल के अनुसार, यदि खेल के दौरान लक्ष्य टूट जाए तो क्या होगा?</v>
      </c>
      <c r="J57" s="8" t="str">
        <f>IFERROR(__xludf.DUMMYFUNCTION("GOOGLETRANSLATE(D57, ""en"", ""hi"")"),"a) खेल रोक दिया जाता है, b) लक्ष्य बदल दिया जाता है, c) स्ट्राइकर अंक खो देता है, d) प्रतिद्वंद्वी राउंड जीत जाता है")</f>
        <v>a) खेल रोक दिया जाता है, b) लक्ष्य बदल दिया जाता है, c) स्ट्राइकर अंक खो देता है, d) प्रतिद्वंद्वी राउंड जीत जाता है</v>
      </c>
      <c r="K57" s="8" t="str">
        <f>IFERROR(__xludf.DUMMYFUNCTION("GOOGLETRANSLATE(E57, ""en"", ""hi"")"),"b) लक्ष्य को प्रतिस्थापित कर दिया जाता है")</f>
        <v>b) लक्ष्य को प्रतिस्थापित कर दिया जाता है</v>
      </c>
    </row>
    <row r="58" ht="22.5" customHeight="1">
      <c r="A58" s="2">
        <v>57.0</v>
      </c>
      <c r="B58" s="3" t="s">
        <v>4702</v>
      </c>
      <c r="C58" s="3" t="s">
        <v>4703</v>
      </c>
      <c r="D58" s="3" t="s">
        <v>4704</v>
      </c>
      <c r="E58" s="3" t="s">
        <v>4705</v>
      </c>
      <c r="G58" s="8" t="str">
        <f>IFERROR(__xludf.DUMMYFUNCTION("GOOGLETRANSLATE(A58, ""en"", ""hi"")"),"57")</f>
        <v>57</v>
      </c>
      <c r="H58" s="8" t="str">
        <f>IFERROR(__xludf.DUMMYFUNCTION("GOOGLETRANSLATE(B58, ""en"", ""hi"")"),"गिल्ली_डंडा_15")</f>
        <v>गिल्ली_डंडा_15</v>
      </c>
      <c r="I58" s="8" t="str">
        <f>IFERROR(__xludf.DUMMYFUNCTION("GOOGLETRANSLATE(C58, ""en"", ""hi"")"),"चित्र में दिखाए गए खेल से, खेल का विजेता कैसे निर्धारित होता है?")</f>
        <v>चित्र में दिखाए गए खेल से, खेल का विजेता कैसे निर्धारित होता है?</v>
      </c>
      <c r="J58" s="8" t="str">
        <f>IFERROR(__xludf.DUMMYFUNCTION("GOOGLETRANSLATE(D58, ""en"", ""hi"")"),"a) लक्ष्य पर लगने वाली कुल दूरी से, b) सफल हिट की संख्या से, c) कैच की संख्या से, d) लिए गए घुमावों की संख्या से")</f>
        <v>a) लक्ष्य पर लगने वाली कुल दूरी से, b) सफल हिट की संख्या से, c) कैच की संख्या से, d) लिए गए घुमावों की संख्या से</v>
      </c>
      <c r="K58" s="8" t="str">
        <f>IFERROR(__xludf.DUMMYFUNCTION("GOOGLETRANSLATE(E58, ""en"", ""hi"")"),"a) लक्ष्य पर लगने वाली कुल दूरी से")</f>
        <v>a) लक्ष्य पर लगने वाली कुल दूरी से</v>
      </c>
    </row>
    <row r="59" ht="22.5" customHeight="1">
      <c r="A59" s="2">
        <v>58.0</v>
      </c>
      <c r="B59" s="3" t="s">
        <v>4702</v>
      </c>
      <c r="C59" s="3" t="s">
        <v>4706</v>
      </c>
      <c r="D59" s="3" t="s">
        <v>4707</v>
      </c>
      <c r="E59" s="3" t="s">
        <v>4708</v>
      </c>
      <c r="G59" s="8" t="str">
        <f>IFERROR(__xludf.DUMMYFUNCTION("GOOGLETRANSLATE(A59, ""en"", ""hi"")"),"58")</f>
        <v>58</v>
      </c>
      <c r="H59" s="8" t="str">
        <f>IFERROR(__xludf.DUMMYFUNCTION("GOOGLETRANSLATE(B59, ""en"", ""hi"")"),"गिल्ली_डंडा_15")</f>
        <v>गिल्ली_डंडा_15</v>
      </c>
      <c r="I59" s="8" t="str">
        <f>IFERROR(__xludf.DUMMYFUNCTION("GOOGLETRANSLATE(C59, ""en"", ""hi"")"),"चित्र में दिखाए गए खेल के अनुसार, जब स्ट्राइकर हिट करने की तैयारी कर रहा होता है तो प्रतिद्वंद्वी की सामान्य स्थिति क्या होती है?")</f>
        <v>चित्र में दिखाए गए खेल के अनुसार, जब स्ट्राइकर हिट करने की तैयारी कर रहा होता है तो प्रतिद्वंद्वी की सामान्य स्थिति क्या होती है?</v>
      </c>
      <c r="J59" s="8" t="str">
        <f>IFERROR(__xludf.DUMMYFUNCTION("GOOGLETRANSLATE(D59, ""en"", ""hi"")"),"a) स्ट्राइकर से कुछ दूरी पर, b) स्ट्राइकर के करीब, c) स्ट्राइकर के पीछे, d) सीमा रेखा पर")</f>
        <v>a) स्ट्राइकर से कुछ दूरी पर, b) स्ट्राइकर के करीब, c) स्ट्राइकर के पीछे, d) सीमा रेखा पर</v>
      </c>
      <c r="K59" s="8" t="str">
        <f>IFERROR(__xludf.DUMMYFUNCTION("GOOGLETRANSLATE(E59, ""en"", ""hi"")"),"a) स्ट्राइकर से कुछ दूरी पर")</f>
        <v>a) स्ट्राइकर से कुछ दूरी पर</v>
      </c>
    </row>
    <row r="60" ht="22.5" customHeight="1">
      <c r="A60" s="2">
        <v>59.0</v>
      </c>
      <c r="B60" s="3" t="s">
        <v>4702</v>
      </c>
      <c r="C60" s="3" t="s">
        <v>4709</v>
      </c>
      <c r="D60" s="3" t="s">
        <v>4710</v>
      </c>
      <c r="E60" s="3" t="s">
        <v>4711</v>
      </c>
      <c r="G60" s="8" t="str">
        <f>IFERROR(__xludf.DUMMYFUNCTION("GOOGLETRANSLATE(A60, ""en"", ""hi"")"),"59")</f>
        <v>59</v>
      </c>
      <c r="H60" s="8" t="str">
        <f>IFERROR(__xludf.DUMMYFUNCTION("GOOGLETRANSLATE(B60, ""en"", ""hi"")"),"गिल्ली_डंडा_15")</f>
        <v>गिल्ली_डंडा_15</v>
      </c>
      <c r="I60" s="8" t="str">
        <f>IFERROR(__xludf.DUMMYFUNCTION("GOOGLETRANSLATE(C60, ""en"", ""hi"")"),"चित्र में दिखाए गए खेल से, लक्ष्य पर निशाना लगाने के तुरंत बाद स्ट्राइकर को क्या करना चाहिए?")</f>
        <v>चित्र में दिखाए गए खेल से, लक्ष्य पर निशाना लगाने के तुरंत बाद स्ट्राइकर को क्या करना चाहिए?</v>
      </c>
      <c r="J60" s="8" t="str">
        <f>IFERROR(__xludf.DUMMYFUNCTION("GOOGLETRANSLATE(D60, ""en"", ""hi"")"),"क) लक्ष्य की उड़ान का निरीक्षण करें, ख) अगले प्रहार के लिए तैयार रहें, ग) सुरक्षित स्थान पर भागें, घ) प्रतिद्वंद्वी की प्रतिक्रिया की प्रतीक्षा करें")</f>
        <v>क) लक्ष्य की उड़ान का निरीक्षण करें, ख) अगले प्रहार के लिए तैयार रहें, ग) सुरक्षित स्थान पर भागें, घ) प्रतिद्वंद्वी की प्रतिक्रिया की प्रतीक्षा करें</v>
      </c>
      <c r="K60" s="8" t="str">
        <f>IFERROR(__xludf.DUMMYFUNCTION("GOOGLETRANSLATE(E60, ""en"", ""hi"")"),"a) लक्ष्य की उड़ान का निरीक्षण करें")</f>
        <v>a) लक्ष्य की उड़ान का निरीक्षण करें</v>
      </c>
    </row>
    <row r="61" ht="22.5" customHeight="1">
      <c r="A61" s="2">
        <v>60.0</v>
      </c>
      <c r="B61" s="3" t="s">
        <v>4702</v>
      </c>
      <c r="C61" s="3" t="s">
        <v>4712</v>
      </c>
      <c r="D61" s="3" t="s">
        <v>4713</v>
      </c>
      <c r="E61" s="3" t="s">
        <v>4714</v>
      </c>
      <c r="G61" s="8" t="str">
        <f>IFERROR(__xludf.DUMMYFUNCTION("GOOGLETRANSLATE(A61, ""en"", ""hi"")"),"60")</f>
        <v>60</v>
      </c>
      <c r="H61" s="8" t="str">
        <f>IFERROR(__xludf.DUMMYFUNCTION("GOOGLETRANSLATE(B61, ""en"", ""hi"")"),"गिल्ली_डंडा_15")</f>
        <v>गिल्ली_डंडा_15</v>
      </c>
      <c r="I61" s="8" t="str">
        <f>IFERROR(__xludf.DUMMYFUNCTION("GOOGLETRANSLATE(C61, ""en"", ""hi"")"),"चित्र में दिखाए गए खेल से, शुरुआती लोगों द्वारा की जाने वाली आम गलती क्या है?")</f>
        <v>चित्र में दिखाए गए खेल से, शुरुआती लोगों द्वारा की जाने वाली आम गलती क्या है?</v>
      </c>
      <c r="J61" s="8" t="str">
        <f>IFERROR(__xludf.DUMMYFUNCTION("GOOGLETRANSLATE(D61, ""en"", ""hi"")"),"क) लक्ष्य पर बहुत जोर से मारना, ख) लक्ष्य से पूरी तरह चूक जाना, ग) सही स्थिति में न होना, घ) प्रतिद्वंद्वी पर बहुत अधिक ध्यान केंद्रित करना")</f>
        <v>क) लक्ष्य पर बहुत जोर से मारना, ख) लक्ष्य से पूरी तरह चूक जाना, ग) सही स्थिति में न होना, घ) प्रतिद्वंद्वी पर बहुत अधिक ध्यान केंद्रित करना</v>
      </c>
      <c r="K61" s="8" t="str">
        <f>IFERROR(__xludf.DUMMYFUNCTION("GOOGLETRANSLATE(E61, ""en"", ""hi"")"),"ख) लक्ष्य से पूरी तरह चूक जाना")</f>
        <v>ख) लक्ष्य से पूरी तरह चूक जाना</v>
      </c>
    </row>
    <row r="62" ht="22.5" customHeight="1">
      <c r="A62" s="2">
        <v>61.0</v>
      </c>
      <c r="B62" s="3" t="s">
        <v>4715</v>
      </c>
      <c r="C62" s="3" t="s">
        <v>4716</v>
      </c>
      <c r="D62" s="3" t="s">
        <v>4717</v>
      </c>
      <c r="E62" s="3" t="s">
        <v>1957</v>
      </c>
      <c r="G62" s="8" t="str">
        <f>IFERROR(__xludf.DUMMYFUNCTION("GOOGLETRANSLATE(A62, ""en"", ""hi"")"),"61")</f>
        <v>61</v>
      </c>
      <c r="H62" s="8" t="str">
        <f>IFERROR(__xludf.DUMMYFUNCTION("GOOGLETRANSLATE(B62, ""en"", ""hi"")"),"गिल्ली_डंडा_16")</f>
        <v>गिल्ली_डंडा_16</v>
      </c>
      <c r="I62" s="8" t="str">
        <f>IFERROR(__xludf.DUMMYFUNCTION("GOOGLETRANSLATE(C62, ""en"", ""hi"")"),"चित्र में दिखाए गए खेल से, छड़ियों के लिए प्रयुक्त प्राथमिक सामग्री क्या है?")</f>
        <v>चित्र में दिखाए गए खेल से, छड़ियों के लिए प्रयुक्त प्राथमिक सामग्री क्या है?</v>
      </c>
      <c r="J62" s="8" t="str">
        <f>IFERROR(__xludf.DUMMYFUNCTION("GOOGLETRANSLATE(D62, ""en"", ""hi"")"),"a) लकड़ी, b) धातु, c) प्लास्टिक, d) बांस")</f>
        <v>a) लकड़ी, b) धातु, c) प्लास्टिक, d) बांस</v>
      </c>
      <c r="K62" s="8" t="str">
        <f>IFERROR(__xludf.DUMMYFUNCTION("GOOGLETRANSLATE(E62, ""en"", ""hi"")"),"एक लकड़ी")</f>
        <v>एक लकड़ी</v>
      </c>
    </row>
    <row r="63" ht="22.5" customHeight="1">
      <c r="A63" s="2">
        <v>62.0</v>
      </c>
      <c r="B63" s="3" t="s">
        <v>4715</v>
      </c>
      <c r="C63" s="3" t="s">
        <v>4718</v>
      </c>
      <c r="D63" s="3" t="s">
        <v>4719</v>
      </c>
      <c r="E63" s="3" t="s">
        <v>4720</v>
      </c>
      <c r="G63" s="8" t="str">
        <f>IFERROR(__xludf.DUMMYFUNCTION("GOOGLETRANSLATE(A63, ""en"", ""hi"")"),"62")</f>
        <v>62</v>
      </c>
      <c r="H63" s="8" t="str">
        <f>IFERROR(__xludf.DUMMYFUNCTION("GOOGLETRANSLATE(B63, ""en"", ""hi"")"),"गिल्ली_डंडा_16")</f>
        <v>गिल्ली_डंडा_16</v>
      </c>
      <c r="I63" s="8" t="str">
        <f>IFERROR(__xludf.DUMMYFUNCTION("GOOGLETRANSLATE(C63, ""en"", ""hi"")"),"चित्र में दिखाए गए खेल से, प्रतिद्वंद्वी द्वारा की जाने वाली सामान्य रक्षात्मक चाल क्या है?")</f>
        <v>चित्र में दिखाए गए खेल से, प्रतिद्वंद्वी द्वारा की जाने वाली सामान्य रक्षात्मक चाल क्या है?</v>
      </c>
      <c r="J63" s="8" t="str">
        <f>IFERROR(__xludf.DUMMYFUNCTION("GOOGLETRANSLATE(D63, ""en"", ""hi"")"),"क) लक्ष्य को हवा में पकड़ना, ख) हमलावर को रोकना, ग) लक्ष्य पर वापस प्रहार करना, घ) हमलावर का ध्यान भटकाना")</f>
        <v>क) लक्ष्य को हवा में पकड़ना, ख) हमलावर को रोकना, ग) लक्ष्य पर वापस प्रहार करना, घ) हमलावर का ध्यान भटकाना</v>
      </c>
      <c r="K63" s="8" t="str">
        <f>IFERROR(__xludf.DUMMYFUNCTION("GOOGLETRANSLATE(E63, ""en"", ""hi"")"),"a) हवा में ही लक्ष्य को पकड़ना")</f>
        <v>a) हवा में ही लक्ष्य को पकड़ना</v>
      </c>
    </row>
    <row r="64" ht="22.5" customHeight="1">
      <c r="A64" s="2">
        <v>63.0</v>
      </c>
      <c r="B64" s="3" t="s">
        <v>4715</v>
      </c>
      <c r="C64" s="3" t="s">
        <v>4721</v>
      </c>
      <c r="D64" s="3" t="s">
        <v>4722</v>
      </c>
      <c r="E64" s="3" t="s">
        <v>4723</v>
      </c>
      <c r="G64" s="8" t="str">
        <f>IFERROR(__xludf.DUMMYFUNCTION("GOOGLETRANSLATE(A64, ""en"", ""hi"")"),"63")</f>
        <v>63</v>
      </c>
      <c r="H64" s="8" t="str">
        <f>IFERROR(__xludf.DUMMYFUNCTION("GOOGLETRANSLATE(B64, ""en"", ""hi"")"),"गिल्ली_डंडा_16")</f>
        <v>गिल्ली_डंडा_16</v>
      </c>
      <c r="I64" s="8" t="str">
        <f>IFERROR(__xludf.DUMMYFUNCTION("GOOGLETRANSLATE(C64, ""en"", ""hi"")"),"चित्र में दिखाए गए खेल से, स्ट्राइकर यह कैसे तय करता है कि लक्ष्य कहां पर निशाना लगाना है?")</f>
        <v>चित्र में दिखाए गए खेल से, स्ट्राइकर यह कैसे तय करता है कि लक्ष्य कहां पर निशाना लगाना है?</v>
      </c>
      <c r="J64" s="8" t="str">
        <f>IFERROR(__xludf.DUMMYFUNCTION("GOOGLETRANSLATE(D64, ""en"", ""hi"")"),"a) मैदान का आकलन करके, b) प्रतिद्वंद्वी की स्थिति देखकर, c) दूरी की गणना करके, d) अनुमान लगाकर")</f>
        <v>a) मैदान का आकलन करके, b) प्रतिद्वंद्वी की स्थिति देखकर, c) दूरी की गणना करके, d) अनुमान लगाकर</v>
      </c>
      <c r="K64" s="8" t="str">
        <f>IFERROR(__xludf.DUMMYFUNCTION("GOOGLETRANSLATE(E64, ""en"", ""hi"")"),"ख) प्रतिद्वंद्वी की स्थिति को देखकर")</f>
        <v>ख) प्रतिद्वंद्वी की स्थिति को देखकर</v>
      </c>
    </row>
    <row r="65" ht="22.5" customHeight="1">
      <c r="A65" s="2">
        <v>64.0</v>
      </c>
      <c r="B65" s="3" t="s">
        <v>4715</v>
      </c>
      <c r="C65" s="3" t="s">
        <v>4724</v>
      </c>
      <c r="D65" s="3" t="s">
        <v>4725</v>
      </c>
      <c r="E65" s="3" t="s">
        <v>4726</v>
      </c>
      <c r="G65" s="8" t="str">
        <f>IFERROR(__xludf.DUMMYFUNCTION("GOOGLETRANSLATE(A65, ""en"", ""hi"")"),"64")</f>
        <v>64</v>
      </c>
      <c r="H65" s="8" t="str">
        <f>IFERROR(__xludf.DUMMYFUNCTION("GOOGLETRANSLATE(B65, ""en"", ""hi"")"),"गिल्ली_डंडा_16")</f>
        <v>गिल्ली_डंडा_16</v>
      </c>
      <c r="I65" s="8" t="str">
        <f>IFERROR(__xludf.DUMMYFUNCTION("GOOGLETRANSLATE(C65, ""en"", ""hi"")"),"चित्र में दिखाए गए खेल से, नियंत्रित बल के साथ स्विंग करने का उद्देश्य क्या है?")</f>
        <v>चित्र में दिखाए गए खेल से, नियंत्रित बल के साथ स्विंग करने का उद्देश्य क्या है?</v>
      </c>
      <c r="J65" s="8" t="str">
        <f>IFERROR(__xludf.DUMMYFUNCTION("GOOGLETRANSLATE(D65, ""en"", ""hi"")"),"क) सटीकता सुनिश्चित करने के लिए, ख) ऊर्जा संरक्षण के लिए, ग) प्रतिद्वंद्वी को आश्चर्यचकित करने के लिए, घ) लक्ष्य को तोड़ने से बचने के लिए")</f>
        <v>क) सटीकता सुनिश्चित करने के लिए, ख) ऊर्जा संरक्षण के लिए, ग) प्रतिद्वंद्वी को आश्चर्यचकित करने के लिए, घ) लक्ष्य को तोड़ने से बचने के लिए</v>
      </c>
      <c r="K65" s="8" t="str">
        <f>IFERROR(__xludf.DUMMYFUNCTION("GOOGLETRANSLATE(E65, ""en"", ""hi"")"),"a) सटीकता सुनिश्चित करने के लिए")</f>
        <v>a) सटीकता सुनिश्चित करने के लिए</v>
      </c>
    </row>
    <row r="66" ht="22.5" customHeight="1">
      <c r="A66" s="2">
        <v>65.0</v>
      </c>
      <c r="B66" s="3" t="s">
        <v>4727</v>
      </c>
      <c r="C66" s="3" t="s">
        <v>4728</v>
      </c>
      <c r="D66" s="3" t="s">
        <v>4729</v>
      </c>
      <c r="E66" s="3" t="s">
        <v>4666</v>
      </c>
      <c r="G66" s="8" t="str">
        <f>IFERROR(__xludf.DUMMYFUNCTION("GOOGLETRANSLATE(A66, ""en"", ""hi"")"),"65")</f>
        <v>65</v>
      </c>
      <c r="H66" s="8" t="str">
        <f>IFERROR(__xludf.DUMMYFUNCTION("GOOGLETRANSLATE(B66, ""en"", ""hi"")"),"गिल्ली_डंडा_17")</f>
        <v>गिल्ली_डंडा_17</v>
      </c>
      <c r="I66" s="8" t="str">
        <f>IFERROR(__xludf.DUMMYFUNCTION("GOOGLETRANSLATE(C66, ""en"", ""hi"")"),"चित्र में दिखाए गए खेल के अनुसार, यदि स्ट्राइकर लक्ष्य को किसी बाधा से टकराता है तो क्या होता है?")</f>
        <v>चित्र में दिखाए गए खेल के अनुसार, यदि स्ट्राइकर लक्ष्य को किसी बाधा से टकराता है तो क्या होता है?</v>
      </c>
      <c r="J66" s="8" t="str">
        <f>IFERROR(__xludf.DUMMYFUNCTION("GOOGLETRANSLATE(D66, ""en"", ""hi"")"),"a) लक्ष्य पुनः प्राप्त कर लिया जाता है, b) बारी जब्त कर ली जाती है, c) बाधा हटा दी जाती है, d) प्रतिद्वंद्वी अंक अर्जित करता है")</f>
        <v>a) लक्ष्य पुनः प्राप्त कर लिया जाता है, b) बारी जब्त कर ली जाती है, c) बाधा हटा दी जाती है, d) प्रतिद्वंद्वी अंक अर्जित करता है</v>
      </c>
      <c r="K66" s="8" t="str">
        <f>IFERROR(__xludf.DUMMYFUNCTION("GOOGLETRANSLATE(E66, ""en"", ""hi"")"),"b) बारी जब्त कर ली जाती है")</f>
        <v>b) बारी जब्त कर ली जाती है</v>
      </c>
    </row>
    <row r="67" ht="22.5" customHeight="1">
      <c r="A67" s="2">
        <v>66.0</v>
      </c>
      <c r="B67" s="3" t="s">
        <v>4727</v>
      </c>
      <c r="C67" s="3" t="s">
        <v>4730</v>
      </c>
      <c r="D67" s="3" t="s">
        <v>4731</v>
      </c>
      <c r="E67" s="3" t="s">
        <v>4732</v>
      </c>
      <c r="G67" s="8" t="str">
        <f>IFERROR(__xludf.DUMMYFUNCTION("GOOGLETRANSLATE(A67, ""en"", ""hi"")"),"66")</f>
        <v>66</v>
      </c>
      <c r="H67" s="8" t="str">
        <f>IFERROR(__xludf.DUMMYFUNCTION("GOOGLETRANSLATE(B67, ""en"", ""hi"")"),"गिल्ली_डंडा_17")</f>
        <v>गिल्ली_डंडा_17</v>
      </c>
      <c r="I67" s="8" t="str">
        <f>IFERROR(__xludf.DUMMYFUNCTION("GOOGLETRANSLATE(C67, ""en"", ""hi"")"),"चित्र में दिखाए गए खेल से, सही समय पर स्विंग करने का क्या लाभ है?")</f>
        <v>चित्र में दिखाए गए खेल से, सही समय पर स्विंग करने का क्या लाभ है?</v>
      </c>
      <c r="J67" s="8" t="str">
        <f>IFERROR(__xludf.DUMMYFUNCTION("GOOGLETRANSLATE(D67, ""en"", ""hi"")"),"क) दूरी को अधिकतम करना, ख) प्रतिद्वंद्वी को भ्रमित करना, ग) लक्ष्य को सही कोण पर मारना, घ) दंड से बचना")</f>
        <v>क) दूरी को अधिकतम करना, ख) प्रतिद्वंद्वी को भ्रमित करना, ग) लक्ष्य को सही कोण पर मारना, घ) दंड से बचना</v>
      </c>
      <c r="K67" s="8" t="str">
        <f>IFERROR(__xludf.DUMMYFUNCTION("GOOGLETRANSLATE(E67, ""en"", ""hi"")"),"a) दूरी को अधिकतम करना")</f>
        <v>a) दूरी को अधिकतम करना</v>
      </c>
    </row>
    <row r="68" ht="22.5" customHeight="1">
      <c r="A68" s="2">
        <v>67.0</v>
      </c>
      <c r="B68" s="3" t="s">
        <v>4727</v>
      </c>
      <c r="C68" s="3" t="s">
        <v>4733</v>
      </c>
      <c r="D68" s="3" t="s">
        <v>4734</v>
      </c>
      <c r="E68" s="3" t="s">
        <v>4735</v>
      </c>
      <c r="G68" s="8" t="str">
        <f>IFERROR(__xludf.DUMMYFUNCTION("GOOGLETRANSLATE(A68, ""en"", ""hi"")"),"67")</f>
        <v>67</v>
      </c>
      <c r="H68" s="8" t="str">
        <f>IFERROR(__xludf.DUMMYFUNCTION("GOOGLETRANSLATE(B68, ""en"", ""hi"")"),"गिल्ली_डंडा_17")</f>
        <v>गिल्ली_डंडा_17</v>
      </c>
      <c r="I68" s="8" t="str">
        <f>IFERROR(__xludf.DUMMYFUNCTION("GOOGLETRANSLATE(C68, ""en"", ""hi"")"),"चित्र में दिखाए गए खेल के अनुसार, जब लक्ष्य हवा में हो तो स्ट्राइकर को किस पर ध्यान केंद्रित करना चाहिए?")</f>
        <v>चित्र में दिखाए गए खेल के अनुसार, जब लक्ष्य हवा में हो तो स्ट्राइकर को किस पर ध्यान केंद्रित करना चाहिए?</v>
      </c>
      <c r="J68" s="8" t="str">
        <f>IFERROR(__xludf.DUMMYFUNCTION("GOOGLETRANSLATE(D68, ""en"", ""hi"")"),"क) लक्ष्य की दिशा, ख) प्रतिद्वंद्वी की गतिविधियाँ, ग) ज़मीन की स्थिति, घ) हवा का बल")</f>
        <v>क) लक्ष्य की दिशा, ख) प्रतिद्वंद्वी की गतिविधियाँ, ग) ज़मीन की स्थिति, घ) हवा का बल</v>
      </c>
      <c r="K68" s="8" t="str">
        <f>IFERROR(__xludf.DUMMYFUNCTION("GOOGLETRANSLATE(E68, ""en"", ""hi"")"),"क) लक्ष्य की दिशा")</f>
        <v>क) लक्ष्य की दिशा</v>
      </c>
    </row>
    <row r="69" ht="22.5" customHeight="1">
      <c r="A69" s="2">
        <v>68.0</v>
      </c>
      <c r="B69" s="3" t="s">
        <v>4727</v>
      </c>
      <c r="C69" s="3" t="s">
        <v>4736</v>
      </c>
      <c r="D69" s="3" t="s">
        <v>4737</v>
      </c>
      <c r="E69" s="3" t="s">
        <v>4738</v>
      </c>
      <c r="G69" s="8" t="str">
        <f>IFERROR(__xludf.DUMMYFUNCTION("GOOGLETRANSLATE(A69, ""en"", ""hi"")"),"68")</f>
        <v>68</v>
      </c>
      <c r="H69" s="8" t="str">
        <f>IFERROR(__xludf.DUMMYFUNCTION("GOOGLETRANSLATE(B69, ""en"", ""hi"")"),"गिल्ली_डंडा_17")</f>
        <v>गिल्ली_डंडा_17</v>
      </c>
      <c r="I69" s="8" t="str">
        <f>IFERROR(__xludf.DUMMYFUNCTION("GOOGLETRANSLATE(C69, ""en"", ""hi"")"),"चित्र में दिखाए गए खेल के अनुसार, स्ट्राइकर के लिए कौन सी रणनीति अच्छी है?")</f>
        <v>चित्र में दिखाए गए खेल के अनुसार, स्ट्राइकर के लिए कौन सी रणनीति अच्छी है?</v>
      </c>
      <c r="J69" s="8" t="str">
        <f>IFERROR(__xludf.DUMMYFUNCTION("GOOGLETRANSLATE(D69, ""en"", ""hi"")"),"क) वार की ताकत में बदलाव करना, ख) हमेशा पूरी ताकत से वार करना, ग) सीधे प्रतिद्वंद्वी पर निशाना लगाना, घ) लक्ष्य को नीचे रखना")</f>
        <v>क) वार की ताकत में बदलाव करना, ख) हमेशा पूरी ताकत से वार करना, ग) सीधे प्रतिद्वंद्वी पर निशाना लगाना, घ) लक्ष्य को नीचे रखना</v>
      </c>
      <c r="K69" s="8" t="str">
        <f>IFERROR(__xludf.DUMMYFUNCTION("GOOGLETRANSLATE(E69, ""en"", ""hi"")"),"a) झूलों की ताकत में परिवर्तन")</f>
        <v>a) झूलों की ताकत में परिवर्तन</v>
      </c>
    </row>
    <row r="70" ht="22.5" customHeight="1">
      <c r="A70" s="2">
        <v>69.0</v>
      </c>
      <c r="B70" s="3" t="s">
        <v>4739</v>
      </c>
      <c r="C70" s="3" t="s">
        <v>4740</v>
      </c>
      <c r="D70" s="3" t="s">
        <v>4741</v>
      </c>
      <c r="E70" s="3" t="s">
        <v>4742</v>
      </c>
      <c r="G70" s="8" t="str">
        <f>IFERROR(__xludf.DUMMYFUNCTION("GOOGLETRANSLATE(A70, ""en"", ""hi"")"),"69")</f>
        <v>69</v>
      </c>
      <c r="H70" s="8" t="str">
        <f>IFERROR(__xludf.DUMMYFUNCTION("GOOGLETRANSLATE(B70, ""en"", ""hi"")"),"गिल्ली_डंडा_18")</f>
        <v>गिल्ली_डंडा_18</v>
      </c>
      <c r="I70" s="8" t="str">
        <f>IFERROR(__xludf.DUMMYFUNCTION("GOOGLETRANSLATE(C70, ""en"", ""hi"")"),"चित्र में दिखाए गए खेल से, लक्ष्य पर प्रहार से पहले उसकी स्थिति का क्या महत्व है?")</f>
        <v>चित्र में दिखाए गए खेल से, लक्ष्य पर प्रहार से पहले उसकी स्थिति का क्या महत्व है?</v>
      </c>
      <c r="J70" s="8" t="str">
        <f>IFERROR(__xludf.DUMMYFUNCTION("GOOGLETRANSLATE(D70, ""en"", ""hi"")"),"क) यह प्रहार की सटीकता को प्रभावित करता है, ख) यह प्रतिद्वंद्वी की रणनीति निर्धारित करता है, ग) यह पारी के अंत का संकेत देता है, घ) यह खेल की शुरुआत का प्रतीक है")</f>
        <v>क) यह प्रहार की सटीकता को प्रभावित करता है, ख) यह प्रतिद्वंद्वी की रणनीति निर्धारित करता है, ग) यह पारी के अंत का संकेत देता है, घ) यह खेल की शुरुआत का प्रतीक है</v>
      </c>
      <c r="K70" s="8" t="str">
        <f>IFERROR(__xludf.DUMMYFUNCTION("GOOGLETRANSLATE(E70, ""en"", ""hi"")"),"a) यह हमले की सटीकता को प्रभावित करता है")</f>
        <v>a) यह हमले की सटीकता को प्रभावित करता है</v>
      </c>
    </row>
    <row r="71" ht="22.5" customHeight="1">
      <c r="A71" s="2">
        <v>70.0</v>
      </c>
      <c r="B71" s="3" t="s">
        <v>4739</v>
      </c>
      <c r="C71" s="3" t="s">
        <v>4743</v>
      </c>
      <c r="D71" s="3" t="s">
        <v>4744</v>
      </c>
      <c r="E71" s="3" t="s">
        <v>4745</v>
      </c>
      <c r="G71" s="8" t="str">
        <f>IFERROR(__xludf.DUMMYFUNCTION("GOOGLETRANSLATE(A71, ""en"", ""hi"")"),"70")</f>
        <v>70</v>
      </c>
      <c r="H71" s="8" t="str">
        <f>IFERROR(__xludf.DUMMYFUNCTION("GOOGLETRANSLATE(B71, ""en"", ""hi"")"),"गिल्ली_डंडा_18")</f>
        <v>गिल्ली_डंडा_18</v>
      </c>
      <c r="I71" s="8" t="str">
        <f>IFERROR(__xludf.DUMMYFUNCTION("GOOGLETRANSLATE(C71, ""en"", ""hi"")"),"चित्र में दिखाए गए खेल के आधार पर, स्ट्राइकर द्वारा टर्न गंवाने का सामान्य कारण क्या है?")</f>
        <v>चित्र में दिखाए गए खेल के आधार पर, स्ट्राइकर द्वारा टर्न गंवाने का सामान्य कारण क्या है?</v>
      </c>
      <c r="J71" s="8" t="str">
        <f>IFERROR(__xludf.DUMMYFUNCTION("GOOGLETRANSLATE(D71, ""en"", ""hi"")"),"क) निशाना चूकना, ख) लक्ष्य से बहुत दूर लगना, ग) पर्याप्त जोर से स्विंग न करना, घ) स्विंग करने में बहुत अधिक समय लेना")</f>
        <v>क) निशाना चूकना, ख) लक्ष्य से बहुत दूर लगना, ग) पर्याप्त जोर से स्विंग न करना, घ) स्विंग करने में बहुत अधिक समय लेना</v>
      </c>
      <c r="K71" s="8" t="str">
        <f>IFERROR(__xludf.DUMMYFUNCTION("GOOGLETRANSLATE(E71, ""en"", ""hi"")"),"क) लक्ष्य चूकना")</f>
        <v>क) लक्ष्य चूकना</v>
      </c>
    </row>
    <row r="72" ht="22.5" customHeight="1">
      <c r="A72" s="2">
        <v>71.0</v>
      </c>
      <c r="B72" s="3" t="s">
        <v>4739</v>
      </c>
      <c r="C72" s="3" t="s">
        <v>4746</v>
      </c>
      <c r="D72" s="3" t="s">
        <v>4747</v>
      </c>
      <c r="E72" s="3" t="s">
        <v>4748</v>
      </c>
      <c r="G72" s="8" t="str">
        <f>IFERROR(__xludf.DUMMYFUNCTION("GOOGLETRANSLATE(A72, ""en"", ""hi"")"),"71")</f>
        <v>71</v>
      </c>
      <c r="H72" s="8" t="str">
        <f>IFERROR(__xludf.DUMMYFUNCTION("GOOGLETRANSLATE(B72, ""en"", ""hi"")"),"गिल्ली_डंडा_18")</f>
        <v>गिल्ली_डंडा_18</v>
      </c>
      <c r="I72" s="8" t="str">
        <f>IFERROR(__xludf.DUMMYFUNCTION("GOOGLETRANSLATE(C72, ""en"", ""hi"")"),"चित्र में दिखाए गए खेल से, किसी विशेष दिशा में लक्ष्य को मारने का क्या लाभ है?")</f>
        <v>चित्र में दिखाए गए खेल से, किसी विशेष दिशा में लक्ष्य को मारने का क्या लाभ है?</v>
      </c>
      <c r="J72" s="8" t="str">
        <f>IFERROR(__xludf.DUMMYFUNCTION("GOOGLETRANSLATE(D72, ""en"", ""hi"")"),"क) प्रतिद्वंद्वी से बचने के लिए, ख) अतिरिक्त अंक हासिल करने के लिए, ग) प्रतिद्वंद्वी को भ्रमित करने के लिए, घ) लक्ष्य को तोड़ने के लिए")</f>
        <v>क) प्रतिद्वंद्वी से बचने के लिए, ख) अतिरिक्त अंक हासिल करने के लिए, ग) प्रतिद्वंद्वी को भ्रमित करने के लिए, घ) लक्ष्य को तोड़ने के लिए</v>
      </c>
      <c r="K72" s="8" t="str">
        <f>IFERROR(__xludf.DUMMYFUNCTION("GOOGLETRANSLATE(E72, ""en"", ""hi"")"),"a) प्रतिद्वंद्वी से बचने के लिए")</f>
        <v>a) प्रतिद्वंद्वी से बचने के लिए</v>
      </c>
    </row>
    <row r="73" ht="22.5" customHeight="1">
      <c r="A73" s="2">
        <v>72.0</v>
      </c>
      <c r="B73" s="3" t="s">
        <v>4739</v>
      </c>
      <c r="C73" s="3" t="s">
        <v>4749</v>
      </c>
      <c r="D73" s="3" t="s">
        <v>4750</v>
      </c>
      <c r="E73" s="3" t="s">
        <v>4751</v>
      </c>
      <c r="G73" s="8" t="str">
        <f>IFERROR(__xludf.DUMMYFUNCTION("GOOGLETRANSLATE(A73, ""en"", ""hi"")"),"72")</f>
        <v>72</v>
      </c>
      <c r="H73" s="8" t="str">
        <f>IFERROR(__xludf.DUMMYFUNCTION("GOOGLETRANSLATE(B73, ""en"", ""hi"")"),"गिल्ली_डंडा_18")</f>
        <v>गिल्ली_डंडा_18</v>
      </c>
      <c r="I73" s="8" t="str">
        <f>IFERROR(__xludf.DUMMYFUNCTION("GOOGLETRANSLATE(C73, ""en"", ""hi"")"),"चित्र में दिखाए गए खेल के अनुसार, अत्यधिक आक्रामक स्विंग का मुख्य जोखिम क्या है?")</f>
        <v>चित्र में दिखाए गए खेल के अनुसार, अत्यधिक आक्रामक स्विंग का मुख्य जोखिम क्या है?</v>
      </c>
      <c r="J73" s="8" t="str">
        <f>IFERROR(__xludf.DUMMYFUNCTION("GOOGLETRANSLATE(D73, ""en"", ""hi"")"),"क) लक्ष्य पर नियंत्रण खोना, ख) छड़ी तोड़ना, ग) प्रतिद्वंद्वी को मारना, घ) संतुलन खोना")</f>
        <v>क) लक्ष्य पर नियंत्रण खोना, ख) छड़ी तोड़ना, ग) प्रतिद्वंद्वी को मारना, घ) संतुलन खोना</v>
      </c>
      <c r="K73" s="8" t="str">
        <f>IFERROR(__xludf.DUMMYFUNCTION("GOOGLETRANSLATE(E73, ""en"", ""hi"")"),"क) लक्ष्य पर नियंत्रण खोना")</f>
        <v>क) लक्ष्य पर नियंत्रण खोना</v>
      </c>
    </row>
    <row r="74" ht="22.5" customHeight="1">
      <c r="A74" s="2">
        <v>73.0</v>
      </c>
      <c r="B74" s="3" t="s">
        <v>4752</v>
      </c>
      <c r="C74" s="3" t="s">
        <v>4753</v>
      </c>
      <c r="D74" s="3" t="s">
        <v>4754</v>
      </c>
      <c r="E74" s="3" t="s">
        <v>4755</v>
      </c>
      <c r="G74" s="8" t="str">
        <f>IFERROR(__xludf.DUMMYFUNCTION("GOOGLETRANSLATE(A74, ""en"", ""hi"")"),"73")</f>
        <v>73</v>
      </c>
      <c r="H74" s="8" t="str">
        <f>IFERROR(__xludf.DUMMYFUNCTION("GOOGLETRANSLATE(B74, ""en"", ""hi"")"),"गिल्ली_डंडा_19")</f>
        <v>गिल्ली_डंडा_19</v>
      </c>
      <c r="I74" s="8" t="str">
        <f>IFERROR(__xludf.DUMMYFUNCTION("GOOGLETRANSLATE(C74, ""en"", ""hi"")"),"चित्र में दिखाए गए खेल से, स्ट्राइकर को कैसे पता चलता है कि उसे कब स्विंग करना बंद करना है?")</f>
        <v>चित्र में दिखाए गए खेल से, स्ट्राइकर को कैसे पता चलता है कि उसे कब स्विंग करना बंद करना है?</v>
      </c>
      <c r="J74" s="8" t="str">
        <f>IFERROR(__xludf.DUMMYFUNCTION("GOOGLETRANSLATE(D74, ""en"", ""hi"")"),"क) जब लक्ष्य पर निशाना लगता है, ख) जब प्रतिद्वंद्वी संकेत देता है, ग) जब वे थक जाते हैं, घ) जब खेल समाप्त हो जाता है")</f>
        <v>क) जब लक्ष्य पर निशाना लगता है, ख) जब प्रतिद्वंद्वी संकेत देता है, ग) जब वे थक जाते हैं, घ) जब खेल समाप्त हो जाता है</v>
      </c>
      <c r="K74" s="8" t="str">
        <f>IFERROR(__xludf.DUMMYFUNCTION("GOOGLETRANSLATE(E74, ""en"", ""hi"")"),"a) जब लक्ष्य पर प्रहार होता है")</f>
        <v>a) जब लक्ष्य पर प्रहार होता है</v>
      </c>
    </row>
    <row r="75" ht="22.5" customHeight="1">
      <c r="A75" s="2">
        <v>74.0</v>
      </c>
      <c r="B75" s="3" t="s">
        <v>4752</v>
      </c>
      <c r="C75" s="3" t="s">
        <v>4756</v>
      </c>
      <c r="D75" s="3" t="s">
        <v>4757</v>
      </c>
      <c r="E75" s="3" t="s">
        <v>4758</v>
      </c>
      <c r="G75" s="8" t="str">
        <f>IFERROR(__xludf.DUMMYFUNCTION("GOOGLETRANSLATE(A75, ""en"", ""hi"")"),"74")</f>
        <v>74</v>
      </c>
      <c r="H75" s="8" t="str">
        <f>IFERROR(__xludf.DUMMYFUNCTION("GOOGLETRANSLATE(B75, ""en"", ""hi"")"),"गिल्ली_डंडा_19")</f>
        <v>गिल्ली_डंडा_19</v>
      </c>
      <c r="I75" s="8" t="str">
        <f>IFERROR(__xludf.DUMMYFUNCTION("GOOGLETRANSLATE(C75, ""en"", ""hi"")"),"चित्र में दिखाए गए खेल से, हवा में ऊंचे लक्ष्य को मारने का रणनीतिक लाभ क्या है?")</f>
        <v>चित्र में दिखाए गए खेल से, हवा में ऊंचे लक्ष्य को मारने का रणनीतिक लाभ क्या है?</v>
      </c>
      <c r="J75" s="8" t="str">
        <f>IFERROR(__xludf.DUMMYFUNCTION("GOOGLETRANSLATE(D75, ""en"", ""hi"")"),"क) यह प्रतिद्वंद्वी को प्रतिक्रिया करने के लिए कम समय देता है, ख) यह तय की गई दूरी को बढ़ाता है, ग) यह प्रतिद्वंद्वी को भ्रमित करता है, घ) यह अंक हासिल करने में मदद करता है")</f>
        <v>क) यह प्रतिद्वंद्वी को प्रतिक्रिया करने के लिए कम समय देता है, ख) यह तय की गई दूरी को बढ़ाता है, ग) यह प्रतिद्वंद्वी को भ्रमित करता है, घ) यह अंक हासिल करने में मदद करता है</v>
      </c>
      <c r="K75" s="8" t="str">
        <f>IFERROR(__xludf.DUMMYFUNCTION("GOOGLETRANSLATE(E75, ""en"", ""hi"")"),"b) इससे तय की गई दूरी बढ़ जाती है")</f>
        <v>b) इससे तय की गई दूरी बढ़ जाती है</v>
      </c>
    </row>
    <row r="76" ht="22.5" customHeight="1">
      <c r="A76" s="2">
        <v>75.0</v>
      </c>
      <c r="B76" s="3" t="s">
        <v>4752</v>
      </c>
      <c r="C76" s="3" t="s">
        <v>4759</v>
      </c>
      <c r="D76" s="3" t="s">
        <v>4760</v>
      </c>
      <c r="E76" s="3" t="s">
        <v>4761</v>
      </c>
      <c r="G76" s="8" t="str">
        <f>IFERROR(__xludf.DUMMYFUNCTION("GOOGLETRANSLATE(A76, ""en"", ""hi"")"),"75")</f>
        <v>75</v>
      </c>
      <c r="H76" s="8" t="str">
        <f>IFERROR(__xludf.DUMMYFUNCTION("GOOGLETRANSLATE(B76, ""en"", ""hi"")"),"गिल्ली_डंडा_19")</f>
        <v>गिल्ली_डंडा_19</v>
      </c>
      <c r="I76" s="8" t="str">
        <f>IFERROR(__xludf.DUMMYFUNCTION("GOOGLETRANSLATE(C76, ""en"", ""hi"")"),"चित्र में दिखाए गए खेल से, लक्ष्य पर निशाना लगने के बाद प्रतिद्वंद्वी की भूमिका क्या होती है?")</f>
        <v>चित्र में दिखाए गए खेल से, लक्ष्य पर निशाना लगने के बाद प्रतिद्वंद्वी की भूमिका क्या होती है?</v>
      </c>
      <c r="J76" s="8" t="str">
        <f>IFERROR(__xludf.DUMMYFUNCTION("GOOGLETRANSLATE(D76, ""en"", ""hi"")"),"क) लक्ष्य को पकड़ने का प्रयास करना, ख) स्ट्राइकर की ओर दौड़ना, ग) लक्ष्य को पुनः प्राप्त करना, घ) अंक अर्जित करना")</f>
        <v>क) लक्ष्य को पकड़ने का प्रयास करना, ख) स्ट्राइकर की ओर दौड़ना, ग) लक्ष्य को पुनः प्राप्त करना, घ) अंक अर्जित करना</v>
      </c>
      <c r="K76" s="8" t="str">
        <f>IFERROR(__xludf.DUMMYFUNCTION("GOOGLETRANSLATE(E76, ""en"", ""hi"")"),"क) लक्ष्य को पकड़ने का प्रयास करना")</f>
        <v>क) लक्ष्य को पकड़ने का प्रयास करना</v>
      </c>
    </row>
    <row r="77" ht="22.5" customHeight="1">
      <c r="A77" s="2">
        <v>76.0</v>
      </c>
      <c r="B77" s="3" t="s">
        <v>4752</v>
      </c>
      <c r="C77" s="3" t="s">
        <v>4762</v>
      </c>
      <c r="D77" s="3" t="s">
        <v>4763</v>
      </c>
      <c r="E77" s="3" t="s">
        <v>4764</v>
      </c>
      <c r="G77" s="8" t="str">
        <f>IFERROR(__xludf.DUMMYFUNCTION("GOOGLETRANSLATE(A77, ""en"", ""hi"")"),"76")</f>
        <v>76</v>
      </c>
      <c r="H77" s="8" t="str">
        <f>IFERROR(__xludf.DUMMYFUNCTION("GOOGLETRANSLATE(B77, ""en"", ""hi"")"),"गिल्ली_डंडा_19")</f>
        <v>गिल्ली_डंडा_19</v>
      </c>
      <c r="I77" s="8" t="str">
        <f>IFERROR(__xludf.DUMMYFUNCTION("GOOGLETRANSLATE(C77, ""en"", ""hi"")"),"चित्र में दिखाए गए खेल से, छड़ी की लंबाई का क्या महत्व है?")</f>
        <v>चित्र में दिखाए गए खेल से, छड़ी की लंबाई का क्या महत्व है?</v>
      </c>
      <c r="J77" s="8" t="str">
        <f>IFERROR(__xludf.DUMMYFUNCTION("GOOGLETRANSLATE(D77, ""en"", ""hi"")"),"a) यह स्विंग की शक्ति को प्रभावित करता है, b) यह लक्ष्य की ऊंचाई निर्धारित करता है, c) यह खिलाड़ी के कौशल का माप है, d) इसका उपयोग सीमाओं को चिह्नित करने के लिए किया जाता है")</f>
        <v>a) यह स्विंग की शक्ति को प्रभावित करता है, b) यह लक्ष्य की ऊंचाई निर्धारित करता है, c) यह खिलाड़ी के कौशल का माप है, d) इसका उपयोग सीमाओं को चिह्नित करने के लिए किया जाता है</v>
      </c>
      <c r="K77" s="8" t="str">
        <f>IFERROR(__xludf.DUMMYFUNCTION("GOOGLETRANSLATE(E77, ""en"", ""hi"")"),"a) यह स्विंग की शक्ति को प्रभावित करता है")</f>
        <v>a) यह स्विंग की शक्ति को प्रभावित करता है</v>
      </c>
    </row>
    <row r="78" ht="22.5" customHeight="1">
      <c r="A78" s="2">
        <v>77.0</v>
      </c>
      <c r="B78" s="3" t="s">
        <v>4765</v>
      </c>
      <c r="C78" s="3" t="s">
        <v>4766</v>
      </c>
      <c r="D78" s="3" t="s">
        <v>4767</v>
      </c>
      <c r="E78" s="3" t="s">
        <v>4768</v>
      </c>
      <c r="G78" s="8" t="str">
        <f>IFERROR(__xludf.DUMMYFUNCTION("GOOGLETRANSLATE(A78, ""en"", ""hi"")"),"77")</f>
        <v>77</v>
      </c>
      <c r="H78" s="8" t="str">
        <f>IFERROR(__xludf.DUMMYFUNCTION("GOOGLETRANSLATE(B78, ""en"", ""hi"")"),"गिल्ली_डंडा_20")</f>
        <v>गिल्ली_डंडा_20</v>
      </c>
      <c r="I78" s="8" t="str">
        <f>IFERROR(__xludf.DUMMYFUNCTION("GOOGLETRANSLATE(C78, ""en"", ""hi"")"),"चित्र में दिखाए गए खेल के अनुसार, लक्ष्य पर निशाना लगाने के बाद खिलाड़ी को क्या करने से बचना चाहिए?")</f>
        <v>चित्र में दिखाए गए खेल के अनुसार, लक्ष्य पर निशाना लगाने के बाद खिलाड़ी को क्या करने से बचना चाहिए?</v>
      </c>
      <c r="J78" s="8" t="str">
        <f>IFERROR(__xludf.DUMMYFUNCTION("GOOGLETRANSLATE(D78, ""en"", ""hi"")"),"क) लक्ष्य को देखते हुए, ख) बहुत तेजी से आगे बढ़ना, ग) लक्ष्य के पीछे दौड़ना, घ) प्रतिद्वंद्वी को देखते हुए")</f>
        <v>क) लक्ष्य को देखते हुए, ख) बहुत तेजी से आगे बढ़ना, ग) लक्ष्य के पीछे दौड़ना, घ) प्रतिद्वंद्वी को देखते हुए</v>
      </c>
      <c r="K78" s="8" t="str">
        <f>IFERROR(__xludf.DUMMYFUNCTION("GOOGLETRANSLATE(E78, ""en"", ""hi"")"),"ग) लक्ष्य के पीछे दौड़ना")</f>
        <v>ग) लक्ष्य के पीछे दौड़ना</v>
      </c>
    </row>
    <row r="79" ht="22.5" customHeight="1">
      <c r="A79" s="2">
        <v>78.0</v>
      </c>
      <c r="B79" s="3" t="s">
        <v>4765</v>
      </c>
      <c r="C79" s="3" t="s">
        <v>4769</v>
      </c>
      <c r="D79" s="3" t="s">
        <v>4770</v>
      </c>
      <c r="E79" s="3" t="s">
        <v>4771</v>
      </c>
      <c r="G79" s="8" t="str">
        <f>IFERROR(__xludf.DUMMYFUNCTION("GOOGLETRANSLATE(A79, ""en"", ""hi"")"),"78")</f>
        <v>78</v>
      </c>
      <c r="H79" s="8" t="str">
        <f>IFERROR(__xludf.DUMMYFUNCTION("GOOGLETRANSLATE(B79, ""en"", ""hi"")"),"गिल्ली_डंडा_20")</f>
        <v>गिल्ली_डंडा_20</v>
      </c>
      <c r="I79" s="8" t="str">
        <f>IFERROR(__xludf.DUMMYFUNCTION("GOOGLETRANSLATE(C79, ""en"", ""hi"")"),"चित्र में दिखाए गए खेल से, हिट की दिशा तय करने में मुख्य कारक क्या है?")</f>
        <v>चित्र में दिखाए गए खेल से, हिट की दिशा तय करने में मुख्य कारक क्या है?</v>
      </c>
      <c r="J79" s="8" t="str">
        <f>IFERROR(__xludf.DUMMYFUNCTION("GOOGLETRANSLATE(D79, ""en"", ""hi"")"),"क) प्रतिद्वंद्वी की स्थिति, ख) मौसम की स्थिति, ग) लक्ष्य का आकार, घ) खेल के मैदान का आकार")</f>
        <v>क) प्रतिद्वंद्वी की स्थिति, ख) मौसम की स्थिति, ग) लक्ष्य का आकार, घ) खेल के मैदान का आकार</v>
      </c>
      <c r="K79" s="8" t="str">
        <f>IFERROR(__xludf.DUMMYFUNCTION("GOOGLETRANSLATE(E79, ""en"", ""hi"")"),"क) प्रतिद्वंद्वी की स्थिति")</f>
        <v>क) प्रतिद्वंद्वी की स्थिति</v>
      </c>
    </row>
    <row r="80" ht="22.5" customHeight="1">
      <c r="A80" s="2">
        <v>79.0</v>
      </c>
      <c r="B80" s="3" t="s">
        <v>4765</v>
      </c>
      <c r="C80" s="3" t="s">
        <v>4772</v>
      </c>
      <c r="D80" s="3" t="s">
        <v>4773</v>
      </c>
      <c r="E80" s="3" t="s">
        <v>4774</v>
      </c>
      <c r="G80" s="8" t="str">
        <f>IFERROR(__xludf.DUMMYFUNCTION("GOOGLETRANSLATE(A80, ""en"", ""hi"")"),"79")</f>
        <v>79</v>
      </c>
      <c r="H80" s="8" t="str">
        <f>IFERROR(__xludf.DUMMYFUNCTION("GOOGLETRANSLATE(B80, ""en"", ""hi"")"),"गिल्ली_डंडा_20")</f>
        <v>गिल्ली_डंडा_20</v>
      </c>
      <c r="I80" s="8" t="str">
        <f>IFERROR(__xludf.DUMMYFUNCTION("GOOGLETRANSLATE(C80, ""en"", ""hi"")"),"चित्र में दिखाए गए खेल के अनुसार, यदि प्रतिद्वंद्वी लक्ष्य पकड़ लेता है तो स्ट्राइकर को क्या करना चाहिए?")</f>
        <v>चित्र में दिखाए गए खेल के अनुसार, यदि प्रतिद्वंद्वी लक्ष्य पकड़ लेता है तो स्ट्राइकर को क्या करना चाहिए?</v>
      </c>
      <c r="J80" s="8" t="str">
        <f>IFERROR(__xludf.DUMMYFUNCTION("GOOGLETRANSLATE(D80, ""en"", ""hi"")"),"a) दूसरी बारी लेना, b) भूमिकाएँ बदलना, c) अंक गँवाना, d) खेलना जारी रखना")</f>
        <v>a) दूसरी बारी लेना, b) भूमिकाएँ बदलना, c) अंक गँवाना, d) खेलना जारी रखना</v>
      </c>
      <c r="K80" s="8" t="str">
        <f>IFERROR(__xludf.DUMMYFUNCTION("GOOGLETRANSLATE(E80, ""en"", ""hi"")"),"b) भूमिकाएँ बदलें")</f>
        <v>b) भूमिकाएँ बदलें</v>
      </c>
    </row>
    <row r="81" ht="22.5" customHeight="1">
      <c r="A81" s="2">
        <v>80.0</v>
      </c>
      <c r="B81" s="3" t="s">
        <v>4765</v>
      </c>
      <c r="C81" s="3" t="s">
        <v>4775</v>
      </c>
      <c r="D81" s="3" t="s">
        <v>4776</v>
      </c>
      <c r="E81" s="3" t="s">
        <v>4777</v>
      </c>
      <c r="G81" s="8" t="str">
        <f>IFERROR(__xludf.DUMMYFUNCTION("GOOGLETRANSLATE(A81, ""en"", ""hi"")"),"80")</f>
        <v>80</v>
      </c>
      <c r="H81" s="8" t="str">
        <f>IFERROR(__xludf.DUMMYFUNCTION("GOOGLETRANSLATE(B81, ""en"", ""hi"")"),"गिल्ली_डंडा_20")</f>
        <v>गिल्ली_डंडा_20</v>
      </c>
      <c r="I81" s="8" t="str">
        <f>IFERROR(__xludf.DUMMYFUNCTION("GOOGLETRANSLATE(C81, ""en"", ""hi"")"),"चित्र में दिखाए गए खेल से, मारने से पहले छोटी छड़ी की क्या भूमिका होती है?")</f>
        <v>चित्र में दिखाए गए खेल से, मारने से पहले छोटी छड़ी की क्या भूमिका होती है?</v>
      </c>
      <c r="J81" s="8" t="str">
        <f>IFERROR(__xludf.DUMMYFUNCTION("GOOGLETRANSLATE(D81, ""en"", ""hi"")"),"क) ज़मीन पर संतुलित होना, ख) हवा में उछाला जाना, ग) गड्ढे में रखा जाना, घ) प्रतिद्वंद्वी द्वारा पकड़ा जाना")</f>
        <v>क) ज़मीन पर संतुलित होना, ख) हवा में उछाला जाना, ग) गड्ढे में रखा जाना, घ) प्रतिद्वंद्वी द्वारा पकड़ा जाना</v>
      </c>
      <c r="K81" s="8" t="str">
        <f>IFERROR(__xludf.DUMMYFUNCTION("GOOGLETRANSLATE(E81, ""en"", ""hi"")"),"ग) एक छेद में रखा जाना")</f>
        <v>ग) एक छेद में रखा जाना</v>
      </c>
    </row>
    <row r="82" ht="22.5" customHeight="1">
      <c r="A82" s="2">
        <v>81.0</v>
      </c>
      <c r="B82" s="3" t="s">
        <v>4778</v>
      </c>
      <c r="C82" s="3" t="s">
        <v>4779</v>
      </c>
      <c r="D82" s="3" t="s">
        <v>4780</v>
      </c>
      <c r="E82" s="3" t="s">
        <v>4781</v>
      </c>
      <c r="G82" s="8" t="str">
        <f>IFERROR(__xludf.DUMMYFUNCTION("GOOGLETRANSLATE(A82, ""en"", ""hi"")"),"81")</f>
        <v>81</v>
      </c>
      <c r="H82" s="8" t="str">
        <f>IFERROR(__xludf.DUMMYFUNCTION("GOOGLETRANSLATE(B82, ""en"", ""hi"")"),"गिल्ली_डंडा_21")</f>
        <v>गिल्ली_डंडा_21</v>
      </c>
      <c r="I82" s="8" t="str">
        <f>IFERROR(__xludf.DUMMYFUNCTION("GOOGLETRANSLATE(C82, ""en"", ""hi"")"),"चित्र में दिखाए गए खेल से, खेल क्षेत्र के आकार का क्या महत्व है?")</f>
        <v>चित्र में दिखाए गए खेल से, खेल क्षेत्र के आकार का क्या महत्व है?</v>
      </c>
      <c r="J82" s="8" t="str">
        <f>IFERROR(__xludf.DUMMYFUNCTION("GOOGLETRANSLATE(D82, ""en"", ""hi"")"),"क) यह कठिनाई निर्धारित करता है, ख) यह स्कोरिंग को प्रभावित करता है, ग) यह खिलाड़ियों की संख्या को सीमित करता है, घ) यह खेल की अवधि को प्रभावित करता है")</f>
        <v>क) यह कठिनाई निर्धारित करता है, ख) यह स्कोरिंग को प्रभावित करता है, ग) यह खिलाड़ियों की संख्या को सीमित करता है, घ) यह खेल की अवधि को प्रभावित करता है</v>
      </c>
      <c r="K82" s="8" t="str">
        <f>IFERROR(__xludf.DUMMYFUNCTION("GOOGLETRANSLATE(E82, ""en"", ""hi"")"),"a) यह कठिनाई निर्धारित करता है")</f>
        <v>a) यह कठिनाई निर्धारित करता है</v>
      </c>
    </row>
    <row r="83" ht="22.5" customHeight="1">
      <c r="A83" s="2">
        <v>82.0</v>
      </c>
      <c r="B83" s="3" t="s">
        <v>4778</v>
      </c>
      <c r="C83" s="3" t="s">
        <v>4782</v>
      </c>
      <c r="D83" s="3" t="s">
        <v>4783</v>
      </c>
      <c r="E83" s="3" t="s">
        <v>4784</v>
      </c>
      <c r="G83" s="8" t="str">
        <f>IFERROR(__xludf.DUMMYFUNCTION("GOOGLETRANSLATE(A83, ""en"", ""hi"")"),"82")</f>
        <v>82</v>
      </c>
      <c r="H83" s="8" t="str">
        <f>IFERROR(__xludf.DUMMYFUNCTION("GOOGLETRANSLATE(B83, ""en"", ""hi"")"),"गिल्ली_डंडा_21")</f>
        <v>गिल्ली_डंडा_21</v>
      </c>
      <c r="I83" s="8" t="str">
        <f>IFERROR(__xludf.DUMMYFUNCTION("GOOGLETRANSLATE(C83, ""en"", ""hi"")"),"चित्र में दिखाए गए खेल से, प्रतिद्वंद्वी से बचने की सामान्य रणनीति क्या है?")</f>
        <v>चित्र में दिखाए गए खेल से, प्रतिद्वंद्वी से बचने की सामान्य रणनीति क्या है?</v>
      </c>
      <c r="J83" s="8" t="str">
        <f>IFERROR(__xludf.DUMMYFUNCTION("GOOGLETRANSLATE(D83, ""en"", ""hi"")"),"क) अप्रत्याशित दिशा में लक्ष्य पर प्रहार करना, ख) पूरी ताकत से छड़ी को घुमाना, ग) तेजी से भागना, घ) प्रतिद्वंद्वी का ध्यान भटकाना")</f>
        <v>क) अप्रत्याशित दिशा में लक्ष्य पर प्रहार करना, ख) पूरी ताकत से छड़ी को घुमाना, ग) तेजी से भागना, घ) प्रतिद्वंद्वी का ध्यान भटकाना</v>
      </c>
      <c r="K83" s="8" t="str">
        <f>IFERROR(__xludf.DUMMYFUNCTION("GOOGLETRANSLATE(E83, ""en"", ""hi"")"),"क) अप्रत्याशित दिशा में लक्ष्य पर प्रहार करना")</f>
        <v>क) अप्रत्याशित दिशा में लक्ष्य पर प्रहार करना</v>
      </c>
    </row>
    <row r="84" ht="22.5" customHeight="1">
      <c r="A84" s="2">
        <v>83.0</v>
      </c>
      <c r="B84" s="3" t="s">
        <v>4778</v>
      </c>
      <c r="C84" s="3" t="s">
        <v>4785</v>
      </c>
      <c r="D84" s="3" t="s">
        <v>4786</v>
      </c>
      <c r="E84" s="3" t="s">
        <v>4787</v>
      </c>
      <c r="G84" s="8" t="str">
        <f>IFERROR(__xludf.DUMMYFUNCTION("GOOGLETRANSLATE(A84, ""en"", ""hi"")"),"83")</f>
        <v>83</v>
      </c>
      <c r="H84" s="8" t="str">
        <f>IFERROR(__xludf.DUMMYFUNCTION("GOOGLETRANSLATE(B84, ""en"", ""hi"")"),"गिल्ली_डंडा_21")</f>
        <v>गिल्ली_डंडा_21</v>
      </c>
      <c r="I84" s="8" t="str">
        <f>IFERROR(__xludf.DUMMYFUNCTION("GOOGLETRANSLATE(C84, ""en"", ""hi"")"),"चित्र में दिखाए गए खेल के आधार पर, स्ट्राइकर स्विंग करने का सर्वोत्तम समय कैसे तय करता है?")</f>
        <v>चित्र में दिखाए गए खेल के आधार पर, स्ट्राइकर स्विंग करने का सर्वोत्तम समय कैसे तय करता है?</v>
      </c>
      <c r="J84" s="8" t="str">
        <f>IFERROR(__xludf.DUMMYFUNCTION("GOOGLETRANSLATE(D84, ""en"", ""hi"")"),"क) लक्ष्य की स्थिति देखकर, ख) प्रतिद्वंद्वी की तत्परता का आकलन करके, ग) हवा की दिशा महसूस करके, घ) तीन तक गिनकर")</f>
        <v>क) लक्ष्य की स्थिति देखकर, ख) प्रतिद्वंद्वी की तत्परता का आकलन करके, ग) हवा की दिशा महसूस करके, घ) तीन तक गिनकर</v>
      </c>
      <c r="K84" s="8" t="str">
        <f>IFERROR(__xludf.DUMMYFUNCTION("GOOGLETRANSLATE(E84, ""en"", ""hi"")"),"a) लक्ष्य की स्थिति को देखकर")</f>
        <v>a) लक्ष्य की स्थिति को देखकर</v>
      </c>
    </row>
    <row r="85" ht="22.5" customHeight="1">
      <c r="A85" s="2">
        <v>84.0</v>
      </c>
      <c r="B85" s="3" t="s">
        <v>4778</v>
      </c>
      <c r="C85" s="3" t="s">
        <v>4788</v>
      </c>
      <c r="D85" s="3" t="s">
        <v>4789</v>
      </c>
      <c r="E85" s="3" t="s">
        <v>4790</v>
      </c>
      <c r="G85" s="8" t="str">
        <f>IFERROR(__xludf.DUMMYFUNCTION("GOOGLETRANSLATE(A85, ""en"", ""hi"")"),"84")</f>
        <v>84</v>
      </c>
      <c r="H85" s="8" t="str">
        <f>IFERROR(__xludf.DUMMYFUNCTION("GOOGLETRANSLATE(B85, ""en"", ""hi"")"),"गिल्ली_डंडा_21")</f>
        <v>गिल्ली_डंडा_21</v>
      </c>
      <c r="I85" s="8" t="str">
        <f>IFERROR(__xludf.DUMMYFUNCTION("GOOGLETRANSLATE(C85, ""en"", ""hi"")"),"चित्र में दिखाए गए खेल से, लंबी हिट हासिल करने में महत्वपूर्ण कारक क्या है?")</f>
        <v>चित्र में दिखाए गए खेल से, लंबी हिट हासिल करने में महत्वपूर्ण कारक क्या है?</v>
      </c>
      <c r="J85" s="8" t="str">
        <f>IFERROR(__xludf.DUMMYFUNCTION("GOOGLETRANSLATE(D85, ""en"", ""hi"")"),"क) सही समय पर वार करना, ख) भारी छड़ी का प्रयोग करना, ग) लक्ष्य को नीचे रखना, घ) जमीन की ओर निशाना लगाना")</f>
        <v>क) सही समय पर वार करना, ख) भारी छड़ी का प्रयोग करना, ग) लक्ष्य को नीचे रखना, घ) जमीन की ओर निशाना लगाना</v>
      </c>
      <c r="K85" s="8" t="str">
        <f>IFERROR(__xludf.DUMMYFUNCTION("GOOGLETRANSLATE(E85, ""en"", ""hi"")"),"a) स्विंग का सही समय पर होना")</f>
        <v>a) स्विंग का सही समय पर होना</v>
      </c>
    </row>
    <row r="86" ht="22.5" customHeight="1">
      <c r="A86" s="2">
        <v>85.0</v>
      </c>
      <c r="B86" s="3" t="s">
        <v>4791</v>
      </c>
      <c r="C86" s="3" t="s">
        <v>4792</v>
      </c>
      <c r="D86" s="3" t="s">
        <v>4793</v>
      </c>
      <c r="E86" s="3" t="s">
        <v>4794</v>
      </c>
      <c r="G86" s="8" t="str">
        <f>IFERROR(__xludf.DUMMYFUNCTION("GOOGLETRANSLATE(A86, ""en"", ""hi"")"),"85")</f>
        <v>85</v>
      </c>
      <c r="H86" s="8" t="str">
        <f>IFERROR(__xludf.DUMMYFUNCTION("GOOGLETRANSLATE(B86, ""en"", ""hi"")"),"गिल्ली_डंडा_22")</f>
        <v>गिल्ली_डंडा_22</v>
      </c>
      <c r="I86" s="8" t="str">
        <f>IFERROR(__xludf.DUMMYFUNCTION("GOOGLETRANSLATE(C86, ""en"", ""hi"")"),"चित्र में दिखाए गए खेल के अनुसार, जब लक्ष्य हवा में हो तो प्रतिद्वंद्वी को किस पर ध्यान केंद्रित करना चाहिए?")</f>
        <v>चित्र में दिखाए गए खेल के अनुसार, जब लक्ष्य हवा में हो तो प्रतिद्वंद्वी को किस पर ध्यान केंद्रित करना चाहिए?</v>
      </c>
      <c r="J86" s="8" t="str">
        <f>IFERROR(__xludf.DUMMYFUNCTION("GOOGLETRANSLATE(D86, ""en"", ""hi"")"),"क) लक्ष्य का प्रक्षेप पथ, ख) हमलावर की अगली चाल, ग) आसपास का वातावरण, घ) सीमा तक की दूरी")</f>
        <v>क) लक्ष्य का प्रक्षेप पथ, ख) हमलावर की अगली चाल, ग) आसपास का वातावरण, घ) सीमा तक की दूरी</v>
      </c>
      <c r="K86" s="8" t="str">
        <f>IFERROR(__xludf.DUMMYFUNCTION("GOOGLETRANSLATE(E86, ""en"", ""hi"")"),"a) लक्ष्य का प्रक्षेप पथ")</f>
        <v>a) लक्ष्य का प्रक्षेप पथ</v>
      </c>
    </row>
    <row r="87" ht="22.5" customHeight="1">
      <c r="A87" s="2">
        <v>86.0</v>
      </c>
      <c r="B87" s="3" t="s">
        <v>4791</v>
      </c>
      <c r="C87" s="3" t="s">
        <v>4795</v>
      </c>
      <c r="D87" s="3" t="s">
        <v>4796</v>
      </c>
      <c r="E87" s="3" t="s">
        <v>4797</v>
      </c>
      <c r="G87" s="8" t="str">
        <f>IFERROR(__xludf.DUMMYFUNCTION("GOOGLETRANSLATE(A87, ""en"", ""hi"")"),"86")</f>
        <v>86</v>
      </c>
      <c r="H87" s="8" t="str">
        <f>IFERROR(__xludf.DUMMYFUNCTION("GOOGLETRANSLATE(B87, ""en"", ""hi"")"),"गिल्ली_डंडा_22")</f>
        <v>गिल्ली_डंडा_22</v>
      </c>
      <c r="I87" s="8" t="str">
        <f>IFERROR(__xludf.DUMMYFUNCTION("GOOGLETRANSLATE(C87, ""en"", ""hi"")"),"चित्र में दिखाए गए खेल के अनुसार, यदि स्ट्राइकर लक्ष्य पर निशाना लगाने में असफल हो जाए तो क्या होगा?")</f>
        <v>चित्र में दिखाए गए खेल के अनुसार, यदि स्ट्राइकर लक्ष्य पर निशाना लगाने में असफल हो जाए तो क्या होगा?</v>
      </c>
      <c r="J87" s="8" t="str">
        <f>IFERROR(__xludf.DUMMYFUNCTION("GOOGLETRANSLATE(D87, ""en"", ""hi"")"),"a) बारी समाप्त हो जाती है, b) प्रतिद्वंद्वी नियंत्रण ले लेता है, c) स्ट्राइकर पुनः प्रयास करता है, d) लक्ष्य पुनः निर्धारित हो जाता है")</f>
        <v>a) बारी समाप्त हो जाती है, b) प्रतिद्वंद्वी नियंत्रण ले लेता है, c) स्ट्राइकर पुनः प्रयास करता है, d) लक्ष्य पुनः निर्धारित हो जाता है</v>
      </c>
      <c r="K87" s="8" t="str">
        <f>IFERROR(__xludf.DUMMYFUNCTION("GOOGLETRANSLATE(E87, ""en"", ""hi"")"),"a) बारी समाप्त होती है")</f>
        <v>a) बारी समाप्त होती है</v>
      </c>
    </row>
    <row r="88" ht="22.5" customHeight="1">
      <c r="A88" s="2">
        <v>87.0</v>
      </c>
      <c r="B88" s="3" t="s">
        <v>4791</v>
      </c>
      <c r="C88" s="3" t="s">
        <v>4798</v>
      </c>
      <c r="D88" s="3" t="s">
        <v>4799</v>
      </c>
      <c r="E88" s="3" t="s">
        <v>4800</v>
      </c>
      <c r="G88" s="8" t="str">
        <f>IFERROR(__xludf.DUMMYFUNCTION("GOOGLETRANSLATE(A88, ""en"", ""hi"")"),"87")</f>
        <v>87</v>
      </c>
      <c r="H88" s="8" t="str">
        <f>IFERROR(__xludf.DUMMYFUNCTION("GOOGLETRANSLATE(B88, ""en"", ""hi"")"),"गिल्ली_डंडा_22")</f>
        <v>गिल्ली_डंडा_22</v>
      </c>
      <c r="I88" s="8" t="str">
        <f>IFERROR(__xludf.DUMMYFUNCTION("GOOGLETRANSLATE(C88, ""en"", ""hi"")"),"चित्र में दिखाए गए खेल से, निशाना लगाने से पहले लक्ष्य को एक विशिष्ट कोण पर रखने का उद्देश्य क्या है?")</f>
        <v>चित्र में दिखाए गए खेल से, निशाना लगाने से पहले लक्ष्य को एक विशिष्ट कोण पर रखने का उद्देश्य क्या है?</v>
      </c>
      <c r="J88" s="8" t="str">
        <f>IFERROR(__xludf.DUMMYFUNCTION("GOOGLETRANSLATE(D88, ""en"", ""hi"")"),"क) दिशा को नियंत्रित करने के लिए, ख) शक्ति बढ़ाने के लिए, ग) प्रतिद्वंद्वी को भ्रमित करने के लिए, घ) टूटने के जोखिम को कम करने के लिए")</f>
        <v>क) दिशा को नियंत्रित करने के लिए, ख) शक्ति बढ़ाने के लिए, ग) प्रतिद्वंद्वी को भ्रमित करने के लिए, घ) टूटने के जोखिम को कम करने के लिए</v>
      </c>
      <c r="K88" s="8" t="str">
        <f>IFERROR(__xludf.DUMMYFUNCTION("GOOGLETRANSLATE(E88, ""en"", ""hi"")"),"a) दिशा को नियंत्रित करने के लिए")</f>
        <v>a) दिशा को नियंत्रित करने के लिए</v>
      </c>
    </row>
    <row r="89" ht="22.5" customHeight="1">
      <c r="A89" s="2">
        <v>88.0</v>
      </c>
      <c r="B89" s="3" t="s">
        <v>4791</v>
      </c>
      <c r="C89" s="3" t="s">
        <v>4801</v>
      </c>
      <c r="D89" s="3" t="s">
        <v>4802</v>
      </c>
      <c r="E89" s="3" t="s">
        <v>4803</v>
      </c>
      <c r="G89" s="8" t="str">
        <f>IFERROR(__xludf.DUMMYFUNCTION("GOOGLETRANSLATE(A89, ""en"", ""hi"")"),"88")</f>
        <v>88</v>
      </c>
      <c r="H89" s="8" t="str">
        <f>IFERROR(__xludf.DUMMYFUNCTION("GOOGLETRANSLATE(B89, ""en"", ""hi"")"),"गिल्ली_डंडा_22")</f>
        <v>गिल्ली_डंडा_22</v>
      </c>
      <c r="I89" s="8" t="str">
        <f>IFERROR(__xludf.DUMMYFUNCTION("GOOGLETRANSLATE(C89, ""en"", ""hi"")"),"चित्र में दिखाए गए खेल से, स्ट्राइकर सफल हिट के लिए कैसे तैयारी करता है?")</f>
        <v>चित्र में दिखाए गए खेल से, स्ट्राइकर सफल हिट के लिए कैसे तैयारी करता है?</v>
      </c>
      <c r="J89" s="8" t="str">
        <f>IFERROR(__xludf.DUMMYFUNCTION("GOOGLETRANSLATE(D89, ""en"", ""hi"")"),"क) लक्ष्य पर ध्यान केंद्रित करके, ख) प्रतिद्वंद्वी का विश्लेषण करके, ग) स्विंग का अभ्यास करके, घ) दूरी मापकर")</f>
        <v>क) लक्ष्य पर ध्यान केंद्रित करके, ख) प्रतिद्वंद्वी का विश्लेषण करके, ग) स्विंग का अभ्यास करके, घ) दूरी मापकर</v>
      </c>
      <c r="K89" s="8" t="str">
        <f>IFERROR(__xludf.DUMMYFUNCTION("GOOGLETRANSLATE(E89, ""en"", ""hi"")"),"a) लक्ष्य पर ध्यान केंद्रित करके")</f>
        <v>a) लक्ष्य पर ध्यान केंद्रित करके</v>
      </c>
    </row>
    <row r="90" ht="22.5" customHeight="1">
      <c r="A90" s="2">
        <v>89.0</v>
      </c>
      <c r="B90" s="3" t="s">
        <v>4804</v>
      </c>
      <c r="C90" s="3" t="s">
        <v>4805</v>
      </c>
      <c r="D90" s="3" t="s">
        <v>4806</v>
      </c>
      <c r="E90" s="3" t="s">
        <v>4807</v>
      </c>
      <c r="G90" s="8" t="str">
        <f>IFERROR(__xludf.DUMMYFUNCTION("GOOGLETRANSLATE(A90, ""en"", ""hi"")"),"89")</f>
        <v>89</v>
      </c>
      <c r="H90" s="8" t="str">
        <f>IFERROR(__xludf.DUMMYFUNCTION("GOOGLETRANSLATE(B90, ""en"", ""hi"")"),"गिल्ली_डंडा_23")</f>
        <v>गिल्ली_डंडा_23</v>
      </c>
      <c r="I90" s="8" t="str">
        <f>IFERROR(__xludf.DUMMYFUNCTION("GOOGLETRANSLATE(C90, ""en"", ""hi"")"),"चित्र में दिखाए गए खेल से, लक्ष्य के आकार का क्या महत्व है?")</f>
        <v>चित्र में दिखाए गए खेल से, लक्ष्य के आकार का क्या महत्व है?</v>
      </c>
      <c r="J90" s="8" t="str">
        <f>IFERROR(__xludf.DUMMYFUNCTION("GOOGLETRANSLATE(D90, ""en"", ""hi"")"),"a) यह उड़ान पथ को प्रभावित करता है, b) यह स्कोरिंग को प्रभावित करता है, c) यह स्विंग तकनीक को निर्धारित करता है, d) यह टर्न के अंत का संकेत देता है")</f>
        <v>a) यह उड़ान पथ को प्रभावित करता है, b) यह स्कोरिंग को प्रभावित करता है, c) यह स्विंग तकनीक को निर्धारित करता है, d) यह टर्न के अंत का संकेत देता है</v>
      </c>
      <c r="K90" s="8" t="str">
        <f>IFERROR(__xludf.DUMMYFUNCTION("GOOGLETRANSLATE(E90, ""en"", ""hi"")"),"a) यह उड़ान पथ को प्रभावित करता है")</f>
        <v>a) यह उड़ान पथ को प्रभावित करता है</v>
      </c>
    </row>
    <row r="91" ht="22.5" customHeight="1">
      <c r="A91" s="2">
        <v>90.0</v>
      </c>
      <c r="B91" s="3" t="s">
        <v>4804</v>
      </c>
      <c r="C91" s="3" t="s">
        <v>4808</v>
      </c>
      <c r="D91" s="3" t="s">
        <v>4809</v>
      </c>
      <c r="E91" s="3" t="s">
        <v>4810</v>
      </c>
      <c r="G91" s="8" t="str">
        <f>IFERROR(__xludf.DUMMYFUNCTION("GOOGLETRANSLATE(A91, ""en"", ""hi"")"),"90")</f>
        <v>90</v>
      </c>
      <c r="H91" s="8" t="str">
        <f>IFERROR(__xludf.DUMMYFUNCTION("GOOGLETRANSLATE(B91, ""en"", ""hi"")"),"गिल्ली_डंडा_23")</f>
        <v>गिल्ली_डंडा_23</v>
      </c>
      <c r="I91" s="8" t="str">
        <f>IFERROR(__xludf.DUMMYFUNCTION("GOOGLETRANSLATE(C91, ""en"", ""hi"")"),"चित्र में दिखाए गए खेल के अनुसार, लक्ष्य पर निशाना लगने के बाद प्रतिद्वंद्वी को क्या करना चाहिए?")</f>
        <v>चित्र में दिखाए गए खेल के अनुसार, लक्ष्य पर निशाना लगने के बाद प्रतिद्वंद्वी को क्या करना चाहिए?</v>
      </c>
      <c r="J91" s="8" t="str">
        <f>IFERROR(__xludf.DUMMYFUNCTION("GOOGLETRANSLATE(D91, ""en"", ""hi"")"),"क) उसे पकड़ने का प्रयास करें, ख) बेस की ओर दौड़ें, ग) स्ट्राइकर को रोकें, घ) अगली बारी का इंतजार करें")</f>
        <v>क) उसे पकड़ने का प्रयास करें, ख) बेस की ओर दौड़ें, ग) स्ट्राइकर को रोकें, घ) अगली बारी का इंतजार करें</v>
      </c>
      <c r="K91" s="8" t="str">
        <f>IFERROR(__xludf.DUMMYFUNCTION("GOOGLETRANSLATE(E91, ""en"", ""hi"")"),"a) इसे पकड़ने का प्रयास करें")</f>
        <v>a) इसे पकड़ने का प्रयास करें</v>
      </c>
    </row>
    <row r="92" ht="22.5" customHeight="1">
      <c r="A92" s="2">
        <v>91.0</v>
      </c>
      <c r="B92" s="3" t="s">
        <v>4804</v>
      </c>
      <c r="C92" s="3" t="s">
        <v>4811</v>
      </c>
      <c r="D92" s="3" t="s">
        <v>4812</v>
      </c>
      <c r="E92" s="3" t="s">
        <v>4813</v>
      </c>
      <c r="G92" s="8" t="str">
        <f>IFERROR(__xludf.DUMMYFUNCTION("GOOGLETRANSLATE(A92, ""en"", ""hi"")"),"91")</f>
        <v>91</v>
      </c>
      <c r="H92" s="8" t="str">
        <f>IFERROR(__xludf.DUMMYFUNCTION("GOOGLETRANSLATE(B92, ""en"", ""hi"")"),"गिल्ली_डंडा_23")</f>
        <v>गिल्ली_डंडा_23</v>
      </c>
      <c r="I92" s="8" t="str">
        <f>IFERROR(__xludf.DUMMYFUNCTION("GOOGLETRANSLATE(C92, ""en"", ""hi"")"),"चित्र में दिखाए गए खेल के अनुसार, स्ट्राइकर द्वारा की जाने वाली सामान्य त्रुटि क्या है?")</f>
        <v>चित्र में दिखाए गए खेल के अनुसार, स्ट्राइकर द्वारा की जाने वाली सामान्य त्रुटि क्या है?</v>
      </c>
      <c r="J92" s="8" t="str">
        <f>IFERROR(__xludf.DUMMYFUNCTION("GOOGLETRANSLATE(D92, ""en"", ""hi"")"),"क) अधिक स्विंग करना, ख) दूरी को कम आंकना, ग) प्रतिद्वंद्वी पर बहुत अधिक ध्यान केंद्रित करना, घ) लक्ष्य की स्थिति भूल जाना")</f>
        <v>क) अधिक स्विंग करना, ख) दूरी को कम आंकना, ग) प्रतिद्वंद्वी पर बहुत अधिक ध्यान केंद्रित करना, घ) लक्ष्य की स्थिति भूल जाना</v>
      </c>
      <c r="K92" s="8" t="str">
        <f>IFERROR(__xludf.DUMMYFUNCTION("GOOGLETRANSLATE(E92, ""en"", ""hi"")"),"a) ओवर-स्विंगिंग")</f>
        <v>a) ओवर-स्विंगिंग</v>
      </c>
    </row>
    <row r="93" ht="22.5" customHeight="1">
      <c r="A93" s="2">
        <v>92.0</v>
      </c>
      <c r="B93" s="3" t="s">
        <v>4804</v>
      </c>
      <c r="C93" s="3" t="s">
        <v>4814</v>
      </c>
      <c r="D93" s="3" t="s">
        <v>4815</v>
      </c>
      <c r="E93" s="3" t="s">
        <v>4816</v>
      </c>
      <c r="G93" s="8" t="str">
        <f>IFERROR(__xludf.DUMMYFUNCTION("GOOGLETRANSLATE(A93, ""en"", ""hi"")"),"92")</f>
        <v>92</v>
      </c>
      <c r="H93" s="8" t="str">
        <f>IFERROR(__xludf.DUMMYFUNCTION("GOOGLETRANSLATE(B93, ""en"", ""hi"")"),"गिल्ली_डंडा_23")</f>
        <v>गिल्ली_डंडा_23</v>
      </c>
      <c r="I93" s="8" t="str">
        <f>IFERROR(__xludf.DUMMYFUNCTION("GOOGLETRANSLATE(C93, ""en"", ""hi"")"),"चित्र में दिखाए गए खेल से, प्रत्येक खिलाड़ी को मिलने वाली बारी की संख्या का निर्धारण कैसे होता है?")</f>
        <v>चित्र में दिखाए गए खेल से, प्रत्येक खिलाड़ी को मिलने वाली बारी की संख्या का निर्धारण कैसे होता है?</v>
      </c>
      <c r="J93" s="8" t="str">
        <f>IFERROR(__xludf.DUMMYFUNCTION("GOOGLETRANSLATE(D93, ""en"", ""hi"")"),"क) सहमत नियम, ख) लक्ष्य द्वारा तय की गई दूरी, ग) खिलाड़ियों का कौशल स्तर, घ) खेल क्षेत्र का आकार")</f>
        <v>क) सहमत नियम, ख) लक्ष्य द्वारा तय की गई दूरी, ग) खिलाड़ियों का कौशल स्तर, घ) खेल क्षेत्र का आकार</v>
      </c>
      <c r="K93" s="8" t="str">
        <f>IFERROR(__xludf.DUMMYFUNCTION("GOOGLETRANSLATE(E93, ""en"", ""hi"")"),"क) सहमत नियम")</f>
        <v>क) सहमत नियम</v>
      </c>
    </row>
    <row r="94" ht="22.5" customHeight="1">
      <c r="A94" s="2">
        <v>93.0</v>
      </c>
      <c r="B94" s="3" t="s">
        <v>4817</v>
      </c>
      <c r="C94" s="3" t="s">
        <v>4818</v>
      </c>
      <c r="D94" s="3" t="s">
        <v>4819</v>
      </c>
      <c r="E94" s="3" t="s">
        <v>4820</v>
      </c>
      <c r="G94" s="8" t="str">
        <f>IFERROR(__xludf.DUMMYFUNCTION("GOOGLETRANSLATE(A94, ""en"", ""hi"")"),"93")</f>
        <v>93</v>
      </c>
      <c r="H94" s="8" t="str">
        <f>IFERROR(__xludf.DUMMYFUNCTION("GOOGLETRANSLATE(B94, ""en"", ""hi"")"),"गिल्ली_डंडा_24")</f>
        <v>गिल्ली_डंडा_24</v>
      </c>
      <c r="I94" s="8" t="str">
        <f>IFERROR(__xludf.DUMMYFUNCTION("GOOGLETRANSLATE(C94, ""en"", ""hi"")"),"चित्र में दिखाए गए खेल से, खेल के दौरान तेज हवा का क्या प्रभाव पड़ता है?")</f>
        <v>चित्र में दिखाए गए खेल से, खेल के दौरान तेज हवा का क्या प्रभाव पड़ता है?</v>
      </c>
      <c r="J94" s="8" t="str">
        <f>IFERROR(__xludf.DUMMYFUNCTION("GOOGLETRANSLATE(D94, ""en"", ""hi"")"),"क) यह लक्ष्य के प्रक्षेप पथ को बदल देता है, ख) यह खेल को गति देता है, ग) यह स्कोर करना आसान बनाता है, घ) यह स्ट्राइकर को निशाना लगाने में मदद करता है")</f>
        <v>क) यह लक्ष्य के प्रक्षेप पथ को बदल देता है, ख) यह खेल को गति देता है, ग) यह स्कोर करना आसान बनाता है, घ) यह स्ट्राइकर को निशाना लगाने में मदद करता है</v>
      </c>
      <c r="K94" s="8" t="str">
        <f>IFERROR(__xludf.DUMMYFUNCTION("GOOGLETRANSLATE(E94, ""en"", ""hi"")"),"a) यह लक्ष्य के प्रक्षेप पथ को बदल देता है")</f>
        <v>a) यह लक्ष्य के प्रक्षेप पथ को बदल देता है</v>
      </c>
    </row>
    <row r="95" ht="22.5" customHeight="1">
      <c r="A95" s="2">
        <v>94.0</v>
      </c>
      <c r="B95" s="3" t="s">
        <v>4817</v>
      </c>
      <c r="C95" s="3" t="s">
        <v>4821</v>
      </c>
      <c r="D95" s="3" t="s">
        <v>4822</v>
      </c>
      <c r="E95" s="3" t="s">
        <v>4823</v>
      </c>
      <c r="G95" s="8" t="str">
        <f>IFERROR(__xludf.DUMMYFUNCTION("GOOGLETRANSLATE(A95, ""en"", ""hi"")"),"94")</f>
        <v>94</v>
      </c>
      <c r="H95" s="8" t="str">
        <f>IFERROR(__xludf.DUMMYFUNCTION("GOOGLETRANSLATE(B95, ""en"", ""hi"")"),"गिल्ली_डंडा_24")</f>
        <v>गिल्ली_डंडा_24</v>
      </c>
      <c r="I95" s="8" t="str">
        <f>IFERROR(__xludf.DUMMYFUNCTION("GOOGLETRANSLATE(C95, ""en"", ""hi"")"),"चित्र में दिखाए गए खेल से, स्ट्राइकर के लिए शुरुआती बिंदु चिह्नित करने का उद्देश्य क्या है?")</f>
        <v>चित्र में दिखाए गए खेल से, स्ट्राइकर के लिए शुरुआती बिंदु चिह्नित करने का उद्देश्य क्या है?</v>
      </c>
      <c r="J95" s="8" t="str">
        <f>IFERROR(__xludf.DUMMYFUNCTION("GOOGLETRANSLATE(D95, ""en"", ""hi"")"),"क) निष्पक्षता सुनिश्चित करने के लिए, ख) बारी के अंत का संकेत देने के लिए, ग) प्रतिद्वंद्वी को संकेत देने के लिए, घ) निशाना लगाने में मदद करने के लिए")</f>
        <v>क) निष्पक्षता सुनिश्चित करने के लिए, ख) बारी के अंत का संकेत देने के लिए, ग) प्रतिद्वंद्वी को संकेत देने के लिए, घ) निशाना लगाने में मदद करने के लिए</v>
      </c>
      <c r="K95" s="8" t="str">
        <f>IFERROR(__xludf.DUMMYFUNCTION("GOOGLETRANSLATE(E95, ""en"", ""hi"")"),"क) निष्पक्षता सुनिश्चित करने के लिए")</f>
        <v>क) निष्पक्षता सुनिश्चित करने के लिए</v>
      </c>
    </row>
    <row r="96" ht="22.5" customHeight="1">
      <c r="A96" s="2">
        <v>95.0</v>
      </c>
      <c r="B96" s="3" t="s">
        <v>4817</v>
      </c>
      <c r="C96" s="3" t="s">
        <v>4824</v>
      </c>
      <c r="D96" s="3" t="s">
        <v>4825</v>
      </c>
      <c r="E96" s="3" t="s">
        <v>4826</v>
      </c>
      <c r="G96" s="8" t="str">
        <f>IFERROR(__xludf.DUMMYFUNCTION("GOOGLETRANSLATE(A96, ""en"", ""hi"")"),"95")</f>
        <v>95</v>
      </c>
      <c r="H96" s="8" t="str">
        <f>IFERROR(__xludf.DUMMYFUNCTION("GOOGLETRANSLATE(B96, ""en"", ""hi"")"),"गिल्ली_डंडा_24")</f>
        <v>गिल्ली_डंडा_24</v>
      </c>
      <c r="I96" s="8" t="str">
        <f>IFERROR(__xludf.DUMMYFUNCTION("GOOGLETRANSLATE(C96, ""en"", ""hi"")"),"चित्र में दिखाए गए खेल से, स्ट्राइकर को कैसे पता चलता है कि उन्होंने सफल हिट लगाई है?")</f>
        <v>चित्र में दिखाए गए खेल से, स्ट्राइकर को कैसे पता चलता है कि उन्होंने सफल हिट लगाई है?</v>
      </c>
      <c r="J96" s="8" t="str">
        <f>IFERROR(__xludf.DUMMYFUNCTION("GOOGLETRANSLATE(D96, ""en"", ""hi"")"),"क) लक्ष्य द्वारा तय की गई दूरी से, ख) प्रतिद्वंद्वी की प्रतिक्रिया से, ग) टक्कर की ध्वनि से, घ) छड़ी की स्थिति से")</f>
        <v>क) लक्ष्य द्वारा तय की गई दूरी से, ख) प्रतिद्वंद्वी की प्रतिक्रिया से, ग) टक्कर की ध्वनि से, घ) छड़ी की स्थिति से</v>
      </c>
      <c r="K96" s="8" t="str">
        <f>IFERROR(__xludf.DUMMYFUNCTION("GOOGLETRANSLATE(E96, ""en"", ""hi"")"),"a) लक्ष्य द्वारा तय की गई दूरी से")</f>
        <v>a) लक्ष्य द्वारा तय की गई दूरी से</v>
      </c>
    </row>
    <row r="97" ht="22.5" customHeight="1">
      <c r="A97" s="2">
        <v>96.0</v>
      </c>
      <c r="B97" s="3" t="s">
        <v>4817</v>
      </c>
      <c r="C97" s="3" t="s">
        <v>4827</v>
      </c>
      <c r="D97" s="3" t="s">
        <v>4828</v>
      </c>
      <c r="E97" s="3" t="s">
        <v>4829</v>
      </c>
      <c r="G97" s="8" t="str">
        <f>IFERROR(__xludf.DUMMYFUNCTION("GOOGLETRANSLATE(A97, ""en"", ""hi"")"),"96")</f>
        <v>96</v>
      </c>
      <c r="H97" s="8" t="str">
        <f>IFERROR(__xludf.DUMMYFUNCTION("GOOGLETRANSLATE(B97, ""en"", ""hi"")"),"गिल्ली_डंडा_24")</f>
        <v>गिल्ली_डंडा_24</v>
      </c>
      <c r="I97" s="8" t="str">
        <f>IFERROR(__xludf.DUMMYFUNCTION("GOOGLETRANSLATE(C97, ""en"", ""hi"")"),"चित्र में दिखाए गए खेल से, हिट से पहले लक्ष्य की स्थिति का क्या महत्व है?")</f>
        <v>चित्र में दिखाए गए खेल से, हिट से पहले लक्ष्य की स्थिति का क्या महत्व है?</v>
      </c>
      <c r="J97" s="8" t="str">
        <f>IFERROR(__xludf.DUMMYFUNCTION("GOOGLETRANSLATE(D97, ""en"", ""hi"")"),"क) यह हिट के कोण को प्रभावित करता है, ख) यह स्कोर निर्धारित करता है, ग) यह टर्न की शुरुआत का संकेत देता है, घ) यह खेल की अवधि को प्रभावित करता है")</f>
        <v>क) यह हिट के कोण को प्रभावित करता है, ख) यह स्कोर निर्धारित करता है, ग) यह टर्न की शुरुआत का संकेत देता है, घ) यह खेल की अवधि को प्रभावित करता है</v>
      </c>
      <c r="K97" s="8" t="str">
        <f>IFERROR(__xludf.DUMMYFUNCTION("GOOGLETRANSLATE(E97, ""en"", ""hi"")"),"a) यह हिट के कोण को प्रभावित करता है")</f>
        <v>a) यह हिट के कोण को प्रभावित करता है</v>
      </c>
    </row>
    <row r="98" ht="22.5" customHeight="1">
      <c r="A98" s="2">
        <v>97.0</v>
      </c>
      <c r="B98" s="3" t="s">
        <v>4830</v>
      </c>
      <c r="C98" s="3" t="s">
        <v>4831</v>
      </c>
      <c r="D98" s="3" t="s">
        <v>4832</v>
      </c>
      <c r="E98" s="3" t="s">
        <v>2668</v>
      </c>
      <c r="G98" s="8" t="str">
        <f>IFERROR(__xludf.DUMMYFUNCTION("GOOGLETRANSLATE(A98, ""en"", ""hi"")"),"97")</f>
        <v>97</v>
      </c>
      <c r="H98" s="8" t="str">
        <f>IFERROR(__xludf.DUMMYFUNCTION("GOOGLETRANSLATE(B98, ""en"", ""hi"")"),"गिल्ली_डंडा_25")</f>
        <v>गिल्ली_डंडा_25</v>
      </c>
      <c r="I98" s="8" t="str">
        <f>IFERROR(__xludf.DUMMYFUNCTION("GOOGLETRANSLATE(C98, ""en"", ""hi"")"),"चित्र में दिखाए गए खेल से, सटीकता में सुधार के लिए अनुशंसित तकनीक क्या है?")</f>
        <v>चित्र में दिखाए गए खेल से, सटीकता में सुधार के लिए अनुशंसित तकनीक क्या है?</v>
      </c>
      <c r="J98" s="8" t="str">
        <f>IFERROR(__xludf.DUMMYFUNCTION("GOOGLETRANSLATE(D98, ""en"", ""hi"")"),"क) नियमित अभ्यास करना, ख) हल्की छड़ी का प्रयोग करना, ग) पूरी ताकत से प्रहार करना, घ) प्रतिद्वंद्वी पर बारीकी से नजर रखना")</f>
        <v>क) नियमित अभ्यास करना, ख) हल्की छड़ी का प्रयोग करना, ग) पूरी ताकत से प्रहार करना, घ) प्रतिद्वंद्वी पर बारीकी से नजर रखना</v>
      </c>
      <c r="K98" s="8" t="str">
        <f>IFERROR(__xludf.DUMMYFUNCTION("GOOGLETRANSLATE(E98, ""en"", ""hi"")"),"क) नियमित अभ्यास करना")</f>
        <v>क) नियमित अभ्यास करना</v>
      </c>
    </row>
    <row r="99" ht="22.5" customHeight="1">
      <c r="A99" s="2">
        <v>98.0</v>
      </c>
      <c r="B99" s="3" t="s">
        <v>4830</v>
      </c>
      <c r="C99" s="3" t="s">
        <v>4833</v>
      </c>
      <c r="D99" s="3" t="s">
        <v>4834</v>
      </c>
      <c r="E99" s="3" t="s">
        <v>4835</v>
      </c>
      <c r="G99" s="8" t="str">
        <f>IFERROR(__xludf.DUMMYFUNCTION("GOOGLETRANSLATE(A99, ""en"", ""hi"")"),"98")</f>
        <v>98</v>
      </c>
      <c r="H99" s="8" t="str">
        <f>IFERROR(__xludf.DUMMYFUNCTION("GOOGLETRANSLATE(B99, ""en"", ""hi"")"),"गिल्ली_डंडा_25")</f>
        <v>गिल्ली_डंडा_25</v>
      </c>
      <c r="I99" s="8" t="str">
        <f>IFERROR(__xludf.DUMMYFUNCTION("GOOGLETRANSLATE(C99, ""en"", ""hi"")"),"चित्र में दिखाए गए खेल के अनुसार, यदि स्ट्राइकर लक्ष्य से बहुत दूर जा गिरे तो क्या होगा?")</f>
        <v>चित्र में दिखाए गए खेल के अनुसार, यदि स्ट्राइकर लक्ष्य से बहुत दूर जा गिरे तो क्या होगा?</v>
      </c>
      <c r="J99" s="8" t="str">
        <f>IFERROR(__xludf.DUMMYFUNCTION("GOOGLETRANSLATE(D99, ""en"", ""hi"")"),"क) प्रतिद्वंद्वी को लाभ मिलता है, ख) बारी समाप्त हो जाती है, ग) खेल रोक दिया जाता है, घ) लक्ष्य बदल दिया जाता है")</f>
        <v>क) प्रतिद्वंद्वी को लाभ मिलता है, ख) बारी समाप्त हो जाती है, ग) खेल रोक दिया जाता है, घ) लक्ष्य बदल दिया जाता है</v>
      </c>
      <c r="K99" s="8" t="str">
        <f>IFERROR(__xludf.DUMMYFUNCTION("GOOGLETRANSLATE(E99, ""en"", ""hi"")"),"b) बारी समाप्त होती है")</f>
        <v>b) बारी समाप्त होती है</v>
      </c>
    </row>
    <row r="100" ht="22.5" customHeight="1">
      <c r="A100" s="2">
        <v>99.0</v>
      </c>
      <c r="B100" s="3" t="s">
        <v>4830</v>
      </c>
      <c r="C100" s="3" t="s">
        <v>4836</v>
      </c>
      <c r="D100" s="3" t="s">
        <v>4837</v>
      </c>
      <c r="E100" s="3" t="s">
        <v>4838</v>
      </c>
      <c r="G100" s="8" t="str">
        <f>IFERROR(__xludf.DUMMYFUNCTION("GOOGLETRANSLATE(A100, ""en"", ""hi"")"),"99")</f>
        <v>99</v>
      </c>
      <c r="H100" s="8" t="str">
        <f>IFERROR(__xludf.DUMMYFUNCTION("GOOGLETRANSLATE(B100, ""en"", ""hi"")"),"गिल्ली_डंडा_25")</f>
        <v>गिल्ली_डंडा_25</v>
      </c>
      <c r="I100" s="8" t="str">
        <f>IFERROR(__xludf.DUMMYFUNCTION("GOOGLETRANSLATE(C100, ""en"", ""hi"")"),"चित्र में दिखाए गए खेल के आधार पर, प्रतिद्वंद्वी के लिए स्ट्राइकर को स्कोर करने से रोकने की अच्छी रणनीति क्या है?")</f>
        <v>चित्र में दिखाए गए खेल के आधार पर, प्रतिद्वंद्वी के लिए स्ट्राइकर को स्कोर करने से रोकने की अच्छी रणनीति क्या है?</v>
      </c>
      <c r="J100" s="8" t="str">
        <f>IFERROR(__xludf.DUMMYFUNCTION("GOOGLETRANSLATE(D100, ""en"", ""hi"")"),"क) लक्ष्य को शीघ्रता से पकड़ना, ख) हमलावर का ध्यान भटकाना, ग) लक्ष्य का मार्ग रोकना, घ) हमलावर की ओर दौड़ना")</f>
        <v>क) लक्ष्य को शीघ्रता से पकड़ना, ख) हमलावर का ध्यान भटकाना, ग) लक्ष्य का मार्ग रोकना, घ) हमलावर की ओर दौड़ना</v>
      </c>
      <c r="K100" s="8" t="str">
        <f>IFERROR(__xludf.DUMMYFUNCTION("GOOGLETRANSLATE(E100, ""en"", ""hi"")"),"क) लक्ष्य को शीघ्रता से पकड़ना")</f>
        <v>क) लक्ष्य को शीघ्रता से पकड़ना</v>
      </c>
    </row>
    <row r="101" ht="22.5" customHeight="1">
      <c r="A101" s="2">
        <v>100.0</v>
      </c>
      <c r="B101" s="3" t="s">
        <v>4830</v>
      </c>
      <c r="C101" s="3" t="s">
        <v>4839</v>
      </c>
      <c r="D101" s="3" t="s">
        <v>4840</v>
      </c>
      <c r="E101" s="3" t="s">
        <v>4841</v>
      </c>
      <c r="G101" s="8" t="str">
        <f>IFERROR(__xludf.DUMMYFUNCTION("GOOGLETRANSLATE(A101, ""en"", ""hi"")"),"100")</f>
        <v>100</v>
      </c>
      <c r="H101" s="8" t="str">
        <f>IFERROR(__xludf.DUMMYFUNCTION("GOOGLETRANSLATE(B101, ""en"", ""hi"")"),"गिल्ली_डंडा_25")</f>
        <v>गिल्ली_डंडा_25</v>
      </c>
      <c r="I101" s="8" t="str">
        <f>IFERROR(__xludf.DUMMYFUNCTION("GOOGLETRANSLATE(C101, ""en"", ""hi"")"),"चित्र में दिखाए गए खेल से, खेल पर इलाके का क्या प्रभाव पड़ता है?")</f>
        <v>चित्र में दिखाए गए खेल से, खेल पर इलाके का क्या प्रभाव पड़ता है?</v>
      </c>
      <c r="J101" s="8" t="str">
        <f>IFERROR(__xludf.DUMMYFUNCTION("GOOGLETRANSLATE(D101, ""en"", ""hi"")"),"क) यह लक्ष्य की उछाल को प्रभावित करता है, ख) यह स्कोरिंग निर्धारित करता है, ग) यह स्टिक की स्थायित्व को प्रभावित करता है, घ) यह खिलाड़ियों की संख्या निर्धारित करता है")</f>
        <v>क) यह लक्ष्य की उछाल को प्रभावित करता है, ख) यह स्कोरिंग निर्धारित करता है, ग) यह स्टिक की स्थायित्व को प्रभावित करता है, घ) यह खिलाड़ियों की संख्या निर्धारित करता है</v>
      </c>
      <c r="K101" s="8" t="str">
        <f>IFERROR(__xludf.DUMMYFUNCTION("GOOGLETRANSLATE(E101, ""en"", ""hi"")"),"a) यह लक्ष्य की उछाल को प्रभावित करता है")</f>
        <v>a) यह लक्ष्य की उछाल को प्रभावित करता है</v>
      </c>
    </row>
    <row r="102" ht="22.5" customHeight="1">
      <c r="A102" s="2">
        <v>101.0</v>
      </c>
      <c r="B102" s="3" t="s">
        <v>4842</v>
      </c>
      <c r="C102" s="3" t="s">
        <v>4843</v>
      </c>
      <c r="D102" s="3" t="s">
        <v>4844</v>
      </c>
      <c r="E102" s="3" t="s">
        <v>4845</v>
      </c>
      <c r="G102" s="8" t="str">
        <f>IFERROR(__xludf.DUMMYFUNCTION("GOOGLETRANSLATE(A102, ""en"", ""hi"")"),"101")</f>
        <v>101</v>
      </c>
      <c r="H102" s="8" t="str">
        <f>IFERROR(__xludf.DUMMYFUNCTION("GOOGLETRANSLATE(B102, ""en"", ""hi"")"),"गिल्ली_डंडा_26")</f>
        <v>गिल्ली_डंडा_26</v>
      </c>
      <c r="I102" s="8" t="str">
        <f>IFERROR(__xludf.DUMMYFUNCTION("GOOGLETRANSLATE(C102, ""en"", ""hi"")"),"चित्र में दिखाए गए खेल में स्ट्राइकर आउट होने से कैसे बच सकता है?")</f>
        <v>चित्र में दिखाए गए खेल में स्ट्राइकर आउट होने से कैसे बच सकता है?</v>
      </c>
      <c r="J102" s="8" t="str">
        <f>IFERROR(__xludf.DUMMYFUNCTION("GOOGLETRANSLATE(D102, ""en"", ""hi"")"),"A) लक्ष्य पर हल्के से प्रहार करके, B) प्रतिद्वंद्वी के करीब खड़े होकर, C) यह सुनिश्चित करके कि लक्ष्य ऊंचा न उड़े, D) लक्ष्य पर सटीक प्रहार करके")</f>
        <v>A) लक्ष्य पर हल्के से प्रहार करके, B) प्रतिद्वंद्वी के करीब खड़े होकर, C) यह सुनिश्चित करके कि लक्ष्य ऊंचा न उड़े, D) लक्ष्य पर सटीक प्रहार करके</v>
      </c>
      <c r="K102" s="8" t="str">
        <f>IFERROR(__xludf.DUMMYFUNCTION("GOOGLETRANSLATE(E102, ""en"", ""hi"")"),"D) लक्ष्य पर सटीक निशाना लगाकर")</f>
        <v>D) लक्ष्य पर सटीक निशाना लगाकर</v>
      </c>
    </row>
    <row r="103" ht="22.5" customHeight="1">
      <c r="A103" s="2">
        <v>102.0</v>
      </c>
      <c r="B103" s="3" t="s">
        <v>4842</v>
      </c>
      <c r="C103" s="3" t="s">
        <v>4846</v>
      </c>
      <c r="D103" s="3" t="s">
        <v>4847</v>
      </c>
      <c r="E103" s="3" t="s">
        <v>4848</v>
      </c>
      <c r="G103" s="8" t="str">
        <f>IFERROR(__xludf.DUMMYFUNCTION("GOOGLETRANSLATE(A103, ""en"", ""hi"")"),"102")</f>
        <v>102</v>
      </c>
      <c r="H103" s="8" t="str">
        <f>IFERROR(__xludf.DUMMYFUNCTION("GOOGLETRANSLATE(B103, ""en"", ""hi"")"),"गिल्ली_डंडा_26")</f>
        <v>गिल्ली_डंडा_26</v>
      </c>
      <c r="I103" s="8" t="str">
        <f>IFERROR(__xludf.DUMMYFUNCTION("GOOGLETRANSLATE(C103, ""en"", ""hi"")"),"यदि चित्र में दिखाए गए खेल में लक्ष्य प्रतिद्वंद्वी के क्षेत्र में गिर जाए तो क्या होगा?")</f>
        <v>यदि चित्र में दिखाए गए खेल में लक्ष्य प्रतिद्वंद्वी के क्षेत्र में गिर जाए तो क्या होगा?</v>
      </c>
      <c r="J103" s="8" t="str">
        <f>IFERROR(__xludf.DUMMYFUNCTION("GOOGLETRANSLATE(D103, ""en"", ""hi"")"),"A) स्ट्राइकर को अतिरिक्त अंक मिलते हैं, B) प्रतिद्वंद्वी को एक और मौका मिलता है, C) खेल रुक जाता है, D) बारी पास हो जाती है")</f>
        <v>A) स्ट्राइकर को अतिरिक्त अंक मिलते हैं, B) प्रतिद्वंद्वी को एक और मौका मिलता है, C) खेल रुक जाता है, D) बारी पास हो जाती है</v>
      </c>
      <c r="K103" s="8" t="str">
        <f>IFERROR(__xludf.DUMMYFUNCTION("GOOGLETRANSLATE(E103, ""en"", ""hi"")"),"B) प्रतिद्वंद्वी को एक और मौका मिलता है")</f>
        <v>B) प्रतिद्वंद्वी को एक और मौका मिलता है</v>
      </c>
    </row>
    <row r="104" ht="22.5" customHeight="1">
      <c r="A104" s="2">
        <v>103.0</v>
      </c>
      <c r="B104" s="3" t="s">
        <v>4842</v>
      </c>
      <c r="C104" s="3" t="s">
        <v>4849</v>
      </c>
      <c r="D104" s="3" t="s">
        <v>4850</v>
      </c>
      <c r="E104" s="3" t="s">
        <v>4851</v>
      </c>
      <c r="G104" s="8" t="str">
        <f>IFERROR(__xludf.DUMMYFUNCTION("GOOGLETRANSLATE(A104, ""en"", ""hi"")"),"103")</f>
        <v>103</v>
      </c>
      <c r="H104" s="8" t="str">
        <f>IFERROR(__xludf.DUMMYFUNCTION("GOOGLETRANSLATE(B104, ""en"", ""hi"")"),"गिल्ली_डंडा_26")</f>
        <v>गिल्ली_डंडा_26</v>
      </c>
      <c r="I104" s="8" t="str">
        <f>IFERROR(__xludf.DUMMYFUNCTION("GOOGLETRANSLATE(C104, ""en"", ""hi"")"),"चित्र में दिखाए गए खेल में, स्ट्राइकर को कैसे पता चलता है कि लक्ष्य सफलतापूर्वक हिट हो गया है?")</f>
        <v>चित्र में दिखाए गए खेल में, स्ट्राइकर को कैसे पता चलता है कि लक्ष्य सफलतापूर्वक हिट हो गया है?</v>
      </c>
      <c r="J104" s="8" t="str">
        <f>IFERROR(__xludf.DUMMYFUNCTION("GOOGLETRANSLATE(D104, ""en"", ""hi"")"),"A) ध्वनि से, B) प्रतिद्वंद्वी की प्रतिक्रिया से, C) हवा में उड़ते लक्ष्य से, D) ज़मीन के कंपन से")</f>
        <v>A) ध्वनि से, B) प्रतिद्वंद्वी की प्रतिक्रिया से, C) हवा में उड़ते लक्ष्य से, D) ज़मीन के कंपन से</v>
      </c>
      <c r="K104" s="8" t="str">
        <f>IFERROR(__xludf.DUMMYFUNCTION("GOOGLETRANSLATE(E104, ""en"", ""hi"")"),"C) हवा में उड़ते लक्ष्य द्वारा")</f>
        <v>C) हवा में उड़ते लक्ष्य द्वारा</v>
      </c>
    </row>
    <row r="105" ht="22.5" customHeight="1">
      <c r="A105" s="2">
        <v>104.0</v>
      </c>
      <c r="B105" s="3" t="s">
        <v>4842</v>
      </c>
      <c r="C105" s="3" t="s">
        <v>4852</v>
      </c>
      <c r="D105" s="3" t="s">
        <v>4853</v>
      </c>
      <c r="E105" s="3" t="s">
        <v>4854</v>
      </c>
      <c r="G105" s="8" t="str">
        <f>IFERROR(__xludf.DUMMYFUNCTION("GOOGLETRANSLATE(A105, ""en"", ""hi"")"),"104")</f>
        <v>104</v>
      </c>
      <c r="H105" s="8" t="str">
        <f>IFERROR(__xludf.DUMMYFUNCTION("GOOGLETRANSLATE(B105, ""en"", ""hi"")"),"गिल्ली_डंडा_26")</f>
        <v>गिल्ली_डंडा_26</v>
      </c>
      <c r="I105" s="8" t="str">
        <f>IFERROR(__xludf.DUMMYFUNCTION("GOOGLETRANSLATE(C105, ""en"", ""hi"")"),"चित्र में दिखाए गए खेल में लक्ष्य पर निशाना लगाने से पहले रेखा चिह्नित करने का उद्देश्य क्या है?")</f>
        <v>चित्र में दिखाए गए खेल में लक्ष्य पर निशाना लगाने से पहले रेखा चिह्नित करने का उद्देश्य क्या है?</v>
      </c>
      <c r="J105" s="8" t="str">
        <f>IFERROR(__xludf.DUMMYFUNCTION("GOOGLETRANSLATE(D105, ""en"", ""hi"")"),"A) सीमा निर्धारित करने के लिए, B) स्ट्राइकर को अपनी स्थिति बनाने में मदद करने के लिए, C) अतिरिक्त अंक प्राप्त करने के लिए, D) प्रतिद्वंद्वी को भ्रमित करने के लिए")</f>
        <v>A) सीमा निर्धारित करने के लिए, B) स्ट्राइकर को अपनी स्थिति बनाने में मदद करने के लिए, C) अतिरिक्त अंक प्राप्त करने के लिए, D) प्रतिद्वंद्वी को भ्रमित करने के लिए</v>
      </c>
      <c r="K105" s="8" t="str">
        <f>IFERROR(__xludf.DUMMYFUNCTION("GOOGLETRANSLATE(E105, ""en"", ""hi"")"),"बी) स्ट्राइकर को अपनी स्थिति बनाने में मदद करने के लिए")</f>
        <v>बी) स्ट्राइकर को अपनी स्थिति बनाने में मदद करने के लिए</v>
      </c>
    </row>
    <row r="106" ht="22.5" customHeight="1">
      <c r="A106" s="2">
        <v>105.0</v>
      </c>
      <c r="B106" s="3" t="s">
        <v>4855</v>
      </c>
      <c r="C106" s="3" t="s">
        <v>4856</v>
      </c>
      <c r="D106" s="3" t="s">
        <v>4857</v>
      </c>
      <c r="E106" s="3" t="s">
        <v>4858</v>
      </c>
      <c r="G106" s="8" t="str">
        <f>IFERROR(__xludf.DUMMYFUNCTION("GOOGLETRANSLATE(A106, ""en"", ""hi"")"),"105")</f>
        <v>105</v>
      </c>
      <c r="H106" s="8" t="str">
        <f>IFERROR(__xludf.DUMMYFUNCTION("GOOGLETRANSLATE(B106, ""en"", ""hi"")"),"गिल्ली_डंडा_27")</f>
        <v>गिल्ली_डंडा_27</v>
      </c>
      <c r="I106" s="8" t="str">
        <f>IFERROR(__xludf.DUMMYFUNCTION("GOOGLETRANSLATE(C106, ""en"", ""hi"")"),"चित्र में दिखाए गए खेल में, यदि लक्ष्य प्रतिद्वंद्वी के क्षेत्र में मारा जाता है तो अंक कैसे दिया जाता है?")</f>
        <v>चित्र में दिखाए गए खेल में, यदि लक्ष्य प्रतिद्वंद्वी के क्षेत्र में मारा जाता है तो अंक कैसे दिया जाता है?</v>
      </c>
      <c r="J106" s="8" t="str">
        <f>IFERROR(__xludf.DUMMYFUNCTION("GOOGLETRANSLATE(D106, ""en"", ""hi"")"),"A) कोई अंक नहीं दिया जाता है, B) प्रतिद्वंद्वी एक अंक अर्जित करता है, C) स्ट्राइकर एक अंक खो देता है, D) स्ट्राइकर एक अंक अर्जित करता है")</f>
        <v>A) कोई अंक नहीं दिया जाता है, B) प्रतिद्वंद्वी एक अंक अर्जित करता है, C) स्ट्राइकर एक अंक खो देता है, D) स्ट्राइकर एक अंक अर्जित करता है</v>
      </c>
      <c r="K106" s="8" t="str">
        <f>IFERROR(__xludf.DUMMYFUNCTION("GOOGLETRANSLATE(E106, ""en"", ""hi"")"),"D) स्ट्राइकर एक अंक अर्जित करता है")</f>
        <v>D) स्ट्राइकर एक अंक अर्जित करता है</v>
      </c>
    </row>
    <row r="107" ht="22.5" customHeight="1">
      <c r="A107" s="2">
        <v>106.0</v>
      </c>
      <c r="B107" s="3" t="s">
        <v>4855</v>
      </c>
      <c r="C107" s="3" t="s">
        <v>4859</v>
      </c>
      <c r="D107" s="3" t="s">
        <v>4860</v>
      </c>
      <c r="E107" s="3" t="s">
        <v>4861</v>
      </c>
      <c r="G107" s="8" t="str">
        <f>IFERROR(__xludf.DUMMYFUNCTION("GOOGLETRANSLATE(A107, ""en"", ""hi"")"),"106")</f>
        <v>106</v>
      </c>
      <c r="H107" s="8" t="str">
        <f>IFERROR(__xludf.DUMMYFUNCTION("GOOGLETRANSLATE(B107, ""en"", ""hi"")"),"गिल्ली_डंडा_27")</f>
        <v>गिल्ली_डंडा_27</v>
      </c>
      <c r="I107" s="8" t="str">
        <f>IFERROR(__xludf.DUMMYFUNCTION("GOOGLETRANSLATE(C107, ""en"", ""hi"")"),"चित्र में दिखाए गए खेल में स्ट्राइकर के रुख का क्या महत्व है?")</f>
        <v>चित्र में दिखाए गए खेल में स्ट्राइकर के रुख का क्या महत्व है?</v>
      </c>
      <c r="J107" s="8" t="str">
        <f>IFERROR(__xludf.DUMMYFUNCTION("GOOGLETRANSLATE(D107, ""en"", ""hi"")"),"A) यह सटीकता को प्रभावित करता है, B) यह बल बढ़ाता है, C) यह संतुलन बनाने में मदद करता है, D) यह केवल शैली के लिए है")</f>
        <v>A) यह सटीकता को प्रभावित करता है, B) यह बल बढ़ाता है, C) यह संतुलन बनाने में मदद करता है, D) यह केवल शैली के लिए है</v>
      </c>
      <c r="K107" s="8" t="str">
        <f>IFERROR(__xludf.DUMMYFUNCTION("GOOGLETRANSLATE(E107, ""en"", ""hi"")"),"A) यह सटीकता को प्रभावित करता है")</f>
        <v>A) यह सटीकता को प्रभावित करता है</v>
      </c>
    </row>
    <row r="108" ht="22.5" customHeight="1">
      <c r="A108" s="2">
        <v>107.0</v>
      </c>
      <c r="B108" s="3" t="s">
        <v>4855</v>
      </c>
      <c r="C108" s="3" t="s">
        <v>4862</v>
      </c>
      <c r="D108" s="3" t="s">
        <v>4863</v>
      </c>
      <c r="E108" s="3" t="s">
        <v>4864</v>
      </c>
      <c r="G108" s="8" t="str">
        <f>IFERROR(__xludf.DUMMYFUNCTION("GOOGLETRANSLATE(A108, ""en"", ""hi"")"),"107")</f>
        <v>107</v>
      </c>
      <c r="H108" s="8" t="str">
        <f>IFERROR(__xludf.DUMMYFUNCTION("GOOGLETRANSLATE(B108, ""en"", ""hi"")"),"गिल्ली_डंडा_27")</f>
        <v>गिल्ली_डंडा_27</v>
      </c>
      <c r="I108" s="8" t="str">
        <f>IFERROR(__xludf.DUMMYFUNCTION("GOOGLETRANSLATE(C108, ""en"", ""hi"")"),"चित्र में दिखाए गए खेल में लक्ष्य पर प्रहार करने के लिए आवश्यक बल का आकलन खिलाड़ी कैसे करता है?")</f>
        <v>चित्र में दिखाए गए खेल में लक्ष्य पर प्रहार करने के लिए आवश्यक बल का आकलन खिलाड़ी कैसे करता है?</v>
      </c>
      <c r="J108" s="8" t="str">
        <f>IFERROR(__xludf.DUMMYFUNCTION("GOOGLETRANSLATE(D108, ""en"", ""hi"")"),"A) दूरी मापकर, B) लक्ष्य के वजन का विश्लेषण करके, C) बेतरतीब ढंग से घुमाकर, D) प्रतिद्वंद्वी की स्थिति का अवलोकन करके")</f>
        <v>A) दूरी मापकर, B) लक्ष्य के वजन का विश्लेषण करके, C) बेतरतीब ढंग से घुमाकर, D) प्रतिद्वंद्वी की स्थिति का अवलोकन करके</v>
      </c>
      <c r="K108" s="8" t="str">
        <f>IFERROR(__xludf.DUMMYFUNCTION("GOOGLETRANSLATE(E108, ""en"", ""hi"")"),"A) दूरी मापकर")</f>
        <v>A) दूरी मापकर</v>
      </c>
    </row>
    <row r="109" ht="22.5" customHeight="1">
      <c r="A109" s="2">
        <v>108.0</v>
      </c>
      <c r="B109" s="3" t="s">
        <v>4855</v>
      </c>
      <c r="C109" s="3" t="s">
        <v>4865</v>
      </c>
      <c r="D109" s="3" t="s">
        <v>4866</v>
      </c>
      <c r="E109" s="3" t="s">
        <v>4867</v>
      </c>
      <c r="G109" s="8" t="str">
        <f>IFERROR(__xludf.DUMMYFUNCTION("GOOGLETRANSLATE(A109, ""en"", ""hi"")"),"108")</f>
        <v>108</v>
      </c>
      <c r="H109" s="8" t="str">
        <f>IFERROR(__xludf.DUMMYFUNCTION("GOOGLETRANSLATE(B109, ""en"", ""hi"")"),"गिल्ली_डंडा_27")</f>
        <v>गिल्ली_डंडा_27</v>
      </c>
      <c r="I109" s="8" t="str">
        <f>IFERROR(__xludf.DUMMYFUNCTION("GOOGLETRANSLATE(C109, ""en"", ""hi"")"),"चित्र में दिखाए गए खेल में नियम तोड़ने पर सामान्य दंड क्या है?")</f>
        <v>चित्र में दिखाए गए खेल में नियम तोड़ने पर सामान्य दंड क्या है?</v>
      </c>
      <c r="J109" s="8" t="str">
        <f>IFERROR(__xludf.DUMMYFUNCTION("GOOGLETRANSLATE(D109, ""en"", ""hi"")"),"A) अंकों की हानि, B) समय दंड, C) शुरू से शुरू करना, D) प्रतिद्वंद्वी को बारी देना")</f>
        <v>A) अंकों की हानि, B) समय दंड, C) शुरू से शुरू करना, D) प्रतिद्वंद्वी को बारी देना</v>
      </c>
      <c r="K109" s="8" t="str">
        <f>IFERROR(__xludf.DUMMYFUNCTION("GOOGLETRANSLATE(E109, ""en"", ""hi"")"),"D) प्रतिद्वंद्वी को बारी पास करना")</f>
        <v>D) प्रतिद्वंद्वी को बारी पास करना</v>
      </c>
    </row>
    <row r="110" ht="22.5" customHeight="1">
      <c r="A110" s="2">
        <v>109.0</v>
      </c>
      <c r="B110" s="3" t="s">
        <v>4868</v>
      </c>
      <c r="C110" s="3" t="s">
        <v>4869</v>
      </c>
      <c r="D110" s="3" t="s">
        <v>4870</v>
      </c>
      <c r="E110" s="3" t="s">
        <v>4871</v>
      </c>
      <c r="G110" s="8" t="str">
        <f>IFERROR(__xludf.DUMMYFUNCTION("GOOGLETRANSLATE(A110, ""en"", ""hi"")"),"109")</f>
        <v>109</v>
      </c>
      <c r="H110" s="8" t="str">
        <f>IFERROR(__xludf.DUMMYFUNCTION("GOOGLETRANSLATE(B110, ""en"", ""hi"")"),"गिल्ली_डंडा_28")</f>
        <v>गिल्ली_डंडा_28</v>
      </c>
      <c r="I110" s="8" t="str">
        <f>IFERROR(__xludf.DUMMYFUNCTION("GOOGLETRANSLATE(C110, ""en"", ""hi"")"),"चित्र में दिखाए गए खेल में, नॉन-स्ट्राइकिंग हाथ की क्या भूमिका है?")</f>
        <v>चित्र में दिखाए गए खेल में, नॉन-स्ट्राइकिंग हाथ की क्या भूमिका है?</v>
      </c>
      <c r="J110" s="8" t="str">
        <f>IFERROR(__xludf.DUMMYFUNCTION("GOOGLETRANSLATE(D110, ""en"", ""hi"")"),"A) लक्ष्य को पकड़ने के लिए, B) स्ट्राइकर को संतुलित करने के लिए, C) लक्ष्य को पकड़ने के लिए, D) बड़ी छड़ी को पकड़ने के लिए")</f>
        <v>A) लक्ष्य को पकड़ने के लिए, B) स्ट्राइकर को संतुलित करने के लिए, C) लक्ष्य को पकड़ने के लिए, D) बड़ी छड़ी को पकड़ने के लिए</v>
      </c>
      <c r="K110" s="8" t="str">
        <f>IFERROR(__xludf.DUMMYFUNCTION("GOOGLETRANSLATE(E110, ""en"", ""hi"")"),"बी) स्ट्राइकर को संतुलित करने के लिए")</f>
        <v>बी) स्ट्राइकर को संतुलित करने के लिए</v>
      </c>
    </row>
    <row r="111" ht="22.5" customHeight="1">
      <c r="A111" s="2">
        <v>110.0</v>
      </c>
      <c r="B111" s="3" t="s">
        <v>4868</v>
      </c>
      <c r="C111" s="3" t="s">
        <v>4872</v>
      </c>
      <c r="D111" s="3" t="s">
        <v>4873</v>
      </c>
      <c r="E111" s="3" t="s">
        <v>4874</v>
      </c>
      <c r="G111" s="8" t="str">
        <f>IFERROR(__xludf.DUMMYFUNCTION("GOOGLETRANSLATE(A111, ""en"", ""hi"")"),"110")</f>
        <v>110</v>
      </c>
      <c r="H111" s="8" t="str">
        <f>IFERROR(__xludf.DUMMYFUNCTION("GOOGLETRANSLATE(B111, ""en"", ""hi"")"),"गिल्ली_डंडा_28")</f>
        <v>गिल्ली_डंडा_28</v>
      </c>
      <c r="I111" s="8" t="str">
        <f>IFERROR(__xludf.DUMMYFUNCTION("GOOGLETRANSLATE(C111, ""en"", ""hi"")"),"चित्र में दिखाए गए खेल में प्रतिद्वंद्वी खिलाड़ी स्ट्राइकर की अगली चाल का निर्धारण कैसे करता है?")</f>
        <v>चित्र में दिखाए गए खेल में प्रतिद्वंद्वी खिलाड़ी स्ट्राइकर की अगली चाल का निर्धारण कैसे करता है?</v>
      </c>
      <c r="J111" s="8" t="str">
        <f>IFERROR(__xludf.DUMMYFUNCTION("GOOGLETRANSLATE(D111, ""en"", ""hi"")"),"A) लक्ष्य की दिशा का अवलोकन करके, B) बल की गणना करके, C) हवा का पूर्वानुमान लगाकर, D) हमलावर के रुख का विश्लेषण करके")</f>
        <v>A) लक्ष्य की दिशा का अवलोकन करके, B) बल की गणना करके, C) हवा का पूर्वानुमान लगाकर, D) हमलावर के रुख का विश्लेषण करके</v>
      </c>
      <c r="K111" s="8" t="str">
        <f>IFERROR(__xludf.DUMMYFUNCTION("GOOGLETRANSLATE(E111, ""en"", ""hi"")"),"A) लक्ष्य की दिशा का अवलोकन करके")</f>
        <v>A) लक्ष्य की दिशा का अवलोकन करके</v>
      </c>
    </row>
    <row r="112" ht="22.5" customHeight="1">
      <c r="A112" s="2">
        <v>111.0</v>
      </c>
      <c r="B112" s="3" t="s">
        <v>4868</v>
      </c>
      <c r="C112" s="3" t="s">
        <v>4875</v>
      </c>
      <c r="D112" s="3" t="s">
        <v>4876</v>
      </c>
      <c r="E112" s="3" t="s">
        <v>4877</v>
      </c>
      <c r="G112" s="8" t="str">
        <f>IFERROR(__xludf.DUMMYFUNCTION("GOOGLETRANSLATE(A112, ""en"", ""hi"")"),"111")</f>
        <v>111</v>
      </c>
      <c r="H112" s="8" t="str">
        <f>IFERROR(__xludf.DUMMYFUNCTION("GOOGLETRANSLATE(B112, ""en"", ""hi"")"),"गिल्ली_डंडा_28")</f>
        <v>गिल्ली_डंडा_28</v>
      </c>
      <c r="I112" s="8" t="str">
        <f>IFERROR(__xludf.DUMMYFUNCTION("GOOGLETRANSLATE(C112, ""en"", ""hi"")"),"चित्र में दिखाए गए खेल में, यदि खिलाड़ी कई प्रयासों के बाद भी लक्ष्य पर निशाना लगाने में असफल हो जाए तो क्या होगा?")</f>
        <v>चित्र में दिखाए गए खेल में, यदि खिलाड़ी कई प्रयासों के बाद भी लक्ष्य पर निशाना लगाने में असफल हो जाए तो क्या होगा?</v>
      </c>
      <c r="J112" s="8" t="str">
        <f>IFERROR(__xludf.DUMMYFUNCTION("GOOGLETRANSLATE(D112, ""en"", ""hi"")"),"A) स्ट्राइकर अयोग्य घोषित हो जाता है, B) बारी प्रतिद्वंद्वी को दे दी जाती है, C) स्ट्राइकर खेल से बाहर हो जाता है, D) स्ट्राइकर खेलना जारी रखता है")</f>
        <v>A) स्ट्राइकर अयोग्य घोषित हो जाता है, B) बारी प्रतिद्वंद्वी को दे दी जाती है, C) स्ट्राइकर खेल से बाहर हो जाता है, D) स्ट्राइकर खेलना जारी रखता है</v>
      </c>
      <c r="K112" s="8" t="str">
        <f>IFERROR(__xludf.DUMMYFUNCTION("GOOGLETRANSLATE(E112, ""en"", ""hi"")"),"B) बारी प्रतिद्वंद्वी को दी जाती है")</f>
        <v>B) बारी प्रतिद्वंद्वी को दी जाती है</v>
      </c>
    </row>
    <row r="113" ht="22.5" customHeight="1">
      <c r="A113" s="2">
        <v>112.0</v>
      </c>
      <c r="B113" s="3" t="s">
        <v>4868</v>
      </c>
      <c r="C113" s="3" t="s">
        <v>4878</v>
      </c>
      <c r="D113" s="3" t="s">
        <v>4879</v>
      </c>
      <c r="E113" s="3" t="s">
        <v>4880</v>
      </c>
      <c r="G113" s="8" t="str">
        <f>IFERROR(__xludf.DUMMYFUNCTION("GOOGLETRANSLATE(A113, ""en"", ""hi"")"),"112")</f>
        <v>112</v>
      </c>
      <c r="H113" s="8" t="str">
        <f>IFERROR(__xludf.DUMMYFUNCTION("GOOGLETRANSLATE(B113, ""en"", ""hi"")"),"गिल्ली_डंडा_28")</f>
        <v>गिल्ली_डंडा_28</v>
      </c>
      <c r="I113" s="8" t="str">
        <f>IFERROR(__xludf.DUMMYFUNCTION("GOOGLETRANSLATE(C113, ""en"", ""hi"")"),"चित्र में दिखाए गए खेल में सटीकता सुधारने का सबसे अच्छा तरीका क्या है?")</f>
        <v>चित्र में दिखाए गए खेल में सटीकता सुधारने का सबसे अच्छा तरीका क्या है?</v>
      </c>
      <c r="J113" s="8" t="str">
        <f>IFERROR(__xludf.DUMMYFUNCTION("GOOGLETRANSLATE(D113, ""en"", ""hi"")"),"A) छोटी छड़ी का उपयोग करना, B) निशाना साधने का अभ्यास करना, C) लक्ष्य का आकार बदलना, D) लक्ष्य के करीब जाना")</f>
        <v>A) छोटी छड़ी का उपयोग करना, B) निशाना साधने का अभ्यास करना, C) लक्ष्य का आकार बदलना, D) लक्ष्य के करीब जाना</v>
      </c>
      <c r="K113" s="8" t="str">
        <f>IFERROR(__xludf.DUMMYFUNCTION("GOOGLETRANSLATE(E113, ""en"", ""hi"")"),"बी) लक्ष्य का अभ्यास करना")</f>
        <v>बी) लक्ष्य का अभ्यास करना</v>
      </c>
    </row>
    <row r="114" ht="22.5" customHeight="1">
      <c r="A114" s="2">
        <v>113.0</v>
      </c>
      <c r="B114" s="3" t="s">
        <v>4881</v>
      </c>
      <c r="C114" s="3" t="s">
        <v>4882</v>
      </c>
      <c r="D114" s="3" t="s">
        <v>4883</v>
      </c>
      <c r="E114" s="3" t="s">
        <v>4884</v>
      </c>
      <c r="G114" s="8" t="str">
        <f>IFERROR(__xludf.DUMMYFUNCTION("GOOGLETRANSLATE(A114, ""en"", ""hi"")"),"113")</f>
        <v>113</v>
      </c>
      <c r="H114" s="8" t="str">
        <f>IFERROR(__xludf.DUMMYFUNCTION("GOOGLETRANSLATE(B114, ""en"", ""hi"")"),"गिल्ली_डंडा_29")</f>
        <v>गिल्ली_डंडा_29</v>
      </c>
      <c r="I114" s="8" t="str">
        <f>IFERROR(__xludf.DUMMYFUNCTION("GOOGLETRANSLATE(C114, ""en"", ""hi"")"),"चित्र में दिखाए गए खेल की सामान्य अवधि क्या है?")</f>
        <v>चित्र में दिखाए गए खेल की सामान्य अवधि क्या है?</v>
      </c>
      <c r="J114" s="8" t="str">
        <f>IFERROR(__xludf.DUMMYFUNCTION("GOOGLETRANSLATE(D114, ""en"", ""hi"")"),"A) 30 मिनट, B) 60 मिनट, C) 90 मिनट, D) 120 मिनट")</f>
        <v>A) 30 मिनट, B) 60 मिनट, C) 90 मिनट, D) 120 मिनट</v>
      </c>
      <c r="K114" s="8" t="str">
        <f>IFERROR(__xludf.DUMMYFUNCTION("GOOGLETRANSLATE(E114, ""en"", ""hi"")"),"बी) 60 मिनट")</f>
        <v>बी) 60 मिनट</v>
      </c>
    </row>
    <row r="115" ht="22.5" customHeight="1">
      <c r="A115" s="2">
        <v>114.0</v>
      </c>
      <c r="B115" s="3" t="s">
        <v>4881</v>
      </c>
      <c r="C115" s="3" t="s">
        <v>4885</v>
      </c>
      <c r="D115" s="3" t="s">
        <v>4886</v>
      </c>
      <c r="E115" s="3" t="s">
        <v>4887</v>
      </c>
      <c r="G115" s="8" t="str">
        <f>IFERROR(__xludf.DUMMYFUNCTION("GOOGLETRANSLATE(A115, ""en"", ""hi"")"),"114")</f>
        <v>114</v>
      </c>
      <c r="H115" s="8" t="str">
        <f>IFERROR(__xludf.DUMMYFUNCTION("GOOGLETRANSLATE(B115, ""en"", ""hi"")"),"गिल्ली_डंडा_29")</f>
        <v>गिल्ली_डंडा_29</v>
      </c>
      <c r="I115" s="8" t="str">
        <f>IFERROR(__xludf.DUMMYFUNCTION("GOOGLETRANSLATE(C115, ""en"", ""hi"")"),"चित्र में दिखाए गए खेल में लक्ष्य का कौन सा भाग निशाना बनाया जाता है?")</f>
        <v>चित्र में दिखाए गए खेल में लक्ष्य का कौन सा भाग निशाना बनाया जाता है?</v>
      </c>
      <c r="J115" s="8" t="str">
        <f>IFERROR(__xludf.DUMMYFUNCTION("GOOGLETRANSLATE(D115, ""en"", ""hi"")"),"A) केंद्र, B) किनारा, C) शीर्ष, D) निचला भाग")</f>
        <v>A) केंद्र, B) किनारा, C) शीर्ष, D) निचला भाग</v>
      </c>
      <c r="K115" s="8" t="str">
        <f>IFERROR(__xludf.DUMMYFUNCTION("GOOGLETRANSLATE(E115, ""en"", ""hi"")"),"ए) केंद्र")</f>
        <v>ए) केंद्र</v>
      </c>
    </row>
    <row r="116" ht="22.5" customHeight="1">
      <c r="A116" s="2">
        <v>115.0</v>
      </c>
      <c r="B116" s="3" t="s">
        <v>4881</v>
      </c>
      <c r="C116" s="3" t="s">
        <v>4888</v>
      </c>
      <c r="D116" s="3" t="s">
        <v>4889</v>
      </c>
      <c r="E116" s="3" t="s">
        <v>3101</v>
      </c>
      <c r="G116" s="8" t="str">
        <f>IFERROR(__xludf.DUMMYFUNCTION("GOOGLETRANSLATE(A116, ""en"", ""hi"")"),"115")</f>
        <v>115</v>
      </c>
      <c r="H116" s="8" t="str">
        <f>IFERROR(__xludf.DUMMYFUNCTION("GOOGLETRANSLATE(B116, ""en"", ""hi"")"),"गिल्ली_डंडा_29")</f>
        <v>गिल्ली_डंडा_29</v>
      </c>
      <c r="I116" s="8" t="str">
        <f>IFERROR(__xludf.DUMMYFUNCTION("GOOGLETRANSLATE(C116, ""en"", ""hi"")"),"चित्र में दिखाए गए खेल के लिए, लक्ष्य की विशिष्ट सामग्री क्या है?")</f>
        <v>चित्र में दिखाए गए खेल के लिए, लक्ष्य की विशिष्ट सामग्री क्या है?</v>
      </c>
      <c r="J116" s="8" t="str">
        <f>IFERROR(__xludf.DUMMYFUNCTION("GOOGLETRANSLATE(D116, ""en"", ""hi"")"),"A) लकड़ी, B) धातु, C) प्लास्टिक, D) पत्थर")</f>
        <v>A) लकड़ी, B) धातु, C) प्लास्टिक, D) पत्थर</v>
      </c>
      <c r="K116" s="8" t="str">
        <f>IFERROR(__xludf.DUMMYFUNCTION("GOOGLETRANSLATE(E116, ""en"", ""hi"")"),"एक लकड़ी")</f>
        <v>एक लकड़ी</v>
      </c>
    </row>
    <row r="117" ht="22.5" customHeight="1">
      <c r="A117" s="2">
        <v>116.0</v>
      </c>
      <c r="B117" s="3" t="s">
        <v>4881</v>
      </c>
      <c r="C117" s="3" t="s">
        <v>4890</v>
      </c>
      <c r="D117" s="3" t="s">
        <v>4891</v>
      </c>
      <c r="E117" s="3" t="s">
        <v>4892</v>
      </c>
      <c r="G117" s="8" t="str">
        <f>IFERROR(__xludf.DUMMYFUNCTION("GOOGLETRANSLATE(A117, ""en"", ""hi"")"),"116")</f>
        <v>116</v>
      </c>
      <c r="H117" s="8" t="str">
        <f>IFERROR(__xludf.DUMMYFUNCTION("GOOGLETRANSLATE(B117, ""en"", ""hi"")"),"गिल्ली_डंडा_29")</f>
        <v>गिल्ली_डंडा_29</v>
      </c>
      <c r="I117" s="8" t="str">
        <f>IFERROR(__xludf.DUMMYFUNCTION("GOOGLETRANSLATE(C117, ""en"", ""hi"")"),"चित्र में दिखाए गए खेल के लिए, कौन सा समूह अक्सर यह खेल खेलता है?")</f>
        <v>चित्र में दिखाए गए खेल के लिए, कौन सा समूह अक्सर यह खेल खेलता है?</v>
      </c>
      <c r="J117" s="8" t="str">
        <f>IFERROR(__xludf.DUMMYFUNCTION("GOOGLETRANSLATE(D117, ""en"", ""hi"")"),"A) बच्चे, B) वयस्क, C) बुजुर्ग, D) उपरोक्त सभी")</f>
        <v>A) बच्चे, B) वयस्क, C) बुजुर्ग, D) उपरोक्त सभी</v>
      </c>
      <c r="K117" s="8" t="str">
        <f>IFERROR(__xludf.DUMMYFUNCTION("GOOGLETRANSLATE(E117, ""en"", ""hi"")"),"एक बच्चा")</f>
        <v>एक बच्चा</v>
      </c>
    </row>
    <row r="118" ht="22.5" customHeight="1">
      <c r="A118" s="2">
        <v>117.0</v>
      </c>
      <c r="B118" s="3" t="s">
        <v>4893</v>
      </c>
      <c r="C118" s="3" t="s">
        <v>4894</v>
      </c>
      <c r="D118" s="3" t="s">
        <v>4895</v>
      </c>
      <c r="E118" s="3" t="s">
        <v>4896</v>
      </c>
      <c r="G118" s="8" t="str">
        <f>IFERROR(__xludf.DUMMYFUNCTION("GOOGLETRANSLATE(A118, ""en"", ""hi"")"),"117")</f>
        <v>117</v>
      </c>
      <c r="H118" s="8" t="str">
        <f>IFERROR(__xludf.DUMMYFUNCTION("GOOGLETRANSLATE(B118, ""en"", ""hi"")"),"गिल्ली_डंडा_30")</f>
        <v>गिल्ली_डंडा_30</v>
      </c>
      <c r="I118" s="8" t="str">
        <f>IFERROR(__xludf.DUMMYFUNCTION("GOOGLETRANSLATE(C118, ""en"", ""hi"")"),"चित्र में दिखाए गए खेल के लिए, लक्ष्य को प्रारम्भ में किस प्रकार रखा जाता है?")</f>
        <v>चित्र में दिखाए गए खेल के लिए, लक्ष्य को प्रारम्भ में किस प्रकार रखा जाता है?</v>
      </c>
      <c r="J118" s="8" t="str">
        <f>IFERROR(__xludf.DUMMYFUNCTION("GOOGLETRANSLATE(D118, ""en"", ""hi"")"),"A) सीधा, B) ज़मीन पर सपाट, C) पेड़ से लटका हुआ, D) कुरसी पर")</f>
        <v>A) सीधा, B) ज़मीन पर सपाट, C) पेड़ से लटका हुआ, D) कुरसी पर</v>
      </c>
      <c r="K118" s="8" t="str">
        <f>IFERROR(__xludf.DUMMYFUNCTION("GOOGLETRANSLATE(E118, ""en"", ""hi"")"),"बी) ज़मीन पर सपाट")</f>
        <v>बी) ज़मीन पर सपाट</v>
      </c>
    </row>
    <row r="119" ht="22.5" customHeight="1">
      <c r="A119" s="2">
        <v>118.0</v>
      </c>
      <c r="B119" s="3" t="s">
        <v>4893</v>
      </c>
      <c r="C119" s="3" t="s">
        <v>4897</v>
      </c>
      <c r="D119" s="3" t="s">
        <v>4898</v>
      </c>
      <c r="E119" s="3" t="s">
        <v>4899</v>
      </c>
      <c r="G119" s="8" t="str">
        <f>IFERROR(__xludf.DUMMYFUNCTION("GOOGLETRANSLATE(A119, ""en"", ""hi"")"),"118")</f>
        <v>118</v>
      </c>
      <c r="H119" s="8" t="str">
        <f>IFERROR(__xludf.DUMMYFUNCTION("GOOGLETRANSLATE(B119, ""en"", ""hi"")"),"गिल्ली_डंडा_30")</f>
        <v>गिल्ली_डंडा_30</v>
      </c>
      <c r="I119" s="8" t="str">
        <f>IFERROR(__xludf.DUMMYFUNCTION("GOOGLETRANSLATE(C119, ""en"", ""hi"")"),"चित्र में दिखाए गए खेल के लिए लक्ष्य को बेलनाकार बनाने का क्या उद्देश्य है?")</f>
        <v>चित्र में दिखाए गए खेल के लिए लक्ष्य को बेलनाकार बनाने का क्या उद्देश्य है?</v>
      </c>
      <c r="J119" s="8" t="str">
        <f>IFERROR(__xludf.DUMMYFUNCTION("GOOGLETRANSLATE(D119, ""en"", ""hi"")"),"A) इसे मारना आसान बनाने के लिए, B) इसे अधिक चुनौतीपूर्ण बनाने के लिए, C) यह सुनिश्चित करने के लिए कि यह ठीक से लुढ़के, D) एक स्थिर आधार प्रदान करने के लिए")</f>
        <v>A) इसे मारना आसान बनाने के लिए, B) इसे अधिक चुनौतीपूर्ण बनाने के लिए, C) यह सुनिश्चित करने के लिए कि यह ठीक से लुढ़के, D) एक स्थिर आधार प्रदान करने के लिए</v>
      </c>
      <c r="K119" s="8" t="str">
        <f>IFERROR(__xludf.DUMMYFUNCTION("GOOGLETRANSLATE(E119, ""en"", ""hi"")"),"A) मारना आसान बनाने के लिए")</f>
        <v>A) मारना आसान बनाने के लिए</v>
      </c>
    </row>
    <row r="120" ht="22.5" customHeight="1">
      <c r="A120" s="2">
        <v>119.0</v>
      </c>
      <c r="B120" s="3" t="s">
        <v>4893</v>
      </c>
      <c r="C120" s="3" t="s">
        <v>4900</v>
      </c>
      <c r="D120" s="3" t="s">
        <v>4901</v>
      </c>
      <c r="E120" s="3" t="s">
        <v>4902</v>
      </c>
      <c r="G120" s="8" t="str">
        <f>IFERROR(__xludf.DUMMYFUNCTION("GOOGLETRANSLATE(A120, ""en"", ""hi"")"),"119")</f>
        <v>119</v>
      </c>
      <c r="H120" s="8" t="str">
        <f>IFERROR(__xludf.DUMMYFUNCTION("GOOGLETRANSLATE(B120, ""en"", ""hi"")"),"गिल्ली_डंडा_30")</f>
        <v>गिल्ली_डंडा_30</v>
      </c>
      <c r="I120" s="8" t="str">
        <f>IFERROR(__xludf.DUMMYFUNCTION("GOOGLETRANSLATE(C120, ""en"", ""hi"")"),"चित्र में दिखाए गए खेल में यदि लक्ष्य पर सही ढंग से प्रहार नहीं किया गया तो क्या होगा?")</f>
        <v>चित्र में दिखाए गए खेल में यदि लक्ष्य पर सही ढंग से प्रहार नहीं किया गया तो क्या होगा?</v>
      </c>
      <c r="J120" s="8" t="str">
        <f>IFERROR(__xludf.DUMMYFUNCTION("GOOGLETRANSLATE(D120, ""en"", ""hi"")"),"A) लक्ष्य पुनः निर्धारित हो जाता है, B) बारी खो जाती है, C) प्रतिद्वंद्वी अंक प्राप्त कर लेता है, D) खेल रुक जाता है")</f>
        <v>A) लक्ष्य पुनः निर्धारित हो जाता है, B) बारी खो जाती है, C) प्रतिद्वंद्वी अंक प्राप्त कर लेता है, D) खेल रुक जाता है</v>
      </c>
      <c r="K120" s="8" t="str">
        <f>IFERROR(__xludf.DUMMYFUNCTION("GOOGLETRANSLATE(E120, ""en"", ""hi"")"),"B) बारी खो गई है")</f>
        <v>B) बारी खो गई है</v>
      </c>
    </row>
    <row r="121" ht="22.5" customHeight="1">
      <c r="A121" s="2">
        <v>120.0</v>
      </c>
      <c r="B121" s="3" t="s">
        <v>4893</v>
      </c>
      <c r="C121" s="3" t="s">
        <v>4903</v>
      </c>
      <c r="D121" s="3" t="s">
        <v>4904</v>
      </c>
      <c r="E121" s="3" t="s">
        <v>4905</v>
      </c>
      <c r="G121" s="8" t="str">
        <f>IFERROR(__xludf.DUMMYFUNCTION("GOOGLETRANSLATE(A121, ""en"", ""hi"")"),"120")</f>
        <v>120</v>
      </c>
      <c r="H121" s="8" t="str">
        <f>IFERROR(__xludf.DUMMYFUNCTION("GOOGLETRANSLATE(B121, ""en"", ""hi"")"),"गिल्ली_डंडा_30")</f>
        <v>गिल्ली_डंडा_30</v>
      </c>
      <c r="I121" s="8" t="str">
        <f>IFERROR(__xludf.DUMMYFUNCTION("GOOGLETRANSLATE(C121, ""en"", ""hi"")"),"चित्र में दिखाए गए खेल के लिए, प्रतिद्वंद्वी के लिए सामान्य रक्षात्मक रणनीति क्या है?")</f>
        <v>चित्र में दिखाए गए खेल के लिए, प्रतिद्वंद्वी के लिए सामान्य रक्षात्मक रणनीति क्या है?</v>
      </c>
      <c r="J121" s="8" t="str">
        <f>IFERROR(__xludf.DUMMYFUNCTION("GOOGLETRANSLATE(D121, ""en"", ""hi"")"),"A) गिल्ली पकड़ना, B) डंडा रोकना, C) गिल्ली छिपाना, D) गिल्ली के पीछे दौड़ना")</f>
        <v>A) गिल्ली पकड़ना, B) डंडा रोकना, C) गिल्ली छिपाना, D) गिल्ली के पीछे दौड़ना</v>
      </c>
      <c r="K121" s="8" t="str">
        <f>IFERROR(__xludf.DUMMYFUNCTION("GOOGLETRANSLATE(E121, ""en"", ""hi"")"),"A) गिल्ली पकड़ना")</f>
        <v>A) गिल्ली पकड़ना</v>
      </c>
    </row>
    <row r="122">
      <c r="A122" s="5"/>
      <c r="B122" s="5"/>
      <c r="C122" s="5"/>
      <c r="D122" s="5"/>
      <c r="E122" s="5"/>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6.5"/>
    <col customWidth="1" min="3" max="4" width="37.63"/>
    <col customWidth="1" min="5" max="5" width="16.75"/>
    <col customWidth="1" min="9" max="10" width="37.63"/>
    <col customWidth="1" min="11" max="11" width="16.38"/>
  </cols>
  <sheetData>
    <row r="1" ht="22.5" customHeight="1">
      <c r="A1" s="1" t="s">
        <v>0</v>
      </c>
      <c r="B1" s="1" t="s">
        <v>4906</v>
      </c>
      <c r="C1" s="1" t="s">
        <v>2</v>
      </c>
      <c r="D1" s="1" t="s">
        <v>3</v>
      </c>
      <c r="E1" s="1" t="s">
        <v>4</v>
      </c>
      <c r="G1" s="7" t="s">
        <v>5</v>
      </c>
      <c r="H1" s="7" t="s">
        <v>4907</v>
      </c>
      <c r="I1" s="7" t="s">
        <v>7</v>
      </c>
      <c r="J1" s="7" t="s">
        <v>8</v>
      </c>
      <c r="K1" s="7" t="s">
        <v>9</v>
      </c>
    </row>
    <row r="2" ht="22.5" customHeight="1">
      <c r="A2" s="2">
        <v>1.0</v>
      </c>
      <c r="B2" s="3" t="s">
        <v>4908</v>
      </c>
      <c r="C2" s="3" t="s">
        <v>3804</v>
      </c>
      <c r="D2" s="3" t="s">
        <v>4909</v>
      </c>
      <c r="E2" s="3" t="s">
        <v>3422</v>
      </c>
      <c r="G2" s="8" t="s">
        <v>4910</v>
      </c>
      <c r="H2" s="8" t="s">
        <v>4911</v>
      </c>
      <c r="I2" s="8" t="s">
        <v>4912</v>
      </c>
      <c r="J2" s="8" t="s">
        <v>4913</v>
      </c>
      <c r="K2" s="8" t="s">
        <v>4914</v>
      </c>
    </row>
    <row r="3" ht="22.5" customHeight="1">
      <c r="A3" s="2">
        <v>2.0</v>
      </c>
      <c r="B3" s="3" t="s">
        <v>4908</v>
      </c>
      <c r="C3" s="3" t="s">
        <v>4915</v>
      </c>
      <c r="D3" s="3" t="s">
        <v>4916</v>
      </c>
      <c r="E3" s="3" t="s">
        <v>4917</v>
      </c>
      <c r="G3" s="8" t="str">
        <f>IFERROR(__xludf.DUMMYFUNCTION("GOOGLETRANSLATE(A3, ""en"", ""hi"")"),"2")</f>
        <v>2</v>
      </c>
      <c r="H3" s="8" t="str">
        <f>IFERROR(__xludf.DUMMYFUNCTION("GOOGLETRANSLATE(B3, ""en"", ""hi"")"),"थांग-ता_1")</f>
        <v>थांग-ता_1</v>
      </c>
      <c r="I3" s="8" t="str">
        <f>IFERROR(__xludf.DUMMYFUNCTION("GOOGLETRANSLATE(C3, ""en"", ""hi"")"),"चित्र में दिखाए गए खेल में आक्रमण के लिए सामान्यतः किस मुद्रा का प्रयोग किया जाता है?")</f>
        <v>चित्र में दिखाए गए खेल में आक्रमण के लिए सामान्यतः किस मुद्रा का प्रयोग किया जाता है?</v>
      </c>
      <c r="J3" s="8" t="str">
        <f>IFERROR(__xludf.DUMMYFUNCTION("GOOGLETRANSLATE(D3, ""en"", ""hi"")"),"A) अश्व मुद्रा, B) सारस मुद्रा, C) ड्रैगन मुद्रा, D) चील मुद्रा")</f>
        <v>A) अश्व मुद्रा, B) सारस मुद्रा, C) ड्रैगन मुद्रा, D) चील मुद्रा</v>
      </c>
      <c r="K3" s="8" t="str">
        <f>IFERROR(__xludf.DUMMYFUNCTION("GOOGLETRANSLATE(E3, ""en"", ""hi"")"),"A) घोड़े की मुद्रा")</f>
        <v>A) घोड़े की मुद्रा</v>
      </c>
    </row>
    <row r="4" ht="22.5" customHeight="1">
      <c r="A4" s="2">
        <v>3.0</v>
      </c>
      <c r="B4" s="3" t="s">
        <v>4908</v>
      </c>
      <c r="C4" s="3" t="s">
        <v>4918</v>
      </c>
      <c r="D4" s="3" t="s">
        <v>4919</v>
      </c>
      <c r="E4" s="3" t="s">
        <v>4920</v>
      </c>
      <c r="G4" s="8" t="str">
        <f>IFERROR(__xludf.DUMMYFUNCTION("GOOGLETRANSLATE(A4, ""en"", ""hi"")"),"3")</f>
        <v>3</v>
      </c>
      <c r="H4" s="8" t="str">
        <f>IFERROR(__xludf.DUMMYFUNCTION("GOOGLETRANSLATE(B4, ""en"", ""hi"")"),"थांग-ता_1")</f>
        <v>थांग-ता_1</v>
      </c>
      <c r="I4" s="8" t="str">
        <f>IFERROR(__xludf.DUMMYFUNCTION("GOOGLETRANSLATE(C4, ""en"", ""hi"")"),"चित्र में दर्शाए गए खेल के लिए प्रशिक्षण का मुख्य उद्देश्य क्या है?")</f>
        <v>चित्र में दर्शाए गए खेल के लिए प्रशिक्षण का मुख्य उद्देश्य क्या है?</v>
      </c>
      <c r="J4" s="8" t="str">
        <f>IFERROR(__xludf.DUMMYFUNCTION("GOOGLETRANSLATE(D4, ""en"", ""hi"")"),"A) शक्ति निर्माण, B) गति वृद्धि, C) युद्ध कौशल, D) लचीलापन")</f>
        <v>A) शक्ति निर्माण, B) गति वृद्धि, C) युद्ध कौशल, D) लचीलापन</v>
      </c>
      <c r="K4" s="8" t="str">
        <f>IFERROR(__xludf.DUMMYFUNCTION("GOOGLETRANSLATE(E4, ""en"", ""hi"")"),"सी) युद्ध कौशल")</f>
        <v>सी) युद्ध कौशल</v>
      </c>
    </row>
    <row r="5" ht="22.5" customHeight="1">
      <c r="A5" s="2">
        <v>4.0</v>
      </c>
      <c r="B5" s="3" t="s">
        <v>4908</v>
      </c>
      <c r="C5" s="3" t="s">
        <v>4921</v>
      </c>
      <c r="D5" s="3" t="s">
        <v>4922</v>
      </c>
      <c r="E5" s="3" t="s">
        <v>4923</v>
      </c>
      <c r="G5" s="8" t="str">
        <f>IFERROR(__xludf.DUMMYFUNCTION("GOOGLETRANSLATE(A5, ""en"", ""hi"")"),"4")</f>
        <v>4</v>
      </c>
      <c r="H5" s="8" t="str">
        <f>IFERROR(__xludf.DUMMYFUNCTION("GOOGLETRANSLATE(B5, ""en"", ""hi"")"),"थांग-ता_1")</f>
        <v>थांग-ता_1</v>
      </c>
      <c r="I5" s="8" t="str">
        <f>IFERROR(__xludf.DUMMYFUNCTION("GOOGLETRANSLATE(C5, ""en"", ""hi"")"),"चित्र में दिखाए गए खेल में आमतौर पर कौन सा सुरक्षात्मक गियर प्रयोग किया जाता है?")</f>
        <v>चित्र में दिखाए गए खेल में आमतौर पर कौन सा सुरक्षात्मक गियर प्रयोग किया जाता है?</v>
      </c>
      <c r="J5" s="8" t="str">
        <f>IFERROR(__xludf.DUMMYFUNCTION("GOOGLETRANSLATE(D5, ""en"", ""hi"")"),"A) हेलमेट, B) दस्ताने, C) घुटने के पैड, D) पिंडली गार्ड")</f>
        <v>A) हेलमेट, B) दस्ताने, C) घुटने के पैड, D) पिंडली गार्ड</v>
      </c>
      <c r="K5" s="8" t="str">
        <f>IFERROR(__xludf.DUMMYFUNCTION("GOOGLETRANSLATE(E5, ""en"", ""hi"")"),"ए) हेलमेट")</f>
        <v>ए) हेलमेट</v>
      </c>
    </row>
    <row r="6" ht="22.5" customHeight="1">
      <c r="A6" s="2">
        <v>5.0</v>
      </c>
      <c r="B6" s="3" t="s">
        <v>4924</v>
      </c>
      <c r="C6" s="3" t="s">
        <v>4925</v>
      </c>
      <c r="D6" s="3" t="s">
        <v>4926</v>
      </c>
      <c r="E6" s="3" t="s">
        <v>4927</v>
      </c>
      <c r="G6" s="8" t="str">
        <f>IFERROR(__xludf.DUMMYFUNCTION("GOOGLETRANSLATE(A6, ""en"", ""hi"")"),"5")</f>
        <v>5</v>
      </c>
      <c r="H6" s="8" t="str">
        <f>IFERROR(__xludf.DUMMYFUNCTION("GOOGLETRANSLATE(B6, ""en"", ""hi"")"),"थांग-ता_2")</f>
        <v>थांग-ता_2</v>
      </c>
      <c r="I6" s="8" t="str">
        <f>IFERROR(__xludf.DUMMYFUNCTION("GOOGLETRANSLATE(C6, ""en"", ""hi"")"),"चित्र में दिखाए गए खेल के लिए निम्नलिखित में से कौन सी तकनीक अक्सर अपनाई जाती है?")</f>
        <v>चित्र में दिखाए गए खेल के लिए निम्नलिखित में से कौन सी तकनीक अक्सर अपनाई जाती है?</v>
      </c>
      <c r="J6" s="8" t="str">
        <f>IFERROR(__xludf.DUMMYFUNCTION("GOOGLETRANSLATE(D6, ""en"", ""hi"")"),"A) हाथापाई, B) लात मारना, C) मुक्का मारना, D) चकमा देना")</f>
        <v>A) हाथापाई, B) लात मारना, C) मुक्का मारना, D) चकमा देना</v>
      </c>
      <c r="K6" s="8" t="str">
        <f>IFERROR(__xludf.DUMMYFUNCTION("GOOGLETRANSLATE(E6, ""en"", ""hi"")"),"बी) लात मारना")</f>
        <v>बी) लात मारना</v>
      </c>
    </row>
    <row r="7" ht="22.5" customHeight="1">
      <c r="A7" s="2">
        <v>6.0</v>
      </c>
      <c r="B7" s="3" t="s">
        <v>4924</v>
      </c>
      <c r="C7" s="3" t="s">
        <v>4928</v>
      </c>
      <c r="D7" s="3" t="s">
        <v>4929</v>
      </c>
      <c r="E7" s="3" t="s">
        <v>622</v>
      </c>
      <c r="G7" s="8" t="str">
        <f>IFERROR(__xludf.DUMMYFUNCTION("GOOGLETRANSLATE(A7, ""en"", ""hi"")"),"6")</f>
        <v>6</v>
      </c>
      <c r="H7" s="8" t="str">
        <f>IFERROR(__xludf.DUMMYFUNCTION("GOOGLETRANSLATE(B7, ""en"", ""hi"")"),"थांग-ता_2")</f>
        <v>थांग-ता_2</v>
      </c>
      <c r="I7" s="8" t="str">
        <f>IFERROR(__xludf.DUMMYFUNCTION("GOOGLETRANSLATE(C7, ""en"", ""hi"")"),"चित्र में दर्शाए गए खेल में अभ्यास के लिए किस प्रकार की सतह का सबसे अधिक उपयोग किया जाता है?")</f>
        <v>चित्र में दर्शाए गए खेल में अभ्यास के लिए किस प्रकार की सतह का सबसे अधिक उपयोग किया जाता है?</v>
      </c>
      <c r="J7" s="8" t="str">
        <f>IFERROR(__xludf.DUMMYFUNCTION("GOOGLETRANSLATE(D7, ""en"", ""hi"")"),"A) घास, B) लकड़ी, C) रेत, D) कंक्रीट")</f>
        <v>A) घास, B) लकड़ी, C) रेत, D) कंक्रीट</v>
      </c>
      <c r="K7" s="8" t="str">
        <f>IFERROR(__xludf.DUMMYFUNCTION("GOOGLETRANSLATE(E7, ""en"", ""hi"")"),"बी) लकड़ी")</f>
        <v>बी) लकड़ी</v>
      </c>
    </row>
    <row r="8" ht="22.5" customHeight="1">
      <c r="A8" s="2">
        <v>7.0</v>
      </c>
      <c r="B8" s="3" t="s">
        <v>4924</v>
      </c>
      <c r="C8" s="3" t="s">
        <v>4930</v>
      </c>
      <c r="D8" s="3" t="s">
        <v>4931</v>
      </c>
      <c r="E8" s="3" t="s">
        <v>4932</v>
      </c>
      <c r="G8" s="8" t="str">
        <f>IFERROR(__xludf.DUMMYFUNCTION("GOOGLETRANSLATE(A8, ""en"", ""hi"")"),"7")</f>
        <v>7</v>
      </c>
      <c r="H8" s="8" t="str">
        <f>IFERROR(__xludf.DUMMYFUNCTION("GOOGLETRANSLATE(B8, ""en"", ""hi"")"),"थांग-ता_2")</f>
        <v>थांग-ता_2</v>
      </c>
      <c r="I8" s="8" t="str">
        <f>IFERROR(__xludf.DUMMYFUNCTION("GOOGLETRANSLATE(C8, ""en"", ""hi"")"),"चित्र में दिखाए गए खेल के अभ्यास के दौरान पहना जाने वाला विशिष्ट परिधान क्या है?")</f>
        <v>चित्र में दिखाए गए खेल के अभ्यास के दौरान पहना जाने वाला विशिष्ट परिधान क्या है?</v>
      </c>
      <c r="J8" s="8" t="str">
        <f>IFERROR(__xludf.DUMMYFUNCTION("GOOGLETRANSLATE(D8, ""en"", ""hi"")"),"A) वर्दी, B) कैजुअल कपड़े, C) कवच, D) पारंपरिक पोशाक")</f>
        <v>A) वर्दी, B) कैजुअल कपड़े, C) कवच, D) पारंपरिक पोशाक</v>
      </c>
      <c r="K8" s="8" t="str">
        <f>IFERROR(__xludf.DUMMYFUNCTION("GOOGLETRANSLATE(E8, ""en"", ""hi"")"),"डी) पारंपरिक पोशाक")</f>
        <v>डी) पारंपरिक पोशाक</v>
      </c>
    </row>
    <row r="9" ht="22.5" customHeight="1">
      <c r="A9" s="2">
        <v>8.0</v>
      </c>
      <c r="B9" s="3" t="s">
        <v>4924</v>
      </c>
      <c r="C9" s="3" t="s">
        <v>4933</v>
      </c>
      <c r="D9" s="3" t="s">
        <v>4934</v>
      </c>
      <c r="E9" s="3" t="s">
        <v>4935</v>
      </c>
      <c r="G9" s="8" t="str">
        <f>IFERROR(__xludf.DUMMYFUNCTION("GOOGLETRANSLATE(A9, ""en"", ""hi"")"),"8")</f>
        <v>8</v>
      </c>
      <c r="H9" s="8" t="str">
        <f>IFERROR(__xludf.DUMMYFUNCTION("GOOGLETRANSLATE(B9, ""en"", ""hi"")"),"थांग-ता_2")</f>
        <v>थांग-ता_2</v>
      </c>
      <c r="I9" s="8" t="str">
        <f>IFERROR(__xludf.DUMMYFUNCTION("GOOGLETRANSLATE(C9, ""en"", ""hi"")"),"चित्र में दर्शाए गए खेल में कुशल खिलाड़ी के लिए क्या शब्द प्रयुक्त होता है?")</f>
        <v>चित्र में दर्शाए गए खेल में कुशल खिलाड़ी के लिए क्या शब्द प्रयुक्त होता है?</v>
      </c>
      <c r="J9" s="8" t="str">
        <f>IFERROR(__xludf.DUMMYFUNCTION("GOOGLETRANSLATE(D9, ""en"", ""hi"")"),"A) गुरु, B) मास्टर, C) सेंसई, D) प्रशिक्षक")</f>
        <v>A) गुरु, B) मास्टर, C) सेंसई, D) प्रशिक्षक</v>
      </c>
      <c r="K9" s="8" t="str">
        <f>IFERROR(__xludf.DUMMYFUNCTION("GOOGLETRANSLATE(E9, ""en"", ""hi"")"),"बी) मास्टर")</f>
        <v>बी) मास्टर</v>
      </c>
    </row>
    <row r="10" ht="22.5" customHeight="1">
      <c r="A10" s="2">
        <v>9.0</v>
      </c>
      <c r="B10" s="3" t="s">
        <v>4936</v>
      </c>
      <c r="C10" s="3" t="s">
        <v>4937</v>
      </c>
      <c r="D10" s="3" t="s">
        <v>4938</v>
      </c>
      <c r="E10" s="3" t="s">
        <v>4939</v>
      </c>
      <c r="G10" s="8" t="str">
        <f>IFERROR(__xludf.DUMMYFUNCTION("GOOGLETRANSLATE(A10, ""en"", ""hi"")"),"9")</f>
        <v>9</v>
      </c>
      <c r="H10" s="8" t="str">
        <f>IFERROR(__xludf.DUMMYFUNCTION("GOOGLETRANSLATE(B10, ""en"", ""hi"")"),"थांग-ता_3")</f>
        <v>थांग-ता_3</v>
      </c>
      <c r="I10" s="8" t="str">
        <f>IFERROR(__xludf.DUMMYFUNCTION("GOOGLETRANSLATE(C10, ""en"", ""hi"")"),"चित्र में दिखाए गए खेल के लिए इनमें से कौन सा प्रमुख प्रशिक्षण घटक है?")</f>
        <v>चित्र में दिखाए गए खेल के लिए इनमें से कौन सा प्रमुख प्रशिक्षण घटक है?</v>
      </c>
      <c r="J10" s="8" t="str">
        <f>IFERROR(__xludf.DUMMYFUNCTION("GOOGLETRANSLATE(D10, ""en"", ""hi"")"),"A) ध्यान, B) धीरज दौड़, C) स्पैरिंग, D) योग")</f>
        <v>A) ध्यान, B) धीरज दौड़, C) स्पैरिंग, D) योग</v>
      </c>
      <c r="K10" s="8" t="str">
        <f>IFERROR(__xludf.DUMMYFUNCTION("GOOGLETRANSLATE(E10, ""en"", ""hi"")"),"सी) स्पैरिंग")</f>
        <v>सी) स्पैरिंग</v>
      </c>
    </row>
    <row r="11" ht="22.5" customHeight="1">
      <c r="A11" s="2">
        <v>10.0</v>
      </c>
      <c r="B11" s="3" t="s">
        <v>4936</v>
      </c>
      <c r="C11" s="3" t="s">
        <v>4940</v>
      </c>
      <c r="D11" s="3" t="s">
        <v>4941</v>
      </c>
      <c r="E11" s="3" t="s">
        <v>4942</v>
      </c>
      <c r="G11" s="8" t="str">
        <f>IFERROR(__xludf.DUMMYFUNCTION("GOOGLETRANSLATE(A11, ""en"", ""hi"")"),"10")</f>
        <v>10</v>
      </c>
      <c r="H11" s="8" t="str">
        <f>IFERROR(__xludf.DUMMYFUNCTION("GOOGLETRANSLATE(B11, ""en"", ""hi"")"),"थांग-ता_3")</f>
        <v>थांग-ता_3</v>
      </c>
      <c r="I11" s="8" t="str">
        <f>IFERROR(__xludf.DUMMYFUNCTION("GOOGLETRANSLATE(C11, ""en"", ""hi"")"),"चित्र में दिखाए गए खेल में, रक्षा के लिए मुख्यतः किस प्रकार के हथियार का उपयोग किया जाता है?")</f>
        <v>चित्र में दिखाए गए खेल में, रक्षा के लिए मुख्यतः किस प्रकार के हथियार का उपयोग किया जाता है?</v>
      </c>
      <c r="J11" s="8" t="str">
        <f>IFERROR(__xludf.DUMMYFUNCTION("GOOGLETRANSLATE(D11, ""en"", ""hi"")"),"A) ढाल, B) चाकू, C) डंडा, D) भाला")</f>
        <v>A) ढाल, B) चाकू, C) डंडा, D) भाला</v>
      </c>
      <c r="K11" s="8" t="str">
        <f>IFERROR(__xludf.DUMMYFUNCTION("GOOGLETRANSLATE(E11, ""en"", ""hi"")"),"ए) शील्ड")</f>
        <v>ए) शील्ड</v>
      </c>
    </row>
    <row r="12" ht="22.5" customHeight="1">
      <c r="A12" s="2">
        <v>11.0</v>
      </c>
      <c r="B12" s="3" t="s">
        <v>4936</v>
      </c>
      <c r="C12" s="3" t="s">
        <v>4943</v>
      </c>
      <c r="D12" s="3" t="s">
        <v>4944</v>
      </c>
      <c r="E12" s="3" t="s">
        <v>4945</v>
      </c>
      <c r="G12" s="8" t="str">
        <f>IFERROR(__xludf.DUMMYFUNCTION("GOOGLETRANSLATE(A12, ""en"", ""hi"")"),"11")</f>
        <v>11</v>
      </c>
      <c r="H12" s="8" t="str">
        <f>IFERROR(__xludf.DUMMYFUNCTION("GOOGLETRANSLATE(B12, ""en"", ""hi"")"),"थांग-ता_3")</f>
        <v>थांग-ता_3</v>
      </c>
      <c r="I12" s="8" t="str">
        <f>IFERROR(__xludf.DUMMYFUNCTION("GOOGLETRANSLATE(C12, ""en"", ""hi"")"),"चित्र में दर्शाए गए खेल के लिए प्रतियोगिता का सामान्य प्रारूप क्या है?")</f>
        <v>चित्र में दर्शाए गए खेल के लिए प्रतियोगिता का सामान्य प्रारूप क्या है?</v>
      </c>
      <c r="J12" s="8" t="str">
        <f>IFERROR(__xludf.DUMMYFUNCTION("GOOGLETRANSLATE(D12, ""en"", ""hi"")"),"ए) टीम बनाम टीम, बी) व्यक्तिगत मुकाबले, सी) रिले दौड़, डी) बाधा कोर्स")</f>
        <v>ए) टीम बनाम टीम, बी) व्यक्तिगत मुकाबले, सी) रिले दौड़, डी) बाधा कोर्स</v>
      </c>
      <c r="K12" s="8" t="str">
        <f>IFERROR(__xludf.DUMMYFUNCTION("GOOGLETRANSLATE(E12, ""en"", ""hi"")"),"बी) व्यक्तिगत मुकाबले")</f>
        <v>बी) व्यक्तिगत मुकाबले</v>
      </c>
    </row>
    <row r="13" ht="22.5" customHeight="1">
      <c r="A13" s="2">
        <v>12.0</v>
      </c>
      <c r="B13" s="3" t="s">
        <v>4936</v>
      </c>
      <c r="C13" s="3" t="s">
        <v>4946</v>
      </c>
      <c r="D13" s="3" t="s">
        <v>4947</v>
      </c>
      <c r="E13" s="3" t="s">
        <v>4948</v>
      </c>
      <c r="G13" s="8" t="str">
        <f>IFERROR(__xludf.DUMMYFUNCTION("GOOGLETRANSLATE(A13, ""en"", ""hi"")"),"12")</f>
        <v>12</v>
      </c>
      <c r="H13" s="8" t="str">
        <f>IFERROR(__xludf.DUMMYFUNCTION("GOOGLETRANSLATE(B13, ""en"", ""hi"")"),"थांग-ता_3")</f>
        <v>थांग-ता_3</v>
      </c>
      <c r="I13" s="8" t="str">
        <f>IFERROR(__xludf.DUMMYFUNCTION("GOOGLETRANSLATE(C13, ""en"", ""hi"")"),"चित्र में दिखाए गए खेल में किस प्रकार के प्रहारों पर जोर दिया जाता है?")</f>
        <v>चित्र में दिखाए गए खेल में किस प्रकार के प्रहारों पर जोर दिया जाता है?</v>
      </c>
      <c r="J13" s="8" t="str">
        <f>IFERROR(__xludf.DUMMYFUNCTION("GOOGLETRANSLATE(D13, ""en"", ""hi"")"),"A) कुंद, B) तीक्ष्ण, C) तेज, D) शक्तिशाली")</f>
        <v>A) कुंद, B) तीक्ष्ण, C) तेज, D) शक्तिशाली</v>
      </c>
      <c r="K13" s="8" t="str">
        <f>IFERROR(__xludf.DUMMYFUNCTION("GOOGLETRANSLATE(E13, ""en"", ""hi"")"),"डी) शक्तिशाली")</f>
        <v>डी) शक्तिशाली</v>
      </c>
    </row>
    <row r="14" ht="22.5" customHeight="1">
      <c r="A14" s="2">
        <v>13.0</v>
      </c>
      <c r="B14" s="3" t="s">
        <v>4936</v>
      </c>
      <c r="C14" s="3" t="s">
        <v>4949</v>
      </c>
      <c r="D14" s="3" t="s">
        <v>4950</v>
      </c>
      <c r="E14" s="3" t="s">
        <v>4951</v>
      </c>
      <c r="G14" s="8" t="str">
        <f>IFERROR(__xludf.DUMMYFUNCTION("GOOGLETRANSLATE(A14, ""en"", ""hi"")"),"13")</f>
        <v>13</v>
      </c>
      <c r="H14" s="8" t="str">
        <f>IFERROR(__xludf.DUMMYFUNCTION("GOOGLETRANSLATE(B14, ""en"", ""hi"")"),"थांग-ता_3")</f>
        <v>थांग-ता_3</v>
      </c>
      <c r="I14" s="8" t="str">
        <f>IFERROR(__xludf.DUMMYFUNCTION("GOOGLETRANSLATE(C14, ""en"", ""hi"")"),"चित्र में दिखाए गए खेल का संबंध किस क्षेत्र से सबसे अधिक है?")</f>
        <v>चित्र में दिखाए गए खेल का संबंध किस क्षेत्र से सबसे अधिक है?</v>
      </c>
      <c r="J14" s="8" t="str">
        <f>IFERROR(__xludf.DUMMYFUNCTION("GOOGLETRANSLATE(D14, ""en"", ""hi"")"),"A) दक्षिण पूर्व एशिया, B) दक्षिण एशिया, C) पूर्वी एशिया, D) मध्य एशिया")</f>
        <v>A) दक्षिण पूर्व एशिया, B) दक्षिण एशिया, C) पूर्वी एशिया, D) मध्य एशिया</v>
      </c>
      <c r="K14" s="8" t="str">
        <f>IFERROR(__xludf.DUMMYFUNCTION("GOOGLETRANSLATE(E14, ""en"", ""hi"")"),"बी) दक्षिण एशिया")</f>
        <v>बी) दक्षिण एशिया</v>
      </c>
    </row>
    <row r="15" ht="22.5" customHeight="1">
      <c r="A15" s="2">
        <v>14.0</v>
      </c>
      <c r="B15" s="3" t="s">
        <v>4952</v>
      </c>
      <c r="C15" s="3" t="s">
        <v>4953</v>
      </c>
      <c r="D15" s="3" t="s">
        <v>4954</v>
      </c>
      <c r="E15" s="3" t="s">
        <v>4955</v>
      </c>
      <c r="G15" s="8" t="str">
        <f>IFERROR(__xludf.DUMMYFUNCTION("GOOGLETRANSLATE(A15, ""en"", ""hi"")"),"14")</f>
        <v>14</v>
      </c>
      <c r="H15" s="8" t="str">
        <f>IFERROR(__xludf.DUMMYFUNCTION("GOOGLETRANSLATE(B15, ""en"", ""hi"")"),"थांग-ता_4")</f>
        <v>थांग-ता_4</v>
      </c>
      <c r="I15" s="8" t="str">
        <f>IFERROR(__xludf.DUMMYFUNCTION("GOOGLETRANSLATE(C15, ""en"", ""hi"")"),"चित्र में दर्शाए गए खेल में चपलता बढ़ाने के लिए किस प्रकार का प्रशिक्षण महत्वपूर्ण है?")</f>
        <v>चित्र में दर्शाए गए खेल में चपलता बढ़ाने के लिए किस प्रकार का प्रशिक्षण महत्वपूर्ण है?</v>
      </c>
      <c r="J15" s="8" t="str">
        <f>IFERROR(__xludf.DUMMYFUNCTION("GOOGLETRANSLATE(D15, ""en"", ""hi"")"),"ए) प्लायोमेट्रिक्स, बी) भारोत्तोलन, सी) दौड़ना, डी) लचीलापन व्यायाम")</f>
        <v>ए) प्लायोमेट्रिक्स, बी) भारोत्तोलन, सी) दौड़ना, डी) लचीलापन व्यायाम</v>
      </c>
      <c r="K15" s="8" t="str">
        <f>IFERROR(__xludf.DUMMYFUNCTION("GOOGLETRANSLATE(E15, ""en"", ""hi"")"),"ए) प्लायोमेट्रिक्स")</f>
        <v>ए) प्लायोमेट्रिक्स</v>
      </c>
    </row>
    <row r="16" ht="22.5" customHeight="1">
      <c r="A16" s="2">
        <v>15.0</v>
      </c>
      <c r="B16" s="3" t="s">
        <v>4952</v>
      </c>
      <c r="C16" s="3" t="s">
        <v>4956</v>
      </c>
      <c r="D16" s="3" t="s">
        <v>4957</v>
      </c>
      <c r="E16" s="3" t="s">
        <v>4958</v>
      </c>
      <c r="G16" s="8" t="str">
        <f>IFERROR(__xludf.DUMMYFUNCTION("GOOGLETRANSLATE(A16, ""en"", ""hi"")"),"15")</f>
        <v>15</v>
      </c>
      <c r="H16" s="8" t="str">
        <f>IFERROR(__xludf.DUMMYFUNCTION("GOOGLETRANSLATE(B16, ""en"", ""hi"")"),"थांग-ता_4")</f>
        <v>थांग-ता_4</v>
      </c>
      <c r="I16" s="8" t="str">
        <f>IFERROR(__xludf.DUMMYFUNCTION("GOOGLETRANSLATE(C16, ""en"", ""hi"")"),"चित्र में दिखाए गए खेल के लिए प्रशिक्षण शुरू करने की सामान्य आयु क्या है?")</f>
        <v>चित्र में दिखाए गए खेल के लिए प्रशिक्षण शुरू करने की सामान्य आयु क्या है?</v>
      </c>
      <c r="J16" s="8" t="str">
        <f>IFERROR(__xludf.DUMMYFUNCTION("GOOGLETRANSLATE(D16, ""en"", ""hi"")"),"A) किशोरावस्था, B) बीस की उम्र के शुरुआती वर्ष, C) बचपन, D) वयस्कता")</f>
        <v>A) किशोरावस्था, B) बीस की उम्र के शुरुआती वर्ष, C) बचपन, D) वयस्कता</v>
      </c>
      <c r="K16" s="8" t="str">
        <f>IFERROR(__xludf.DUMMYFUNCTION("GOOGLETRANSLATE(E16, ""en"", ""hi"")"),"सी) बचपन")</f>
        <v>सी) बचपन</v>
      </c>
    </row>
    <row r="17" ht="22.5" customHeight="1">
      <c r="A17" s="2">
        <v>16.0</v>
      </c>
      <c r="B17" s="3" t="s">
        <v>4952</v>
      </c>
      <c r="C17" s="3" t="s">
        <v>4959</v>
      </c>
      <c r="D17" s="3" t="s">
        <v>4960</v>
      </c>
      <c r="E17" s="3" t="s">
        <v>4961</v>
      </c>
      <c r="G17" s="8" t="str">
        <f>IFERROR(__xludf.DUMMYFUNCTION("GOOGLETRANSLATE(A17, ""en"", ""hi"")"),"16")</f>
        <v>16</v>
      </c>
      <c r="H17" s="8" t="str">
        <f>IFERROR(__xludf.DUMMYFUNCTION("GOOGLETRANSLATE(B17, ""en"", ""hi"")"),"थांग-ता_4")</f>
        <v>थांग-ता_4</v>
      </c>
      <c r="I17" s="8" t="str">
        <f>IFERROR(__xludf.DUMMYFUNCTION("GOOGLETRANSLATE(C17, ""en"", ""hi"")"),"चित्र में दर्शाए गए खेल में, काटा अभ्यास का प्राथमिक केंद्र क्या है?")</f>
        <v>चित्र में दर्शाए गए खेल में, काटा अभ्यास का प्राथमिक केंद्र क्या है?</v>
      </c>
      <c r="J17" s="8" t="str">
        <f>IFERROR(__xludf.DUMMYFUNCTION("GOOGLETRANSLATE(D17, ""en"", ""hi"")"),"A) ताकत, B) रूप, C) गति, D) तकनीक")</f>
        <v>A) ताकत, B) रूप, C) गति, D) तकनीक</v>
      </c>
      <c r="K17" s="8" t="str">
        <f>IFERROR(__xludf.DUMMYFUNCTION("GOOGLETRANSLATE(E17, ""en"", ""hi"")"),"बी) फॉर्म")</f>
        <v>बी) फॉर्म</v>
      </c>
    </row>
    <row r="18" ht="22.5" customHeight="1">
      <c r="A18" s="2">
        <v>17.0</v>
      </c>
      <c r="B18" s="3" t="s">
        <v>4952</v>
      </c>
      <c r="C18" s="3" t="s">
        <v>4962</v>
      </c>
      <c r="D18" s="3" t="s">
        <v>4963</v>
      </c>
      <c r="E18" s="3" t="s">
        <v>4964</v>
      </c>
      <c r="G18" s="8" t="str">
        <f>IFERROR(__xludf.DUMMYFUNCTION("GOOGLETRANSLATE(A18, ""en"", ""hi"")"),"17")</f>
        <v>17</v>
      </c>
      <c r="H18" s="8" t="str">
        <f>IFERROR(__xludf.DUMMYFUNCTION("GOOGLETRANSLATE(B18, ""en"", ""hi"")"),"थांग-ता_4")</f>
        <v>थांग-ता_4</v>
      </c>
      <c r="I18" s="8" t="str">
        <f>IFERROR(__xludf.DUMMYFUNCTION("GOOGLETRANSLATE(C18, ""en"", ""hi"")"),"चित्र में दिखाए गए खेल के लिए प्रतिवर्ष कौन सा सामान्य आयोजन आयोजित किया जाता है?")</f>
        <v>चित्र में दिखाए गए खेल के लिए प्रतिवर्ष कौन सा सामान्य आयोजन आयोजित किया जाता है?</v>
      </c>
      <c r="J18" s="8" t="str">
        <f>IFERROR(__xludf.DUMMYFUNCTION("GOOGLETRANSLATE(D18, ""en"", ""hi"")"),"A) चैम्पियनशिप, B) महोत्सव, C) टूर्नामेंट, D) प्रदर्शनी")</f>
        <v>A) चैम्पियनशिप, B) महोत्सव, C) टूर्नामेंट, D) प्रदर्शनी</v>
      </c>
      <c r="K18" s="8" t="str">
        <f>IFERROR(__xludf.DUMMYFUNCTION("GOOGLETRANSLATE(E18, ""en"", ""hi"")"),"सी) टूर्नामेंट")</f>
        <v>सी) टूर्नामेंट</v>
      </c>
    </row>
    <row r="19" ht="22.5" customHeight="1">
      <c r="A19" s="2">
        <v>18.0</v>
      </c>
      <c r="B19" s="10" t="s">
        <v>4965</v>
      </c>
      <c r="C19" s="3" t="s">
        <v>4966</v>
      </c>
      <c r="D19" s="3" t="s">
        <v>4967</v>
      </c>
      <c r="E19" s="3" t="s">
        <v>4968</v>
      </c>
      <c r="G19" s="8" t="str">
        <f>IFERROR(__xludf.DUMMYFUNCTION("GOOGLETRANSLATE(A19, ""en"", ""hi"")"),"18")</f>
        <v>18</v>
      </c>
      <c r="H19" s="8" t="str">
        <f>IFERROR(__xludf.DUMMYFUNCTION("GOOGLETRANSLATE(B19, ""en"", ""hi"")"),"थांग-ता_5")</f>
        <v>थांग-ता_5</v>
      </c>
      <c r="I19" s="8" t="str">
        <f>IFERROR(__xludf.DUMMYFUNCTION("GOOGLETRANSLATE(C19, ""en"", ""hi"")"),"चित्र में दर्शाए गए खेल में कौशल और सटीकता प्रदर्शित करने के लिए किसका उपयोग किया जाता है?")</f>
        <v>चित्र में दर्शाए गए खेल में कौशल और सटीकता प्रदर्शित करने के लिए किसका उपयोग किया जाता है?</v>
      </c>
      <c r="J19" s="8" t="str">
        <f>IFERROR(__xludf.DUMMYFUNCTION("GOOGLETRANSLATE(D19, ""en"", ""hi"")"),"ए) पैटर्न, बी) मुक्त स्पैरिंग, सी) प्रदर्शन, डी) एकल अभ्यास")</f>
        <v>ए) पैटर्न, बी) मुक्त स्पैरिंग, सी) प्रदर्शन, डी) एकल अभ्यास</v>
      </c>
      <c r="K19" s="8" t="str">
        <f>IFERROR(__xludf.DUMMYFUNCTION("GOOGLETRANSLATE(E19, ""en"", ""hi"")"),"ए) पैटर्न")</f>
        <v>ए) पैटर्न</v>
      </c>
    </row>
    <row r="20" ht="22.5" customHeight="1">
      <c r="A20" s="2">
        <v>19.0</v>
      </c>
      <c r="B20" s="10" t="s">
        <v>4965</v>
      </c>
      <c r="C20" s="3" t="s">
        <v>4969</v>
      </c>
      <c r="D20" s="3" t="s">
        <v>4970</v>
      </c>
      <c r="E20" s="3" t="s">
        <v>4971</v>
      </c>
      <c r="G20" s="8" t="str">
        <f>IFERROR(__xludf.DUMMYFUNCTION("GOOGLETRANSLATE(A20, ""en"", ""hi"")"),"19")</f>
        <v>19</v>
      </c>
      <c r="H20" s="8" t="str">
        <f>IFERROR(__xludf.DUMMYFUNCTION("GOOGLETRANSLATE(B20, ""en"", ""hi"")"),"थांग-ता_5")</f>
        <v>थांग-ता_5</v>
      </c>
      <c r="I20" s="8" t="str">
        <f>IFERROR(__xludf.DUMMYFUNCTION("GOOGLETRANSLATE(C20, ""en"", ""hi"")"),"चित्र में दिखाए गए खेल के लिए, निम्नलिखित में से कौन सी स्कोरिंग की सामान्य विधि है?")</f>
        <v>चित्र में दिखाए गए खेल के लिए, निम्नलिखित में से कौन सी स्कोरिंग की सामान्य विधि है?</v>
      </c>
      <c r="J20" s="8" t="str">
        <f>IFERROR(__xludf.DUMMYFUNCTION("GOOGLETRANSLATE(D20, ""en"", ""hi"")"),"ए) अंक, बी) समय सीमा, सी) नॉकआउट, डी) जजों का निर्णय")</f>
        <v>ए) अंक, बी) समय सीमा, सी) नॉकआउट, डी) जजों का निर्णय</v>
      </c>
      <c r="K20" s="8" t="str">
        <f>IFERROR(__xludf.DUMMYFUNCTION("GOOGLETRANSLATE(E20, ""en"", ""hi"")"),"ए) अंक")</f>
        <v>ए) अंक</v>
      </c>
    </row>
    <row r="21" ht="22.5" customHeight="1">
      <c r="A21" s="2">
        <v>20.0</v>
      </c>
      <c r="B21" s="10" t="s">
        <v>4965</v>
      </c>
      <c r="C21" s="3" t="s">
        <v>4972</v>
      </c>
      <c r="D21" s="3" t="s">
        <v>4973</v>
      </c>
      <c r="E21" s="3" t="s">
        <v>4974</v>
      </c>
      <c r="G21" s="8" t="str">
        <f>IFERROR(__xludf.DUMMYFUNCTION("GOOGLETRANSLATE(A21, ""en"", ""hi"")"),"20")</f>
        <v>20</v>
      </c>
      <c r="H21" s="8" t="str">
        <f>IFERROR(__xludf.DUMMYFUNCTION("GOOGLETRANSLATE(B21, ""en"", ""hi"")"),"थांग-ता_5")</f>
        <v>थांग-ता_5</v>
      </c>
      <c r="I21" s="8" t="str">
        <f>IFERROR(__xludf.DUMMYFUNCTION("GOOGLETRANSLATE(C21, ""en"", ""hi"")"),"चित्र में दिखाए गए खेल में, तकनीकों में निपुणता प्राप्त करने के लिए कौन सा पहलू महत्वपूर्ण है?")</f>
        <v>चित्र में दिखाए गए खेल में, तकनीकों में निपुणता प्राप्त करने के लिए कौन सा पहलू महत्वपूर्ण है?</v>
      </c>
      <c r="J21" s="8" t="str">
        <f>IFERROR(__xludf.DUMMYFUNCTION("GOOGLETRANSLATE(D21, ""en"", ""hi"")"),"A) लचीलापन, B) गति, C) सटीकता, D) ताकत")</f>
        <v>A) लचीलापन, B) गति, C) सटीकता, D) ताकत</v>
      </c>
      <c r="K21" s="8" t="str">
        <f>IFERROR(__xludf.DUMMYFUNCTION("GOOGLETRANSLATE(E21, ""en"", ""hi"")"),"सी) सटीकता")</f>
        <v>सी) सटीकता</v>
      </c>
    </row>
    <row r="22" ht="22.5" customHeight="1">
      <c r="A22" s="2">
        <v>21.0</v>
      </c>
      <c r="B22" s="10" t="s">
        <v>4965</v>
      </c>
      <c r="C22" s="3" t="s">
        <v>4975</v>
      </c>
      <c r="D22" s="3" t="s">
        <v>4976</v>
      </c>
      <c r="E22" s="3" t="s">
        <v>4977</v>
      </c>
      <c r="G22" s="8" t="str">
        <f>IFERROR(__xludf.DUMMYFUNCTION("GOOGLETRANSLATE(A22, ""en"", ""hi"")"),"21")</f>
        <v>21</v>
      </c>
      <c r="H22" s="8" t="str">
        <f>IFERROR(__xludf.DUMMYFUNCTION("GOOGLETRANSLATE(B22, ""en"", ""hi"")"),"थांग-ता_5")</f>
        <v>थांग-ता_5</v>
      </c>
      <c r="I22" s="8" t="str">
        <f>IFERROR(__xludf.DUMMYFUNCTION("GOOGLETRANSLATE(C22, ""en"", ""hi"")"),"चित्र में दर्शाए गए खेल के लिए औपचारिक प्रथाओं का क्या महत्व है?")</f>
        <v>चित्र में दर्शाए गए खेल के लिए औपचारिक प्रथाओं का क्या महत्व है?</v>
      </c>
      <c r="J22" s="8" t="str">
        <f>IFERROR(__xludf.DUMMYFUNCTION("GOOGLETRANSLATE(D22, ""en"", ""hi"")"),"A) सम्मान दिखाने के लिए, B) कौशल बढ़ाने के लिए, C) टीम भावना का निर्माण करने के लिए, D) प्रायोजन प्राप्त करने के लिए")</f>
        <v>A) सम्मान दिखाने के लिए, B) कौशल बढ़ाने के लिए, C) टीम भावना का निर्माण करने के लिए, D) प्रायोजन प्राप्त करने के लिए</v>
      </c>
      <c r="K22" s="8" t="str">
        <f>IFERROR(__xludf.DUMMYFUNCTION("GOOGLETRANSLATE(E22, ""en"", ""hi"")"),"A) सम्मान दिखाने के लिए")</f>
        <v>A) सम्मान दिखाने के लिए</v>
      </c>
    </row>
    <row r="23" ht="22.5" customHeight="1">
      <c r="A23" s="2">
        <v>22.0</v>
      </c>
      <c r="B23" s="10" t="s">
        <v>4978</v>
      </c>
      <c r="C23" s="3" t="s">
        <v>4979</v>
      </c>
      <c r="D23" s="3" t="s">
        <v>4980</v>
      </c>
      <c r="E23" s="3" t="s">
        <v>4981</v>
      </c>
      <c r="G23" s="8" t="str">
        <f>IFERROR(__xludf.DUMMYFUNCTION("GOOGLETRANSLATE(A23, ""en"", ""hi"")"),"22")</f>
        <v>22</v>
      </c>
      <c r="H23" s="8" t="str">
        <f>IFERROR(__xludf.DUMMYFUNCTION("GOOGLETRANSLATE(B23, ""en"", ""hi"")"),"थांग-ता_6")</f>
        <v>थांग-ता_6</v>
      </c>
      <c r="I23" s="8" t="str">
        <f>IFERROR(__xludf.DUMMYFUNCTION("GOOGLETRANSLATE(C23, ""en"", ""hi"")"),"चित्र में दिखाए गए खेल में वार्म-अप अभ्यास का उद्देश्य क्या है?")</f>
        <v>चित्र में दिखाए गए खेल में वार्म-अप अभ्यास का उद्देश्य क्या है?</v>
      </c>
      <c r="J23" s="8" t="str">
        <f>IFERROR(__xludf.DUMMYFUNCTION("GOOGLETRANSLATE(D23, ""en"", ""hi"")"),"A) चोटों को रोकने के लिए, B) ताकत बढ़ाने के लिए, C) तकनीकों का अभ्यास करने के लिए, D) सहनशक्ति में सुधार करने के लिए")</f>
        <v>A) चोटों को रोकने के लिए, B) ताकत बढ़ाने के लिए, C) तकनीकों का अभ्यास करने के लिए, D) सहनशक्ति में सुधार करने के लिए</v>
      </c>
      <c r="K23" s="8" t="str">
        <f>IFERROR(__xludf.DUMMYFUNCTION("GOOGLETRANSLATE(E23, ""en"", ""hi"")"),"A) चोटों को रोकने के लिए")</f>
        <v>A) चोटों को रोकने के लिए</v>
      </c>
    </row>
    <row r="24" ht="22.5" customHeight="1">
      <c r="A24" s="2">
        <v>23.0</v>
      </c>
      <c r="B24" s="10" t="s">
        <v>4978</v>
      </c>
      <c r="C24" s="3" t="s">
        <v>4982</v>
      </c>
      <c r="D24" s="3" t="s">
        <v>4983</v>
      </c>
      <c r="E24" s="3" t="s">
        <v>4984</v>
      </c>
      <c r="G24" s="8" t="str">
        <f>IFERROR(__xludf.DUMMYFUNCTION("GOOGLETRANSLATE(A24, ""en"", ""hi"")"),"23")</f>
        <v>23</v>
      </c>
      <c r="H24" s="8" t="str">
        <f>IFERROR(__xludf.DUMMYFUNCTION("GOOGLETRANSLATE(B24, ""en"", ""hi"")"),"थांग-ता_6")</f>
        <v>थांग-ता_6</v>
      </c>
      <c r="I24" s="8" t="str">
        <f>IFERROR(__xludf.DUMMYFUNCTION("GOOGLETRANSLATE(C24, ""en"", ""hi"")"),"चित्र में दर्शाए गए खेल के लिए सामान्य प्रकार की प्रतियोगिता क्या है?")</f>
        <v>चित्र में दर्शाए गए खेल के लिए सामान्य प्रकार की प्रतियोगिता क्या है?</v>
      </c>
      <c r="J24" s="8" t="str">
        <f>IFERROR(__xludf.DUMMYFUNCTION("GOOGLETRANSLATE(D24, ""en"", ""hi"")"),"ए) नॉकआउट, बी) राउंड-रॉबिन, सी) लीग, डी) आमंत्रण")</f>
        <v>ए) नॉकआउट, बी) राउंड-रॉबिन, सी) लीग, डी) आमंत्रण</v>
      </c>
      <c r="K24" s="8" t="str">
        <f>IFERROR(__xludf.DUMMYFUNCTION("GOOGLETRANSLATE(E24, ""en"", ""hi"")"),"ए) नॉकआउट")</f>
        <v>ए) नॉकआउट</v>
      </c>
    </row>
    <row r="25" ht="22.5" customHeight="1">
      <c r="A25" s="2">
        <v>24.0</v>
      </c>
      <c r="B25" s="10" t="s">
        <v>4978</v>
      </c>
      <c r="C25" s="3" t="s">
        <v>4985</v>
      </c>
      <c r="D25" s="3" t="s">
        <v>4986</v>
      </c>
      <c r="E25" s="3" t="s">
        <v>4987</v>
      </c>
      <c r="G25" s="8" t="str">
        <f>IFERROR(__xludf.DUMMYFUNCTION("GOOGLETRANSLATE(A25, ""en"", ""hi"")"),"24")</f>
        <v>24</v>
      </c>
      <c r="H25" s="8" t="str">
        <f>IFERROR(__xludf.DUMMYFUNCTION("GOOGLETRANSLATE(B25, ""en"", ""hi"")"),"थांग-ता_6")</f>
        <v>थांग-ता_6</v>
      </c>
      <c r="I25" s="8" t="str">
        <f>IFERROR(__xludf.DUMMYFUNCTION("GOOGLETRANSLATE(C25, ""en"", ""hi"")"),"चित्र में दिखाए गए खेल में मैचों के दौरान अक्सर किस प्रकार की रणनीति अपनाई जाती है?")</f>
        <v>चित्र में दिखाए गए खेल में मैचों के दौरान अक्सर किस प्रकार की रणनीति अपनाई जाती है?</v>
      </c>
      <c r="J25" s="8" t="str">
        <f>IFERROR(__xludf.DUMMYFUNCTION("GOOGLETRANSLATE(D25, ""en"", ""hi"")"),"A) आक्रामक, B) रक्षात्मक, C) संतुलित, D) आक्रामक")</f>
        <v>A) आक्रामक, B) रक्षात्मक, C) संतुलित, D) आक्रामक</v>
      </c>
      <c r="K25" s="8" t="str">
        <f>IFERROR(__xludf.DUMMYFUNCTION("GOOGLETRANSLATE(E25, ""en"", ""hi"")"),"बी) रक्षात्मक")</f>
        <v>बी) रक्षात्मक</v>
      </c>
    </row>
    <row r="26" ht="22.5" customHeight="1">
      <c r="A26" s="2">
        <v>25.0</v>
      </c>
      <c r="B26" s="10" t="s">
        <v>4978</v>
      </c>
      <c r="C26" s="3" t="s">
        <v>4988</v>
      </c>
      <c r="D26" s="3" t="s">
        <v>4989</v>
      </c>
      <c r="E26" s="3" t="s">
        <v>4990</v>
      </c>
      <c r="G26" s="8" t="str">
        <f>IFERROR(__xludf.DUMMYFUNCTION("GOOGLETRANSLATE(A26, ""en"", ""hi"")"),"25")</f>
        <v>25</v>
      </c>
      <c r="H26" s="8" t="str">
        <f>IFERROR(__xludf.DUMMYFUNCTION("GOOGLETRANSLATE(B26, ""en"", ""hi"")"),"थांग-ता_6")</f>
        <v>थांग-ता_6</v>
      </c>
      <c r="I26" s="8" t="str">
        <f>IFERROR(__xludf.DUMMYFUNCTION("GOOGLETRANSLATE(C26, ""en"", ""hi"")"),"चित्र में दिखाए गए खेल के लिए, इनमें से कौन सी तकनीक आमतौर पर शुरुआती लोगों को सिखाई जाती है?")</f>
        <v>चित्र में दिखाए गए खेल के लिए, इनमें से कौन सी तकनीक आमतौर पर शुरुआती लोगों को सिखाई जाती है?</v>
      </c>
      <c r="J26" s="8" t="str">
        <f>IFERROR(__xludf.DUMMYFUNCTION("GOOGLETRANSLATE(D26, ""en"", ""hi"")"),"A) उन्नत हमले, B) बुनियादी रुख, C) जटिल युद्धाभ्यास, D) उच्च स्तरीय रणनीतियाँ")</f>
        <v>A) उन्नत हमले, B) बुनियादी रुख, C) जटिल युद्धाभ्यास, D) उच्च स्तरीय रणनीतियाँ</v>
      </c>
      <c r="K26" s="8" t="str">
        <f>IFERROR(__xludf.DUMMYFUNCTION("GOOGLETRANSLATE(E26, ""en"", ""hi"")"),"बी) बुनियादी रुख")</f>
        <v>बी) बुनियादी रुख</v>
      </c>
    </row>
    <row r="27" ht="22.5" customHeight="1">
      <c r="A27" s="2">
        <v>26.0</v>
      </c>
      <c r="B27" s="10" t="s">
        <v>4991</v>
      </c>
      <c r="C27" s="3" t="s">
        <v>4992</v>
      </c>
      <c r="D27" s="3" t="s">
        <v>4993</v>
      </c>
      <c r="E27" s="3" t="s">
        <v>3535</v>
      </c>
      <c r="G27" s="8" t="str">
        <f>IFERROR(__xludf.DUMMYFUNCTION("GOOGLETRANSLATE(A27, ""en"", ""hi"")"),"26")</f>
        <v>26</v>
      </c>
      <c r="H27" s="8" t="str">
        <f>IFERROR(__xludf.DUMMYFUNCTION("GOOGLETRANSLATE(B27, ""en"", ""hi"")"),"थांग-ता_7")</f>
        <v>थांग-ता_7</v>
      </c>
      <c r="I27" s="8" t="str">
        <f>IFERROR(__xludf.DUMMYFUNCTION("GOOGLETRANSLATE(C27, ""en"", ""hi"")"),"चित्र में दर्शाए गए खेल में सामान्य प्रकार की ड्रिल क्या है?")</f>
        <v>चित्र में दर्शाए गए खेल में सामान्य प्रकार की ड्रिल क्या है?</v>
      </c>
      <c r="J27" s="8" t="str">
        <f>IFERROR(__xludf.DUMMYFUNCTION("GOOGLETRANSLATE(D27, ""en"", ""hi"")"),"ए) छाया अभ्यास, बी) साथी अभ्यास, सी) धीरज दौड़, डी) शक्ति प्रशिक्षण")</f>
        <v>ए) छाया अभ्यास, बी) साथी अभ्यास, सी) धीरज दौड़, डी) शक्ति प्रशिक्षण</v>
      </c>
      <c r="K27" s="8" t="str">
        <f>IFERROR(__xludf.DUMMYFUNCTION("GOOGLETRANSLATE(E27, ""en"", ""hi"")"),"बी) पार्टनर अभ्यास")</f>
        <v>बी) पार्टनर अभ्यास</v>
      </c>
    </row>
    <row r="28" ht="22.5" customHeight="1">
      <c r="A28" s="2">
        <v>27.0</v>
      </c>
      <c r="B28" s="10" t="s">
        <v>4991</v>
      </c>
      <c r="C28" s="3" t="s">
        <v>4994</v>
      </c>
      <c r="D28" s="3" t="s">
        <v>4995</v>
      </c>
      <c r="E28" s="3" t="s">
        <v>1873</v>
      </c>
      <c r="G28" s="8" t="str">
        <f>IFERROR(__xludf.DUMMYFUNCTION("GOOGLETRANSLATE(A28, ""en"", ""hi"")"),"27")</f>
        <v>27</v>
      </c>
      <c r="H28" s="8" t="str">
        <f>IFERROR(__xludf.DUMMYFUNCTION("GOOGLETRANSLATE(B28, ""en"", ""hi"")"),"थांग-ता_7")</f>
        <v>थांग-ता_7</v>
      </c>
      <c r="I28" s="8" t="str">
        <f>IFERROR(__xludf.DUMMYFUNCTION("GOOGLETRANSLATE(C28, ""en"", ""hi"")"),"चित्र में दिखाए गए खेल के लिए कोच की भूमिका क्या है?")</f>
        <v>चित्र में दिखाए गए खेल के लिए कोच की भूमिका क्या है?</v>
      </c>
      <c r="J28" s="8" t="str">
        <f>IFERROR(__xludf.DUMMYFUNCTION("GOOGLETRANSLATE(D28, ""en"", ""hi"")"),"A) तकनीकों का प्रदर्शन करना, B) प्रेरित करना, C) प्रशिक्षण कार्यक्रम डिजाइन करना, D) उपरोक्त सभी")</f>
        <v>A) तकनीकों का प्रदर्शन करना, B) प्रेरित करना, C) प्रशिक्षण कार्यक्रम डिजाइन करना, D) उपरोक्त सभी</v>
      </c>
      <c r="K28" s="8" t="str">
        <f>IFERROR(__xludf.DUMMYFUNCTION("GOOGLETRANSLATE(E28, ""en"", ""hi"")"),"D। उपरोक्त सभी")</f>
        <v>D। उपरोक्त सभी</v>
      </c>
    </row>
    <row r="29" ht="22.5" customHeight="1">
      <c r="A29" s="2">
        <v>28.0</v>
      </c>
      <c r="B29" s="10" t="s">
        <v>4991</v>
      </c>
      <c r="C29" s="3" t="s">
        <v>4996</v>
      </c>
      <c r="D29" s="3" t="s">
        <v>4997</v>
      </c>
      <c r="E29" s="3" t="s">
        <v>4998</v>
      </c>
      <c r="G29" s="8" t="str">
        <f>IFERROR(__xludf.DUMMYFUNCTION("GOOGLETRANSLATE(A29, ""en"", ""hi"")"),"28")</f>
        <v>28</v>
      </c>
      <c r="H29" s="8" t="str">
        <f>IFERROR(__xludf.DUMMYFUNCTION("GOOGLETRANSLATE(B29, ""en"", ""hi"")"),"थांग-ता_7")</f>
        <v>थांग-ता_7</v>
      </c>
      <c r="I29" s="8" t="str">
        <f>IFERROR(__xludf.DUMMYFUNCTION("GOOGLETRANSLATE(C29, ""en"", ""hi"")"),"चित्र में दर्शाए गए खेल में, सटीक प्रहारों का अभ्यास करने के लिए अक्सर किसका उपयोग किया जाता है?")</f>
        <v>चित्र में दर्शाए गए खेल में, सटीक प्रहारों का अभ्यास करने के लिए अक्सर किसका उपयोग किया जाता है?</v>
      </c>
      <c r="J29" s="8" t="str">
        <f>IFERROR(__xludf.DUMMYFUNCTION("GOOGLETRANSLATE(D29, ""en"", ""hi"")"),"A) टारगेट, B) डमी, C) भारी बैग, D) स्पीड बॉल")</f>
        <v>A) टारगेट, B) डमी, C) भारी बैग, D) स्पीड बॉल</v>
      </c>
      <c r="K29" s="8" t="str">
        <f>IFERROR(__xludf.DUMMYFUNCTION("GOOGLETRANSLATE(E29, ""en"", ""hi"")"),"ए) लक्ष्य")</f>
        <v>ए) लक्ष्य</v>
      </c>
    </row>
    <row r="30" ht="22.5" customHeight="1">
      <c r="A30" s="2">
        <v>29.0</v>
      </c>
      <c r="B30" s="10" t="s">
        <v>4991</v>
      </c>
      <c r="C30" s="3" t="s">
        <v>4999</v>
      </c>
      <c r="D30" s="3" t="s">
        <v>5000</v>
      </c>
      <c r="E30" s="3" t="s">
        <v>5001</v>
      </c>
      <c r="G30" s="8" t="str">
        <f>IFERROR(__xludf.DUMMYFUNCTION("GOOGLETRANSLATE(A30, ""en"", ""hi"")"),"29")</f>
        <v>29</v>
      </c>
      <c r="H30" s="8" t="str">
        <f>IFERROR(__xludf.DUMMYFUNCTION("GOOGLETRANSLATE(B30, ""en"", ""hi"")"),"थांग-ता_7")</f>
        <v>थांग-ता_7</v>
      </c>
      <c r="I30" s="8" t="str">
        <f>IFERROR(__xludf.DUMMYFUNCTION("GOOGLETRANSLATE(C30, ""en"", ""hi"")"),"चित्र में दिखाए गए खेल में फुटवर्क सुधारने के लिए किस तकनीक का उपयोग किया जाता है?")</f>
        <v>चित्र में दिखाए गए खेल में फुटवर्क सुधारने के लिए किस तकनीक का उपयोग किया जाता है?</v>
      </c>
      <c r="J30" s="8" t="str">
        <f>IFERROR(__xludf.DUMMYFUNCTION("GOOGLETRANSLATE(D30, ""en"", ""hi"")"),"ए) सीढ़ी अभ्यास, बी) रस्सी कूदना, सी) शंकु अभ्यास, डी) संतुलन अभ्यास")</f>
        <v>ए) सीढ़ी अभ्यास, बी) रस्सी कूदना, सी) शंकु अभ्यास, डी) संतुलन अभ्यास</v>
      </c>
      <c r="K30" s="8" t="str">
        <f>IFERROR(__xludf.DUMMYFUNCTION("GOOGLETRANSLATE(E30, ""en"", ""hi"")"),"ए) सीढ़ी ड्रिल")</f>
        <v>ए) सीढ़ी ड्रिल</v>
      </c>
    </row>
    <row r="31" ht="22.5" customHeight="1">
      <c r="A31" s="2">
        <v>30.0</v>
      </c>
      <c r="B31" s="10" t="s">
        <v>5002</v>
      </c>
      <c r="C31" s="3" t="s">
        <v>5003</v>
      </c>
      <c r="D31" s="3" t="s">
        <v>5004</v>
      </c>
      <c r="E31" s="3" t="s">
        <v>5005</v>
      </c>
      <c r="G31" s="8" t="str">
        <f>IFERROR(__xludf.DUMMYFUNCTION("GOOGLETRANSLATE(A31, ""en"", ""hi"")"),"30")</f>
        <v>30</v>
      </c>
      <c r="H31" s="8" t="str">
        <f>IFERROR(__xludf.DUMMYFUNCTION("GOOGLETRANSLATE(B31, ""en"", ""hi"")"),"थांग-ता_8")</f>
        <v>थांग-ता_8</v>
      </c>
      <c r="I31" s="8" t="str">
        <f>IFERROR(__xludf.DUMMYFUNCTION("GOOGLETRANSLATE(C31, ""en"", ""hi"")"),"चित्र में दर्शाए गए खेल में, किस प्रकार के आयोजन में पारंपरिक प्रदर्शन होने की सबसे अधिक संभावना है?")</f>
        <v>चित्र में दर्शाए गए खेल में, किस प्रकार के आयोजन में पारंपरिक प्रदर्शन होने की सबसे अधिक संभावना है?</v>
      </c>
      <c r="J31" s="8" t="str">
        <f>IFERROR(__xludf.DUMMYFUNCTION("GOOGLETRANSLATE(D31, ""en"", ""hi"")"),"A) स्थानीय टूर्नामेंट, B) राष्ट्रीय चैंपियनशिप, C) अंतर्राष्ट्रीय कार्यक्रम, D) प्रदर्शन कार्यक्रम")</f>
        <v>A) स्थानीय टूर्नामेंट, B) राष्ट्रीय चैंपियनशिप, C) अंतर्राष्ट्रीय कार्यक्रम, D) प्रदर्शन कार्यक्रम</v>
      </c>
      <c r="K31" s="8" t="str">
        <f>IFERROR(__xludf.DUMMYFUNCTION("GOOGLETRANSLATE(E31, ""en"", ""hi"")"),"डी) प्रदर्शन कार्यक्रम")</f>
        <v>डी) प्रदर्शन कार्यक्रम</v>
      </c>
    </row>
    <row r="32" ht="22.5" customHeight="1">
      <c r="A32" s="2">
        <v>31.0</v>
      </c>
      <c r="B32" s="10" t="s">
        <v>5002</v>
      </c>
      <c r="C32" s="3" t="s">
        <v>5006</v>
      </c>
      <c r="D32" s="3" t="s">
        <v>5007</v>
      </c>
      <c r="E32" s="3" t="s">
        <v>5008</v>
      </c>
      <c r="G32" s="8" t="str">
        <f>IFERROR(__xludf.DUMMYFUNCTION("GOOGLETRANSLATE(A32, ""en"", ""hi"")"),"31")</f>
        <v>31</v>
      </c>
      <c r="H32" s="8" t="str">
        <f>IFERROR(__xludf.DUMMYFUNCTION("GOOGLETRANSLATE(B32, ""en"", ""hi"")"),"थांग-ता_8")</f>
        <v>थांग-ता_8</v>
      </c>
      <c r="I32" s="8" t="str">
        <f>IFERROR(__xludf.DUMMYFUNCTION("GOOGLETRANSLATE(C32, ""en"", ""hi"")"),"चित्र में दिखाए गए खेल के लिए, प्रतिस्पर्धी मैचों का मुख्य घटक कौन सा है?")</f>
        <v>चित्र में दिखाए गए खेल के लिए, प्रतिस्पर्धी मैचों का मुख्य घटक कौन सा है?</v>
      </c>
      <c r="J32" s="8" t="str">
        <f>IFERROR(__xludf.DUMMYFUNCTION("GOOGLETRANSLATE(D32, ""en"", ""hi"")"),"A) गति, B) चपलता, C) शक्ति, D) रणनीति")</f>
        <v>A) गति, B) चपलता, C) शक्ति, D) रणनीति</v>
      </c>
      <c r="K32" s="8" t="str">
        <f>IFERROR(__xludf.DUMMYFUNCTION("GOOGLETRANSLATE(E32, ""en"", ""hi"")"),"डी) रणनीति")</f>
        <v>डी) रणनीति</v>
      </c>
    </row>
    <row r="33" ht="22.5" customHeight="1">
      <c r="A33" s="2">
        <v>32.0</v>
      </c>
      <c r="B33" s="10" t="s">
        <v>5002</v>
      </c>
      <c r="C33" s="3" t="s">
        <v>5009</v>
      </c>
      <c r="D33" s="3" t="s">
        <v>5010</v>
      </c>
      <c r="E33" s="3" t="s">
        <v>5011</v>
      </c>
      <c r="G33" s="8" t="str">
        <f>IFERROR(__xludf.DUMMYFUNCTION("GOOGLETRANSLATE(A33, ""en"", ""hi"")"),"32")</f>
        <v>32</v>
      </c>
      <c r="H33" s="8" t="str">
        <f>IFERROR(__xludf.DUMMYFUNCTION("GOOGLETRANSLATE(B33, ""en"", ""hi"")"),"थांग-ता_8")</f>
        <v>थांग-ता_8</v>
      </c>
      <c r="I33" s="8" t="str">
        <f>IFERROR(__xludf.DUMMYFUNCTION("GOOGLETRANSLATE(C33, ""en"", ""hi"")"),"चित्र में दिखाए गए खेल में आक्रामक युद्धाभ्यास के लिए अक्सर किस प्रकार के हथियार का उपयोग किया जाता है?")</f>
        <v>चित्र में दिखाए गए खेल में आक्रामक युद्धाभ्यास के लिए अक्सर किस प्रकार के हथियार का उपयोग किया जाता है?</v>
      </c>
      <c r="J33" s="8" t="str">
        <f>IFERROR(__xludf.DUMMYFUNCTION("GOOGLETRANSLATE(D33, ""en"", ""hi"")"),"A) भाला, B) तलवार, C) खंजर, D) धनुष")</f>
        <v>A) भाला, B) तलवार, C) खंजर, D) धनुष</v>
      </c>
      <c r="K33" s="8" t="str">
        <f>IFERROR(__xludf.DUMMYFUNCTION("GOOGLETRANSLATE(E33, ""en"", ""hi"")"),"बी) तलवार")</f>
        <v>बी) तलवार</v>
      </c>
    </row>
    <row r="34" ht="22.5" customHeight="1">
      <c r="A34" s="2">
        <v>33.0</v>
      </c>
      <c r="B34" s="10" t="s">
        <v>5002</v>
      </c>
      <c r="C34" s="3" t="s">
        <v>5012</v>
      </c>
      <c r="D34" s="3" t="s">
        <v>5013</v>
      </c>
      <c r="E34" s="3" t="s">
        <v>5014</v>
      </c>
      <c r="G34" s="8" t="str">
        <f>IFERROR(__xludf.DUMMYFUNCTION("GOOGLETRANSLATE(A34, ""en"", ""hi"")"),"33")</f>
        <v>33</v>
      </c>
      <c r="H34" s="8" t="str">
        <f>IFERROR(__xludf.DUMMYFUNCTION("GOOGLETRANSLATE(B34, ""en"", ""hi"")"),"थांग-ता_8")</f>
        <v>थांग-ता_8</v>
      </c>
      <c r="I34" s="8" t="str">
        <f>IFERROR(__xludf.DUMMYFUNCTION("GOOGLETRANSLATE(C34, ""en"", ""hi"")"),"चित्र में दर्शाए गए खेल के प्रदर्शन का आकलन करने में कौन सा कारक महत्वपूर्ण है?")</f>
        <v>चित्र में दर्शाए गए खेल के प्रदर्शन का आकलन करने में कौन सा कारक महत्वपूर्ण है?</v>
      </c>
      <c r="J34" s="8" t="str">
        <f>IFERROR(__xludf.DUMMYFUNCTION("GOOGLETRANSLATE(D34, ""en"", ""hi"")"),"A) तकनीकी निष्पादन, B) शारीरिक शक्ति, C) गति, D) लचीलापन")</f>
        <v>A) तकनीकी निष्पादन, B) शारीरिक शक्ति, C) गति, D) लचीलापन</v>
      </c>
      <c r="K34" s="8" t="str">
        <f>IFERROR(__xludf.DUMMYFUNCTION("GOOGLETRANSLATE(E34, ""en"", ""hi"")"),"ए) तकनीकी निष्पादन")</f>
        <v>ए) तकनीकी निष्पादन</v>
      </c>
    </row>
    <row r="35" ht="22.5" customHeight="1">
      <c r="A35" s="2">
        <v>34.0</v>
      </c>
      <c r="B35" s="10" t="s">
        <v>5015</v>
      </c>
      <c r="C35" s="3" t="s">
        <v>5016</v>
      </c>
      <c r="D35" s="3" t="s">
        <v>5017</v>
      </c>
      <c r="E35" s="3" t="s">
        <v>3551</v>
      </c>
      <c r="G35" s="8" t="str">
        <f>IFERROR(__xludf.DUMMYFUNCTION("GOOGLETRANSLATE(A35, ""en"", ""hi"")"),"34")</f>
        <v>34</v>
      </c>
      <c r="H35" s="8" t="str">
        <f>IFERROR(__xludf.DUMMYFUNCTION("GOOGLETRANSLATE(B35, ""en"", ""hi"")"),"थांग-ता_9")</f>
        <v>थांग-ता_9</v>
      </c>
      <c r="I35" s="8" t="str">
        <f>IFERROR(__xludf.DUMMYFUNCTION("GOOGLETRANSLATE(C35, ""en"", ""hi"")"),"चित्र में दिखाए गए खेल के लिए प्रशिक्षण सत्र की सामान्य अवधि कितनी होती है?")</f>
        <v>चित्र में दिखाए गए खेल के लिए प्रशिक्षण सत्र की सामान्य अवधि कितनी होती है?</v>
      </c>
      <c r="J35" s="8" t="str">
        <f>IFERROR(__xludf.DUMMYFUNCTION("GOOGLETRANSLATE(D35, ""en"", ""hi"")"),"A) 30 मिनट, B) 1 घंटा, C) 2 घंटे, D) 3 घंटे")</f>
        <v>A) 30 मिनट, B) 1 घंटा, C) 2 घंटे, D) 3 घंटे</v>
      </c>
      <c r="K35" s="8" t="str">
        <f>IFERROR(__xludf.DUMMYFUNCTION("GOOGLETRANSLATE(E35, ""en"", ""hi"")"),"बी) 1 घंटा")</f>
        <v>बी) 1 घंटा</v>
      </c>
    </row>
    <row r="36" ht="22.5" customHeight="1">
      <c r="A36" s="2">
        <v>35.0</v>
      </c>
      <c r="B36" s="10" t="s">
        <v>5015</v>
      </c>
      <c r="C36" s="3" t="s">
        <v>5018</v>
      </c>
      <c r="D36" s="3" t="s">
        <v>5019</v>
      </c>
      <c r="E36" s="3" t="s">
        <v>1873</v>
      </c>
      <c r="G36" s="8" t="str">
        <f>IFERROR(__xludf.DUMMYFUNCTION("GOOGLETRANSLATE(A36, ""en"", ""hi"")"),"35")</f>
        <v>35</v>
      </c>
      <c r="H36" s="8" t="str">
        <f>IFERROR(__xludf.DUMMYFUNCTION("GOOGLETRANSLATE(B36, ""en"", ""hi"")"),"थांग-ता_9")</f>
        <v>थांग-ता_9</v>
      </c>
      <c r="I36" s="8" t="str">
        <f>IFERROR(__xludf.DUMMYFUNCTION("GOOGLETRANSLATE(C36, ""en"", ""hi"")"),"चित्र में दिखाए गए खेल में नियमित अभ्यास करने का सामान्य शारीरिक लाभ क्या है?")</f>
        <v>चित्र में दिखाए गए खेल में नियमित अभ्यास करने का सामान्य शारीरिक लाभ क्या है?</v>
      </c>
      <c r="J36" s="8" t="str">
        <f>IFERROR(__xludf.DUMMYFUNCTION("GOOGLETRANSLATE(D36, ""en"", ""hi"")"),"A) बेहतर मुद्रा, B) लचीलेपन में वृद्धि, C) सहनशक्ति में वृद्धि, D) उपरोक्त सभी")</f>
        <v>A) बेहतर मुद्रा, B) लचीलेपन में वृद्धि, C) सहनशक्ति में वृद्धि, D) उपरोक्त सभी</v>
      </c>
      <c r="K36" s="8" t="str">
        <f>IFERROR(__xludf.DUMMYFUNCTION("GOOGLETRANSLATE(E36, ""en"", ""hi"")"),"D। उपरोक्त सभी")</f>
        <v>D। उपरोक्त सभी</v>
      </c>
    </row>
    <row r="37" ht="22.5" customHeight="1">
      <c r="A37" s="2">
        <v>36.0</v>
      </c>
      <c r="B37" s="10" t="s">
        <v>5015</v>
      </c>
      <c r="C37" s="3" t="s">
        <v>5020</v>
      </c>
      <c r="D37" s="3" t="s">
        <v>5021</v>
      </c>
      <c r="E37" s="3" t="s">
        <v>5022</v>
      </c>
      <c r="G37" s="8" t="str">
        <f>IFERROR(__xludf.DUMMYFUNCTION("GOOGLETRANSLATE(A37, ""en"", ""hi"")"),"36")</f>
        <v>36</v>
      </c>
      <c r="H37" s="8" t="str">
        <f>IFERROR(__xludf.DUMMYFUNCTION("GOOGLETRANSLATE(B37, ""en"", ""hi"")"),"थांग-ता_9")</f>
        <v>थांग-ता_9</v>
      </c>
      <c r="I37" s="8" t="str">
        <f>IFERROR(__xludf.DUMMYFUNCTION("GOOGLETRANSLATE(C37, ""en"", ""hi"")"),"चित्र में दर्शाए गए खेल के अभ्यास के दौरान किस प्रकार की श्वास तकनीक पर जोर दिया जाता है?")</f>
        <v>चित्र में दर्शाए गए खेल के अभ्यास के दौरान किस प्रकार की श्वास तकनीक पर जोर दिया जाता है?</v>
      </c>
      <c r="J37" s="8" t="str">
        <f>IFERROR(__xludf.DUMMYFUNCTION("GOOGLETRANSLATE(D37, ""en"", ""hi"")"),"A) गहरी साँस लेना, B) तेज़ साँस लेना, C) उथली साँस लेना, D) नियंत्रित साँस लेना")</f>
        <v>A) गहरी साँस लेना, B) तेज़ साँस लेना, C) उथली साँस लेना, D) नियंत्रित साँस लेना</v>
      </c>
      <c r="K37" s="8" t="str">
        <f>IFERROR(__xludf.DUMMYFUNCTION("GOOGLETRANSLATE(E37, ""en"", ""hi"")"),"D) नियंत्रित श्वास")</f>
        <v>D) नियंत्रित श्वास</v>
      </c>
    </row>
    <row r="38" ht="22.5" customHeight="1">
      <c r="A38" s="2">
        <v>37.0</v>
      </c>
      <c r="B38" s="10" t="s">
        <v>5015</v>
      </c>
      <c r="C38" s="3" t="s">
        <v>5023</v>
      </c>
      <c r="D38" s="3" t="s">
        <v>5024</v>
      </c>
      <c r="E38" s="3" t="s">
        <v>5025</v>
      </c>
      <c r="G38" s="8" t="str">
        <f>IFERROR(__xludf.DUMMYFUNCTION("GOOGLETRANSLATE(A38, ""en"", ""hi"")"),"37")</f>
        <v>37</v>
      </c>
      <c r="H38" s="8" t="str">
        <f>IFERROR(__xludf.DUMMYFUNCTION("GOOGLETRANSLATE(B38, ""en"", ""hi"")"),"थांग-ता_9")</f>
        <v>थांग-ता_9</v>
      </c>
      <c r="I38" s="8" t="str">
        <f>IFERROR(__xludf.DUMMYFUNCTION("GOOGLETRANSLATE(C38, ""en"", ""hi"")"),"चित्र में दिखाए गए खेल में, निम्नलिखित में से कौन सा एक सामान्य प्रशिक्षण सहायक है?")</f>
        <v>चित्र में दिखाए गए खेल में, निम्नलिखित में से कौन सा एक सामान्य प्रशिक्षण सहायक है?</v>
      </c>
      <c r="J38" s="8" t="str">
        <f>IFERROR(__xludf.DUMMYFUNCTION("GOOGLETRANSLATE(D38, ""en"", ""hi"")"),"A) प्रतिरोध बैंड, B) डम्बल, C) किकिंग पैड, D) जंप रोप्स")</f>
        <v>A) प्रतिरोध बैंड, B) डम्बल, C) किकिंग पैड, D) जंप रोप्स</v>
      </c>
      <c r="K38" s="8" t="str">
        <f>IFERROR(__xludf.DUMMYFUNCTION("GOOGLETRANSLATE(E38, ""en"", ""hi"")"),"सी) किकिंग पैड")</f>
        <v>सी) किकिंग पैड</v>
      </c>
    </row>
    <row r="39" ht="22.5" customHeight="1">
      <c r="A39" s="2">
        <v>38.0</v>
      </c>
      <c r="B39" s="10" t="s">
        <v>5026</v>
      </c>
      <c r="C39" s="3" t="s">
        <v>5027</v>
      </c>
      <c r="D39" s="3" t="s">
        <v>5028</v>
      </c>
      <c r="E39" s="3" t="s">
        <v>3936</v>
      </c>
      <c r="G39" s="8" t="str">
        <f>IFERROR(__xludf.DUMMYFUNCTION("GOOGLETRANSLATE(A39, ""en"", ""hi"")"),"38")</f>
        <v>38</v>
      </c>
      <c r="H39" s="8" t="str">
        <f>IFERROR(__xludf.DUMMYFUNCTION("GOOGLETRANSLATE(B39, ""en"", ""hi"")"),"थांग-ता_10")</f>
        <v>थांग-ता_10</v>
      </c>
      <c r="I39" s="8" t="str">
        <f>IFERROR(__xludf.DUMMYFUNCTION("GOOGLETRANSLATE(C39, ""en"", ""hi"")"),"चित्र में दिखाए गए खेल के लिए, हथियार तकनीक में निपुणता प्राप्त करने का मुख्य पहलू क्या है?")</f>
        <v>चित्र में दिखाए गए खेल के लिए, हथियार तकनीक में निपुणता प्राप्त करने का मुख्य पहलू क्या है?</v>
      </c>
      <c r="J39" s="8" t="str">
        <f>IFERROR(__xludf.DUMMYFUNCTION("GOOGLETRANSLATE(D39, ""en"", ""hi"")"),"A) परिशुद्धता, B) गति, C) शक्ति, D) धीरज")</f>
        <v>A) परिशुद्धता, B) गति, C) शक्ति, D) धीरज</v>
      </c>
      <c r="K39" s="8" t="str">
        <f>IFERROR(__xludf.DUMMYFUNCTION("GOOGLETRANSLATE(E39, ""en"", ""hi"")"),"ए) परिशुद्धता")</f>
        <v>ए) परिशुद्धता</v>
      </c>
    </row>
    <row r="40" ht="22.5" customHeight="1">
      <c r="A40" s="2">
        <v>39.0</v>
      </c>
      <c r="B40" s="10" t="s">
        <v>5026</v>
      </c>
      <c r="C40" s="3" t="s">
        <v>5029</v>
      </c>
      <c r="D40" s="3" t="s">
        <v>5030</v>
      </c>
      <c r="E40" s="3" t="s">
        <v>5031</v>
      </c>
      <c r="G40" s="8" t="str">
        <f>IFERROR(__xludf.DUMMYFUNCTION("GOOGLETRANSLATE(A40, ""en"", ""hi"")"),"39")</f>
        <v>39</v>
      </c>
      <c r="H40" s="8" t="str">
        <f>IFERROR(__xludf.DUMMYFUNCTION("GOOGLETRANSLATE(B40, ""en"", ""hi"")"),"थांग-ता_10")</f>
        <v>थांग-ता_10</v>
      </c>
      <c r="I40" s="8" t="str">
        <f>IFERROR(__xludf.DUMMYFUNCTION("GOOGLETRANSLATE(C40, ""en"", ""hi"")"),"चित्र में दर्शाए गए खेल में आमतौर पर किस प्रकार का आक्रमण पहले सिखाया जाता है?")</f>
        <v>चित्र में दर्शाए गए खेल में आमतौर पर किस प्रकार का आक्रमण पहले सिखाया जाता है?</v>
      </c>
      <c r="J40" s="8" t="str">
        <f>IFERROR(__xludf.DUMMYFUNCTION("GOOGLETRANSLATE(D40, ""en"", ""hi"")"),"A) बुनियादी हमले, B) उन्नत युद्धाभ्यास, C) संयुक्त हमले, D) जवाबी हमले")</f>
        <v>A) बुनियादी हमले, B) उन्नत युद्धाभ्यास, C) संयुक्त हमले, D) जवाबी हमले</v>
      </c>
      <c r="K40" s="8" t="str">
        <f>IFERROR(__xludf.DUMMYFUNCTION("GOOGLETRANSLATE(E40, ""en"", ""hi"")"),"A) बेसिक स्ट्राइक")</f>
        <v>A) बेसिक स्ट्राइक</v>
      </c>
    </row>
    <row r="41" ht="22.5" customHeight="1">
      <c r="A41" s="2">
        <v>40.0</v>
      </c>
      <c r="B41" s="10" t="s">
        <v>5026</v>
      </c>
      <c r="C41" s="3" t="s">
        <v>5032</v>
      </c>
      <c r="D41" s="3" t="s">
        <v>5033</v>
      </c>
      <c r="E41" s="3" t="s">
        <v>1873</v>
      </c>
      <c r="G41" s="8" t="str">
        <f>IFERROR(__xludf.DUMMYFUNCTION("GOOGLETRANSLATE(A41, ""en"", ""hi"")"),"40")</f>
        <v>40</v>
      </c>
      <c r="H41" s="8" t="str">
        <f>IFERROR(__xludf.DUMMYFUNCTION("GOOGLETRANSLATE(B41, ""en"", ""hi"")"),"थांग-ता_10")</f>
        <v>थांग-ता_10</v>
      </c>
      <c r="I41" s="8" t="str">
        <f>IFERROR(__xludf.DUMMYFUNCTION("GOOGLETRANSLATE(C41, ""en"", ""hi"")"),"चित्र में दिखाए गए खेल के लिए प्रतिस्पर्धी वर्दी की एक सामान्य विशेषता क्या है?")</f>
        <v>चित्र में दिखाए गए खेल के लिए प्रतिस्पर्धी वर्दी की एक सामान्य विशेषता क्या है?</v>
      </c>
      <c r="J41" s="8" t="str">
        <f>IFERROR(__xludf.DUMMYFUNCTION("GOOGLETRANSLATE(D41, ""en"", ""hi"")"),"A) हल्की सामग्री, B) सुरक्षात्मक पैडिंग, C) चमकीले रंग, D) उपरोक्त सभी")</f>
        <v>A) हल्की सामग्री, B) सुरक्षात्मक पैडिंग, C) चमकीले रंग, D) उपरोक्त सभी</v>
      </c>
      <c r="K41" s="8" t="str">
        <f>IFERROR(__xludf.DUMMYFUNCTION("GOOGLETRANSLATE(E41, ""en"", ""hi"")"),"D। उपरोक्त सभी")</f>
        <v>D। उपरोक्त सभी</v>
      </c>
    </row>
    <row r="42" ht="22.5" customHeight="1">
      <c r="A42" s="2">
        <v>41.0</v>
      </c>
      <c r="B42" s="10" t="s">
        <v>5026</v>
      </c>
      <c r="C42" s="3" t="s">
        <v>5034</v>
      </c>
      <c r="D42" s="3" t="s">
        <v>5035</v>
      </c>
      <c r="E42" s="3" t="s">
        <v>5036</v>
      </c>
      <c r="G42" s="8" t="str">
        <f>IFERROR(__xludf.DUMMYFUNCTION("GOOGLETRANSLATE(A42, ""en"", ""hi"")"),"41")</f>
        <v>41</v>
      </c>
      <c r="H42" s="8" t="str">
        <f>IFERROR(__xludf.DUMMYFUNCTION("GOOGLETRANSLATE(B42, ""en"", ""hi"")"),"थांग-ता_10")</f>
        <v>थांग-ता_10</v>
      </c>
      <c r="I42" s="8" t="str">
        <f>IFERROR(__xludf.DUMMYFUNCTION("GOOGLETRANSLATE(C42, ""en"", ""hi"")"),"चित्र में दर्शाए गए खेल में अभ्यास के दौरान संतुलन का क्या महत्व है?")</f>
        <v>चित्र में दर्शाए गए खेल में अभ्यास के दौरान संतुलन का क्या महत्व है?</v>
      </c>
      <c r="J42" s="8" t="str">
        <f>IFERROR(__xludf.DUMMYFUNCTION("GOOGLETRANSLATE(D42, ""en"", ""hi"")"),"A) शक्ति बढ़ाने के लिए, B) गिरने से बचाने के लिए, C) गति में सुधार करने के लिए, D) लचीलापन बढ़ाने के लिए")</f>
        <v>A) शक्ति बढ़ाने के लिए, B) गिरने से बचाने के लिए, C) गति में सुधार करने के लिए, D) लचीलापन बढ़ाने के लिए</v>
      </c>
      <c r="K42" s="8" t="str">
        <f>IFERROR(__xludf.DUMMYFUNCTION("GOOGLETRANSLATE(E42, ""en"", ""hi"")"),"B) गिरने से बचाने के लिए")</f>
        <v>B) गिरने से बचाने के लिए</v>
      </c>
    </row>
    <row r="43" ht="22.5" customHeight="1">
      <c r="A43" s="2">
        <v>42.0</v>
      </c>
      <c r="B43" s="10" t="s">
        <v>5037</v>
      </c>
      <c r="C43" s="3" t="s">
        <v>5038</v>
      </c>
      <c r="D43" s="3" t="s">
        <v>5039</v>
      </c>
      <c r="E43" s="3" t="s">
        <v>5040</v>
      </c>
      <c r="G43" s="8" t="str">
        <f>IFERROR(__xludf.DUMMYFUNCTION("GOOGLETRANSLATE(A43, ""en"", ""hi"")"),"42")</f>
        <v>42</v>
      </c>
      <c r="H43" s="8" t="str">
        <f>IFERROR(__xludf.DUMMYFUNCTION("GOOGLETRANSLATE(B43, ""en"", ""hi"")"),"थांग-ता_11")</f>
        <v>थांग-ता_11</v>
      </c>
      <c r="I43" s="8" t="str">
        <f>IFERROR(__xludf.DUMMYFUNCTION("GOOGLETRANSLATE(C43, ""en"", ""hi"")"),"चित्र में दिखाए गए खेल के लिए, उन्नत कौशल दिखाने हेतु अक्सर किस प्रकार के आयोजन का उपयोग किया जाता है?")</f>
        <v>चित्र में दिखाए गए खेल के लिए, उन्नत कौशल दिखाने हेतु अक्सर किस प्रकार के आयोजन का उपयोग किया जाता है?</v>
      </c>
      <c r="J43" s="8" t="str">
        <f>IFERROR(__xludf.DUMMYFUNCTION("GOOGLETRANSLATE(D43, ""en"", ""hi"")"),"ए) प्रदर्शनी मैच, बी) नियमित टूर्नामेंट, सी) प्रशिक्षण शिविर, डी) स्थानीय लीग")</f>
        <v>ए) प्रदर्शनी मैच, बी) नियमित टूर्नामेंट, सी) प्रशिक्षण शिविर, डी) स्थानीय लीग</v>
      </c>
      <c r="K43" s="8" t="str">
        <f>IFERROR(__xludf.DUMMYFUNCTION("GOOGLETRANSLATE(E43, ""en"", ""hi"")"),"ए) प्रदर्शनी मैच")</f>
        <v>ए) प्रदर्शनी मैच</v>
      </c>
    </row>
    <row r="44" ht="22.5" customHeight="1">
      <c r="A44" s="2">
        <v>43.0</v>
      </c>
      <c r="B44" s="10" t="s">
        <v>5037</v>
      </c>
      <c r="C44" s="3" t="s">
        <v>5041</v>
      </c>
      <c r="D44" s="3" t="s">
        <v>5042</v>
      </c>
      <c r="E44" s="3" t="s">
        <v>5043</v>
      </c>
      <c r="G44" s="8" t="str">
        <f>IFERROR(__xludf.DUMMYFUNCTION("GOOGLETRANSLATE(A44, ""en"", ""hi"")"),"43")</f>
        <v>43</v>
      </c>
      <c r="H44" s="8" t="str">
        <f>IFERROR(__xludf.DUMMYFUNCTION("GOOGLETRANSLATE(B44, ""en"", ""hi"")"),"थांग-ता_11")</f>
        <v>थांग-ता_11</v>
      </c>
      <c r="I44" s="8" t="str">
        <f>IFERROR(__xludf.DUMMYFUNCTION("GOOGLETRANSLATE(C44, ""en"", ""hi"")"),"चित्र में दिखाए गए खेल में, रक्षा के लिए आवश्यक मूलभूत कौशल क्या है?")</f>
        <v>चित्र में दिखाए गए खेल में, रक्षा के लिए आवश्यक मूलभूत कौशल क्या है?</v>
      </c>
      <c r="J44" s="8" t="str">
        <f>IFERROR(__xludf.DUMMYFUNCTION("GOOGLETRANSLATE(D44, ""en"", ""hi"")"),"ए) बचाव, बी) अवरोधन, सी) जवाबी हमला, डी) हाथापाई")</f>
        <v>ए) बचाव, बी) अवरोधन, सी) जवाबी हमला, डी) हाथापाई</v>
      </c>
      <c r="K44" s="8" t="str">
        <f>IFERROR(__xludf.DUMMYFUNCTION("GOOGLETRANSLATE(E44, ""en"", ""hi"")"),"बी) अवरुद्ध करना")</f>
        <v>बी) अवरुद्ध करना</v>
      </c>
    </row>
    <row r="45" ht="22.5" customHeight="1">
      <c r="A45" s="2">
        <v>44.0</v>
      </c>
      <c r="B45" s="10" t="s">
        <v>5037</v>
      </c>
      <c r="C45" s="3" t="s">
        <v>5044</v>
      </c>
      <c r="D45" s="3" t="s">
        <v>5045</v>
      </c>
      <c r="E45" s="3" t="s">
        <v>5046</v>
      </c>
      <c r="G45" s="8" t="str">
        <f>IFERROR(__xludf.DUMMYFUNCTION("GOOGLETRANSLATE(A45, ""en"", ""hi"")"),"44")</f>
        <v>44</v>
      </c>
      <c r="H45" s="8" t="str">
        <f>IFERROR(__xludf.DUMMYFUNCTION("GOOGLETRANSLATE(B45, ""en"", ""hi"")"),"थांग-ता_11")</f>
        <v>थांग-ता_11</v>
      </c>
      <c r="I45" s="8" t="str">
        <f>IFERROR(__xludf.DUMMYFUNCTION("GOOGLETRANSLATE(C45, ""en"", ""hi"")"),"चित्र में दर्शाए गए खेल के लिए आमतौर पर किस प्रकार के जूते की सिफारिश की जाती है?")</f>
        <v>चित्र में दर्शाए गए खेल के लिए आमतौर पर किस प्रकार के जूते की सिफारिश की जाती है?</v>
      </c>
      <c r="J45" s="8" t="str">
        <f>IFERROR(__xludf.DUMMYFUNCTION("GOOGLETRANSLATE(D45, ""en"", ""hi"")"),"A) नंगे पांव, B) प्रशिक्षण जूते, C) कुश्ती के जूते, D) सैंडल")</f>
        <v>A) नंगे पांव, B) प्रशिक्षण जूते, C) कुश्ती के जूते, D) सैंडल</v>
      </c>
      <c r="K45" s="8" t="str">
        <f>IFERROR(__xludf.DUMMYFUNCTION("GOOGLETRANSLATE(E45, ""en"", ""hi"")"),"C) कुश्ती के जूते")</f>
        <v>C) कुश्ती के जूते</v>
      </c>
    </row>
    <row r="46" ht="22.5" customHeight="1">
      <c r="A46" s="2">
        <v>45.0</v>
      </c>
      <c r="B46" s="10" t="s">
        <v>5037</v>
      </c>
      <c r="C46" s="3" t="s">
        <v>5047</v>
      </c>
      <c r="D46" s="3" t="s">
        <v>5048</v>
      </c>
      <c r="E46" s="3" t="s">
        <v>5001</v>
      </c>
      <c r="G46" s="8" t="str">
        <f>IFERROR(__xludf.DUMMYFUNCTION("GOOGLETRANSLATE(A46, ""en"", ""hi"")"),"45")</f>
        <v>45</v>
      </c>
      <c r="H46" s="8" t="str">
        <f>IFERROR(__xludf.DUMMYFUNCTION("GOOGLETRANSLATE(B46, ""en"", ""hi"")"),"थांग-ता_11")</f>
        <v>थांग-ता_11</v>
      </c>
      <c r="I46" s="8" t="str">
        <f>IFERROR(__xludf.DUMMYFUNCTION("GOOGLETRANSLATE(C46, ""en"", ""hi"")"),"चित्र में दिखाए गए खेल में फुटवर्क सुधारने के लिए सामान्य अभ्यास क्या है?")</f>
        <v>चित्र में दिखाए गए खेल में फुटवर्क सुधारने के लिए सामान्य अभ्यास क्या है?</v>
      </c>
      <c r="J46" s="8" t="str">
        <f>IFERROR(__xludf.DUMMYFUNCTION("GOOGLETRANSLATE(D46, ""en"", ""hi"")"),"ए) सीढ़ी अभ्यास, बी) ट्रेडमिल दौड़ना, सी) प्लायोमेट्रिक कूद, डी) लचीलापन व्यायाम")</f>
        <v>ए) सीढ़ी अभ्यास, बी) ट्रेडमिल दौड़ना, सी) प्लायोमेट्रिक कूद, डी) लचीलापन व्यायाम</v>
      </c>
      <c r="K46" s="8" t="str">
        <f>IFERROR(__xludf.DUMMYFUNCTION("GOOGLETRANSLATE(E46, ""en"", ""hi"")"),"ए) सीढ़ी ड्रिल")</f>
        <v>ए) सीढ़ी ड्रिल</v>
      </c>
    </row>
    <row r="47" ht="22.5" customHeight="1">
      <c r="A47" s="2">
        <v>46.0</v>
      </c>
      <c r="B47" s="10" t="s">
        <v>5049</v>
      </c>
      <c r="C47" s="3" t="s">
        <v>5050</v>
      </c>
      <c r="D47" s="3" t="s">
        <v>5051</v>
      </c>
      <c r="E47" s="3" t="s">
        <v>3602</v>
      </c>
      <c r="G47" s="8" t="str">
        <f>IFERROR(__xludf.DUMMYFUNCTION("GOOGLETRANSLATE(A47, ""en"", ""hi"")"),"46")</f>
        <v>46</v>
      </c>
      <c r="H47" s="8" t="str">
        <f>IFERROR(__xludf.DUMMYFUNCTION("GOOGLETRANSLATE(B47, ""en"", ""hi"")"),"थांग-ता_12")</f>
        <v>थांग-ता_12</v>
      </c>
      <c r="I47" s="8" t="str">
        <f>IFERROR(__xludf.DUMMYFUNCTION("GOOGLETRANSLATE(C47, ""en"", ""hi"")"),"चित्र में दिखाए गए खेल के लिए, रूपों या पैटर्नों का प्रदर्शन करने का उद्देश्य क्या है?")</f>
        <v>चित्र में दिखाए गए खेल के लिए, रूपों या पैटर्नों का प्रदर्शन करने का उद्देश्य क्या है?</v>
      </c>
      <c r="J47" s="8" t="str">
        <f>IFERROR(__xludf.DUMMYFUNCTION("GOOGLETRANSLATE(D47, ""en"", ""hi"")"),"A) ताकत विकसित करने के लिए, B) तकनीकों का अभ्यास करने के लिए, C) सहनशक्ति बढ़ाने के लिए, D) टीम वर्क बनाने के लिए")</f>
        <v>A) ताकत विकसित करने के लिए, B) तकनीकों का अभ्यास करने के लिए, C) सहनशक्ति बढ़ाने के लिए, D) टीम वर्क बनाने के लिए</v>
      </c>
      <c r="K47" s="8" t="str">
        <f>IFERROR(__xludf.DUMMYFUNCTION("GOOGLETRANSLATE(E47, ""en"", ""hi"")"),"बी) तकनीकों का अभ्यास करना")</f>
        <v>बी) तकनीकों का अभ्यास करना</v>
      </c>
    </row>
    <row r="48" ht="22.5" customHeight="1">
      <c r="A48" s="2">
        <v>47.0</v>
      </c>
      <c r="B48" s="10" t="s">
        <v>5049</v>
      </c>
      <c r="C48" s="3" t="s">
        <v>5052</v>
      </c>
      <c r="D48" s="3" t="s">
        <v>5053</v>
      </c>
      <c r="E48" s="3" t="s">
        <v>5054</v>
      </c>
      <c r="G48" s="8" t="str">
        <f>IFERROR(__xludf.DUMMYFUNCTION("GOOGLETRANSLATE(A48, ""en"", ""hi"")"),"47")</f>
        <v>47</v>
      </c>
      <c r="H48" s="8" t="str">
        <f>IFERROR(__xludf.DUMMYFUNCTION("GOOGLETRANSLATE(B48, ""en"", ""hi"")"),"थांग-ता_12")</f>
        <v>थांग-ता_12</v>
      </c>
      <c r="I48" s="8" t="str">
        <f>IFERROR(__xludf.DUMMYFUNCTION("GOOGLETRANSLATE(C48, ""en"", ""hi"")"),"चित्र में दर्शाए गए खेल में प्रहार शक्ति बढ़ाने के लिए किस तकनीक का उपयोग किया जाता है?")</f>
        <v>चित्र में दर्शाए गए खेल में प्रहार शक्ति बढ़ाने के लिए किस तकनीक का उपयोग किया जाता है?</v>
      </c>
      <c r="J48" s="8" t="str">
        <f>IFERROR(__xludf.DUMMYFUNCTION("GOOGLETRANSLATE(D48, ""en"", ""hi"")"),"ए) गति अभ्यास, बी) शक्ति प्रशिक्षण, सी) परिशुद्धता अभ्यास, डी) लचीलापन अभ्यास")</f>
        <v>ए) गति अभ्यास, बी) शक्ति प्रशिक्षण, सी) परिशुद्धता अभ्यास, डी) लचीलापन अभ्यास</v>
      </c>
      <c r="K48" s="8" t="str">
        <f>IFERROR(__xludf.DUMMYFUNCTION("GOOGLETRANSLATE(E48, ""en"", ""hi"")"),"बी) शक्ति प्रशिक्षण")</f>
        <v>बी) शक्ति प्रशिक्षण</v>
      </c>
    </row>
    <row r="49" ht="22.5" customHeight="1">
      <c r="A49" s="2">
        <v>48.0</v>
      </c>
      <c r="B49" s="10" t="s">
        <v>5049</v>
      </c>
      <c r="C49" s="3" t="s">
        <v>5055</v>
      </c>
      <c r="D49" s="3" t="s">
        <v>5056</v>
      </c>
      <c r="E49" s="3" t="s">
        <v>5057</v>
      </c>
      <c r="G49" s="8" t="str">
        <f>IFERROR(__xludf.DUMMYFUNCTION("GOOGLETRANSLATE(A49, ""en"", ""hi"")"),"48")</f>
        <v>48</v>
      </c>
      <c r="H49" s="8" t="str">
        <f>IFERROR(__xludf.DUMMYFUNCTION("GOOGLETRANSLATE(B49, ""en"", ""hi"")"),"थांग-ता_12")</f>
        <v>थांग-ता_12</v>
      </c>
      <c r="I49" s="8" t="str">
        <f>IFERROR(__xludf.DUMMYFUNCTION("GOOGLETRANSLATE(C49, ""en"", ""hi"")"),"चित्र में दिखाए गए खेल के लिए सामान्य प्रकार की प्रतियोगिता क्या है?")</f>
        <v>चित्र में दिखाए गए खेल के लिए सामान्य प्रकार की प्रतियोगिता क्या है?</v>
      </c>
      <c r="J49" s="8" t="str">
        <f>IFERROR(__xludf.DUMMYFUNCTION("GOOGLETRANSLATE(D49, ""en"", ""hi"")"),"ए) एकल प्रदर्शन, बी) टीम मैच, सी) रिले इवेंट, डी) समूह अभ्यास")</f>
        <v>ए) एकल प्रदर्शन, बी) टीम मैच, सी) रिले इवेंट, डी) समूह अभ्यास</v>
      </c>
      <c r="K49" s="8" t="str">
        <f>IFERROR(__xludf.DUMMYFUNCTION("GOOGLETRANSLATE(E49, ""en"", ""hi"")"),"ए) एकल प्रदर्शन")</f>
        <v>ए) एकल प्रदर्शन</v>
      </c>
    </row>
    <row r="50" ht="22.5" customHeight="1">
      <c r="A50" s="2">
        <v>49.0</v>
      </c>
      <c r="B50" s="10" t="s">
        <v>5049</v>
      </c>
      <c r="C50" s="3" t="s">
        <v>5058</v>
      </c>
      <c r="D50" s="3" t="s">
        <v>5059</v>
      </c>
      <c r="E50" s="3" t="s">
        <v>5060</v>
      </c>
      <c r="G50" s="8" t="str">
        <f>IFERROR(__xludf.DUMMYFUNCTION("GOOGLETRANSLATE(A50, ""en"", ""hi"")"),"49")</f>
        <v>49</v>
      </c>
      <c r="H50" s="8" t="str">
        <f>IFERROR(__xludf.DUMMYFUNCTION("GOOGLETRANSLATE(B50, ""en"", ""hi"")"),"थांग-ता_12")</f>
        <v>थांग-ता_12</v>
      </c>
      <c r="I50" s="8" t="str">
        <f>IFERROR(__xludf.DUMMYFUNCTION("GOOGLETRANSLATE(C50, ""en"", ""hi"")"),"चित्र में दर्शाए गए खेल में पारंपरिक समारोहों की क्या भूमिका है?")</f>
        <v>चित्र में दर्शाए गए खेल में पारंपरिक समारोहों की क्या भूमिका है?</v>
      </c>
      <c r="J50" s="8" t="str">
        <f>IFERROR(__xludf.DUMMYFUNCTION("GOOGLETRANSLATE(D50, ""en"", ""hi"")"),"A) पूर्वजों का सम्मान करना, B) कौशल का प्रदर्शन करना, C) उपलब्धियों का जश्न मनाना, D) एकता को बढ़ावा देना")</f>
        <v>A) पूर्वजों का सम्मान करना, B) कौशल का प्रदर्शन करना, C) उपलब्धियों का जश्न मनाना, D) एकता को बढ़ावा देना</v>
      </c>
      <c r="K50" s="8" t="str">
        <f>IFERROR(__xludf.DUMMYFUNCTION("GOOGLETRANSLATE(E50, ""en"", ""hi"")"),"A) पूर्वजों का सम्मान करना")</f>
        <v>A) पूर्वजों का सम्मान करना</v>
      </c>
    </row>
    <row r="51" ht="22.5" customHeight="1">
      <c r="A51" s="2">
        <v>50.0</v>
      </c>
      <c r="B51" s="10" t="s">
        <v>5061</v>
      </c>
      <c r="C51" s="3" t="s">
        <v>5062</v>
      </c>
      <c r="D51" s="3" t="s">
        <v>5063</v>
      </c>
      <c r="E51" s="3" t="s">
        <v>5064</v>
      </c>
      <c r="G51" s="8" t="str">
        <f>IFERROR(__xludf.DUMMYFUNCTION("GOOGLETRANSLATE(A51, ""en"", ""hi"")"),"50")</f>
        <v>50</v>
      </c>
      <c r="H51" s="8" t="str">
        <f>IFERROR(__xludf.DUMMYFUNCTION("GOOGLETRANSLATE(B51, ""en"", ""hi"")"),"थांग-ता_13")</f>
        <v>थांग-ता_13</v>
      </c>
      <c r="I51" s="8" t="str">
        <f>IFERROR(__xludf.DUMMYFUNCTION("GOOGLETRANSLATE(C51, ""en"", ""hi"")"),"चित्र में दिखाए गए खेल के लिए सामान्य वार्म-अप व्यायाम क्या है?")</f>
        <v>चित्र में दिखाए गए खेल के लिए सामान्य वार्म-अप व्यायाम क्या है?</v>
      </c>
      <c r="J51" s="8" t="str">
        <f>IFERROR(__xludf.DUMMYFUNCTION("GOOGLETRANSLATE(D51, ""en"", ""hi"")"),"ए) गतिशील स्ट्रेच, बी) स्थिर स्ट्रेच, सी) शक्ति प्रशिक्षण, डी) कार्डियो वर्कआउट")</f>
        <v>ए) गतिशील स्ट्रेच, बी) स्थिर स्ट्रेच, सी) शक्ति प्रशिक्षण, डी) कार्डियो वर्कआउट</v>
      </c>
      <c r="K51" s="8" t="str">
        <f>IFERROR(__xludf.DUMMYFUNCTION("GOOGLETRANSLATE(E51, ""en"", ""hi"")"),"ए) गतिशील स्ट्रेच")</f>
        <v>ए) गतिशील स्ट्रेच</v>
      </c>
    </row>
    <row r="52" ht="22.5" customHeight="1">
      <c r="A52" s="2">
        <v>51.0</v>
      </c>
      <c r="B52" s="10" t="s">
        <v>5061</v>
      </c>
      <c r="C52" s="3" t="s">
        <v>5065</v>
      </c>
      <c r="D52" s="3" t="s">
        <v>5066</v>
      </c>
      <c r="E52" s="3" t="s">
        <v>5067</v>
      </c>
      <c r="G52" s="8" t="str">
        <f>IFERROR(__xludf.DUMMYFUNCTION("GOOGLETRANSLATE(A52, ""en"", ""hi"")"),"51")</f>
        <v>51</v>
      </c>
      <c r="H52" s="8" t="str">
        <f>IFERROR(__xludf.DUMMYFUNCTION("GOOGLETRANSLATE(B52, ""en"", ""hi"")"),"थांग-ता_13")</f>
        <v>थांग-ता_13</v>
      </c>
      <c r="I52" s="8" t="str">
        <f>IFERROR(__xludf.DUMMYFUNCTION("GOOGLETRANSLATE(C52, ""en"", ""hi"")"),"चित्र में दिखाए गए खेल में प्रतिक्रिया समय में सुधार करने की सामान्य विधि क्या है?")</f>
        <v>चित्र में दिखाए गए खेल में प्रतिक्रिया समय में सुधार करने की सामान्य विधि क्या है?</v>
      </c>
      <c r="J52" s="8" t="str">
        <f>IFERROR(__xludf.DUMMYFUNCTION("GOOGLETRANSLATE(D52, ""en"", ""hi"")"),"ए) गति अभ्यास, बी) शक्ति प्रशिक्षण, सी) तकनीक अभ्यास, डी) धीरज दौड़")</f>
        <v>ए) गति अभ्यास, बी) शक्ति प्रशिक्षण, सी) तकनीक अभ्यास, डी) धीरज दौड़</v>
      </c>
      <c r="K52" s="8" t="str">
        <f>IFERROR(__xludf.DUMMYFUNCTION("GOOGLETRANSLATE(E52, ""en"", ""hi"")"),"A) गति अभ्यास")</f>
        <v>A) गति अभ्यास</v>
      </c>
    </row>
    <row r="53" ht="22.5" customHeight="1">
      <c r="A53" s="2">
        <v>52.0</v>
      </c>
      <c r="B53" s="10" t="s">
        <v>5061</v>
      </c>
      <c r="C53" s="3" t="s">
        <v>5068</v>
      </c>
      <c r="D53" s="3" t="s">
        <v>5069</v>
      </c>
      <c r="E53" s="3" t="s">
        <v>5070</v>
      </c>
      <c r="G53" s="8" t="str">
        <f>IFERROR(__xludf.DUMMYFUNCTION("GOOGLETRANSLATE(A53, ""en"", ""hi"")"),"52")</f>
        <v>52</v>
      </c>
      <c r="H53" s="8" t="str">
        <f>IFERROR(__xludf.DUMMYFUNCTION("GOOGLETRANSLATE(B53, ""en"", ""hi"")"),"थांग-ता_13")</f>
        <v>थांग-ता_13</v>
      </c>
      <c r="I53" s="8" t="str">
        <f>IFERROR(__xludf.DUMMYFUNCTION("GOOGLETRANSLATE(C53, ""en"", ""hi"")"),"चित्र में दर्शाए गए खेल के लिए काटा का अभ्यास करने का क्या महत्व है?")</f>
        <v>चित्र में दर्शाए गए खेल के लिए काटा का अभ्यास करने का क्या महत्व है?</v>
      </c>
      <c r="J53" s="8" t="str">
        <f>IFERROR(__xludf.DUMMYFUNCTION("GOOGLETRANSLATE(D53, ""en"", ""hi"")"),"A) तकनीक सीखने के लिए, B) गति सुधारने के लिए, C) ताकत विकसित करने के लिए, D) सहनशक्ति बढ़ाने के लिए")</f>
        <v>A) तकनीक सीखने के लिए, B) गति सुधारने के लिए, C) ताकत विकसित करने के लिए, D) सहनशक्ति बढ़ाने के लिए</v>
      </c>
      <c r="K53" s="8" t="str">
        <f>IFERROR(__xludf.DUMMYFUNCTION("GOOGLETRANSLATE(E53, ""en"", ""hi"")"),"A) तकनीक सीखने के लिए")</f>
        <v>A) तकनीक सीखने के लिए</v>
      </c>
    </row>
    <row r="54" ht="22.5" customHeight="1">
      <c r="A54" s="2">
        <v>53.0</v>
      </c>
      <c r="B54" s="10" t="s">
        <v>5061</v>
      </c>
      <c r="C54" s="3" t="s">
        <v>5071</v>
      </c>
      <c r="D54" s="3" t="s">
        <v>5072</v>
      </c>
      <c r="E54" s="3" t="s">
        <v>5073</v>
      </c>
      <c r="G54" s="8" t="str">
        <f>IFERROR(__xludf.DUMMYFUNCTION("GOOGLETRANSLATE(A54, ""en"", ""hi"")"),"53")</f>
        <v>53</v>
      </c>
      <c r="H54" s="8" t="str">
        <f>IFERROR(__xludf.DUMMYFUNCTION("GOOGLETRANSLATE(B54, ""en"", ""hi"")"),"थांग-ता_13")</f>
        <v>थांग-ता_13</v>
      </c>
      <c r="I54" s="8" t="str">
        <f>IFERROR(__xludf.DUMMYFUNCTION("GOOGLETRANSLATE(C54, ""en"", ""hi"")"),"चित्र में दिखाए गए खेल में प्रतिस्पर्धा का सामान्य प्रारूप क्या है?")</f>
        <v>चित्र में दिखाए गए खेल में प्रतिस्पर्धा का सामान्य प्रारूप क्या है?</v>
      </c>
      <c r="J54" s="8" t="str">
        <f>IFERROR(__xludf.DUMMYFUNCTION("GOOGLETRANSLATE(D54, ""en"", ""hi"")"),"ए) एकल उन्मूलन, बी) राउंड रॉबिन, सी) अंक प्रणाली, डी) टीम-आधारित")</f>
        <v>ए) एकल उन्मूलन, बी) राउंड रॉबिन, सी) अंक प्रणाली, डी) टीम-आधारित</v>
      </c>
      <c r="K54" s="8" t="str">
        <f>IFERROR(__xludf.DUMMYFUNCTION("GOOGLETRANSLATE(E54, ""en"", ""hi"")"),"ए) एकल उन्मूलन")</f>
        <v>ए) एकल उन्मूलन</v>
      </c>
    </row>
    <row r="55" ht="22.5" customHeight="1">
      <c r="A55" s="2">
        <v>54.0</v>
      </c>
      <c r="B55" s="10" t="s">
        <v>5074</v>
      </c>
      <c r="C55" s="3" t="s">
        <v>5075</v>
      </c>
      <c r="D55" s="3" t="s">
        <v>5076</v>
      </c>
      <c r="E55" s="3" t="s">
        <v>3555</v>
      </c>
      <c r="G55" s="8" t="str">
        <f>IFERROR(__xludf.DUMMYFUNCTION("GOOGLETRANSLATE(A55, ""en"", ""hi"")"),"54")</f>
        <v>54</v>
      </c>
      <c r="H55" s="8" t="str">
        <f>IFERROR(__xludf.DUMMYFUNCTION("GOOGLETRANSLATE(B55, ""en"", ""hi"")"),"थांग-ता_14")</f>
        <v>थांग-ता_14</v>
      </c>
      <c r="I55" s="8" t="str">
        <f>IFERROR(__xludf.DUMMYFUNCTION("GOOGLETRANSLATE(C55, ""en"", ""hi"")"),"चित्र में दिखाए गए खेल के लिए, प्रभावी स्पैरिंग का मुख्य घटक क्या है?")</f>
        <v>चित्र में दिखाए गए खेल के लिए, प्रभावी स्पैरिंग का मुख्य घटक क्या है?</v>
      </c>
      <c r="J55" s="8" t="str">
        <f>IFERROR(__xludf.DUMMYFUNCTION("GOOGLETRANSLATE(D55, ""en"", ""hi"")"),"A) गति, B) शक्ति, C) तकनीक, D) रणनीति")</f>
        <v>A) गति, B) शक्ति, C) तकनीक, D) रणनीति</v>
      </c>
      <c r="K55" s="8" t="str">
        <f>IFERROR(__xludf.DUMMYFUNCTION("GOOGLETRANSLATE(E55, ""en"", ""hi"")"),"C) तकनीक")</f>
        <v>C) तकनीक</v>
      </c>
    </row>
    <row r="56" ht="22.5" customHeight="1">
      <c r="A56" s="2">
        <v>55.0</v>
      </c>
      <c r="B56" s="10" t="s">
        <v>5074</v>
      </c>
      <c r="C56" s="3" t="s">
        <v>5077</v>
      </c>
      <c r="D56" s="3" t="s">
        <v>5078</v>
      </c>
      <c r="E56" s="3" t="s">
        <v>5079</v>
      </c>
      <c r="G56" s="8" t="str">
        <f>IFERROR(__xludf.DUMMYFUNCTION("GOOGLETRANSLATE(A56, ""en"", ""hi"")"),"55")</f>
        <v>55</v>
      </c>
      <c r="H56" s="8" t="str">
        <f>IFERROR(__xludf.DUMMYFUNCTION("GOOGLETRANSLATE(B56, ""en"", ""hi"")"),"थांग-ता_14")</f>
        <v>थांग-ता_14</v>
      </c>
      <c r="I56" s="8" t="str">
        <f>IFERROR(__xludf.DUMMYFUNCTION("GOOGLETRANSLATE(C56, ""en"", ""hi"")"),"चित्र में दर्शाए गए खेल में लचीलेपन को सुधारने के लिए सामान्य प्रशिक्षण पद्धति क्या है?")</f>
        <v>चित्र में दर्शाए गए खेल में लचीलेपन को सुधारने के लिए सामान्य प्रशिक्षण पद्धति क्या है?</v>
      </c>
      <c r="J56" s="8" t="str">
        <f>IFERROR(__xludf.DUMMYFUNCTION("GOOGLETRANSLATE(D56, ""en"", ""hi"")"),"ए) स्टेटिक स्ट्रेचिंग, बी) प्लायोमेट्रिक्स, सी) वेटलिफ्टिंग, डी) एंड्योरेंस रनिंग")</f>
        <v>ए) स्टेटिक स्ट्रेचिंग, बी) प्लायोमेट्रिक्स, सी) वेटलिफ्टिंग, डी) एंड्योरेंस रनिंग</v>
      </c>
      <c r="K56" s="8" t="str">
        <f>IFERROR(__xludf.DUMMYFUNCTION("GOOGLETRANSLATE(E56, ""en"", ""hi"")"),"ए) स्थैतिक स्ट्रेचिंग")</f>
        <v>ए) स्थैतिक स्ट्रेचिंग</v>
      </c>
    </row>
    <row r="57" ht="22.5" customHeight="1">
      <c r="A57" s="2">
        <v>56.0</v>
      </c>
      <c r="B57" s="10" t="s">
        <v>5074</v>
      </c>
      <c r="C57" s="3" t="s">
        <v>5080</v>
      </c>
      <c r="D57" s="3" t="s">
        <v>5081</v>
      </c>
      <c r="E57" s="3" t="s">
        <v>5082</v>
      </c>
      <c r="G57" s="8" t="str">
        <f>IFERROR(__xludf.DUMMYFUNCTION("GOOGLETRANSLATE(A57, ""en"", ""hi"")"),"56")</f>
        <v>56</v>
      </c>
      <c r="H57" s="8" t="str">
        <f>IFERROR(__xludf.DUMMYFUNCTION("GOOGLETRANSLATE(B57, ""en"", ""hi"")"),"थांग-ता_14")</f>
        <v>थांग-ता_14</v>
      </c>
      <c r="I57" s="8" t="str">
        <f>IFERROR(__xludf.DUMMYFUNCTION("GOOGLETRANSLATE(C57, ""en"", ""hi"")"),"चित्र में दिखाए गए खेल में युद्ध कौशल विकसित करने के लिए अक्सर क्या अभ्यास किया जाता है?")</f>
        <v>चित्र में दिखाए गए खेल में युद्ध कौशल विकसित करने के लिए अक्सर क्या अभ्यास किया जाता है?</v>
      </c>
      <c r="J57" s="8" t="str">
        <f>IFERROR(__xludf.DUMMYFUNCTION("GOOGLETRANSLATE(D57, ""en"", ""hi"")"),"ए) छाया युद्ध, बी) एकल अभ्यास, सी) साथी अभ्यास, डी) धीरज अभ्यास")</f>
        <v>ए) छाया युद्ध, बी) एकल अभ्यास, सी) साथी अभ्यास, डी) धीरज अभ्यास</v>
      </c>
      <c r="K57" s="8" t="str">
        <f>IFERROR(__xludf.DUMMYFUNCTION("GOOGLETRANSLATE(E57, ""en"", ""hi"")"),"C) पार्टनर अभ्यास")</f>
        <v>C) पार्टनर अभ्यास</v>
      </c>
    </row>
    <row r="58" ht="22.5" customHeight="1">
      <c r="A58" s="2">
        <v>57.0</v>
      </c>
      <c r="B58" s="10" t="s">
        <v>5074</v>
      </c>
      <c r="C58" s="3" t="s">
        <v>5083</v>
      </c>
      <c r="D58" s="3" t="s">
        <v>5084</v>
      </c>
      <c r="E58" s="3" t="s">
        <v>5085</v>
      </c>
      <c r="G58" s="8" t="str">
        <f>IFERROR(__xludf.DUMMYFUNCTION("GOOGLETRANSLATE(A58, ""en"", ""hi"")"),"57")</f>
        <v>57</v>
      </c>
      <c r="H58" s="8" t="str">
        <f>IFERROR(__xludf.DUMMYFUNCTION("GOOGLETRANSLATE(B58, ""en"", ""hi"")"),"थांग-ता_14")</f>
        <v>थांग-ता_14</v>
      </c>
      <c r="I58" s="8" t="str">
        <f>IFERROR(__xludf.DUMMYFUNCTION("GOOGLETRANSLATE(C58, ""en"", ""hi"")"),"चित्र में दर्शाए गए खेल में, प्रतियोगिता स्थल की एक सामान्य विशेषता क्या है?")</f>
        <v>चित्र में दर्शाए गए खेल में, प्रतियोगिता स्थल की एक सामान्य विशेषता क्या है?</v>
      </c>
      <c r="J58" s="8" t="str">
        <f>IFERROR(__xludf.DUMMYFUNCTION("GOOGLETRANSLATE(D58, ""en"", ""hi"")"),"A) मैट क्षेत्र, B) रिंग, C) पिंजरा, D) अखाड़ा")</f>
        <v>A) मैट क्षेत्र, B) रिंग, C) पिंजरा, D) अखाड़ा</v>
      </c>
      <c r="K58" s="8" t="str">
        <f>IFERROR(__xludf.DUMMYFUNCTION("GOOGLETRANSLATE(E58, ""en"", ""hi"")"),"ए) चटाई क्षेत्र")</f>
        <v>ए) चटाई क्षेत्र</v>
      </c>
    </row>
    <row r="59" ht="22.5" customHeight="1">
      <c r="A59" s="2">
        <v>58.0</v>
      </c>
      <c r="B59" s="10" t="s">
        <v>5086</v>
      </c>
      <c r="C59" s="3" t="s">
        <v>5087</v>
      </c>
      <c r="D59" s="3" t="s">
        <v>5088</v>
      </c>
      <c r="E59" s="3" t="s">
        <v>5089</v>
      </c>
      <c r="G59" s="8" t="str">
        <f>IFERROR(__xludf.DUMMYFUNCTION("GOOGLETRANSLATE(A59, ""en"", ""hi"")"),"58")</f>
        <v>58</v>
      </c>
      <c r="H59" s="8" t="str">
        <f>IFERROR(__xludf.DUMMYFUNCTION("GOOGLETRANSLATE(B59, ""en"", ""hi"")"),"थांग-ता_15")</f>
        <v>थांग-ता_15</v>
      </c>
      <c r="I59" s="8" t="str">
        <f>IFERROR(__xludf.DUMMYFUNCTION("GOOGLETRANSLATE(C59, ""en"", ""hi"")"),"चित्र में दिखाए गए खेल के लिए उन्नत प्रशिक्षण का प्राथमिक फोकस क्या है?")</f>
        <v>चित्र में दिखाए गए खेल के लिए उन्नत प्रशिक्षण का प्राथमिक फोकस क्या है?</v>
      </c>
      <c r="J59" s="8" t="str">
        <f>IFERROR(__xludf.DUMMYFUNCTION("GOOGLETRANSLATE(D59, ""en"", ""hi"")"),"A) तकनीकों को परिष्कृत करना, B) ताकत का निर्माण करना, C) गति बढ़ाना, D) सहनशक्ति बढ़ाना")</f>
        <v>A) तकनीकों को परिष्कृत करना, B) ताकत का निर्माण करना, C) गति बढ़ाना, D) सहनशक्ति बढ़ाना</v>
      </c>
      <c r="K59" s="8" t="str">
        <f>IFERROR(__xludf.DUMMYFUNCTION("GOOGLETRANSLATE(E59, ""en"", ""hi"")"),"A) परिष्कृत तकनीकें")</f>
        <v>A) परिष्कृत तकनीकें</v>
      </c>
    </row>
    <row r="60" ht="22.5" customHeight="1">
      <c r="A60" s="2">
        <v>59.0</v>
      </c>
      <c r="B60" s="10" t="s">
        <v>5086</v>
      </c>
      <c r="C60" s="3" t="s">
        <v>5090</v>
      </c>
      <c r="D60" s="3" t="s">
        <v>5091</v>
      </c>
      <c r="E60" s="3" t="s">
        <v>5092</v>
      </c>
      <c r="G60" s="8" t="str">
        <f>IFERROR(__xludf.DUMMYFUNCTION("GOOGLETRANSLATE(A60, ""en"", ""hi"")"),"59")</f>
        <v>59</v>
      </c>
      <c r="H60" s="8" t="str">
        <f>IFERROR(__xludf.DUMMYFUNCTION("GOOGLETRANSLATE(B60, ""en"", ""hi"")"),"थांग-ता_15")</f>
        <v>थांग-ता_15</v>
      </c>
      <c r="I60" s="8" t="str">
        <f>IFERROR(__xludf.DUMMYFUNCTION("GOOGLETRANSLATE(C60, ""en"", ""hi"")"),"चित्र में दिखाए गए खेल में सटीकता सुधारने के लिए सामान्य अभ्यास क्या है?")</f>
        <v>चित्र में दिखाए गए खेल में सटीकता सुधारने के लिए सामान्य अभ्यास क्या है?</v>
      </c>
      <c r="J60" s="8" t="str">
        <f>IFERROR(__xludf.DUMMYFUNCTION("GOOGLETRANSLATE(D60, ""en"", ""hi"")"),"ए) लक्ष्य अभ्यास, बी) गति अभ्यास, सी) शक्ति अभ्यास, डी) लचीलापन दिनचर्या")</f>
        <v>ए) लक्ष्य अभ्यास, बी) गति अभ्यास, सी) शक्ति अभ्यास, डी) लचीलापन दिनचर्या</v>
      </c>
      <c r="K60" s="8" t="str">
        <f>IFERROR(__xludf.DUMMYFUNCTION("GOOGLETRANSLATE(E60, ""en"", ""hi"")"),"ए) लक्ष्य अभ्यास")</f>
        <v>ए) लक्ष्य अभ्यास</v>
      </c>
    </row>
    <row r="61" ht="22.5" customHeight="1">
      <c r="A61" s="2">
        <v>60.0</v>
      </c>
      <c r="B61" s="10" t="s">
        <v>5086</v>
      </c>
      <c r="C61" s="3" t="s">
        <v>5093</v>
      </c>
      <c r="D61" s="3" t="s">
        <v>5094</v>
      </c>
      <c r="E61" s="3" t="s">
        <v>1873</v>
      </c>
      <c r="G61" s="8" t="str">
        <f>IFERROR(__xludf.DUMMYFUNCTION("GOOGLETRANSLATE(A61, ""en"", ""hi"")"),"60")</f>
        <v>60</v>
      </c>
      <c r="H61" s="8" t="str">
        <f>IFERROR(__xludf.DUMMYFUNCTION("GOOGLETRANSLATE(B61, ""en"", ""hi"")"),"थांग-ता_15")</f>
        <v>थांग-ता_15</v>
      </c>
      <c r="I61" s="8" t="str">
        <f>IFERROR(__xludf.DUMMYFUNCTION("GOOGLETRANSLATE(C61, ""en"", ""hi"")"),"चित्र में दर्शाए गए खेल के लिए, प्रतियोगिता मैच का एक विशिष्ट घटक क्या है?")</f>
        <v>चित्र में दर्शाए गए खेल के लिए, प्रतियोगिता मैच का एक विशिष्ट घटक क्या है?</v>
      </c>
      <c r="J61" s="8" t="str">
        <f>IFERROR(__xludf.DUMMYFUNCTION("GOOGLETRANSLATE(D61, ""en"", ""hi"")"),"A) समय सीमा, B) राउंड-आधारित स्कोरिंग, C) अचानक मृत्यु नियम, D) उपरोक्त सभी")</f>
        <v>A) समय सीमा, B) राउंड-आधारित स्कोरिंग, C) अचानक मृत्यु नियम, D) उपरोक्त सभी</v>
      </c>
      <c r="K61" s="8" t="str">
        <f>IFERROR(__xludf.DUMMYFUNCTION("GOOGLETRANSLATE(E61, ""en"", ""hi"")"),"D। उपरोक्त सभी")</f>
        <v>D। उपरोक्त सभी</v>
      </c>
    </row>
    <row r="62" ht="22.5" customHeight="1">
      <c r="A62" s="2">
        <v>61.0</v>
      </c>
      <c r="B62" s="10" t="s">
        <v>5086</v>
      </c>
      <c r="C62" s="3" t="s">
        <v>5095</v>
      </c>
      <c r="D62" s="3" t="s">
        <v>5096</v>
      </c>
      <c r="E62" s="3" t="s">
        <v>5097</v>
      </c>
      <c r="G62" s="8" t="str">
        <f>IFERROR(__xludf.DUMMYFUNCTION("GOOGLETRANSLATE(A62, ""en"", ""hi"")"),"61")</f>
        <v>61</v>
      </c>
      <c r="H62" s="8" t="str">
        <f>IFERROR(__xludf.DUMMYFUNCTION("GOOGLETRANSLATE(B62, ""en"", ""hi"")"),"थांग-ता_15")</f>
        <v>थांग-ता_15</v>
      </c>
      <c r="I62" s="8" t="str">
        <f>IFERROR(__xludf.DUMMYFUNCTION("GOOGLETRANSLATE(C62, ""en"", ""hi"")"),"चित्र में दिखाए गए खेल में स्पैरिंग अभ्यास के लिए किस प्रकार के उपकरण का उपयोग किया जाता है?")</f>
        <v>चित्र में दिखाए गए खेल में स्पैरिंग अभ्यास के लिए किस प्रकार के उपकरण का उपयोग किया जाता है?</v>
      </c>
      <c r="J62" s="8" t="str">
        <f>IFERROR(__xludf.DUMMYFUNCTION("GOOGLETRANSLATE(D62, ""en"", ""hi"")"),"A) सुरक्षात्मक गियर, B) प्रशिक्षण डमी, C) भारी बैग, D) उपरोक्त सभी")</f>
        <v>A) सुरक्षात्मक गियर, B) प्रशिक्षण डमी, C) भारी बैग, D) उपरोक्त सभी</v>
      </c>
      <c r="K62" s="8" t="str">
        <f>IFERROR(__xludf.DUMMYFUNCTION("GOOGLETRANSLATE(E62, ""en"", ""hi"")"),"ए) सुरक्षात्मक गियर")</f>
        <v>ए) सुरक्षात्मक गियर</v>
      </c>
    </row>
    <row r="63" ht="22.5" customHeight="1">
      <c r="A63" s="2">
        <v>62.0</v>
      </c>
      <c r="B63" s="10" t="s">
        <v>5098</v>
      </c>
      <c r="C63" s="3" t="s">
        <v>5099</v>
      </c>
      <c r="D63" s="3" t="s">
        <v>5100</v>
      </c>
      <c r="E63" s="3" t="s">
        <v>5101</v>
      </c>
      <c r="G63" s="8" t="str">
        <f>IFERROR(__xludf.DUMMYFUNCTION("GOOGLETRANSLATE(A63, ""en"", ""hi"")"),"62")</f>
        <v>62</v>
      </c>
      <c r="H63" s="8" t="str">
        <f>IFERROR(__xludf.DUMMYFUNCTION("GOOGLETRANSLATE(B63, ""en"", ""hi"")"),"थांग-ता_16")</f>
        <v>थांग-ता_16</v>
      </c>
      <c r="I63" s="8" t="str">
        <f>IFERROR(__xludf.DUMMYFUNCTION("GOOGLETRANSLATE(C63, ""en"", ""hi"")"),"चित्र में दिखाए गए खेल में, सुरक्षा को भेदने के लिए अक्सर किस तकनीक का उपयोग किया जाता है?")</f>
        <v>चित्र में दिखाए गए खेल में, सुरक्षा को भेदने के लिए अक्सर किस तकनीक का उपयोग किया जाता है?</v>
      </c>
      <c r="J63" s="8" t="str">
        <f>IFERROR(__xludf.DUMMYFUNCTION("GOOGLETRANSLATE(D63, ""en"", ""hi"")"),"ए) फाइन्ट, बी) डायरेक्ट स्ट्राइक, सी) कॉम्बो, डी) थ्रो")</f>
        <v>ए) फाइन्ट, बी) डायरेक्ट स्ट्राइक, सी) कॉम्बो, डी) थ्रो</v>
      </c>
      <c r="K63" s="8" t="str">
        <f>IFERROR(__xludf.DUMMYFUNCTION("GOOGLETRANSLATE(E63, ""en"", ""hi"")"),"बी) प्रत्यक्ष हमले")</f>
        <v>बी) प्रत्यक्ष हमले</v>
      </c>
    </row>
    <row r="64" ht="22.5" customHeight="1">
      <c r="A64" s="2">
        <v>63.0</v>
      </c>
      <c r="B64" s="10" t="s">
        <v>5098</v>
      </c>
      <c r="C64" s="3" t="s">
        <v>5102</v>
      </c>
      <c r="D64" s="3" t="s">
        <v>5103</v>
      </c>
      <c r="E64" s="3" t="s">
        <v>5104</v>
      </c>
      <c r="G64" s="8" t="str">
        <f>IFERROR(__xludf.DUMMYFUNCTION("GOOGLETRANSLATE(A64, ""en"", ""hi"")"),"63")</f>
        <v>63</v>
      </c>
      <c r="H64" s="8" t="str">
        <f>IFERROR(__xludf.DUMMYFUNCTION("GOOGLETRANSLATE(B64, ""en"", ""hi"")"),"थांग-ता_16")</f>
        <v>थांग-ता_16</v>
      </c>
      <c r="I64" s="8" t="str">
        <f>IFERROR(__xludf.DUMMYFUNCTION("GOOGLETRANSLATE(C64, ""en"", ""hi"")"),"चित्र में दर्शाए गए खेल में प्रशिक्षण शिविर की सामान्य अवधि क्या है?")</f>
        <v>चित्र में दर्शाए गए खेल में प्रशिक्षण शिविर की सामान्य अवधि क्या है?</v>
      </c>
      <c r="J64" s="8" t="str">
        <f>IFERROR(__xludf.DUMMYFUNCTION("GOOGLETRANSLATE(D64, ""en"", ""hi"")"),"A) 1 दिन, B) 1 सप्ताह, C) 1 माह, D) 3 माह")</f>
        <v>A) 1 दिन, B) 1 सप्ताह, C) 1 माह, D) 3 माह</v>
      </c>
      <c r="K64" s="8" t="str">
        <f>IFERROR(__xludf.DUMMYFUNCTION("GOOGLETRANSLATE(E64, ""en"", ""hi"")"),"बी) 1 सप्ताह")</f>
        <v>बी) 1 सप्ताह</v>
      </c>
    </row>
    <row r="65" ht="22.5" customHeight="1">
      <c r="A65" s="2">
        <v>64.0</v>
      </c>
      <c r="B65" s="10" t="s">
        <v>5098</v>
      </c>
      <c r="C65" s="3" t="s">
        <v>5105</v>
      </c>
      <c r="D65" s="3" t="s">
        <v>5106</v>
      </c>
      <c r="E65" s="3" t="s">
        <v>5107</v>
      </c>
      <c r="G65" s="8" t="str">
        <f>IFERROR(__xludf.DUMMYFUNCTION("GOOGLETRANSLATE(A65, ""en"", ""hi"")"),"64")</f>
        <v>64</v>
      </c>
      <c r="H65" s="8" t="str">
        <f>IFERROR(__xludf.DUMMYFUNCTION("GOOGLETRANSLATE(B65, ""en"", ""hi"")"),"थांग-ता_16")</f>
        <v>थांग-ता_16</v>
      </c>
      <c r="I65" s="8" t="str">
        <f>IFERROR(__xludf.DUMMYFUNCTION("GOOGLETRANSLATE(C65, ""en"", ""hi"")"),"चित्र में दिखाए गए खेल के लिए, सहनशक्ति बढ़ाने का सामान्य तरीका क्या है?")</f>
        <v>चित्र में दिखाए गए खेल के लिए, सहनशक्ति बढ़ाने का सामान्य तरीका क्या है?</v>
      </c>
      <c r="J65" s="8" t="str">
        <f>IFERROR(__xludf.DUMMYFUNCTION("GOOGLETRANSLATE(D65, ""en"", ""hi"")"),"ए) लंबी दूरी की दौड़, बी) अंतराल प्रशिक्षण, सी) शक्ति प्रशिक्षण, डी) लचीलापन व्यायाम")</f>
        <v>ए) लंबी दूरी की दौड़, बी) अंतराल प्रशिक्षण, सी) शक्ति प्रशिक्षण, डी) लचीलापन व्यायाम</v>
      </c>
      <c r="K65" s="8" t="str">
        <f>IFERROR(__xludf.DUMMYFUNCTION("GOOGLETRANSLATE(E65, ""en"", ""hi"")"),"बी) अंतराल प्रशिक्षण")</f>
        <v>बी) अंतराल प्रशिक्षण</v>
      </c>
    </row>
    <row r="66" ht="22.5" customHeight="1">
      <c r="A66" s="2">
        <v>65.0</v>
      </c>
      <c r="B66" s="10" t="s">
        <v>5098</v>
      </c>
      <c r="C66" s="3" t="s">
        <v>5108</v>
      </c>
      <c r="D66" s="3" t="s">
        <v>5109</v>
      </c>
      <c r="E66" s="3" t="s">
        <v>5110</v>
      </c>
      <c r="G66" s="8" t="str">
        <f>IFERROR(__xludf.DUMMYFUNCTION("GOOGLETRANSLATE(A66, ""en"", ""hi"")"),"65")</f>
        <v>65</v>
      </c>
      <c r="H66" s="8" t="str">
        <f>IFERROR(__xludf.DUMMYFUNCTION("GOOGLETRANSLATE(B66, ""en"", ""hi"")"),"थांग-ता_16")</f>
        <v>थांग-ता_16</v>
      </c>
      <c r="I66" s="8" t="str">
        <f>IFERROR(__xludf.DUMMYFUNCTION("GOOGLETRANSLATE(C66, ""en"", ""hi"")"),"चित्र में दर्शाए गए खेल में प्रशिक्षण में दृश्यीकरण की क्या भूमिका है?")</f>
        <v>चित्र में दर्शाए गए खेल में प्रशिक्षण में दृश्यीकरण की क्या भूमिका है?</v>
      </c>
      <c r="J66" s="8" t="str">
        <f>IFERROR(__xludf.DUMMYFUNCTION("GOOGLETRANSLATE(D66, ""en"", ""hi"")"),"A) मानसिक एकाग्रता बढ़ाता है, B) शारीरिक शक्ति में सुधार करता है, C) लचीलापन बढ़ाता है, D) सहनशक्ति विकसित करता है")</f>
        <v>A) मानसिक एकाग्रता बढ़ाता है, B) शारीरिक शक्ति में सुधार करता है, C) लचीलापन बढ़ाता है, D) सहनशक्ति विकसित करता है</v>
      </c>
      <c r="K66" s="8" t="str">
        <f>IFERROR(__xludf.DUMMYFUNCTION("GOOGLETRANSLATE(E66, ""en"", ""hi"")"),"A) मानसिक एकाग्रता बढ़ाता है")</f>
        <v>A) मानसिक एकाग्रता बढ़ाता है</v>
      </c>
    </row>
    <row r="67" ht="22.5" customHeight="1">
      <c r="A67" s="2">
        <v>66.0</v>
      </c>
      <c r="B67" s="10" t="s">
        <v>5111</v>
      </c>
      <c r="C67" s="3" t="s">
        <v>5112</v>
      </c>
      <c r="D67" s="3" t="s">
        <v>5113</v>
      </c>
      <c r="E67" s="3" t="s">
        <v>1873</v>
      </c>
      <c r="G67" s="8" t="str">
        <f>IFERROR(__xludf.DUMMYFUNCTION("GOOGLETRANSLATE(A67, ""en"", ""hi"")"),"66")</f>
        <v>66</v>
      </c>
      <c r="H67" s="8" t="str">
        <f>IFERROR(__xludf.DUMMYFUNCTION("GOOGLETRANSLATE(B67, ""en"", ""hi"")"),"थांग-ता_17")</f>
        <v>थांग-ता_17</v>
      </c>
      <c r="I67" s="8" t="str">
        <f>IFERROR(__xludf.DUMMYFUNCTION("GOOGLETRANSLATE(C67, ""en"", ""hi"")"),"चित्र में दिखाए गए खेल के लिए, निम्नलिखित में से कौन सा एक सामान्य चोट निवारण उपाय है?")</f>
        <v>चित्र में दिखाए गए खेल के लिए, निम्नलिखित में से कौन सा एक सामान्य चोट निवारण उपाय है?</v>
      </c>
      <c r="J67" s="8" t="str">
        <f>IFERROR(__xludf.DUMMYFUNCTION("GOOGLETRANSLATE(D67, ""en"", ""hi"")"),"A) उचित वार्म-अप, B) नियमित स्ट्रेचिंग, C) सुरक्षात्मक गियर का उपयोग, D) उपरोक्त सभी")</f>
        <v>A) उचित वार्म-अप, B) नियमित स्ट्रेचिंग, C) सुरक्षात्मक गियर का उपयोग, D) उपरोक्त सभी</v>
      </c>
      <c r="K67" s="8" t="str">
        <f>IFERROR(__xludf.DUMMYFUNCTION("GOOGLETRANSLATE(E67, ""en"", ""hi"")"),"D। उपरोक्त सभी")</f>
        <v>D। उपरोक्त सभी</v>
      </c>
    </row>
    <row r="68" ht="22.5" customHeight="1">
      <c r="A68" s="2">
        <v>67.0</v>
      </c>
      <c r="B68" s="10" t="s">
        <v>5111</v>
      </c>
      <c r="C68" s="3" t="s">
        <v>5114</v>
      </c>
      <c r="D68" s="3" t="s">
        <v>5115</v>
      </c>
      <c r="E68" s="3" t="s">
        <v>1873</v>
      </c>
      <c r="G68" s="8" t="str">
        <f>IFERROR(__xludf.DUMMYFUNCTION("GOOGLETRANSLATE(A68, ""en"", ""hi"")"),"67")</f>
        <v>67</v>
      </c>
      <c r="H68" s="8" t="str">
        <f>IFERROR(__xludf.DUMMYFUNCTION("GOOGLETRANSLATE(B68, ""en"", ""hi"")"),"थांग-ता_17")</f>
        <v>थांग-ता_17</v>
      </c>
      <c r="I68" s="8" t="str">
        <f>IFERROR(__xludf.DUMMYFUNCTION("GOOGLETRANSLATE(C68, ""en"", ""hi"")"),"चित्र में दिखाए गए खेल में, कोर ताकत बनाने के लिए सामान्य प्रकार का व्यायाम क्या है?")</f>
        <v>चित्र में दिखाए गए खेल में, कोर ताकत बनाने के लिए सामान्य प्रकार का व्यायाम क्या है?</v>
      </c>
      <c r="J68" s="8" t="str">
        <f>IFERROR(__xludf.DUMMYFUNCTION("GOOGLETRANSLATE(D68, ""en"", ""hi"")"),"A) प्लैंक, B) क्रंचेस, C) लेग रेज, D) उपरोक्त सभी")</f>
        <v>A) प्लैंक, B) क्रंचेस, C) लेग रेज, D) उपरोक्त सभी</v>
      </c>
      <c r="K68" s="8" t="str">
        <f>IFERROR(__xludf.DUMMYFUNCTION("GOOGLETRANSLATE(E68, ""en"", ""hi"")"),"D। उपरोक्त सभी")</f>
        <v>D। उपरोक्त सभी</v>
      </c>
    </row>
    <row r="69" ht="22.5" customHeight="1">
      <c r="A69" s="2">
        <v>68.0</v>
      </c>
      <c r="B69" s="10" t="s">
        <v>5111</v>
      </c>
      <c r="C69" s="3" t="s">
        <v>5116</v>
      </c>
      <c r="D69" s="3" t="s">
        <v>5117</v>
      </c>
      <c r="E69" s="3" t="s">
        <v>5118</v>
      </c>
      <c r="G69" s="8" t="str">
        <f>IFERROR(__xludf.DUMMYFUNCTION("GOOGLETRANSLATE(A69, ""en"", ""hi"")"),"68")</f>
        <v>68</v>
      </c>
      <c r="H69" s="8" t="str">
        <f>IFERROR(__xludf.DUMMYFUNCTION("GOOGLETRANSLATE(B69, ""en"", ""hi"")"),"थांग-ता_17")</f>
        <v>थांग-ता_17</v>
      </c>
      <c r="I69" s="8" t="str">
        <f>IFERROR(__xludf.DUMMYFUNCTION("GOOGLETRANSLATE(C69, ""en"", ""hi"")"),"चित्र में दर्शाए गए खेल के लिए प्रशिक्षण सत्र की सामान्य विशेषता क्या है?")</f>
        <v>चित्र में दर्शाए गए खेल के लिए प्रशिक्षण सत्र की सामान्य विशेषता क्या है?</v>
      </c>
      <c r="J69" s="8" t="str">
        <f>IFERROR(__xludf.DUMMYFUNCTION("GOOGLETRANSLATE(D69, ""en"", ""hi"")"),"ए) वार्म-अप, बी) तकनीक अभ्यास, सी) स्पैरिंग, डी) कूल-डाउन")</f>
        <v>ए) वार्म-अप, बी) तकनीक अभ्यास, सी) स्पैरिंग, डी) कूल-डाउन</v>
      </c>
      <c r="K69" s="8" t="str">
        <f>IFERROR(__xludf.DUMMYFUNCTION("GOOGLETRANSLATE(E69, ""en"", ""hi"")"),"D) शांत होना")</f>
        <v>D) शांत होना</v>
      </c>
    </row>
    <row r="70" ht="22.5" customHeight="1">
      <c r="A70" s="2">
        <v>69.0</v>
      </c>
      <c r="B70" s="10" t="s">
        <v>5111</v>
      </c>
      <c r="C70" s="3" t="s">
        <v>5119</v>
      </c>
      <c r="D70" s="3" t="s">
        <v>5120</v>
      </c>
      <c r="E70" s="3" t="s">
        <v>5121</v>
      </c>
      <c r="G70" s="8" t="str">
        <f>IFERROR(__xludf.DUMMYFUNCTION("GOOGLETRANSLATE(A70, ""en"", ""hi"")"),"69")</f>
        <v>69</v>
      </c>
      <c r="H70" s="8" t="str">
        <f>IFERROR(__xludf.DUMMYFUNCTION("GOOGLETRANSLATE(B70, ""en"", ""hi"")"),"थांग-ता_17")</f>
        <v>थांग-ता_17</v>
      </c>
      <c r="I70" s="8" t="str">
        <f>IFERROR(__xludf.DUMMYFUNCTION("GOOGLETRANSLATE(C70, ""en"", ""hi"")"),"चित्र में दिखाए गए खेल में अभ्यास का क्या महत्व है?")</f>
        <v>चित्र में दिखाए गए खेल में अभ्यास का क्या महत्व है?</v>
      </c>
      <c r="J70" s="8" t="str">
        <f>IFERROR(__xludf.DUMMYFUNCTION("GOOGLETRANSLATE(D70, ""en"", ""hi"")"),"A) कौशल में सुधार करने के लिए, B) सहनशक्ति बढ़ाने के लिए, C) ताकत बनाने के लिए, D) लचीलापन बढ़ाने के लिए")</f>
        <v>A) कौशल में सुधार करने के लिए, B) सहनशक्ति बढ़ाने के लिए, C) ताकत बनाने के लिए, D) लचीलापन बढ़ाने के लिए</v>
      </c>
      <c r="K70" s="8" t="str">
        <f>IFERROR(__xludf.DUMMYFUNCTION("GOOGLETRANSLATE(E70, ""en"", ""hi"")"),"A) कौशल में सुधार करने के लिए")</f>
        <v>A) कौशल में सुधार करने के लिए</v>
      </c>
    </row>
    <row r="71" ht="22.5" customHeight="1">
      <c r="A71" s="2">
        <v>70.0</v>
      </c>
      <c r="B71" s="10" t="s">
        <v>5122</v>
      </c>
      <c r="C71" s="3" t="s">
        <v>5123</v>
      </c>
      <c r="D71" s="3" t="s">
        <v>5124</v>
      </c>
      <c r="E71" s="3" t="s">
        <v>1873</v>
      </c>
      <c r="G71" s="8" t="str">
        <f>IFERROR(__xludf.DUMMYFUNCTION("GOOGLETRANSLATE(A71, ""en"", ""hi"")"),"70")</f>
        <v>70</v>
      </c>
      <c r="H71" s="8" t="str">
        <f>IFERROR(__xludf.DUMMYFUNCTION("GOOGLETRANSLATE(B71, ""en"", ""hi"")"),"थांग-ता_18")</f>
        <v>थांग-ता_18</v>
      </c>
      <c r="I71" s="8" t="str">
        <f>IFERROR(__xludf.DUMMYFUNCTION("GOOGLETRANSLATE(C71, ""en"", ""hi"")"),"चित्र में दिखाए गए खेल के लिए एक मार्गदर्शक या प्रशिक्षक की क्या भूमिका है?")</f>
        <v>चित्र में दिखाए गए खेल के लिए एक मार्गदर्शक या प्रशिक्षक की क्या भूमिका है?</v>
      </c>
      <c r="J71" s="8" t="str">
        <f>IFERROR(__xludf.DUMMYFUNCTION("GOOGLETRANSLATE(D71, ""en"", ""hi"")"),"A) मार्गदर्शन प्रदान करना, B) प्रशिक्षण कार्यक्रम डिजाइन करना, C) फीडबैक देना, D) उपरोक्त सभी")</f>
        <v>A) मार्गदर्शन प्रदान करना, B) प्रशिक्षण कार्यक्रम डिजाइन करना, C) फीडबैक देना, D) उपरोक्त सभी</v>
      </c>
      <c r="K71" s="8" t="str">
        <f>IFERROR(__xludf.DUMMYFUNCTION("GOOGLETRANSLATE(E71, ""en"", ""hi"")"),"D। उपरोक्त सभी")</f>
        <v>D। उपरोक्त सभी</v>
      </c>
    </row>
    <row r="72" ht="22.5" customHeight="1">
      <c r="A72" s="2">
        <v>71.0</v>
      </c>
      <c r="B72" s="10" t="s">
        <v>5122</v>
      </c>
      <c r="C72" s="3" t="s">
        <v>5125</v>
      </c>
      <c r="D72" s="3" t="s">
        <v>5126</v>
      </c>
      <c r="E72" s="3" t="s">
        <v>1873</v>
      </c>
      <c r="G72" s="8" t="str">
        <f>IFERROR(__xludf.DUMMYFUNCTION("GOOGLETRANSLATE(A72, ""en"", ""hi"")"),"71")</f>
        <v>71</v>
      </c>
      <c r="H72" s="8" t="str">
        <f>IFERROR(__xludf.DUMMYFUNCTION("GOOGLETRANSLATE(B72, ""en"", ""hi"")"),"थांग-ता_18")</f>
        <v>थांग-ता_18</v>
      </c>
      <c r="I72" s="8" t="str">
        <f>IFERROR(__xludf.DUMMYFUNCTION("GOOGLETRANSLATE(C72, ""en"", ""hi"")"),"चित्र में दर्शाए गए खेल में गति सुधारने की सामान्य तकनीक क्या है?")</f>
        <v>चित्र में दर्शाए गए खेल में गति सुधारने की सामान्य तकनीक क्या है?</v>
      </c>
      <c r="J72" s="8" t="str">
        <f>IFERROR(__xludf.DUMMYFUNCTION("GOOGLETRANSLATE(D72, ""en"", ""hi"")"),"A) स्प्रिंट, B) चपलता अभ्यास, C) अंतराल प्रशिक्षण, D) उपरोक्त सभी")</f>
        <v>A) स्प्रिंट, B) चपलता अभ्यास, C) अंतराल प्रशिक्षण, D) उपरोक्त सभी</v>
      </c>
      <c r="K72" s="8" t="str">
        <f>IFERROR(__xludf.DUMMYFUNCTION("GOOGLETRANSLATE(E72, ""en"", ""hi"")"),"D। उपरोक्त सभी")</f>
        <v>D। उपरोक्त सभी</v>
      </c>
    </row>
    <row r="73" ht="22.5" customHeight="1">
      <c r="A73" s="2">
        <v>72.0</v>
      </c>
      <c r="B73" s="10" t="s">
        <v>5122</v>
      </c>
      <c r="C73" s="3" t="s">
        <v>5127</v>
      </c>
      <c r="D73" s="3" t="s">
        <v>5128</v>
      </c>
      <c r="E73" s="3" t="s">
        <v>1873</v>
      </c>
      <c r="G73" s="8" t="str">
        <f>IFERROR(__xludf.DUMMYFUNCTION("GOOGLETRANSLATE(A73, ""en"", ""hi"")"),"72")</f>
        <v>72</v>
      </c>
      <c r="H73" s="8" t="str">
        <f>IFERROR(__xludf.DUMMYFUNCTION("GOOGLETRANSLATE(B73, ""en"", ""hi"")"),"थांग-ता_18")</f>
        <v>थांग-ता_18</v>
      </c>
      <c r="I73" s="8" t="str">
        <f>IFERROR(__xludf.DUMMYFUNCTION("GOOGLETRANSLATE(C73, ""en"", ""hi"")"),"चित्र में दिखाए गए खेल के लिए उन्नत प्रशिक्षण का एक सामान्य घटक क्या है?")</f>
        <v>चित्र में दिखाए गए खेल के लिए उन्नत प्रशिक्षण का एक सामान्य घटक क्या है?</v>
      </c>
      <c r="J73" s="8" t="str">
        <f>IFERROR(__xludf.DUMMYFUNCTION("GOOGLETRANSLATE(D73, ""en"", ""hi"")"),"A) संयोजन तकनीकें, B) कई साझेदारों के साथ अभ्यास, C) गति और चपलता अभ्यास, D) उपरोक्त सभी")</f>
        <v>A) संयोजन तकनीकें, B) कई साझेदारों के साथ अभ्यास, C) गति और चपलता अभ्यास, D) उपरोक्त सभी</v>
      </c>
      <c r="K73" s="8" t="str">
        <f>IFERROR(__xludf.DUMMYFUNCTION("GOOGLETRANSLATE(E73, ""en"", ""hi"")"),"D। उपरोक्त सभी")</f>
        <v>D। उपरोक्त सभी</v>
      </c>
    </row>
    <row r="74" ht="22.5" customHeight="1">
      <c r="A74" s="2">
        <v>73.0</v>
      </c>
      <c r="B74" s="10" t="s">
        <v>5122</v>
      </c>
      <c r="C74" s="3" t="s">
        <v>5129</v>
      </c>
      <c r="D74" s="3" t="s">
        <v>5130</v>
      </c>
      <c r="E74" s="3" t="s">
        <v>5131</v>
      </c>
      <c r="G74" s="8" t="str">
        <f>IFERROR(__xludf.DUMMYFUNCTION("GOOGLETRANSLATE(A74, ""en"", ""hi"")"),"73")</f>
        <v>73</v>
      </c>
      <c r="H74" s="8" t="str">
        <f>IFERROR(__xludf.DUMMYFUNCTION("GOOGLETRANSLATE(B74, ""en"", ""hi"")"),"थांग-ता_18")</f>
        <v>थांग-ता_18</v>
      </c>
      <c r="I74" s="8" t="str">
        <f>IFERROR(__xludf.DUMMYFUNCTION("GOOGLETRANSLATE(C74, ""en"", ""hi"")"),"चित्र में दर्शाए गए खेल में उन्नत तकनीकों में निपुणता प्राप्त करने का मुख्य पहलू क्या है?")</f>
        <v>चित्र में दर्शाए गए खेल में उन्नत तकनीकों में निपुणता प्राप्त करने का मुख्य पहलू क्या है?</v>
      </c>
      <c r="J74" s="8" t="str">
        <f>IFERROR(__xludf.DUMMYFUNCTION("GOOGLETRANSLATE(D74, ""en"", ""hi"")"),"A) लगातार अभ्यास, B) लचीलापन, C) ताकत, D) गति")</f>
        <v>A) लगातार अभ्यास, B) लचीलापन, C) ताकत, D) गति</v>
      </c>
      <c r="K74" s="8" t="str">
        <f>IFERROR(__xludf.DUMMYFUNCTION("GOOGLETRANSLATE(E74, ""en"", ""hi"")"),"A) लगातार अभ्यास")</f>
        <v>A) लगातार अभ्यास</v>
      </c>
    </row>
    <row r="75" ht="22.5" customHeight="1">
      <c r="A75" s="2">
        <v>74.0</v>
      </c>
      <c r="B75" s="10" t="s">
        <v>5132</v>
      </c>
      <c r="C75" s="3" t="s">
        <v>5133</v>
      </c>
      <c r="D75" s="3" t="s">
        <v>5134</v>
      </c>
      <c r="E75" s="3" t="s">
        <v>5135</v>
      </c>
      <c r="G75" s="8" t="str">
        <f>IFERROR(__xludf.DUMMYFUNCTION("GOOGLETRANSLATE(A75, ""en"", ""hi"")"),"74")</f>
        <v>74</v>
      </c>
      <c r="H75" s="8" t="str">
        <f>IFERROR(__xludf.DUMMYFUNCTION("GOOGLETRANSLATE(B75, ""en"", ""hi"")"),"थांग-ता_19")</f>
        <v>थांग-ता_19</v>
      </c>
      <c r="I75" s="8" t="str">
        <f>IFERROR(__xludf.DUMMYFUNCTION("GOOGLETRANSLATE(C75, ""en"", ""hi"")"),"चित्र में दिखाए गए खेल के लिए पारंपरिक स्वरूपों का अभ्यास करने का सामान्य कारण क्या है?")</f>
        <v>चित्र में दिखाए गए खेल के लिए पारंपरिक स्वरूपों का अभ्यास करने का सामान्य कारण क्या है?</v>
      </c>
      <c r="J75" s="8" t="str">
        <f>IFERROR(__xludf.DUMMYFUNCTION("GOOGLETRANSLATE(D75, ""en"", ""hi"")"),"A) परंपरा का सम्मान करने के लिए, B) तकनीक को बढ़ाने के लिए, C) सहनशक्ति का निर्माण करने के लिए, D) गति विकसित करने के लिए")</f>
        <v>A) परंपरा का सम्मान करने के लिए, B) तकनीक को बढ़ाने के लिए, C) सहनशक्ति का निर्माण करने के लिए, D) गति विकसित करने के लिए</v>
      </c>
      <c r="K75" s="8" t="str">
        <f>IFERROR(__xludf.DUMMYFUNCTION("GOOGLETRANSLATE(E75, ""en"", ""hi"")"),"बी) तकनीक को बढ़ाने के लिए")</f>
        <v>बी) तकनीक को बढ़ाने के लिए</v>
      </c>
    </row>
    <row r="76" ht="22.5" customHeight="1">
      <c r="A76" s="2">
        <v>75.0</v>
      </c>
      <c r="B76" s="10" t="s">
        <v>5132</v>
      </c>
      <c r="C76" s="3" t="s">
        <v>5136</v>
      </c>
      <c r="D76" s="3" t="s">
        <v>5137</v>
      </c>
      <c r="E76" s="3" t="s">
        <v>1873</v>
      </c>
      <c r="G76" s="8" t="str">
        <f>IFERROR(__xludf.DUMMYFUNCTION("GOOGLETRANSLATE(A76, ""en"", ""hi"")"),"75")</f>
        <v>75</v>
      </c>
      <c r="H76" s="8" t="str">
        <f>IFERROR(__xludf.DUMMYFUNCTION("GOOGLETRANSLATE(B76, ""en"", ""hi"")"),"थांग-ता_19")</f>
        <v>थांग-ता_19</v>
      </c>
      <c r="I76" s="8" t="str">
        <f>IFERROR(__xludf.DUMMYFUNCTION("GOOGLETRANSLATE(C76, ""en"", ""hi"")"),"चित्र में दिखाए गए खेल के लिए, एक सामान्य अभ्यास सत्र का फोकस क्या होता है?")</f>
        <v>चित्र में दिखाए गए खेल के लिए, एक सामान्य अभ्यास सत्र का फोकस क्या होता है?</v>
      </c>
      <c r="J76" s="8" t="str">
        <f>IFERROR(__xludf.DUMMYFUNCTION("GOOGLETRANSLATE(D76, ""en"", ""hi"")"),"A) तकनीक परिशोधन, B) शारीरिक कंडीशनिंग, C) रणनीति विकास, D) उपरोक्त सभी")</f>
        <v>A) तकनीक परिशोधन, B) शारीरिक कंडीशनिंग, C) रणनीति विकास, D) उपरोक्त सभी</v>
      </c>
      <c r="K76" s="8" t="str">
        <f>IFERROR(__xludf.DUMMYFUNCTION("GOOGLETRANSLATE(E76, ""en"", ""hi"")"),"D। उपरोक्त सभी")</f>
        <v>D। उपरोक्त सभी</v>
      </c>
    </row>
    <row r="77" ht="22.5" customHeight="1">
      <c r="A77" s="2">
        <v>76.0</v>
      </c>
      <c r="B77" s="10" t="s">
        <v>5132</v>
      </c>
      <c r="C77" s="3" t="s">
        <v>5138</v>
      </c>
      <c r="D77" s="3" t="s">
        <v>5139</v>
      </c>
      <c r="E77" s="3" t="s">
        <v>2992</v>
      </c>
      <c r="G77" s="8" t="str">
        <f>IFERROR(__xludf.DUMMYFUNCTION("GOOGLETRANSLATE(A77, ""en"", ""hi"")"),"76")</f>
        <v>76</v>
      </c>
      <c r="H77" s="8" t="str">
        <f>IFERROR(__xludf.DUMMYFUNCTION("GOOGLETRANSLATE(B77, ""en"", ""hi"")"),"थांग-ता_19")</f>
        <v>थांग-ता_19</v>
      </c>
      <c r="I77" s="8" t="str">
        <f>IFERROR(__xludf.DUMMYFUNCTION("GOOGLETRANSLATE(C77, ""en"", ""hi"")"),"चित्र में दर्शाए गए खेल में अभ्यास के दौरान प्राथमिक लक्ष्य क्या है?")</f>
        <v>चित्र में दर्शाए गए खेल में अभ्यास के दौरान प्राथमिक लक्ष्य क्या है?</v>
      </c>
      <c r="J77" s="8" t="str">
        <f>IFERROR(__xludf.DUMMYFUNCTION("GOOGLETRANSLATE(D77, ""en"", ""hi"")"),"A) गति, B) सटीकता, C) शक्ति, D) लचीलापन")</f>
        <v>A) गति, B) सटीकता, C) शक्ति, D) लचीलापन</v>
      </c>
      <c r="K77" s="8" t="str">
        <f>IFERROR(__xludf.DUMMYFUNCTION("GOOGLETRANSLATE(E77, ""en"", ""hi"")"),"बी) सटीकता")</f>
        <v>बी) सटीकता</v>
      </c>
    </row>
    <row r="78" ht="22.5" customHeight="1">
      <c r="A78" s="2">
        <v>77.0</v>
      </c>
      <c r="B78" s="10" t="s">
        <v>5132</v>
      </c>
      <c r="C78" s="3" t="s">
        <v>5140</v>
      </c>
      <c r="D78" s="3" t="s">
        <v>5141</v>
      </c>
      <c r="E78" s="3" t="s">
        <v>5142</v>
      </c>
      <c r="G78" s="8" t="str">
        <f>IFERROR(__xludf.DUMMYFUNCTION("GOOGLETRANSLATE(A78, ""en"", ""hi"")"),"77")</f>
        <v>77</v>
      </c>
      <c r="H78" s="8" t="str">
        <f>IFERROR(__xludf.DUMMYFUNCTION("GOOGLETRANSLATE(B78, ""en"", ""hi"")"),"थांग-ता_19")</f>
        <v>थांग-ता_19</v>
      </c>
      <c r="I78" s="8" t="str">
        <f>IFERROR(__xludf.DUMMYFUNCTION("GOOGLETRANSLATE(C78, ""en"", ""hi"")"),"चित्र में दिखाए गए खेल में बचाव के लिए आमतौर पर किस प्रकार का रुख इस्तेमाल किया जाता है?")</f>
        <v>चित्र में दिखाए गए खेल में बचाव के लिए आमतौर पर किस प्रकार का रुख इस्तेमाल किया जाता है?</v>
      </c>
      <c r="J78" s="8" t="str">
        <f>IFERROR(__xludf.DUMMYFUNCTION("GOOGLETRANSLATE(D78, ""en"", ""hi"")"),"A) आगे की ओर रुख, B) बगल की ओर रुख, C) पीछे की ओर रुख, D) तटस्थ रुख")</f>
        <v>A) आगे की ओर रुख, B) बगल की ओर रुख, C) पीछे की ओर रुख, D) तटस्थ रुख</v>
      </c>
      <c r="K78" s="8" t="str">
        <f>IFERROR(__xludf.DUMMYFUNCTION("GOOGLETRANSLATE(E78, ""en"", ""hi"")"),"सी) पीछे की ओर रुख")</f>
        <v>सी) पीछे की ओर रुख</v>
      </c>
    </row>
    <row r="79" ht="22.5" customHeight="1">
      <c r="A79" s="2">
        <v>78.0</v>
      </c>
      <c r="B79" s="10" t="s">
        <v>5143</v>
      </c>
      <c r="C79" s="3" t="s">
        <v>5144</v>
      </c>
      <c r="D79" s="3" t="s">
        <v>5145</v>
      </c>
      <c r="E79" s="3" t="s">
        <v>5146</v>
      </c>
      <c r="G79" s="8" t="str">
        <f>IFERROR(__xludf.DUMMYFUNCTION("GOOGLETRANSLATE(A79, ""en"", ""hi"")"),"78")</f>
        <v>78</v>
      </c>
      <c r="H79" s="8" t="str">
        <f>IFERROR(__xludf.DUMMYFUNCTION("GOOGLETRANSLATE(B79, ""en"", ""hi"")"),"थांग-ता_20")</f>
        <v>थांग-ता_20</v>
      </c>
      <c r="I79" s="8" t="str">
        <f>IFERROR(__xludf.DUMMYFUNCTION("GOOGLETRANSLATE(C79, ""en"", ""hi"")"),"चित्र में दर्शाए गए खेल में प्रहार शक्ति में सुधार करने की सामान्य विधि क्या है?")</f>
        <v>चित्र में दर्शाए गए खेल में प्रहार शक्ति में सुधार करने की सामान्य विधि क्या है?</v>
      </c>
      <c r="J79" s="8" t="str">
        <f>IFERROR(__xludf.DUMMYFUNCTION("GOOGLETRANSLATE(D79, ""en"", ""hi"")"),"ए) भारी बैग वर्क, बी) छाया युद्ध, सी) गति अभ्यास, डी) लचीलापन प्रशिक्षण")</f>
        <v>ए) भारी बैग वर्क, बी) छाया युद्ध, सी) गति अभ्यास, डी) लचीलापन प्रशिक्षण</v>
      </c>
      <c r="K79" s="8" t="str">
        <f>IFERROR(__xludf.DUMMYFUNCTION("GOOGLETRANSLATE(E79, ""en"", ""hi"")"),"A) भारी बैग का काम")</f>
        <v>A) भारी बैग का काम</v>
      </c>
    </row>
    <row r="80" ht="22.5" customHeight="1">
      <c r="A80" s="2">
        <v>79.0</v>
      </c>
      <c r="B80" s="10" t="s">
        <v>5143</v>
      </c>
      <c r="C80" s="3" t="s">
        <v>5147</v>
      </c>
      <c r="D80" s="3" t="s">
        <v>5148</v>
      </c>
      <c r="E80" s="3" t="s">
        <v>1873</v>
      </c>
      <c r="G80" s="8" t="str">
        <f>IFERROR(__xludf.DUMMYFUNCTION("GOOGLETRANSLATE(A80, ""en"", ""hi"")"),"79")</f>
        <v>79</v>
      </c>
      <c r="H80" s="8" t="str">
        <f>IFERROR(__xludf.DUMMYFUNCTION("GOOGLETRANSLATE(B80, ""en"", ""hi"")"),"थांग-ता_20")</f>
        <v>थांग-ता_20</v>
      </c>
      <c r="I80" s="8" t="str">
        <f>IFERROR(__xludf.DUMMYFUNCTION("GOOGLETRANSLATE(C80, ""en"", ""hi"")"),"चित्र में दिखाए गए खेल के लिए, प्रतिस्पर्धी मैचों की एक विशिष्ट विशेषता क्या है?")</f>
        <v>चित्र में दिखाए गए खेल के लिए, प्रतिस्पर्धी मैचों की एक विशिष्ट विशेषता क्या है?</v>
      </c>
      <c r="J80" s="8" t="str">
        <f>IFERROR(__xludf.DUMMYFUNCTION("GOOGLETRANSLATE(D80, ""en"", ""hi"")"),"A) समय सीमा, B) भार वर्ग, C) राउंड-आधारित स्कोरिंग, D) उपरोक्त सभी")</f>
        <v>A) समय सीमा, B) भार वर्ग, C) राउंड-आधारित स्कोरिंग, D) उपरोक्त सभी</v>
      </c>
      <c r="K80" s="8" t="str">
        <f>IFERROR(__xludf.DUMMYFUNCTION("GOOGLETRANSLATE(E80, ""en"", ""hi"")"),"D। उपरोक्त सभी")</f>
        <v>D। उपरोक्त सभी</v>
      </c>
    </row>
    <row r="81" ht="22.5" customHeight="1">
      <c r="A81" s="2">
        <v>80.0</v>
      </c>
      <c r="B81" s="10" t="s">
        <v>5143</v>
      </c>
      <c r="C81" s="3" t="s">
        <v>5149</v>
      </c>
      <c r="D81" s="3" t="s">
        <v>5150</v>
      </c>
      <c r="E81" s="3" t="s">
        <v>5151</v>
      </c>
      <c r="G81" s="8" t="str">
        <f>IFERROR(__xludf.DUMMYFUNCTION("GOOGLETRANSLATE(A81, ""en"", ""hi"")"),"80")</f>
        <v>80</v>
      </c>
      <c r="H81" s="8" t="str">
        <f>IFERROR(__xludf.DUMMYFUNCTION("GOOGLETRANSLATE(B81, ""en"", ""hi"")"),"थांग-ता_20")</f>
        <v>थांग-ता_20</v>
      </c>
      <c r="I81" s="8" t="str">
        <f>IFERROR(__xludf.DUMMYFUNCTION("GOOGLETRANSLATE(C81, ""en"", ""hi"")"),"चित्र में दिखाए गए खेल में, कंडीशनिंग व्यायाम का सामान्य प्रकार क्या है?")</f>
        <v>चित्र में दिखाए गए खेल में, कंडीशनिंग व्यायाम का सामान्य प्रकार क्या है?</v>
      </c>
      <c r="J81" s="8" t="str">
        <f>IFERROR(__xludf.DUMMYFUNCTION("GOOGLETRANSLATE(D81, ""en"", ""hi"")"),"A) अंतराल दौड़, B) भारोत्तोलन, C) तैराकी, D) योग")</f>
        <v>A) अंतराल दौड़, B) भारोत्तोलन, C) तैराकी, D) योग</v>
      </c>
      <c r="K81" s="8" t="str">
        <f>IFERROR(__xludf.DUMMYFUNCTION("GOOGLETRANSLATE(E81, ""en"", ""hi"")"),"A) अंतराल दौड़")</f>
        <v>A) अंतराल दौड़</v>
      </c>
    </row>
    <row r="82" ht="22.5" customHeight="1">
      <c r="A82" s="2">
        <v>81.0</v>
      </c>
      <c r="B82" s="10" t="s">
        <v>5143</v>
      </c>
      <c r="C82" s="3" t="s">
        <v>5152</v>
      </c>
      <c r="D82" s="3" t="s">
        <v>5153</v>
      </c>
      <c r="E82" s="3" t="s">
        <v>5154</v>
      </c>
      <c r="G82" s="8" t="str">
        <f>IFERROR(__xludf.DUMMYFUNCTION("GOOGLETRANSLATE(A82, ""en"", ""hi"")"),"81")</f>
        <v>81</v>
      </c>
      <c r="H82" s="8" t="str">
        <f>IFERROR(__xludf.DUMMYFUNCTION("GOOGLETRANSLATE(B82, ""en"", ""hi"")"),"थांग-ता_20")</f>
        <v>थांग-ता_20</v>
      </c>
      <c r="I82" s="8" t="str">
        <f>IFERROR(__xludf.DUMMYFUNCTION("GOOGLETRANSLATE(C82, ""en"", ""hi"")"),"चित्र में दर्शाए गए खेल के लिए, स्पैरिंग अभ्यास का मुख्य पहलू क्या है?")</f>
        <v>चित्र में दर्शाए गए खेल के लिए, स्पैरिंग अभ्यास का मुख्य पहलू क्या है?</v>
      </c>
      <c r="J82" s="8" t="str">
        <f>IFERROR(__xludf.DUMMYFUNCTION("GOOGLETRANSLATE(D82, ""en"", ""hi"")"),"ए) यथार्थवादी युद्ध परिदृश्य, बी) एकल अभ्यास, सी) तकनीक समीक्षा, डी) लचीलापन अभ्यास")</f>
        <v>ए) यथार्थवादी युद्ध परिदृश्य, बी) एकल अभ्यास, सी) तकनीक समीक्षा, डी) लचीलापन अभ्यास</v>
      </c>
      <c r="K82" s="8" t="str">
        <f>IFERROR(__xludf.DUMMYFUNCTION("GOOGLETRANSLATE(E82, ""en"", ""hi"")"),"A) यथार्थवादी युद्ध परिदृश्य")</f>
        <v>A) यथार्थवादी युद्ध परिदृश्य</v>
      </c>
    </row>
    <row r="83" ht="22.5" customHeight="1">
      <c r="A83" s="2">
        <v>82.0</v>
      </c>
      <c r="B83" s="10" t="s">
        <v>5155</v>
      </c>
      <c r="C83" s="3" t="s">
        <v>5156</v>
      </c>
      <c r="D83" s="3" t="s">
        <v>5157</v>
      </c>
      <c r="E83" s="3" t="s">
        <v>3772</v>
      </c>
      <c r="G83" s="8" t="str">
        <f>IFERROR(__xludf.DUMMYFUNCTION("GOOGLETRANSLATE(A83, ""en"", ""hi"")"),"82")</f>
        <v>82</v>
      </c>
      <c r="H83" s="8" t="str">
        <f>IFERROR(__xludf.DUMMYFUNCTION("GOOGLETRANSLATE(B83, ""en"", ""hi"")"),"थांग-ता_21")</f>
        <v>थांग-ता_21</v>
      </c>
      <c r="I83" s="8" t="str">
        <f>IFERROR(__xludf.DUMMYFUNCTION("GOOGLETRANSLATE(C83, ""en"", ""hi"")"),"चित्र में दिखाए गए खेल में फुटवर्क का अभ्यास करने का उद्देश्य क्या है?")</f>
        <v>चित्र में दिखाए गए खेल में फुटवर्क का अभ्यास करने का उद्देश्य क्या है?</v>
      </c>
      <c r="J83" s="8" t="str">
        <f>IFERROR(__xludf.DUMMYFUNCTION("GOOGLETRANSLATE(D83, ""en"", ""hi"")"),"A) गति बढ़ाने के लिए, B) संतुलन सुधारने के लिए, C) शक्ति बढ़ाने के लिए, D) सहनशक्ति विकसित करने के लिए")</f>
        <v>A) गति बढ़ाने के लिए, B) संतुलन सुधारने के लिए, C) शक्ति बढ़ाने के लिए, D) सहनशक्ति विकसित करने के लिए</v>
      </c>
      <c r="K83" s="8" t="str">
        <f>IFERROR(__xludf.DUMMYFUNCTION("GOOGLETRANSLATE(E83, ""en"", ""hi"")"),"बी) संतुलन में सुधार करने के लिए")</f>
        <v>बी) संतुलन में सुधार करने के लिए</v>
      </c>
    </row>
    <row r="84" ht="22.5" customHeight="1">
      <c r="A84" s="2">
        <v>83.0</v>
      </c>
      <c r="B84" s="10" t="s">
        <v>5155</v>
      </c>
      <c r="C84" s="3" t="s">
        <v>5158</v>
      </c>
      <c r="D84" s="3" t="s">
        <v>5159</v>
      </c>
      <c r="E84" s="3" t="s">
        <v>5160</v>
      </c>
      <c r="G84" s="8" t="str">
        <f>IFERROR(__xludf.DUMMYFUNCTION("GOOGLETRANSLATE(A84, ""en"", ""hi"")"),"83")</f>
        <v>83</v>
      </c>
      <c r="H84" s="8" t="str">
        <f>IFERROR(__xludf.DUMMYFUNCTION("GOOGLETRANSLATE(B84, ""en"", ""hi"")"),"थांग-ता_21")</f>
        <v>थांग-ता_21</v>
      </c>
      <c r="I84" s="8" t="str">
        <f>IFERROR(__xludf.DUMMYFUNCTION("GOOGLETRANSLATE(C84, ""en"", ""hi"")"),"चित्र में दिखाए गए खेल के लिए, प्रतिस्पर्धी आयोजन का सामान्य प्रकार क्या है?")</f>
        <v>चित्र में दिखाए गए खेल के लिए, प्रतिस्पर्धी आयोजन का सामान्य प्रकार क्या है?</v>
      </c>
      <c r="J84" s="8" t="str">
        <f>IFERROR(__xludf.DUMMYFUNCTION("GOOGLETRANSLATE(D84, ""en"", ""hi"")"),"A) एकल प्रतियोगिता, B) टीम मैच, C) मिश्रित मार्शल आर्ट, D) रिले दौड़")</f>
        <v>A) एकल प्रतियोगिता, B) टीम मैच, C) मिश्रित मार्शल आर्ट, D) रिले दौड़</v>
      </c>
      <c r="K84" s="8" t="str">
        <f>IFERROR(__xludf.DUMMYFUNCTION("GOOGLETRANSLATE(E84, ""en"", ""hi"")"),"ए) एकल रूप प्रतियोगिता")</f>
        <v>ए) एकल रूप प्रतियोगिता</v>
      </c>
    </row>
    <row r="85" ht="22.5" customHeight="1">
      <c r="A85" s="2">
        <v>84.0</v>
      </c>
      <c r="B85" s="10" t="s">
        <v>5155</v>
      </c>
      <c r="C85" s="3" t="s">
        <v>5161</v>
      </c>
      <c r="D85" s="3" t="s">
        <v>5162</v>
      </c>
      <c r="E85" s="3" t="s">
        <v>5163</v>
      </c>
      <c r="G85" s="8" t="str">
        <f>IFERROR(__xludf.DUMMYFUNCTION("GOOGLETRANSLATE(A85, ""en"", ""hi"")"),"84")</f>
        <v>84</v>
      </c>
      <c r="H85" s="8" t="str">
        <f>IFERROR(__xludf.DUMMYFUNCTION("GOOGLETRANSLATE(B85, ""en"", ""hi"")"),"थांग-ता_21")</f>
        <v>थांग-ता_21</v>
      </c>
      <c r="I85" s="8" t="str">
        <f>IFERROR(__xludf.DUMMYFUNCTION("GOOGLETRANSLATE(C85, ""en"", ""hi"")"),"चित्र में दर्शाए गए खेल में पारंपरिक रूपों का अभ्यास करने का मुख्य लाभ क्या है?")</f>
        <v>चित्र में दर्शाए गए खेल में पारंपरिक रूपों का अभ्यास करने का मुख्य लाभ क्या है?</v>
      </c>
      <c r="J85" s="8" t="str">
        <f>IFERROR(__xludf.DUMMYFUNCTION("GOOGLETRANSLATE(D85, ""en"", ""hi"")"),"A) तकनीक निपुणता, B) सहनशक्ति में वृद्धि, C) शक्ति में वृद्धि, D) चपलता में सुधार")</f>
        <v>A) तकनीक निपुणता, B) सहनशक्ति में वृद्धि, C) शक्ति में वृद्धि, D) चपलता में सुधार</v>
      </c>
      <c r="K85" s="8" t="str">
        <f>IFERROR(__xludf.DUMMYFUNCTION("GOOGLETRANSLATE(E85, ""en"", ""hi"")"),"A) तकनीक में निपुणता")</f>
        <v>A) तकनीक में निपुणता</v>
      </c>
    </row>
    <row r="86" ht="22.5" customHeight="1">
      <c r="A86" s="2">
        <v>85.0</v>
      </c>
      <c r="B86" s="10" t="s">
        <v>5155</v>
      </c>
      <c r="C86" s="3" t="s">
        <v>5164</v>
      </c>
      <c r="D86" s="3" t="s">
        <v>5165</v>
      </c>
      <c r="E86" s="3" t="s">
        <v>5166</v>
      </c>
      <c r="G86" s="8" t="str">
        <f>IFERROR(__xludf.DUMMYFUNCTION("GOOGLETRANSLATE(A86, ""en"", ""hi"")"),"85")</f>
        <v>85</v>
      </c>
      <c r="H86" s="8" t="str">
        <f>IFERROR(__xludf.DUMMYFUNCTION("GOOGLETRANSLATE(B86, ""en"", ""hi"")"),"थांग-ता_21")</f>
        <v>थांग-ता_21</v>
      </c>
      <c r="I86" s="8" t="str">
        <f>IFERROR(__xludf.DUMMYFUNCTION("GOOGLETRANSLATE(C86, ""en"", ""hi"")"),"चित्र में दिखाए गए खेल में, स्पैरिंग के दौरान आमतौर पर किस प्रकार का गियर पहना जाता है?")</f>
        <v>चित्र में दिखाए गए खेल में, स्पैरिंग के दौरान आमतौर पर किस प्रकार का गियर पहना जाता है?</v>
      </c>
      <c r="J86" s="8" t="str">
        <f>IFERROR(__xludf.DUMMYFUNCTION("GOOGLETRANSLATE(D86, ""en"", ""hi"")"),"A) सुरक्षात्मक पैडिंग, B) प्रशिक्षण जूते, C) हल्के यूनिफॉर्म, D) उपरोक्त सभी")</f>
        <v>A) सुरक्षात्मक पैडिंग, B) प्रशिक्षण जूते, C) हल्के यूनिफॉर्म, D) उपरोक्त सभी</v>
      </c>
      <c r="K86" s="8" t="str">
        <f>IFERROR(__xludf.DUMMYFUNCTION("GOOGLETRANSLATE(E86, ""en"", ""hi"")"),"ए) सुरक्षात्मक पैडिंग")</f>
        <v>ए) सुरक्षात्मक पैडिंग</v>
      </c>
    </row>
    <row r="87" ht="22.5" customHeight="1">
      <c r="A87" s="2">
        <v>86.0</v>
      </c>
      <c r="B87" s="10" t="s">
        <v>5167</v>
      </c>
      <c r="C87" s="3" t="s">
        <v>5168</v>
      </c>
      <c r="D87" s="3" t="s">
        <v>5169</v>
      </c>
      <c r="E87" s="3" t="s">
        <v>5170</v>
      </c>
      <c r="G87" s="8" t="str">
        <f>IFERROR(__xludf.DUMMYFUNCTION("GOOGLETRANSLATE(A87, ""en"", ""hi"")"),"86")</f>
        <v>86</v>
      </c>
      <c r="H87" s="8" t="str">
        <f>IFERROR(__xludf.DUMMYFUNCTION("GOOGLETRANSLATE(B87, ""en"", ""hi"")"),"थांग-ता_22")</f>
        <v>थांग-ता_22</v>
      </c>
      <c r="I87" s="8" t="str">
        <f>IFERROR(__xludf.DUMMYFUNCTION("GOOGLETRANSLATE(C87, ""en"", ""hi"")"),"चित्र में दर्शाए गए खेल में गति विकसित करने के लिए सामान्य अभ्यास क्या है?")</f>
        <v>चित्र में दर्शाए गए खेल में गति विकसित करने के लिए सामान्य अभ्यास क्या है?</v>
      </c>
      <c r="J87" s="8" t="str">
        <f>IFERROR(__xludf.DUMMYFUNCTION("GOOGLETRANSLATE(D87, ""en"", ""hi"")"),"ए) स्प्रिंट्स, बी) शैडो बॉक्सिंग, सी) हैवी बैग ड्रिल्स, डी) लचीलापन प्रशिक्षण")</f>
        <v>ए) स्प्रिंट्स, बी) शैडो बॉक्सिंग, सी) हैवी बैग ड्रिल्स, डी) लचीलापन प्रशिक्षण</v>
      </c>
      <c r="K87" s="8" t="str">
        <f>IFERROR(__xludf.DUMMYFUNCTION("GOOGLETRANSLATE(E87, ""en"", ""hi"")"),"ए) स्प्रिंट")</f>
        <v>ए) स्प्रिंट</v>
      </c>
    </row>
    <row r="88" ht="22.5" customHeight="1">
      <c r="A88" s="2">
        <v>87.0</v>
      </c>
      <c r="B88" s="10" t="s">
        <v>5167</v>
      </c>
      <c r="C88" s="3" t="s">
        <v>5171</v>
      </c>
      <c r="D88" s="3" t="s">
        <v>5172</v>
      </c>
      <c r="E88" s="3" t="s">
        <v>5173</v>
      </c>
      <c r="G88" s="8" t="str">
        <f>IFERROR(__xludf.DUMMYFUNCTION("GOOGLETRANSLATE(A88, ""en"", ""hi"")"),"87")</f>
        <v>87</v>
      </c>
      <c r="H88" s="8" t="str">
        <f>IFERROR(__xludf.DUMMYFUNCTION("GOOGLETRANSLATE(B88, ""en"", ""hi"")"),"थांग-ता_22")</f>
        <v>थांग-ता_22</v>
      </c>
      <c r="I88" s="8" t="str">
        <f>IFERROR(__xludf.DUMMYFUNCTION("GOOGLETRANSLATE(C88, ""en"", ""hi"")"),"चित्र में दिखाए गए खेल के लिए युद्ध रणनीति विकसित करने का एक महत्वपूर्ण पहलू क्या है?")</f>
        <v>चित्र में दिखाए गए खेल के लिए युद्ध रणनीति विकसित करने का एक महत्वपूर्ण पहलू क्या है?</v>
      </c>
      <c r="J88" s="8" t="str">
        <f>IFERROR(__xludf.DUMMYFUNCTION("GOOGLETRANSLATE(D88, ""en"", ""hi"")"),"A) प्रतिद्वंद्वियों को पढ़ना, B) शारीरिक शक्ति, C) गति, D) धीरज")</f>
        <v>A) प्रतिद्वंद्वियों को पढ़ना, B) शारीरिक शक्ति, C) गति, D) धीरज</v>
      </c>
      <c r="K88" s="8" t="str">
        <f>IFERROR(__xludf.DUMMYFUNCTION("GOOGLETRANSLATE(E88, ""en"", ""hi"")"),"A) विरोधियों को पढ़ना")</f>
        <v>A) विरोधियों को पढ़ना</v>
      </c>
    </row>
    <row r="89" ht="22.5" customHeight="1">
      <c r="A89" s="2">
        <v>88.0</v>
      </c>
      <c r="B89" s="10" t="s">
        <v>5167</v>
      </c>
      <c r="C89" s="3" t="s">
        <v>5174</v>
      </c>
      <c r="D89" s="3" t="s">
        <v>5175</v>
      </c>
      <c r="E89" s="3" t="s">
        <v>5176</v>
      </c>
      <c r="G89" s="8" t="str">
        <f>IFERROR(__xludf.DUMMYFUNCTION("GOOGLETRANSLATE(A89, ""en"", ""hi"")"),"88")</f>
        <v>88</v>
      </c>
      <c r="H89" s="8" t="str">
        <f>IFERROR(__xludf.DUMMYFUNCTION("GOOGLETRANSLATE(B89, ""en"", ""hi"")"),"थांग-ता_22")</f>
        <v>थांग-ता_22</v>
      </c>
      <c r="I89" s="8" t="str">
        <f>IFERROR(__xludf.DUMMYFUNCTION("GOOGLETRANSLATE(C89, ""en"", ""hi"")"),"चित्र में दिखाए गए खेल में, हाथ-आँख समन्वय सुधारने के लिए सामान्य व्यायाम क्या है?")</f>
        <v>चित्र में दिखाए गए खेल में, हाथ-आँख समन्वय सुधारने के लिए सामान्य व्यायाम क्या है?</v>
      </c>
      <c r="J89" s="8" t="str">
        <f>IFERROR(__xludf.DUMMYFUNCTION("GOOGLETRANSLATE(D89, ""en"", ""hi"")"),"ए) लक्ष्य अभ्यास, बी) गति अभ्यास, सी) शक्ति प्रशिक्षण, डी) लचीलापन अभ्यास")</f>
        <v>ए) लक्ष्य अभ्यास, बी) गति अभ्यास, सी) शक्ति प्रशिक्षण, डी) लचीलापन अभ्यास</v>
      </c>
      <c r="K89" s="8" t="str">
        <f>IFERROR(__xludf.DUMMYFUNCTION("GOOGLETRANSLATE(E89, ""en"", ""hi"")"),"ए) लक्ष्य अभ्यास")</f>
        <v>ए) लक्ष्य अभ्यास</v>
      </c>
    </row>
    <row r="90" ht="22.5" customHeight="1">
      <c r="A90" s="2">
        <v>89.0</v>
      </c>
      <c r="B90" s="10" t="s">
        <v>5167</v>
      </c>
      <c r="C90" s="3" t="s">
        <v>5177</v>
      </c>
      <c r="D90" s="3" t="s">
        <v>5178</v>
      </c>
      <c r="E90" s="3" t="s">
        <v>1873</v>
      </c>
      <c r="G90" s="8" t="str">
        <f>IFERROR(__xludf.DUMMYFUNCTION("GOOGLETRANSLATE(A90, ""en"", ""hi"")"),"89")</f>
        <v>89</v>
      </c>
      <c r="H90" s="8" t="str">
        <f>IFERROR(__xludf.DUMMYFUNCTION("GOOGLETRANSLATE(B90, ""en"", ""hi"")"),"थांग-ता_22")</f>
        <v>थांग-ता_22</v>
      </c>
      <c r="I90" s="8" t="str">
        <f>IFERROR(__xludf.DUMMYFUNCTION("GOOGLETRANSLATE(C90, ""en"", ""hi"")"),"चित्र में दर्शाए गए खेल के लिए, मैच-पूर्व दिनचर्या का एक विशिष्ट तत्व क्या है?")</f>
        <v>चित्र में दर्शाए गए खेल के लिए, मैच-पूर्व दिनचर्या का एक विशिष्ट तत्व क्या है?</v>
      </c>
      <c r="J90" s="8" t="str">
        <f>IFERROR(__xludf.DUMMYFUNCTION("GOOGLETRANSLATE(D90, ""en"", ""hi"")"),"A) वार्म-अप व्यायाम, B) तकनीक समीक्षा, C) मानसिक दृश्यीकरण, D) उपरोक्त सभी")</f>
        <v>A) वार्म-अप व्यायाम, B) तकनीक समीक्षा, C) मानसिक दृश्यीकरण, D) उपरोक्त सभी</v>
      </c>
      <c r="K90" s="8" t="str">
        <f>IFERROR(__xludf.DUMMYFUNCTION("GOOGLETRANSLATE(E90, ""en"", ""hi"")"),"D। उपरोक्त सभी")</f>
        <v>D। उपरोक्त सभी</v>
      </c>
    </row>
    <row r="91" ht="22.5" customHeight="1">
      <c r="A91" s="2">
        <v>90.0</v>
      </c>
      <c r="B91" s="10" t="s">
        <v>5179</v>
      </c>
      <c r="C91" s="3" t="s">
        <v>5180</v>
      </c>
      <c r="D91" s="3" t="s">
        <v>5181</v>
      </c>
      <c r="E91" s="3" t="s">
        <v>5182</v>
      </c>
      <c r="G91" s="8" t="str">
        <f>IFERROR(__xludf.DUMMYFUNCTION("GOOGLETRANSLATE(A91, ""en"", ""hi"")"),"90")</f>
        <v>90</v>
      </c>
      <c r="H91" s="8" t="str">
        <f>IFERROR(__xludf.DUMMYFUNCTION("GOOGLETRANSLATE(B91, ""en"", ""hi"")"),"थांग-ता_23")</f>
        <v>थांग-ता_23</v>
      </c>
      <c r="I91" s="8" t="str">
        <f>IFERROR(__xludf.DUMMYFUNCTION("GOOGLETRANSLATE(C91, ""en"", ""hi"")"),"चित्र में दिखाए गए खेल में लचीलापन बढ़ाने के लिए सामान्य तरीका क्या है?")</f>
        <v>चित्र में दिखाए गए खेल में लचीलापन बढ़ाने के लिए सामान्य तरीका क्या है?</v>
      </c>
      <c r="J91" s="8" t="str">
        <f>IFERROR(__xludf.DUMMYFUNCTION("GOOGLETRANSLATE(D91, ""en"", ""hi"")"),"ए) डायनामिक स्ट्रेचिंग, बी) वेट ट्रेनिंग, सी) एंड्योरेंस रनिंग, डी) प्लायोमेट्रिक्स")</f>
        <v>ए) डायनामिक स्ट्रेचिंग, बी) वेट ट्रेनिंग, सी) एंड्योरेंस रनिंग, डी) प्लायोमेट्रिक्स</v>
      </c>
      <c r="K91" s="8" t="str">
        <f>IFERROR(__xludf.DUMMYFUNCTION("GOOGLETRANSLATE(E91, ""en"", ""hi"")"),"ए) गतिशील स्ट्रेचिंग")</f>
        <v>ए) गतिशील स्ट्रेचिंग</v>
      </c>
    </row>
    <row r="92" ht="22.5" customHeight="1">
      <c r="A92" s="2">
        <v>91.0</v>
      </c>
      <c r="B92" s="10" t="s">
        <v>5179</v>
      </c>
      <c r="C92" s="3" t="s">
        <v>5183</v>
      </c>
      <c r="D92" s="3" t="s">
        <v>5184</v>
      </c>
      <c r="E92" s="3" t="s">
        <v>5185</v>
      </c>
      <c r="G92" s="8" t="str">
        <f>IFERROR(__xludf.DUMMYFUNCTION("GOOGLETRANSLATE(A92, ""en"", ""hi"")"),"91")</f>
        <v>91</v>
      </c>
      <c r="H92" s="8" t="str">
        <f>IFERROR(__xludf.DUMMYFUNCTION("GOOGLETRANSLATE(B92, ""en"", ""hi"")"),"थांग-ता_23")</f>
        <v>थांग-ता_23</v>
      </c>
      <c r="I92" s="8" t="str">
        <f>IFERROR(__xludf.DUMMYFUNCTION("GOOGLETRANSLATE(C92, ""en"", ""hi"")"),"चित्र में दिखाए गए खेल के लिए, किसी साथी के साथ अभ्यास करने का सामान्य कारण क्या है?")</f>
        <v>चित्र में दिखाए गए खेल के लिए, किसी साथी के साथ अभ्यास करने का सामान्य कारण क्या है?</v>
      </c>
      <c r="J92" s="8" t="str">
        <f>IFERROR(__xludf.DUMMYFUNCTION("GOOGLETRANSLATE(D92, ""en"", ""hi"")"),"A) वास्तविक युद्ध का अनुकरण करने के लिए, B) तकनीक में सुधार करने के लिए, C) ताकत बढ़ाने के लिए, D) गति बढ़ाने के लिए")</f>
        <v>A) वास्तविक युद्ध का अनुकरण करने के लिए, B) तकनीक में सुधार करने के लिए, C) ताकत बढ़ाने के लिए, D) गति बढ़ाने के लिए</v>
      </c>
      <c r="K92" s="8" t="str">
        <f>IFERROR(__xludf.DUMMYFUNCTION("GOOGLETRANSLATE(E92, ""en"", ""hi"")"),"A) वास्तविक युद्ध का अनुकरण करने के लिए")</f>
        <v>A) वास्तविक युद्ध का अनुकरण करने के लिए</v>
      </c>
    </row>
    <row r="93" ht="22.5" customHeight="1">
      <c r="A93" s="2">
        <v>92.0</v>
      </c>
      <c r="B93" s="10" t="s">
        <v>5179</v>
      </c>
      <c r="C93" s="3" t="s">
        <v>5186</v>
      </c>
      <c r="D93" s="3" t="s">
        <v>5187</v>
      </c>
      <c r="E93" s="3" t="s">
        <v>5188</v>
      </c>
      <c r="G93" s="8" t="str">
        <f>IFERROR(__xludf.DUMMYFUNCTION("GOOGLETRANSLATE(A93, ""en"", ""hi"")"),"92")</f>
        <v>92</v>
      </c>
      <c r="H93" s="8" t="str">
        <f>IFERROR(__xludf.DUMMYFUNCTION("GOOGLETRANSLATE(B93, ""en"", ""hi"")"),"थांग-ता_23")</f>
        <v>थांग-ता_23</v>
      </c>
      <c r="I93" s="8" t="str">
        <f>IFERROR(__xludf.DUMMYFUNCTION("GOOGLETRANSLATE(C93, ""en"", ""hi"")"),"चित्र में दर्शाए गए खेल में उन्नत प्रशिक्षण का मुख्य केंद्र क्या है?")</f>
        <v>चित्र में दर्शाए गए खेल में उन्नत प्रशिक्षण का मुख्य केंद्र क्या है?</v>
      </c>
      <c r="J93" s="8" t="str">
        <f>IFERROR(__xludf.DUMMYFUNCTION("GOOGLETRANSLATE(D93, ""en"", ""hi"")"),"A) तकनीक परिशोधन, B) शक्ति निर्माण, C) सहनशक्ति, D) लचीलापन")</f>
        <v>A) तकनीक परिशोधन, B) शक्ति निर्माण, C) सहनशक्ति, D) लचीलापन</v>
      </c>
      <c r="K93" s="8" t="str">
        <f>IFERROR(__xludf.DUMMYFUNCTION("GOOGLETRANSLATE(E93, ""en"", ""hi"")"),"ए) तकनीक परिशोधन")</f>
        <v>ए) तकनीक परिशोधन</v>
      </c>
    </row>
    <row r="94" ht="22.5" customHeight="1">
      <c r="A94" s="2">
        <v>93.0</v>
      </c>
      <c r="B94" s="10" t="s">
        <v>5179</v>
      </c>
      <c r="C94" s="3" t="s">
        <v>5189</v>
      </c>
      <c r="D94" s="3" t="s">
        <v>5190</v>
      </c>
      <c r="E94" s="3" t="s">
        <v>5067</v>
      </c>
      <c r="G94" s="8" t="str">
        <f>IFERROR(__xludf.DUMMYFUNCTION("GOOGLETRANSLATE(A94, ""en"", ""hi"")"),"93")</f>
        <v>93</v>
      </c>
      <c r="H94" s="8" t="str">
        <f>IFERROR(__xludf.DUMMYFUNCTION("GOOGLETRANSLATE(B94, ""en"", ""hi"")"),"थांग-ता_23")</f>
        <v>थांग-ता_23</v>
      </c>
      <c r="I94" s="8" t="str">
        <f>IFERROR(__xludf.DUMMYFUNCTION("GOOGLETRANSLATE(C94, ""en"", ""hi"")"),"चित्र में दिखाए गए खेल में प्रतिक्रिया समय बढ़ाने के लिए अक्सर किस प्रकार के अभ्यास का उपयोग किया जाता है?")</f>
        <v>चित्र में दिखाए गए खेल में प्रतिक्रिया समय बढ़ाने के लिए अक्सर किस प्रकार के अभ्यास का उपयोग किया जाता है?</v>
      </c>
      <c r="J94" s="8" t="str">
        <f>IFERROR(__xludf.DUMMYFUNCTION("GOOGLETRANSLATE(D94, ""en"", ""hi"")"),"A) गति अभ्यास, B) चपलता अभ्यास, C) तकनीक अभ्यास, D) धीरज अभ्यास")</f>
        <v>A) गति अभ्यास, B) चपलता अभ्यास, C) तकनीक अभ्यास, D) धीरज अभ्यास</v>
      </c>
      <c r="K94" s="8" t="str">
        <f>IFERROR(__xludf.DUMMYFUNCTION("GOOGLETRANSLATE(E94, ""en"", ""hi"")"),"A) गति अभ्यास")</f>
        <v>A) गति अभ्यास</v>
      </c>
    </row>
    <row r="95" ht="22.5" customHeight="1">
      <c r="A95" s="2">
        <v>94.0</v>
      </c>
      <c r="B95" s="10" t="s">
        <v>5191</v>
      </c>
      <c r="C95" s="3" t="s">
        <v>5192</v>
      </c>
      <c r="D95" s="3" t="s">
        <v>5193</v>
      </c>
      <c r="E95" s="3" t="s">
        <v>5194</v>
      </c>
      <c r="G95" s="8" t="str">
        <f>IFERROR(__xludf.DUMMYFUNCTION("GOOGLETRANSLATE(A95, ""en"", ""hi"")"),"94")</f>
        <v>94</v>
      </c>
      <c r="H95" s="8" t="str">
        <f>IFERROR(__xludf.DUMMYFUNCTION("GOOGLETRANSLATE(B95, ""en"", ""hi"")"),"थांग-ता_24")</f>
        <v>थांग-ता_24</v>
      </c>
      <c r="I95" s="8" t="str">
        <f>IFERROR(__xludf.DUMMYFUNCTION("GOOGLETRANSLATE(C95, ""en"", ""hi"")"),"चित्र में दर्शाए गए खेल में प्रशिक्षण डमी का सामान्य उपयोग क्या है?")</f>
        <v>चित्र में दर्शाए गए खेल में प्रशिक्षण डमी का सामान्य उपयोग क्या है?</v>
      </c>
      <c r="J95" s="8" t="str">
        <f>IFERROR(__xludf.DUMMYFUNCTION("GOOGLETRANSLATE(D95, ""en"", ""hi"")"),"A) प्रहार का अभ्यास करना, B) शक्ति निर्माण करना, C) लचीलापन बढ़ाना, D) उपरोक्त सभी")</f>
        <v>A) प्रहार का अभ्यास करना, B) शक्ति निर्माण करना, C) लचीलापन बढ़ाना, D) उपरोक्त सभी</v>
      </c>
      <c r="K95" s="8" t="str">
        <f>IFERROR(__xludf.DUMMYFUNCTION("GOOGLETRANSLATE(E95, ""en"", ""hi"")"),"A) स्ट्राइक का अभ्यास करना")</f>
        <v>A) स्ट्राइक का अभ्यास करना</v>
      </c>
    </row>
    <row r="96" ht="22.5" customHeight="1">
      <c r="A96" s="2">
        <v>95.0</v>
      </c>
      <c r="B96" s="10" t="s">
        <v>5191</v>
      </c>
      <c r="C96" s="3" t="s">
        <v>5195</v>
      </c>
      <c r="D96" s="3" t="s">
        <v>5196</v>
      </c>
      <c r="E96" s="3" t="s">
        <v>5197</v>
      </c>
      <c r="G96" s="8" t="str">
        <f>IFERROR(__xludf.DUMMYFUNCTION("GOOGLETRANSLATE(A96, ""en"", ""hi"")"),"95")</f>
        <v>95</v>
      </c>
      <c r="H96" s="8" t="str">
        <f>IFERROR(__xludf.DUMMYFUNCTION("GOOGLETRANSLATE(B96, ""en"", ""hi"")"),"थांग-ता_24")</f>
        <v>थांग-ता_24</v>
      </c>
      <c r="I96" s="8" t="str">
        <f>IFERROR(__xludf.DUMMYFUNCTION("GOOGLETRANSLATE(C96, ""en"", ""hi"")"),"चित्र में दिखाए गए खेल में लचीलेपन के लिए किस प्रकार की स्ट्रेचिंग का प्रयोग किया जाता है?")</f>
        <v>चित्र में दिखाए गए खेल में लचीलेपन के लिए किस प्रकार की स्ट्रेचिंग का प्रयोग किया जाता है?</v>
      </c>
      <c r="J96" s="8" t="str">
        <f>IFERROR(__xludf.DUMMYFUNCTION("GOOGLETRANSLATE(D96, ""en"", ""hi"")"),"A) स्थैतिक स्ट्रेचिंग, B) गतिशील स्ट्रेचिंग, C) बैलिस्टिक स्ट्रेचिंग, D) उपरोक्त सभी")</f>
        <v>A) स्थैतिक स्ट्रेचिंग, B) गतिशील स्ट्रेचिंग, C) बैलिस्टिक स्ट्रेचिंग, D) उपरोक्त सभी</v>
      </c>
      <c r="K96" s="8" t="str">
        <f>IFERROR(__xludf.DUMMYFUNCTION("GOOGLETRANSLATE(E96, ""en"", ""hi"")"),"बी) गतिशील स्ट्रेचिंग")</f>
        <v>बी) गतिशील स्ट्रेचिंग</v>
      </c>
    </row>
    <row r="97" ht="22.5" customHeight="1">
      <c r="A97" s="2">
        <v>96.0</v>
      </c>
      <c r="B97" s="10" t="s">
        <v>5191</v>
      </c>
      <c r="C97" s="3" t="s">
        <v>5198</v>
      </c>
      <c r="D97" s="3" t="s">
        <v>5199</v>
      </c>
      <c r="E97" s="3" t="s">
        <v>5200</v>
      </c>
      <c r="G97" s="8" t="str">
        <f>IFERROR(__xludf.DUMMYFUNCTION("GOOGLETRANSLATE(A97, ""en"", ""hi"")"),"96")</f>
        <v>96</v>
      </c>
      <c r="H97" s="8" t="str">
        <f>IFERROR(__xludf.DUMMYFUNCTION("GOOGLETRANSLATE(B97, ""en"", ""hi"")"),"थांग-ता_24")</f>
        <v>थांग-ता_24</v>
      </c>
      <c r="I97" s="8" t="str">
        <f>IFERROR(__xludf.DUMMYFUNCTION("GOOGLETRANSLATE(C97, ""en"", ""hi"")"),"चित्र में दिखाए गए खेल में संतुलन सुधारने का सामान्य तरीका क्या है?")</f>
        <v>चित्र में दिखाए गए खेल में संतुलन सुधारने का सामान्य तरीका क्या है?</v>
      </c>
      <c r="J97" s="8" t="str">
        <f>IFERROR(__xludf.DUMMYFUNCTION("GOOGLETRANSLATE(D97, ""en"", ""hi"")"),"ए) संतुलन अभ्यास, बी) शक्ति प्रशिक्षण, सी) लचीलापन व्यायाम, डी) धीरज दौड़")</f>
        <v>ए) संतुलन अभ्यास, बी) शक्ति प्रशिक्षण, सी) लचीलापन व्यायाम, डी) धीरज दौड़</v>
      </c>
      <c r="K97" s="8" t="str">
        <f>IFERROR(__xludf.DUMMYFUNCTION("GOOGLETRANSLATE(E97, ""en"", ""hi"")"),"ए) संतुलन अभ्यास")</f>
        <v>ए) संतुलन अभ्यास</v>
      </c>
    </row>
    <row r="98" ht="22.5" customHeight="1">
      <c r="A98" s="2">
        <v>97.0</v>
      </c>
      <c r="B98" s="10" t="s">
        <v>5191</v>
      </c>
      <c r="C98" s="3" t="s">
        <v>5201</v>
      </c>
      <c r="D98" s="3" t="s">
        <v>5202</v>
      </c>
      <c r="E98" s="3" t="s">
        <v>1873</v>
      </c>
      <c r="G98" s="8" t="str">
        <f>IFERROR(__xludf.DUMMYFUNCTION("GOOGLETRANSLATE(A98, ""en"", ""hi"")"),"97")</f>
        <v>97</v>
      </c>
      <c r="H98" s="8" t="str">
        <f>IFERROR(__xludf.DUMMYFUNCTION("GOOGLETRANSLATE(B98, ""en"", ""hi"")"),"थांग-ता_24")</f>
        <v>थांग-ता_24</v>
      </c>
      <c r="I98" s="8" t="str">
        <f>IFERROR(__xludf.DUMMYFUNCTION("GOOGLETRANSLATE(C98, ""en"", ""hi"")"),"चित्र में दर्शाए गए खेल के लिए प्रतियोगिता नियमों का एक सामान्य पहलू क्या है?")</f>
        <v>चित्र में दर्शाए गए खेल के लिए प्रतियोगिता नियमों का एक सामान्य पहलू क्या है?</v>
      </c>
      <c r="J98" s="8" t="str">
        <f>IFERROR(__xludf.DUMMYFUNCTION("GOOGLETRANSLATE(D98, ""en"", ""hi"")"),"A) अंक स्कोरिंग, B) समय सीमा, C) भार वर्ग, D) उपरोक्त सभी")</f>
        <v>A) अंक स्कोरिंग, B) समय सीमा, C) भार वर्ग, D) उपरोक्त सभी</v>
      </c>
      <c r="K98" s="8" t="str">
        <f>IFERROR(__xludf.DUMMYFUNCTION("GOOGLETRANSLATE(E98, ""en"", ""hi"")"),"D। उपरोक्त सभी")</f>
        <v>D। उपरोक्त सभी</v>
      </c>
    </row>
    <row r="99" ht="22.5" customHeight="1">
      <c r="A99" s="2">
        <v>98.0</v>
      </c>
      <c r="B99" s="10" t="s">
        <v>5203</v>
      </c>
      <c r="C99" s="3" t="s">
        <v>5204</v>
      </c>
      <c r="D99" s="3" t="s">
        <v>5205</v>
      </c>
      <c r="E99" s="3" t="s">
        <v>1873</v>
      </c>
      <c r="G99" s="8" t="str">
        <f>IFERROR(__xludf.DUMMYFUNCTION("GOOGLETRANSLATE(A99, ""en"", ""hi"")"),"98")</f>
        <v>98</v>
      </c>
      <c r="H99" s="8" t="str">
        <f>IFERROR(__xludf.DUMMYFUNCTION("GOOGLETRANSLATE(B99, ""en"", ""hi"")"),"थांग-ता_25")</f>
        <v>थांग-ता_25</v>
      </c>
      <c r="I99" s="8" t="str">
        <f>IFERROR(__xludf.DUMMYFUNCTION("GOOGLETRANSLATE(C99, ""en"", ""hi"")"),"चित्र में दिखाए गए खेल में फुटवर्क अभ्यास का मुख्य पहलू क्या है?")</f>
        <v>चित्र में दिखाए गए खेल में फुटवर्क अभ्यास का मुख्य पहलू क्या है?</v>
      </c>
      <c r="J99" s="8" t="str">
        <f>IFERROR(__xludf.DUMMYFUNCTION("GOOGLETRANSLATE(D99, ""en"", ""hi"")"),"A) चपलता, B) गति, C) परिशुद्धता, D) उपरोक्त सभी")</f>
        <v>A) चपलता, B) गति, C) परिशुद्धता, D) उपरोक्त सभी</v>
      </c>
      <c r="K99" s="8" t="str">
        <f>IFERROR(__xludf.DUMMYFUNCTION("GOOGLETRANSLATE(E99, ""en"", ""hi"")"),"D। उपरोक्त सभी")</f>
        <v>D। उपरोक्त सभी</v>
      </c>
    </row>
    <row r="100" ht="22.5" customHeight="1">
      <c r="A100" s="2">
        <v>99.0</v>
      </c>
      <c r="B100" s="10" t="s">
        <v>5203</v>
      </c>
      <c r="C100" s="3" t="s">
        <v>5206</v>
      </c>
      <c r="D100" s="3" t="s">
        <v>5207</v>
      </c>
      <c r="E100" s="3" t="s">
        <v>5208</v>
      </c>
      <c r="G100" s="8" t="str">
        <f>IFERROR(__xludf.DUMMYFUNCTION("GOOGLETRANSLATE(A100, ""en"", ""hi"")"),"99")</f>
        <v>99</v>
      </c>
      <c r="H100" s="8" t="str">
        <f>IFERROR(__xludf.DUMMYFUNCTION("GOOGLETRANSLATE(B100, ""en"", ""hi"")"),"थांग-ता_25")</f>
        <v>थांग-ता_25</v>
      </c>
      <c r="I100" s="8" t="str">
        <f>IFERROR(__xludf.DUMMYFUNCTION("GOOGLETRANSLATE(C100, ""en"", ""hi"")"),"चित्र में दिखाए गए खेल के लिए काटा का अभ्यास करने का क्या महत्व है?")</f>
        <v>चित्र में दिखाए गए खेल के लिए काटा का अभ्यास करने का क्या महत्व है?</v>
      </c>
      <c r="J100" s="8" t="str">
        <f>IFERROR(__xludf.DUMMYFUNCTION("GOOGLETRANSLATE(D100, ""en"", ""hi"")"),"A) तकनीक अभ्यास, B) सहनशक्ति निर्माण, C) शक्ति प्रशिक्षण, D) लचीलापन वृद्धि")</f>
        <v>A) तकनीक अभ्यास, B) सहनशक्ति निर्माण, C) शक्ति प्रशिक्षण, D) लचीलापन वृद्धि</v>
      </c>
      <c r="K100" s="8" t="str">
        <f>IFERROR(__xludf.DUMMYFUNCTION("GOOGLETRANSLATE(E100, ""en"", ""hi"")"),"A) तकनीक अभ्यास")</f>
        <v>A) तकनीक अभ्यास</v>
      </c>
    </row>
    <row r="101" ht="22.5" customHeight="1">
      <c r="A101" s="2">
        <v>100.0</v>
      </c>
      <c r="B101" s="10" t="s">
        <v>5203</v>
      </c>
      <c r="C101" s="3" t="s">
        <v>5209</v>
      </c>
      <c r="D101" s="3" t="s">
        <v>5210</v>
      </c>
      <c r="E101" s="3" t="s">
        <v>5166</v>
      </c>
      <c r="G101" s="8" t="str">
        <f>IFERROR(__xludf.DUMMYFUNCTION("GOOGLETRANSLATE(A101, ""en"", ""hi"")"),"100")</f>
        <v>100</v>
      </c>
      <c r="H101" s="8" t="str">
        <f>IFERROR(__xludf.DUMMYFUNCTION("GOOGLETRANSLATE(B101, ""en"", ""hi"")"),"थांग-ता_25")</f>
        <v>थांग-ता_25</v>
      </c>
      <c r="I101" s="8" t="str">
        <f>IFERROR(__xludf.DUMMYFUNCTION("GOOGLETRANSLATE(C101, ""en"", ""hi"")"),"चित्र में दर्शाए गए खेल में प्रतिस्पर्धी गियर की एक सामान्य विशेषता क्या है?")</f>
        <v>चित्र में दर्शाए गए खेल में प्रतिस्पर्धी गियर की एक सामान्य विशेषता क्या है?</v>
      </c>
      <c r="J101" s="8" t="str">
        <f>IFERROR(__xludf.DUMMYFUNCTION("GOOGLETRANSLATE(D101, ""en"", ""hi"")"),"A) सुरक्षात्मक गद्दी, B) हल्का कपड़ा, C) चमकीले रंग, D) उपरोक्त सभी")</f>
        <v>A) सुरक्षात्मक गद्दी, B) हल्का कपड़ा, C) चमकीले रंग, D) उपरोक्त सभी</v>
      </c>
      <c r="K101" s="8" t="str">
        <f>IFERROR(__xludf.DUMMYFUNCTION("GOOGLETRANSLATE(E101, ""en"", ""hi"")"),"ए) सुरक्षात्मक पैडिंग")</f>
        <v>ए) सुरक्षात्मक पैडिंग</v>
      </c>
    </row>
    <row r="102" ht="22.5" customHeight="1">
      <c r="A102" s="2">
        <v>101.0</v>
      </c>
      <c r="B102" s="10" t="s">
        <v>5203</v>
      </c>
      <c r="C102" s="3" t="s">
        <v>5211</v>
      </c>
      <c r="D102" s="3" t="s">
        <v>5212</v>
      </c>
      <c r="E102" s="3" t="s">
        <v>5067</v>
      </c>
      <c r="G102" s="8" t="str">
        <f>IFERROR(__xludf.DUMMYFUNCTION("GOOGLETRANSLATE(A102, ""en"", ""hi"")"),"101")</f>
        <v>101</v>
      </c>
      <c r="H102" s="8" t="str">
        <f>IFERROR(__xludf.DUMMYFUNCTION("GOOGLETRANSLATE(B102, ""en"", ""hi"")"),"थांग-ता_25")</f>
        <v>थांग-ता_25</v>
      </c>
      <c r="I102" s="8" t="str">
        <f>IFERROR(__xludf.DUMMYFUNCTION("GOOGLETRANSLATE(C102, ""en"", ""hi"")"),"चित्र में दिखाए गए खेल के लिए, प्रहार गति बढ़ाने का सामान्य तरीका क्या है?")</f>
        <v>चित्र में दिखाए गए खेल के लिए, प्रहार गति बढ़ाने का सामान्य तरीका क्या है?</v>
      </c>
      <c r="J102" s="8" t="str">
        <f>IFERROR(__xludf.DUMMYFUNCTION("GOOGLETRANSLATE(D102, ""en"", ""hi"")"),"ए) स्पीड ड्रिल, बी) हैवी बैग वर्क, सी) शैडो बॉक्सिंग, डी) लचीलापन अभ्यास")</f>
        <v>ए) स्पीड ड्रिल, बी) हैवी बैग वर्क, सी) शैडो बॉक्सिंग, डी) लचीलापन अभ्यास</v>
      </c>
      <c r="K102" s="8" t="str">
        <f>IFERROR(__xludf.DUMMYFUNCTION("GOOGLETRANSLATE(E102, ""en"", ""hi"")"),"A) गति अभ्यास")</f>
        <v>A) गति अभ्यास</v>
      </c>
    </row>
    <row r="103">
      <c r="A103" s="9"/>
      <c r="B103" s="5"/>
      <c r="C103" s="5"/>
      <c r="D103" s="5"/>
      <c r="E103" s="5"/>
    </row>
    <row r="104">
      <c r="A104" s="9"/>
      <c r="B104" s="5"/>
      <c r="C104" s="5"/>
      <c r="D104" s="5"/>
      <c r="E104" s="5"/>
    </row>
    <row r="105">
      <c r="A105" s="9"/>
      <c r="B105" s="5"/>
      <c r="C105" s="5"/>
      <c r="D105" s="5"/>
      <c r="E105" s="5"/>
    </row>
    <row r="106">
      <c r="A106" s="9"/>
      <c r="B106" s="5"/>
      <c r="C106" s="5"/>
      <c r="D106" s="5"/>
      <c r="E106" s="5"/>
    </row>
    <row r="107">
      <c r="A107" s="9"/>
      <c r="B107" s="5"/>
      <c r="C107" s="5"/>
      <c r="D107" s="5"/>
      <c r="E107" s="5"/>
    </row>
    <row r="108">
      <c r="A108" s="9"/>
      <c r="B108" s="5"/>
      <c r="C108" s="5"/>
      <c r="D108" s="5"/>
      <c r="E108" s="5"/>
    </row>
    <row r="109">
      <c r="A109" s="9"/>
      <c r="B109" s="5"/>
      <c r="C109" s="5"/>
      <c r="D109" s="5"/>
      <c r="E109" s="5"/>
    </row>
    <row r="110">
      <c r="A110" s="9"/>
      <c r="B110" s="5"/>
      <c r="C110" s="5"/>
      <c r="D110" s="5"/>
      <c r="E110" s="5"/>
    </row>
    <row r="111">
      <c r="A111" s="9"/>
      <c r="B111" s="5"/>
      <c r="C111" s="5"/>
      <c r="D111" s="5"/>
      <c r="E111" s="5"/>
    </row>
    <row r="112">
      <c r="A112" s="9"/>
      <c r="B112" s="5"/>
      <c r="C112" s="5"/>
      <c r="D112" s="5"/>
      <c r="E112" s="5"/>
    </row>
    <row r="113">
      <c r="A113" s="9"/>
      <c r="B113" s="5"/>
      <c r="C113" s="5"/>
      <c r="D113" s="5"/>
      <c r="E113" s="5"/>
    </row>
    <row r="114">
      <c r="A114" s="9"/>
      <c r="B114" s="5"/>
      <c r="C114" s="5"/>
      <c r="D114" s="5"/>
      <c r="E114" s="5"/>
    </row>
    <row r="115">
      <c r="A115" s="9"/>
      <c r="B115" s="5"/>
      <c r="C115" s="5"/>
      <c r="D115" s="5"/>
      <c r="E115" s="5"/>
    </row>
    <row r="116">
      <c r="A116" s="9"/>
      <c r="B116" s="5"/>
      <c r="C116" s="5"/>
      <c r="D116" s="5"/>
      <c r="E116" s="5"/>
    </row>
    <row r="117">
      <c r="A117" s="9"/>
      <c r="B117" s="5"/>
      <c r="C117" s="5"/>
      <c r="D117" s="5"/>
      <c r="E117" s="5"/>
    </row>
    <row r="118">
      <c r="A118" s="9"/>
      <c r="B118" s="5"/>
      <c r="C118" s="5"/>
      <c r="D118" s="5"/>
      <c r="E118" s="5"/>
    </row>
    <row r="119">
      <c r="A119" s="9"/>
      <c r="B119" s="5"/>
      <c r="C119" s="5"/>
      <c r="D119" s="5"/>
      <c r="E119" s="5"/>
    </row>
    <row r="120">
      <c r="A120" s="9"/>
      <c r="B120" s="5"/>
      <c r="C120" s="5"/>
      <c r="D120" s="5"/>
      <c r="E120" s="5"/>
    </row>
    <row r="121">
      <c r="A121" s="9"/>
      <c r="B121" s="5"/>
      <c r="C121" s="5"/>
      <c r="D121" s="5"/>
      <c r="E121" s="5"/>
    </row>
    <row r="122">
      <c r="A122" s="9"/>
      <c r="B122" s="5"/>
      <c r="C122" s="5"/>
      <c r="D122" s="5"/>
      <c r="E122" s="5"/>
    </row>
    <row r="123">
      <c r="A123" s="9"/>
      <c r="B123" s="5"/>
      <c r="C123" s="5"/>
      <c r="D123" s="5"/>
      <c r="E123" s="5"/>
    </row>
    <row r="124">
      <c r="A124" s="9"/>
      <c r="B124" s="5"/>
      <c r="C124" s="5"/>
      <c r="D124" s="5"/>
      <c r="E124" s="5"/>
    </row>
    <row r="125">
      <c r="A125" s="9"/>
      <c r="B125" s="5"/>
      <c r="C125" s="5"/>
      <c r="D125" s="5"/>
      <c r="E125" s="5"/>
    </row>
    <row r="126">
      <c r="A126" s="9"/>
      <c r="B126" s="5"/>
      <c r="C126" s="5"/>
      <c r="D126" s="5"/>
      <c r="E126" s="5"/>
    </row>
    <row r="127">
      <c r="A127" s="9"/>
      <c r="B127" s="5"/>
      <c r="C127" s="5"/>
      <c r="D127" s="5"/>
      <c r="E127" s="5"/>
    </row>
    <row r="128">
      <c r="A128" s="9"/>
      <c r="B128" s="5"/>
      <c r="C128" s="5"/>
      <c r="D128" s="5"/>
      <c r="E128" s="5"/>
    </row>
    <row r="129">
      <c r="A129" s="9"/>
      <c r="B129" s="5"/>
      <c r="C129" s="5"/>
      <c r="D129" s="5"/>
      <c r="E129" s="5"/>
    </row>
    <row r="130">
      <c r="A130" s="9"/>
      <c r="B130" s="5"/>
      <c r="C130" s="5"/>
      <c r="D130" s="5"/>
      <c r="E130" s="5"/>
    </row>
    <row r="131">
      <c r="A131" s="9"/>
      <c r="B131" s="5"/>
      <c r="C131" s="5"/>
      <c r="D131" s="5"/>
      <c r="E131" s="5"/>
    </row>
    <row r="132">
      <c r="A132" s="9"/>
      <c r="B132" s="5"/>
      <c r="C132" s="5"/>
      <c r="D132" s="5"/>
      <c r="E132" s="5"/>
    </row>
    <row r="133">
      <c r="A133" s="9"/>
      <c r="B133" s="5"/>
      <c r="C133" s="5"/>
      <c r="D133" s="5"/>
      <c r="E133" s="5"/>
    </row>
    <row r="134">
      <c r="A134" s="9"/>
      <c r="B134" s="5"/>
      <c r="C134" s="5"/>
      <c r="D134" s="5"/>
      <c r="E134" s="5"/>
    </row>
    <row r="135">
      <c r="A135" s="9"/>
      <c r="B135" s="5"/>
      <c r="C135" s="5"/>
      <c r="D135" s="5"/>
      <c r="E135" s="5"/>
    </row>
    <row r="136">
      <c r="A136" s="9"/>
      <c r="B136" s="5"/>
      <c r="C136" s="5"/>
      <c r="D136" s="5"/>
      <c r="E136" s="5"/>
    </row>
    <row r="137">
      <c r="A137" s="9"/>
      <c r="B137" s="5"/>
      <c r="C137" s="5"/>
      <c r="D137" s="5"/>
      <c r="E137" s="5"/>
    </row>
  </sheetData>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6.5"/>
    <col customWidth="1" min="3" max="4" width="37.63"/>
    <col customWidth="1" min="5" max="5" width="35.13"/>
    <col customWidth="1" min="9" max="11" width="37.63"/>
  </cols>
  <sheetData>
    <row r="1" ht="22.5" customHeight="1">
      <c r="A1" s="1" t="s">
        <v>0</v>
      </c>
      <c r="B1" s="1" t="s">
        <v>4906</v>
      </c>
      <c r="C1" s="1" t="s">
        <v>2</v>
      </c>
      <c r="D1" s="1" t="s">
        <v>3</v>
      </c>
      <c r="E1" s="1" t="s">
        <v>4</v>
      </c>
      <c r="G1" s="7" t="s">
        <v>5</v>
      </c>
      <c r="H1" s="7" t="s">
        <v>4907</v>
      </c>
      <c r="I1" s="7" t="s">
        <v>7</v>
      </c>
      <c r="J1" s="7" t="s">
        <v>8</v>
      </c>
      <c r="K1" s="7" t="s">
        <v>9</v>
      </c>
    </row>
    <row r="2" ht="22.5" customHeight="1">
      <c r="A2" s="2">
        <v>1.0</v>
      </c>
      <c r="B2" s="3" t="s">
        <v>5213</v>
      </c>
      <c r="C2" s="3" t="s">
        <v>5214</v>
      </c>
      <c r="D2" s="3" t="s">
        <v>5215</v>
      </c>
      <c r="E2" s="3" t="s">
        <v>5216</v>
      </c>
      <c r="G2" s="8" t="str">
        <f>IFERROR(__xludf.DUMMYFUNCTION("GOOGLETRANSLATE(A2, ""en"", ""hi"")"),"1")</f>
        <v>1</v>
      </c>
      <c r="H2" s="8" t="str">
        <f>IFERROR(__xludf.DUMMYFUNCTION("GOOGLETRANSLATE(B2, ""en"", ""hi"")"),"मुकना_1")</f>
        <v>मुकना_1</v>
      </c>
      <c r="I2" s="8" t="str">
        <f>IFERROR(__xludf.DUMMYFUNCTION("GOOGLETRANSLATE(C2, ""en"", ""hi"")"),"चित्र में दिखाए गए खेल के लिए मैच का प्राथमिक लक्ष्य क्या है?")</f>
        <v>चित्र में दिखाए गए खेल के लिए मैच का प्राथमिक लक्ष्य क्या है?</v>
      </c>
      <c r="J2" s="8" t="str">
        <f>IFERROR(__xludf.DUMMYFUNCTION("GOOGLETRANSLATE(D2, ""en"", ""hi"")"),"A) सबसे अधिक अंक प्राप्त करना, B) प्रतिद्वंद्वी को दबाना, C) प्रतिद्वंद्वी से अधिक समय तक टिकना, D) सर्वोत्तम तकनीक का प्रदर्शन करना")</f>
        <v>A) सबसे अधिक अंक प्राप्त करना, B) प्रतिद्वंद्वी को दबाना, C) प्रतिद्वंद्वी से अधिक समय तक टिकना, D) सर्वोत्तम तकनीक का प्रदर्शन करना</v>
      </c>
      <c r="K2" s="8" t="str">
        <f>IFERROR(__xludf.DUMMYFUNCTION("GOOGLETRANSLATE(E2, ""en"", ""hi"")"),"बी) प्रतिद्वंद्वी को दबाना")</f>
        <v>बी) प्रतिद्वंद्वी को दबाना</v>
      </c>
    </row>
    <row r="3" ht="22.5" customHeight="1">
      <c r="A3" s="2">
        <v>2.0</v>
      </c>
      <c r="B3" s="3" t="s">
        <v>5213</v>
      </c>
      <c r="C3" s="3" t="s">
        <v>5217</v>
      </c>
      <c r="D3" s="3" t="s">
        <v>5218</v>
      </c>
      <c r="E3" s="3" t="s">
        <v>5219</v>
      </c>
      <c r="G3" s="8" t="str">
        <f>IFERROR(__xludf.DUMMYFUNCTION("GOOGLETRANSLATE(A3, ""en"", ""hi"")"),"2")</f>
        <v>2</v>
      </c>
      <c r="H3" s="8" t="str">
        <f>IFERROR(__xludf.DUMMYFUNCTION("GOOGLETRANSLATE(B3, ""en"", ""hi"")"),"मुकना_1")</f>
        <v>मुकना_1</v>
      </c>
      <c r="I3" s="8" t="str">
        <f>IFERROR(__xludf.DUMMYFUNCTION("GOOGLETRANSLATE(C3, ""en"", ""hi"")"),"चित्र में, मुकना में हमला करने के लिए मुख्य रूप से शरीर के किस भाग का उपयोग किया जाता है?")</f>
        <v>चित्र में, मुकना में हमला करने के लिए मुख्य रूप से शरीर के किस भाग का उपयोग किया जाता है?</v>
      </c>
      <c r="J3" s="8" t="str">
        <f>IFERROR(__xludf.DUMMYFUNCTION("GOOGLETRANSLATE(D3, ""en"", ""hi"")"),"A) हाथ, B) पैर, C) सिर, D) कोहनियाँ")</f>
        <v>A) हाथ, B) पैर, C) सिर, D) कोहनियाँ</v>
      </c>
      <c r="K3" s="8" t="str">
        <f>IFERROR(__xludf.DUMMYFUNCTION("GOOGLETRANSLATE(E3, ""en"", ""hi"")"),"बी) पैर")</f>
        <v>बी) पैर</v>
      </c>
    </row>
    <row r="4" ht="22.5" customHeight="1">
      <c r="A4" s="2">
        <v>3.0</v>
      </c>
      <c r="B4" s="3" t="s">
        <v>5213</v>
      </c>
      <c r="C4" s="3" t="s">
        <v>5220</v>
      </c>
      <c r="D4" s="3" t="s">
        <v>5221</v>
      </c>
      <c r="E4" s="3" t="s">
        <v>5222</v>
      </c>
      <c r="G4" s="8" t="str">
        <f>IFERROR(__xludf.DUMMYFUNCTION("GOOGLETRANSLATE(A4, ""en"", ""hi"")"),"3")</f>
        <v>3</v>
      </c>
      <c r="H4" s="8" t="str">
        <f>IFERROR(__xludf.DUMMYFUNCTION("GOOGLETRANSLATE(B4, ""en"", ""hi"")"),"मुकना_1")</f>
        <v>मुकना_1</v>
      </c>
      <c r="I4" s="8" t="str">
        <f>IFERROR(__xludf.DUMMYFUNCTION("GOOGLETRANSLATE(C4, ""en"", ""hi"")"),"चित्र में दिखाए गए खेल के लिए, मुकना मैच की मानक अवधि क्या है?")</f>
        <v>चित्र में दिखाए गए खेल के लिए, मुकना मैच की मानक अवधि क्या है?</v>
      </c>
      <c r="J4" s="8" t="str">
        <f>IFERROR(__xludf.DUMMYFUNCTION("GOOGLETRANSLATE(D4, ""en"", ""hi"")"),"A) 15 मिनट, B) 30 मिनट, C) 45 मिनट, D) 60 मिनट")</f>
        <v>A) 15 मिनट, B) 30 मिनट, C) 45 मिनट, D) 60 मिनट</v>
      </c>
      <c r="K4" s="8" t="str">
        <f>IFERROR(__xludf.DUMMYFUNCTION("GOOGLETRANSLATE(E4, ""en"", ""hi"")"),"बी) 30 मिनट")</f>
        <v>बी) 30 मिनट</v>
      </c>
    </row>
    <row r="5" ht="22.5" customHeight="1">
      <c r="A5" s="2">
        <v>4.0</v>
      </c>
      <c r="B5" s="3" t="s">
        <v>5213</v>
      </c>
      <c r="C5" s="3" t="s">
        <v>5223</v>
      </c>
      <c r="D5" s="3" t="s">
        <v>5224</v>
      </c>
      <c r="E5" s="3" t="s">
        <v>113</v>
      </c>
      <c r="G5" s="8" t="str">
        <f>IFERROR(__xludf.DUMMYFUNCTION("GOOGLETRANSLATE(A5, ""en"", ""hi"")"),"4")</f>
        <v>4</v>
      </c>
      <c r="H5" s="8" t="str">
        <f>IFERROR(__xludf.DUMMYFUNCTION("GOOGLETRANSLATE(B5, ""en"", ""hi"")"),"मुकना_1")</f>
        <v>मुकना_1</v>
      </c>
      <c r="I5" s="8" t="str">
        <f>IFERROR(__xludf.DUMMYFUNCTION("GOOGLETRANSLATE(C5, ""en"", ""hi"")"),"चित्र में, मुकना माचिस के लिए आमतौर पर किस प्रकार की सतह का उपयोग किया जाता है?")</f>
        <v>चित्र में, मुकना माचिस के लिए आमतौर पर किस प्रकार की सतह का उपयोग किया जाता है?</v>
      </c>
      <c r="J5" s="8" t="str">
        <f>IFERROR(__xludf.DUMMYFUNCTION("GOOGLETRANSLATE(D5, ""en"", ""hi"")"),"A) घास, B) रेत, C) लकड़ी, D) कंक्रीट")</f>
        <v>A) घास, B) रेत, C) लकड़ी, D) कंक्रीट</v>
      </c>
      <c r="K5" s="8" t="str">
        <f>IFERROR(__xludf.DUMMYFUNCTION("GOOGLETRANSLATE(E5, ""en"", ""hi"")"),"बी) रेत")</f>
        <v>बी) रेत</v>
      </c>
    </row>
    <row r="6" ht="22.5" customHeight="1">
      <c r="A6" s="2">
        <v>5.0</v>
      </c>
      <c r="B6" s="3" t="s">
        <v>5225</v>
      </c>
      <c r="C6" s="3" t="s">
        <v>5226</v>
      </c>
      <c r="D6" s="3" t="s">
        <v>5227</v>
      </c>
      <c r="E6" s="3" t="s">
        <v>5228</v>
      </c>
      <c r="G6" s="8" t="str">
        <f>IFERROR(__xludf.DUMMYFUNCTION("GOOGLETRANSLATE(A6, ""en"", ""hi"")"),"5")</f>
        <v>5</v>
      </c>
      <c r="H6" s="8" t="str">
        <f>IFERROR(__xludf.DUMMYFUNCTION("GOOGLETRANSLATE(B6, ""en"", ""hi"")"),"मुकना_2")</f>
        <v>मुकना_2</v>
      </c>
      <c r="I6" s="8" t="str">
        <f>IFERROR(__xludf.DUMMYFUNCTION("GOOGLETRANSLATE(C6, ""en"", ""hi"")"),"चित्र में दिखाए गए खेल के लिए निम्नलिखित में से किसे प्रमुख तकनीक माना जाता है?")</f>
        <v>चित्र में दिखाए गए खेल के लिए निम्नलिखित में से किसे प्रमुख तकनीक माना जाता है?</v>
      </c>
      <c r="J6" s="8" t="str">
        <f>IFERROR(__xludf.DUMMYFUNCTION("GOOGLETRANSLATE(D6, ""en"", ""hi"")"),"A) हाथापाई, B) लात मारना, C) फेंकना, D) चकमा देना")</f>
        <v>A) हाथापाई, B) लात मारना, C) फेंकना, D) चकमा देना</v>
      </c>
      <c r="K6" s="8" t="str">
        <f>IFERROR(__xludf.DUMMYFUNCTION("GOOGLETRANSLATE(E6, ""en"", ""hi"")"),"ए) ग्रैपलिंग")</f>
        <v>ए) ग्रैपलिंग</v>
      </c>
    </row>
    <row r="7" ht="22.5" customHeight="1">
      <c r="A7" s="2">
        <v>6.0</v>
      </c>
      <c r="B7" s="3" t="s">
        <v>5225</v>
      </c>
      <c r="C7" s="3" t="s">
        <v>5229</v>
      </c>
      <c r="D7" s="3" t="s">
        <v>5230</v>
      </c>
      <c r="E7" s="3" t="s">
        <v>5231</v>
      </c>
      <c r="G7" s="8" t="str">
        <f>IFERROR(__xludf.DUMMYFUNCTION("GOOGLETRANSLATE(A7, ""en"", ""hi"")"),"6")</f>
        <v>6</v>
      </c>
      <c r="H7" s="8" t="str">
        <f>IFERROR(__xludf.DUMMYFUNCTION("GOOGLETRANSLATE(B7, ""en"", ""hi"")"),"मुकना_2")</f>
        <v>मुकना_2</v>
      </c>
      <c r="I7" s="8" t="str">
        <f>IFERROR(__xludf.DUMMYFUNCTION("GOOGLETRANSLATE(C7, ""en"", ""hi"")"),"चित्र में दिखाए गए खेल में खिलाड़ियों द्वारा पहनी जाने वाली विशिष्ट पोशाक क्या है?")</f>
        <v>चित्र में दिखाए गए खेल में खिलाड़ियों द्वारा पहनी जाने वाली विशिष्ट पोशाक क्या है?</v>
      </c>
      <c r="J7" s="8" t="str">
        <f>IFERROR(__xludf.DUMMYFUNCTION("GOOGLETRANSLATE(D7, ""en"", ""hi"")"),"A) शॉर्ट्स और टी-शर्ट, B) पारंपरिक पोशाक, C) ट्रैकसूट, D) पैडिंग वाली वर्दी")</f>
        <v>A) शॉर्ट्स और टी-शर्ट, B) पारंपरिक पोशाक, C) ट्रैकसूट, D) पैडिंग वाली वर्दी</v>
      </c>
      <c r="K7" s="8" t="str">
        <f>IFERROR(__xludf.DUMMYFUNCTION("GOOGLETRANSLATE(E7, ""en"", ""hi"")"),"बी) पारंपरिक पोशाक")</f>
        <v>बी) पारंपरिक पोशाक</v>
      </c>
    </row>
    <row r="8" ht="22.5" customHeight="1">
      <c r="A8" s="2">
        <v>7.0</v>
      </c>
      <c r="B8" s="3" t="s">
        <v>5225</v>
      </c>
      <c r="C8" s="3" t="s">
        <v>5232</v>
      </c>
      <c r="D8" s="3" t="s">
        <v>5233</v>
      </c>
      <c r="E8" s="3" t="s">
        <v>5234</v>
      </c>
      <c r="G8" s="8" t="str">
        <f>IFERROR(__xludf.DUMMYFUNCTION("GOOGLETRANSLATE(A8, ""en"", ""hi"")"),"7")</f>
        <v>7</v>
      </c>
      <c r="H8" s="8" t="str">
        <f>IFERROR(__xludf.DUMMYFUNCTION("GOOGLETRANSLATE(B8, ""en"", ""hi"")"),"मुकना_2")</f>
        <v>मुकना_2</v>
      </c>
      <c r="I8" s="8" t="str">
        <f>IFERROR(__xludf.DUMMYFUNCTION("GOOGLETRANSLATE(C8, ""en"", ""hi"")"),"चित्र में दर्शाए गए खेल में आमतौर पर कितने खिलाड़ी शामिल होते हैं?")</f>
        <v>चित्र में दर्शाए गए खेल में आमतौर पर कितने खिलाड़ी शामिल होते हैं?</v>
      </c>
      <c r="J8" s="8" t="str">
        <f>IFERROR(__xludf.DUMMYFUNCTION("GOOGLETRANSLATE(D8, ""en"", ""hi"")"),"A) दो, B) चार, C) छह, D) आठ")</f>
        <v>A) दो, B) चार, C) छह, D) आठ</v>
      </c>
      <c r="K8" s="8" t="str">
        <f>IFERROR(__xludf.DUMMYFUNCTION("GOOGLETRANSLATE(E8, ""en"", ""hi"")"),"दो")</f>
        <v>दो</v>
      </c>
    </row>
    <row r="9" ht="22.5" customHeight="1">
      <c r="A9" s="2">
        <v>8.0</v>
      </c>
      <c r="B9" s="3" t="s">
        <v>5225</v>
      </c>
      <c r="C9" s="3" t="s">
        <v>5235</v>
      </c>
      <c r="D9" s="3" t="s">
        <v>5236</v>
      </c>
      <c r="E9" s="3" t="s">
        <v>5237</v>
      </c>
      <c r="G9" s="8" t="str">
        <f>IFERROR(__xludf.DUMMYFUNCTION("GOOGLETRANSLATE(A9, ""en"", ""hi"")"),"8")</f>
        <v>8</v>
      </c>
      <c r="H9" s="8" t="str">
        <f>IFERROR(__xludf.DUMMYFUNCTION("GOOGLETRANSLATE(B9, ""en"", ""hi"")"),"मुकना_2")</f>
        <v>मुकना_2</v>
      </c>
      <c r="I9" s="8" t="str">
        <f>IFERROR(__xludf.DUMMYFUNCTION("GOOGLETRANSLATE(C9, ""en"", ""hi"")"),"चित्र में, मैच के दौरान खेल का प्राथमिक उद्देश्य क्या है?")</f>
        <v>चित्र में, मैच के दौरान खेल का प्राथमिक उद्देश्य क्या है?</v>
      </c>
      <c r="J9" s="8" t="str">
        <f>IFERROR(__xludf.DUMMYFUNCTION("GOOGLETRANSLATE(D9, ""en"", ""hi"")"),"A) गोल करना, B) प्रतिद्वंद्वी पर नियंत्रण प्राप्त करना, C) लैप पूरा करना, D) स्टंट करना")</f>
        <v>A) गोल करना, B) प्रतिद्वंद्वी पर नियंत्रण प्राप्त करना, C) लैप पूरा करना, D) स्टंट करना</v>
      </c>
      <c r="K9" s="8" t="str">
        <f>IFERROR(__xludf.DUMMYFUNCTION("GOOGLETRANSLATE(E9, ""en"", ""hi"")"),"बी) प्रतिद्वंद्वी पर नियंत्रण प्राप्त करना")</f>
        <v>बी) प्रतिद्वंद्वी पर नियंत्रण प्राप्त करना</v>
      </c>
    </row>
    <row r="10" ht="22.5" customHeight="1">
      <c r="A10" s="2">
        <v>9.0</v>
      </c>
      <c r="B10" s="3" t="s">
        <v>5238</v>
      </c>
      <c r="C10" s="3" t="s">
        <v>5239</v>
      </c>
      <c r="D10" s="3" t="s">
        <v>5240</v>
      </c>
      <c r="E10" s="3" t="s">
        <v>5241</v>
      </c>
      <c r="G10" s="8" t="str">
        <f>IFERROR(__xludf.DUMMYFUNCTION("GOOGLETRANSLATE(A10, ""en"", ""hi"")"),"9")</f>
        <v>9</v>
      </c>
      <c r="H10" s="8" t="str">
        <f>IFERROR(__xludf.DUMMYFUNCTION("GOOGLETRANSLATE(B10, ""en"", ""hi"")"),"मुकना_3")</f>
        <v>मुकना_3</v>
      </c>
      <c r="I10" s="8" t="str">
        <f>IFERROR(__xludf.DUMMYFUNCTION("GOOGLETRANSLATE(C10, ""en"", ""hi"")"),"चित्र में दिखाए गए खेल के लिए निम्नलिखित में से कौन सी सामान्य रणनीति है?")</f>
        <v>चित्र में दिखाए गए खेल के लिए निम्नलिखित में से कौन सी सामान्य रणनीति है?</v>
      </c>
      <c r="J10" s="8" t="str">
        <f>IFERROR(__xludf.DUMMYFUNCTION("GOOGLETRANSLATE(D10, ""en"", ""hi"")"),"A) गति और चपलता, B) शक्ति और सहनशक्ति, C) तकनीकी कौशल, D) परिशुद्धता और सटीकता")</f>
        <v>A) गति और चपलता, B) शक्ति और सहनशक्ति, C) तकनीकी कौशल, D) परिशुद्धता और सटीकता</v>
      </c>
      <c r="K10" s="8" t="str">
        <f>IFERROR(__xludf.DUMMYFUNCTION("GOOGLETRANSLATE(E10, ""en"", ""hi"")"),"बी) शक्ति और सहनशक्ति")</f>
        <v>बी) शक्ति और सहनशक्ति</v>
      </c>
    </row>
    <row r="11" ht="22.5" customHeight="1">
      <c r="A11" s="2">
        <v>10.0</v>
      </c>
      <c r="B11" s="3" t="s">
        <v>5238</v>
      </c>
      <c r="C11" s="3" t="s">
        <v>5242</v>
      </c>
      <c r="D11" s="3" t="s">
        <v>5243</v>
      </c>
      <c r="E11" s="3" t="s">
        <v>5244</v>
      </c>
      <c r="G11" s="8" t="str">
        <f>IFERROR(__xludf.DUMMYFUNCTION("GOOGLETRANSLATE(A11, ""en"", ""hi"")"),"10")</f>
        <v>10</v>
      </c>
      <c r="H11" s="8" t="str">
        <f>IFERROR(__xludf.DUMMYFUNCTION("GOOGLETRANSLATE(B11, ""en"", ""hi"")"),"मुकना_3")</f>
        <v>मुकना_3</v>
      </c>
      <c r="I11" s="8" t="str">
        <f>IFERROR(__xludf.DUMMYFUNCTION("GOOGLETRANSLATE(C11, ""en"", ""hi"")"),"चित्र में, उस अखाड़े की मुख्य विशेषता क्या है जहां मुकना खेला जाता है?")</f>
        <v>चित्र में, उस अखाड़े की मुख्य विशेषता क्या है जहां मुकना खेला जाता है?</v>
      </c>
      <c r="J11" s="8" t="str">
        <f>IFERROR(__xludf.DUMMYFUNCTION("GOOGLETRANSLATE(D11, ""en"", ""hi"")"),"A) यह एक गोलाकार छल्ला है, B) इसमें रेत का फर्श है, C) यह मैट से ढका हुआ है, D) यह एक इनडोर जिम है")</f>
        <v>A) यह एक गोलाकार छल्ला है, B) इसमें रेत का फर्श है, C) यह मैट से ढका हुआ है, D) यह एक इनडोर जिम है</v>
      </c>
      <c r="K11" s="8" t="str">
        <f>IFERROR(__xludf.DUMMYFUNCTION("GOOGLETRANSLATE(E11, ""en"", ""hi"")"),"B) इसका फर्श रेत का है")</f>
        <v>B) इसका फर्श रेत का है</v>
      </c>
    </row>
    <row r="12" ht="22.5" customHeight="1">
      <c r="A12" s="2">
        <v>11.0</v>
      </c>
      <c r="B12" s="3" t="s">
        <v>5238</v>
      </c>
      <c r="C12" s="3" t="s">
        <v>5245</v>
      </c>
      <c r="D12" s="3" t="s">
        <v>5246</v>
      </c>
      <c r="E12" s="3" t="s">
        <v>5247</v>
      </c>
      <c r="G12" s="8" t="str">
        <f>IFERROR(__xludf.DUMMYFUNCTION("GOOGLETRANSLATE(A12, ""en"", ""hi"")"),"11")</f>
        <v>11</v>
      </c>
      <c r="H12" s="8" t="str">
        <f>IFERROR(__xludf.DUMMYFUNCTION("GOOGLETRANSLATE(B12, ""en"", ""hi"")"),"मुकना_3")</f>
        <v>मुकना_3</v>
      </c>
      <c r="I12" s="8" t="str">
        <f>IFERROR(__xludf.DUMMYFUNCTION("GOOGLETRANSLATE(C12, ""en"", ""hi"")"),"चित्र में दिखाए गए खेल में रेफरी की भूमिका क्या है?")</f>
        <v>चित्र में दिखाए गए खेल में रेफरी की भूमिका क्या है?</v>
      </c>
      <c r="J12" s="8" t="str">
        <f>IFERROR(__xludf.DUMMYFUNCTION("GOOGLETRANSLATE(D12, ""en"", ""hi"")"),"A) अंक अर्जित करना, B) खेल का प्रबंधन करना और निष्पक्ष खेल सुनिश्चित करना, C) खिलाड़ियों को प्रशिक्षित करना, D) चिकित्सा सहायता प्रदान करना")</f>
        <v>A) अंक अर्जित करना, B) खेल का प्रबंधन करना और निष्पक्ष खेल सुनिश्चित करना, C) खिलाड़ियों को प्रशिक्षित करना, D) चिकित्सा सहायता प्रदान करना</v>
      </c>
      <c r="K12" s="8" t="str">
        <f>IFERROR(__xludf.DUMMYFUNCTION("GOOGLETRANSLATE(E12, ""en"", ""hi"")"),"बी) खेल का प्रबंधन करना और निष्पक्ष खेल सुनिश्चित करना")</f>
        <v>बी) खेल का प्रबंधन करना और निष्पक्ष खेल सुनिश्चित करना</v>
      </c>
    </row>
    <row r="13" ht="22.5" customHeight="1">
      <c r="A13" s="2">
        <v>12.0</v>
      </c>
      <c r="B13" s="3" t="s">
        <v>5238</v>
      </c>
      <c r="C13" s="3" t="s">
        <v>5248</v>
      </c>
      <c r="D13" s="3" t="s">
        <v>5249</v>
      </c>
      <c r="E13" s="3" t="s">
        <v>5250</v>
      </c>
      <c r="G13" s="8" t="str">
        <f>IFERROR(__xludf.DUMMYFUNCTION("GOOGLETRANSLATE(A13, ""en"", ""hi"")"),"12")</f>
        <v>12</v>
      </c>
      <c r="H13" s="8" t="str">
        <f>IFERROR(__xludf.DUMMYFUNCTION("GOOGLETRANSLATE(B13, ""en"", ""hi"")"),"मुकना_3")</f>
        <v>मुकना_3</v>
      </c>
      <c r="I13" s="8" t="str">
        <f>IFERROR(__xludf.DUMMYFUNCTION("GOOGLETRANSLATE(C13, ""en"", ""hi"")"),"चित्र में दिखाया गया है कि मुकना में आमतौर पर किस प्रकार के जूते पहने जाते हैं?")</f>
        <v>चित्र में दिखाया गया है कि मुकना में आमतौर पर किस प्रकार के जूते पहने जाते हैं?</v>
      </c>
      <c r="J13" s="8" t="str">
        <f>IFERROR(__xludf.DUMMYFUNCTION("GOOGLETRANSLATE(D13, ""en"", ""hi"")"),"A) सैंडल, B) स्पोर्ट्स शूज़, C) नंगे पाँव, D) बूट्स")</f>
        <v>A) सैंडल, B) स्पोर्ट्स शूज़, C) नंगे पाँव, D) बूट्स</v>
      </c>
      <c r="K13" s="8" t="str">
        <f>IFERROR(__xludf.DUMMYFUNCTION("GOOGLETRANSLATE(E13, ""en"", ""hi"")"),"सी) नंगे पांव")</f>
        <v>सी) नंगे पांव</v>
      </c>
    </row>
    <row r="14" ht="22.5" customHeight="1">
      <c r="A14" s="2">
        <v>13.0</v>
      </c>
      <c r="B14" s="3" t="s">
        <v>5251</v>
      </c>
      <c r="C14" s="3" t="s">
        <v>5252</v>
      </c>
      <c r="D14" s="3" t="s">
        <v>5253</v>
      </c>
      <c r="E14" s="3" t="s">
        <v>5254</v>
      </c>
      <c r="G14" s="8" t="str">
        <f>IFERROR(__xludf.DUMMYFUNCTION("GOOGLETRANSLATE(A14, ""en"", ""hi"")"),"13")</f>
        <v>13</v>
      </c>
      <c r="H14" s="8" t="str">
        <f>IFERROR(__xludf.DUMMYFUNCTION("GOOGLETRANSLATE(B14, ""en"", ""hi"")"),"मुकना_4")</f>
        <v>मुकना_4</v>
      </c>
      <c r="I14" s="8" t="str">
        <f>IFERROR(__xludf.DUMMYFUNCTION("GOOGLETRANSLATE(C14, ""en"", ""hi"")"),"चित्र में दिखाए गए खेल के लिए खिलाड़ियों के लिए किस प्रकार की शारीरिक कंडीशनिंग आवश्यक है?")</f>
        <v>चित्र में दिखाए गए खेल के लिए खिलाड़ियों के लिए किस प्रकार की शारीरिक कंडीशनिंग आवश्यक है?</v>
      </c>
      <c r="J14" s="8" t="str">
        <f>IFERROR(__xludf.DUMMYFUNCTION("GOOGLETRANSLATE(D14, ""en"", ""hi"")"),"ए) लचीलापन और संतुलन, बी) कार्डियो सहनशक्ति, सी) ऊपरी शरीर की ताकत, डी) गति और सजगता")</f>
        <v>ए) लचीलापन और संतुलन, बी) कार्डियो सहनशक्ति, सी) ऊपरी शरीर की ताकत, डी) गति और सजगता</v>
      </c>
      <c r="K14" s="8" t="str">
        <f>IFERROR(__xludf.DUMMYFUNCTION("GOOGLETRANSLATE(E14, ""en"", ""hi"")"),"ए) लचीलापन और संतुलन")</f>
        <v>ए) लचीलापन और संतुलन</v>
      </c>
    </row>
    <row r="15" ht="22.5" customHeight="1">
      <c r="A15" s="2">
        <v>14.0</v>
      </c>
      <c r="B15" s="3" t="s">
        <v>5251</v>
      </c>
      <c r="C15" s="3" t="s">
        <v>5255</v>
      </c>
      <c r="D15" s="3" t="s">
        <v>5256</v>
      </c>
      <c r="E15" s="3" t="s">
        <v>5257</v>
      </c>
      <c r="G15" s="8" t="str">
        <f>IFERROR(__xludf.DUMMYFUNCTION("GOOGLETRANSLATE(A15, ""en"", ""hi"")"),"14")</f>
        <v>14</v>
      </c>
      <c r="H15" s="8" t="str">
        <f>IFERROR(__xludf.DUMMYFUNCTION("GOOGLETRANSLATE(B15, ""en"", ""hi"")"),"मुकना_4")</f>
        <v>मुकना_4</v>
      </c>
      <c r="I15" s="8" t="str">
        <f>IFERROR(__xludf.DUMMYFUNCTION("GOOGLETRANSLATE(C15, ""en"", ""hi"")"),"चित्र में, मुकना में खिलाड़ियों के लिए आम चोट की चिंता क्या है?")</f>
        <v>चित्र में, मुकना में खिलाड़ियों के लिए आम चोट की चिंता क्या है?</v>
      </c>
      <c r="J15" s="8" t="str">
        <f>IFERROR(__xludf.DUMMYFUNCTION("GOOGLETRANSLATE(D15, ""en"", ""hi"")"),"ए) मोच और खिंचाव, बी) मस्तिष्काघात, सी) फ्रैक्चर, डी) हीटस्ट्रोक")</f>
        <v>ए) मोच और खिंचाव, बी) मस्तिष्काघात, सी) फ्रैक्चर, डी) हीटस्ट्रोक</v>
      </c>
      <c r="K15" s="8" t="str">
        <f>IFERROR(__xludf.DUMMYFUNCTION("GOOGLETRANSLATE(E15, ""en"", ""hi"")"),"ए) मोच और खिंचाव")</f>
        <v>ए) मोच और खिंचाव</v>
      </c>
    </row>
    <row r="16" ht="22.5" customHeight="1">
      <c r="A16" s="2">
        <v>15.0</v>
      </c>
      <c r="B16" s="3" t="s">
        <v>5251</v>
      </c>
      <c r="C16" s="3" t="s">
        <v>5258</v>
      </c>
      <c r="D16" s="3" t="s">
        <v>5259</v>
      </c>
      <c r="E16" s="3" t="s">
        <v>5260</v>
      </c>
      <c r="G16" s="8" t="str">
        <f>IFERROR(__xludf.DUMMYFUNCTION("GOOGLETRANSLATE(A16, ""en"", ""hi"")"),"15")</f>
        <v>15</v>
      </c>
      <c r="H16" s="8" t="str">
        <f>IFERROR(__xludf.DUMMYFUNCTION("GOOGLETRANSLATE(B16, ""en"", ""hi"")"),"मुकना_4")</f>
        <v>मुकना_4</v>
      </c>
      <c r="I16" s="8" t="str">
        <f>IFERROR(__xludf.DUMMYFUNCTION("GOOGLETRANSLATE(C16, ""en"", ""hi"")"),"चित्र में दिखाए गए खेल के लिए विजेता का निर्धारण कैसे किया जाता है?")</f>
        <v>चित्र में दिखाए गए खेल के लिए विजेता का निर्धारण कैसे किया जाता है?</v>
      </c>
      <c r="J16" s="8" t="str">
        <f>IFERROR(__xludf.DUMMYFUNCTION("GOOGLETRANSLATE(D16, ""en"", ""hi"")"),"A) सबसे अधिक अंक प्राप्त करके, B) प्रतिद्वंद्वी को पिन करके, C) प्रतिद्वंद्वी को अधिक समय तक हराकर, D) सर्वोत्तम चालें चलाकर")</f>
        <v>A) सबसे अधिक अंक प्राप्त करके, B) प्रतिद्वंद्वी को पिन करके, C) प्रतिद्वंद्वी को अधिक समय तक हराकर, D) सर्वोत्तम चालें चलाकर</v>
      </c>
      <c r="K16" s="8" t="str">
        <f>IFERROR(__xludf.DUMMYFUNCTION("GOOGLETRANSLATE(E16, ""en"", ""hi"")"),"B) प्रतिद्वंद्वी को पिन करके")</f>
        <v>B) प्रतिद्वंद्वी को पिन करके</v>
      </c>
    </row>
    <row r="17" ht="22.5" customHeight="1">
      <c r="A17" s="2">
        <v>16.0</v>
      </c>
      <c r="B17" s="3" t="s">
        <v>5251</v>
      </c>
      <c r="C17" s="3" t="s">
        <v>5261</v>
      </c>
      <c r="D17" s="3" t="s">
        <v>5262</v>
      </c>
      <c r="E17" s="3" t="s">
        <v>5263</v>
      </c>
      <c r="G17" s="8" t="str">
        <f>IFERROR(__xludf.DUMMYFUNCTION("GOOGLETRANSLATE(A17, ""en"", ""hi"")"),"16")</f>
        <v>16</v>
      </c>
      <c r="H17" s="8" t="str">
        <f>IFERROR(__xludf.DUMMYFUNCTION("GOOGLETRANSLATE(B17, ""en"", ""hi"")"),"मुकना_4")</f>
        <v>मुकना_4</v>
      </c>
      <c r="I17" s="8" t="str">
        <f>IFERROR(__xludf.DUMMYFUNCTION("GOOGLETRANSLATE(C17, ""en"", ""hi"")"),"चित्र में, मुकना में भाग लेने वाले प्रतिभागियों का सामान्य आयु वर्ग क्या है?")</f>
        <v>चित्र में, मुकना में भाग लेने वाले प्रतिभागियों का सामान्य आयु वर्ग क्या है?</v>
      </c>
      <c r="J17" s="8" t="str">
        <f>IFERROR(__xludf.DUMMYFUNCTION("GOOGLETRANSLATE(D17, ""en"", ""hi"")"),"A) बच्चे, B) किशोर, C) वयस्क, D) वरिष्ठ")</f>
        <v>A) बच्चे, B) किशोर, C) वयस्क, D) वरिष्ठ</v>
      </c>
      <c r="K17" s="8" t="str">
        <f>IFERROR(__xludf.DUMMYFUNCTION("GOOGLETRANSLATE(E17, ""en"", ""hi"")"),"सी) वयस्क")</f>
        <v>सी) वयस्क</v>
      </c>
    </row>
    <row r="18" ht="22.5" customHeight="1">
      <c r="A18" s="2">
        <v>17.0</v>
      </c>
      <c r="B18" s="3" t="s">
        <v>5264</v>
      </c>
      <c r="C18" s="3" t="s">
        <v>5265</v>
      </c>
      <c r="D18" s="3" t="s">
        <v>5266</v>
      </c>
      <c r="E18" s="3" t="s">
        <v>5267</v>
      </c>
      <c r="G18" s="8" t="str">
        <f>IFERROR(__xludf.DUMMYFUNCTION("GOOGLETRANSLATE(A18, ""en"", ""hi"")"),"17")</f>
        <v>17</v>
      </c>
      <c r="H18" s="8" t="str">
        <f>IFERROR(__xludf.DUMMYFUNCTION("GOOGLETRANSLATE(B18, ""en"", ""hi"")"),"मुकना_5")</f>
        <v>मुकना_5</v>
      </c>
      <c r="I18" s="8" t="str">
        <f>IFERROR(__xludf.DUMMYFUNCTION("GOOGLETRANSLATE(C18, ""en"", ""hi"")"),"चित्र में दर्शाए गए खेल के लिए मैच के दौरान इस्तेमाल की जाने वाली सामान्य रणनीति क्या है?")</f>
        <v>चित्र में दर्शाए गए खेल के लिए मैच के दौरान इस्तेमाल की जाने वाली सामान्य रणनीति क्या है?</v>
      </c>
      <c r="J18" s="8" t="str">
        <f>IFERROR(__xludf.DUMMYFUNCTION("GOOGLETRANSLATE(D18, ""en"", ""hi"")"),"A) जवाबी हमले, B) छल और चकमा, C) लंबी दूरी के हमले, D) रक्षात्मक पकड़")</f>
        <v>A) जवाबी हमले, B) छल और चकमा, C) लंबी दूरी के हमले, D) रक्षात्मक पकड़</v>
      </c>
      <c r="K18" s="8" t="str">
        <f>IFERROR(__xludf.DUMMYFUNCTION("GOOGLETRANSLATE(E18, ""en"", ""hi"")"),"बी) छल और चकमा")</f>
        <v>बी) छल और चकमा</v>
      </c>
    </row>
    <row r="19" ht="22.5" customHeight="1">
      <c r="A19" s="2">
        <v>18.0</v>
      </c>
      <c r="B19" s="3" t="s">
        <v>5264</v>
      </c>
      <c r="C19" s="3" t="s">
        <v>5268</v>
      </c>
      <c r="D19" s="3" t="s">
        <v>5269</v>
      </c>
      <c r="E19" s="3" t="s">
        <v>5270</v>
      </c>
      <c r="G19" s="8" t="str">
        <f>IFERROR(__xludf.DUMMYFUNCTION("GOOGLETRANSLATE(A19, ""en"", ""hi"")"),"18")</f>
        <v>18</v>
      </c>
      <c r="H19" s="8" t="str">
        <f>IFERROR(__xludf.DUMMYFUNCTION("GOOGLETRANSLATE(B19, ""en"", ""hi"")"),"मुकना_5")</f>
        <v>मुकना_5</v>
      </c>
      <c r="I19" s="8" t="str">
        <f>IFERROR(__xludf.DUMMYFUNCTION("GOOGLETRANSLATE(C19, ""en"", ""hi"")"),"चित्र में, मुकना एथलीटों के लिए किस प्रकार का प्रशिक्षण महत्वपूर्ण है?")</f>
        <v>चित्र में, मुकना एथलीटों के लिए किस प्रकार का प्रशिक्षण महत्वपूर्ण है?</v>
      </c>
      <c r="J19" s="8" t="str">
        <f>IFERROR(__xludf.DUMMYFUNCTION("GOOGLETRANSLATE(D19, ""en"", ""hi"")"),"ए) शक्ति प्रशिक्षण, बी) गति अभ्यास, सी) तकनीकी अभ्यास, डी) लचीलापन अभ्यास")</f>
        <v>ए) शक्ति प्रशिक्षण, बी) गति अभ्यास, सी) तकनीकी अभ्यास, डी) लचीलापन अभ्यास</v>
      </c>
      <c r="K19" s="8" t="str">
        <f>IFERROR(__xludf.DUMMYFUNCTION("GOOGLETRANSLATE(E19, ""en"", ""hi"")"),"ए) शक्ति प्रशिक्षण")</f>
        <v>ए) शक्ति प्रशिक्षण</v>
      </c>
    </row>
    <row r="20" ht="22.5" customHeight="1">
      <c r="A20" s="2">
        <v>19.0</v>
      </c>
      <c r="B20" s="3" t="s">
        <v>5264</v>
      </c>
      <c r="C20" s="3" t="s">
        <v>5271</v>
      </c>
      <c r="D20" s="3" t="s">
        <v>5272</v>
      </c>
      <c r="E20" s="3" t="s">
        <v>5273</v>
      </c>
      <c r="G20" s="8" t="str">
        <f>IFERROR(__xludf.DUMMYFUNCTION("GOOGLETRANSLATE(A20, ""en"", ""hi"")"),"19")</f>
        <v>19</v>
      </c>
      <c r="H20" s="8" t="str">
        <f>IFERROR(__xludf.DUMMYFUNCTION("GOOGLETRANSLATE(B20, ""en"", ""hi"")"),"मुकना_5")</f>
        <v>मुकना_5</v>
      </c>
      <c r="I20" s="8" t="str">
        <f>IFERROR(__xludf.DUMMYFUNCTION("GOOGLETRANSLATE(C20, ""en"", ""hi"")"),"चित्र में दिखाए गए खेल के लिए, खिलाड़ियों के लिए मैच के बाद की सामान्य रस्म क्या है?")</f>
        <v>चित्र में दिखाए गए खेल के लिए, खिलाड़ियों के लिए मैच के बाद की सामान्य रस्म क्या है?</v>
      </c>
      <c r="J20" s="8" t="str">
        <f>IFERROR(__xludf.DUMMYFUNCTION("GOOGLETRANSLATE(D20, ""en"", ""hi"")"),"ए) स्ट्रेचिंग और कूलिंग डाउन, बी) प्रशंसकों के साथ जश्न मनाना, सी) मैच फुटेज की समीक्षा करना, डी) प्रेस कॉन्फ्रेंस में भाग लेना")</f>
        <v>ए) स्ट्रेचिंग और कूलिंग डाउन, बी) प्रशंसकों के साथ जश्न मनाना, सी) मैच फुटेज की समीक्षा करना, डी) प्रेस कॉन्फ्रेंस में भाग लेना</v>
      </c>
      <c r="K20" s="8" t="str">
        <f>IFERROR(__xludf.DUMMYFUNCTION("GOOGLETRANSLATE(E20, ""en"", ""hi"")"),"ए) स्ट्रेचिंग और कूलिंग डाउन")</f>
        <v>ए) स्ट्रेचिंग और कूलिंग डाउन</v>
      </c>
    </row>
    <row r="21" ht="22.5" customHeight="1">
      <c r="A21" s="2">
        <v>20.0</v>
      </c>
      <c r="B21" s="3" t="s">
        <v>5264</v>
      </c>
      <c r="C21" s="3" t="s">
        <v>5274</v>
      </c>
      <c r="D21" s="3" t="s">
        <v>5275</v>
      </c>
      <c r="E21" s="3" t="s">
        <v>5276</v>
      </c>
      <c r="G21" s="8" t="str">
        <f>IFERROR(__xludf.DUMMYFUNCTION("GOOGLETRANSLATE(A21, ""en"", ""hi"")"),"20")</f>
        <v>20</v>
      </c>
      <c r="H21" s="8" t="str">
        <f>IFERROR(__xludf.DUMMYFUNCTION("GOOGLETRANSLATE(B21, ""en"", ""hi"")"),"मुकना_5")</f>
        <v>मुकना_5</v>
      </c>
      <c r="I21" s="8" t="str">
        <f>IFERROR(__xludf.DUMMYFUNCTION("GOOGLETRANSLATE(C21, ""en"", ""hi"")"),"चित्र में, मुकना के खेल क्षेत्र का मानक आकार क्या है?")</f>
        <v>चित्र में, मुकना के खेल क्षेत्र का मानक आकार क्या है?</v>
      </c>
      <c r="J21" s="8" t="str">
        <f>IFERROR(__xludf.DUMMYFUNCTION("GOOGLETRANSLATE(D21, ""en"", ""hi"")"),"A) 10x10 मीटर, B) 12x12 मीटर, C) 15x15 मीटर, D) 20x20 मीटर")</f>
        <v>A) 10x10 मीटर, B) 12x12 मीटर, C) 15x15 मीटर, D) 20x20 मीटर</v>
      </c>
      <c r="K21" s="8" t="str">
        <f>IFERROR(__xludf.DUMMYFUNCTION("GOOGLETRANSLATE(E21, ""en"", ""hi"")"),"बी) 12x12 मीटर")</f>
        <v>बी) 12x12 मीटर</v>
      </c>
    </row>
    <row r="22" ht="22.5" customHeight="1">
      <c r="A22" s="2">
        <v>21.0</v>
      </c>
      <c r="B22" s="3" t="s">
        <v>5277</v>
      </c>
      <c r="C22" s="3" t="s">
        <v>5278</v>
      </c>
      <c r="D22" s="3" t="s">
        <v>5279</v>
      </c>
      <c r="E22" s="3" t="s">
        <v>5280</v>
      </c>
      <c r="G22" s="8" t="str">
        <f>IFERROR(__xludf.DUMMYFUNCTION("GOOGLETRANSLATE(A22, ""en"", ""hi"")"),"21")</f>
        <v>21</v>
      </c>
      <c r="H22" s="8" t="str">
        <f>IFERROR(__xludf.DUMMYFUNCTION("GOOGLETRANSLATE(B22, ""en"", ""hi"")"),"मुकना_6")</f>
        <v>मुकना_6</v>
      </c>
      <c r="I22" s="8" t="str">
        <f>IFERROR(__xludf.DUMMYFUNCTION("GOOGLETRANSLATE(C22, ""en"", ""hi"")"),"चित्र में दर्शाए गए खेल के लिए मैच के दौरान रणनीति का मुख्य घटक क्या है?")</f>
        <v>चित्र में दर्शाए गए खेल के लिए मैच के दौरान रणनीति का मुख्य घटक क्या है?</v>
      </c>
      <c r="J22" s="8" t="str">
        <f>IFERROR(__xludf.DUMMYFUNCTION("GOOGLETRANSLATE(D22, ""en"", ""hi"")"),"ए) हमलों का समय, बी) धीरज प्रशिक्षण, सी) चपलता अभ्यास, डी) पोषण प्रबंधन")</f>
        <v>ए) हमलों का समय, बी) धीरज प्रशिक्षण, सी) चपलता अभ्यास, डी) पोषण प्रबंधन</v>
      </c>
      <c r="K22" s="8" t="str">
        <f>IFERROR(__xludf.DUMMYFUNCTION("GOOGLETRANSLATE(E22, ""en"", ""hi"")"),"A) हमलों का समय")</f>
        <v>A) हमलों का समय</v>
      </c>
    </row>
    <row r="23" ht="22.5" customHeight="1">
      <c r="A23" s="2">
        <v>22.0</v>
      </c>
      <c r="B23" s="3" t="s">
        <v>5277</v>
      </c>
      <c r="C23" s="3" t="s">
        <v>5281</v>
      </c>
      <c r="D23" s="3" t="s">
        <v>5282</v>
      </c>
      <c r="E23" s="3" t="s">
        <v>5283</v>
      </c>
      <c r="G23" s="8" t="str">
        <f>IFERROR(__xludf.DUMMYFUNCTION("GOOGLETRANSLATE(A23, ""en"", ""hi"")"),"22")</f>
        <v>22</v>
      </c>
      <c r="H23" s="8" t="str">
        <f>IFERROR(__xludf.DUMMYFUNCTION("GOOGLETRANSLATE(B23, ""en"", ""hi"")"),"मुकना_6")</f>
        <v>मुकना_6</v>
      </c>
      <c r="I23" s="8" t="str">
        <f>IFERROR(__xludf.DUMMYFUNCTION("GOOGLETRANSLATE(C23, ""en"", ""hi"")"),"चित्र में, मुकना खिलाड़ियों द्वारा अक्सर किस प्रकार के सहायक उपकरण का उपयोग किया जाता है?")</f>
        <v>चित्र में, मुकना खिलाड़ियों द्वारा अक्सर किस प्रकार के सहायक उपकरण का उपयोग किया जाता है?</v>
      </c>
      <c r="J23" s="8" t="str">
        <f>IFERROR(__xludf.DUMMYFUNCTION("GOOGLETRANSLATE(D23, ""en"", ""hi"")"),"ए) घुटने के गार्ड, बी) हेडगियर, सी) कलाई बैंड, डी) पिंडली गार्ड")</f>
        <v>ए) घुटने के गार्ड, बी) हेडगियर, सी) कलाई बैंड, डी) पिंडली गार्ड</v>
      </c>
      <c r="K23" s="8" t="str">
        <f>IFERROR(__xludf.DUMMYFUNCTION("GOOGLETRANSLATE(E23, ""en"", ""hi"")"),"ए) घुटने के गार्ड")</f>
        <v>ए) घुटने के गार्ड</v>
      </c>
    </row>
    <row r="24" ht="22.5" customHeight="1">
      <c r="A24" s="2">
        <v>23.0</v>
      </c>
      <c r="B24" s="3" t="s">
        <v>5277</v>
      </c>
      <c r="C24" s="3" t="s">
        <v>5284</v>
      </c>
      <c r="D24" s="3" t="s">
        <v>5285</v>
      </c>
      <c r="E24" s="3" t="s">
        <v>5286</v>
      </c>
      <c r="G24" s="8" t="str">
        <f>IFERROR(__xludf.DUMMYFUNCTION("GOOGLETRANSLATE(A24, ""en"", ""hi"")"),"23")</f>
        <v>23</v>
      </c>
      <c r="H24" s="8" t="str">
        <f>IFERROR(__xludf.DUMMYFUNCTION("GOOGLETRANSLATE(B24, ""en"", ""hi"")"),"मुकना_6")</f>
        <v>मुकना_6</v>
      </c>
      <c r="I24" s="8" t="str">
        <f>IFERROR(__xludf.DUMMYFUNCTION("GOOGLETRANSLATE(C24, ""en"", ""hi"")"),"चित्र में दिखाए गए खेल के लिए, लाभ प्राप्त करने हेतु निम्नलिखित में से कौन सी तकनीक सामान्य है?")</f>
        <v>चित्र में दिखाए गए खेल के लिए, लाभ प्राप्त करने हेतु निम्नलिखित में से कौन सी तकनीक सामान्य है?</v>
      </c>
      <c r="J24" s="8" t="str">
        <f>IFERROR(__xludf.DUMMYFUNCTION("GOOGLETRANSLATE(D24, ""en"", ""hi"")"),"A) त्वरित फुटवर्क, B) मजबूत पकड़, C) आक्रामक रुख, D) सटीक प्रहार")</f>
        <v>A) त्वरित फुटवर्क, B) मजबूत पकड़, C) आक्रामक रुख, D) सटीक प्रहार</v>
      </c>
      <c r="K24" s="8" t="str">
        <f>IFERROR(__xludf.DUMMYFUNCTION("GOOGLETRANSLATE(E24, ""en"", ""hi"")"),"A) त्वरित फुटवर्क")</f>
        <v>A) त्वरित फुटवर्क</v>
      </c>
    </row>
    <row r="25" ht="22.5" customHeight="1">
      <c r="A25" s="2">
        <v>24.0</v>
      </c>
      <c r="B25" s="3" t="s">
        <v>5277</v>
      </c>
      <c r="C25" s="3" t="s">
        <v>5287</v>
      </c>
      <c r="D25" s="3" t="s">
        <v>5288</v>
      </c>
      <c r="E25" s="3" t="s">
        <v>5289</v>
      </c>
      <c r="G25" s="8" t="str">
        <f>IFERROR(__xludf.DUMMYFUNCTION("GOOGLETRANSLATE(A25, ""en"", ""hi"")"),"24")</f>
        <v>24</v>
      </c>
      <c r="H25" s="8" t="str">
        <f>IFERROR(__xludf.DUMMYFUNCTION("GOOGLETRANSLATE(B25, ""en"", ""hi"")"),"मुकना_6")</f>
        <v>मुकना_6</v>
      </c>
      <c r="I25" s="8" t="str">
        <f>IFERROR(__xludf.DUMMYFUNCTION("GOOGLETRANSLATE(C25, ""en"", ""hi"")"),"चित्र में, मुकना वादकों के लिए कौन सा कौशल आवश्यक है?")</f>
        <v>चित्र में, मुकना वादकों के लिए कौन सा कौशल आवश्यक है?</v>
      </c>
      <c r="J25" s="8" t="str">
        <f>IFERROR(__xludf.DUMMYFUNCTION("GOOGLETRANSLATE(D25, ""en"", ""hi"")"),"A) ग्रैपलिंग और कुश्ती तकनीक, B) किकिंग सटीकता, C) लंबी दूरी की दौड़, D) ऊंची कूद")</f>
        <v>A) ग्रैपलिंग और कुश्ती तकनीक, B) किकिंग सटीकता, C) लंबी दूरी की दौड़, D) ऊंची कूद</v>
      </c>
      <c r="K25" s="8" t="str">
        <f>IFERROR(__xludf.DUMMYFUNCTION("GOOGLETRANSLATE(E25, ""en"", ""hi"")"),"A) हाथापाई और कुश्ती तकनीकें")</f>
        <v>A) हाथापाई और कुश्ती तकनीकें</v>
      </c>
    </row>
    <row r="26" ht="22.5" customHeight="1">
      <c r="A26" s="2">
        <v>25.0</v>
      </c>
      <c r="B26" s="3" t="s">
        <v>5290</v>
      </c>
      <c r="C26" s="3" t="s">
        <v>5291</v>
      </c>
      <c r="D26" s="3" t="s">
        <v>5292</v>
      </c>
      <c r="E26" s="3" t="s">
        <v>5293</v>
      </c>
      <c r="G26" s="8" t="str">
        <f>IFERROR(__xludf.DUMMYFUNCTION("GOOGLETRANSLATE(A26, ""en"", ""hi"")"),"25")</f>
        <v>25</v>
      </c>
      <c r="H26" s="8" t="str">
        <f>IFERROR(__xludf.DUMMYFUNCTION("GOOGLETRANSLATE(B26, ""en"", ""hi"")"),"मुकना_7")</f>
        <v>मुकना_7</v>
      </c>
      <c r="I26" s="8" t="str">
        <f>IFERROR(__xludf.DUMMYFUNCTION("GOOGLETRANSLATE(C26, ""en"", ""hi"")"),"चित्र में दर्शाए गए खेल के लिए, मुकना खेलने के लिए आमतौर पर किस प्रकार की सतह से परहेज किया जाता है?")</f>
        <v>चित्र में दर्शाए गए खेल के लिए, मुकना खेलने के लिए आमतौर पर किस प्रकार की सतह से परहेज किया जाता है?</v>
      </c>
      <c r="J26" s="8" t="str">
        <f>IFERROR(__xludf.DUMMYFUNCTION("GOOGLETRANSLATE(D26, ""en"", ""hi"")"),"A) मुलायम घास, B) कठोर कंक्रीट, C) रेत, D) इनडोर मैट")</f>
        <v>A) मुलायम घास, B) कठोर कंक्रीट, C) रेत, D) इनडोर मैट</v>
      </c>
      <c r="K26" s="8" t="str">
        <f>IFERROR(__xludf.DUMMYFUNCTION("GOOGLETRANSLATE(E26, ""en"", ""hi"")"),"बी) कठोर कंक्रीट")</f>
        <v>बी) कठोर कंक्रीट</v>
      </c>
    </row>
    <row r="27" ht="22.5" customHeight="1">
      <c r="A27" s="2">
        <v>26.0</v>
      </c>
      <c r="B27" s="3" t="s">
        <v>5290</v>
      </c>
      <c r="C27" s="3" t="s">
        <v>5294</v>
      </c>
      <c r="D27" s="3" t="s">
        <v>5295</v>
      </c>
      <c r="E27" s="3" t="s">
        <v>1866</v>
      </c>
      <c r="G27" s="8" t="str">
        <f>IFERROR(__xludf.DUMMYFUNCTION("GOOGLETRANSLATE(A27, ""en"", ""hi"")"),"26")</f>
        <v>26</v>
      </c>
      <c r="H27" s="8" t="str">
        <f>IFERROR(__xludf.DUMMYFUNCTION("GOOGLETRANSLATE(B27, ""en"", ""hi"")"),"मुकना_7")</f>
        <v>मुकना_7</v>
      </c>
      <c r="I27" s="8" t="str">
        <f>IFERROR(__xludf.DUMMYFUNCTION("GOOGLETRANSLATE(C27, ""en"", ""hi"")"),"चित्र में, मुकना मैच में प्रत्येक राउंड की सामान्य अवधि क्या है?")</f>
        <v>चित्र में, मुकना मैच में प्रत्येक राउंड की सामान्य अवधि क्या है?</v>
      </c>
      <c r="J27" s="8" t="str">
        <f>IFERROR(__xludf.DUMMYFUNCTION("GOOGLETRANSLATE(D27, ""en"", ""hi"")"),"A) 2 मिनट, B) 5 मिनट, C) 10 मिनट, D) 15 मिनट")</f>
        <v>A) 2 मिनट, B) 5 मिनट, C) 10 मिनट, D) 15 मिनट</v>
      </c>
      <c r="K27" s="8" t="str">
        <f>IFERROR(__xludf.DUMMYFUNCTION("GOOGLETRANSLATE(E27, ""en"", ""hi"")"),"बी) 5 मिनट")</f>
        <v>बी) 5 मिनट</v>
      </c>
    </row>
    <row r="28" ht="22.5" customHeight="1">
      <c r="A28" s="2">
        <v>27.0</v>
      </c>
      <c r="B28" s="3" t="s">
        <v>5290</v>
      </c>
      <c r="C28" s="3" t="s">
        <v>5296</v>
      </c>
      <c r="D28" s="3" t="s">
        <v>5297</v>
      </c>
      <c r="E28" s="3" t="s">
        <v>5298</v>
      </c>
      <c r="G28" s="8" t="str">
        <f>IFERROR(__xludf.DUMMYFUNCTION("GOOGLETRANSLATE(A28, ""en"", ""hi"")"),"27")</f>
        <v>27</v>
      </c>
      <c r="H28" s="8" t="str">
        <f>IFERROR(__xludf.DUMMYFUNCTION("GOOGLETRANSLATE(B28, ""en"", ""hi"")"),"मुकना_7")</f>
        <v>मुकना_7</v>
      </c>
      <c r="I28" s="8" t="str">
        <f>IFERROR(__xludf.DUMMYFUNCTION("GOOGLETRANSLATE(C28, ""en"", ""hi"")"),"चित्र में दिखाए गए खेल के लिए, मुकना मैच के दौरान सबसे आम मुद्रा क्या है?")</f>
        <v>चित्र में दिखाए गए खेल के लिए, मुकना मैच के दौरान सबसे आम मुद्रा क्या है?</v>
      </c>
      <c r="J28" s="8" t="str">
        <f>IFERROR(__xludf.DUMMYFUNCTION("GOOGLETRANSLATE(D28, ""en"", ""hi"")"),"A) सीधा खड़ा होना, B) झुकी हुई स्थिति, C) घुटने टेकना, D) लेटना")</f>
        <v>A) सीधा खड़ा होना, B) झुकी हुई स्थिति, C) घुटने टेकना, D) लेटना</v>
      </c>
      <c r="K28" s="8" t="str">
        <f>IFERROR(__xludf.DUMMYFUNCTION("GOOGLETRANSLATE(E28, ""en"", ""hi"")"),"बी) झुकी हुई स्थिति")</f>
        <v>बी) झुकी हुई स्थिति</v>
      </c>
    </row>
    <row r="29" ht="22.5" customHeight="1">
      <c r="A29" s="2">
        <v>28.0</v>
      </c>
      <c r="B29" s="3" t="s">
        <v>5290</v>
      </c>
      <c r="C29" s="3" t="s">
        <v>5299</v>
      </c>
      <c r="D29" s="3" t="s">
        <v>5300</v>
      </c>
      <c r="E29" s="3" t="s">
        <v>5301</v>
      </c>
      <c r="G29" s="8" t="str">
        <f>IFERROR(__xludf.DUMMYFUNCTION("GOOGLETRANSLATE(A29, ""en"", ""hi"")"),"28")</f>
        <v>28</v>
      </c>
      <c r="H29" s="8" t="str">
        <f>IFERROR(__xludf.DUMMYFUNCTION("GOOGLETRANSLATE(B29, ""en"", ""hi"")"),"मुकना_7")</f>
        <v>मुकना_7</v>
      </c>
      <c r="I29" s="8" t="str">
        <f>IFERROR(__xludf.DUMMYFUNCTION("GOOGLETRANSLATE(C29, ""en"", ""hi"")"),"चित्र में, मुकना के लिए आमतौर पर किस प्रकार के जूते की सिफारिश नहीं की जाती है?")</f>
        <v>चित्र में, मुकना के लिए आमतौर पर किस प्रकार के जूते की सिफारिश नहीं की जाती है?</v>
      </c>
      <c r="J29" s="8" t="str">
        <f>IFERROR(__xludf.DUMMYFUNCTION("GOOGLETRANSLATE(D29, ""en"", ""hi"")"),"A) नंगे पांव, B) स्पोर्ट्स शूज़, C) सैंडल, D) क्लीट्स")</f>
        <v>A) नंगे पांव, B) स्पोर्ट्स शूज़, C) सैंडल, D) क्लीट्स</v>
      </c>
      <c r="K29" s="8" t="str">
        <f>IFERROR(__xludf.DUMMYFUNCTION("GOOGLETRANSLATE(E29, ""en"", ""hi"")"),"डी) क्लीट्स")</f>
        <v>डी) क्लीट्स</v>
      </c>
    </row>
    <row r="30" ht="22.5" customHeight="1">
      <c r="A30" s="2">
        <v>29.0</v>
      </c>
      <c r="B30" s="3" t="s">
        <v>5302</v>
      </c>
      <c r="C30" s="3" t="s">
        <v>5303</v>
      </c>
      <c r="D30" s="3" t="s">
        <v>5304</v>
      </c>
      <c r="E30" s="3" t="s">
        <v>5305</v>
      </c>
      <c r="G30" s="8" t="str">
        <f>IFERROR(__xludf.DUMMYFUNCTION("GOOGLETRANSLATE(A30, ""en"", ""hi"")"),"29")</f>
        <v>29</v>
      </c>
      <c r="H30" s="8" t="str">
        <f>IFERROR(__xludf.DUMMYFUNCTION("GOOGLETRANSLATE(B30, ""en"", ""hi"")"),"मुकना_8")</f>
        <v>मुकना_8</v>
      </c>
      <c r="I30" s="8" t="str">
        <f>IFERROR(__xludf.DUMMYFUNCTION("GOOGLETRANSLATE(C30, ""en"", ""hi"")"),"चित्र में दर्शाए गए खेल के लिए प्रशिक्षण सत्रों का प्राथमिक फोकस क्या है?")</f>
        <v>चित्र में दर्शाए गए खेल के लिए प्रशिक्षण सत्रों का प्राथमिक फोकस क्या है?</v>
      </c>
      <c r="J30" s="8" t="str">
        <f>IFERROR(__xludf.DUMMYFUNCTION("GOOGLETRANSLATE(D30, ""en"", ""hi"")"),"A) तकनीक सुधार, B) शक्ति निर्माण, C) सहनशक्ति, D) लचीलापन")</f>
        <v>A) तकनीक सुधार, B) शक्ति निर्माण, C) सहनशक्ति, D) लचीलापन</v>
      </c>
      <c r="K30" s="8" t="str">
        <f>IFERROR(__xludf.DUMMYFUNCTION("GOOGLETRANSLATE(E30, ""en"", ""hi"")"),"ए) तकनीक में सुधार")</f>
        <v>ए) तकनीक में सुधार</v>
      </c>
    </row>
    <row r="31" ht="22.5" customHeight="1">
      <c r="A31" s="2">
        <v>30.0</v>
      </c>
      <c r="B31" s="3" t="s">
        <v>5302</v>
      </c>
      <c r="C31" s="3" t="s">
        <v>5306</v>
      </c>
      <c r="D31" s="3" t="s">
        <v>5307</v>
      </c>
      <c r="E31" s="3" t="s">
        <v>5308</v>
      </c>
      <c r="G31" s="8" t="str">
        <f>IFERROR(__xludf.DUMMYFUNCTION("GOOGLETRANSLATE(A31, ""en"", ""hi"")"),"30")</f>
        <v>30</v>
      </c>
      <c r="H31" s="8" t="str">
        <f>IFERROR(__xludf.DUMMYFUNCTION("GOOGLETRANSLATE(B31, ""en"", ""hi"")"),"मुकना_8")</f>
        <v>मुकना_8</v>
      </c>
      <c r="I31" s="8" t="str">
        <f>IFERROR(__xludf.DUMMYFUNCTION("GOOGLETRANSLATE(C31, ""en"", ""hi"")"),"चित्र में मुकना प्रतियोगिताओं की विशिष्ट विशेषता क्या है?")</f>
        <v>चित्र में मुकना प्रतियोगिताओं की विशिष्ट विशेषता क्या है?</v>
      </c>
      <c r="J31" s="8" t="str">
        <f>IFERROR(__xludf.DUMMYFUNCTION("GOOGLETRANSLATE(D31, ""en"", ""hi"")"),"ए) एकल उन्मूलन प्रारूप, बी) राउंड-रॉबिन प्रारूप, सी) टीम-आधारित मैच, डी) व्यक्तिगत मैच")</f>
        <v>ए) एकल उन्मूलन प्रारूप, बी) राउंड-रॉबिन प्रारूप, सी) टीम-आधारित मैच, डी) व्यक्तिगत मैच</v>
      </c>
      <c r="K31" s="8" t="str">
        <f>IFERROR(__xludf.DUMMYFUNCTION("GOOGLETRANSLATE(E31, ""en"", ""hi"")"),"डी) व्यक्तिगत मैच")</f>
        <v>डी) व्यक्तिगत मैच</v>
      </c>
    </row>
    <row r="32" ht="22.5" customHeight="1">
      <c r="A32" s="2">
        <v>31.0</v>
      </c>
      <c r="B32" s="3" t="s">
        <v>5302</v>
      </c>
      <c r="C32" s="3" t="s">
        <v>5309</v>
      </c>
      <c r="D32" s="3" t="s">
        <v>5310</v>
      </c>
      <c r="E32" s="3" t="s">
        <v>5311</v>
      </c>
      <c r="G32" s="8" t="str">
        <f>IFERROR(__xludf.DUMMYFUNCTION("GOOGLETRANSLATE(A32, ""en"", ""hi"")"),"31")</f>
        <v>31</v>
      </c>
      <c r="H32" s="8" t="str">
        <f>IFERROR(__xludf.DUMMYFUNCTION("GOOGLETRANSLATE(B32, ""en"", ""hi"")"),"मुकना_8")</f>
        <v>मुकना_8</v>
      </c>
      <c r="I32" s="8" t="str">
        <f>IFERROR(__xludf.DUMMYFUNCTION("GOOGLETRANSLATE(C32, ""en"", ""hi"")"),"चित्र में दिखाए गए खेल के लिए, मैच के दौरान सबसे आम चोट का उपचार क्या है?")</f>
        <v>चित्र में दिखाए गए खेल के लिए, मैच के दौरान सबसे आम चोट का उपचार क्या है?</v>
      </c>
      <c r="J32" s="8" t="str">
        <f>IFERROR(__xludf.DUMMYFUNCTION("GOOGLETRANSLATE(D32, ""en"", ""hi"")"),"A) बर्फ की पट्टियाँ, B) पट्टियाँ, C) आराम, D) दर्द निवारक")</f>
        <v>A) बर्फ की पट्टियाँ, B) पट्टियाँ, C) आराम, D) दर्द निवारक</v>
      </c>
      <c r="K32" s="8" t="str">
        <f>IFERROR(__xludf.DUMMYFUNCTION("GOOGLETRANSLATE(E32, ""en"", ""hi"")"),"ए) आइस पैक")</f>
        <v>ए) आइस पैक</v>
      </c>
    </row>
    <row r="33" ht="22.5" customHeight="1">
      <c r="A33" s="2">
        <v>32.0</v>
      </c>
      <c r="B33" s="3" t="s">
        <v>5302</v>
      </c>
      <c r="C33" s="3" t="s">
        <v>5312</v>
      </c>
      <c r="D33" s="3" t="s">
        <v>5313</v>
      </c>
      <c r="E33" s="3" t="s">
        <v>5314</v>
      </c>
      <c r="G33" s="8" t="str">
        <f>IFERROR(__xludf.DUMMYFUNCTION("GOOGLETRANSLATE(A33, ""en"", ""hi"")"),"32")</f>
        <v>32</v>
      </c>
      <c r="H33" s="8" t="str">
        <f>IFERROR(__xludf.DUMMYFUNCTION("GOOGLETRANSLATE(B33, ""en"", ""hi"")"),"मुकना_8")</f>
        <v>मुकना_8</v>
      </c>
      <c r="I33" s="8" t="str">
        <f>IFERROR(__xludf.DUMMYFUNCTION("GOOGLETRANSLATE(C33, ""en"", ""hi"")"),"चित्र में, मुकना मैच के दौरान रेफरी की सामान्य स्थिति क्या है?")</f>
        <v>चित्र में, मुकना मैच के दौरान रेफरी की सामान्य स्थिति क्या है?</v>
      </c>
      <c r="J33" s="8" t="str">
        <f>IFERROR(__xludf.DUMMYFUNCTION("GOOGLETRANSLATE(D33, ""en"", ""hi"")"),"A) अखाड़े के बाहर, B) अखाड़े के किनारे पर, C) अखाड़े के अंदर, D) ऊंचा मंच")</f>
        <v>A) अखाड़े के बाहर, B) अखाड़े के किनारे पर, C) अखाड़े के अंदर, D) ऊंचा मंच</v>
      </c>
      <c r="K33" s="8" t="str">
        <f>IFERROR(__xludf.DUMMYFUNCTION("GOOGLETRANSLATE(E33, ""en"", ""hi"")"),"C) अखाड़े के अंदर")</f>
        <v>C) अखाड़े के अंदर</v>
      </c>
    </row>
    <row r="34" ht="22.5" customHeight="1">
      <c r="A34" s="2">
        <v>33.0</v>
      </c>
      <c r="B34" s="3" t="s">
        <v>5315</v>
      </c>
      <c r="C34" s="3" t="s">
        <v>5316</v>
      </c>
      <c r="D34" s="3" t="s">
        <v>5317</v>
      </c>
      <c r="E34" s="3" t="s">
        <v>5318</v>
      </c>
      <c r="G34" s="8" t="str">
        <f>IFERROR(__xludf.DUMMYFUNCTION("GOOGLETRANSLATE(A34, ""en"", ""hi"")"),"33")</f>
        <v>33</v>
      </c>
      <c r="H34" s="8" t="str">
        <f>IFERROR(__xludf.DUMMYFUNCTION("GOOGLETRANSLATE(B34, ""en"", ""hi"")"),"मुकना_9")</f>
        <v>मुकना_9</v>
      </c>
      <c r="I34" s="8" t="str">
        <f>IFERROR(__xludf.DUMMYFUNCTION("GOOGLETRANSLATE(C34, ""en"", ""hi"")"),"चित्र में दर्शाए गए खेल के लिए, खिलाड़ियों के लिए मैच से पहले की सामान्य रस्म क्या है?")</f>
        <v>चित्र में दर्शाए गए खेल के लिए, खिलाड़ियों के लिए मैच से पहले की सामान्य रस्म क्या है?</v>
      </c>
      <c r="J34" s="8" t="str">
        <f>IFERROR(__xludf.DUMMYFUNCTION("GOOGLETRANSLATE(D34, ""en"", ""hi"")"),"A) वार्म-अप व्यायाम, B) मानसिक तैयारी, C) रणनीति की समीक्षा, D) विशेष भोजन खाना")</f>
        <v>A) वार्म-अप व्यायाम, B) मानसिक तैयारी, C) रणनीति की समीक्षा, D) विशेष भोजन खाना</v>
      </c>
      <c r="K34" s="8" t="str">
        <f>IFERROR(__xludf.DUMMYFUNCTION("GOOGLETRANSLATE(E34, ""en"", ""hi"")"),"ए) वार्म-अप व्यायाम")</f>
        <v>ए) वार्म-अप व्यायाम</v>
      </c>
    </row>
    <row r="35" ht="22.5" customHeight="1">
      <c r="A35" s="2">
        <v>34.0</v>
      </c>
      <c r="B35" s="3" t="s">
        <v>5315</v>
      </c>
      <c r="C35" s="3" t="s">
        <v>5319</v>
      </c>
      <c r="D35" s="3" t="s">
        <v>740</v>
      </c>
      <c r="E35" s="3" t="s">
        <v>741</v>
      </c>
      <c r="G35" s="8" t="str">
        <f>IFERROR(__xludf.DUMMYFUNCTION("GOOGLETRANSLATE(A35, ""en"", ""hi"")"),"34")</f>
        <v>34</v>
      </c>
      <c r="H35" s="8" t="str">
        <f>IFERROR(__xludf.DUMMYFUNCTION("GOOGLETRANSLATE(B35, ""en"", ""hi"")"),"मुकना_9")</f>
        <v>मुकना_9</v>
      </c>
      <c r="I35" s="8" t="str">
        <f>IFERROR(__xludf.DUMMYFUNCTION("GOOGLETRANSLATE(C35, ""en"", ""hi"")"),"चित्र में, मुकना मैच में राउंड की सामान्य संख्या क्या है?")</f>
        <v>चित्र में, मुकना मैच में राउंड की सामान्य संख्या क्या है?</v>
      </c>
      <c r="J35" s="8" t="str">
        <f>IFERROR(__xludf.DUMMYFUNCTION("GOOGLETRANSLATE(D35, ""en"", ""hi"")"),"A) एक, B) दो, C) तीन, D) चार")</f>
        <v>A) एक, B) दो, C) तीन, D) चार</v>
      </c>
      <c r="K35" s="8" t="str">
        <f>IFERROR(__xludf.DUMMYFUNCTION("GOOGLETRANSLATE(E35, ""en"", ""hi"")"),"बी) दो")</f>
        <v>बी) दो</v>
      </c>
    </row>
    <row r="36" ht="22.5" customHeight="1">
      <c r="A36" s="2">
        <v>35.0</v>
      </c>
      <c r="B36" s="3" t="s">
        <v>5315</v>
      </c>
      <c r="C36" s="3" t="s">
        <v>5320</v>
      </c>
      <c r="D36" s="3" t="s">
        <v>5321</v>
      </c>
      <c r="E36" s="3" t="s">
        <v>5322</v>
      </c>
      <c r="G36" s="8" t="str">
        <f>IFERROR(__xludf.DUMMYFUNCTION("GOOGLETRANSLATE(A36, ""en"", ""hi"")"),"35")</f>
        <v>35</v>
      </c>
      <c r="H36" s="8" t="str">
        <f>IFERROR(__xludf.DUMMYFUNCTION("GOOGLETRANSLATE(B36, ""en"", ""hi"")"),"मुकना_9")</f>
        <v>मुकना_9</v>
      </c>
      <c r="I36" s="8" t="str">
        <f>IFERROR(__xludf.DUMMYFUNCTION("GOOGLETRANSLATE(C36, ""en"", ""hi"")"),"चित्र में दिखाए गए खेल के लिए, प्रदर्शन को बढ़ाने हेतु प्राथमिक प्रशिक्षण फोकस क्या है?")</f>
        <v>चित्र में दिखाए गए खेल के लिए, प्रदर्शन को बढ़ाने हेतु प्राथमिक प्रशिक्षण फोकस क्या है?</v>
      </c>
      <c r="J36" s="8" t="str">
        <f>IFERROR(__xludf.DUMMYFUNCTION("GOOGLETRANSLATE(D36, ""en"", ""hi"")"),"A) कोर ताकत, B) चपलता, C) लचीलापन, D) धीरज")</f>
        <v>A) कोर ताकत, B) चपलता, C) लचीलापन, D) धीरज</v>
      </c>
      <c r="K36" s="8" t="str">
        <f>IFERROR(__xludf.DUMMYFUNCTION("GOOGLETRANSLATE(E36, ""en"", ""hi"")"),"A) कोर ताकत")</f>
        <v>A) कोर ताकत</v>
      </c>
    </row>
    <row r="37" ht="22.5" customHeight="1">
      <c r="A37" s="2">
        <v>36.0</v>
      </c>
      <c r="B37" s="3" t="s">
        <v>5315</v>
      </c>
      <c r="C37" s="3" t="s">
        <v>5323</v>
      </c>
      <c r="D37" s="3" t="s">
        <v>5324</v>
      </c>
      <c r="E37" s="3" t="s">
        <v>5325</v>
      </c>
      <c r="G37" s="8" t="str">
        <f>IFERROR(__xludf.DUMMYFUNCTION("GOOGLETRANSLATE(A37, ""en"", ""hi"")"),"36")</f>
        <v>36</v>
      </c>
      <c r="H37" s="8" t="str">
        <f>IFERROR(__xludf.DUMMYFUNCTION("GOOGLETRANSLATE(B37, ""en"", ""hi"")"),"मुकना_9")</f>
        <v>मुकना_9</v>
      </c>
      <c r="I37" s="8" t="str">
        <f>IFERROR(__xludf.DUMMYFUNCTION("GOOGLETRANSLATE(C37, ""en"", ""hi"")"),"चित्र में, मुकना में कोच की क्या भूमिका है?")</f>
        <v>चित्र में, मुकना में कोच की क्या भूमिका है?</v>
      </c>
      <c r="J37" s="8" t="str">
        <f>IFERROR(__xludf.DUMMYFUNCTION("GOOGLETRANSLATE(D37, ""en"", ""hi"")"),"A) खिलाड़ियों को प्रशिक्षित करना और रणनीति विकसित करना, B) मैचों का संचालन करना, C) कार्यक्रम आयोजित करना, D) टीम लॉजिस्टिक्स का प्रबंधन करना")</f>
        <v>A) खिलाड़ियों को प्रशिक्षित करना और रणनीति विकसित करना, B) मैचों का संचालन करना, C) कार्यक्रम आयोजित करना, D) टीम लॉजिस्टिक्स का प्रबंधन करना</v>
      </c>
      <c r="K37" s="8" t="str">
        <f>IFERROR(__xludf.DUMMYFUNCTION("GOOGLETRANSLATE(E37, ""en"", ""hi"")"),"A) खिलाड़ियों को प्रशिक्षित करना और रणनीति विकसित करना")</f>
        <v>A) खिलाड़ियों को प्रशिक्षित करना और रणनीति विकसित करना</v>
      </c>
    </row>
    <row r="38" ht="22.5" customHeight="1">
      <c r="A38" s="2">
        <v>37.0</v>
      </c>
      <c r="B38" s="3" t="s">
        <v>5326</v>
      </c>
      <c r="C38" s="3" t="s">
        <v>5327</v>
      </c>
      <c r="D38" s="3" t="s">
        <v>5328</v>
      </c>
      <c r="E38" s="3" t="s">
        <v>113</v>
      </c>
      <c r="G38" s="8" t="str">
        <f>IFERROR(__xludf.DUMMYFUNCTION("GOOGLETRANSLATE(A38, ""en"", ""hi"")"),"37")</f>
        <v>37</v>
      </c>
      <c r="H38" s="8" t="str">
        <f>IFERROR(__xludf.DUMMYFUNCTION("GOOGLETRANSLATE(B38, ""en"", ""hi"")"),"मुकना_10")</f>
        <v>मुकना_10</v>
      </c>
      <c r="I38" s="8" t="str">
        <f>IFERROR(__xludf.DUMMYFUNCTION("GOOGLETRANSLATE(C38, ""en"", ""hi"")"),"चित्र में दर्शाए गए खेल के लिए, मुकना के लिए किस प्रकार की सतह आदर्श है?")</f>
        <v>चित्र में दर्शाए गए खेल के लिए, मुकना के लिए किस प्रकार की सतह आदर्श है?</v>
      </c>
      <c r="J38" s="8" t="str">
        <f>IFERROR(__xludf.DUMMYFUNCTION("GOOGLETRANSLATE(D38, ""en"", ""hi"")"),"A) घास, B) रेत, C) लकड़ी, D) रबर")</f>
        <v>A) घास, B) रेत, C) लकड़ी, D) रबर</v>
      </c>
      <c r="K38" s="8" t="str">
        <f>IFERROR(__xludf.DUMMYFUNCTION("GOOGLETRANSLATE(E38, ""en"", ""hi"")"),"बी) रेत")</f>
        <v>बी) रेत</v>
      </c>
    </row>
    <row r="39" ht="22.5" customHeight="1">
      <c r="A39" s="2">
        <v>38.0</v>
      </c>
      <c r="B39" s="3" t="s">
        <v>5326</v>
      </c>
      <c r="C39" s="3" t="s">
        <v>5329</v>
      </c>
      <c r="D39" s="3" t="s">
        <v>5330</v>
      </c>
      <c r="E39" s="3" t="s">
        <v>5197</v>
      </c>
      <c r="G39" s="8" t="str">
        <f>IFERROR(__xludf.DUMMYFUNCTION("GOOGLETRANSLATE(A39, ""en"", ""hi"")"),"38")</f>
        <v>38</v>
      </c>
      <c r="H39" s="8" t="str">
        <f>IFERROR(__xludf.DUMMYFUNCTION("GOOGLETRANSLATE(B39, ""en"", ""hi"")"),"मुकना_10")</f>
        <v>मुकना_10</v>
      </c>
      <c r="I39" s="8" t="str">
        <f>IFERROR(__xludf.DUMMYFUNCTION("GOOGLETRANSLATE(C39, ""en"", ""hi"")"),"चित्र में, मुकना मैच से पहले किस तरह की स्ट्रेचिंग की सिफारिश की जाती है?")</f>
        <v>चित्र में, मुकना मैच से पहले किस तरह की स्ट्रेचिंग की सिफारिश की जाती है?</v>
      </c>
      <c r="J39" s="8" t="str">
        <f>IFERROR(__xludf.DUMMYFUNCTION("GOOGLETRANSLATE(D39, ""en"", ""hi"")"),"ए) स्टेटिक स्ट्रेचिंग, बी) डायनेमिक स्ट्रेचिंग, सी) बैलिस्टिक स्ट्रेचिंग, डी) प्रोप्रियोसेप्टिव न्यूरोमस्कुलर फैसिलिटेशन")</f>
        <v>ए) स्टेटिक स्ट्रेचिंग, बी) डायनेमिक स्ट्रेचिंग, सी) बैलिस्टिक स्ट्रेचिंग, डी) प्रोप्रियोसेप्टिव न्यूरोमस्कुलर फैसिलिटेशन</v>
      </c>
      <c r="K39" s="8" t="str">
        <f>IFERROR(__xludf.DUMMYFUNCTION("GOOGLETRANSLATE(E39, ""en"", ""hi"")"),"बी) गतिशील स्ट्रेचिंग")</f>
        <v>बी) गतिशील स्ट्रेचिंग</v>
      </c>
    </row>
    <row r="40" ht="22.5" customHeight="1">
      <c r="A40" s="2">
        <v>39.0</v>
      </c>
      <c r="B40" s="3" t="s">
        <v>5326</v>
      </c>
      <c r="C40" s="3" t="s">
        <v>5331</v>
      </c>
      <c r="D40" s="3" t="s">
        <v>5332</v>
      </c>
      <c r="E40" s="3" t="s">
        <v>5333</v>
      </c>
      <c r="G40" s="8" t="str">
        <f>IFERROR(__xludf.DUMMYFUNCTION("GOOGLETRANSLATE(A40, ""en"", ""hi"")"),"39")</f>
        <v>39</v>
      </c>
      <c r="H40" s="8" t="str">
        <f>IFERROR(__xludf.DUMMYFUNCTION("GOOGLETRANSLATE(B40, ""en"", ""hi"")"),"मुकना_10")</f>
        <v>मुकना_10</v>
      </c>
      <c r="I40" s="8" t="str">
        <f>IFERROR(__xludf.DUMMYFUNCTION("GOOGLETRANSLATE(C40, ""en"", ""hi"")"),"चित्र में दिखाए गए खेल के लिए पारंपरिक पोशाक का उद्देश्य क्या है?")</f>
        <v>चित्र में दिखाए गए खेल के लिए पारंपरिक पोशाक का उद्देश्य क्या है?</v>
      </c>
      <c r="J40" s="8" t="str">
        <f>IFERROR(__xludf.DUMMYFUNCTION("GOOGLETRANSLATE(D40, ""en"", ""hi"")"),"A) आराम प्रदान करने के लिए, B) टीम की पहचान दिखाने के लिए, C) सुरक्षा सुनिश्चित करने के लिए, D) प्रदर्शन बढ़ाने के लिए")</f>
        <v>A) आराम प्रदान करने के लिए, B) टीम की पहचान दिखाने के लिए, C) सुरक्षा सुनिश्चित करने के लिए, D) प्रदर्शन बढ़ाने के लिए</v>
      </c>
      <c r="K40" s="8" t="str">
        <f>IFERROR(__xludf.DUMMYFUNCTION("GOOGLETRANSLATE(E40, ""en"", ""hi"")"),"C) सुरक्षा सुनिश्चित करने के लिए")</f>
        <v>C) सुरक्षा सुनिश्चित करने के लिए</v>
      </c>
    </row>
    <row r="41" ht="22.5" customHeight="1">
      <c r="A41" s="2">
        <v>40.0</v>
      </c>
      <c r="B41" s="3" t="s">
        <v>5326</v>
      </c>
      <c r="C41" s="3" t="s">
        <v>5334</v>
      </c>
      <c r="D41" s="3" t="s">
        <v>5335</v>
      </c>
      <c r="E41" s="3" t="s">
        <v>5336</v>
      </c>
      <c r="G41" s="8" t="str">
        <f>IFERROR(__xludf.DUMMYFUNCTION("GOOGLETRANSLATE(A41, ""en"", ""hi"")"),"40")</f>
        <v>40</v>
      </c>
      <c r="H41" s="8" t="str">
        <f>IFERROR(__xludf.DUMMYFUNCTION("GOOGLETRANSLATE(B41, ""en"", ""hi"")"),"मुकना_10")</f>
        <v>मुकना_10</v>
      </c>
      <c r="I41" s="8" t="str">
        <f>IFERROR(__xludf.DUMMYFUNCTION("GOOGLETRANSLATE(C41, ""en"", ""hi"")"),"चित्र में, मुकना में लाभ प्राप्त करने के लिए प्रायः किस प्रकार की चाल का प्रयोग किया जाता है?")</f>
        <v>चित्र में, मुकना में लाभ प्राप्त करने के लिए प्रायः किस प्रकार की चाल का प्रयोग किया जाता है?</v>
      </c>
      <c r="J41" s="8" t="str">
        <f>IFERROR(__xludf.DUMMYFUNCTION("GOOGLETRANSLATE(D41, ""en"", ""hi"")"),"A) स्वीप्स, B) जैब्स, C) अपरकट्स, D) थ्रोज़")</f>
        <v>A) स्वीप्स, B) जैब्स, C) अपरकट्स, D) थ्रोज़</v>
      </c>
      <c r="K41" s="8" t="str">
        <f>IFERROR(__xludf.DUMMYFUNCTION("GOOGLETRANSLATE(E41, ""en"", ""hi"")"),"डी) फेंकता है")</f>
        <v>डी) फेंकता है</v>
      </c>
    </row>
    <row r="42" ht="22.5" customHeight="1">
      <c r="A42" s="2">
        <v>41.0</v>
      </c>
      <c r="B42" s="3" t="s">
        <v>5337</v>
      </c>
      <c r="C42" s="3" t="s">
        <v>5338</v>
      </c>
      <c r="D42" s="3" t="s">
        <v>5339</v>
      </c>
      <c r="E42" s="3" t="s">
        <v>5001</v>
      </c>
      <c r="G42" s="8" t="str">
        <f>IFERROR(__xludf.DUMMYFUNCTION("GOOGLETRANSLATE(A42, ""en"", ""hi"")"),"41")</f>
        <v>41</v>
      </c>
      <c r="H42" s="8" t="str">
        <f>IFERROR(__xludf.DUMMYFUNCTION("GOOGLETRANSLATE(B42, ""en"", ""hi"")"),"मुकना_11")</f>
        <v>मुकना_11</v>
      </c>
      <c r="I42" s="8" t="str">
        <f>IFERROR(__xludf.DUMMYFUNCTION("GOOGLETRANSLATE(C42, ""en"", ""hi"")"),"चित्र में दर्शाए गए खेल के लिए खिलाड़ी आमतौर पर चपलता के लिए कैसे प्रशिक्षण लेते हैं?")</f>
        <v>चित्र में दर्शाए गए खेल के लिए खिलाड़ी आमतौर पर चपलता के लिए कैसे प्रशिक्षण लेते हैं?</v>
      </c>
      <c r="J42" s="8" t="str">
        <f>IFERROR(__xludf.DUMMYFUNCTION("GOOGLETRANSLATE(D42, ""en"", ""hi"")"),"ए) सीढ़ी अभ्यास, बी) दूरी दौड़, सी) भारोत्तोलन, डी) लचीलापन व्यायाम")</f>
        <v>ए) सीढ़ी अभ्यास, बी) दूरी दौड़, सी) भारोत्तोलन, डी) लचीलापन व्यायाम</v>
      </c>
      <c r="K42" s="8" t="str">
        <f>IFERROR(__xludf.DUMMYFUNCTION("GOOGLETRANSLATE(E42, ""en"", ""hi"")"),"ए) सीढ़ी ड्रिल")</f>
        <v>ए) सीढ़ी ड्रिल</v>
      </c>
    </row>
    <row r="43" ht="22.5" customHeight="1">
      <c r="A43" s="2">
        <v>42.0</v>
      </c>
      <c r="B43" s="3" t="s">
        <v>5337</v>
      </c>
      <c r="C43" s="3" t="s">
        <v>5340</v>
      </c>
      <c r="D43" s="3" t="s">
        <v>5341</v>
      </c>
      <c r="E43" s="3" t="s">
        <v>5342</v>
      </c>
      <c r="G43" s="8" t="str">
        <f>IFERROR(__xludf.DUMMYFUNCTION("GOOGLETRANSLATE(A43, ""en"", ""hi"")"),"42")</f>
        <v>42</v>
      </c>
      <c r="H43" s="8" t="str">
        <f>IFERROR(__xludf.DUMMYFUNCTION("GOOGLETRANSLATE(B43, ""en"", ""hi"")"),"मुकना_11")</f>
        <v>मुकना_11</v>
      </c>
      <c r="I43" s="8" t="str">
        <f>IFERROR(__xludf.DUMMYFUNCTION("GOOGLETRANSLATE(C43, ""en"", ""hi"")"),"चित्र में मुकना अखाड़े की सामान्य विशेषता क्या है?")</f>
        <v>चित्र में मुकना अखाड़े की सामान्य विशेषता क्या है?</v>
      </c>
      <c r="J43" s="8" t="str">
        <f>IFERROR(__xludf.DUMMYFUNCTION("GOOGLETRANSLATE(D43, ""en"", ""hi"")"),"A) ऊंचा वलय, B) वृत्ताकार लेआउट, C) रेत का फर्श, D) संलग्न दीवारें")</f>
        <v>A) ऊंचा वलय, B) वृत्ताकार लेआउट, C) रेत का फर्श, D) संलग्न दीवारें</v>
      </c>
      <c r="K43" s="8" t="str">
        <f>IFERROR(__xludf.DUMMYFUNCTION("GOOGLETRANSLATE(E43, ""en"", ""hi"")"),"C) रेत का फर्श")</f>
        <v>C) रेत का फर्श</v>
      </c>
    </row>
    <row r="44" ht="22.5" customHeight="1">
      <c r="A44" s="2">
        <v>43.0</v>
      </c>
      <c r="B44" s="3" t="s">
        <v>5337</v>
      </c>
      <c r="C44" s="3" t="s">
        <v>5343</v>
      </c>
      <c r="D44" s="3" t="s">
        <v>5344</v>
      </c>
      <c r="E44" s="3" t="s">
        <v>5345</v>
      </c>
      <c r="G44" s="8" t="str">
        <f>IFERROR(__xludf.DUMMYFUNCTION("GOOGLETRANSLATE(A44, ""en"", ""hi"")"),"43")</f>
        <v>43</v>
      </c>
      <c r="H44" s="8" t="str">
        <f>IFERROR(__xludf.DUMMYFUNCTION("GOOGLETRANSLATE(B44, ""en"", ""hi"")"),"मुकना_11")</f>
        <v>मुकना_11</v>
      </c>
      <c r="I44" s="8" t="str">
        <f>IFERROR(__xludf.DUMMYFUNCTION("GOOGLETRANSLATE(C44, ""en"", ""hi"")"),"चित्र में दिखाए गए खेल के लिए, खिलाड़ियों के लिए मैच के बाद की सामान्य गतिविधि क्या है?")</f>
        <v>चित्र में दिखाए गए खेल के लिए, खिलाड़ियों के लिए मैच के बाद की सामान्य गतिविधि क्या है?</v>
      </c>
      <c r="J44" s="8" t="str">
        <f>IFERROR(__xludf.DUMMYFUNCTION("GOOGLETRANSLATE(D44, ""en"", ""hi"")"),"A) शांत होने के व्यायाम, B) मैच फुटेज का विश्लेषण, C) प्रशंसकों के साथ जश्न मनाना, D) प्रेस कॉन्फ्रेंस में भाग लेना")</f>
        <v>A) शांत होने के व्यायाम, B) मैच फुटेज का विश्लेषण, C) प्रशंसकों के साथ जश्न मनाना, D) प्रेस कॉन्फ्रेंस में भाग लेना</v>
      </c>
      <c r="K44" s="8" t="str">
        <f>IFERROR(__xludf.DUMMYFUNCTION("GOOGLETRANSLATE(E44, ""en"", ""hi"")"),"A) शांत करने वाले व्यायाम")</f>
        <v>A) शांत करने वाले व्यायाम</v>
      </c>
    </row>
    <row r="45" ht="22.5" customHeight="1">
      <c r="A45" s="2">
        <v>44.0</v>
      </c>
      <c r="B45" s="3" t="s">
        <v>5337</v>
      </c>
      <c r="C45" s="3" t="s">
        <v>5346</v>
      </c>
      <c r="D45" s="3" t="s">
        <v>5347</v>
      </c>
      <c r="E45" s="3" t="s">
        <v>5348</v>
      </c>
      <c r="G45" s="8" t="str">
        <f>IFERROR(__xludf.DUMMYFUNCTION("GOOGLETRANSLATE(A45, ""en"", ""hi"")"),"44")</f>
        <v>44</v>
      </c>
      <c r="H45" s="8" t="str">
        <f>IFERROR(__xludf.DUMMYFUNCTION("GOOGLETRANSLATE(B45, ""en"", ""hi"")"),"मुकना_11")</f>
        <v>मुकना_11</v>
      </c>
      <c r="I45" s="8" t="str">
        <f>IFERROR(__xludf.DUMMYFUNCTION("GOOGLETRANSLATE(C45, ""en"", ""hi"")"),"चित्र में, मुकना में सामान्यतः किस प्रकार की पकड़ का उपयोग किया जाता है?")</f>
        <v>चित्र में, मुकना में सामान्यतः किस प्रकार की पकड़ का उपयोग किया जाता है?</v>
      </c>
      <c r="J45" s="8" t="str">
        <f>IFERROR(__xludf.DUMMYFUNCTION("GOOGLETRANSLATE(D45, ""en"", ""hi"")"),"A) ओवरहैंड ग्रिप, B) अंडरहैंड ग्रिप, C) न्यूट्रल ग्रिप, D) पिंच ग्रिप")</f>
        <v>A) ओवरहैंड ग्रिप, B) अंडरहैंड ग्रिप, C) न्यूट्रल ग्रिप, D) पिंच ग्रिप</v>
      </c>
      <c r="K45" s="8" t="str">
        <f>IFERROR(__xludf.DUMMYFUNCTION("GOOGLETRANSLATE(E45, ""en"", ""hi"")"),"बी) अंडरहैंड ग्रिप")</f>
        <v>बी) अंडरहैंड ग्रिप</v>
      </c>
    </row>
    <row r="46" ht="22.5" customHeight="1">
      <c r="A46" s="2">
        <v>45.0</v>
      </c>
      <c r="B46" s="3" t="s">
        <v>5349</v>
      </c>
      <c r="C46" s="3" t="s">
        <v>5350</v>
      </c>
      <c r="D46" s="3" t="s">
        <v>5351</v>
      </c>
      <c r="E46" s="3" t="s">
        <v>5352</v>
      </c>
      <c r="G46" s="8" t="str">
        <f>IFERROR(__xludf.DUMMYFUNCTION("GOOGLETRANSLATE(A46, ""en"", ""hi"")"),"45")</f>
        <v>45</v>
      </c>
      <c r="H46" s="8" t="str">
        <f>IFERROR(__xludf.DUMMYFUNCTION("GOOGLETRANSLATE(B46, ""en"", ""hi"")"),"मुकना_12")</f>
        <v>मुकना_12</v>
      </c>
      <c r="I46" s="8" t="str">
        <f>IFERROR(__xludf.DUMMYFUNCTION("GOOGLETRANSLATE(C46, ""en"", ""hi"")"),"चित्र में दर्शाए गए खेल के लिए, मुकना खिलाड़ियों के लिए महत्वपूर्ण कौशल क्या है?")</f>
        <v>चित्र में दर्शाए गए खेल के लिए, मुकना खिलाड़ियों के लिए महत्वपूर्ण कौशल क्या है?</v>
      </c>
      <c r="J46" s="8" t="str">
        <f>IFERROR(__xludf.DUMMYFUNCTION("GOOGLETRANSLATE(D46, ""en"", ""hi"")"),"A) संतुलन, B) गति, C) शक्ति, D) धीरज")</f>
        <v>A) संतुलन, B) गति, C) शक्ति, D) धीरज</v>
      </c>
      <c r="K46" s="8" t="str">
        <f>IFERROR(__xludf.DUMMYFUNCTION("GOOGLETRANSLATE(E46, ""en"", ""hi"")"),"ए) संतुलन")</f>
        <v>ए) संतुलन</v>
      </c>
    </row>
    <row r="47" ht="22.5" customHeight="1">
      <c r="A47" s="2">
        <v>46.0</v>
      </c>
      <c r="B47" s="3" t="s">
        <v>5349</v>
      </c>
      <c r="C47" s="3" t="s">
        <v>5353</v>
      </c>
      <c r="D47" s="3" t="s">
        <v>5354</v>
      </c>
      <c r="E47" s="3" t="s">
        <v>5355</v>
      </c>
      <c r="G47" s="8" t="str">
        <f>IFERROR(__xludf.DUMMYFUNCTION("GOOGLETRANSLATE(A47, ""en"", ""hi"")"),"46")</f>
        <v>46</v>
      </c>
      <c r="H47" s="8" t="str">
        <f>IFERROR(__xludf.DUMMYFUNCTION("GOOGLETRANSLATE(B47, ""en"", ""hi"")"),"मुकना_12")</f>
        <v>मुकना_12</v>
      </c>
      <c r="I47" s="8" t="str">
        <f>IFERROR(__xludf.DUMMYFUNCTION("GOOGLETRANSLATE(C47, ""en"", ""hi"")"),"चित्र में, मुकना के लचीलेपन में सुधार करने का एक सामान्य तरीका क्या है?")</f>
        <v>चित्र में, मुकना के लचीलेपन में सुधार करने का एक सामान्य तरीका क्या है?</v>
      </c>
      <c r="J47" s="8" t="str">
        <f>IFERROR(__xludf.DUMMYFUNCTION("GOOGLETRANSLATE(D47, ""en"", ""hi"")"),"ए) स्ट्रेचिंग व्यायाम, बी) दौड़ने का अभ्यास, सी) भार प्रशिक्षण, डी) चपलता अभ्यास")</f>
        <v>ए) स्ट्रेचिंग व्यायाम, बी) दौड़ने का अभ्यास, सी) भार प्रशिक्षण, डी) चपलता अभ्यास</v>
      </c>
      <c r="K47" s="8" t="str">
        <f>IFERROR(__xludf.DUMMYFUNCTION("GOOGLETRANSLATE(E47, ""en"", ""hi"")"),"ए) स्ट्रेचिंग व्यायाम")</f>
        <v>ए) स्ट्रेचिंग व्यायाम</v>
      </c>
    </row>
    <row r="48" ht="22.5" customHeight="1">
      <c r="A48" s="2">
        <v>47.0</v>
      </c>
      <c r="B48" s="3" t="s">
        <v>5349</v>
      </c>
      <c r="C48" s="3" t="s">
        <v>5356</v>
      </c>
      <c r="D48" s="3" t="s">
        <v>5357</v>
      </c>
      <c r="E48" s="3" t="s">
        <v>5358</v>
      </c>
      <c r="G48" s="8" t="str">
        <f>IFERROR(__xludf.DUMMYFUNCTION("GOOGLETRANSLATE(A48, ""en"", ""hi"")"),"47")</f>
        <v>47</v>
      </c>
      <c r="H48" s="8" t="str">
        <f>IFERROR(__xludf.DUMMYFUNCTION("GOOGLETRANSLATE(B48, ""en"", ""hi"")"),"मुकना_12")</f>
        <v>मुकना_12</v>
      </c>
      <c r="I48" s="8" t="str">
        <f>IFERROR(__xludf.DUMMYFUNCTION("GOOGLETRANSLATE(C48, ""en"", ""hi"")"),"चित्र में दिखाए गए खेल के लिए, शक्ति निर्माण हेतु सामान्य प्रशिक्षण उपकरण क्या है?")</f>
        <v>चित्र में दिखाए गए खेल के लिए, शक्ति निर्माण हेतु सामान्य प्रशिक्षण उपकरण क्या है?</v>
      </c>
      <c r="J48" s="8" t="str">
        <f>IFERROR(__xludf.DUMMYFUNCTION("GOOGLETRANSLATE(D48, ""en"", ""hi"")"),"A) रेजिस्टेंस बैंड, B) मेडिसिन बॉल्स, C) डम्बल्स, D) केटलबेल्स")</f>
        <v>A) रेजिस्टेंस बैंड, B) मेडिसिन बॉल्स, C) डम्बल्स, D) केटलबेल्स</v>
      </c>
      <c r="K48" s="8" t="str">
        <f>IFERROR(__xludf.DUMMYFUNCTION("GOOGLETRANSLATE(E48, ""en"", ""hi"")"),"सी) डम्बल")</f>
        <v>सी) डम्बल</v>
      </c>
    </row>
    <row r="49" ht="22.5" customHeight="1">
      <c r="A49" s="2">
        <v>48.0</v>
      </c>
      <c r="B49" s="3" t="s">
        <v>5349</v>
      </c>
      <c r="C49" s="3" t="s">
        <v>5359</v>
      </c>
      <c r="D49" s="3" t="s">
        <v>5360</v>
      </c>
      <c r="E49" s="3" t="s">
        <v>3772</v>
      </c>
      <c r="G49" s="8" t="str">
        <f>IFERROR(__xludf.DUMMYFUNCTION("GOOGLETRANSLATE(A49, ""en"", ""hi"")"),"48")</f>
        <v>48</v>
      </c>
      <c r="H49" s="8" t="str">
        <f>IFERROR(__xludf.DUMMYFUNCTION("GOOGLETRANSLATE(B49, ""en"", ""hi"")"),"मुकना_12")</f>
        <v>मुकना_12</v>
      </c>
      <c r="I49" s="8" t="str">
        <f>IFERROR(__xludf.DUMMYFUNCTION("GOOGLETRANSLATE(C49, ""en"", ""hi"")"),"चित्र में, मुकना में फुटवर्क का अभ्यास करने का उद्देश्य क्या है?")</f>
        <v>चित्र में, मुकना में फुटवर्क का अभ्यास करने का उद्देश्य क्या है?</v>
      </c>
      <c r="J49" s="8" t="str">
        <f>IFERROR(__xludf.DUMMYFUNCTION("GOOGLETRANSLATE(D49, ""en"", ""hi"")"),"A) गति बढ़ाने के लिए, B) संतुलन सुधारने के लिए, C) ताकत विकसित करने के लिए, D) चपलता बढ़ाने के लिए")</f>
        <v>A) गति बढ़ाने के लिए, B) संतुलन सुधारने के लिए, C) ताकत विकसित करने के लिए, D) चपलता बढ़ाने के लिए</v>
      </c>
      <c r="K49" s="8" t="str">
        <f>IFERROR(__xludf.DUMMYFUNCTION("GOOGLETRANSLATE(E49, ""en"", ""hi"")"),"बी) संतुलन में सुधार करने के लिए")</f>
        <v>बी) संतुलन में सुधार करने के लिए</v>
      </c>
    </row>
    <row r="50" ht="22.5" customHeight="1">
      <c r="A50" s="2">
        <v>49.0</v>
      </c>
      <c r="B50" s="3" t="s">
        <v>5361</v>
      </c>
      <c r="C50" s="3" t="s">
        <v>5362</v>
      </c>
      <c r="D50" s="3" t="s">
        <v>5363</v>
      </c>
      <c r="E50" s="3" t="s">
        <v>5364</v>
      </c>
      <c r="G50" s="8" t="str">
        <f>IFERROR(__xludf.DUMMYFUNCTION("GOOGLETRANSLATE(A50, ""en"", ""hi"")"),"49")</f>
        <v>49</v>
      </c>
      <c r="H50" s="8" t="str">
        <f>IFERROR(__xludf.DUMMYFUNCTION("GOOGLETRANSLATE(B50, ""en"", ""hi"")"),"मुकना_13")</f>
        <v>मुकना_13</v>
      </c>
      <c r="I50" s="8" t="str">
        <f>IFERROR(__xludf.DUMMYFUNCTION("GOOGLETRANSLATE(C50, ""en"", ""hi"")"),"चित्र में दर्शाए गए खेल के लिए, मुकना खिलाड़ियों के लिए सामान्य आहार संबंधी क्या सिफारिश है?")</f>
        <v>चित्र में दर्शाए गए खेल के लिए, मुकना खिलाड़ियों के लिए सामान्य आहार संबंधी क्या सिफारिश है?</v>
      </c>
      <c r="J50" s="8" t="str">
        <f>IFERROR(__xludf.DUMMYFUNCTION("GOOGLETRANSLATE(D50, ""en"", ""hi"")"),"A) उच्च प्रोटीन आहार, B) कम कार्बोहाइड्रेट आहार, C) संतुलित आहार, D) उच्च वसा आहार")</f>
        <v>A) उच्च प्रोटीन आहार, B) कम कार्बोहाइड्रेट आहार, C) संतुलित आहार, D) उच्च वसा आहार</v>
      </c>
      <c r="K50" s="8" t="str">
        <f>IFERROR(__xludf.DUMMYFUNCTION("GOOGLETRANSLATE(E50, ""en"", ""hi"")"),"ग) संतुलित आहार")</f>
        <v>ग) संतुलित आहार</v>
      </c>
    </row>
    <row r="51" ht="22.5" customHeight="1">
      <c r="A51" s="2">
        <v>50.0</v>
      </c>
      <c r="B51" s="3" t="s">
        <v>5361</v>
      </c>
      <c r="C51" s="3" t="s">
        <v>5365</v>
      </c>
      <c r="D51" s="3" t="s">
        <v>5366</v>
      </c>
      <c r="E51" s="3" t="s">
        <v>5367</v>
      </c>
      <c r="G51" s="8" t="str">
        <f>IFERROR(__xludf.DUMMYFUNCTION("GOOGLETRANSLATE(A51, ""en"", ""hi"")"),"50")</f>
        <v>50</v>
      </c>
      <c r="H51" s="8" t="str">
        <f>IFERROR(__xludf.DUMMYFUNCTION("GOOGLETRANSLATE(B51, ""en"", ""hi"")"),"मुकना_13")</f>
        <v>मुकना_13</v>
      </c>
      <c r="I51" s="8" t="str">
        <f>IFERROR(__xludf.DUMMYFUNCTION("GOOGLETRANSLATE(C51, ""en"", ""hi"")"),"चित्र में, मुकना में रेत का सामान्य उपयोग क्या है?")</f>
        <v>चित्र में, मुकना में रेत का सामान्य उपयोग क्या है?</v>
      </c>
      <c r="J51" s="8" t="str">
        <f>IFERROR(__xludf.DUMMYFUNCTION("GOOGLETRANSLATE(D51, ""en"", ""hi"")"),"A) गद्दी प्रदान करने के लिए, B) पकड़ बढ़ाने के लिए, C) सीमाओं को चिह्नित करने के लिए, D) ठंडा करने के लिए")</f>
        <v>A) गद्दी प्रदान करने के लिए, B) पकड़ बढ़ाने के लिए, C) सीमाओं को चिह्नित करने के लिए, D) ठंडा करने के लिए</v>
      </c>
      <c r="K51" s="8" t="str">
        <f>IFERROR(__xludf.DUMMYFUNCTION("GOOGLETRANSLATE(E51, ""en"", ""hi"")"),"A) कुशनिंग प्रदान करने के लिए")</f>
        <v>A) कुशनिंग प्रदान करने के लिए</v>
      </c>
    </row>
    <row r="52" ht="22.5" customHeight="1">
      <c r="A52" s="2">
        <v>51.0</v>
      </c>
      <c r="B52" s="3" t="s">
        <v>5361</v>
      </c>
      <c r="C52" s="3" t="s">
        <v>5368</v>
      </c>
      <c r="D52" s="3" t="s">
        <v>5369</v>
      </c>
      <c r="E52" s="3" t="s">
        <v>5370</v>
      </c>
      <c r="G52" s="8" t="str">
        <f>IFERROR(__xludf.DUMMYFUNCTION("GOOGLETRANSLATE(A52, ""en"", ""hi"")"),"51")</f>
        <v>51</v>
      </c>
      <c r="H52" s="8" t="str">
        <f>IFERROR(__xludf.DUMMYFUNCTION("GOOGLETRANSLATE(B52, ""en"", ""hi"")"),"मुकना_13")</f>
        <v>मुकना_13</v>
      </c>
      <c r="I52" s="8" t="str">
        <f>IFERROR(__xludf.DUMMYFUNCTION("GOOGLETRANSLATE(C52, ""en"", ""hi"")"),"चित्र में दिखाए गए खेल के लिए, मुकना प्रशिक्षण शिविरों का एक विशिष्ट पहलू क्या है?")</f>
        <v>चित्र में दिखाए गए खेल के लिए, मुकना प्रशिक्षण शिविरों का एक विशिष्ट पहलू क्या है?</v>
      </c>
      <c r="J52" s="8" t="str">
        <f>IFERROR(__xludf.DUMMYFUNCTION("GOOGLETRANSLATE(D52, ""en"", ""hi"")"),"ए) तकनीक अभ्यास, बी) सामरिक चर्चा, सी) समूह अभ्यास, डी) व्यक्तिगत मुकाबला")</f>
        <v>ए) तकनीक अभ्यास, बी) सामरिक चर्चा, सी) समूह अभ्यास, डी) व्यक्तिगत मुकाबला</v>
      </c>
      <c r="K52" s="8" t="str">
        <f>IFERROR(__xludf.DUMMYFUNCTION("GOOGLETRANSLATE(E52, ""en"", ""hi"")"),"डी) व्यक्तिगत स्पैरिंग")</f>
        <v>डी) व्यक्तिगत स्पैरिंग</v>
      </c>
    </row>
    <row r="53" ht="22.5" customHeight="1">
      <c r="A53" s="2">
        <v>52.0</v>
      </c>
      <c r="B53" s="3" t="s">
        <v>5361</v>
      </c>
      <c r="C53" s="3" t="s">
        <v>5371</v>
      </c>
      <c r="D53" s="3" t="s">
        <v>5372</v>
      </c>
      <c r="E53" s="3" t="s">
        <v>5373</v>
      </c>
      <c r="G53" s="8" t="str">
        <f>IFERROR(__xludf.DUMMYFUNCTION("GOOGLETRANSLATE(A53, ""en"", ""hi"")"),"52")</f>
        <v>52</v>
      </c>
      <c r="H53" s="8" t="str">
        <f>IFERROR(__xludf.DUMMYFUNCTION("GOOGLETRANSLATE(B53, ""en"", ""hi"")"),"मुकना_13")</f>
        <v>मुकना_13</v>
      </c>
      <c r="I53" s="8" t="str">
        <f>IFERROR(__xludf.DUMMYFUNCTION("GOOGLETRANSLATE(C53, ""en"", ""hi"")"),"चित्र में मुकना प्रतियोगिताओं की एक सामान्य विशेषता क्या है?")</f>
        <v>चित्र में मुकना प्रतियोगिताओं की एक सामान्य विशेषता क्या है?</v>
      </c>
      <c r="J53" s="8" t="str">
        <f>IFERROR(__xludf.DUMMYFUNCTION("GOOGLETRANSLATE(D53, ""en"", ""hi"")"),"ए) एकल-उन्मूलन प्रारूप, बी) राउंड-रॉबिन प्रारूप, सी) टीम-आधारित मैच, डी) खुले भार वर्ग")</f>
        <v>ए) एकल-उन्मूलन प्रारूप, बी) राउंड-रॉबिन प्रारूप, सी) टीम-आधारित मैच, डी) खुले भार वर्ग</v>
      </c>
      <c r="K53" s="8" t="str">
        <f>IFERROR(__xludf.DUMMYFUNCTION("GOOGLETRANSLATE(E53, ""en"", ""hi"")"),"A) एकल-उन्मूलन प्रारूप")</f>
        <v>A) एकल-उन्मूलन प्रारूप</v>
      </c>
    </row>
    <row r="54" ht="22.5" customHeight="1">
      <c r="A54" s="2">
        <v>53.0</v>
      </c>
      <c r="B54" s="3" t="s">
        <v>5374</v>
      </c>
      <c r="C54" s="3" t="s">
        <v>5375</v>
      </c>
      <c r="D54" s="3" t="s">
        <v>5376</v>
      </c>
      <c r="E54" s="3" t="s">
        <v>5377</v>
      </c>
      <c r="G54" s="8" t="str">
        <f>IFERROR(__xludf.DUMMYFUNCTION("GOOGLETRANSLATE(A54, ""en"", ""hi"")"),"53")</f>
        <v>53</v>
      </c>
      <c r="H54" s="8" t="str">
        <f>IFERROR(__xludf.DUMMYFUNCTION("GOOGLETRANSLATE(B54, ""en"", ""hi"")"),"मुकना_14")</f>
        <v>मुकना_14</v>
      </c>
      <c r="I54" s="8" t="str">
        <f>IFERROR(__xludf.DUMMYFUNCTION("GOOGLETRANSLATE(C54, ""en"", ""hi"")"),"चित्र में दर्शाए गए खेल के लिए, खिलाड़ियों के लिए मैच के बाद की सामान्य रस्म क्या है?")</f>
        <v>चित्र में दर्शाए गए खेल के लिए, खिलाड़ियों के लिए मैच के बाद की सामान्य रस्म क्या है?</v>
      </c>
      <c r="J54" s="8" t="str">
        <f>IFERROR(__xludf.DUMMYFUNCTION("GOOGLETRANSLATE(D54, ""en"", ""hi"")"),"A) प्रदर्शन की समीक्षा करना, B) हाइड्रेटिंग करना, C) सामाजिककरण करना, D) आराम करना")</f>
        <v>A) प्रदर्शन की समीक्षा करना, B) हाइड्रेटिंग करना, C) सामाजिककरण करना, D) आराम करना</v>
      </c>
      <c r="K54" s="8" t="str">
        <f>IFERROR(__xludf.DUMMYFUNCTION("GOOGLETRANSLATE(E54, ""en"", ""hi"")"),"बी) हाइड्रेटिंग")</f>
        <v>बी) हाइड्रेटिंग</v>
      </c>
    </row>
    <row r="55" ht="22.5" customHeight="1">
      <c r="A55" s="2">
        <v>54.0</v>
      </c>
      <c r="B55" s="3" t="s">
        <v>5374</v>
      </c>
      <c r="C55" s="3" t="s">
        <v>5378</v>
      </c>
      <c r="D55" s="3" t="s">
        <v>5379</v>
      </c>
      <c r="E55" s="3" t="s">
        <v>5380</v>
      </c>
      <c r="G55" s="8" t="str">
        <f>IFERROR(__xludf.DUMMYFUNCTION("GOOGLETRANSLATE(A55, ""en"", ""hi"")"),"54")</f>
        <v>54</v>
      </c>
      <c r="H55" s="8" t="str">
        <f>IFERROR(__xludf.DUMMYFUNCTION("GOOGLETRANSLATE(B55, ""en"", ""hi"")"),"मुकना_14")</f>
        <v>मुकना_14</v>
      </c>
      <c r="I55" s="8" t="str">
        <f>IFERROR(__xludf.DUMMYFUNCTION("GOOGLETRANSLATE(C55, ""en"", ""hi"")"),"चित्र में मुकना वादकों के सामने आने वाली आम चुनौती क्या है?")</f>
        <v>चित्र में मुकना वादकों के सामने आने वाली आम चुनौती क्या है?</v>
      </c>
      <c r="J55" s="8" t="str">
        <f>IFERROR(__xludf.DUMMYFUNCTION("GOOGLETRANSLATE(D55, ""en"", ""hi"")"),"A) चोट की रोकथाम, B) तकनीकी कौशल विकास, C) सहनशक्ति प्रशिक्षण, D) वजन प्रबंधन")</f>
        <v>A) चोट की रोकथाम, B) तकनीकी कौशल विकास, C) सहनशक्ति प्रशिक्षण, D) वजन प्रबंधन</v>
      </c>
      <c r="K55" s="8" t="str">
        <f>IFERROR(__xludf.DUMMYFUNCTION("GOOGLETRANSLATE(E55, ""en"", ""hi"")"),"A) चोट की रोकथाम")</f>
        <v>A) चोट की रोकथाम</v>
      </c>
    </row>
    <row r="56" ht="22.5" customHeight="1">
      <c r="A56" s="2">
        <v>55.0</v>
      </c>
      <c r="B56" s="3" t="s">
        <v>5374</v>
      </c>
      <c r="C56" s="3" t="s">
        <v>5381</v>
      </c>
      <c r="D56" s="3" t="s">
        <v>5382</v>
      </c>
      <c r="E56" s="3" t="s">
        <v>5383</v>
      </c>
      <c r="G56" s="8" t="str">
        <f>IFERROR(__xludf.DUMMYFUNCTION("GOOGLETRANSLATE(A56, ""en"", ""hi"")"),"55")</f>
        <v>55</v>
      </c>
      <c r="H56" s="8" t="str">
        <f>IFERROR(__xludf.DUMMYFUNCTION("GOOGLETRANSLATE(B56, ""en"", ""hi"")"),"मुकना_14")</f>
        <v>मुकना_14</v>
      </c>
      <c r="I56" s="8" t="str">
        <f>IFERROR(__xludf.DUMMYFUNCTION("GOOGLETRANSLATE(C56, ""en"", ""hi"")"),"चित्र में दिखाए गए खेल के लिए अनुशंसित वार्म-अप गतिविधि क्या है?")</f>
        <v>चित्र में दिखाए गए खेल के लिए अनुशंसित वार्म-अप गतिविधि क्या है?</v>
      </c>
      <c r="J56" s="8" t="str">
        <f>IFERROR(__xludf.DUMMYFUNCTION("GOOGLETRANSLATE(D56, ""en"", ""hi"")"),"A) जॉगिंग, B) स्ट्रेचिंग, C) शैडो रेसलिंग, D) जंपिंग जैक")</f>
        <v>A) जॉगिंग, B) स्ट्रेचिंग, C) शैडो रेसलिंग, D) जंपिंग जैक</v>
      </c>
      <c r="K56" s="8" t="str">
        <f>IFERROR(__xludf.DUMMYFUNCTION("GOOGLETRANSLATE(E56, ""en"", ""hi"")"),"C) छाया कुश्ती")</f>
        <v>C) छाया कुश्ती</v>
      </c>
    </row>
    <row r="57" ht="22.5" customHeight="1">
      <c r="A57" s="2">
        <v>56.0</v>
      </c>
      <c r="B57" s="3" t="s">
        <v>5374</v>
      </c>
      <c r="C57" s="3" t="s">
        <v>5384</v>
      </c>
      <c r="D57" s="3" t="s">
        <v>5385</v>
      </c>
      <c r="E57" s="3" t="s">
        <v>5386</v>
      </c>
      <c r="G57" s="8" t="str">
        <f>IFERROR(__xludf.DUMMYFUNCTION("GOOGLETRANSLATE(A57, ""en"", ""hi"")"),"56")</f>
        <v>56</v>
      </c>
      <c r="H57" s="8" t="str">
        <f>IFERROR(__xludf.DUMMYFUNCTION("GOOGLETRANSLATE(B57, ""en"", ""hi"")"),"मुकना_14")</f>
        <v>मुकना_14</v>
      </c>
      <c r="I57" s="8" t="str">
        <f>IFERROR(__xludf.DUMMYFUNCTION("GOOGLETRANSLATE(C57, ""en"", ""hi"")"),"चित्र में, मुकना में पकड़ की ताकत में सुधार करने के लिए एक सामान्य तकनीक क्या है?")</f>
        <v>चित्र में, मुकना में पकड़ की ताकत में सुधार करने के लिए एक सामान्य तकनीक क्या है?</v>
      </c>
      <c r="J57" s="8" t="str">
        <f>IFERROR(__xludf.DUMMYFUNCTION("GOOGLETRANSLATE(D57, ""en"", ""hi"")"),"ए) पकड़ व्यायाम, बी) कलाई कर्ल, सी) उंगली पुल-अप, डी) हाथ पकड़")</f>
        <v>ए) पकड़ व्यायाम, बी) कलाई कर्ल, सी) उंगली पुल-अप, डी) हाथ पकड़</v>
      </c>
      <c r="K57" s="8" t="str">
        <f>IFERROR(__xludf.DUMMYFUNCTION("GOOGLETRANSLATE(E57, ""en"", ""hi"")"),"ए) पकड़ व्यायाम")</f>
        <v>ए) पकड़ व्यायाम</v>
      </c>
    </row>
    <row r="58" ht="22.5" customHeight="1">
      <c r="A58" s="2">
        <v>57.0</v>
      </c>
      <c r="B58" s="3" t="s">
        <v>5387</v>
      </c>
      <c r="C58" s="3" t="s">
        <v>5388</v>
      </c>
      <c r="D58" s="3" t="s">
        <v>5389</v>
      </c>
      <c r="E58" s="3" t="s">
        <v>5390</v>
      </c>
      <c r="G58" s="8" t="str">
        <f>IFERROR(__xludf.DUMMYFUNCTION("GOOGLETRANSLATE(A58, ""en"", ""hi"")"),"57")</f>
        <v>57</v>
      </c>
      <c r="H58" s="8" t="str">
        <f>IFERROR(__xludf.DUMMYFUNCTION("GOOGLETRANSLATE(B58, ""en"", ""hi"")"),"मुकना_15")</f>
        <v>मुकना_15</v>
      </c>
      <c r="I58" s="8" t="str">
        <f>IFERROR(__xludf.DUMMYFUNCTION("GOOGLETRANSLATE(C58, ""en"", ""hi"")"),"चित्र में दर्शाए गए खेल के लिए अभ्यास के दौरान आवश्यक सुरक्षा उपाय क्या है?")</f>
        <v>चित्र में दर्शाए गए खेल के लिए अभ्यास के दौरान आवश्यक सुरक्षा उपाय क्या है?</v>
      </c>
      <c r="J58" s="8" t="str">
        <f>IFERROR(__xludf.DUMMYFUNCTION("GOOGLETRANSLATE(D58, ""en"", ""hi"")"),"ए) सुरक्षात्मक गियर का उपयोग करना, बी) कोच की उपस्थिति, सी) उचित जलयोजन सुनिश्चित करना, डी) वार्म-अप करना")</f>
        <v>ए) सुरक्षात्मक गियर का उपयोग करना, बी) कोच की उपस्थिति, सी) उचित जलयोजन सुनिश्चित करना, डी) वार्म-अप करना</v>
      </c>
      <c r="K58" s="8" t="str">
        <f>IFERROR(__xludf.DUMMYFUNCTION("GOOGLETRANSLATE(E58, ""en"", ""hi"")"),"A) सुरक्षात्मक गियर का उपयोग करना")</f>
        <v>A) सुरक्षात्मक गियर का उपयोग करना</v>
      </c>
    </row>
    <row r="59" ht="22.5" customHeight="1">
      <c r="A59" s="2">
        <v>58.0</v>
      </c>
      <c r="B59" s="3" t="s">
        <v>5387</v>
      </c>
      <c r="C59" s="3" t="s">
        <v>5391</v>
      </c>
      <c r="D59" s="3" t="s">
        <v>5392</v>
      </c>
      <c r="E59" s="3" t="s">
        <v>5393</v>
      </c>
      <c r="G59" s="8" t="str">
        <f>IFERROR(__xludf.DUMMYFUNCTION("GOOGLETRANSLATE(A59, ""en"", ""hi"")"),"58")</f>
        <v>58</v>
      </c>
      <c r="H59" s="8" t="str">
        <f>IFERROR(__xludf.DUMMYFUNCTION("GOOGLETRANSLATE(B59, ""en"", ""hi"")"),"मुकना_15")</f>
        <v>मुकना_15</v>
      </c>
      <c r="I59" s="8" t="str">
        <f>IFERROR(__xludf.DUMMYFUNCTION("GOOGLETRANSLATE(C59, ""en"", ""hi"")"),"चित्र में, मुकना में प्रदर्शन का विश्लेषण करने की सामान्य विधि क्या है?")</f>
        <v>चित्र में, मुकना में प्रदर्शन का विश्लेषण करने की सामान्य विधि क्या है?</v>
      </c>
      <c r="J59" s="8" t="str">
        <f>IFERROR(__xludf.DUMMYFUNCTION("GOOGLETRANSLATE(D59, ""en"", ""hi"")"),"A) वीडियो समीक्षा, B) कोच फीडबैक, C) स्व-मूल्यांकन, D) सहकर्मी समीक्षा")</f>
        <v>A) वीडियो समीक्षा, B) कोच फीडबैक, C) स्व-मूल्यांकन, D) सहकर्मी समीक्षा</v>
      </c>
      <c r="K59" s="8" t="str">
        <f>IFERROR(__xludf.DUMMYFUNCTION("GOOGLETRANSLATE(E59, ""en"", ""hi"")"),"ए) वीडियो समीक्षा")</f>
        <v>ए) वीडियो समीक्षा</v>
      </c>
    </row>
    <row r="60" ht="22.5" customHeight="1">
      <c r="A60" s="2">
        <v>59.0</v>
      </c>
      <c r="B60" s="3" t="s">
        <v>5387</v>
      </c>
      <c r="C60" s="3" t="s">
        <v>5394</v>
      </c>
      <c r="D60" s="3" t="s">
        <v>5395</v>
      </c>
      <c r="E60" s="3" t="s">
        <v>5396</v>
      </c>
      <c r="G60" s="8" t="str">
        <f>IFERROR(__xludf.DUMMYFUNCTION("GOOGLETRANSLATE(A60, ""en"", ""hi"")"),"59")</f>
        <v>59</v>
      </c>
      <c r="H60" s="8" t="str">
        <f>IFERROR(__xludf.DUMMYFUNCTION("GOOGLETRANSLATE(B60, ""en"", ""hi"")"),"मुकना_15")</f>
        <v>मुकना_15</v>
      </c>
      <c r="I60" s="8" t="str">
        <f>IFERROR(__xludf.DUMMYFUNCTION("GOOGLETRANSLATE(C60, ""en"", ""hi"")"),"चित्र में दिखाए गए खेल के लिए, सफल तकनीक निष्पादन में मुख्य कारक क्या है?")</f>
        <v>चित्र में दिखाए गए खेल के लिए, सफल तकनीक निष्पादन में मुख्य कारक क्या है?</v>
      </c>
      <c r="J60" s="8" t="str">
        <f>IFERROR(__xludf.DUMMYFUNCTION("GOOGLETRANSLATE(D60, ""en"", ""hi"")"),"A) परिशुद्धता, B) शक्ति, C) गति, D) समय निर्धारण")</f>
        <v>A) परिशुद्धता, B) शक्ति, C) गति, D) समय निर्धारण</v>
      </c>
      <c r="K60" s="8" t="str">
        <f>IFERROR(__xludf.DUMMYFUNCTION("GOOGLETRANSLATE(E60, ""en"", ""hi"")"),"डी) समय")</f>
        <v>डी) समय</v>
      </c>
    </row>
    <row r="61" ht="22.5" customHeight="1">
      <c r="A61" s="2">
        <v>60.0</v>
      </c>
      <c r="B61" s="3" t="s">
        <v>5387</v>
      </c>
      <c r="C61" s="3" t="s">
        <v>5397</v>
      </c>
      <c r="D61" s="3" t="s">
        <v>5398</v>
      </c>
      <c r="E61" s="3" t="s">
        <v>5399</v>
      </c>
      <c r="G61" s="8" t="str">
        <f>IFERROR(__xludf.DUMMYFUNCTION("GOOGLETRANSLATE(A61, ""en"", ""hi"")"),"60")</f>
        <v>60</v>
      </c>
      <c r="H61" s="8" t="str">
        <f>IFERROR(__xludf.DUMMYFUNCTION("GOOGLETRANSLATE(B61, ""en"", ""hi"")"),"मुकना_15")</f>
        <v>मुकना_15</v>
      </c>
      <c r="I61" s="8" t="str">
        <f>IFERROR(__xludf.DUMMYFUNCTION("GOOGLETRANSLATE(C61, ""en"", ""hi"")"),"चित्र में दिखाया गया है कि मुकना वादकों के लिए किस प्रकार का आहार लाभदायक है?")</f>
        <v>चित्र में दिखाया गया है कि मुकना वादकों के लिए किस प्रकार का आहार लाभदायक है?</v>
      </c>
      <c r="J61" s="8" t="str">
        <f>IFERROR(__xludf.DUMMYFUNCTION("GOOGLETRANSLATE(D61, ""en"", ""hi"")"),"A) उच्च प्रोटीन, कम कार्बोहाइड्रेट, B) उच्च कार्बोहाइड्रेट, कम वसा, C) संतुलित, D) कम कैलोरी")</f>
        <v>A) उच्च प्रोटीन, कम कार्बोहाइड्रेट, B) उच्च कार्बोहाइड्रेट, कम वसा, C) संतुलित, D) कम कैलोरी</v>
      </c>
      <c r="K61" s="8" t="str">
        <f>IFERROR(__xludf.DUMMYFUNCTION("GOOGLETRANSLATE(E61, ""en"", ""hi"")"),"सी) संतुलित")</f>
        <v>सी) संतुलित</v>
      </c>
    </row>
    <row r="62" ht="22.5" customHeight="1">
      <c r="A62" s="2">
        <v>61.0</v>
      </c>
      <c r="B62" s="3"/>
      <c r="C62" s="3" t="s">
        <v>5400</v>
      </c>
      <c r="D62" s="3" t="s">
        <v>5401</v>
      </c>
      <c r="E62" s="3" t="s">
        <v>5402</v>
      </c>
      <c r="G62" s="8" t="str">
        <f>IFERROR(__xludf.DUMMYFUNCTION("GOOGLETRANSLATE(A62, ""en"", ""hi"")"),"61")</f>
        <v>61</v>
      </c>
      <c r="H62" s="8" t="str">
        <f>IFERROR(__xludf.DUMMYFUNCTION("GOOGLETRANSLATE(B62, ""en"", ""hi"")"),"#VALUE!")</f>
        <v>#VALUE!</v>
      </c>
      <c r="I62" s="8" t="str">
        <f>IFERROR(__xludf.DUMMYFUNCTION("GOOGLETRANSLATE(C62, ""en"", ""hi"")"),"चित्र में दर्शाए गए खेल के लिए, मुकना मैच में खिलाड़ियों की सामान्य संख्या कितनी होती है?")</f>
        <v>चित्र में दर्शाए गए खेल के लिए, मुकना मैच में खिलाड़ियों की सामान्य संख्या कितनी होती है?</v>
      </c>
      <c r="J62" s="8" t="str">
        <f>IFERROR(__xludf.DUMMYFUNCTION("GOOGLETRANSLATE(D62, ""en"", ""hi"")"),"ए) एक-पर-एक, बी) दो-पर-दो, सी) तीन-पर-तीन, डी) चार-पर-चार")</f>
        <v>ए) एक-पर-एक, बी) दो-पर-दो, सी) तीन-पर-तीन, डी) चार-पर-चार</v>
      </c>
      <c r="K62" s="8" t="str">
        <f>IFERROR(__xludf.DUMMYFUNCTION("GOOGLETRANSLATE(E62, ""en"", ""hi"")"),"ए) एक-पर-एक")</f>
        <v>ए) एक-पर-एक</v>
      </c>
    </row>
    <row r="63" ht="22.5" customHeight="1">
      <c r="A63" s="2">
        <v>62.0</v>
      </c>
      <c r="B63" s="3"/>
      <c r="C63" s="3" t="s">
        <v>5403</v>
      </c>
      <c r="D63" s="3" t="s">
        <v>5404</v>
      </c>
      <c r="E63" s="3" t="s">
        <v>5405</v>
      </c>
      <c r="G63" s="8" t="str">
        <f>IFERROR(__xludf.DUMMYFUNCTION("GOOGLETRANSLATE(A63, ""en"", ""hi"")"),"62")</f>
        <v>62</v>
      </c>
      <c r="H63" s="8" t="str">
        <f>IFERROR(__xludf.DUMMYFUNCTION("GOOGLETRANSLATE(B63, ""en"", ""hi"")"),"#VALUE!")</f>
        <v>#VALUE!</v>
      </c>
      <c r="I63" s="8" t="str">
        <f>IFERROR(__xludf.DUMMYFUNCTION("GOOGLETRANSLATE(C63, ""en"", ""hi"")"),"चित्र में, मुकना में सहनशक्ति में सुधार के लिए एक सामान्य प्रशिक्षण उपकरण क्या है?")</f>
        <v>चित्र में, मुकना में सहनशक्ति में सुधार के लिए एक सामान्य प्रशिक्षण उपकरण क्या है?</v>
      </c>
      <c r="J63" s="8" t="str">
        <f>IFERROR(__xludf.DUMMYFUNCTION("GOOGLETRANSLATE(D63, ""en"", ""hi"")"),"A) ट्रेडमिल, B) रोइंग मशीन, C) रस्सी कूदना, D) साइकिल चलाना")</f>
        <v>A) ट्रेडमिल, B) रोइंग मशीन, C) रस्सी कूदना, D) साइकिल चलाना</v>
      </c>
      <c r="K63" s="8" t="str">
        <f>IFERROR(__xludf.DUMMYFUNCTION("GOOGLETRANSLATE(E63, ""en"", ""hi"")"),"सी) रस्सी कूदना")</f>
        <v>सी) रस्सी कूदना</v>
      </c>
    </row>
    <row r="64" ht="22.5" customHeight="1">
      <c r="A64" s="2">
        <v>63.0</v>
      </c>
      <c r="B64" s="3"/>
      <c r="C64" s="3" t="s">
        <v>5406</v>
      </c>
      <c r="D64" s="3" t="s">
        <v>5407</v>
      </c>
      <c r="E64" s="3" t="s">
        <v>5408</v>
      </c>
      <c r="G64" s="8" t="str">
        <f>IFERROR(__xludf.DUMMYFUNCTION("GOOGLETRANSLATE(A64, ""en"", ""hi"")"),"63")</f>
        <v>63</v>
      </c>
      <c r="H64" s="8" t="str">
        <f>IFERROR(__xludf.DUMMYFUNCTION("GOOGLETRANSLATE(B64, ""en"", ""hi"")"),"#VALUE!")</f>
        <v>#VALUE!</v>
      </c>
      <c r="I64" s="8" t="str">
        <f>IFERROR(__xludf.DUMMYFUNCTION("GOOGLETRANSLATE(C64, ""en"", ""hi"")"),"चित्र में दिखाए गए खेल के लिए रक्षात्मक युद्धाभ्यास की सामान्य तकनीक क्या है?")</f>
        <v>चित्र में दिखाए गए खेल के लिए रक्षात्मक युद्धाभ्यास की सामान्य तकनीक क्या है?</v>
      </c>
      <c r="J64" s="8" t="str">
        <f>IFERROR(__xludf.DUMMYFUNCTION("GOOGLETRANSLATE(D64, ""en"", ""hi"")"),"A) ब्लॉकिंग, B) चकमा देना, C) जवाबी हमला करना, D) ग्रैपलिंग")</f>
        <v>A) ब्लॉकिंग, B) चकमा देना, C) जवाबी हमला करना, D) ग्रैपलिंग</v>
      </c>
      <c r="K64" s="8" t="str">
        <f>IFERROR(__xludf.DUMMYFUNCTION("GOOGLETRANSLATE(E64, ""en"", ""hi"")"),"बी) चकमा देना")</f>
        <v>बी) चकमा देना</v>
      </c>
    </row>
    <row r="65" ht="22.5" customHeight="1">
      <c r="A65" s="2">
        <v>64.0</v>
      </c>
      <c r="B65" s="3"/>
      <c r="C65" s="3" t="s">
        <v>5409</v>
      </c>
      <c r="D65" s="3" t="s">
        <v>5410</v>
      </c>
      <c r="E65" s="3" t="s">
        <v>5411</v>
      </c>
      <c r="G65" s="8" t="str">
        <f>IFERROR(__xludf.DUMMYFUNCTION("GOOGLETRANSLATE(A65, ""en"", ""hi"")"),"64")</f>
        <v>64</v>
      </c>
      <c r="H65" s="8" t="str">
        <f>IFERROR(__xludf.DUMMYFUNCTION("GOOGLETRANSLATE(B65, ""en"", ""hi"")"),"#VALUE!")</f>
        <v>#VALUE!</v>
      </c>
      <c r="I65" s="8" t="str">
        <f>IFERROR(__xludf.DUMMYFUNCTION("GOOGLETRANSLATE(C65, ""en"", ""hi"")"),"चित्र में, मुकना गियर का एक महत्वपूर्ण पहलू क्या है?")</f>
        <v>चित्र में, मुकना गियर का एक महत्वपूर्ण पहलू क्या है?</v>
      </c>
      <c r="J65" s="8" t="str">
        <f>IFERROR(__xludf.DUMMYFUNCTION("GOOGLETRANSLATE(D65, ""en"", ""hi"")"),"A) आराम, B) स्टाइल, C) रंग, D) ब्रांड")</f>
        <v>A) आराम, B) स्टाइल, C) रंग, D) ब्रांड</v>
      </c>
      <c r="K65" s="8" t="str">
        <f>IFERROR(__xludf.DUMMYFUNCTION("GOOGLETRANSLATE(E65, ""en"", ""hi"")"),"ए) आराम")</f>
        <v>ए) आराम</v>
      </c>
    </row>
    <row r="66" ht="22.5" customHeight="1">
      <c r="A66" s="2">
        <v>65.0</v>
      </c>
      <c r="B66" s="3"/>
      <c r="C66" s="3" t="s">
        <v>5412</v>
      </c>
      <c r="D66" s="3" t="s">
        <v>5413</v>
      </c>
      <c r="E66" s="3" t="s">
        <v>5414</v>
      </c>
      <c r="G66" s="8" t="str">
        <f>IFERROR(__xludf.DUMMYFUNCTION("GOOGLETRANSLATE(A66, ""en"", ""hi"")"),"65")</f>
        <v>65</v>
      </c>
      <c r="H66" s="8" t="str">
        <f>IFERROR(__xludf.DUMMYFUNCTION("GOOGLETRANSLATE(B66, ""en"", ""hi"")"),"#VALUE!")</f>
        <v>#VALUE!</v>
      </c>
      <c r="I66" s="8" t="str">
        <f>IFERROR(__xludf.DUMMYFUNCTION("GOOGLETRANSLATE(C66, ""en"", ""hi"")"),"चित्र में दर्शाए गए खेल के लिए मैच के दौरान सामान्य रणनीति क्या है?")</f>
        <v>चित्र में दर्शाए गए खेल के लिए मैच के दौरान सामान्य रणनीति क्या है?</v>
      </c>
      <c r="J66" s="8" t="str">
        <f>IFERROR(__xludf.DUMMYFUNCTION("GOOGLETRANSLATE(D66, ""en"", ""hi"")"),"ए) आक्रामक आक्रमण, बी) रक्षात्मक स्थिति, सी) सहनशक्ति परीक्षण, डी) त्वरित परिवर्तन")</f>
        <v>ए) आक्रामक आक्रमण, बी) रक्षात्मक स्थिति, सी) सहनशक्ति परीक्षण, डी) त्वरित परिवर्तन</v>
      </c>
      <c r="K66" s="8" t="str">
        <f>IFERROR(__xludf.DUMMYFUNCTION("GOOGLETRANSLATE(E66, ""en"", ""hi"")"),"डी) त्वरित संक्रमण")</f>
        <v>डी) त्वरित संक्रमण</v>
      </c>
    </row>
    <row r="67" ht="22.5" customHeight="1">
      <c r="A67" s="2">
        <v>66.0</v>
      </c>
      <c r="B67" s="3"/>
      <c r="C67" s="3" t="s">
        <v>5415</v>
      </c>
      <c r="D67" s="3" t="s">
        <v>5416</v>
      </c>
      <c r="E67" s="3" t="s">
        <v>5417</v>
      </c>
      <c r="G67" s="8" t="str">
        <f>IFERROR(__xludf.DUMMYFUNCTION("GOOGLETRANSLATE(A67, ""en"", ""hi"")"),"66")</f>
        <v>66</v>
      </c>
      <c r="H67" s="8" t="str">
        <f>IFERROR(__xludf.DUMMYFUNCTION("GOOGLETRANSLATE(B67, ""en"", ""hi"")"),"#VALUE!")</f>
        <v>#VALUE!</v>
      </c>
      <c r="I67" s="8" t="str">
        <f>IFERROR(__xludf.DUMMYFUNCTION("GOOGLETRANSLATE(C67, ""en"", ""hi"")"),"चित्र में, मुकना का अभ्यास करने का प्राथमिक लाभ क्या है?")</f>
        <v>चित्र में, मुकना का अभ्यास करने का प्राथमिक लाभ क्या है?</v>
      </c>
      <c r="J67" s="8" t="str">
        <f>IFERROR(__xludf.DUMMYFUNCTION("GOOGLETRANSLATE(D67, ""en"", ""hi"")"),"A) बढ़ी हुई ताकत, B) बेहतर लचीलापन, C) बेहतर समन्वय, D) अधिक सहनशक्ति")</f>
        <v>A) बढ़ी हुई ताकत, B) बेहतर लचीलापन, C) बेहतर समन्वय, D) अधिक सहनशक्ति</v>
      </c>
      <c r="K67" s="8" t="str">
        <f>IFERROR(__xludf.DUMMYFUNCTION("GOOGLETRANSLATE(E67, ""en"", ""hi"")"),"सी) बेहतर समन्वय")</f>
        <v>सी) बेहतर समन्वय</v>
      </c>
    </row>
    <row r="68" ht="22.5" customHeight="1">
      <c r="A68" s="2">
        <v>67.0</v>
      </c>
      <c r="B68" s="3"/>
      <c r="C68" s="3" t="s">
        <v>5418</v>
      </c>
      <c r="D68" s="3" t="s">
        <v>5419</v>
      </c>
      <c r="E68" s="3" t="s">
        <v>5336</v>
      </c>
      <c r="G68" s="8" t="str">
        <f>IFERROR(__xludf.DUMMYFUNCTION("GOOGLETRANSLATE(A68, ""en"", ""hi"")"),"67")</f>
        <v>67</v>
      </c>
      <c r="H68" s="8" t="str">
        <f>IFERROR(__xludf.DUMMYFUNCTION("GOOGLETRANSLATE(B68, ""en"", ""hi"")"),"#VALUE!")</f>
        <v>#VALUE!</v>
      </c>
      <c r="I68" s="8" t="str">
        <f>IFERROR(__xludf.DUMMYFUNCTION("GOOGLETRANSLATE(C68, ""en"", ""hi"")"),"चित्र में दिखाए गए खेल के लिए अंक अर्जित करने की सामान्य तकनीक क्या है?")</f>
        <v>चित्र में दिखाए गए खेल के लिए अंक अर्जित करने की सामान्य तकनीक क्या है?</v>
      </c>
      <c r="J68" s="8" t="str">
        <f>IFERROR(__xludf.DUMMYFUNCTION("GOOGLETRANSLATE(D68, ""en"", ""hi"")"),"ए) टेकडाउन, बी) पिन, सी) सबमिशन, डी) थ्रो")</f>
        <v>ए) टेकडाउन, बी) पिन, सी) सबमिशन, डी) थ्रो</v>
      </c>
      <c r="K68" s="8" t="str">
        <f>IFERROR(__xludf.DUMMYFUNCTION("GOOGLETRANSLATE(E68, ""en"", ""hi"")"),"डी) फेंकता है")</f>
        <v>डी) फेंकता है</v>
      </c>
    </row>
    <row r="69" ht="22.5" customHeight="1">
      <c r="A69" s="2">
        <v>68.0</v>
      </c>
      <c r="B69" s="3"/>
      <c r="C69" s="3" t="s">
        <v>5420</v>
      </c>
      <c r="D69" s="3" t="s">
        <v>5421</v>
      </c>
      <c r="E69" s="3" t="s">
        <v>5422</v>
      </c>
      <c r="G69" s="8" t="str">
        <f>IFERROR(__xludf.DUMMYFUNCTION("GOOGLETRANSLATE(A69, ""en"", ""hi"")"),"68")</f>
        <v>68</v>
      </c>
      <c r="H69" s="8" t="str">
        <f>IFERROR(__xludf.DUMMYFUNCTION("GOOGLETRANSLATE(B69, ""en"", ""hi"")"),"#VALUE!")</f>
        <v>#VALUE!</v>
      </c>
      <c r="I69" s="8" t="str">
        <f>IFERROR(__xludf.DUMMYFUNCTION("GOOGLETRANSLATE(C69, ""en"", ""hi"")"),"चित्र में, मुकना खिलाड़ियों के लिए चोट से बचाव का सामान्य तरीका क्या है?")</f>
        <v>चित्र में, मुकना खिलाड़ियों के लिए चोट से बचाव का सामान्य तरीका क्या है?</v>
      </c>
      <c r="J69" s="8" t="str">
        <f>IFERROR(__xludf.DUMMYFUNCTION("GOOGLETRANSLATE(D69, ""en"", ""hi"")"),"ए) उचित वार्म-अप, बी) बर्फ स्नान, सी) आराम के दिन, डी) मालिश चिकित्सा")</f>
        <v>ए) उचित वार्म-अप, बी) बर्फ स्नान, सी) आराम के दिन, डी) मालिश चिकित्सा</v>
      </c>
      <c r="K69" s="8" t="str">
        <f>IFERROR(__xludf.DUMMYFUNCTION("GOOGLETRANSLATE(E69, ""en"", ""hi"")"),"A) उचित वार्म-अप")</f>
        <v>A) उचित वार्म-अप</v>
      </c>
    </row>
    <row r="70" ht="22.5" customHeight="1">
      <c r="A70" s="2">
        <v>69.0</v>
      </c>
      <c r="B70" s="3"/>
      <c r="C70" s="3" t="s">
        <v>5423</v>
      </c>
      <c r="D70" s="3" t="s">
        <v>5424</v>
      </c>
      <c r="E70" s="3" t="s">
        <v>1873</v>
      </c>
      <c r="G70" s="8" t="str">
        <f>IFERROR(__xludf.DUMMYFUNCTION("GOOGLETRANSLATE(A70, ""en"", ""hi"")"),"69")</f>
        <v>69</v>
      </c>
      <c r="H70" s="8" t="str">
        <f>IFERROR(__xludf.DUMMYFUNCTION("GOOGLETRANSLATE(B70, ""en"", ""hi"")"),"#VALUE!")</f>
        <v>#VALUE!</v>
      </c>
      <c r="I70" s="8" t="str">
        <f>IFERROR(__xludf.DUMMYFUNCTION("GOOGLETRANSLATE(C70, ""en"", ""hi"")"),"चित्र में दर्शाए गए खेल के लिए मैच के बाद के विश्लेषण का सामान्य पहलू क्या है?")</f>
        <v>चित्र में दर्शाए गए खेल के लिए मैच के बाद के विश्लेषण का सामान्य पहलू क्या है?</v>
      </c>
      <c r="J70" s="8" t="str">
        <f>IFERROR(__xludf.DUMMYFUNCTION("GOOGLETRANSLATE(D70, ""en"", ""hi"")"),"A) रणनीति की समीक्षा करना, B) प्रतिद्वंद्वी की तकनीकों का विश्लेषण करना, C) व्यक्तिगत प्रदर्शन का आकलन करना, D) उपरोक्त सभी")</f>
        <v>A) रणनीति की समीक्षा करना, B) प्रतिद्वंद्वी की तकनीकों का विश्लेषण करना, C) व्यक्तिगत प्रदर्शन का आकलन करना, D) उपरोक्त सभी</v>
      </c>
      <c r="K70" s="8" t="str">
        <f>IFERROR(__xludf.DUMMYFUNCTION("GOOGLETRANSLATE(E70, ""en"", ""hi"")"),"D। उपरोक्त सभी")</f>
        <v>D। उपरोक्त सभी</v>
      </c>
    </row>
    <row r="71" ht="22.5" customHeight="1">
      <c r="A71" s="2">
        <v>70.0</v>
      </c>
      <c r="B71" s="3"/>
      <c r="C71" s="3" t="s">
        <v>5425</v>
      </c>
      <c r="D71" s="3" t="s">
        <v>5426</v>
      </c>
      <c r="E71" s="3" t="s">
        <v>5427</v>
      </c>
      <c r="G71" s="8" t="str">
        <f>IFERROR(__xludf.DUMMYFUNCTION("GOOGLETRANSLATE(A71, ""en"", ""hi"")"),"70")</f>
        <v>70</v>
      </c>
      <c r="H71" s="8" t="str">
        <f>IFERROR(__xludf.DUMMYFUNCTION("GOOGLETRANSLATE(B71, ""en"", ""hi"")"),"#VALUE!")</f>
        <v>#VALUE!</v>
      </c>
      <c r="I71" s="8" t="str">
        <f>IFERROR(__xludf.DUMMYFUNCTION("GOOGLETRANSLATE(C71, ""en"", ""hi"")"),"चित्र में मुकना के लिए सामान्य प्रशिक्षण अभ्यास क्या है?")</f>
        <v>चित्र में मुकना के लिए सामान्य प्रशिक्षण अभ्यास क्या है?</v>
      </c>
      <c r="J71" s="8" t="str">
        <f>IFERROR(__xludf.DUMMYFUNCTION("GOOGLETRANSLATE(D71, ""en"", ""hi"")"),"ए) तकनीक दोहराव, बी) धीरज दौड़, सी) शक्ति प्रशिक्षण, डी) चपलता अभ्यास")</f>
        <v>ए) तकनीक दोहराव, बी) धीरज दौड़, सी) शक्ति प्रशिक्षण, डी) चपलता अभ्यास</v>
      </c>
      <c r="K71" s="8" t="str">
        <f>IFERROR(__xludf.DUMMYFUNCTION("GOOGLETRANSLATE(E71, ""en"", ""hi"")"),"A) तकनीक पुनरावृत्ति")</f>
        <v>A) तकनीक पुनरावृत्ति</v>
      </c>
    </row>
    <row r="72" ht="22.5" customHeight="1">
      <c r="A72" s="2">
        <v>71.0</v>
      </c>
      <c r="B72" s="3"/>
      <c r="C72" s="3" t="s">
        <v>5428</v>
      </c>
      <c r="D72" s="3" t="s">
        <v>5429</v>
      </c>
      <c r="E72" s="3" t="s">
        <v>5430</v>
      </c>
      <c r="G72" s="8" t="str">
        <f>IFERROR(__xludf.DUMMYFUNCTION("GOOGLETRANSLATE(A72, ""en"", ""hi"")"),"71")</f>
        <v>71</v>
      </c>
      <c r="H72" s="8" t="str">
        <f>IFERROR(__xludf.DUMMYFUNCTION("GOOGLETRANSLATE(B72, ""en"", ""hi"")"),"#VALUE!")</f>
        <v>#VALUE!</v>
      </c>
      <c r="I72" s="8" t="str">
        <f>IFERROR(__xludf.DUMMYFUNCTION("GOOGLETRANSLATE(C72, ""en"", ""hi"")"),"चित्र में दिखाए गए खेल में सफलता के लिए प्रमुख मानसिक कौशल क्या है?")</f>
        <v>चित्र में दिखाए गए खेल में सफलता के लिए प्रमुख मानसिक कौशल क्या है?</v>
      </c>
      <c r="J72" s="8" t="str">
        <f>IFERROR(__xludf.DUMMYFUNCTION("GOOGLETRANSLATE(D72, ""en"", ""hi"")"),"A) फोकस, B) आक्रामकता, C) धैर्य, D) आत्मविश्वास")</f>
        <v>A) फोकस, B) आक्रामकता, C) धैर्य, D) आत्मविश्वास</v>
      </c>
      <c r="K72" s="8" t="str">
        <f>IFERROR(__xludf.DUMMYFUNCTION("GOOGLETRANSLATE(E72, ""en"", ""hi"")"),"डी) आत्मविश्वास")</f>
        <v>डी) आत्मविश्वास</v>
      </c>
    </row>
    <row r="73" ht="22.5" customHeight="1">
      <c r="A73" s="2">
        <v>72.0</v>
      </c>
      <c r="B73" s="3"/>
      <c r="C73" s="3" t="s">
        <v>5431</v>
      </c>
      <c r="D73" s="3" t="s">
        <v>5432</v>
      </c>
      <c r="E73" s="3" t="s">
        <v>5433</v>
      </c>
      <c r="G73" s="8" t="str">
        <f>IFERROR(__xludf.DUMMYFUNCTION("GOOGLETRANSLATE(A73, ""en"", ""hi"")"),"72")</f>
        <v>72</v>
      </c>
      <c r="H73" s="8" t="str">
        <f>IFERROR(__xludf.DUMMYFUNCTION("GOOGLETRANSLATE(B73, ""en"", ""hi"")"),"#VALUE!")</f>
        <v>#VALUE!</v>
      </c>
      <c r="I73" s="8" t="str">
        <f>IFERROR(__xludf.DUMMYFUNCTION("GOOGLETRANSLATE(C73, ""en"", ""hi"")"),"चित्र में, मुकना के लिए किस प्रकार के जूते की सिफारिश की गई है?")</f>
        <v>चित्र में, मुकना के लिए किस प्रकार के जूते की सिफारिश की गई है?</v>
      </c>
      <c r="J73" s="8" t="str">
        <f>IFERROR(__xludf.DUMMYFUNCTION("GOOGLETRANSLATE(D73, ""en"", ""hi"")"),"A) मुलायम तले वाले जूते, B) क्लीट्स, C) नंगे पांव, D) एथलेटिक जूते")</f>
        <v>A) मुलायम तले वाले जूते, B) क्लीट्स, C) नंगे पांव, D) एथलेटिक जूते</v>
      </c>
      <c r="K73" s="8" t="str">
        <f>IFERROR(__xludf.DUMMYFUNCTION("GOOGLETRANSLATE(E73, ""en"", ""hi"")"),"A) मुलायम तले वाले जूते")</f>
        <v>A) मुलायम तले वाले जूते</v>
      </c>
    </row>
    <row r="74" ht="22.5" customHeight="1">
      <c r="A74" s="2">
        <v>73.0</v>
      </c>
      <c r="B74" s="3"/>
      <c r="C74" s="3" t="s">
        <v>5434</v>
      </c>
      <c r="D74" s="3" t="s">
        <v>5435</v>
      </c>
      <c r="E74" s="3" t="s">
        <v>5436</v>
      </c>
      <c r="G74" s="8" t="str">
        <f>IFERROR(__xludf.DUMMYFUNCTION("GOOGLETRANSLATE(A74, ""en"", ""hi"")"),"73")</f>
        <v>73</v>
      </c>
      <c r="H74" s="8" t="str">
        <f>IFERROR(__xludf.DUMMYFUNCTION("GOOGLETRANSLATE(B74, ""en"", ""hi"")"),"#VALUE!")</f>
        <v>#VALUE!</v>
      </c>
      <c r="I74" s="8" t="str">
        <f>IFERROR(__xludf.DUMMYFUNCTION("GOOGLETRANSLATE(C74, ""en"", ""hi"")"),"चित्र में दर्शाए गए खेल के लिए, एथलीटों के लिए सामान्य आहार अनुपूरक क्या है?")</f>
        <v>चित्र में दर्शाए गए खेल के लिए, एथलीटों के लिए सामान्य आहार अनुपूरक क्या है?</v>
      </c>
      <c r="J74" s="8" t="str">
        <f>IFERROR(__xludf.DUMMYFUNCTION("GOOGLETRANSLATE(D74, ""en"", ""hi"")"),"A) प्रोटीन पाउडर, B) क्रिएटिन, C) विटामिन सप्लीमेंट्स, D) एनर्जी बार")</f>
        <v>A) प्रोटीन पाउडर, B) क्रिएटिन, C) विटामिन सप्लीमेंट्स, D) एनर्जी बार</v>
      </c>
      <c r="K74" s="8" t="str">
        <f>IFERROR(__xludf.DUMMYFUNCTION("GOOGLETRANSLATE(E74, ""en"", ""hi"")"),"A) प्रोटीन पाउडर")</f>
        <v>A) प्रोटीन पाउडर</v>
      </c>
    </row>
    <row r="75" ht="22.5" customHeight="1">
      <c r="A75" s="2">
        <v>74.0</v>
      </c>
      <c r="B75" s="3"/>
      <c r="C75" s="3" t="s">
        <v>5437</v>
      </c>
      <c r="D75" s="3" t="s">
        <v>5438</v>
      </c>
      <c r="E75" s="3" t="s">
        <v>5439</v>
      </c>
      <c r="G75" s="8" t="str">
        <f>IFERROR(__xludf.DUMMYFUNCTION("GOOGLETRANSLATE(A75, ""en"", ""hi"")"),"74")</f>
        <v>74</v>
      </c>
      <c r="H75" s="8" t="str">
        <f>IFERROR(__xludf.DUMMYFUNCTION("GOOGLETRANSLATE(B75, ""en"", ""hi"")"),"#VALUE!")</f>
        <v>#VALUE!</v>
      </c>
      <c r="I75" s="8" t="str">
        <f>IFERROR(__xludf.DUMMYFUNCTION("GOOGLETRANSLATE(C75, ""en"", ""hi"")"),"चित्र में, प्रतिक्रिया समय में सुधार के लिए सामान्य विधि क्या है?")</f>
        <v>चित्र में, प्रतिक्रिया समय में सुधार के लिए सामान्य विधि क्या है?</v>
      </c>
      <c r="J75" s="8" t="str">
        <f>IFERROR(__xludf.DUMMYFUNCTION("GOOGLETRANSLATE(D75, ""en"", ""hi"")"),"A) गति अभ्यास, B) प्रतिवर्त प्रशिक्षण, C) शक्ति प्रशिक्षण, D) धीरज अभ्यास")</f>
        <v>A) गति अभ्यास, B) प्रतिवर्त प्रशिक्षण, C) शक्ति प्रशिक्षण, D) धीरज अभ्यास</v>
      </c>
      <c r="K75" s="8" t="str">
        <f>IFERROR(__xludf.DUMMYFUNCTION("GOOGLETRANSLATE(E75, ""en"", ""hi"")"),"बी) रिफ्लेक्स प्रशिक्षण")</f>
        <v>बी) रिफ्लेक्स प्रशिक्षण</v>
      </c>
    </row>
    <row r="76" ht="22.5" customHeight="1">
      <c r="A76" s="2">
        <v>75.0</v>
      </c>
      <c r="B76" s="3"/>
      <c r="C76" s="3" t="s">
        <v>5440</v>
      </c>
      <c r="D76" s="3" t="s">
        <v>5441</v>
      </c>
      <c r="E76" s="3" t="s">
        <v>1873</v>
      </c>
      <c r="G76" s="8" t="str">
        <f>IFERROR(__xludf.DUMMYFUNCTION("GOOGLETRANSLATE(A76, ""en"", ""hi"")"),"75")</f>
        <v>75</v>
      </c>
      <c r="H76" s="8" t="str">
        <f>IFERROR(__xludf.DUMMYFUNCTION("GOOGLETRANSLATE(B76, ""en"", ""hi"")"),"#VALUE!")</f>
        <v>#VALUE!</v>
      </c>
      <c r="I76" s="8" t="str">
        <f>IFERROR(__xludf.DUMMYFUNCTION("GOOGLETRANSLATE(C76, ""en"", ""hi"")"),"चित्र में दिखाए गए खेल के लिए प्रशिक्षण सत्रों का सामान्य प्रारूप क्या है?")</f>
        <v>चित्र में दिखाए गए खेल के लिए प्रशिक्षण सत्रों का सामान्य प्रारूप क्या है?</v>
      </c>
      <c r="J76" s="8" t="str">
        <f>IFERROR(__xludf.DUMMYFUNCTION("GOOGLETRANSLATE(D76, ""en"", ""hi"")"),"A) कौशल अभ्यास, B) स्पैरिंग सत्र, C) कंडीशनिंग वर्कआउट, D) उपरोक्त सभी")</f>
        <v>A) कौशल अभ्यास, B) स्पैरिंग सत्र, C) कंडीशनिंग वर्कआउट, D) उपरोक्त सभी</v>
      </c>
      <c r="K76" s="8" t="str">
        <f>IFERROR(__xludf.DUMMYFUNCTION("GOOGLETRANSLATE(E76, ""en"", ""hi"")"),"D। उपरोक्त सभी")</f>
        <v>D। उपरोक्त सभी</v>
      </c>
    </row>
    <row r="77" ht="22.5" customHeight="1">
      <c r="A77" s="2">
        <v>76.0</v>
      </c>
      <c r="B77" s="3"/>
      <c r="C77" s="3" t="s">
        <v>5442</v>
      </c>
      <c r="D77" s="3" t="s">
        <v>5443</v>
      </c>
      <c r="E77" s="3" t="s">
        <v>5188</v>
      </c>
      <c r="G77" s="8" t="str">
        <f>IFERROR(__xludf.DUMMYFUNCTION("GOOGLETRANSLATE(A77, ""en"", ""hi"")"),"76")</f>
        <v>76</v>
      </c>
      <c r="H77" s="8" t="str">
        <f>IFERROR(__xludf.DUMMYFUNCTION("GOOGLETRANSLATE(B77, ""en"", ""hi"")"),"#VALUE!")</f>
        <v>#VALUE!</v>
      </c>
      <c r="I77" s="8" t="str">
        <f>IFERROR(__xludf.DUMMYFUNCTION("GOOGLETRANSLATE(C77, ""en"", ""hi"")"),"चित्र में, मुकना अभ्यास में एक सामान्य फोकस क्षेत्र क्या है?")</f>
        <v>चित्र में, मुकना अभ्यास में एक सामान्य फोकस क्षेत्र क्या है?</v>
      </c>
      <c r="J77" s="8" t="str">
        <f>IFERROR(__xludf.DUMMYFUNCTION("GOOGLETRANSLATE(D77, ""en"", ""hi"")"),"A) तकनीक परिशोधन, B) गति वृद्धि, C) सहनशक्ति निर्माण, D) शक्ति प्रशिक्षण")</f>
        <v>A) तकनीक परिशोधन, B) गति वृद्धि, C) सहनशक्ति निर्माण, D) शक्ति प्रशिक्षण</v>
      </c>
      <c r="K77" s="8" t="str">
        <f>IFERROR(__xludf.DUMMYFUNCTION("GOOGLETRANSLATE(E77, ""en"", ""hi"")"),"ए) तकनीक परिशोधन")</f>
        <v>ए) तकनीक परिशोधन</v>
      </c>
    </row>
    <row r="78" ht="22.5" customHeight="1">
      <c r="A78" s="2">
        <v>77.0</v>
      </c>
      <c r="B78" s="3"/>
      <c r="C78" s="3" t="s">
        <v>5444</v>
      </c>
      <c r="D78" s="3" t="s">
        <v>5445</v>
      </c>
      <c r="E78" s="3" t="s">
        <v>5446</v>
      </c>
      <c r="G78" s="8" t="str">
        <f>IFERROR(__xludf.DUMMYFUNCTION("GOOGLETRANSLATE(A78, ""en"", ""hi"")"),"77")</f>
        <v>77</v>
      </c>
      <c r="H78" s="8" t="str">
        <f>IFERROR(__xludf.DUMMYFUNCTION("GOOGLETRANSLATE(B78, ""en"", ""hi"")"),"#VALUE!")</f>
        <v>#VALUE!</v>
      </c>
      <c r="I78" s="8" t="str">
        <f>IFERROR(__xludf.DUMMYFUNCTION("GOOGLETRANSLATE(C78, ""en"", ""hi"")"),"चित्र में दर्शाए गए खेल के लिए, मैच से पहले सामान्य भोजन क्या है?")</f>
        <v>चित्र में दर्शाए गए खेल के लिए, मैच से पहले सामान्य भोजन क्या है?</v>
      </c>
      <c r="J78" s="8" t="str">
        <f>IFERROR(__xludf.DUMMYFUNCTION("GOOGLETRANSLATE(D78, ""en"", ""hi"")"),"A) उच्च कार्बोहाइड्रेट वाला भोजन, B) उच्च प्रोटीन वाला भोजन, C) संतुलित भोजन, D) उच्च वसा वाला भोजन")</f>
        <v>A) उच्च कार्बोहाइड्रेट वाला भोजन, B) उच्च प्रोटीन वाला भोजन, C) संतुलित भोजन, D) उच्च वसा वाला भोजन</v>
      </c>
      <c r="K78" s="8" t="str">
        <f>IFERROR(__xludf.DUMMYFUNCTION("GOOGLETRANSLATE(E78, ""en"", ""hi"")"),"C) संतुलित भोजन")</f>
        <v>C) संतुलित भोजन</v>
      </c>
    </row>
    <row r="79" ht="22.5" customHeight="1">
      <c r="A79" s="2">
        <v>78.0</v>
      </c>
      <c r="B79" s="3"/>
      <c r="C79" s="3" t="s">
        <v>5447</v>
      </c>
      <c r="D79" s="3" t="s">
        <v>5448</v>
      </c>
      <c r="E79" s="3" t="s">
        <v>5449</v>
      </c>
      <c r="G79" s="8" t="str">
        <f>IFERROR(__xludf.DUMMYFUNCTION("GOOGLETRANSLATE(A79, ""en"", ""hi"")"),"78")</f>
        <v>78</v>
      </c>
      <c r="H79" s="8" t="str">
        <f>IFERROR(__xludf.DUMMYFUNCTION("GOOGLETRANSLATE(B79, ""en"", ""hi"")"),"#VALUE!")</f>
        <v>#VALUE!</v>
      </c>
      <c r="I79" s="8" t="str">
        <f>IFERROR(__xludf.DUMMYFUNCTION("GOOGLETRANSLATE(C79, ""en"", ""hi"")"),"चित्र में मुकना में होने वाली आम चोट क्या है?")</f>
        <v>चित्र में मुकना में होने वाली आम चोट क्या है?</v>
      </c>
      <c r="J79" s="8" t="str">
        <f>IFERROR(__xludf.DUMMYFUNCTION("GOOGLETRANSLATE(D79, ""en"", ""hi"")"),"A) मोच, B) फ्रैक्चर, C) अव्यवस्था, D) खिंचाव")</f>
        <v>A) मोच, B) फ्रैक्चर, C) अव्यवस्था, D) खिंचाव</v>
      </c>
      <c r="K79" s="8" t="str">
        <f>IFERROR(__xludf.DUMMYFUNCTION("GOOGLETRANSLATE(E79, ""en"", ""hi"")"),"D) उपभेदों")</f>
        <v>D) उपभेदों</v>
      </c>
    </row>
    <row r="80" ht="22.5" customHeight="1">
      <c r="A80" s="2">
        <v>79.0</v>
      </c>
      <c r="B80" s="3"/>
      <c r="C80" s="3" t="s">
        <v>5450</v>
      </c>
      <c r="D80" s="3" t="s">
        <v>5451</v>
      </c>
      <c r="E80" s="3" t="s">
        <v>1873</v>
      </c>
      <c r="G80" s="8" t="str">
        <f>IFERROR(__xludf.DUMMYFUNCTION("GOOGLETRANSLATE(A80, ""en"", ""hi"")"),"79")</f>
        <v>79</v>
      </c>
      <c r="H80" s="8" t="str">
        <f>IFERROR(__xludf.DUMMYFUNCTION("GOOGLETRANSLATE(B80, ""en"", ""hi"")"),"#VALUE!")</f>
        <v>#VALUE!</v>
      </c>
      <c r="I80" s="8" t="str">
        <f>IFERROR(__xludf.DUMMYFUNCTION("GOOGLETRANSLATE(C80, ""en"", ""hi"")"),"चित्र में दिखाए गए खेल में लाभ प्राप्त करने की सामान्य रणनीति क्या है?")</f>
        <v>चित्र में दिखाए गए खेल में लाभ प्राप्त करने की सामान्य रणनीति क्या है?</v>
      </c>
      <c r="J80" s="8" t="str">
        <f>IFERROR(__xludf.DUMMYFUNCTION("GOOGLETRANSLATE(D80, ""en"", ""hi"")"),"A) शारीरिक शक्ति, B) तकनीकी कौशल, C) गति, D) उपरोक्त सभी")</f>
        <v>A) शारीरिक शक्ति, B) तकनीकी कौशल, C) गति, D) उपरोक्त सभी</v>
      </c>
      <c r="K80" s="8" t="str">
        <f>IFERROR(__xludf.DUMMYFUNCTION("GOOGLETRANSLATE(E80, ""en"", ""hi"")"),"D। उपरोक्त सभी")</f>
        <v>D। उपरोक्त सभी</v>
      </c>
    </row>
    <row r="81" ht="22.5" customHeight="1">
      <c r="A81" s="2">
        <v>80.0</v>
      </c>
      <c r="B81" s="3"/>
      <c r="C81" s="3" t="s">
        <v>5452</v>
      </c>
      <c r="D81" s="3" t="s">
        <v>5453</v>
      </c>
      <c r="E81" s="3" t="s">
        <v>5454</v>
      </c>
      <c r="G81" s="8" t="str">
        <f>IFERROR(__xludf.DUMMYFUNCTION("GOOGLETRANSLATE(A81, ""en"", ""hi"")"),"80")</f>
        <v>80</v>
      </c>
      <c r="H81" s="8" t="str">
        <f>IFERROR(__xludf.DUMMYFUNCTION("GOOGLETRANSLATE(B81, ""en"", ""hi"")"),"#VALUE!")</f>
        <v>#VALUE!</v>
      </c>
      <c r="I81" s="8" t="str">
        <f>IFERROR(__xludf.DUMMYFUNCTION("GOOGLETRANSLATE(C81, ""en"", ""hi"")"),"चित्र में मुकना वर्दी की विशिष्ट विशेषता क्या है?")</f>
        <v>चित्र में मुकना वर्दी की विशिष्ट विशेषता क्या है?</v>
      </c>
      <c r="J81" s="8" t="str">
        <f>IFERROR(__xludf.DUMMYFUNCTION("GOOGLETRANSLATE(D81, ""en"", ""hi"")"),"A) स्थायित्व, B) शैली, C) रंग विविधता, D) लागत")</f>
        <v>A) स्थायित्व, B) शैली, C) रंग विविधता, D) लागत</v>
      </c>
      <c r="K81" s="8" t="str">
        <f>IFERROR(__xludf.DUMMYFUNCTION("GOOGLETRANSLATE(E81, ""en"", ""hi"")"),"ए) स्थायित्व")</f>
        <v>ए) स्थायित्व</v>
      </c>
    </row>
    <row r="82" ht="22.5" customHeight="1">
      <c r="A82" s="2">
        <v>81.0</v>
      </c>
      <c r="B82" s="3"/>
      <c r="C82" s="3" t="s">
        <v>5455</v>
      </c>
      <c r="D82" s="3" t="s">
        <v>5456</v>
      </c>
      <c r="E82" s="3" t="s">
        <v>5457</v>
      </c>
      <c r="G82" s="8" t="str">
        <f>IFERROR(__xludf.DUMMYFUNCTION("GOOGLETRANSLATE(A82, ""en"", ""hi"")"),"81")</f>
        <v>81</v>
      </c>
      <c r="H82" s="8" t="str">
        <f>IFERROR(__xludf.DUMMYFUNCTION("GOOGLETRANSLATE(B82, ""en"", ""hi"")"),"#VALUE!")</f>
        <v>#VALUE!</v>
      </c>
      <c r="I82" s="8" t="str">
        <f>IFERROR(__xludf.DUMMYFUNCTION("GOOGLETRANSLATE(C82, ""en"", ""hi"")"),"चित्र में दर्शाए गए खेल के लिए सामान्य प्रशिक्षण का प्रकार क्या है?")</f>
        <v>चित्र में दर्शाए गए खेल के लिए सामान्य प्रशिक्षण का प्रकार क्या है?</v>
      </c>
      <c r="J82" s="8" t="str">
        <f>IFERROR(__xludf.DUMMYFUNCTION("GOOGLETRANSLATE(D82, ""en"", ""hi"")"),"ए) कार्डियो वर्कआउट, बी) तकनीक अभ्यास, सी) शक्ति प्रशिक्षण, डी) लचीलापन व्यायाम")</f>
        <v>ए) कार्डियो वर्कआउट, बी) तकनीक अभ्यास, सी) शक्ति प्रशिक्षण, डी) लचीलापन व्यायाम</v>
      </c>
      <c r="K82" s="8" t="str">
        <f>IFERROR(__xludf.DUMMYFUNCTION("GOOGLETRANSLATE(E82, ""en"", ""hi"")"),"बी) तकनीक अभ्यास")</f>
        <v>बी) तकनीक अभ्यास</v>
      </c>
    </row>
    <row r="83" ht="22.5" customHeight="1">
      <c r="A83" s="2">
        <v>82.0</v>
      </c>
      <c r="B83" s="3"/>
      <c r="C83" s="3" t="s">
        <v>5458</v>
      </c>
      <c r="D83" s="3" t="s">
        <v>5459</v>
      </c>
      <c r="E83" s="3" t="s">
        <v>5001</v>
      </c>
      <c r="G83" s="8" t="str">
        <f>IFERROR(__xludf.DUMMYFUNCTION("GOOGLETRANSLATE(A83, ""en"", ""hi"")"),"82")</f>
        <v>82</v>
      </c>
      <c r="H83" s="8" t="str">
        <f>IFERROR(__xludf.DUMMYFUNCTION("GOOGLETRANSLATE(B83, ""en"", ""hi"")"),"#VALUE!")</f>
        <v>#VALUE!</v>
      </c>
      <c r="I83" s="8" t="str">
        <f>IFERROR(__xludf.DUMMYFUNCTION("GOOGLETRANSLATE(C83, ""en"", ""hi"")"),"चित्र में चपलता बढ़ाने का सामान्य तरीका क्या है?")</f>
        <v>चित्र में चपलता बढ़ाने का सामान्य तरीका क्या है?</v>
      </c>
      <c r="J83" s="8" t="str">
        <f>IFERROR(__xludf.DUMMYFUNCTION("GOOGLETRANSLATE(D83, ""en"", ""hi"")"),"ए) सीढ़ी अभ्यास, बी) दौड़ने का अभ्यास, सी) लचीलापन अभ्यास, डी) शक्ति प्रशिक्षण")</f>
        <v>ए) सीढ़ी अभ्यास, बी) दौड़ने का अभ्यास, सी) लचीलापन अभ्यास, डी) शक्ति प्रशिक्षण</v>
      </c>
      <c r="K83" s="8" t="str">
        <f>IFERROR(__xludf.DUMMYFUNCTION("GOOGLETRANSLATE(E83, ""en"", ""hi"")"),"ए) सीढ़ी ड्रिल")</f>
        <v>ए) सीढ़ी ड्रिल</v>
      </c>
    </row>
    <row r="84" ht="22.5" customHeight="1">
      <c r="A84" s="2">
        <v>83.0</v>
      </c>
      <c r="B84" s="3"/>
      <c r="C84" s="3" t="s">
        <v>5460</v>
      </c>
      <c r="D84" s="3" t="s">
        <v>5461</v>
      </c>
      <c r="E84" s="3" t="s">
        <v>1873</v>
      </c>
      <c r="G84" s="8" t="str">
        <f>IFERROR(__xludf.DUMMYFUNCTION("GOOGLETRANSLATE(A84, ""en"", ""hi"")"),"83")</f>
        <v>83</v>
      </c>
      <c r="H84" s="8" t="str">
        <f>IFERROR(__xludf.DUMMYFUNCTION("GOOGLETRANSLATE(B84, ""en"", ""hi"")"),"#VALUE!")</f>
        <v>#VALUE!</v>
      </c>
      <c r="I84" s="8" t="str">
        <f>IFERROR(__xludf.DUMMYFUNCTION("GOOGLETRANSLATE(C84, ""en"", ""hi"")"),"चित्र में दिखाए गए खेल के लिए सामान्य मनोवैज्ञानिक तैयारी तकनीक क्या है?")</f>
        <v>चित्र में दिखाए गए खेल के लिए सामान्य मनोवैज्ञानिक तैयारी तकनीक क्या है?</v>
      </c>
      <c r="J84" s="8" t="str">
        <f>IFERROR(__xludf.DUMMYFUNCTION("GOOGLETRANSLATE(D84, ""en"", ""hi"")"),"A) विज़ुअलाइज़ेशन, B) ध्यान, C) पुष्टिकरण, D) उपरोक्त सभी")</f>
        <v>A) विज़ुअलाइज़ेशन, B) ध्यान, C) पुष्टिकरण, D) उपरोक्त सभी</v>
      </c>
      <c r="K84" s="8" t="str">
        <f>IFERROR(__xludf.DUMMYFUNCTION("GOOGLETRANSLATE(E84, ""en"", ""hi"")"),"D। उपरोक्त सभी")</f>
        <v>D। उपरोक्त सभी</v>
      </c>
    </row>
    <row r="85" ht="22.5" customHeight="1">
      <c r="A85" s="2">
        <v>84.0</v>
      </c>
      <c r="B85" s="3"/>
      <c r="C85" s="3" t="s">
        <v>5462</v>
      </c>
      <c r="D85" s="3" t="s">
        <v>5463</v>
      </c>
      <c r="E85" s="3" t="s">
        <v>1873</v>
      </c>
      <c r="G85" s="8" t="str">
        <f>IFERROR(__xludf.DUMMYFUNCTION("GOOGLETRANSLATE(A85, ""en"", ""hi"")"),"84")</f>
        <v>84</v>
      </c>
      <c r="H85" s="8" t="str">
        <f>IFERROR(__xludf.DUMMYFUNCTION("GOOGLETRANSLATE(B85, ""en"", ""hi"")"),"#VALUE!")</f>
        <v>#VALUE!</v>
      </c>
      <c r="I85" s="8" t="str">
        <f>IFERROR(__xludf.DUMMYFUNCTION("GOOGLETRANSLATE(C85, ""en"", ""hi"")"),"चित्र में, मुकना में तकनीक सुधारने का सामान्य तरीका क्या है?")</f>
        <v>चित्र में, मुकना में तकनीक सुधारने का सामान्य तरीका क्या है?</v>
      </c>
      <c r="J85" s="8" t="str">
        <f>IFERROR(__xludf.DUMMYFUNCTION("GOOGLETRANSLATE(D85, ""en"", ""hi"")"),"A) नियमित अभ्यास, B) वीडियो देखना, C) कोचिंग फीडबैक, D) उपरोक्त सभी")</f>
        <v>A) नियमित अभ्यास, B) वीडियो देखना, C) कोचिंग फीडबैक, D) उपरोक्त सभी</v>
      </c>
      <c r="K85" s="8" t="str">
        <f>IFERROR(__xludf.DUMMYFUNCTION("GOOGLETRANSLATE(E85, ""en"", ""hi"")"),"D। उपरोक्त सभी")</f>
        <v>D। उपरोक्त सभी</v>
      </c>
    </row>
    <row r="86" ht="22.5" customHeight="1">
      <c r="A86" s="2">
        <v>85.0</v>
      </c>
      <c r="B86" s="3"/>
      <c r="C86" s="3" t="s">
        <v>5464</v>
      </c>
      <c r="D86" s="3" t="s">
        <v>5465</v>
      </c>
      <c r="E86" s="3" t="s">
        <v>5200</v>
      </c>
      <c r="G86" s="8" t="str">
        <f>IFERROR(__xludf.DUMMYFUNCTION("GOOGLETRANSLATE(A86, ""en"", ""hi"")"),"85")</f>
        <v>85</v>
      </c>
      <c r="H86" s="8" t="str">
        <f>IFERROR(__xludf.DUMMYFUNCTION("GOOGLETRANSLATE(B86, ""en"", ""hi"")"),"#VALUE!")</f>
        <v>#VALUE!</v>
      </c>
      <c r="I86" s="8" t="str">
        <f>IFERROR(__xludf.DUMMYFUNCTION("GOOGLETRANSLATE(C86, ""en"", ""hi"")"),"चित्र में दर्शाए गए खेल में संतुलन सुधारने के लिए सामान्य अभ्यास क्या है?")</f>
        <v>चित्र में दर्शाए गए खेल में संतुलन सुधारने के लिए सामान्य अभ्यास क्या है?</v>
      </c>
      <c r="J86" s="8" t="str">
        <f>IFERROR(__xludf.DUMMYFUNCTION("GOOGLETRANSLATE(D86, ""en"", ""hi"")"),"ए) संतुलन अभ्यास, बी) शक्ति व्यायाम, सी) कार्डियो वर्कआउट, डी) लचीलापन प्रशिक्षण")</f>
        <v>ए) संतुलन अभ्यास, बी) शक्ति व्यायाम, सी) कार्डियो वर्कआउट, डी) लचीलापन प्रशिक्षण</v>
      </c>
      <c r="K86" s="8" t="str">
        <f>IFERROR(__xludf.DUMMYFUNCTION("GOOGLETRANSLATE(E86, ""en"", ""hi"")"),"ए) संतुलन अभ्यास")</f>
        <v>ए) संतुलन अभ्यास</v>
      </c>
    </row>
    <row r="87" ht="22.5" customHeight="1">
      <c r="A87" s="2">
        <v>86.0</v>
      </c>
      <c r="B87" s="3"/>
      <c r="C87" s="3" t="s">
        <v>5466</v>
      </c>
      <c r="D87" s="3" t="s">
        <v>5467</v>
      </c>
      <c r="E87" s="3" t="s">
        <v>1873</v>
      </c>
      <c r="G87" s="8" t="str">
        <f>IFERROR(__xludf.DUMMYFUNCTION("GOOGLETRANSLATE(A87, ""en"", ""hi"")"),"86")</f>
        <v>86</v>
      </c>
      <c r="H87" s="8" t="str">
        <f>IFERROR(__xludf.DUMMYFUNCTION("GOOGLETRANSLATE(B87, ""en"", ""hi"")"),"#VALUE!")</f>
        <v>#VALUE!</v>
      </c>
      <c r="I87" s="8" t="str">
        <f>IFERROR(__xludf.DUMMYFUNCTION("GOOGLETRANSLATE(C87, ""en"", ""hi"")"),"चित्र में मुकना प्रशिक्षण का मुख्य पहलू क्या है?")</f>
        <v>चित्र में मुकना प्रशिक्षण का मुख्य पहलू क्या है?</v>
      </c>
      <c r="J87" s="8" t="str">
        <f>IFERROR(__xludf.DUMMYFUNCTION("GOOGLETRANSLATE(D87, ""en"", ""hi"")"),"A) कौशल विकास, B) शारीरिक कंडीशनिंग, C) मानसिक तैयारी, D) उपरोक्त सभी")</f>
        <v>A) कौशल विकास, B) शारीरिक कंडीशनिंग, C) मानसिक तैयारी, D) उपरोक्त सभी</v>
      </c>
      <c r="K87" s="8" t="str">
        <f>IFERROR(__xludf.DUMMYFUNCTION("GOOGLETRANSLATE(E87, ""en"", ""hi"")"),"D। उपरोक्त सभी")</f>
        <v>D। उपरोक्त सभी</v>
      </c>
    </row>
    <row r="88" ht="22.5" customHeight="1">
      <c r="A88" s="2">
        <v>87.0</v>
      </c>
      <c r="B88" s="3"/>
      <c r="C88" s="3" t="s">
        <v>5468</v>
      </c>
      <c r="D88" s="3" t="s">
        <v>5469</v>
      </c>
      <c r="E88" s="3" t="s">
        <v>5470</v>
      </c>
      <c r="G88" s="8" t="str">
        <f>IFERROR(__xludf.DUMMYFUNCTION("GOOGLETRANSLATE(A88, ""en"", ""hi"")"),"87")</f>
        <v>87</v>
      </c>
      <c r="H88" s="8" t="str">
        <f>IFERROR(__xludf.DUMMYFUNCTION("GOOGLETRANSLATE(B88, ""en"", ""hi"")"),"#VALUE!")</f>
        <v>#VALUE!</v>
      </c>
      <c r="I88" s="8" t="str">
        <f>IFERROR(__xludf.DUMMYFUNCTION("GOOGLETRANSLATE(C88, ""en"", ""hi"")"),"चित्र में दिखाए गए खेल में शुरुआती लोगों के लिए सामान्य चुनौती क्या है?")</f>
        <v>चित्र में दिखाए गए खेल में शुरुआती लोगों के लिए सामान्य चुनौती क्या है?</v>
      </c>
      <c r="J88" s="8" t="str">
        <f>IFERROR(__xludf.DUMMYFUNCTION("GOOGLETRANSLATE(D88, ""en"", ""hi"")"),"A) तकनीक सीखना, B) ताकत बढ़ाना, C) गति में सुधार करना, D) लचीलापन बढ़ाना")</f>
        <v>A) तकनीक सीखना, B) ताकत बढ़ाना, C) गति में सुधार करना, D) लचीलापन बढ़ाना</v>
      </c>
      <c r="K88" s="8" t="str">
        <f>IFERROR(__xludf.DUMMYFUNCTION("GOOGLETRANSLATE(E88, ""en"", ""hi"")"),"A) सीखने की तकनीकें")</f>
        <v>A) सीखने की तकनीकें</v>
      </c>
    </row>
    <row r="89" ht="22.5" customHeight="1">
      <c r="A89" s="2">
        <v>88.0</v>
      </c>
      <c r="B89" s="3"/>
      <c r="C89" s="3" t="s">
        <v>5471</v>
      </c>
      <c r="D89" s="3" t="s">
        <v>5472</v>
      </c>
      <c r="E89" s="3" t="s">
        <v>5473</v>
      </c>
      <c r="G89" s="8" t="str">
        <f>IFERROR(__xludf.DUMMYFUNCTION("GOOGLETRANSLATE(A89, ""en"", ""hi"")"),"88")</f>
        <v>88</v>
      </c>
      <c r="H89" s="8" t="str">
        <f>IFERROR(__xludf.DUMMYFUNCTION("GOOGLETRANSLATE(B89, ""en"", ""hi"")"),"#VALUE!")</f>
        <v>#VALUE!</v>
      </c>
      <c r="I89" s="8" t="str">
        <f>IFERROR(__xludf.DUMMYFUNCTION("GOOGLETRANSLATE(C89, ""en"", ""hi"")"),"चित्र में, मुकना में तकनीक सुधार के लिए प्रयुक्त होने वाला सामान्य उपकरण क्या है?")</f>
        <v>चित्र में, मुकना में तकनीक सुधार के लिए प्रयुक्त होने वाला सामान्य उपकरण क्या है?</v>
      </c>
      <c r="J89" s="8" t="str">
        <f>IFERROR(__xludf.DUMMYFUNCTION("GOOGLETRANSLATE(D89, ""en"", ""hi"")"),"ए) प्रशिक्षण डमी, बी) प्रतिरोध बैंड, सी) वजन, डी) चपलता सीढ़ियाँ")</f>
        <v>ए) प्रशिक्षण डमी, बी) प्रतिरोध बैंड, सी) वजन, डी) चपलता सीढ़ियाँ</v>
      </c>
      <c r="K89" s="8" t="str">
        <f>IFERROR(__xludf.DUMMYFUNCTION("GOOGLETRANSLATE(E89, ""en"", ""hi"")"),"ए) प्रशिक्षण डमी")</f>
        <v>ए) प्रशिक्षण डमी</v>
      </c>
    </row>
    <row r="90" ht="22.5" customHeight="1">
      <c r="A90" s="2">
        <v>89.0</v>
      </c>
      <c r="B90" s="3"/>
      <c r="C90" s="3" t="s">
        <v>5474</v>
      </c>
      <c r="D90" s="3" t="s">
        <v>5475</v>
      </c>
      <c r="E90" s="3" t="s">
        <v>1873</v>
      </c>
      <c r="G90" s="8" t="str">
        <f>IFERROR(__xludf.DUMMYFUNCTION("GOOGLETRANSLATE(A90, ""en"", ""hi"")"),"89")</f>
        <v>89</v>
      </c>
      <c r="H90" s="8" t="str">
        <f>IFERROR(__xludf.DUMMYFUNCTION("GOOGLETRANSLATE(B90, ""en"", ""hi"")"),"#VALUE!")</f>
        <v>#VALUE!</v>
      </c>
      <c r="I90" s="8" t="str">
        <f>IFERROR(__xludf.DUMMYFUNCTION("GOOGLETRANSLATE(C90, ""en"", ""hi"")"),"चित्र में दर्शाए गए खेल के लिए गहन प्रशिक्षण के बाद सामान्य पुनर्प्राप्ति अभ्यास क्या है?")</f>
        <v>चित्र में दर्शाए गए खेल के लिए गहन प्रशिक्षण के बाद सामान्य पुनर्प्राप्ति अभ्यास क्या है?</v>
      </c>
      <c r="J90" s="8" t="str">
        <f>IFERROR(__xludf.DUMMYFUNCTION("GOOGLETRANSLATE(D90, ""en"", ""hi"")"),"A) स्ट्रेचिंग, B) बर्फ स्नान, C) मालिश चिकित्सा, D) उपरोक्त सभी")</f>
        <v>A) स्ट्रेचिंग, B) बर्फ स्नान, C) मालिश चिकित्सा, D) उपरोक्त सभी</v>
      </c>
      <c r="K90" s="8" t="str">
        <f>IFERROR(__xludf.DUMMYFUNCTION("GOOGLETRANSLATE(E90, ""en"", ""hi"")"),"D। उपरोक्त सभी")</f>
        <v>D। उपरोक्त सभी</v>
      </c>
    </row>
    <row r="91" ht="22.5" customHeight="1">
      <c r="A91" s="2">
        <v>90.0</v>
      </c>
      <c r="B91" s="3"/>
      <c r="C91" s="3" t="s">
        <v>5476</v>
      </c>
      <c r="D91" s="3" t="s">
        <v>5477</v>
      </c>
      <c r="E91" s="3" t="s">
        <v>1873</v>
      </c>
      <c r="G91" s="8" t="str">
        <f>IFERROR(__xludf.DUMMYFUNCTION("GOOGLETRANSLATE(A91, ""en"", ""hi"")"),"90")</f>
        <v>90</v>
      </c>
      <c r="H91" s="8" t="str">
        <f>IFERROR(__xludf.DUMMYFUNCTION("GOOGLETRANSLATE(B91, ""en"", ""hi"")"),"#VALUE!")</f>
        <v>#VALUE!</v>
      </c>
      <c r="I91" s="8" t="str">
        <f>IFERROR(__xludf.DUMMYFUNCTION("GOOGLETRANSLATE(C91, ""en"", ""hi"")"),"चित्र में, मुकना प्रतियोगिताओं का सामान्य फोकस क्या है?")</f>
        <v>चित्र में, मुकना प्रतियोगिताओं का सामान्य फोकस क्या है?</v>
      </c>
      <c r="J91" s="8" t="str">
        <f>IFERROR(__xludf.DUMMYFUNCTION("GOOGLETRANSLATE(D91, ""en"", ""hi"")"),"A) तकनीक, B) शक्ति, C) रणनीति, D) उपरोक्त सभी")</f>
        <v>A) तकनीक, B) शक्ति, C) रणनीति, D) उपरोक्त सभी</v>
      </c>
      <c r="K91" s="8" t="str">
        <f>IFERROR(__xludf.DUMMYFUNCTION("GOOGLETRANSLATE(E91, ""en"", ""hi"")"),"D। उपरोक्त सभी")</f>
        <v>D। उपरोक्त सभी</v>
      </c>
    </row>
    <row r="92" ht="22.5" customHeight="1">
      <c r="A92" s="2">
        <v>91.0</v>
      </c>
      <c r="B92" s="3"/>
      <c r="C92" s="3" t="s">
        <v>5478</v>
      </c>
      <c r="D92" s="3" t="s">
        <v>5479</v>
      </c>
      <c r="E92" s="3" t="s">
        <v>1873</v>
      </c>
      <c r="G92" s="8" t="str">
        <f>IFERROR(__xludf.DUMMYFUNCTION("GOOGLETRANSLATE(A92, ""en"", ""hi"")"),"91")</f>
        <v>91</v>
      </c>
      <c r="H92" s="8" t="str">
        <f>IFERROR(__xludf.DUMMYFUNCTION("GOOGLETRANSLATE(B92, ""en"", ""hi"")"),"#VALUE!")</f>
        <v>#VALUE!</v>
      </c>
      <c r="I92" s="8" t="str">
        <f>IFERROR(__xludf.DUMMYFUNCTION("GOOGLETRANSLATE(C92, ""en"", ""hi"")"),"चित्र में दिखाए गए खेल के लिए सामान्य प्री-मैच दिनचर्या क्या है?")</f>
        <v>चित्र में दिखाए गए खेल के लिए सामान्य प्री-मैच दिनचर्या क्या है?</v>
      </c>
      <c r="J92" s="8" t="str">
        <f>IFERROR(__xludf.DUMMYFUNCTION("GOOGLETRANSLATE(D92, ""en"", ""hi"")"),"A) वार्म-अप, B) तकनीक समीक्षा, C) रणनीति चर्चा, D) उपरोक्त सभी")</f>
        <v>A) वार्म-अप, B) तकनीक समीक्षा, C) रणनीति चर्चा, D) उपरोक्त सभी</v>
      </c>
      <c r="K92" s="8" t="str">
        <f>IFERROR(__xludf.DUMMYFUNCTION("GOOGLETRANSLATE(E92, ""en"", ""hi"")"),"D। उपरोक्त सभी")</f>
        <v>D। उपरोक्त सभी</v>
      </c>
    </row>
    <row r="93" ht="22.5" customHeight="1">
      <c r="A93" s="2">
        <v>92.0</v>
      </c>
      <c r="B93" s="3"/>
      <c r="C93" s="3" t="s">
        <v>5480</v>
      </c>
      <c r="D93" s="3" t="s">
        <v>5481</v>
      </c>
      <c r="E93" s="3" t="s">
        <v>5482</v>
      </c>
      <c r="G93" s="8" t="str">
        <f>IFERROR(__xludf.DUMMYFUNCTION("GOOGLETRANSLATE(A93, ""en"", ""hi"")"),"92")</f>
        <v>92</v>
      </c>
      <c r="H93" s="8" t="str">
        <f>IFERROR(__xludf.DUMMYFUNCTION("GOOGLETRANSLATE(B93, ""en"", ""hi"")"),"#VALUE!")</f>
        <v>#VALUE!</v>
      </c>
      <c r="I93" s="8" t="str">
        <f>IFERROR(__xludf.DUMMYFUNCTION("GOOGLETRANSLATE(C93, ""en"", ""hi"")"),"चित्र में लचीलापन बढ़ाने के लिए सामान्य तरीका क्या है?")</f>
        <v>चित्र में लचीलापन बढ़ाने के लिए सामान्य तरीका क्या है?</v>
      </c>
      <c r="J93" s="8" t="str">
        <f>IFERROR(__xludf.DUMMYFUNCTION("GOOGLETRANSLATE(D93, ""en"", ""hi"")"),"ए) स्ट्रेचिंग रूटीन, बी) योग, सी) फोम रोलिंग, डी) शक्ति प्रशिक्षण")</f>
        <v>ए) स्ट्रेचिंग रूटीन, बी) योग, सी) फोम रोलिंग, डी) शक्ति प्रशिक्षण</v>
      </c>
      <c r="K93" s="8" t="str">
        <f>IFERROR(__xludf.DUMMYFUNCTION("GOOGLETRANSLATE(E93, ""en"", ""hi"")"),"ए) स्ट्रेचिंग रूटीन")</f>
        <v>ए) स्ट्रेचिंग रूटीन</v>
      </c>
    </row>
    <row r="94" ht="22.5" customHeight="1">
      <c r="A94" s="2">
        <v>93.0</v>
      </c>
      <c r="B94" s="3"/>
      <c r="C94" s="3" t="s">
        <v>5483</v>
      </c>
      <c r="D94" s="3" t="s">
        <v>5484</v>
      </c>
      <c r="E94" s="3" t="s">
        <v>1873</v>
      </c>
      <c r="G94" s="8" t="str">
        <f>IFERROR(__xludf.DUMMYFUNCTION("GOOGLETRANSLATE(A94, ""en"", ""hi"")"),"93")</f>
        <v>93</v>
      </c>
      <c r="H94" s="8" t="str">
        <f>IFERROR(__xludf.DUMMYFUNCTION("GOOGLETRANSLATE(B94, ""en"", ""hi"")"),"#VALUE!")</f>
        <v>#VALUE!</v>
      </c>
      <c r="I94" s="8" t="str">
        <f>IFERROR(__xludf.DUMMYFUNCTION("GOOGLETRANSLATE(C94, ""en"", ""hi"")"),"चित्र में दर्शाए गए खेल के लिए सफलता का महत्वपूर्ण कारक क्या है?")</f>
        <v>चित्र में दर्शाए गए खेल के लिए सफलता का महत्वपूर्ण कारक क्या है?</v>
      </c>
      <c r="J94" s="8" t="str">
        <f>IFERROR(__xludf.DUMMYFUNCTION("GOOGLETRANSLATE(D94, ""en"", ""hi"")"),"A) अनुशासन, B) तकनीक, C) शारीरिक फिटनेस, D) उपरोक्त सभी")</f>
        <v>A) अनुशासन, B) तकनीक, C) शारीरिक फिटनेस, D) उपरोक्त सभी</v>
      </c>
      <c r="K94" s="8" t="str">
        <f>IFERROR(__xludf.DUMMYFUNCTION("GOOGLETRANSLATE(E94, ""en"", ""hi"")"),"D। उपरोक्त सभी")</f>
        <v>D। उपरोक्त सभी</v>
      </c>
    </row>
    <row r="95" ht="22.5" customHeight="1">
      <c r="A95" s="2">
        <v>94.0</v>
      </c>
      <c r="B95" s="3"/>
      <c r="C95" s="3" t="s">
        <v>5485</v>
      </c>
      <c r="D95" s="3" t="s">
        <v>5486</v>
      </c>
      <c r="E95" s="3" t="s">
        <v>1873</v>
      </c>
      <c r="G95" s="8" t="str">
        <f>IFERROR(__xludf.DUMMYFUNCTION("GOOGLETRANSLATE(A95, ""en"", ""hi"")"),"94")</f>
        <v>94</v>
      </c>
      <c r="H95" s="8" t="str">
        <f>IFERROR(__xludf.DUMMYFUNCTION("GOOGLETRANSLATE(B95, ""en"", ""hi"")"),"#VALUE!")</f>
        <v>#VALUE!</v>
      </c>
      <c r="I95" s="8" t="str">
        <f>IFERROR(__xludf.DUMMYFUNCTION("GOOGLETRANSLATE(C95, ""en"", ""hi"")"),"चित्र में, मुकना अभ्यास सत्रों की एक सामान्य विशेषता क्या है?")</f>
        <v>चित्र में, मुकना अभ्यास सत्रों की एक सामान्य विशेषता क्या है?</v>
      </c>
      <c r="J95" s="8" t="str">
        <f>IFERROR(__xludf.DUMMYFUNCTION("GOOGLETRANSLATE(D95, ""en"", ""hi"")"),"A) केंद्रित कौशल अभ्यास, B) स्पैरिंग, C) कंडीशनिंग, D) उपरोक्त सभी")</f>
        <v>A) केंद्रित कौशल अभ्यास, B) स्पैरिंग, C) कंडीशनिंग, D) उपरोक्त सभी</v>
      </c>
      <c r="K95" s="8" t="str">
        <f>IFERROR(__xludf.DUMMYFUNCTION("GOOGLETRANSLATE(E95, ""en"", ""hi"")"),"D। उपरोक्त सभी")</f>
        <v>D। उपरोक्त सभी</v>
      </c>
    </row>
    <row r="96" ht="22.5" customHeight="1">
      <c r="A96" s="2">
        <v>95.0</v>
      </c>
      <c r="B96" s="3"/>
      <c r="C96" s="3" t="s">
        <v>5487</v>
      </c>
      <c r="D96" s="3" t="s">
        <v>5488</v>
      </c>
      <c r="E96" s="3" t="s">
        <v>5489</v>
      </c>
      <c r="G96" s="8" t="str">
        <f>IFERROR(__xludf.DUMMYFUNCTION("GOOGLETRANSLATE(A96, ""en"", ""hi"")"),"95")</f>
        <v>95</v>
      </c>
      <c r="H96" s="8" t="str">
        <f>IFERROR(__xludf.DUMMYFUNCTION("GOOGLETRANSLATE(B96, ""en"", ""hi"")"),"#VALUE!")</f>
        <v>#VALUE!</v>
      </c>
      <c r="I96" s="8" t="str">
        <f>IFERROR(__xludf.DUMMYFUNCTION("GOOGLETRANSLATE(C96, ""en"", ""hi"")"),"मुकना में मैच के दौरान प्राथमिक लक्ष्य क्या होता है?")</f>
        <v>मुकना में मैच के दौरान प्राथमिक लक्ष्य क्या होता है?</v>
      </c>
      <c r="J96" s="8" t="str">
        <f>IFERROR(__xludf.DUMMYFUNCTION("GOOGLETRANSLATE(D96, ""en"", ""hi"")"),"A) प्रतिद्वंद्वी को पिन करना, B) प्रतिद्वंद्वी को पटकना, C) प्रतिद्वंद्वी को थका देना, D) मजबूरन समर्पण करवाना")</f>
        <v>A) प्रतिद्वंद्वी को पिन करना, B) प्रतिद्वंद्वी को पटकना, C) प्रतिद्वंद्वी को थका देना, D) मजबूरन समर्पण करवाना</v>
      </c>
      <c r="K96" s="8" t="str">
        <f>IFERROR(__xludf.DUMMYFUNCTION("GOOGLETRANSLATE(E96, ""en"", ""hi"")"),"बी) प्रतिद्वंद्वी को गिराना")</f>
        <v>बी) प्रतिद्वंद्वी को गिराना</v>
      </c>
    </row>
    <row r="97" ht="22.5" customHeight="1">
      <c r="A97" s="2">
        <v>96.0</v>
      </c>
      <c r="B97" s="3"/>
      <c r="C97" s="3" t="s">
        <v>5490</v>
      </c>
      <c r="D97" s="3" t="s">
        <v>5491</v>
      </c>
      <c r="E97" s="3" t="s">
        <v>1873</v>
      </c>
      <c r="G97" s="8" t="str">
        <f>IFERROR(__xludf.DUMMYFUNCTION("GOOGLETRANSLATE(A97, ""en"", ""hi"")"),"96")</f>
        <v>96</v>
      </c>
      <c r="H97" s="8" t="str">
        <f>IFERROR(__xludf.DUMMYFUNCTION("GOOGLETRANSLATE(B97, ""en"", ""hi"")"),"#VALUE!")</f>
        <v>#VALUE!</v>
      </c>
      <c r="I97" s="8" t="str">
        <f>IFERROR(__xludf.DUMMYFUNCTION("GOOGLETRANSLATE(C97, ""en"", ""hi"")"),"मुकना में उत्तोलन प्राप्त करने की सामान्य तकनीक क्या है?")</f>
        <v>मुकना में उत्तोलन प्राप्त करने की सामान्य तकनीक क्या है?</v>
      </c>
      <c r="J97" s="8" t="str">
        <f>IFERROR(__xludf.DUMMYFUNCTION("GOOGLETRANSLATE(D97, ""en"", ""hi"")"),"A) पकड़ नियंत्रण, B) शरीर के वजन में बदलाव, C) पैर की स्थिति, D) उपरोक्त सभी")</f>
        <v>A) पकड़ नियंत्रण, B) शरीर के वजन में बदलाव, C) पैर की स्थिति, D) उपरोक्त सभी</v>
      </c>
      <c r="K97" s="8" t="str">
        <f>IFERROR(__xludf.DUMMYFUNCTION("GOOGLETRANSLATE(E97, ""en"", ""hi"")"),"D। उपरोक्त सभी")</f>
        <v>D। उपरोक्त सभी</v>
      </c>
    </row>
    <row r="98" ht="22.5" customHeight="1">
      <c r="A98" s="2">
        <v>97.0</v>
      </c>
      <c r="B98" s="3"/>
      <c r="C98" s="3" t="s">
        <v>5492</v>
      </c>
      <c r="D98" s="3" t="s">
        <v>5493</v>
      </c>
      <c r="E98" s="3" t="s">
        <v>5494</v>
      </c>
      <c r="G98" s="8" t="str">
        <f>IFERROR(__xludf.DUMMYFUNCTION("GOOGLETRANSLATE(A98, ""en"", ""hi"")"),"97")</f>
        <v>97</v>
      </c>
      <c r="H98" s="8" t="str">
        <f>IFERROR(__xludf.DUMMYFUNCTION("GOOGLETRANSLATE(B98, ""en"", ""hi"")"),"#VALUE!")</f>
        <v>#VALUE!</v>
      </c>
      <c r="I98" s="8" t="str">
        <f>IFERROR(__xludf.DUMMYFUNCTION("GOOGLETRANSLATE(C98, ""en"", ""hi"")"),"मुकना के लिए सहनशक्ति में सुधार के लिए अनुशंसित अभ्यास क्या है?")</f>
        <v>मुकना के लिए सहनशक्ति में सुधार के लिए अनुशंसित अभ्यास क्या है?</v>
      </c>
      <c r="J98" s="8" t="str">
        <f>IFERROR(__xludf.DUMMYFUNCTION("GOOGLETRANSLATE(D98, ""en"", ""hi"")"),"ए) अंतराल प्रशिक्षण, बी) लंबी दूरी की दौड़, सी) सर्किट प्रशिक्षण, डी) उच्च तीव्रता अंतराल प्रशिक्षण")</f>
        <v>ए) अंतराल प्रशिक्षण, बी) लंबी दूरी की दौड़, सी) सर्किट प्रशिक्षण, डी) उच्च तीव्रता अंतराल प्रशिक्षण</v>
      </c>
      <c r="K98" s="8" t="str">
        <f>IFERROR(__xludf.DUMMYFUNCTION("GOOGLETRANSLATE(E98, ""en"", ""hi"")"),"डी) उच्च तीव्रता अंतराल प्रशिक्षण")</f>
        <v>डी) उच्च तीव्रता अंतराल प्रशिक्षण</v>
      </c>
    </row>
    <row r="99" ht="22.5" customHeight="1">
      <c r="A99" s="2">
        <v>98.0</v>
      </c>
      <c r="B99" s="3"/>
      <c r="C99" s="3" t="s">
        <v>5495</v>
      </c>
      <c r="D99" s="3" t="s">
        <v>5496</v>
      </c>
      <c r="E99" s="3" t="s">
        <v>1873</v>
      </c>
      <c r="G99" s="8" t="str">
        <f>IFERROR(__xludf.DUMMYFUNCTION("GOOGLETRANSLATE(A99, ""en"", ""hi"")"),"98")</f>
        <v>98</v>
      </c>
      <c r="H99" s="8" t="str">
        <f>IFERROR(__xludf.DUMMYFUNCTION("GOOGLETRANSLATE(B99, ""en"", ""hi"")"),"#VALUE!")</f>
        <v>#VALUE!</v>
      </c>
      <c r="I99" s="8" t="str">
        <f>IFERROR(__xludf.DUMMYFUNCTION("GOOGLETRANSLATE(C99, ""en"", ""hi"")"),"मुकना में प्रभावी फुटवर्क का महत्वपूर्ण पहलू क्या है?")</f>
        <v>मुकना में प्रभावी फुटवर्क का महत्वपूर्ण पहलू क्या है?</v>
      </c>
      <c r="J99" s="8" t="str">
        <f>IFERROR(__xludf.DUMMYFUNCTION("GOOGLETRANSLATE(D99, ""en"", ""hi"")"),"A) गति, B) परिशुद्धता, C) संतुलन, D) उपरोक्त सभी")</f>
        <v>A) गति, B) परिशुद्धता, C) संतुलन, D) उपरोक्त सभी</v>
      </c>
      <c r="K99" s="8" t="str">
        <f>IFERROR(__xludf.DUMMYFUNCTION("GOOGLETRANSLATE(E99, ""en"", ""hi"")"),"D। उपरोक्त सभी")</f>
        <v>D। उपरोक्त सभी</v>
      </c>
    </row>
    <row r="100" ht="22.5" customHeight="1">
      <c r="A100" s="2">
        <v>99.0</v>
      </c>
      <c r="B100" s="3"/>
      <c r="C100" s="3" t="s">
        <v>5497</v>
      </c>
      <c r="D100" s="3" t="s">
        <v>5498</v>
      </c>
      <c r="E100" s="3" t="s">
        <v>5499</v>
      </c>
      <c r="G100" s="8" t="str">
        <f>IFERROR(__xludf.DUMMYFUNCTION("GOOGLETRANSLATE(A100, ""en"", ""hi"")"),"99")</f>
        <v>99</v>
      </c>
      <c r="H100" s="8" t="str">
        <f>IFERROR(__xludf.DUMMYFUNCTION("GOOGLETRANSLATE(B100, ""en"", ""hi"")"),"#VALUE!")</f>
        <v>#VALUE!</v>
      </c>
      <c r="I100" s="8" t="str">
        <f>IFERROR(__xludf.DUMMYFUNCTION("GOOGLETRANSLATE(C100, ""en"", ""hi"")"),"मुकना में प्रतिद्वंद्वी की पकड़ तोड़ने की सामान्य तकनीक क्या है?")</f>
        <v>मुकना में प्रतिद्वंद्वी की पकड़ तोड़ने की सामान्य तकनीक क्या है?</v>
      </c>
      <c r="J100" s="8" t="str">
        <f>IFERROR(__xludf.DUMMYFUNCTION("GOOGLETRANSLATE(D100, ""en"", ""hi"")"),"A) घुमाना, B) खींचना, C) प्रहार करना, D) दबाव बिंदु")</f>
        <v>A) घुमाना, B) खींचना, C) प्रहार करना, D) दबाव बिंदु</v>
      </c>
      <c r="K100" s="8" t="str">
        <f>IFERROR(__xludf.DUMMYFUNCTION("GOOGLETRANSLATE(E100, ""en"", ""hi"")"),"ए) घुमा")</f>
        <v>ए) घुमा</v>
      </c>
    </row>
    <row r="101" ht="22.5" customHeight="1">
      <c r="A101" s="2">
        <v>100.0</v>
      </c>
      <c r="B101" s="3"/>
      <c r="C101" s="3" t="s">
        <v>5500</v>
      </c>
      <c r="D101" s="3" t="s">
        <v>5501</v>
      </c>
      <c r="E101" s="3" t="s">
        <v>5502</v>
      </c>
      <c r="G101" s="8" t="str">
        <f>IFERROR(__xludf.DUMMYFUNCTION("GOOGLETRANSLATE(A101, ""en"", ""hi"")"),"100")</f>
        <v>100</v>
      </c>
      <c r="H101" s="8" t="str">
        <f>IFERROR(__xludf.DUMMYFUNCTION("GOOGLETRANSLATE(B101, ""en"", ""hi"")"),"#VALUE!")</f>
        <v>#VALUE!</v>
      </c>
      <c r="I101" s="8" t="str">
        <f>IFERROR(__xludf.DUMMYFUNCTION("GOOGLETRANSLATE(C101, ""en"", ""hi"")"),"मुकना अभ्यास के लिए किस प्रकार की सतह आदर्श है?")</f>
        <v>मुकना अभ्यास के लिए किस प्रकार की सतह आदर्श है?</v>
      </c>
      <c r="J101" s="8" t="str">
        <f>IFERROR(__xludf.DUMMYFUNCTION("GOOGLETRANSLATE(D101, ""en"", ""hi"")"),"A) मुलायम चटाई, B) घास, C) रेत, D) कठोर फर्श")</f>
        <v>A) मुलायम चटाई, B) घास, C) रेत, D) कठोर फर्श</v>
      </c>
      <c r="K101" s="8" t="str">
        <f>IFERROR(__xludf.DUMMYFUNCTION("GOOGLETRANSLATE(E101, ""en"", ""hi"")"),"A) नरम चटाई")</f>
        <v>A) नरम चटाई</v>
      </c>
    </row>
    <row r="102" ht="22.5" customHeight="1">
      <c r="A102" s="2">
        <v>101.0</v>
      </c>
      <c r="B102" s="3"/>
      <c r="C102" s="3" t="s">
        <v>5503</v>
      </c>
      <c r="D102" s="3" t="s">
        <v>5504</v>
      </c>
      <c r="E102" s="3" t="s">
        <v>5505</v>
      </c>
      <c r="G102" s="8" t="str">
        <f>IFERROR(__xludf.DUMMYFUNCTION("GOOGLETRANSLATE(A102, ""en"", ""hi"")"),"101")</f>
        <v>101</v>
      </c>
      <c r="H102" s="8" t="str">
        <f>IFERROR(__xludf.DUMMYFUNCTION("GOOGLETRANSLATE(B102, ""en"", ""hi"")"),"#VALUE!")</f>
        <v>#VALUE!</v>
      </c>
      <c r="I102" s="8" t="str">
        <f>IFERROR(__xludf.DUMMYFUNCTION("GOOGLETRANSLATE(C102, ""en"", ""hi"")"),"मुकना में प्रतिद्वंद्वी के थ्रो का मुकाबला करने के लिए प्रभावी तरीका क्या है?")</f>
        <v>मुकना में प्रतिद्वंद्वी के थ्रो का मुकाबला करने के लिए प्रभावी तरीका क्या है?</v>
      </c>
      <c r="J102" s="8" t="str">
        <f>IFERROR(__xludf.DUMMYFUNCTION("GOOGLETRANSLATE(D102, ""en"", ""hi"")"),"A) रोलिंग, B) ब्लॉकिंग, C) रीडायरेक्टिंग, D) एस्केपिंग")</f>
        <v>A) रोलिंग, B) ब्लॉकिंग, C) रीडायरेक्टिंग, D) एस्केपिंग</v>
      </c>
      <c r="K102" s="8" t="str">
        <f>IFERROR(__xludf.DUMMYFUNCTION("GOOGLETRANSLATE(E102, ""en"", ""hi"")"),"C) पुनर्निर्देशन")</f>
        <v>C) पुनर्निर्देशन</v>
      </c>
    </row>
    <row r="103" ht="22.5" customHeight="1">
      <c r="A103" s="2">
        <v>102.0</v>
      </c>
      <c r="B103" s="3"/>
      <c r="C103" s="3" t="s">
        <v>5506</v>
      </c>
      <c r="D103" s="3" t="s">
        <v>5507</v>
      </c>
      <c r="E103" s="3" t="s">
        <v>1873</v>
      </c>
      <c r="G103" s="8" t="str">
        <f>IFERROR(__xludf.DUMMYFUNCTION("GOOGLETRANSLATE(A103, ""en"", ""hi"")"),"102")</f>
        <v>102</v>
      </c>
      <c r="H103" s="8" t="str">
        <f>IFERROR(__xludf.DUMMYFUNCTION("GOOGLETRANSLATE(B103, ""en"", ""hi"")"),"#VALUE!")</f>
        <v>#VALUE!</v>
      </c>
      <c r="I103" s="8" t="str">
        <f>IFERROR(__xludf.DUMMYFUNCTION("GOOGLETRANSLATE(C103, ""en"", ""hi"")"),"मुकना में पकड़ की ताकत सुधारने का आम तरीका क्या है?")</f>
        <v>मुकना में पकड़ की ताकत सुधारने का आम तरीका क्या है?</v>
      </c>
      <c r="J103" s="8" t="str">
        <f>IFERROR(__xludf.DUMMYFUNCTION("GOOGLETRANSLATE(D103, ""en"", ""hi"")"),"A) हाथ व्यायाम, B) भारोत्तोलन, C) प्रतिरोध बैंड, D) उपरोक्त सभी")</f>
        <v>A) हाथ व्यायाम, B) भारोत्तोलन, C) प्रतिरोध बैंड, D) उपरोक्त सभी</v>
      </c>
      <c r="K103" s="8" t="str">
        <f>IFERROR(__xludf.DUMMYFUNCTION("GOOGLETRANSLATE(E103, ""en"", ""hi"")"),"D। उपरोक्त सभी")</f>
        <v>D। उपरोक्त सभी</v>
      </c>
    </row>
    <row r="104" ht="22.5" customHeight="1">
      <c r="A104" s="2">
        <v>103.0</v>
      </c>
      <c r="B104" s="3"/>
      <c r="C104" s="3" t="s">
        <v>5508</v>
      </c>
      <c r="D104" s="3" t="s">
        <v>5509</v>
      </c>
      <c r="E104" s="3" t="s">
        <v>1873</v>
      </c>
      <c r="G104" s="8" t="str">
        <f>IFERROR(__xludf.DUMMYFUNCTION("GOOGLETRANSLATE(A104, ""en"", ""hi"")"),"103")</f>
        <v>103</v>
      </c>
      <c r="H104" s="8" t="str">
        <f>IFERROR(__xludf.DUMMYFUNCTION("GOOGLETRANSLATE(B104, ""en"", ""hi"")"),"#VALUE!")</f>
        <v>#VALUE!</v>
      </c>
      <c r="I104" s="8" t="str">
        <f>IFERROR(__xludf.DUMMYFUNCTION("GOOGLETRANSLATE(C104, ""en"", ""hi"")"),"मुकना के लिए वार्म-अप रूटीन का एक विशिष्ट घटक क्या है?")</f>
        <v>मुकना के लिए वार्म-अप रूटीन का एक विशिष्ट घटक क्या है?</v>
      </c>
      <c r="J104" s="8" t="str">
        <f>IFERROR(__xludf.DUMMYFUNCTION("GOOGLETRANSLATE(D104, ""en"", ""hi"")"),"A) डायनामिक स्ट्रेचिंग, B) कार्डियो व्यायाम, C) कौशल अभ्यास, D) उपरोक्त सभी")</f>
        <v>A) डायनामिक स्ट्रेचिंग, B) कार्डियो व्यायाम, C) कौशल अभ्यास, D) उपरोक्त सभी</v>
      </c>
      <c r="K104" s="8" t="str">
        <f>IFERROR(__xludf.DUMMYFUNCTION("GOOGLETRANSLATE(E104, ""en"", ""hi"")"),"D। उपरोक्त सभी")</f>
        <v>D। उपरोक्त सभी</v>
      </c>
    </row>
    <row r="105" ht="22.5" customHeight="1">
      <c r="A105" s="2">
        <v>104.0</v>
      </c>
      <c r="B105" s="3"/>
      <c r="C105" s="3" t="s">
        <v>5510</v>
      </c>
      <c r="D105" s="3" t="s">
        <v>5511</v>
      </c>
      <c r="E105" s="3" t="s">
        <v>1873</v>
      </c>
      <c r="G105" s="8" t="str">
        <f>IFERROR(__xludf.DUMMYFUNCTION("GOOGLETRANSLATE(A105, ""en"", ""hi"")"),"104")</f>
        <v>104</v>
      </c>
      <c r="H105" s="8" t="str">
        <f>IFERROR(__xludf.DUMMYFUNCTION("GOOGLETRANSLATE(B105, ""en"", ""hi"")"),"#VALUE!")</f>
        <v>#VALUE!</v>
      </c>
      <c r="I105" s="8" t="str">
        <f>IFERROR(__xludf.DUMMYFUNCTION("GOOGLETRANSLATE(C105, ""en"", ""hi"")"),"मुकना में मैच से पहले मानसिक तैयारी के लिए आम तरीका क्या है?")</f>
        <v>मुकना में मैच से पहले मानसिक तैयारी के लिए आम तरीका क्या है?</v>
      </c>
      <c r="J105" s="8" t="str">
        <f>IFERROR(__xludf.DUMMYFUNCTION("GOOGLETRANSLATE(D105, ""en"", ""hi"")"),"A) विज़ुअलाइज़ेशन, B) गहरी साँस लेना, C) सकारात्मक पुष्टि, D) उपरोक्त सभी")</f>
        <v>A) विज़ुअलाइज़ेशन, B) गहरी साँस लेना, C) सकारात्मक पुष्टि, D) उपरोक्त सभी</v>
      </c>
      <c r="K105" s="8" t="str">
        <f>IFERROR(__xludf.DUMMYFUNCTION("GOOGLETRANSLATE(E105, ""en"", ""hi"")"),"D। उपरोक्त सभी")</f>
        <v>D। उपरोक्त सभी</v>
      </c>
    </row>
    <row r="106" ht="22.5" customHeight="1">
      <c r="A106" s="2">
        <v>105.0</v>
      </c>
      <c r="B106" s="3"/>
      <c r="C106" s="3" t="s">
        <v>5512</v>
      </c>
      <c r="D106" s="3" t="s">
        <v>5513</v>
      </c>
      <c r="E106" s="3" t="s">
        <v>1873</v>
      </c>
      <c r="G106" s="8" t="str">
        <f>IFERROR(__xludf.DUMMYFUNCTION("GOOGLETRANSLATE(A106, ""en"", ""hi"")"),"105")</f>
        <v>105</v>
      </c>
      <c r="H106" s="8" t="str">
        <f>IFERROR(__xludf.DUMMYFUNCTION("GOOGLETRANSLATE(B106, ""en"", ""hi"")"),"#VALUE!")</f>
        <v>#VALUE!</v>
      </c>
      <c r="I106" s="8" t="str">
        <f>IFERROR(__xludf.DUMMYFUNCTION("GOOGLETRANSLATE(C106, ""en"", ""hi"")"),"मुक्ना में रक्षात्मक युद्धाभ्यास के दौरान प्राथमिक ध्यान किस पर केन्द्रित होता है?")</f>
        <v>मुक्ना में रक्षात्मक युद्धाभ्यास के दौरान प्राथमिक ध्यान किस पर केन्द्रित होता है?</v>
      </c>
      <c r="J106" s="8" t="str">
        <f>IFERROR(__xludf.DUMMYFUNCTION("GOOGLETRANSLATE(D106, ""en"", ""hi"")"),"A) हमलों से बचना, B) जवाबी हमला करना, C) अवरोधन करना, D) उपरोक्त सभी")</f>
        <v>A) हमलों से बचना, B) जवाबी हमला करना, C) अवरोधन करना, D) उपरोक्त सभी</v>
      </c>
      <c r="K106" s="8" t="str">
        <f>IFERROR(__xludf.DUMMYFUNCTION("GOOGLETRANSLATE(E106, ""en"", ""hi"")"),"D। उपरोक्त सभी")</f>
        <v>D। उपरोक्त सभी</v>
      </c>
    </row>
    <row r="107" ht="22.5" customHeight="1">
      <c r="A107" s="2">
        <v>106.0</v>
      </c>
      <c r="B107" s="3"/>
      <c r="C107" s="3" t="s">
        <v>5514</v>
      </c>
      <c r="D107" s="3" t="s">
        <v>5515</v>
      </c>
      <c r="E107" s="3" t="s">
        <v>5516</v>
      </c>
      <c r="G107" s="8" t="str">
        <f>IFERROR(__xludf.DUMMYFUNCTION("GOOGLETRANSLATE(A107, ""en"", ""hi"")"),"106")</f>
        <v>106</v>
      </c>
      <c r="H107" s="8" t="str">
        <f>IFERROR(__xludf.DUMMYFUNCTION("GOOGLETRANSLATE(B107, ""en"", ""hi"")"),"#VALUE!")</f>
        <v>#VALUE!</v>
      </c>
      <c r="I107" s="8" t="str">
        <f>IFERROR(__xludf.DUMMYFUNCTION("GOOGLETRANSLATE(C107, ""en"", ""hi"")"),"मुकना में समन्वय सुधारने के लिए सामान्य प्रकार की ड्रिल क्या है?")</f>
        <v>मुकना में समन्वय सुधारने के लिए सामान्य प्रकार की ड्रिल क्या है?</v>
      </c>
      <c r="J107" s="8" t="str">
        <f>IFERROR(__xludf.DUMMYFUNCTION("GOOGLETRANSLATE(D107, ""en"", ""hi"")"),"ए) पार्टनर ड्रिल, बी) सोलो ड्रिल, सी) स्पीड ड्रिल, डी) फ्लेक्सिबिलिटी ड्रिल")</f>
        <v>ए) पार्टनर ड्रिल, बी) सोलो ड्रिल, सी) स्पीड ड्रिल, डी) फ्लेक्सिबिलिटी ड्रिल</v>
      </c>
      <c r="K107" s="8" t="str">
        <f>IFERROR(__xludf.DUMMYFUNCTION("GOOGLETRANSLATE(E107, ""en"", ""hi"")"),"ए) पार्टनर अभ्यास")</f>
        <v>ए) पार्टनर अभ्यास</v>
      </c>
    </row>
    <row r="108" ht="22.5" customHeight="1">
      <c r="A108" s="2">
        <v>107.0</v>
      </c>
      <c r="B108" s="3"/>
      <c r="C108" s="3" t="s">
        <v>5517</v>
      </c>
      <c r="D108" s="3" t="s">
        <v>5518</v>
      </c>
      <c r="E108" s="3" t="s">
        <v>1873</v>
      </c>
      <c r="G108" s="8" t="str">
        <f>IFERROR(__xludf.DUMMYFUNCTION("GOOGLETRANSLATE(A108, ""en"", ""hi"")"),"107")</f>
        <v>107</v>
      </c>
      <c r="H108" s="8" t="str">
        <f>IFERROR(__xludf.DUMMYFUNCTION("GOOGLETRANSLATE(B108, ""en"", ""hi"")"),"#VALUE!")</f>
        <v>#VALUE!</v>
      </c>
      <c r="I108" s="8" t="str">
        <f>IFERROR(__xludf.DUMMYFUNCTION("GOOGLETRANSLATE(C108, ""en"", ""hi"")"),"मुकना के लिए उपयुक्त गियर का चयन करने में मुख्य कारक क्या है?")</f>
        <v>मुकना के लिए उपयुक्त गियर का चयन करने में मुख्य कारक क्या है?</v>
      </c>
      <c r="J108" s="8" t="str">
        <f>IFERROR(__xludf.DUMMYFUNCTION("GOOGLETRANSLATE(D108, ""en"", ""hi"")"),"A) फिट, B) आराम, C) सुरक्षा, D) उपरोक्त सभी")</f>
        <v>A) फिट, B) आराम, C) सुरक्षा, D) उपरोक्त सभी</v>
      </c>
      <c r="K108" s="8" t="str">
        <f>IFERROR(__xludf.DUMMYFUNCTION("GOOGLETRANSLATE(E108, ""en"", ""hi"")"),"D। उपरोक्त सभी")</f>
        <v>D। उपरोक्त सभी</v>
      </c>
    </row>
    <row r="109" ht="22.5" customHeight="1">
      <c r="A109" s="2">
        <v>108.0</v>
      </c>
      <c r="B109" s="3"/>
      <c r="C109" s="3" t="s">
        <v>5519</v>
      </c>
      <c r="D109" s="3" t="s">
        <v>5520</v>
      </c>
      <c r="E109" s="3" t="s">
        <v>1873</v>
      </c>
      <c r="G109" s="8" t="str">
        <f>IFERROR(__xludf.DUMMYFUNCTION("GOOGLETRANSLATE(A109, ""en"", ""hi"")"),"108")</f>
        <v>108</v>
      </c>
      <c r="H109" s="8" t="str">
        <f>IFERROR(__xludf.DUMMYFUNCTION("GOOGLETRANSLATE(B109, ""en"", ""hi"")"),"#VALUE!")</f>
        <v>#VALUE!</v>
      </c>
      <c r="I109" s="8" t="str">
        <f>IFERROR(__xludf.DUMMYFUNCTION("GOOGLETRANSLATE(C109, ""en"", ""hi"")"),"मुकना में चोट से उबरने के लिए आम तरीका क्या है?")</f>
        <v>मुकना में चोट से उबरने के लिए आम तरीका क्या है?</v>
      </c>
      <c r="J109" s="8" t="str">
        <f>IFERROR(__xludf.DUMMYFUNCTION("GOOGLETRANSLATE(D109, ""en"", ""hi"")"),"A) आराम, B) भौतिक चिकित्सा, C) दवा, D) उपरोक्त सभी")</f>
        <v>A) आराम, B) भौतिक चिकित्सा, C) दवा, D) उपरोक्त सभी</v>
      </c>
      <c r="K109" s="8" t="str">
        <f>IFERROR(__xludf.DUMMYFUNCTION("GOOGLETRANSLATE(E109, ""en"", ""hi"")"),"D। उपरोक्त सभी")</f>
        <v>D। उपरोक्त सभी</v>
      </c>
    </row>
    <row r="110" ht="22.5" customHeight="1">
      <c r="A110" s="2">
        <v>109.0</v>
      </c>
      <c r="B110" s="3"/>
      <c r="C110" s="3" t="s">
        <v>5521</v>
      </c>
      <c r="D110" s="3" t="s">
        <v>5522</v>
      </c>
      <c r="E110" s="3" t="s">
        <v>1873</v>
      </c>
      <c r="G110" s="8" t="str">
        <f>IFERROR(__xludf.DUMMYFUNCTION("GOOGLETRANSLATE(A110, ""en"", ""hi"")"),"109")</f>
        <v>109</v>
      </c>
      <c r="H110" s="8" t="str">
        <f>IFERROR(__xludf.DUMMYFUNCTION("GOOGLETRANSLATE(B110, ""en"", ""hi"")"),"#VALUE!")</f>
        <v>#VALUE!</v>
      </c>
      <c r="I110" s="8" t="str">
        <f>IFERROR(__xludf.DUMMYFUNCTION("GOOGLETRANSLATE(C110, ""en"", ""hi"")"),"मुकना में, कूलिंग डाउन रूटीन का एक विशिष्ट तत्व क्या है?")</f>
        <v>मुकना में, कूलिंग डाउन रूटीन का एक विशिष्ट तत्व क्या है?</v>
      </c>
      <c r="J110" s="8" t="str">
        <f>IFERROR(__xludf.DUMMYFUNCTION("GOOGLETRANSLATE(D110, ""en"", ""hi"")"),"A) स्ट्रेचिंग, B) हल्की जॉगिंग, C) हाइड्रेशन, D) उपरोक्त सभी")</f>
        <v>A) स्ट्रेचिंग, B) हल्की जॉगिंग, C) हाइड्रेशन, D) उपरोक्त सभी</v>
      </c>
      <c r="K110" s="8" t="str">
        <f>IFERROR(__xludf.DUMMYFUNCTION("GOOGLETRANSLATE(E110, ""en"", ""hi"")"),"D। उपरोक्त सभी")</f>
        <v>D। उपरोक्त सभी</v>
      </c>
    </row>
    <row r="111" ht="22.5" customHeight="1">
      <c r="A111" s="2">
        <v>110.0</v>
      </c>
      <c r="B111" s="3"/>
      <c r="C111" s="3" t="s">
        <v>5523</v>
      </c>
      <c r="D111" s="3" t="s">
        <v>5524</v>
      </c>
      <c r="E111" s="3" t="s">
        <v>5525</v>
      </c>
      <c r="G111" s="8" t="str">
        <f>IFERROR(__xludf.DUMMYFUNCTION("GOOGLETRANSLATE(A111, ""en"", ""hi"")"),"110")</f>
        <v>110</v>
      </c>
      <c r="H111" s="8" t="str">
        <f>IFERROR(__xludf.DUMMYFUNCTION("GOOGLETRANSLATE(B111, ""en"", ""hi"")"),"#VALUE!")</f>
        <v>#VALUE!</v>
      </c>
      <c r="I111" s="8" t="str">
        <f>IFERROR(__xludf.DUMMYFUNCTION("GOOGLETRANSLATE(C111, ""en"", ""hi"")"),"मुकना में अंक अर्जित करने के लिए प्रभावी तकनीक क्या है?")</f>
        <v>मुकना में अंक अर्जित करने के लिए प्रभावी तकनीक क्या है?</v>
      </c>
      <c r="J111" s="8" t="str">
        <f>IFERROR(__xludf.DUMMYFUNCTION("GOOGLETRANSLATE(D111, ""en"", ""hi"")"),"ए) थ्रोइंग, बी) टेकडाउन, सी) पिन, डी) सबमिशन")</f>
        <v>ए) थ्रोइंग, बी) टेकडाउन, सी) पिन, डी) सबमिशन</v>
      </c>
      <c r="K111" s="8" t="str">
        <f>IFERROR(__xludf.DUMMYFUNCTION("GOOGLETRANSLATE(E111, ""en"", ""hi"")"),"ए) फेंकना")</f>
        <v>ए) फेंकना</v>
      </c>
    </row>
    <row r="112" ht="22.5" customHeight="1">
      <c r="A112" s="2">
        <v>111.0</v>
      </c>
      <c r="B112" s="3"/>
      <c r="C112" s="3" t="s">
        <v>5526</v>
      </c>
      <c r="D112" s="3" t="s">
        <v>5527</v>
      </c>
      <c r="E112" s="3" t="s">
        <v>1873</v>
      </c>
      <c r="G112" s="8" t="str">
        <f>IFERROR(__xludf.DUMMYFUNCTION("GOOGLETRANSLATE(A112, ""en"", ""hi"")"),"111")</f>
        <v>111</v>
      </c>
      <c r="H112" s="8" t="str">
        <f>IFERROR(__xludf.DUMMYFUNCTION("GOOGLETRANSLATE(B112, ""en"", ""hi"")"),"#VALUE!")</f>
        <v>#VALUE!</v>
      </c>
      <c r="I112" s="8" t="str">
        <f>IFERROR(__xludf.DUMMYFUNCTION("GOOGLETRANSLATE(C112, ""en"", ""hi"")"),"मुकना के अनुसार लचीलापन बढ़ाने का सामान्य तरीका क्या है?")</f>
        <v>मुकना के अनुसार लचीलापन बढ़ाने का सामान्य तरीका क्या है?</v>
      </c>
      <c r="J112" s="8" t="str">
        <f>IFERROR(__xludf.DUMMYFUNCTION("GOOGLETRANSLATE(D112, ""en"", ""hi"")"),"A) स्ट्रेचिंग व्यायाम, B) योग, C) फोम रोलिंग, D) उपरोक्त सभी")</f>
        <v>A) स्ट्रेचिंग व्यायाम, B) योग, C) फोम रोलिंग, D) उपरोक्त सभी</v>
      </c>
      <c r="K112" s="8" t="str">
        <f>IFERROR(__xludf.DUMMYFUNCTION("GOOGLETRANSLATE(E112, ""en"", ""hi"")"),"D। उपरोक्त सभी")</f>
        <v>D। उपरोक्त सभी</v>
      </c>
    </row>
    <row r="113" ht="22.5" customHeight="1">
      <c r="A113" s="2">
        <v>112.0</v>
      </c>
      <c r="B113" s="3"/>
      <c r="C113" s="3" t="s">
        <v>5528</v>
      </c>
      <c r="D113" s="3" t="s">
        <v>5529</v>
      </c>
      <c r="E113" s="3" t="s">
        <v>5439</v>
      </c>
      <c r="G113" s="8" t="str">
        <f>IFERROR(__xludf.DUMMYFUNCTION("GOOGLETRANSLATE(A113, ""en"", ""hi"")"),"112")</f>
        <v>112</v>
      </c>
      <c r="H113" s="8" t="str">
        <f>IFERROR(__xludf.DUMMYFUNCTION("GOOGLETRANSLATE(B113, ""en"", ""hi"")"),"#VALUE!")</f>
        <v>#VALUE!</v>
      </c>
      <c r="I113" s="8" t="str">
        <f>IFERROR(__xludf.DUMMYFUNCTION("GOOGLETRANSLATE(C113, ""en"", ""hi"")"),"मुक्ना में प्रतिक्रिया समय में सुधार के लिए अनुशंसित अभ्यास क्या है?")</f>
        <v>मुक्ना में प्रतिक्रिया समय में सुधार के लिए अनुशंसित अभ्यास क्या है?</v>
      </c>
      <c r="J113" s="8" t="str">
        <f>IFERROR(__xludf.DUMMYFUNCTION("GOOGLETRANSLATE(D113, ""en"", ""hi"")"),"ए) गति अभ्यास, बी) प्रतिवर्त प्रशिक्षण, सी) तकनीक अभ्यास, डी) चपलता अभ्यास")</f>
        <v>ए) गति अभ्यास, बी) प्रतिवर्त प्रशिक्षण, सी) तकनीक अभ्यास, डी) चपलता अभ्यास</v>
      </c>
      <c r="K113" s="8" t="str">
        <f>IFERROR(__xludf.DUMMYFUNCTION("GOOGLETRANSLATE(E113, ""en"", ""hi"")"),"बी) रिफ्लेक्स प्रशिक्षण")</f>
        <v>बी) रिफ्लेक्स प्रशिक्षण</v>
      </c>
    </row>
    <row r="114" ht="22.5" customHeight="1">
      <c r="A114" s="2">
        <v>113.0</v>
      </c>
      <c r="B114" s="3"/>
      <c r="C114" s="3" t="s">
        <v>5530</v>
      </c>
      <c r="D114" s="3" t="s">
        <v>5531</v>
      </c>
      <c r="E114" s="3" t="s">
        <v>1873</v>
      </c>
      <c r="G114" s="8" t="str">
        <f>IFERROR(__xludf.DUMMYFUNCTION("GOOGLETRANSLATE(A114, ""en"", ""hi"")"),"113")</f>
        <v>113</v>
      </c>
      <c r="H114" s="8" t="str">
        <f>IFERROR(__xludf.DUMMYFUNCTION("GOOGLETRANSLATE(B114, ""en"", ""hi"")"),"#VALUE!")</f>
        <v>#VALUE!</v>
      </c>
      <c r="I114" s="8" t="str">
        <f>IFERROR(__xludf.DUMMYFUNCTION("GOOGLETRANSLATE(C114, ""en"", ""hi"")"),"मुकना में, प्रदर्शन का विश्लेषण करने के लिए एक सामान्य विधि क्या है?")</f>
        <v>मुकना में, प्रदर्शन का विश्लेषण करने के लिए एक सामान्य विधि क्या है?</v>
      </c>
      <c r="J114" s="8" t="str">
        <f>IFERROR(__xludf.DUMMYFUNCTION("GOOGLETRANSLATE(D114, ""en"", ""hi"")"),"A) वीडियो फुटेज की समीक्षा करना, B) कोच फीडबैक, C) आत्म-मूल्यांकन, D) उपरोक्त सभी")</f>
        <v>A) वीडियो फुटेज की समीक्षा करना, B) कोच फीडबैक, C) आत्म-मूल्यांकन, D) उपरोक्त सभी</v>
      </c>
      <c r="K114" s="8" t="str">
        <f>IFERROR(__xludf.DUMMYFUNCTION("GOOGLETRANSLATE(E114, ""en"", ""hi"")"),"D। उपरोक्त सभी")</f>
        <v>D। उपरोक्त सभी</v>
      </c>
    </row>
    <row r="115" ht="22.5" customHeight="1">
      <c r="A115" s="2">
        <v>114.0</v>
      </c>
      <c r="B115" s="3"/>
      <c r="C115" s="3" t="s">
        <v>5532</v>
      </c>
      <c r="D115" s="3" t="s">
        <v>5533</v>
      </c>
      <c r="E115" s="3" t="s">
        <v>1873</v>
      </c>
      <c r="G115" s="8" t="str">
        <f>IFERROR(__xludf.DUMMYFUNCTION("GOOGLETRANSLATE(A115, ""en"", ""hi"")"),"114")</f>
        <v>114</v>
      </c>
      <c r="H115" s="8" t="str">
        <f>IFERROR(__xludf.DUMMYFUNCTION("GOOGLETRANSLATE(B115, ""en"", ""hi"")"),"#VALUE!")</f>
        <v>#VALUE!</v>
      </c>
      <c r="I115" s="8" t="str">
        <f>IFERROR(__xludf.DUMMYFUNCTION("GOOGLETRANSLATE(C115, ""en"", ""hi"")"),"मुकना में प्रतिस्पर्धा रणनीति का एक अनिवार्य पहलू क्या है?")</f>
        <v>मुकना में प्रतिस्पर्धा रणनीति का एक अनिवार्य पहलू क्या है?</v>
      </c>
      <c r="J115" s="8" t="str">
        <f>IFERROR(__xludf.DUMMYFUNCTION("GOOGLETRANSLATE(D115, ""en"", ""hi"")"),"A) प्रतिद्वंद्वी की शैली के अनुकूल होना, B) शक्तियों को अधिकतम करना, C) प्रतिद्वंद्वी की कमजोरियों का फायदा उठाना, D) उपरोक्त सभी")</f>
        <v>A) प्रतिद्वंद्वी की शैली के अनुकूल होना, B) शक्तियों को अधिकतम करना, C) प्रतिद्वंद्वी की कमजोरियों का फायदा उठाना, D) उपरोक्त सभी</v>
      </c>
      <c r="K115" s="8" t="str">
        <f>IFERROR(__xludf.DUMMYFUNCTION("GOOGLETRANSLATE(E115, ""en"", ""hi"")"),"D। उपरोक्त सभी")</f>
        <v>D। उपरोक्त सभी</v>
      </c>
    </row>
    <row r="116" ht="22.5" customHeight="1">
      <c r="A116" s="2">
        <v>115.0</v>
      </c>
      <c r="B116" s="3"/>
      <c r="C116" s="3" t="s">
        <v>5534</v>
      </c>
      <c r="D116" s="3" t="s">
        <v>5535</v>
      </c>
      <c r="E116" s="3" t="s">
        <v>1873</v>
      </c>
      <c r="G116" s="8" t="str">
        <f>IFERROR(__xludf.DUMMYFUNCTION("GOOGLETRANSLATE(A116, ""en"", ""hi"")"),"115")</f>
        <v>115</v>
      </c>
      <c r="H116" s="8" t="str">
        <f>IFERROR(__xludf.DUMMYFUNCTION("GOOGLETRANSLATE(B116, ""en"", ""hi"")"),"#VALUE!")</f>
        <v>#VALUE!</v>
      </c>
      <c r="I116" s="8" t="str">
        <f>IFERROR(__xludf.DUMMYFUNCTION("GOOGLETRANSLATE(C116, ""en"", ""hi"")"),"मुकना के अनुसार, उच्च गुणवत्ता वाली प्रशिक्षण मैट की विशिष्ट विशेषता क्या है?")</f>
        <v>मुकना के अनुसार, उच्च गुणवत्ता वाली प्रशिक्षण मैट की विशिष्ट विशेषता क्या है?</v>
      </c>
      <c r="J116" s="8" t="str">
        <f>IFERROR(__xludf.DUMMYFUNCTION("GOOGLETRANSLATE(D116, ""en"", ""hi"")"),"A) टिकाऊपन, B) आघात अवशोषण, C) फिसलन रहित सतह, D) उपरोक्त सभी")</f>
        <v>A) टिकाऊपन, B) आघात अवशोषण, C) फिसलन रहित सतह, D) उपरोक्त सभी</v>
      </c>
      <c r="K116" s="8" t="str">
        <f>IFERROR(__xludf.DUMMYFUNCTION("GOOGLETRANSLATE(E116, ""en"", ""hi"")"),"D। उपरोक्त सभी")</f>
        <v>D। उपरोक्त सभी</v>
      </c>
    </row>
    <row r="117" ht="22.5" customHeight="1">
      <c r="A117" s="2">
        <v>116.0</v>
      </c>
      <c r="B117" s="3"/>
      <c r="C117" s="3" t="s">
        <v>5536</v>
      </c>
      <c r="D117" s="3" t="s">
        <v>5537</v>
      </c>
      <c r="E117" s="3" t="s">
        <v>5538</v>
      </c>
      <c r="G117" s="8" t="str">
        <f>IFERROR(__xludf.DUMMYFUNCTION("GOOGLETRANSLATE(A117, ""en"", ""hi"")"),"116")</f>
        <v>116</v>
      </c>
      <c r="H117" s="8" t="str">
        <f>IFERROR(__xludf.DUMMYFUNCTION("GOOGLETRANSLATE(B117, ""en"", ""hi"")"),"#VALUE!")</f>
        <v>#VALUE!</v>
      </c>
      <c r="I117" s="8" t="str">
        <f>IFERROR(__xludf.DUMMYFUNCTION("GOOGLETRANSLATE(C117, ""en"", ""hi"")"),"मुकना में कोर ताकत बढ़ाने के लिए एक सामान्य तरीका क्या है?")</f>
        <v>मुकना में कोर ताकत बढ़ाने के लिए एक सामान्य तरीका क्या है?</v>
      </c>
      <c r="J117" s="8" t="str">
        <f>IFERROR(__xludf.DUMMYFUNCTION("GOOGLETRANSLATE(D117, ""en"", ""hi"")"),"A) कोर व्यायाम, B) पिलेट्स, C) भारोत्तोलन, D) कार्डियो वर्कआउट")</f>
        <v>A) कोर व्यायाम, B) पिलेट्स, C) भारोत्तोलन, D) कार्डियो वर्कआउट</v>
      </c>
      <c r="K117" s="8" t="str">
        <f>IFERROR(__xludf.DUMMYFUNCTION("GOOGLETRANSLATE(E117, ""en"", ""hi"")"),"ए) कोर व्यायाम")</f>
        <v>ए) कोर व्यायाम</v>
      </c>
    </row>
    <row r="118" ht="22.5" customHeight="1">
      <c r="A118" s="2">
        <v>117.0</v>
      </c>
      <c r="B118" s="3"/>
      <c r="C118" s="3" t="s">
        <v>5539</v>
      </c>
      <c r="D118" s="3" t="s">
        <v>5540</v>
      </c>
      <c r="E118" s="3" t="s">
        <v>1873</v>
      </c>
      <c r="G118" s="8" t="str">
        <f>IFERROR(__xludf.DUMMYFUNCTION("GOOGLETRANSLATE(A118, ""en"", ""hi"")"),"117")</f>
        <v>117</v>
      </c>
      <c r="H118" s="8" t="str">
        <f>IFERROR(__xludf.DUMMYFUNCTION("GOOGLETRANSLATE(B118, ""en"", ""hi"")"),"#VALUE!")</f>
        <v>#VALUE!</v>
      </c>
      <c r="I118" s="8" t="str">
        <f>IFERROR(__xludf.DUMMYFUNCTION("GOOGLETRANSLATE(C118, ""en"", ""hi"")"),"मुकना में, कोच के साथ प्रभावी संचार का मुख्य पहलू क्या है?")</f>
        <v>मुकना में, कोच के साथ प्रभावी संचार का मुख्य पहलू क्या है?</v>
      </c>
      <c r="J118" s="8" t="str">
        <f>IFERROR(__xludf.DUMMYFUNCTION("GOOGLETRANSLATE(D118, ""en"", ""hi"")"),"A) स्पष्टता, B) ईमानदारी, C) नियमित अपडेट, D) उपरोक्त सभी")</f>
        <v>A) स्पष्टता, B) ईमानदारी, C) नियमित अपडेट, D) उपरोक्त सभी</v>
      </c>
      <c r="K118" s="8" t="str">
        <f>IFERROR(__xludf.DUMMYFUNCTION("GOOGLETRANSLATE(E118, ""en"", ""hi"")"),"D। उपरोक्त सभी")</f>
        <v>D। उपरोक्त सभी</v>
      </c>
    </row>
    <row r="119" ht="22.5" customHeight="1">
      <c r="A119" s="2">
        <v>118.0</v>
      </c>
      <c r="B119" s="3"/>
      <c r="C119" s="3" t="s">
        <v>5541</v>
      </c>
      <c r="D119" s="3" t="s">
        <v>5542</v>
      </c>
      <c r="E119" s="3" t="s">
        <v>1873</v>
      </c>
      <c r="G119" s="8" t="str">
        <f>IFERROR(__xludf.DUMMYFUNCTION("GOOGLETRANSLATE(A119, ""en"", ""hi"")"),"118")</f>
        <v>118</v>
      </c>
      <c r="H119" s="8" t="str">
        <f>IFERROR(__xludf.DUMMYFUNCTION("GOOGLETRANSLATE(B119, ""en"", ""hi"")"),"#VALUE!")</f>
        <v>#VALUE!</v>
      </c>
      <c r="I119" s="8" t="str">
        <f>IFERROR(__xludf.DUMMYFUNCTION("GOOGLETRANSLATE(C119, ""en"", ""hi"")"),"मुकना में स्पैरिंग सत्र के दौरान आम फोकस क्या होता है?")</f>
        <v>मुकना में स्पैरिंग सत्र के दौरान आम फोकस क्या होता है?</v>
      </c>
      <c r="J119" s="8" t="str">
        <f>IFERROR(__xludf.DUMMYFUNCTION("GOOGLETRANSLATE(D119, ""en"", ""hi"")"),"A) तकनीक सुधार, B) शक्ति निर्माण, C) रणनीति अभ्यास, D) उपरोक्त सभी")</f>
        <v>A) तकनीक सुधार, B) शक्ति निर्माण, C) रणनीति अभ्यास, D) उपरोक्त सभी</v>
      </c>
      <c r="K119" s="8" t="str">
        <f>IFERROR(__xludf.DUMMYFUNCTION("GOOGLETRANSLATE(E119, ""en"", ""hi"")"),"D। उपरोक्त सभी")</f>
        <v>D। उपरोक्त सभी</v>
      </c>
    </row>
    <row r="120" ht="22.5" customHeight="1">
      <c r="A120" s="2">
        <v>119.0</v>
      </c>
      <c r="B120" s="3"/>
      <c r="C120" s="3" t="s">
        <v>5543</v>
      </c>
      <c r="D120" s="3" t="s">
        <v>5544</v>
      </c>
      <c r="E120" s="3" t="s">
        <v>1873</v>
      </c>
      <c r="G120" s="8" t="str">
        <f>IFERROR(__xludf.DUMMYFUNCTION("GOOGLETRANSLATE(A120, ""en"", ""hi"")"),"119")</f>
        <v>119</v>
      </c>
      <c r="H120" s="8" t="str">
        <f>IFERROR(__xludf.DUMMYFUNCTION("GOOGLETRANSLATE(B120, ""en"", ""hi"")"),"#VALUE!")</f>
        <v>#VALUE!</v>
      </c>
      <c r="I120" s="8" t="str">
        <f>IFERROR(__xludf.DUMMYFUNCTION("GOOGLETRANSLATE(C120, ""en"", ""hi"")"),"मुकना के लिए प्रतियोगिता-पूर्व दिनचर्या का एक विशिष्ट घटक क्या है?")</f>
        <v>मुकना के लिए प्रतियोगिता-पूर्व दिनचर्या का एक विशिष्ट घटक क्या है?</v>
      </c>
      <c r="J120" s="8" t="str">
        <f>IFERROR(__xludf.DUMMYFUNCTION("GOOGLETRANSLATE(D120, ""en"", ""hi"")"),"A) मानसिक तैयारी, B) शारीरिक वार्म-अप, C) तकनीक की समीक्षा, D) उपरोक्त सभी")</f>
        <v>A) मानसिक तैयारी, B) शारीरिक वार्म-अप, C) तकनीक की समीक्षा, D) उपरोक्त सभी</v>
      </c>
      <c r="K120" s="8" t="str">
        <f>IFERROR(__xludf.DUMMYFUNCTION("GOOGLETRANSLATE(E120, ""en"", ""hi"")"),"D। उपरोक्त सभी")</f>
        <v>D। उपरोक्त सभी</v>
      </c>
    </row>
    <row r="121" ht="22.5" customHeight="1">
      <c r="A121" s="2">
        <v>120.0</v>
      </c>
      <c r="B121" s="3"/>
      <c r="C121" s="3" t="s">
        <v>5545</v>
      </c>
      <c r="D121" s="3" t="s">
        <v>5546</v>
      </c>
      <c r="E121" s="3" t="s">
        <v>1873</v>
      </c>
      <c r="G121" s="8" t="str">
        <f>IFERROR(__xludf.DUMMYFUNCTION("GOOGLETRANSLATE(A121, ""en"", ""hi"")"),"120")</f>
        <v>120</v>
      </c>
      <c r="H121" s="8" t="str">
        <f>IFERROR(__xludf.DUMMYFUNCTION("GOOGLETRANSLATE(B121, ""en"", ""hi"")"),"#VALUE!")</f>
        <v>#VALUE!</v>
      </c>
      <c r="I121" s="8" t="str">
        <f>IFERROR(__xludf.DUMMYFUNCTION("GOOGLETRANSLATE(C121, ""en"", ""hi"")"),"मुकना में ताकत विकसित करने की सामान्य विधि क्या है?")</f>
        <v>मुकना में ताकत विकसित करने की सामान्य विधि क्या है?</v>
      </c>
      <c r="J121" s="8" t="str">
        <f>IFERROR(__xludf.DUMMYFUNCTION("GOOGLETRANSLATE(D121, ""en"", ""hi"")"),"A) भारोत्तोलन, B) शरीर के वजन वाले व्यायाम, C) प्रतिरोध बैंड, D) उपरोक्त सभी")</f>
        <v>A) भारोत्तोलन, B) शरीर के वजन वाले व्यायाम, C) प्रतिरोध बैंड, D) उपरोक्त सभी</v>
      </c>
      <c r="K121" s="8" t="str">
        <f>IFERROR(__xludf.DUMMYFUNCTION("GOOGLETRANSLATE(E121, ""en"", ""hi"")"),"D। उपरोक्त सभी")</f>
        <v>D। उपरोक्त सभी</v>
      </c>
    </row>
    <row r="122" ht="22.5" customHeight="1">
      <c r="A122" s="2">
        <v>121.0</v>
      </c>
      <c r="B122" s="3"/>
      <c r="C122" s="3" t="s">
        <v>5547</v>
      </c>
      <c r="D122" s="3" t="s">
        <v>5548</v>
      </c>
      <c r="E122" s="3" t="s">
        <v>1873</v>
      </c>
      <c r="G122" s="8" t="str">
        <f>IFERROR(__xludf.DUMMYFUNCTION("GOOGLETRANSLATE(A122, ""en"", ""hi"")"),"121")</f>
        <v>121</v>
      </c>
      <c r="H122" s="8" t="str">
        <f>IFERROR(__xludf.DUMMYFUNCTION("GOOGLETRANSLATE(B122, ""en"", ""hi"")"),"#VALUE!")</f>
        <v>#VALUE!</v>
      </c>
      <c r="I122" s="8" t="str">
        <f>IFERROR(__xludf.DUMMYFUNCTION("GOOGLETRANSLATE(C122, ""en"", ""hi"")"),"मुकना में कौशल-केंद्रित प्रशिक्षण सत्र का विशिष्ट पहलू क्या है?")</f>
        <v>मुकना में कौशल-केंद्रित प्रशिक्षण सत्र का विशिष्ट पहलू क्या है?</v>
      </c>
      <c r="J122" s="8" t="str">
        <f>IFERROR(__xludf.DUMMYFUNCTION("GOOGLETRANSLATE(D122, ""en"", ""hi"")"),"A) तकनीकों की पुनरावृत्ति, B) साथी अभ्यास, C) तकनीक परिशोधन, D) उपरोक्त सभी")</f>
        <v>A) तकनीकों की पुनरावृत्ति, B) साथी अभ्यास, C) तकनीक परिशोधन, D) उपरोक्त सभी</v>
      </c>
      <c r="K122" s="8" t="str">
        <f>IFERROR(__xludf.DUMMYFUNCTION("GOOGLETRANSLATE(E122, ""en"", ""hi"")"),"D। उपरोक्त सभी")</f>
        <v>D। उपरोक्त सभी</v>
      </c>
    </row>
    <row r="123" ht="22.5" customHeight="1">
      <c r="A123" s="2">
        <v>122.0</v>
      </c>
      <c r="B123" s="3"/>
      <c r="C123" s="3" t="s">
        <v>5549</v>
      </c>
      <c r="D123" s="3" t="s">
        <v>5550</v>
      </c>
      <c r="E123" s="3" t="s">
        <v>1873</v>
      </c>
      <c r="G123" s="8" t="str">
        <f>IFERROR(__xludf.DUMMYFUNCTION("GOOGLETRANSLATE(A123, ""en"", ""hi"")"),"122")</f>
        <v>122</v>
      </c>
      <c r="H123" s="8" t="str">
        <f>IFERROR(__xludf.DUMMYFUNCTION("GOOGLETRANSLATE(B123, ""en"", ""hi"")"),"#VALUE!")</f>
        <v>#VALUE!</v>
      </c>
      <c r="I123" s="8" t="str">
        <f>IFERROR(__xludf.DUMMYFUNCTION("GOOGLETRANSLATE(C123, ""en"", ""hi"")"),"मुकना के लिए मानसिक लचीलापन विकसित करने का सामान्य तरीका क्या है?")</f>
        <v>मुकना के लिए मानसिक लचीलापन विकसित करने का सामान्य तरीका क्या है?</v>
      </c>
      <c r="J123" s="8" t="str">
        <f>IFERROR(__xludf.DUMMYFUNCTION("GOOGLETRANSLATE(D123, ""en"", ""hi"")"),"A) विज़ुअलाइज़ेशन, B) मानसिक कंडीशनिंग अभ्यास, C) सकारात्मक आत्म-चर्चा, D) उपरोक्त सभी")</f>
        <v>A) विज़ुअलाइज़ेशन, B) मानसिक कंडीशनिंग अभ्यास, C) सकारात्मक आत्म-चर्चा, D) उपरोक्त सभी</v>
      </c>
      <c r="K123" s="8" t="str">
        <f>IFERROR(__xludf.DUMMYFUNCTION("GOOGLETRANSLATE(E123, ""en"", ""hi"")"),"D। उपरोक्त सभी")</f>
        <v>D। उपरोक्त सभी</v>
      </c>
    </row>
    <row r="124" ht="22.5" customHeight="1">
      <c r="A124" s="2">
        <v>123.0</v>
      </c>
      <c r="B124" s="3"/>
      <c r="C124" s="3" t="s">
        <v>5551</v>
      </c>
      <c r="D124" s="3" t="s">
        <v>5552</v>
      </c>
      <c r="E124" s="3" t="s">
        <v>1873</v>
      </c>
      <c r="G124" s="8" t="str">
        <f>IFERROR(__xludf.DUMMYFUNCTION("GOOGLETRANSLATE(A124, ""en"", ""hi"")"),"123")</f>
        <v>123</v>
      </c>
      <c r="H124" s="8" t="str">
        <f>IFERROR(__xludf.DUMMYFUNCTION("GOOGLETRANSLATE(B124, ""en"", ""hi"")"),"#VALUE!")</f>
        <v>#VALUE!</v>
      </c>
      <c r="I124" s="8" t="str">
        <f>IFERROR(__xludf.DUMMYFUNCTION("GOOGLETRANSLATE(C124, ""en"", ""hi"")"),"मुकना में उच्च गुणवत्ता वाले अभ्यास उपकरण की विशिष्ट विशेषता क्या है?")</f>
        <v>मुकना में उच्च गुणवत्ता वाले अभ्यास उपकरण की विशिष्ट विशेषता क्या है?</v>
      </c>
      <c r="J124" s="8" t="str">
        <f>IFERROR(__xludf.DUMMYFUNCTION("GOOGLETRANSLATE(D124, ""en"", ""hi"")"),"A) आराम, B) सुरक्षा, C) स्थायित्व, D) उपरोक्त सभी")</f>
        <v>A) आराम, B) सुरक्षा, C) स्थायित्व, D) उपरोक्त सभी</v>
      </c>
      <c r="K124" s="8" t="str">
        <f>IFERROR(__xludf.DUMMYFUNCTION("GOOGLETRANSLATE(E124, ""en"", ""hi"")"),"D। उपरोक्त सभी")</f>
        <v>D। उपरोक्त सभी</v>
      </c>
    </row>
    <row r="125" ht="22.5" customHeight="1">
      <c r="A125" s="2">
        <v>124.0</v>
      </c>
      <c r="B125" s="3"/>
      <c r="C125" s="3" t="s">
        <v>5553</v>
      </c>
      <c r="D125" s="3" t="s">
        <v>5554</v>
      </c>
      <c r="E125" s="3" t="s">
        <v>5200</v>
      </c>
      <c r="G125" s="8" t="str">
        <f>IFERROR(__xludf.DUMMYFUNCTION("GOOGLETRANSLATE(A125, ""en"", ""hi"")"),"124")</f>
        <v>124</v>
      </c>
      <c r="H125" s="8" t="str">
        <f>IFERROR(__xludf.DUMMYFUNCTION("GOOGLETRANSLATE(B125, ""en"", ""hi"")"),"#VALUE!")</f>
        <v>#VALUE!</v>
      </c>
      <c r="I125" s="8" t="str">
        <f>IFERROR(__xludf.DUMMYFUNCTION("GOOGLETRANSLATE(C125, ""en"", ""hi"")"),"मुकना में संतुलन सुधारने के लिए आम तकनीक क्या है?")</f>
        <v>मुकना में संतुलन सुधारने के लिए आम तकनीक क्या है?</v>
      </c>
      <c r="J125" s="8" t="str">
        <f>IFERROR(__xludf.DUMMYFUNCTION("GOOGLETRANSLATE(D125, ""en"", ""hi"")"),"A) संतुलन अभ्यास, B) स्थिरता अभ्यास, C) शक्ति प्रशिक्षण, D) लचीलापन अभ्यास")</f>
        <v>A) संतुलन अभ्यास, B) स्थिरता अभ्यास, C) शक्ति प्रशिक्षण, D) लचीलापन अभ्यास</v>
      </c>
      <c r="K125" s="8" t="str">
        <f>IFERROR(__xludf.DUMMYFUNCTION("GOOGLETRANSLATE(E125, ""en"", ""hi"")"),"ए) संतुलन अभ्यास")</f>
        <v>ए) संतुलन अभ्यास</v>
      </c>
    </row>
    <row r="126" ht="22.5" customHeight="1">
      <c r="A126" s="2">
        <v>125.0</v>
      </c>
      <c r="B126" s="3"/>
      <c r="C126" s="3" t="s">
        <v>5555</v>
      </c>
      <c r="D126" s="3" t="s">
        <v>5556</v>
      </c>
      <c r="E126" s="3" t="s">
        <v>1873</v>
      </c>
      <c r="G126" s="8" t="str">
        <f>IFERROR(__xludf.DUMMYFUNCTION("GOOGLETRANSLATE(A126, ""en"", ""hi"")"),"125")</f>
        <v>125</v>
      </c>
      <c r="H126" s="8" t="str">
        <f>IFERROR(__xludf.DUMMYFUNCTION("GOOGLETRANSLATE(B126, ""en"", ""hi"")"),"#VALUE!")</f>
        <v>#VALUE!</v>
      </c>
      <c r="I126" s="8" t="str">
        <f>IFERROR(__xludf.DUMMYFUNCTION("GOOGLETRANSLATE(C126, ""en"", ""hi"")"),"मुक्ना के लिए, प्रशिक्षण के बाद की सामान्य पुनर्प्राप्ति विधि क्या है?")</f>
        <v>मुक्ना के लिए, प्रशिक्षण के बाद की सामान्य पुनर्प्राप्ति विधि क्या है?</v>
      </c>
      <c r="J126" s="8" t="str">
        <f>IFERROR(__xludf.DUMMYFUNCTION("GOOGLETRANSLATE(D126, ""en"", ""hi"")"),"A) हाइड्रेशन, B) स्ट्रेचिंग, C) पोषण, D) उपरोक्त सभी")</f>
        <v>A) हाइड्रेशन, B) स्ट्रेचिंग, C) पोषण, D) उपरोक्त सभी</v>
      </c>
      <c r="K126" s="8" t="str">
        <f>IFERROR(__xludf.DUMMYFUNCTION("GOOGLETRANSLATE(E126, ""en"", ""hi"")"),"D। उपरोक्त सभी")</f>
        <v>D। उपरोक्त सभी</v>
      </c>
    </row>
    <row r="127" ht="22.5" customHeight="1">
      <c r="A127" s="2">
        <v>126.0</v>
      </c>
      <c r="B127" s="3"/>
      <c r="C127" s="3" t="s">
        <v>5557</v>
      </c>
      <c r="D127" s="3" t="s">
        <v>5558</v>
      </c>
      <c r="E127" s="3" t="s">
        <v>1873</v>
      </c>
      <c r="G127" s="8" t="str">
        <f>IFERROR(__xludf.DUMMYFUNCTION("GOOGLETRANSLATE(A127, ""en"", ""hi"")"),"126")</f>
        <v>126</v>
      </c>
      <c r="H127" s="8" t="str">
        <f>IFERROR(__xludf.DUMMYFUNCTION("GOOGLETRANSLATE(B127, ""en"", ""hi"")"),"#VALUE!")</f>
        <v>#VALUE!</v>
      </c>
      <c r="I127" s="8" t="str">
        <f>IFERROR(__xludf.DUMMYFUNCTION("GOOGLETRANSLATE(C127, ""en"", ""hi"")"),"मुकना में चोट की रोकथाम की सामान्य रणनीति क्या है?")</f>
        <v>मुकना में चोट की रोकथाम की सामान्य रणनीति क्या है?</v>
      </c>
      <c r="J127" s="8" t="str">
        <f>IFERROR(__xludf.DUMMYFUNCTION("GOOGLETRANSLATE(D127, ""en"", ""hi"")"),"A) उचित तकनीक, B) वार्म-अप रूटीन, C) सुरक्षात्मक गियर का उपयोग, D) उपरोक्त सभी")</f>
        <v>A) उचित तकनीक, B) वार्म-अप रूटीन, C) सुरक्षात्मक गियर का उपयोग, D) उपरोक्त सभी</v>
      </c>
      <c r="K127" s="8" t="str">
        <f>IFERROR(__xludf.DUMMYFUNCTION("GOOGLETRANSLATE(E127, ""en"", ""hi"")"),"D। उपरोक्त सभी")</f>
        <v>D। उपरोक्त सभी</v>
      </c>
    </row>
    <row r="128" ht="22.5" customHeight="1">
      <c r="A128" s="2">
        <v>127.0</v>
      </c>
      <c r="B128" s="3"/>
      <c r="C128" s="3" t="s">
        <v>5559</v>
      </c>
      <c r="D128" s="3" t="s">
        <v>5560</v>
      </c>
      <c r="E128" s="3" t="s">
        <v>1873</v>
      </c>
      <c r="G128" s="8" t="str">
        <f>IFERROR(__xludf.DUMMYFUNCTION("GOOGLETRANSLATE(A128, ""en"", ""hi"")"),"127")</f>
        <v>127</v>
      </c>
      <c r="H128" s="8" t="str">
        <f>IFERROR(__xludf.DUMMYFUNCTION("GOOGLETRANSLATE(B128, ""en"", ""hi"")"),"#VALUE!")</f>
        <v>#VALUE!</v>
      </c>
      <c r="I128" s="8" t="str">
        <f>IFERROR(__xludf.DUMMYFUNCTION("GOOGLETRANSLATE(C128, ""en"", ""hi"")"),"मुकना में, एक प्रभावी प्रशिक्षण कार्यक्रम की विशिष्ट विशेषता क्या है?")</f>
        <v>मुकना में, एक प्रभावी प्रशिक्षण कार्यक्रम की विशिष्ट विशेषता क्या है?</v>
      </c>
      <c r="J128" s="8" t="str">
        <f>IFERROR(__xludf.DUMMYFUNCTION("GOOGLETRANSLATE(D128, ""en"", ""hi"")"),"A) विविधता, B) प्रगति, C) विशिष्टता, D) उपरोक्त सभी")</f>
        <v>A) विविधता, B) प्रगति, C) विशिष्टता, D) उपरोक्त सभी</v>
      </c>
      <c r="K128" s="8" t="str">
        <f>IFERROR(__xludf.DUMMYFUNCTION("GOOGLETRANSLATE(E128, ""en"", ""hi"")"),"D। उपरोक्त सभी")</f>
        <v>D। उपरोक्त सभी</v>
      </c>
    </row>
    <row r="129" ht="22.5" customHeight="1">
      <c r="A129" s="2">
        <v>128.0</v>
      </c>
      <c r="B129" s="3"/>
      <c r="C129" s="3" t="s">
        <v>5561</v>
      </c>
      <c r="D129" s="3" t="s">
        <v>5562</v>
      </c>
      <c r="E129" s="3" t="s">
        <v>1873</v>
      </c>
      <c r="G129" s="8" t="str">
        <f>IFERROR(__xludf.DUMMYFUNCTION("GOOGLETRANSLATE(A129, ""en"", ""hi"")"),"128")</f>
        <v>128</v>
      </c>
      <c r="H129" s="8" t="str">
        <f>IFERROR(__xludf.DUMMYFUNCTION("GOOGLETRANSLATE(B129, ""en"", ""hi"")"),"#VALUE!")</f>
        <v>#VALUE!</v>
      </c>
      <c r="I129" s="8" t="str">
        <f>IFERROR(__xludf.DUMMYFUNCTION("GOOGLETRANSLATE(C129, ""en"", ""hi"")"),"मुकना के लिए गति बढ़ाने का सामान्य तरीका क्या है?")</f>
        <v>मुकना के लिए गति बढ़ाने का सामान्य तरीका क्या है?</v>
      </c>
      <c r="J129" s="8" t="str">
        <f>IFERROR(__xludf.DUMMYFUNCTION("GOOGLETRANSLATE(D129, ""en"", ""hi"")"),"A) गति अभ्यास, B) चपलता प्रशिक्षण, C) अंतराल प्रशिक्षण, D) उपरोक्त सभी")</f>
        <v>A) गति अभ्यास, B) चपलता प्रशिक्षण, C) अंतराल प्रशिक्षण, D) उपरोक्त सभी</v>
      </c>
      <c r="K129" s="8" t="str">
        <f>IFERROR(__xludf.DUMMYFUNCTION("GOOGLETRANSLATE(E129, ""en"", ""hi"")"),"D। उपरोक्त सभी")</f>
        <v>D। उपरोक्त सभी</v>
      </c>
    </row>
    <row r="130" ht="22.5" customHeight="1">
      <c r="A130" s="2">
        <v>129.0</v>
      </c>
      <c r="B130" s="3"/>
      <c r="C130" s="3" t="s">
        <v>5563</v>
      </c>
      <c r="D130" s="3" t="s">
        <v>5564</v>
      </c>
      <c r="E130" s="3" t="s">
        <v>1873</v>
      </c>
      <c r="G130" s="8" t="str">
        <f>IFERROR(__xludf.DUMMYFUNCTION("GOOGLETRANSLATE(A130, ""en"", ""hi"")"),"129")</f>
        <v>129</v>
      </c>
      <c r="H130" s="8" t="str">
        <f>IFERROR(__xludf.DUMMYFUNCTION("GOOGLETRANSLATE(B130, ""en"", ""hi"")"),"#VALUE!")</f>
        <v>#VALUE!</v>
      </c>
      <c r="I130" s="8" t="str">
        <f>IFERROR(__xludf.DUMMYFUNCTION("GOOGLETRANSLATE(C130, ""en"", ""hi"")"),"मुकना में तकनीक-केंद्रित अभ्यास का एक सामान्य पहलू क्या है?")</f>
        <v>मुकना में तकनीक-केंद्रित अभ्यास का एक सामान्य पहलू क्या है?</v>
      </c>
      <c r="J130" s="8" t="str">
        <f>IFERROR(__xludf.DUMMYFUNCTION("GOOGLETRANSLATE(D130, ""en"", ""hi"")"),"A) पुनरावृत्ति, B) परिशुद्धता, C) साथी अभ्यास, D) उपरोक्त सभी")</f>
        <v>A) पुनरावृत्ति, B) परिशुद्धता, C) साथी अभ्यास, D) उपरोक्त सभी</v>
      </c>
      <c r="K130" s="8" t="str">
        <f>IFERROR(__xludf.DUMMYFUNCTION("GOOGLETRANSLATE(E130, ""en"", ""hi"")"),"D। उपरोक्त सभी")</f>
        <v>D। उपरोक्त सभी</v>
      </c>
    </row>
    <row r="131" ht="22.5" customHeight="1">
      <c r="A131" s="2">
        <v>130.0</v>
      </c>
      <c r="B131" s="3"/>
      <c r="C131" s="3" t="s">
        <v>5565</v>
      </c>
      <c r="D131" s="3" t="s">
        <v>5566</v>
      </c>
      <c r="E131" s="3" t="s">
        <v>1873</v>
      </c>
      <c r="G131" s="8" t="str">
        <f>IFERROR(__xludf.DUMMYFUNCTION("GOOGLETRANSLATE(A131, ""en"", ""hi"")"),"130")</f>
        <v>130</v>
      </c>
      <c r="H131" s="8" t="str">
        <f>IFERROR(__xludf.DUMMYFUNCTION("GOOGLETRANSLATE(B131, ""en"", ""hi"")"),"#VALUE!")</f>
        <v>#VALUE!</v>
      </c>
      <c r="I131" s="8" t="str">
        <f>IFERROR(__xludf.DUMMYFUNCTION("GOOGLETRANSLATE(C131, ""en"", ""hi"")"),"मुकना में लचीलापन विकसित करने के लिए अनुशंसित अभ्यास क्या है?")</f>
        <v>मुकना में लचीलापन विकसित करने के लिए अनुशंसित अभ्यास क्या है?</v>
      </c>
      <c r="J131" s="8" t="str">
        <f>IFERROR(__xludf.DUMMYFUNCTION("GOOGLETRANSLATE(D131, ""en"", ""hi"")"),"A) स्ट्रेचिंग रूटीन, B) योग, C) डायनामिक स्ट्रेचिंग, D) उपरोक्त सभी")</f>
        <v>A) स्ट्रेचिंग रूटीन, B) योग, C) डायनामिक स्ट्रेचिंग, D) उपरोक्त सभी</v>
      </c>
      <c r="K131" s="8" t="str">
        <f>IFERROR(__xludf.DUMMYFUNCTION("GOOGLETRANSLATE(E131, ""en"", ""hi"")"),"D। उपरोक्त सभी")</f>
        <v>D। उपरोक्त सभी</v>
      </c>
    </row>
    <row r="132" ht="22.5" customHeight="1">
      <c r="A132" s="2">
        <v>131.0</v>
      </c>
      <c r="B132" s="3"/>
      <c r="C132" s="3" t="s">
        <v>5567</v>
      </c>
      <c r="D132" s="3" t="s">
        <v>5568</v>
      </c>
      <c r="E132" s="3" t="s">
        <v>1873</v>
      </c>
      <c r="G132" s="8" t="str">
        <f>IFERROR(__xludf.DUMMYFUNCTION("GOOGLETRANSLATE(A132, ""en"", ""hi"")"),"131")</f>
        <v>131</v>
      </c>
      <c r="H132" s="8" t="str">
        <f>IFERROR(__xludf.DUMMYFUNCTION("GOOGLETRANSLATE(B132, ""en"", ""hi"")"),"#VALUE!")</f>
        <v>#VALUE!</v>
      </c>
      <c r="I132" s="8" t="str">
        <f>IFERROR(__xludf.DUMMYFUNCTION("GOOGLETRANSLATE(C132, ""en"", ""hi"")"),"मुकना के लिए दैनिक प्रशिक्षण कार्यक्रम का सामान्य हिस्सा क्या है?")</f>
        <v>मुकना के लिए दैनिक प्रशिक्षण कार्यक्रम का सामान्य हिस्सा क्या है?</v>
      </c>
      <c r="J132" s="8" t="str">
        <f>IFERROR(__xludf.DUMMYFUNCTION("GOOGLETRANSLATE(D132, ""en"", ""hi"")"),"A) तकनीक अभ्यास, B) शारीरिक कंडीशनिंग, C) स्पैरिंग, D) उपरोक्त सभी")</f>
        <v>A) तकनीक अभ्यास, B) शारीरिक कंडीशनिंग, C) स्पैरिंग, D) उपरोक्त सभी</v>
      </c>
      <c r="K132" s="8" t="str">
        <f>IFERROR(__xludf.DUMMYFUNCTION("GOOGLETRANSLATE(E132, ""en"", ""hi"")"),"D। उपरोक्त सभी")</f>
        <v>D। उपरोक्त सभी</v>
      </c>
    </row>
    <row r="133" ht="22.5" customHeight="1">
      <c r="A133" s="2">
        <v>132.0</v>
      </c>
      <c r="B133" s="3"/>
      <c r="C133" s="3" t="s">
        <v>5569</v>
      </c>
      <c r="D133" s="3" t="s">
        <v>5570</v>
      </c>
      <c r="E133" s="3" t="s">
        <v>1873</v>
      </c>
      <c r="G133" s="8" t="str">
        <f>IFERROR(__xludf.DUMMYFUNCTION("GOOGLETRANSLATE(A133, ""en"", ""hi"")"),"132")</f>
        <v>132</v>
      </c>
      <c r="H133" s="8" t="str">
        <f>IFERROR(__xludf.DUMMYFUNCTION("GOOGLETRANSLATE(B133, ""en"", ""hi"")"),"#VALUE!")</f>
        <v>#VALUE!</v>
      </c>
      <c r="I133" s="8" t="str">
        <f>IFERROR(__xludf.DUMMYFUNCTION("GOOGLETRANSLATE(C133, ""en"", ""hi"")"),"मुकना में प्रतियोगिता के दौरान आम फोकस क्या होता है?")</f>
        <v>मुकना में प्रतियोगिता के दौरान आम फोकस क्या होता है?</v>
      </c>
      <c r="J133" s="8" t="str">
        <f>IFERROR(__xludf.DUMMYFUNCTION("GOOGLETRANSLATE(D133, ""en"", ""hi"")"),"A) तकनीक निष्पादन, B) रणनीति अनुप्रयोग, C) प्रतिद्वंद्वी के साथ अनुकूलन, D) उपरोक्त सभी")</f>
        <v>A) तकनीक निष्पादन, B) रणनीति अनुप्रयोग, C) प्रतिद्वंद्वी के साथ अनुकूलन, D) उपरोक्त सभी</v>
      </c>
      <c r="K133" s="8" t="str">
        <f>IFERROR(__xludf.DUMMYFUNCTION("GOOGLETRANSLATE(E133, ""en"", ""hi"")"),"D। उपरोक्त सभी")</f>
        <v>D। उपरोक्त सभी</v>
      </c>
    </row>
    <row r="134" ht="22.5" customHeight="1">
      <c r="A134" s="2">
        <v>133.0</v>
      </c>
      <c r="B134" s="3"/>
      <c r="C134" s="3" t="s">
        <v>5571</v>
      </c>
      <c r="D134" s="3" t="s">
        <v>5572</v>
      </c>
      <c r="E134" s="3" t="s">
        <v>1873</v>
      </c>
      <c r="G134" s="8" t="str">
        <f>IFERROR(__xludf.DUMMYFUNCTION("GOOGLETRANSLATE(A134, ""en"", ""hi"")"),"133")</f>
        <v>133</v>
      </c>
      <c r="H134" s="8" t="str">
        <f>IFERROR(__xludf.DUMMYFUNCTION("GOOGLETRANSLATE(B134, ""en"", ""hi"")"),"#VALUE!")</f>
        <v>#VALUE!</v>
      </c>
      <c r="I134" s="8" t="str">
        <f>IFERROR(__xludf.DUMMYFUNCTION("GOOGLETRANSLATE(C134, ""en"", ""hi"")"),"मुकना में पकड़ की ताकत में सुधार करने के लिए एक विशिष्ट तरीका क्या है?")</f>
        <v>मुकना में पकड़ की ताकत में सुधार करने के लिए एक विशिष्ट तरीका क्या है?</v>
      </c>
      <c r="J134" s="8" t="str">
        <f>IFERROR(__xludf.DUMMYFUNCTION("GOOGLETRANSLATE(D134, ""en"", ""hi"")"),"A) पकड़ व्यायाम, B) भार प्रशिक्षण, C) प्रतिरोध बैंड, D) उपरोक्त सभी")</f>
        <v>A) पकड़ व्यायाम, B) भार प्रशिक्षण, C) प्रतिरोध बैंड, D) उपरोक्त सभी</v>
      </c>
      <c r="K134" s="8" t="str">
        <f>IFERROR(__xludf.DUMMYFUNCTION("GOOGLETRANSLATE(E134, ""en"", ""hi"")"),"D। उपरोक्त सभी")</f>
        <v>D। उपरोक्त सभी</v>
      </c>
    </row>
    <row r="135" ht="22.5" customHeight="1">
      <c r="A135" s="2">
        <v>134.0</v>
      </c>
      <c r="B135" s="3"/>
      <c r="C135" s="3" t="s">
        <v>5573</v>
      </c>
      <c r="D135" s="3" t="s">
        <v>5574</v>
      </c>
      <c r="E135" s="3" t="s">
        <v>1873</v>
      </c>
      <c r="G135" s="8" t="str">
        <f>IFERROR(__xludf.DUMMYFUNCTION("GOOGLETRANSLATE(A135, ""en"", ""hi"")"),"134")</f>
        <v>134</v>
      </c>
      <c r="H135" s="8" t="str">
        <f>IFERROR(__xludf.DUMMYFUNCTION("GOOGLETRANSLATE(B135, ""en"", ""hi"")"),"#VALUE!")</f>
        <v>#VALUE!</v>
      </c>
      <c r="I135" s="8" t="str">
        <f>IFERROR(__xludf.DUMMYFUNCTION("GOOGLETRANSLATE(C135, ""en"", ""hi"")"),"मुक्ना के अनुसार, चोट की रोकथाम के लिए सामान्य दृष्टिकोण क्या है?")</f>
        <v>मुक्ना के अनुसार, चोट की रोकथाम के लिए सामान्य दृष्टिकोण क्या है?</v>
      </c>
      <c r="J135" s="8" t="str">
        <f>IFERROR(__xludf.DUMMYFUNCTION("GOOGLETRANSLATE(D135, ""en"", ""hi"")"),"A) उचित तकनीक, B) नियमित वार्म-अप, C) सुरक्षात्मक गियर का उपयोग, D) उपरोक्त सभी")</f>
        <v>A) उचित तकनीक, B) नियमित वार्म-अप, C) सुरक्षात्मक गियर का उपयोग, D) उपरोक्त सभी</v>
      </c>
      <c r="K135" s="8" t="str">
        <f>IFERROR(__xludf.DUMMYFUNCTION("GOOGLETRANSLATE(E135, ""en"", ""hi"")"),"D। उपरोक्त सभी")</f>
        <v>D। उपरोक्त सभी</v>
      </c>
    </row>
    <row r="136" ht="22.5" customHeight="1">
      <c r="A136" s="2">
        <v>135.0</v>
      </c>
      <c r="B136" s="3"/>
      <c r="C136" s="3" t="s">
        <v>5575</v>
      </c>
      <c r="D136" s="3" t="s">
        <v>5576</v>
      </c>
      <c r="E136" s="3" t="s">
        <v>1873</v>
      </c>
      <c r="G136" s="8" t="str">
        <f>IFERROR(__xludf.DUMMYFUNCTION("GOOGLETRANSLATE(A136, ""en"", ""hi"")"),"135")</f>
        <v>135</v>
      </c>
      <c r="H136" s="8" t="str">
        <f>IFERROR(__xludf.DUMMYFUNCTION("GOOGLETRANSLATE(B136, ""en"", ""hi"")"),"#VALUE!")</f>
        <v>#VALUE!</v>
      </c>
      <c r="I136" s="8" t="str">
        <f>IFERROR(__xludf.DUMMYFUNCTION("GOOGLETRANSLATE(C136, ""en"", ""hi"")"),"मुकना में मैच रणनीति का एक महत्वपूर्ण पहलू क्या है?")</f>
        <v>मुकना में मैच रणनीति का एक महत्वपूर्ण पहलू क्या है?</v>
      </c>
      <c r="J136" s="8" t="str">
        <f>IFERROR(__xludf.DUMMYFUNCTION("GOOGLETRANSLATE(D136, ""en"", ""hi"")"),"A) प्रतिद्वंद्वी की शैली के अनुकूल होना, B) शक्तियों का उपयोग करना, C) कमजोरियों का फायदा उठाना, D) उपरोक्त सभी")</f>
        <v>A) प्रतिद्वंद्वी की शैली के अनुकूल होना, B) शक्तियों का उपयोग करना, C) कमजोरियों का फायदा उठाना, D) उपरोक्त सभी</v>
      </c>
      <c r="K136" s="8" t="str">
        <f>IFERROR(__xludf.DUMMYFUNCTION("GOOGLETRANSLATE(E136, ""en"", ""hi"")"),"D। उपरोक्त सभी")</f>
        <v>D। उपरोक्त सभी</v>
      </c>
    </row>
    <row r="137" ht="22.5" customHeight="1">
      <c r="A137" s="2">
        <v>136.0</v>
      </c>
      <c r="B137" s="3"/>
      <c r="C137" s="3" t="s">
        <v>5577</v>
      </c>
      <c r="D137" s="3" t="s">
        <v>5578</v>
      </c>
      <c r="E137" s="3" t="s">
        <v>1873</v>
      </c>
      <c r="G137" s="8" t="str">
        <f>IFERROR(__xludf.DUMMYFUNCTION("GOOGLETRANSLATE(A137, ""en"", ""hi"")"),"136")</f>
        <v>136</v>
      </c>
      <c r="H137" s="8" t="str">
        <f>IFERROR(__xludf.DUMMYFUNCTION("GOOGLETRANSLATE(B137, ""en"", ""hi"")"),"#VALUE!")</f>
        <v>#VALUE!</v>
      </c>
      <c r="I137" s="8" t="str">
        <f>IFERROR(__xludf.DUMMYFUNCTION("GOOGLETRANSLATE(C137, ""en"", ""hi"")"),"मुकना में चपलता बढ़ाने के लिए आम प्रथा क्या है?")</f>
        <v>मुकना में चपलता बढ़ाने के लिए आम प्रथा क्या है?</v>
      </c>
      <c r="J137" s="8" t="str">
        <f>IFERROR(__xludf.DUMMYFUNCTION("GOOGLETRANSLATE(D137, ""en"", ""hi"")"),"A) चपलता अभ्यास, B) प्लायोमेट्रिक व्यायाम, C) गति प्रशिक्षण, D) उपरोक्त सभी")</f>
        <v>A) चपलता अभ्यास, B) प्लायोमेट्रिक व्यायाम, C) गति प्रशिक्षण, D) उपरोक्त सभी</v>
      </c>
      <c r="K137" s="8" t="str">
        <f>IFERROR(__xludf.DUMMYFUNCTION("GOOGLETRANSLATE(E137, ""en"", ""hi"")"),"D। उपरोक्त सभी")</f>
        <v>D। उपरोक्त सभी</v>
      </c>
    </row>
    <row r="138" ht="22.5" customHeight="1">
      <c r="A138" s="2">
        <v>137.0</v>
      </c>
      <c r="B138" s="3"/>
      <c r="C138" s="3" t="s">
        <v>5579</v>
      </c>
      <c r="D138" s="3" t="s">
        <v>5580</v>
      </c>
      <c r="E138" s="3" t="s">
        <v>1873</v>
      </c>
      <c r="G138" s="8" t="str">
        <f>IFERROR(__xludf.DUMMYFUNCTION("GOOGLETRANSLATE(A138, ""en"", ""hi"")"),"137")</f>
        <v>137</v>
      </c>
      <c r="H138" s="8" t="str">
        <f>IFERROR(__xludf.DUMMYFUNCTION("GOOGLETRANSLATE(B138, ""en"", ""hi"")"),"#VALUE!")</f>
        <v>#VALUE!</v>
      </c>
      <c r="I138" s="8" t="str">
        <f>IFERROR(__xludf.DUMMYFUNCTION("GOOGLETRANSLATE(C138, ""en"", ""hi"")"),"मुकना के लिए मानसिक दृढ़ता विकसित करने का सामान्य तरीका क्या है?")</f>
        <v>मुकना के लिए मानसिक दृढ़ता विकसित करने का सामान्य तरीका क्या है?</v>
      </c>
      <c r="J138" s="8" t="str">
        <f>IFERROR(__xludf.DUMMYFUNCTION("GOOGLETRANSLATE(D138, ""en"", ""hi"")"),"A) विज़ुअलाइज़ेशन तकनीक, B) सकारात्मक प्रतिज्ञान, C) मानसिक कंडीशनिंग अभ्यास, D) उपरोक्त सभी")</f>
        <v>A) विज़ुअलाइज़ेशन तकनीक, B) सकारात्मक प्रतिज्ञान, C) मानसिक कंडीशनिंग अभ्यास, D) उपरोक्त सभी</v>
      </c>
      <c r="K138" s="8" t="str">
        <f>IFERROR(__xludf.DUMMYFUNCTION("GOOGLETRANSLATE(E138, ""en"", ""hi"")"),"D। उपरोक्त सभी")</f>
        <v>D। उपरोक्त सभी</v>
      </c>
    </row>
    <row r="139" ht="22.5" customHeight="1">
      <c r="A139" s="2">
        <v>138.0</v>
      </c>
      <c r="B139" s="3"/>
      <c r="C139" s="3" t="s">
        <v>5581</v>
      </c>
      <c r="D139" s="3" t="s">
        <v>5582</v>
      </c>
      <c r="E139" s="3" t="s">
        <v>1873</v>
      </c>
      <c r="G139" s="8" t="str">
        <f>IFERROR(__xludf.DUMMYFUNCTION("GOOGLETRANSLATE(A139, ""en"", ""hi"")"),"138")</f>
        <v>138</v>
      </c>
      <c r="H139" s="8" t="str">
        <f>IFERROR(__xludf.DUMMYFUNCTION("GOOGLETRANSLATE(B139, ""en"", ""hi"")"),"#VALUE!")</f>
        <v>#VALUE!</v>
      </c>
      <c r="I139" s="8" t="str">
        <f>IFERROR(__xludf.DUMMYFUNCTION("GOOGLETRANSLATE(C139, ""en"", ""hi"")"),"मुकना में समग्र शक्ति विकसित करने की सामान्य विधि क्या है?")</f>
        <v>मुकना में समग्र शक्ति विकसित करने की सामान्य विधि क्या है?</v>
      </c>
      <c r="J139" s="8" t="str">
        <f>IFERROR(__xludf.DUMMYFUNCTION("GOOGLETRANSLATE(D139, ""en"", ""hi"")"),"A) भारोत्तोलन, B) शारीरिक भार व्यायाम, C) प्रतिरोध प्रशिक्षण, D) उपरोक्त सभी")</f>
        <v>A) भारोत्तोलन, B) शारीरिक भार व्यायाम, C) प्रतिरोध प्रशिक्षण, D) उपरोक्त सभी</v>
      </c>
      <c r="K139" s="8" t="str">
        <f>IFERROR(__xludf.DUMMYFUNCTION("GOOGLETRANSLATE(E139, ""en"", ""hi"")"),"D। उपरोक्त सभी")</f>
        <v>D। उपरोक्त सभी</v>
      </c>
    </row>
    <row r="140" ht="22.5" customHeight="1">
      <c r="A140" s="2">
        <v>139.0</v>
      </c>
      <c r="B140" s="3"/>
      <c r="C140" s="3" t="s">
        <v>5583</v>
      </c>
      <c r="D140" s="3" t="s">
        <v>5584</v>
      </c>
      <c r="E140" s="3" t="s">
        <v>1873</v>
      </c>
      <c r="G140" s="8" t="str">
        <f>IFERROR(__xludf.DUMMYFUNCTION("GOOGLETRANSLATE(A140, ""en"", ""hi"")"),"139")</f>
        <v>139</v>
      </c>
      <c r="H140" s="8" t="str">
        <f>IFERROR(__xludf.DUMMYFUNCTION("GOOGLETRANSLATE(B140, ""en"", ""hi"")"),"#VALUE!")</f>
        <v>#VALUE!</v>
      </c>
      <c r="I140" s="8" t="str">
        <f>IFERROR(__xludf.DUMMYFUNCTION("GOOGLETRANSLATE(C140, ""en"", ""hi"")"),"मुकना में, मैच समीक्षा का एक विशिष्ट घटक क्या है?")</f>
        <v>मुकना में, मैच समीक्षा का एक विशिष्ट घटक क्या है?</v>
      </c>
      <c r="J140" s="8" t="str">
        <f>IFERROR(__xludf.DUMMYFUNCTION("GOOGLETRANSLATE(D140, ""en"", ""hi"")"),"A) वीडियो विश्लेषण, B) कोच फीडबैक, C) स्व-मूल्यांकन, D) उपरोक्त सभी")</f>
        <v>A) वीडियो विश्लेषण, B) कोच फीडबैक, C) स्व-मूल्यांकन, D) उपरोक्त सभी</v>
      </c>
      <c r="K140" s="8" t="str">
        <f>IFERROR(__xludf.DUMMYFUNCTION("GOOGLETRANSLATE(E140, ""en"", ""hi"")"),"D। उपरोक्त सभी")</f>
        <v>D। उपरोक्त सभी</v>
      </c>
    </row>
    <row r="141" ht="22.5" customHeight="1">
      <c r="A141" s="2">
        <v>140.0</v>
      </c>
      <c r="B141" s="3"/>
      <c r="C141" s="3" t="s">
        <v>5585</v>
      </c>
      <c r="D141" s="3" t="s">
        <v>5586</v>
      </c>
      <c r="E141" s="3" t="s">
        <v>5587</v>
      </c>
      <c r="G141" s="8" t="str">
        <f>IFERROR(__xludf.DUMMYFUNCTION("GOOGLETRANSLATE(A141, ""en"", ""hi"")"),"140")</f>
        <v>140</v>
      </c>
      <c r="H141" s="8" t="str">
        <f>IFERROR(__xludf.DUMMYFUNCTION("GOOGLETRANSLATE(B141, ""en"", ""hi"")"),"#VALUE!")</f>
        <v>#VALUE!</v>
      </c>
      <c r="I141" s="8" t="str">
        <f>IFERROR(__xludf.DUMMYFUNCTION("GOOGLETRANSLATE(C141, ""en"", ""hi"")"),"मुक्ना में प्रतिक्रिया समय सुधारने का सामान्य तरीका क्या है?")</f>
        <v>मुक्ना में प्रतिक्रिया समय सुधारने का सामान्य तरीका क्या है?</v>
      </c>
      <c r="J141" s="8" t="str">
        <f>IFERROR(__xludf.DUMMYFUNCTION("GOOGLETRANSLATE(D141, ""en"", ""hi"")"),"A) रिफ्लेक्स अभ्यास, B) गति प्रशिक्षण, C) तकनीक अभ्यास, D) चपलता अभ्यास")</f>
        <v>A) रिफ्लेक्स अभ्यास, B) गति प्रशिक्षण, C) तकनीक अभ्यास, D) चपलता अभ्यास</v>
      </c>
      <c r="K141" s="8" t="str">
        <f>IFERROR(__xludf.DUMMYFUNCTION("GOOGLETRANSLATE(E141, ""en"", ""hi"")"),"ए) रिफ्लेक्स अभ्यास")</f>
        <v>ए) रिफ्लेक्स अभ्यास</v>
      </c>
    </row>
    <row r="142" ht="22.5" customHeight="1">
      <c r="A142" s="2">
        <v>141.0</v>
      </c>
      <c r="B142" s="3"/>
      <c r="C142" s="3" t="s">
        <v>5588</v>
      </c>
      <c r="D142" s="3" t="s">
        <v>5589</v>
      </c>
      <c r="E142" s="3" t="s">
        <v>1873</v>
      </c>
      <c r="G142" s="8" t="str">
        <f>IFERROR(__xludf.DUMMYFUNCTION("GOOGLETRANSLATE(A142, ""en"", ""hi"")"),"141")</f>
        <v>141</v>
      </c>
      <c r="H142" s="8" t="str">
        <f>IFERROR(__xludf.DUMMYFUNCTION("GOOGLETRANSLATE(B142, ""en"", ""hi"")"),"#VALUE!")</f>
        <v>#VALUE!</v>
      </c>
      <c r="I142" s="8" t="str">
        <f>IFERROR(__xludf.DUMMYFUNCTION("GOOGLETRANSLATE(C142, ""en"", ""hi"")"),"मुकना के लिए प्रतियोगिता की तैयारी का एक सामान्य पहलू क्या है?")</f>
        <v>मुकना के लिए प्रतियोगिता की तैयारी का एक सामान्य पहलू क्या है?</v>
      </c>
      <c r="J142" s="8" t="str">
        <f>IFERROR(__xludf.DUMMYFUNCTION("GOOGLETRANSLATE(D142, ""en"", ""hi"")"),"A) तकनीक परिशोधन, B) मानसिक कंडीशनिंग, C) शारीरिक वार्म-अप, D) उपरोक्त सभी")</f>
        <v>A) तकनीक परिशोधन, B) मानसिक कंडीशनिंग, C) शारीरिक वार्म-अप, D) उपरोक्त सभी</v>
      </c>
      <c r="K142" s="8" t="str">
        <f>IFERROR(__xludf.DUMMYFUNCTION("GOOGLETRANSLATE(E142, ""en"", ""hi"")"),"D। उपरोक्त सभी")</f>
        <v>D। उपरोक्त सभी</v>
      </c>
    </row>
    <row r="143" ht="22.5" customHeight="1">
      <c r="A143" s="2">
        <v>142.0</v>
      </c>
      <c r="B143" s="3"/>
      <c r="C143" s="3" t="s">
        <v>5590</v>
      </c>
      <c r="D143" s="3" t="s">
        <v>5591</v>
      </c>
      <c r="E143" s="3" t="s">
        <v>1873</v>
      </c>
      <c r="G143" s="8" t="str">
        <f>IFERROR(__xludf.DUMMYFUNCTION("GOOGLETRANSLATE(A143, ""en"", ""hi"")"),"142")</f>
        <v>142</v>
      </c>
      <c r="H143" s="8" t="str">
        <f>IFERROR(__xludf.DUMMYFUNCTION("GOOGLETRANSLATE(B143, ""en"", ""hi"")"),"#VALUE!")</f>
        <v>#VALUE!</v>
      </c>
      <c r="I143" s="8" t="str">
        <f>IFERROR(__xludf.DUMMYFUNCTION("GOOGLETRANSLATE(C143, ""en"", ""hi"")"),"मुकना में, सहनशक्ति बढ़ाने का एक सामान्य तरीका क्या है?")</f>
        <v>मुकना में, सहनशक्ति बढ़ाने का एक सामान्य तरीका क्या है?</v>
      </c>
      <c r="J143" s="8" t="str">
        <f>IFERROR(__xludf.DUMMYFUNCTION("GOOGLETRANSLATE(D143, ""en"", ""hi"")"),"A) कार्डियो वर्कआउट, B) अंतराल प्रशिक्षण, C) धीरज अभ्यास, D) उपरोक्त सभी")</f>
        <v>A) कार्डियो वर्कआउट, B) अंतराल प्रशिक्षण, C) धीरज अभ्यास, D) उपरोक्त सभी</v>
      </c>
      <c r="K143" s="8" t="str">
        <f>IFERROR(__xludf.DUMMYFUNCTION("GOOGLETRANSLATE(E143, ""en"", ""hi"")"),"D। उपरोक्त सभी")</f>
        <v>D। उपरोक्त सभी</v>
      </c>
    </row>
    <row r="144" ht="22.5" customHeight="1">
      <c r="A144" s="2">
        <v>143.0</v>
      </c>
      <c r="B144" s="3"/>
      <c r="C144" s="3" t="s">
        <v>5592</v>
      </c>
      <c r="D144" s="3" t="s">
        <v>5593</v>
      </c>
      <c r="E144" s="3" t="s">
        <v>1873</v>
      </c>
      <c r="G144" s="8" t="str">
        <f>IFERROR(__xludf.DUMMYFUNCTION("GOOGLETRANSLATE(A144, ""en"", ""hi"")"),"143")</f>
        <v>143</v>
      </c>
      <c r="H144" s="8" t="str">
        <f>IFERROR(__xludf.DUMMYFUNCTION("GOOGLETRANSLATE(B144, ""en"", ""hi"")"),"#VALUE!")</f>
        <v>#VALUE!</v>
      </c>
      <c r="I144" s="8" t="str">
        <f>IFERROR(__xludf.DUMMYFUNCTION("GOOGLETRANSLATE(C144, ""en"", ""hi"")"),"मुकना में प्रशिक्षण के बाद स्वास्थ्य लाभ के लिए क्या अभ्यास अनुशंसित है?")</f>
        <v>मुकना में प्रशिक्षण के बाद स्वास्थ्य लाभ के लिए क्या अभ्यास अनुशंसित है?</v>
      </c>
      <c r="J144" s="8" t="str">
        <f>IFERROR(__xludf.DUMMYFUNCTION("GOOGLETRANSLATE(D144, ""en"", ""hi"")"),"A) हाइड्रेशन, B) स्ट्रेचिंग, C) उचित पोषण, D) उपरोक्त सभी")</f>
        <v>A) हाइड्रेशन, B) स्ट्रेचिंग, C) उचित पोषण, D) उपरोक्त सभी</v>
      </c>
      <c r="K144" s="8" t="str">
        <f>IFERROR(__xludf.DUMMYFUNCTION("GOOGLETRANSLATE(E144, ""en"", ""hi"")"),"D। उपरोक्त सभी")</f>
        <v>D। उपरोक्त सभी</v>
      </c>
    </row>
    <row r="145" ht="22.5" customHeight="1">
      <c r="A145" s="2">
        <v>144.0</v>
      </c>
      <c r="B145" s="3"/>
      <c r="C145" s="3" t="s">
        <v>5594</v>
      </c>
      <c r="D145" s="3" t="s">
        <v>5595</v>
      </c>
      <c r="E145" s="3" t="s">
        <v>1873</v>
      </c>
      <c r="G145" s="8" t="str">
        <f>IFERROR(__xludf.DUMMYFUNCTION("GOOGLETRANSLATE(A145, ""en"", ""hi"")"),"144")</f>
        <v>144</v>
      </c>
      <c r="H145" s="8" t="str">
        <f>IFERROR(__xludf.DUMMYFUNCTION("GOOGLETRANSLATE(B145, ""en"", ""hi"")"),"#VALUE!")</f>
        <v>#VALUE!</v>
      </c>
      <c r="I145" s="8" t="str">
        <f>IFERROR(__xludf.DUMMYFUNCTION("GOOGLETRANSLATE(C145, ""en"", ""hi"")"),"मुकना में, प्रभावी प्रतिस्पर्धा रणनीति का प्रमुख तत्व क्या है?")</f>
        <v>मुकना में, प्रभावी प्रतिस्पर्धा रणनीति का प्रमुख तत्व क्या है?</v>
      </c>
      <c r="J145" s="8" t="str">
        <f>IFERROR(__xludf.DUMMYFUNCTION("GOOGLETRANSLATE(D145, ""en"", ""hi"")"),"A) प्रतिद्वंद्वी की रणनीति के अनुकूल होना, B) शक्तियों को अधिकतम करना, C) कमजोरियों को न्यूनतम करना, D) उपरोक्त सभी")</f>
        <v>A) प्रतिद्वंद्वी की रणनीति के अनुकूल होना, B) शक्तियों को अधिकतम करना, C) कमजोरियों को न्यूनतम करना, D) उपरोक्त सभी</v>
      </c>
      <c r="K145" s="8" t="str">
        <f>IFERROR(__xludf.DUMMYFUNCTION("GOOGLETRANSLATE(E145, ""en"", ""hi"")"),"D। उपरोक्त सभी")</f>
        <v>D। उपरोक्त सभी</v>
      </c>
    </row>
    <row r="146" ht="22.5" customHeight="1">
      <c r="A146" s="2">
        <v>145.0</v>
      </c>
      <c r="B146" s="3"/>
      <c r="C146" s="3" t="s">
        <v>5596</v>
      </c>
      <c r="D146" s="3" t="s">
        <v>5597</v>
      </c>
      <c r="E146" s="3" t="s">
        <v>1873</v>
      </c>
      <c r="G146" s="8" t="str">
        <f>IFERROR(__xludf.DUMMYFUNCTION("GOOGLETRANSLATE(A146, ""en"", ""hi"")"),"145")</f>
        <v>145</v>
      </c>
      <c r="H146" s="8" t="str">
        <f>IFERROR(__xludf.DUMMYFUNCTION("GOOGLETRANSLATE(B146, ""en"", ""hi"")"),"#VALUE!")</f>
        <v>#VALUE!</v>
      </c>
      <c r="I146" s="8" t="str">
        <f>IFERROR(__xludf.DUMMYFUNCTION("GOOGLETRANSLATE(C146, ""en"", ""hi"")"),"मुकना के लिए उच्च गुणवत्ता वाली प्रशिक्षण सुविधा की विशिष्ट विशेषता क्या है?")</f>
        <v>मुकना के लिए उच्च गुणवत्ता वाली प्रशिक्षण सुविधा की विशिष्ट विशेषता क्या है?</v>
      </c>
      <c r="J146" s="8" t="str">
        <f>IFERROR(__xludf.DUMMYFUNCTION("GOOGLETRANSLATE(D146, ""en"", ""hi"")"),"A) पर्याप्त स्थान, B) उचित उपकरण, C) सुरक्षित वातावरण, D) उपरोक्त सभी")</f>
        <v>A) पर्याप्त स्थान, B) उचित उपकरण, C) सुरक्षित वातावरण, D) उपरोक्त सभी</v>
      </c>
      <c r="K146" s="8" t="str">
        <f>IFERROR(__xludf.DUMMYFUNCTION("GOOGLETRANSLATE(E146, ""en"", ""hi"")"),"D। उपरोक्त सभी")</f>
        <v>D। उपरोक्त सभी</v>
      </c>
    </row>
    <row r="147" ht="22.5" customHeight="1">
      <c r="A147" s="2">
        <v>146.0</v>
      </c>
      <c r="B147" s="3"/>
      <c r="C147" s="3" t="s">
        <v>5553</v>
      </c>
      <c r="D147" s="3" t="s">
        <v>5598</v>
      </c>
      <c r="E147" s="3" t="s">
        <v>5200</v>
      </c>
      <c r="G147" s="8" t="str">
        <f>IFERROR(__xludf.DUMMYFUNCTION("GOOGLETRANSLATE(A147, ""en"", ""hi"")"),"146")</f>
        <v>146</v>
      </c>
      <c r="H147" s="8" t="str">
        <f>IFERROR(__xludf.DUMMYFUNCTION("GOOGLETRANSLATE(B147, ""en"", ""hi"")"),"#VALUE!")</f>
        <v>#VALUE!</v>
      </c>
      <c r="I147" s="8" t="str">
        <f>IFERROR(__xludf.DUMMYFUNCTION("GOOGLETRANSLATE(C147, ""en"", ""hi"")"),"मुकना में संतुलन सुधारने के लिए आम तकनीक क्या है?")</f>
        <v>मुकना में संतुलन सुधारने के लिए आम तकनीक क्या है?</v>
      </c>
      <c r="J147" s="8" t="str">
        <f>IFERROR(__xludf.DUMMYFUNCTION("GOOGLETRANSLATE(D147, ""en"", ""hi"")"),"ए) संतुलन अभ्यास, बी) स्थिरता अभ्यास, सी) कोर प्रशिक्षण, डी) लचीलापन अभ्यास")</f>
        <v>ए) संतुलन अभ्यास, बी) स्थिरता अभ्यास, सी) कोर प्रशिक्षण, डी) लचीलापन अभ्यास</v>
      </c>
      <c r="K147" s="8" t="str">
        <f>IFERROR(__xludf.DUMMYFUNCTION("GOOGLETRANSLATE(E147, ""en"", ""hi"")"),"ए) संतुलन अभ्यास")</f>
        <v>ए) संतुलन अभ्यास</v>
      </c>
    </row>
    <row r="148" ht="22.5" customHeight="1">
      <c r="A148" s="2">
        <v>147.0</v>
      </c>
      <c r="B148" s="3"/>
      <c r="C148" s="3" t="s">
        <v>5599</v>
      </c>
      <c r="D148" s="3" t="s">
        <v>5600</v>
      </c>
      <c r="E148" s="3" t="s">
        <v>5601</v>
      </c>
      <c r="G148" s="8" t="str">
        <f>IFERROR(__xludf.DUMMYFUNCTION("GOOGLETRANSLATE(A148, ""en"", ""hi"")"),"147")</f>
        <v>147</v>
      </c>
      <c r="H148" s="8" t="str">
        <f>IFERROR(__xludf.DUMMYFUNCTION("GOOGLETRANSLATE(B148, ""en"", ""hi"")"),"#VALUE!")</f>
        <v>#VALUE!</v>
      </c>
      <c r="I148" s="8" t="str">
        <f>IFERROR(__xludf.DUMMYFUNCTION("GOOGLETRANSLATE(C148, ""en"", ""hi"")"),"मुकना में विस्फोटक शक्ति निर्माण का सामान्य तरीका क्या है?")</f>
        <v>मुकना में विस्फोटक शक्ति निर्माण का सामान्य तरीका क्या है?</v>
      </c>
      <c r="J148" s="8" t="str">
        <f>IFERROR(__xludf.DUMMYFUNCTION("GOOGLETRANSLATE(D148, ""en"", ""hi"")"),"A) प्लायोमेट्रिक व्यायाम, B) पावरलिफ्टिंग, C) गति प्रशिक्षण, D) उपरोक्त सभी")</f>
        <v>A) प्लायोमेट्रिक व्यायाम, B) पावरलिफ्टिंग, C) गति प्रशिक्षण, D) उपरोक्त सभी</v>
      </c>
      <c r="K148" s="8" t="str">
        <f>IFERROR(__xludf.DUMMYFUNCTION("GOOGLETRANSLATE(E148, ""en"", ""hi"")"),"ए) प्लायोमेट्रिक व्यायाम")</f>
        <v>ए) प्लायोमेट्रिक व्यायाम</v>
      </c>
    </row>
    <row r="149" ht="22.5" customHeight="1">
      <c r="A149" s="2">
        <v>148.0</v>
      </c>
      <c r="B149" s="3"/>
      <c r="C149" s="3" t="s">
        <v>5602</v>
      </c>
      <c r="D149" s="3" t="s">
        <v>5603</v>
      </c>
      <c r="E149" s="3" t="s">
        <v>1873</v>
      </c>
      <c r="G149" s="8" t="str">
        <f>IFERROR(__xludf.DUMMYFUNCTION("GOOGLETRANSLATE(A149, ""en"", ""hi"")"),"148")</f>
        <v>148</v>
      </c>
      <c r="H149" s="8" t="str">
        <f>IFERROR(__xludf.DUMMYFUNCTION("GOOGLETRANSLATE(B149, ""en"", ""hi"")"),"#VALUE!")</f>
        <v>#VALUE!</v>
      </c>
      <c r="I149" s="8" t="str">
        <f>IFERROR(__xludf.DUMMYFUNCTION("GOOGLETRANSLATE(C149, ""en"", ""hi"")"),"मुकना के लिए तकनीक निष्पादन को बढ़ाने का एक सामान्य तरीका क्या है?")</f>
        <v>मुकना के लिए तकनीक निष्पादन को बढ़ाने का एक सामान्य तरीका क्या है?</v>
      </c>
      <c r="J149" s="8" t="str">
        <f>IFERROR(__xludf.DUMMYFUNCTION("GOOGLETRANSLATE(D149, ""en"", ""hi"")"),"A) ड्रिलिंग, B) पार्टनर अभ्यास, C) वीडियो विश्लेषण, D) उपरोक्त सभी")</f>
        <v>A) ड्रिलिंग, B) पार्टनर अभ्यास, C) वीडियो विश्लेषण, D) उपरोक्त सभी</v>
      </c>
      <c r="K149" s="8" t="str">
        <f>IFERROR(__xludf.DUMMYFUNCTION("GOOGLETRANSLATE(E149, ""en"", ""hi"")"),"D। उपरोक्त सभी")</f>
        <v>D। उपरोक्त सभी</v>
      </c>
    </row>
    <row r="150" ht="22.5" customHeight="1">
      <c r="A150" s="2">
        <v>149.0</v>
      </c>
      <c r="B150" s="3"/>
      <c r="C150" s="3" t="s">
        <v>5604</v>
      </c>
      <c r="D150" s="3" t="s">
        <v>5605</v>
      </c>
      <c r="E150" s="3" t="s">
        <v>1873</v>
      </c>
      <c r="G150" s="8" t="str">
        <f>IFERROR(__xludf.DUMMYFUNCTION("GOOGLETRANSLATE(A150, ""en"", ""hi"")"),"149")</f>
        <v>149</v>
      </c>
      <c r="H150" s="8" t="str">
        <f>IFERROR(__xludf.DUMMYFUNCTION("GOOGLETRANSLATE(B150, ""en"", ""hi"")"),"#VALUE!")</f>
        <v>#VALUE!</v>
      </c>
      <c r="I150" s="8" t="str">
        <f>IFERROR(__xludf.DUMMYFUNCTION("GOOGLETRANSLATE(C150, ""en"", ""hi"")"),"मुकना में उचित तकनीक का अनिवार्य पहलू क्या है?")</f>
        <v>मुकना में उचित तकनीक का अनिवार्य पहलू क्या है?</v>
      </c>
      <c r="J150" s="8" t="str">
        <f>IFERROR(__xludf.DUMMYFUNCTION("GOOGLETRANSLATE(D150, ""en"", ""hi"")"),"A) सटीकता, B) समय, C) शक्ति, D) उपरोक्त सभी")</f>
        <v>A) सटीकता, B) समय, C) शक्ति, D) उपरोक्त सभी</v>
      </c>
      <c r="K150" s="8" t="str">
        <f>IFERROR(__xludf.DUMMYFUNCTION("GOOGLETRANSLATE(E150, ""en"", ""hi"")"),"D। उपरोक्त सभी")</f>
        <v>D। उपरोक्त सभी</v>
      </c>
    </row>
    <row r="151" ht="22.5" customHeight="1">
      <c r="A151" s="2">
        <v>150.0</v>
      </c>
      <c r="B151" s="3"/>
      <c r="C151" s="3" t="s">
        <v>5606</v>
      </c>
      <c r="D151" s="3" t="s">
        <v>5566</v>
      </c>
      <c r="E151" s="3" t="s">
        <v>1873</v>
      </c>
      <c r="G151" s="8" t="str">
        <f>IFERROR(__xludf.DUMMYFUNCTION("GOOGLETRANSLATE(A151, ""en"", ""hi"")"),"150")</f>
        <v>150</v>
      </c>
      <c r="H151" s="8" t="str">
        <f>IFERROR(__xludf.DUMMYFUNCTION("GOOGLETRANSLATE(B151, ""en"", ""hi"")"),"#VALUE!")</f>
        <v>#VALUE!</v>
      </c>
      <c r="I151" s="8" t="str">
        <f>IFERROR(__xludf.DUMMYFUNCTION("GOOGLETRANSLATE(C151, ""en"", ""hi"")"),"मुकना में लचीलेपन में सुधार के लिए आम प्रथा क्या है?")</f>
        <v>मुकना में लचीलेपन में सुधार के लिए आम प्रथा क्या है?</v>
      </c>
      <c r="J151" s="8" t="str">
        <f>IFERROR(__xludf.DUMMYFUNCTION("GOOGLETRANSLATE(D151, ""en"", ""hi"")"),"A) स्ट्रेचिंग रूटीन, B) योग, C) डायनामिक स्ट्रेचिंग, D) उपरोक्त सभी")</f>
        <v>A) स्ट्रेचिंग रूटीन, B) योग, C) डायनामिक स्ट्रेचिंग, D) उपरोक्त सभी</v>
      </c>
      <c r="K151" s="8" t="str">
        <f>IFERROR(__xludf.DUMMYFUNCTION("GOOGLETRANSLATE(E151, ""en"", ""hi"")"),"D। उपरोक्त सभी")</f>
        <v>D। उपरोक्त सभी</v>
      </c>
    </row>
    <row r="152" ht="22.5" customHeight="1">
      <c r="A152" s="2">
        <v>151.0</v>
      </c>
      <c r="B152" s="3"/>
      <c r="C152" s="3" t="s">
        <v>5607</v>
      </c>
      <c r="D152" s="3" t="s">
        <v>5608</v>
      </c>
      <c r="E152" s="3" t="s">
        <v>1873</v>
      </c>
      <c r="G152" s="8" t="str">
        <f>IFERROR(__xludf.DUMMYFUNCTION("GOOGLETRANSLATE(A152, ""en"", ""hi"")"),"151")</f>
        <v>151</v>
      </c>
      <c r="H152" s="8" t="str">
        <f>IFERROR(__xludf.DUMMYFUNCTION("GOOGLETRANSLATE(B152, ""en"", ""hi"")"),"#VALUE!")</f>
        <v>#VALUE!</v>
      </c>
      <c r="I152" s="8" t="str">
        <f>IFERROR(__xludf.DUMMYFUNCTION("GOOGLETRANSLATE(C152, ""en"", ""hi"")"),"मुकना में, सफल मैच रणनीति का एक विशिष्ट तत्व क्या है?")</f>
        <v>मुकना में, सफल मैच रणनीति का एक विशिष्ट तत्व क्या है?</v>
      </c>
      <c r="J152" s="8" t="str">
        <f>IFERROR(__xludf.DUMMYFUNCTION("GOOGLETRANSLATE(D152, ""en"", ""hi"")"),"A) प्रतिद्वंद्वी की शैली के अनुकूल होना, B) शक्तियों का उपयोग करना, C) तकनीकों को प्रभावी ढंग से लागू करना, D) उपरोक्त सभी")</f>
        <v>A) प्रतिद्वंद्वी की शैली के अनुकूल होना, B) शक्तियों का उपयोग करना, C) तकनीकों को प्रभावी ढंग से लागू करना, D) उपरोक्त सभी</v>
      </c>
      <c r="K152" s="8" t="str">
        <f>IFERROR(__xludf.DUMMYFUNCTION("GOOGLETRANSLATE(E152, ""en"", ""hi"")"),"D। उपरोक्त सभी")</f>
        <v>D। उपरोक्त सभी</v>
      </c>
    </row>
    <row r="153" ht="22.5" customHeight="1">
      <c r="A153" s="2">
        <v>152.0</v>
      </c>
      <c r="B153" s="3"/>
      <c r="C153" s="3" t="s">
        <v>5609</v>
      </c>
      <c r="D153" s="3" t="s">
        <v>5610</v>
      </c>
      <c r="E153" s="3" t="s">
        <v>1873</v>
      </c>
      <c r="G153" s="8" t="str">
        <f>IFERROR(__xludf.DUMMYFUNCTION("GOOGLETRANSLATE(A153, ""en"", ""hi"")"),"152")</f>
        <v>152</v>
      </c>
      <c r="H153" s="8" t="str">
        <f>IFERROR(__xludf.DUMMYFUNCTION("GOOGLETRANSLATE(B153, ""en"", ""hi"")"),"#VALUE!")</f>
        <v>#VALUE!</v>
      </c>
      <c r="I153" s="8" t="str">
        <f>IFERROR(__xludf.DUMMYFUNCTION("GOOGLETRANSLATE(C153, ""en"", ""hi"")"),"मुकना के लिए चोट प्रबंधन हेतु अनुशंसित अभ्यास क्या है?")</f>
        <v>मुकना के लिए चोट प्रबंधन हेतु अनुशंसित अभ्यास क्या है?</v>
      </c>
      <c r="J153" s="8" t="str">
        <f>IFERROR(__xludf.DUMMYFUNCTION("GOOGLETRANSLATE(D153, ""en"", ""hi"")"),"A) आराम, B) भौतिक चिकित्सा, C) चिकित्सा परामर्श, D) उपरोक्त सभी")</f>
        <v>A) आराम, B) भौतिक चिकित्सा, C) चिकित्सा परामर्श, D) उपरोक्त सभी</v>
      </c>
      <c r="K153" s="8" t="str">
        <f>IFERROR(__xludf.DUMMYFUNCTION("GOOGLETRANSLATE(E153, ""en"", ""hi"")"),"D। उपरोक्त सभी")</f>
        <v>D। उपरोक्त सभी</v>
      </c>
    </row>
    <row r="154" ht="22.5" customHeight="1">
      <c r="A154" s="2">
        <v>153.0</v>
      </c>
      <c r="B154" s="3"/>
      <c r="C154" s="3" t="s">
        <v>5611</v>
      </c>
      <c r="D154" s="3" t="s">
        <v>5578</v>
      </c>
      <c r="E154" s="3" t="s">
        <v>1873</v>
      </c>
      <c r="G154" s="8" t="str">
        <f>IFERROR(__xludf.DUMMYFUNCTION("GOOGLETRANSLATE(A154, ""en"", ""hi"")"),"153")</f>
        <v>153</v>
      </c>
      <c r="H154" s="8" t="str">
        <f>IFERROR(__xludf.DUMMYFUNCTION("GOOGLETRANSLATE(B154, ""en"", ""hi"")"),"#VALUE!")</f>
        <v>#VALUE!</v>
      </c>
      <c r="I154" s="8" t="str">
        <f>IFERROR(__xludf.DUMMYFUNCTION("GOOGLETRANSLATE(C154, ""en"", ""hi"")"),"मुकना में चपलता बढ़ाने के लिए आम तरीका क्या है?")</f>
        <v>मुकना में चपलता बढ़ाने के लिए आम तरीका क्या है?</v>
      </c>
      <c r="J154" s="8" t="str">
        <f>IFERROR(__xludf.DUMMYFUNCTION("GOOGLETRANSLATE(D154, ""en"", ""hi"")"),"A) चपलता अभ्यास, B) प्लायोमेट्रिक व्यायाम, C) गति प्रशिक्षण, D) उपरोक्त सभी")</f>
        <v>A) चपलता अभ्यास, B) प्लायोमेट्रिक व्यायाम, C) गति प्रशिक्षण, D) उपरोक्त सभी</v>
      </c>
      <c r="K154" s="8" t="str">
        <f>IFERROR(__xludf.DUMMYFUNCTION("GOOGLETRANSLATE(E154, ""en"", ""hi"")"),"D। उपरोक्त सभी")</f>
        <v>D। उपरोक्त सभी</v>
      </c>
    </row>
    <row r="155" ht="22.5" customHeight="1">
      <c r="A155" s="2">
        <v>154.0</v>
      </c>
      <c r="B155" s="3"/>
      <c r="C155" s="3" t="s">
        <v>5612</v>
      </c>
      <c r="D155" s="3" t="s">
        <v>5613</v>
      </c>
      <c r="E155" s="3" t="s">
        <v>1873</v>
      </c>
      <c r="G155" s="8" t="str">
        <f>IFERROR(__xludf.DUMMYFUNCTION("GOOGLETRANSLATE(A155, ""en"", ""hi"")"),"154")</f>
        <v>154</v>
      </c>
      <c r="H155" s="8" t="str">
        <f>IFERROR(__xludf.DUMMYFUNCTION("GOOGLETRANSLATE(B155, ""en"", ""hi"")"),"#VALUE!")</f>
        <v>#VALUE!</v>
      </c>
      <c r="I155" s="8" t="str">
        <f>IFERROR(__xludf.DUMMYFUNCTION("GOOGLETRANSLATE(C155, ""en"", ""hi"")"),"मुकना में अंक अर्जित करने की सामान्य तकनीक क्या है?")</f>
        <v>मुकना में अंक अर्जित करने की सामान्य तकनीक क्या है?</v>
      </c>
      <c r="J155" s="8" t="str">
        <f>IFERROR(__xludf.DUMMYFUNCTION("GOOGLETRANSLATE(D155, ""en"", ""hi"")"),"A) थ्रो, B) टेकडाउन, C) पिन, D) उपरोक्त सभी")</f>
        <v>A) थ्रो, B) टेकडाउन, C) पिन, D) उपरोक्त सभी</v>
      </c>
      <c r="K155" s="8" t="str">
        <f>IFERROR(__xludf.DUMMYFUNCTION("GOOGLETRANSLATE(E155, ""en"", ""hi"")"),"D। उपरोक्त सभी")</f>
        <v>D। उपरोक्त सभी</v>
      </c>
    </row>
    <row r="156" ht="22.5" customHeight="1">
      <c r="A156" s="2">
        <v>155.0</v>
      </c>
      <c r="B156" s="3"/>
      <c r="C156" s="3" t="s">
        <v>5614</v>
      </c>
      <c r="D156" s="3" t="s">
        <v>5615</v>
      </c>
      <c r="E156" s="3" t="s">
        <v>1873</v>
      </c>
      <c r="G156" s="8" t="str">
        <f>IFERROR(__xludf.DUMMYFUNCTION("GOOGLETRANSLATE(A156, ""en"", ""hi"")"),"155")</f>
        <v>155</v>
      </c>
      <c r="H156" s="8" t="str">
        <f>IFERROR(__xludf.DUMMYFUNCTION("GOOGLETRANSLATE(B156, ""en"", ""hi"")"),"#VALUE!")</f>
        <v>#VALUE!</v>
      </c>
      <c r="I156" s="8" t="str">
        <f>IFERROR(__xludf.DUMMYFUNCTION("GOOGLETRANSLATE(C156, ""en"", ""hi"")"),"मुकना के अनुसार, प्रभावी प्रशिक्षण उपकरण की विशिष्ट विशेषता क्या है?")</f>
        <v>मुकना के अनुसार, प्रभावी प्रशिक्षण उपकरण की विशिष्ट विशेषता क्या है?</v>
      </c>
      <c r="J156" s="8" t="str">
        <f>IFERROR(__xludf.DUMMYFUNCTION("GOOGLETRANSLATE(D156, ""en"", ""hi"")"),"A) टिकाऊपन, B) आराम, C) कार्यक्षमता, D) उपरोक्त सभी")</f>
        <v>A) टिकाऊपन, B) आराम, C) कार्यक्षमता, D) उपरोक्त सभी</v>
      </c>
      <c r="K156" s="8" t="str">
        <f>IFERROR(__xludf.DUMMYFUNCTION("GOOGLETRANSLATE(E156, ""en"", ""hi"")"),"D। उपरोक्त सभी")</f>
        <v>D। उपरोक्त सभी</v>
      </c>
    </row>
    <row r="157" ht="22.5" customHeight="1">
      <c r="A157" s="2">
        <v>156.0</v>
      </c>
      <c r="B157" s="3"/>
      <c r="C157" s="3" t="s">
        <v>5616</v>
      </c>
      <c r="D157" s="3" t="s">
        <v>5580</v>
      </c>
      <c r="E157" s="3" t="s">
        <v>1873</v>
      </c>
      <c r="G157" s="8" t="str">
        <f>IFERROR(__xludf.DUMMYFUNCTION("GOOGLETRANSLATE(A157, ""en"", ""hi"")"),"156")</f>
        <v>156</v>
      </c>
      <c r="H157" s="8" t="str">
        <f>IFERROR(__xludf.DUMMYFUNCTION("GOOGLETRANSLATE(B157, ""en"", ""hi"")"),"#VALUE!")</f>
        <v>#VALUE!</v>
      </c>
      <c r="I157" s="8" t="str">
        <f>IFERROR(__xludf.DUMMYFUNCTION("GOOGLETRANSLATE(C157, ""en"", ""hi"")"),"मुकना में मानसिक दृढ़ता निर्माण के लिए सामान्य तरीका क्या है?")</f>
        <v>मुकना में मानसिक दृढ़ता निर्माण के लिए सामान्य तरीका क्या है?</v>
      </c>
      <c r="J157" s="8" t="str">
        <f>IFERROR(__xludf.DUMMYFUNCTION("GOOGLETRANSLATE(D157, ""en"", ""hi"")"),"A) विज़ुअलाइज़ेशन तकनीक, B) सकारात्मक प्रतिज्ञान, C) मानसिक कंडीशनिंग अभ्यास, D) उपरोक्त सभी")</f>
        <v>A) विज़ुअलाइज़ेशन तकनीक, B) सकारात्मक प्रतिज्ञान, C) मानसिक कंडीशनिंग अभ्यास, D) उपरोक्त सभी</v>
      </c>
      <c r="K157" s="8" t="str">
        <f>IFERROR(__xludf.DUMMYFUNCTION("GOOGLETRANSLATE(E157, ""en"", ""hi"")"),"D। उपरोक्त सभी")</f>
        <v>D। उपरोक्त सभी</v>
      </c>
    </row>
    <row r="158" ht="22.5" customHeight="1">
      <c r="A158" s="2">
        <v>157.0</v>
      </c>
      <c r="B158" s="3"/>
      <c r="C158" s="3" t="s">
        <v>5617</v>
      </c>
      <c r="D158" s="3" t="s">
        <v>5618</v>
      </c>
      <c r="E158" s="3" t="s">
        <v>1873</v>
      </c>
      <c r="G158" s="8" t="str">
        <f>IFERROR(__xludf.DUMMYFUNCTION("GOOGLETRANSLATE(A158, ""en"", ""hi"")"),"157")</f>
        <v>157</v>
      </c>
      <c r="H158" s="8" t="str">
        <f>IFERROR(__xludf.DUMMYFUNCTION("GOOGLETRANSLATE(B158, ""en"", ""hi"")"),"#VALUE!")</f>
        <v>#VALUE!</v>
      </c>
      <c r="I158" s="8" t="str">
        <f>IFERROR(__xludf.DUMMYFUNCTION("GOOGLETRANSLATE(C158, ""en"", ""hi"")"),"मुकना में गति बढ़ाने के लिए अनुशंसित अभ्यास क्या है?")</f>
        <v>मुकना में गति बढ़ाने के लिए अनुशंसित अभ्यास क्या है?</v>
      </c>
      <c r="J158" s="8" t="str">
        <f>IFERROR(__xludf.DUMMYFUNCTION("GOOGLETRANSLATE(D158, ""en"", ""hi"")"),"A) गति अभ्यास, B) अंतराल प्रशिक्षण, C) चपलता प्रशिक्षण, D) उपरोक्त सभी")</f>
        <v>A) गति अभ्यास, B) अंतराल प्रशिक्षण, C) चपलता प्रशिक्षण, D) उपरोक्त सभी</v>
      </c>
      <c r="K158" s="8" t="str">
        <f>IFERROR(__xludf.DUMMYFUNCTION("GOOGLETRANSLATE(E158, ""en"", ""hi"")"),"D। उपरोक्त सभी")</f>
        <v>D। उपरोक्त सभी</v>
      </c>
    </row>
    <row r="159" ht="22.5" customHeight="1">
      <c r="A159" s="2">
        <v>158.0</v>
      </c>
      <c r="B159" s="3"/>
      <c r="C159" s="3" t="s">
        <v>5619</v>
      </c>
      <c r="D159" s="3" t="s">
        <v>5620</v>
      </c>
      <c r="E159" s="3" t="s">
        <v>1873</v>
      </c>
      <c r="G159" s="8" t="str">
        <f>IFERROR(__xludf.DUMMYFUNCTION("GOOGLETRANSLATE(A159, ""en"", ""hi"")"),"158")</f>
        <v>158</v>
      </c>
      <c r="H159" s="8" t="str">
        <f>IFERROR(__xludf.DUMMYFUNCTION("GOOGLETRANSLATE(B159, ""en"", ""hi"")"),"#VALUE!")</f>
        <v>#VALUE!</v>
      </c>
      <c r="I159" s="8" t="str">
        <f>IFERROR(__xludf.DUMMYFUNCTION("GOOGLETRANSLATE(C159, ""en"", ""hi"")"),"मुकना में तकनीक सुधार के लिए सामान्य दृष्टिकोण क्या है?")</f>
        <v>मुकना में तकनीक सुधार के लिए सामान्य दृष्टिकोण क्या है?</v>
      </c>
      <c r="J159" s="8" t="str">
        <f>IFERROR(__xludf.DUMMYFUNCTION("GOOGLETRANSLATE(D159, ""en"", ""hi"")"),"A) नियमित अभ्यास, B) पार्टनर अभ्यास, C) तकनीक विश्लेषण, D) उपरोक्त सभी")</f>
        <v>A) नियमित अभ्यास, B) पार्टनर अभ्यास, C) तकनीक विश्लेषण, D) उपरोक्त सभी</v>
      </c>
      <c r="K159" s="8" t="str">
        <f>IFERROR(__xludf.DUMMYFUNCTION("GOOGLETRANSLATE(E159, ""en"", ""hi"")"),"D। उपरोक्त सभी")</f>
        <v>D। उपरोक्त सभी</v>
      </c>
    </row>
    <row r="160" ht="22.5" customHeight="1">
      <c r="A160" s="2">
        <v>159.0</v>
      </c>
      <c r="B160" s="3"/>
      <c r="C160" s="3" t="s">
        <v>5621</v>
      </c>
      <c r="D160" s="3" t="s">
        <v>5622</v>
      </c>
      <c r="E160" s="3" t="s">
        <v>1873</v>
      </c>
      <c r="G160" s="8" t="str">
        <f>IFERROR(__xludf.DUMMYFUNCTION("GOOGLETRANSLATE(A160, ""en"", ""hi"")"),"159")</f>
        <v>159</v>
      </c>
      <c r="H160" s="8" t="str">
        <f>IFERROR(__xludf.DUMMYFUNCTION("GOOGLETRANSLATE(B160, ""en"", ""hi"")"),"#VALUE!")</f>
        <v>#VALUE!</v>
      </c>
      <c r="I160" s="8" t="str">
        <f>IFERROR(__xludf.DUMMYFUNCTION("GOOGLETRANSLATE(C160, ""en"", ""hi"")"),"मुकना में प्रतिद्वंद्वी की चाल का मुकाबला करने के लिए एक सामान्य तकनीक क्या है?")</f>
        <v>मुकना में प्रतिद्वंद्वी की चाल का मुकाबला करने के लिए एक सामान्य तकनीक क्या है?</v>
      </c>
      <c r="J160" s="8" t="str">
        <f>IFERROR(__xludf.DUMMYFUNCTION("GOOGLETRANSLATE(D160, ""en"", ""hi"")"),"A) रक्षात्मक युद्धाभ्यास, B) त्वरित उलटफेर, C) जवाबी हमले, D) उपरोक्त सभी")</f>
        <v>A) रक्षात्मक युद्धाभ्यास, B) त्वरित उलटफेर, C) जवाबी हमले, D) उपरोक्त सभी</v>
      </c>
      <c r="K160" s="8" t="str">
        <f>IFERROR(__xludf.DUMMYFUNCTION("GOOGLETRANSLATE(E160, ""en"", ""hi"")"),"D। उपरोक्त सभी")</f>
        <v>D। उपरोक्त सभी</v>
      </c>
    </row>
    <row r="161" ht="22.5" customHeight="1">
      <c r="A161" s="2">
        <v>160.0</v>
      </c>
      <c r="B161" s="3"/>
      <c r="C161" s="3" t="s">
        <v>5623</v>
      </c>
      <c r="D161" s="3" t="s">
        <v>5624</v>
      </c>
      <c r="E161" s="3" t="s">
        <v>1873</v>
      </c>
      <c r="G161" s="8" t="str">
        <f>IFERROR(__xludf.DUMMYFUNCTION("GOOGLETRANSLATE(A161, ""en"", ""hi"")"),"160")</f>
        <v>160</v>
      </c>
      <c r="H161" s="8" t="str">
        <f>IFERROR(__xludf.DUMMYFUNCTION("GOOGLETRANSLATE(B161, ""en"", ""hi"")"),"#VALUE!")</f>
        <v>#VALUE!</v>
      </c>
      <c r="I161" s="8" t="str">
        <f>IFERROR(__xludf.DUMMYFUNCTION("GOOGLETRANSLATE(C161, ""en"", ""hi"")"),"मुकना के अनुसार, सहनशक्ति में सुधार करने का सामान्य तरीका क्या है?")</f>
        <v>मुकना के अनुसार, सहनशक्ति में सुधार करने का सामान्य तरीका क्या है?</v>
      </c>
      <c r="J161" s="8" t="str">
        <f>IFERROR(__xludf.DUMMYFUNCTION("GOOGLETRANSLATE(D161, ""en"", ""hi"")"),"A) लंबी दूरी की दौड़, B) उच्च तीव्रता अंतराल प्रशिक्षण, C) सर्किट प्रशिक्षण, D) उपरोक्त सभी")</f>
        <v>A) लंबी दूरी की दौड़, B) उच्च तीव्रता अंतराल प्रशिक्षण, C) सर्किट प्रशिक्षण, D) उपरोक्त सभी</v>
      </c>
      <c r="K161" s="8" t="str">
        <f>IFERROR(__xludf.DUMMYFUNCTION("GOOGLETRANSLATE(E161, ""en"", ""hi"")"),"D। उपरोक्त सभी")</f>
        <v>D। उपरोक्त सभी</v>
      </c>
    </row>
    <row r="162" ht="22.5" customHeight="1">
      <c r="A162" s="2">
        <v>161.0</v>
      </c>
      <c r="B162" s="3"/>
      <c r="C162" s="3" t="s">
        <v>5625</v>
      </c>
      <c r="D162" s="3" t="s">
        <v>5626</v>
      </c>
      <c r="E162" s="3" t="s">
        <v>1873</v>
      </c>
      <c r="G162" s="8" t="str">
        <f>IFERROR(__xludf.DUMMYFUNCTION("GOOGLETRANSLATE(A162, ""en"", ""hi"")"),"161")</f>
        <v>161</v>
      </c>
      <c r="H162" s="8" t="str">
        <f>IFERROR(__xludf.DUMMYFUNCTION("GOOGLETRANSLATE(B162, ""en"", ""hi"")"),"#VALUE!")</f>
        <v>#VALUE!</v>
      </c>
      <c r="I162" s="8" t="str">
        <f>IFERROR(__xludf.DUMMYFUNCTION("GOOGLETRANSLATE(C162, ""en"", ""hi"")"),"मुकना में नई तकनीकों में निपुणता प्राप्त करने के लिए अनुशंसित अभ्यास क्या है?")</f>
        <v>मुकना में नई तकनीकों में निपुणता प्राप्त करने के लिए अनुशंसित अभ्यास क्या है?</v>
      </c>
      <c r="J162" s="8" t="str">
        <f>IFERROR(__xludf.DUMMYFUNCTION("GOOGLETRANSLATE(D162, ""en"", ""hi"")"),"A) दोहराए जाने वाले अभ्यास, B) वीडियो समीक्षा, C) विशेषज्ञ मार्गदर्शन, D) उपरोक्त सभी")</f>
        <v>A) दोहराए जाने वाले अभ्यास, B) वीडियो समीक्षा, C) विशेषज्ञ मार्गदर्शन, D) उपरोक्त सभी</v>
      </c>
      <c r="K162" s="8" t="str">
        <f>IFERROR(__xludf.DUMMYFUNCTION("GOOGLETRANSLATE(E162, ""en"", ""hi"")"),"D। उपरोक्त सभी")</f>
        <v>D। उपरोक्त सभी</v>
      </c>
    </row>
    <row r="163" ht="22.5" customHeight="1">
      <c r="A163" s="2">
        <v>162.0</v>
      </c>
      <c r="B163" s="3"/>
      <c r="C163" s="3" t="s">
        <v>5627</v>
      </c>
      <c r="D163" s="3" t="s">
        <v>5628</v>
      </c>
      <c r="E163" s="3" t="s">
        <v>1873</v>
      </c>
      <c r="G163" s="8" t="str">
        <f>IFERROR(__xludf.DUMMYFUNCTION("GOOGLETRANSLATE(A163, ""en"", ""hi"")"),"162")</f>
        <v>162</v>
      </c>
      <c r="H163" s="8" t="str">
        <f>IFERROR(__xludf.DUMMYFUNCTION("GOOGLETRANSLATE(B163, ""en"", ""hi"")"),"#VALUE!")</f>
        <v>#VALUE!</v>
      </c>
      <c r="I163" s="8" t="str">
        <f>IFERROR(__xludf.DUMMYFUNCTION("GOOGLETRANSLATE(C163, ""en"", ""hi"")"),"मुकना में मैच के दौरान ध्यान बनाए रखने के लिए प्रभावी रणनीति क्या है?")</f>
        <v>मुकना में मैच के दौरान ध्यान बनाए रखने के लिए प्रभावी रणनीति क्या है?</v>
      </c>
      <c r="J163" s="8" t="str">
        <f>IFERROR(__xludf.DUMMYFUNCTION("GOOGLETRANSLATE(D163, ""en"", ""hi"")"),"A) मानसिक कंडीशनिंग, B) श्वास तकनीक, C) विज़ुअलाइज़ेशन, D) उपरोक्त सभी")</f>
        <v>A) मानसिक कंडीशनिंग, B) श्वास तकनीक, C) विज़ुअलाइज़ेशन, D) उपरोक्त सभी</v>
      </c>
      <c r="K163" s="8" t="str">
        <f>IFERROR(__xludf.DUMMYFUNCTION("GOOGLETRANSLATE(E163, ""en"", ""hi"")"),"D। उपरोक्त सभी")</f>
        <v>D। उपरोक्त सभी</v>
      </c>
    </row>
    <row r="164" ht="22.5" customHeight="1">
      <c r="A164" s="2">
        <v>163.0</v>
      </c>
      <c r="B164" s="3"/>
      <c r="C164" s="3" t="s">
        <v>5629</v>
      </c>
      <c r="D164" s="3" t="s">
        <v>5630</v>
      </c>
      <c r="E164" s="3" t="s">
        <v>1873</v>
      </c>
      <c r="G164" s="8" t="str">
        <f>IFERROR(__xludf.DUMMYFUNCTION("GOOGLETRANSLATE(A164, ""en"", ""hi"")"),"163")</f>
        <v>163</v>
      </c>
      <c r="H164" s="8" t="str">
        <f>IFERROR(__xludf.DUMMYFUNCTION("GOOGLETRANSLATE(B164, ""en"", ""hi"")"),"#VALUE!")</f>
        <v>#VALUE!</v>
      </c>
      <c r="I164" s="8" t="str">
        <f>IFERROR(__xludf.DUMMYFUNCTION("GOOGLETRANSLATE(C164, ""en"", ""hi"")"),"मुकना के लिए वार्म-अप रूटीन का एक विशिष्ट पहलू क्या है?")</f>
        <v>मुकना के लिए वार्म-अप रूटीन का एक विशिष्ट पहलू क्या है?</v>
      </c>
      <c r="J164" s="8" t="str">
        <f>IFERROR(__xludf.DUMMYFUNCTION("GOOGLETRANSLATE(D164, ""en"", ""hi"")"),"A) गतिशील स्ट्रेच, B) गतिशीलता व्यायाम, C) हल्का स्पैरिंग, D) उपरोक्त सभी")</f>
        <v>A) गतिशील स्ट्रेच, B) गतिशीलता व्यायाम, C) हल्का स्पैरिंग, D) उपरोक्त सभी</v>
      </c>
      <c r="K164" s="8" t="str">
        <f>IFERROR(__xludf.DUMMYFUNCTION("GOOGLETRANSLATE(E164, ""en"", ""hi"")"),"D। उपरोक्त सभी")</f>
        <v>D। उपरोक्त सभी</v>
      </c>
    </row>
    <row r="165" ht="22.5" customHeight="1">
      <c r="A165" s="2">
        <v>164.0</v>
      </c>
      <c r="B165" s="3"/>
      <c r="C165" s="3" t="s">
        <v>5631</v>
      </c>
      <c r="D165" s="3" t="s">
        <v>5632</v>
      </c>
      <c r="E165" s="3" t="s">
        <v>1873</v>
      </c>
      <c r="G165" s="8" t="str">
        <f>IFERROR(__xludf.DUMMYFUNCTION("GOOGLETRANSLATE(A165, ""en"", ""hi"")"),"164")</f>
        <v>164</v>
      </c>
      <c r="H165" s="8" t="str">
        <f>IFERROR(__xludf.DUMMYFUNCTION("GOOGLETRANSLATE(B165, ""en"", ""hi"")"),"#VALUE!")</f>
        <v>#VALUE!</v>
      </c>
      <c r="I165" s="8" t="str">
        <f>IFERROR(__xludf.DUMMYFUNCTION("GOOGLETRANSLATE(C165, ""en"", ""hi"")"),"मुक्ना में प्रतिक्रिया समय बढ़ाने का सामान्य तरीका क्या है?")</f>
        <v>मुक्ना में प्रतिक्रिया समय बढ़ाने का सामान्य तरीका क्या है?</v>
      </c>
      <c r="J165" s="8" t="str">
        <f>IFERROR(__xludf.DUMMYFUNCTION("GOOGLETRANSLATE(D165, ""en"", ""hi"")"),"A) रिफ्लेक्स व्यायाम, B) गति अभ्यास, C) प्रतिक्रिया खेल, D) उपरोक्त सभी")</f>
        <v>A) रिफ्लेक्स व्यायाम, B) गति अभ्यास, C) प्रतिक्रिया खेल, D) उपरोक्त सभी</v>
      </c>
      <c r="K165" s="8" t="str">
        <f>IFERROR(__xludf.DUMMYFUNCTION("GOOGLETRANSLATE(E165, ""en"", ""hi"")"),"D। उपरोक्त सभी")</f>
        <v>D। उपरोक्त सभी</v>
      </c>
    </row>
    <row r="166" ht="22.5" customHeight="1">
      <c r="A166" s="2">
        <v>165.0</v>
      </c>
      <c r="B166" s="3"/>
      <c r="C166" s="3" t="s">
        <v>5633</v>
      </c>
      <c r="D166" s="3" t="s">
        <v>5634</v>
      </c>
      <c r="E166" s="3" t="s">
        <v>1873</v>
      </c>
      <c r="G166" s="8" t="str">
        <f>IFERROR(__xludf.DUMMYFUNCTION("GOOGLETRANSLATE(A166, ""en"", ""hi"")"),"165")</f>
        <v>165</v>
      </c>
      <c r="H166" s="8" t="str">
        <f>IFERROR(__xludf.DUMMYFUNCTION("GOOGLETRANSLATE(B166, ""en"", ""hi"")"),"#VALUE!")</f>
        <v>#VALUE!</v>
      </c>
      <c r="I166" s="8" t="str">
        <f>IFERROR(__xludf.DUMMYFUNCTION("GOOGLETRANSLATE(C166, ""en"", ""hi"")"),"मुकना में फुटवर्क सुधारने के लिए आम तरीका क्या है?")</f>
        <v>मुकना में फुटवर्क सुधारने के लिए आम तरीका क्या है?</v>
      </c>
      <c r="J166" s="8" t="str">
        <f>IFERROR(__xludf.DUMMYFUNCTION("GOOGLETRANSLATE(D166, ""en"", ""hi"")"),"A) फुटवर्क अभ्यास, B) चपलता सीढ़ियाँ, C) गति प्रशिक्षण, D) उपरोक्त सभी")</f>
        <v>A) फुटवर्क अभ्यास, B) चपलता सीढ़ियाँ, C) गति प्रशिक्षण, D) उपरोक्त सभी</v>
      </c>
      <c r="K166" s="8" t="str">
        <f>IFERROR(__xludf.DUMMYFUNCTION("GOOGLETRANSLATE(E166, ""en"", ""hi"")"),"D। उपरोक्त सभी")</f>
        <v>D। उपरोक्त सभी</v>
      </c>
    </row>
    <row r="167" ht="22.5" customHeight="1">
      <c r="A167" s="2">
        <v>166.0</v>
      </c>
      <c r="B167" s="3"/>
      <c r="C167" s="3" t="s">
        <v>5635</v>
      </c>
      <c r="D167" s="3" t="s">
        <v>5636</v>
      </c>
      <c r="E167" s="3" t="s">
        <v>1873</v>
      </c>
      <c r="G167" s="8" t="str">
        <f>IFERROR(__xludf.DUMMYFUNCTION("GOOGLETRANSLATE(A167, ""en"", ""hi"")"),"166")</f>
        <v>166</v>
      </c>
      <c r="H167" s="8" t="str">
        <f>IFERROR(__xludf.DUMMYFUNCTION("GOOGLETRANSLATE(B167, ""en"", ""hi"")"),"#VALUE!")</f>
        <v>#VALUE!</v>
      </c>
      <c r="I167" s="8" t="str">
        <f>IFERROR(__xludf.DUMMYFUNCTION("GOOGLETRANSLATE(C167, ""en"", ""hi"")"),"मुकना के लिए कोर ताकत बनाने का सामान्य तरीका क्या है?")</f>
        <v>मुकना के लिए कोर ताकत बनाने का सामान्य तरीका क्या है?</v>
      </c>
      <c r="J167" s="8" t="str">
        <f>IFERROR(__xludf.DUMMYFUNCTION("GOOGLETRANSLATE(D167, ""en"", ""hi"")"),"A) कोर व्यायाम, B) स्थिरता अभ्यास, C) भार प्रशिक्षण, D) उपरोक्त सभी")</f>
        <v>A) कोर व्यायाम, B) स्थिरता अभ्यास, C) भार प्रशिक्षण, D) उपरोक्त सभी</v>
      </c>
      <c r="K167" s="8" t="str">
        <f>IFERROR(__xludf.DUMMYFUNCTION("GOOGLETRANSLATE(E167, ""en"", ""hi"")"),"D। उपरोक्त सभी")</f>
        <v>D। उपरोक्त सभी</v>
      </c>
    </row>
    <row r="168" ht="22.5" customHeight="1">
      <c r="A168" s="2">
        <v>167.0</v>
      </c>
      <c r="B168" s="3"/>
      <c r="C168" s="3" t="s">
        <v>5637</v>
      </c>
      <c r="D168" s="3" t="s">
        <v>5638</v>
      </c>
      <c r="E168" s="3" t="s">
        <v>1873</v>
      </c>
      <c r="G168" s="8" t="str">
        <f>IFERROR(__xludf.DUMMYFUNCTION("GOOGLETRANSLATE(A168, ""en"", ""hi"")"),"167")</f>
        <v>167</v>
      </c>
      <c r="H168" s="8" t="str">
        <f>IFERROR(__xludf.DUMMYFUNCTION("GOOGLETRANSLATE(B168, ""en"", ""hi"")"),"#VALUE!")</f>
        <v>#VALUE!</v>
      </c>
      <c r="I168" s="8" t="str">
        <f>IFERROR(__xludf.DUMMYFUNCTION("GOOGLETRANSLATE(C168, ""en"", ""hi"")"),"मुकना में रणनीतिक सोच को बढ़ाने के लिए एक सामान्य दृष्टिकोण क्या है?")</f>
        <v>मुकना में रणनीतिक सोच को बढ़ाने के लिए एक सामान्य दृष्टिकोण क्या है?</v>
      </c>
      <c r="J168" s="8" t="str">
        <f>IFERROR(__xludf.DUMMYFUNCTION("GOOGLETRANSLATE(D168, ""en"", ""hi"")"),"A) प्रतिद्वंद्वियों का अध्ययन, B) पिछले मैचों का विश्लेषण, C) अभ्यास परिदृश्य, D) उपरोक्त सभी")</f>
        <v>A) प्रतिद्वंद्वियों का अध्ययन, B) पिछले मैचों का विश्लेषण, C) अभ्यास परिदृश्य, D) उपरोक्त सभी</v>
      </c>
      <c r="K168" s="8" t="str">
        <f>IFERROR(__xludf.DUMMYFUNCTION("GOOGLETRANSLATE(E168, ""en"", ""hi"")"),"D। उपरोक्त सभी")</f>
        <v>D। उपरोक्त सभी</v>
      </c>
    </row>
    <row r="169" ht="22.5" customHeight="1">
      <c r="A169" s="2">
        <v>168.0</v>
      </c>
      <c r="B169" s="3"/>
      <c r="C169" s="3" t="s">
        <v>5639</v>
      </c>
      <c r="D169" s="3" t="s">
        <v>5640</v>
      </c>
      <c r="E169" s="3" t="s">
        <v>1873</v>
      </c>
      <c r="G169" s="8" t="str">
        <f>IFERROR(__xludf.DUMMYFUNCTION("GOOGLETRANSLATE(A169, ""en"", ""hi"")"),"168")</f>
        <v>168</v>
      </c>
      <c r="H169" s="8" t="str">
        <f>IFERROR(__xludf.DUMMYFUNCTION("GOOGLETRANSLATE(B169, ""en"", ""hi"")"),"#VALUE!")</f>
        <v>#VALUE!</v>
      </c>
      <c r="I169" s="8" t="str">
        <f>IFERROR(__xludf.DUMMYFUNCTION("GOOGLETRANSLATE(C169, ""en"", ""hi"")"),"मुकना में, शरीर की कंडीशनिंग में सुधार के लिए अनुशंसित अभ्यास क्या है?")</f>
        <v>मुकना में, शरीर की कंडीशनिंग में सुधार के लिए अनुशंसित अभ्यास क्या है?</v>
      </c>
      <c r="J169" s="8" t="str">
        <f>IFERROR(__xludf.DUMMYFUNCTION("GOOGLETRANSLATE(D169, ""en"", ""hi"")"),"A) क्रॉस-ट्रेनिंग, B) स्ट्रेंथ ट्रेनिंग, C) कंडीशनिंग सर्किट, D) उपरोक्त सभी")</f>
        <v>A) क्रॉस-ट्रेनिंग, B) स्ट्रेंथ ट्रेनिंग, C) कंडीशनिंग सर्किट, D) उपरोक्त सभी</v>
      </c>
      <c r="K169" s="8" t="str">
        <f>IFERROR(__xludf.DUMMYFUNCTION("GOOGLETRANSLATE(E169, ""en"", ""hi"")"),"D। उपरोक्त सभी")</f>
        <v>D। उपरोक्त सभी</v>
      </c>
    </row>
    <row r="170" ht="22.5" customHeight="1">
      <c r="A170" s="2">
        <v>169.0</v>
      </c>
      <c r="B170" s="3"/>
      <c r="C170" s="3" t="s">
        <v>5641</v>
      </c>
      <c r="D170" s="3" t="s">
        <v>5642</v>
      </c>
      <c r="E170" s="3" t="s">
        <v>1873</v>
      </c>
      <c r="G170" s="8" t="str">
        <f>IFERROR(__xludf.DUMMYFUNCTION("GOOGLETRANSLATE(A170, ""en"", ""hi"")"),"169")</f>
        <v>169</v>
      </c>
      <c r="H170" s="8" t="str">
        <f>IFERROR(__xludf.DUMMYFUNCTION("GOOGLETRANSLATE(B170, ""en"", ""hi"")"),"#VALUE!")</f>
        <v>#VALUE!</v>
      </c>
      <c r="I170" s="8" t="str">
        <f>IFERROR(__xludf.DUMMYFUNCTION("GOOGLETRANSLATE(C170, ""en"", ""hi"")"),"मुकना के अनुसार, प्रभावी पुनर्प्राप्ति पद्धतियों की विशिष्ट विशेषता क्या है?")</f>
        <v>मुकना के अनुसार, प्रभावी पुनर्प्राप्ति पद्धतियों की विशिष्ट विशेषता क्या है?</v>
      </c>
      <c r="J170" s="8" t="str">
        <f>IFERROR(__xludf.DUMMYFUNCTION("GOOGLETRANSLATE(D170, ""en"", ""hi"")"),"A) पर्याप्त आराम, B) उचित पोषण, C) सक्रिय पुनर्प्राप्ति, D) उपरोक्त सभी")</f>
        <v>A) पर्याप्त आराम, B) उचित पोषण, C) सक्रिय पुनर्प्राप्ति, D) उपरोक्त सभी</v>
      </c>
      <c r="K170" s="8" t="str">
        <f>IFERROR(__xludf.DUMMYFUNCTION("GOOGLETRANSLATE(E170, ""en"", ""hi"")"),"D। उपरोक्त सभी")</f>
        <v>D। उपरोक्त सभी</v>
      </c>
    </row>
    <row r="171" ht="22.5" customHeight="1">
      <c r="A171" s="2">
        <v>170.0</v>
      </c>
      <c r="B171" s="3"/>
      <c r="C171" s="3" t="s">
        <v>5643</v>
      </c>
      <c r="D171" s="3" t="s">
        <v>5644</v>
      </c>
      <c r="E171" s="3" t="s">
        <v>1873</v>
      </c>
      <c r="G171" s="8" t="str">
        <f>IFERROR(__xludf.DUMMYFUNCTION("GOOGLETRANSLATE(A171, ""en"", ""hi"")"),"170")</f>
        <v>170</v>
      </c>
      <c r="H171" s="8" t="str">
        <f>IFERROR(__xludf.DUMMYFUNCTION("GOOGLETRANSLATE(B171, ""en"", ""hi"")"),"#VALUE!")</f>
        <v>#VALUE!</v>
      </c>
      <c r="I171" s="8" t="str">
        <f>IFERROR(__xludf.DUMMYFUNCTION("GOOGLETRANSLATE(C171, ""en"", ""hi"")"),"मुकना में पकड़ की ताकत में सुधार के लिए एक सामान्य तरीका क्या है?")</f>
        <v>मुकना में पकड़ की ताकत में सुधार के लिए एक सामान्य तरीका क्या है?</v>
      </c>
      <c r="J171" s="8" t="str">
        <f>IFERROR(__xludf.DUMMYFUNCTION("GOOGLETRANSLATE(D171, ""en"", ""hi"")"),"A) हाथ व्यायाम, B) प्रतिरोध बैंड, C) भारोत्तोलन, D) उपरोक्त सभी")</f>
        <v>A) हाथ व्यायाम, B) प्रतिरोध बैंड, C) भारोत्तोलन, D) उपरोक्त सभी</v>
      </c>
      <c r="K171" s="8" t="str">
        <f>IFERROR(__xludf.DUMMYFUNCTION("GOOGLETRANSLATE(E171, ""en"", ""hi"")"),"D। उपरोक्त सभी")</f>
        <v>D। उपरोक्त सभी</v>
      </c>
    </row>
    <row r="172" ht="22.5" customHeight="1">
      <c r="A172" s="2">
        <v>171.0</v>
      </c>
      <c r="B172" s="3"/>
      <c r="C172" s="3" t="s">
        <v>5645</v>
      </c>
      <c r="D172" s="3" t="s">
        <v>5646</v>
      </c>
      <c r="E172" s="3" t="s">
        <v>1873</v>
      </c>
      <c r="G172" s="8" t="str">
        <f>IFERROR(__xludf.DUMMYFUNCTION("GOOGLETRANSLATE(A172, ""en"", ""hi"")"),"171")</f>
        <v>171</v>
      </c>
      <c r="H172" s="8" t="str">
        <f>IFERROR(__xludf.DUMMYFUNCTION("GOOGLETRANSLATE(B172, ""en"", ""hi"")"),"#VALUE!")</f>
        <v>#VALUE!</v>
      </c>
      <c r="I172" s="8" t="str">
        <f>IFERROR(__xludf.DUMMYFUNCTION("GOOGLETRANSLATE(C172, ""en"", ""hi"")"),"मुकना के अनुसार, चपलता बढ़ाने के लिए सामान्य अभ्यास क्या है?")</f>
        <v>मुकना के अनुसार, चपलता बढ़ाने के लिए सामान्य अभ्यास क्या है?</v>
      </c>
      <c r="J172" s="8" t="str">
        <f>IFERROR(__xludf.DUMMYFUNCTION("GOOGLETRANSLATE(D172, ""en"", ""hi"")"),"A) सीढ़ी ड्रिल, B) शंकु ड्रिल, C) प्लायोमेट्रिक्स, D) उपरोक्त सभी")</f>
        <v>A) सीढ़ी ड्रिल, B) शंकु ड्रिल, C) प्लायोमेट्रिक्स, D) उपरोक्त सभी</v>
      </c>
      <c r="K172" s="8" t="str">
        <f>IFERROR(__xludf.DUMMYFUNCTION("GOOGLETRANSLATE(E172, ""en"", ""hi"")"),"D। उपरोक्त सभी")</f>
        <v>D। उपरोक्त सभी</v>
      </c>
    </row>
    <row r="173" ht="22.5" customHeight="1">
      <c r="A173" s="2">
        <v>172.0</v>
      </c>
      <c r="B173" s="3"/>
      <c r="C173" s="3" t="s">
        <v>5647</v>
      </c>
      <c r="D173" s="3" t="s">
        <v>5648</v>
      </c>
      <c r="E173" s="3" t="s">
        <v>1873</v>
      </c>
      <c r="G173" s="8" t="str">
        <f>IFERROR(__xludf.DUMMYFUNCTION("GOOGLETRANSLATE(A173, ""en"", ""hi"")"),"172")</f>
        <v>172</v>
      </c>
      <c r="H173" s="8" t="str">
        <f>IFERROR(__xludf.DUMMYFUNCTION("GOOGLETRANSLATE(B173, ""en"", ""hi"")"),"#VALUE!")</f>
        <v>#VALUE!</v>
      </c>
      <c r="I173" s="8" t="str">
        <f>IFERROR(__xludf.DUMMYFUNCTION("GOOGLETRANSLATE(C173, ""en"", ""hi"")"),"मुकना में मानसिक लचीलापन विकसित करने का सामान्य तरीका क्या है?")</f>
        <v>मुकना में मानसिक लचीलापन विकसित करने का सामान्य तरीका क्या है?</v>
      </c>
      <c r="J173" s="8" t="str">
        <f>IFERROR(__xludf.DUMMYFUNCTION("GOOGLETRANSLATE(D173, ""en"", ""hi"")"),"A) मानसिक दृश्यीकरण, B) तनाव प्रबंधन तकनीक, C) सकारात्मक सुदृढीकरण, D) उपरोक्त सभी")</f>
        <v>A) मानसिक दृश्यीकरण, B) तनाव प्रबंधन तकनीक, C) सकारात्मक सुदृढीकरण, D) उपरोक्त सभी</v>
      </c>
      <c r="K173" s="8" t="str">
        <f>IFERROR(__xludf.DUMMYFUNCTION("GOOGLETRANSLATE(E173, ""en"", ""hi"")"),"D। उपरोक्त सभी")</f>
        <v>D। उपरोक्त सभी</v>
      </c>
    </row>
    <row r="174" ht="22.5" customHeight="1">
      <c r="A174" s="2">
        <v>173.0</v>
      </c>
      <c r="B174" s="3"/>
      <c r="C174" s="3" t="s">
        <v>5649</v>
      </c>
      <c r="D174" s="3" t="s">
        <v>5650</v>
      </c>
      <c r="E174" s="3" t="s">
        <v>1873</v>
      </c>
      <c r="G174" s="8" t="str">
        <f>IFERROR(__xludf.DUMMYFUNCTION("GOOGLETRANSLATE(A174, ""en"", ""hi"")"),"173")</f>
        <v>173</v>
      </c>
      <c r="H174" s="8" t="str">
        <f>IFERROR(__xludf.DUMMYFUNCTION("GOOGLETRANSLATE(B174, ""en"", ""hi"")"),"#VALUE!")</f>
        <v>#VALUE!</v>
      </c>
      <c r="I174" s="8" t="str">
        <f>IFERROR(__xludf.DUMMYFUNCTION("GOOGLETRANSLATE(C174, ""en"", ""hi"")"),"मुकना में, हमलों में सटीकता में सुधार के लिए अनुशंसित तकनीक क्या है?")</f>
        <v>मुकना में, हमलों में सटीकता में सुधार के लिए अनुशंसित तकनीक क्या है?</v>
      </c>
      <c r="J174" s="8" t="str">
        <f>IFERROR(__xludf.DUMMYFUNCTION("GOOGLETRANSLATE(D174, ""en"", ""hi"")"),"A) लक्ष्य अभ्यास, B) छाया कुश्ती, C) फोकस मिट प्रशिक्षण, D) उपरोक्त सभी")</f>
        <v>A) लक्ष्य अभ्यास, B) छाया कुश्ती, C) फोकस मिट प्रशिक्षण, D) उपरोक्त सभी</v>
      </c>
      <c r="K174" s="8" t="str">
        <f>IFERROR(__xludf.DUMMYFUNCTION("GOOGLETRANSLATE(E174, ""en"", ""hi"")"),"D। उपरोक्त सभी")</f>
        <v>D। उपरोक्त सभी</v>
      </c>
    </row>
    <row r="175" ht="22.5" customHeight="1">
      <c r="A175" s="2">
        <v>174.0</v>
      </c>
      <c r="B175" s="3"/>
      <c r="C175" s="3" t="s">
        <v>5651</v>
      </c>
      <c r="D175" s="3" t="s">
        <v>5652</v>
      </c>
      <c r="E175" s="3" t="s">
        <v>1873</v>
      </c>
      <c r="G175" s="8" t="str">
        <f>IFERROR(__xludf.DUMMYFUNCTION("GOOGLETRANSLATE(A175, ""en"", ""hi"")"),"174")</f>
        <v>174</v>
      </c>
      <c r="H175" s="8" t="str">
        <f>IFERROR(__xludf.DUMMYFUNCTION("GOOGLETRANSLATE(B175, ""en"", ""hi"")"),"#VALUE!")</f>
        <v>#VALUE!</v>
      </c>
      <c r="I175" s="8" t="str">
        <f>IFERROR(__xludf.DUMMYFUNCTION("GOOGLETRANSLATE(C175, ""en"", ""hi"")"),"मुकना के अनुसार, समग्र लचीलेपन में सुधार के लिए सामान्य दृष्टिकोण क्या है?")</f>
        <v>मुकना के अनुसार, समग्र लचीलेपन में सुधार के लिए सामान्य दृष्टिकोण क्या है?</v>
      </c>
      <c r="J175" s="8" t="str">
        <f>IFERROR(__xludf.DUMMYFUNCTION("GOOGLETRANSLATE(D175, ""en"", ""hi"")"),"A) नियमित स्ट्रेचिंग, B) योग, C) लचीलेपन की दिनचर्या, D) उपरोक्त सभी")</f>
        <v>A) नियमित स्ट्रेचिंग, B) योग, C) लचीलेपन की दिनचर्या, D) उपरोक्त सभी</v>
      </c>
      <c r="K175" s="8" t="str">
        <f>IFERROR(__xludf.DUMMYFUNCTION("GOOGLETRANSLATE(E175, ""en"", ""hi"")"),"D। उपरोक्त सभी")</f>
        <v>D। उपरोक्त सभी</v>
      </c>
    </row>
    <row r="176" ht="22.5" customHeight="1">
      <c r="A176" s="2">
        <v>175.0</v>
      </c>
      <c r="B176" s="3"/>
      <c r="C176" s="3" t="s">
        <v>5653</v>
      </c>
      <c r="D176" s="3" t="s">
        <v>5654</v>
      </c>
      <c r="E176" s="3" t="s">
        <v>1873</v>
      </c>
      <c r="G176" s="8" t="str">
        <f>IFERROR(__xludf.DUMMYFUNCTION("GOOGLETRANSLATE(A176, ""en"", ""hi"")"),"175")</f>
        <v>175</v>
      </c>
      <c r="H176" s="8" t="str">
        <f>IFERROR(__xludf.DUMMYFUNCTION("GOOGLETRANSLATE(B176, ""en"", ""hi"")"),"#VALUE!")</f>
        <v>#VALUE!</v>
      </c>
      <c r="I176" s="8" t="str">
        <f>IFERROR(__xludf.DUMMYFUNCTION("GOOGLETRANSLATE(C176, ""en"", ""hi"")"),"मुकना में, संतुलित प्रशिक्षण कार्यक्रम का एक विशिष्ट पहलू क्या है?")</f>
        <v>मुकना में, संतुलित प्रशिक्षण कार्यक्रम का एक विशिष्ट पहलू क्या है?</v>
      </c>
      <c r="J176" s="8" t="str">
        <f>IFERROR(__xludf.DUMMYFUNCTION("GOOGLETRANSLATE(D176, ""en"", ""hi"")"),"A) तकनीक अभ्यास, B) शारीरिक कंडीशनिंग, C) मानसिक तैयारी, D) उपरोक्त सभी")</f>
        <v>A) तकनीक अभ्यास, B) शारीरिक कंडीशनिंग, C) मानसिक तैयारी, D) उपरोक्त सभी</v>
      </c>
      <c r="K176" s="8" t="str">
        <f>IFERROR(__xludf.DUMMYFUNCTION("GOOGLETRANSLATE(E176, ""en"", ""hi"")"),"D। उपरोक्त सभी")</f>
        <v>D। उपरोक्त सभी</v>
      </c>
    </row>
    <row r="177" ht="22.5" customHeight="1">
      <c r="A177" s="2">
        <v>176.0</v>
      </c>
      <c r="B177" s="3"/>
      <c r="C177" s="3" t="s">
        <v>5655</v>
      </c>
      <c r="D177" s="3" t="s">
        <v>5656</v>
      </c>
      <c r="E177" s="3" t="s">
        <v>1873</v>
      </c>
      <c r="G177" s="8" t="str">
        <f>IFERROR(__xludf.DUMMYFUNCTION("GOOGLETRANSLATE(A177, ""en"", ""hi"")"),"176")</f>
        <v>176</v>
      </c>
      <c r="H177" s="8" t="str">
        <f>IFERROR(__xludf.DUMMYFUNCTION("GOOGLETRANSLATE(B177, ""en"", ""hi"")"),"#VALUE!")</f>
        <v>#VALUE!</v>
      </c>
      <c r="I177" s="8" t="str">
        <f>IFERROR(__xludf.DUMMYFUNCTION("GOOGLETRANSLATE(C177, ""en"", ""hi"")"),"मुकना में विस्फोटक शक्ति बढ़ाने की सामान्य विधि क्या है?")</f>
        <v>मुकना में विस्फोटक शक्ति बढ़ाने की सामान्य विधि क्या है?</v>
      </c>
      <c r="J177" s="8" t="str">
        <f>IFERROR(__xludf.DUMMYFUNCTION("GOOGLETRANSLATE(D177, ""en"", ""hi"")"),"A) प्लायोमेट्रिक व्यायाम, B) भार प्रशिक्षण, C) गति अभ्यास, D) उपरोक्त सभी")</f>
        <v>A) प्लायोमेट्रिक व्यायाम, B) भार प्रशिक्षण, C) गति अभ्यास, D) उपरोक्त सभी</v>
      </c>
      <c r="K177" s="8" t="str">
        <f>IFERROR(__xludf.DUMMYFUNCTION("GOOGLETRANSLATE(E177, ""en"", ""hi"")"),"D। उपरोक्त सभी")</f>
        <v>D। उपरोक्त सभी</v>
      </c>
    </row>
    <row r="178" ht="22.5" customHeight="1">
      <c r="A178" s="2">
        <v>177.0</v>
      </c>
      <c r="B178" s="3"/>
      <c r="C178" s="3" t="s">
        <v>5657</v>
      </c>
      <c r="D178" s="3" t="s">
        <v>5658</v>
      </c>
      <c r="E178" s="3" t="s">
        <v>1873</v>
      </c>
      <c r="G178" s="8" t="str">
        <f>IFERROR(__xludf.DUMMYFUNCTION("GOOGLETRANSLATE(A178, ""en"", ""hi"")"),"177")</f>
        <v>177</v>
      </c>
      <c r="H178" s="8" t="str">
        <f>IFERROR(__xludf.DUMMYFUNCTION("GOOGLETRANSLATE(B178, ""en"", ""hi"")"),"#VALUE!")</f>
        <v>#VALUE!</v>
      </c>
      <c r="I178" s="8" t="str">
        <f>IFERROR(__xludf.DUMMYFUNCTION("GOOGLETRANSLATE(C178, ""en"", ""hi"")"),"मुकना के लिए, प्रतियोगिता से पहले तनाव प्रबंधन का सामान्य तरीका क्या है?")</f>
        <v>मुकना के लिए, प्रतियोगिता से पहले तनाव प्रबंधन का सामान्य तरीका क्या है?</v>
      </c>
      <c r="J178" s="8" t="str">
        <f>IFERROR(__xludf.DUMMYFUNCTION("GOOGLETRANSLATE(D178, ""en"", ""hi"")"),"A) विश्राम तकनीक, B) श्वास व्यायाम, C) दृश्यावलोकन, D) उपरोक्त सभी")</f>
        <v>A) विश्राम तकनीक, B) श्वास व्यायाम, C) दृश्यावलोकन, D) उपरोक्त सभी</v>
      </c>
      <c r="K178" s="8" t="str">
        <f>IFERROR(__xludf.DUMMYFUNCTION("GOOGLETRANSLATE(E178, ""en"", ""hi"")"),"D। उपरोक्त सभी")</f>
        <v>D। उपरोक्त सभी</v>
      </c>
    </row>
    <row r="179" ht="22.5" customHeight="1">
      <c r="A179" s="2">
        <v>178.0</v>
      </c>
      <c r="B179" s="3"/>
      <c r="C179" s="3" t="s">
        <v>5659</v>
      </c>
      <c r="D179" s="3" t="s">
        <v>5660</v>
      </c>
      <c r="E179" s="3" t="s">
        <v>1873</v>
      </c>
      <c r="G179" s="8" t="str">
        <f>IFERROR(__xludf.DUMMYFUNCTION("GOOGLETRANSLATE(A179, ""en"", ""hi"")"),"178")</f>
        <v>178</v>
      </c>
      <c r="H179" s="8" t="str">
        <f>IFERROR(__xludf.DUMMYFUNCTION("GOOGLETRANSLATE(B179, ""en"", ""hi"")"),"#VALUE!")</f>
        <v>#VALUE!</v>
      </c>
      <c r="I179" s="8" t="str">
        <f>IFERROR(__xludf.DUMMYFUNCTION("GOOGLETRANSLATE(C179, ""en"", ""hi"")"),"मुकना में सहनशक्ति में सुधार के लिए आम प्रथा क्या है?")</f>
        <v>मुकना में सहनशक्ति में सुधार के लिए आम प्रथा क्या है?</v>
      </c>
      <c r="J179" s="8" t="str">
        <f>IFERROR(__xludf.DUMMYFUNCTION("GOOGLETRANSLATE(D179, ""en"", ""hi"")"),"A) लंबी दूरी की दौड़, B) अंतराल प्रशिक्षण, C) सर्किट प्रशिक्षण, D) उपरोक्त सभी")</f>
        <v>A) लंबी दूरी की दौड़, B) अंतराल प्रशिक्षण, C) सर्किट प्रशिक्षण, D) उपरोक्त सभी</v>
      </c>
      <c r="K179" s="8" t="str">
        <f>IFERROR(__xludf.DUMMYFUNCTION("GOOGLETRANSLATE(E179, ""en"", ""hi"")"),"D। उपरोक्त सभी")</f>
        <v>D। उपरोक्त सभी</v>
      </c>
    </row>
    <row r="180" ht="22.5" customHeight="1">
      <c r="A180" s="2">
        <v>179.0</v>
      </c>
      <c r="B180" s="3"/>
      <c r="C180" s="3" t="s">
        <v>5661</v>
      </c>
      <c r="D180" s="3" t="s">
        <v>5662</v>
      </c>
      <c r="E180" s="3" t="s">
        <v>1873</v>
      </c>
      <c r="G180" s="8" t="str">
        <f>IFERROR(__xludf.DUMMYFUNCTION("GOOGLETRANSLATE(A180, ""en"", ""hi"")"),"179")</f>
        <v>179</v>
      </c>
      <c r="H180" s="8" t="str">
        <f>IFERROR(__xludf.DUMMYFUNCTION("GOOGLETRANSLATE(B180, ""en"", ""hi"")"),"#VALUE!")</f>
        <v>#VALUE!</v>
      </c>
      <c r="I180" s="8" t="str">
        <f>IFERROR(__xludf.DUMMYFUNCTION("GOOGLETRANSLATE(C180, ""en"", ""hi"")"),"मुकना में परिशुद्धता विकसित करने के लिए अनुशंसित तकनीक क्या है?")</f>
        <v>मुकना में परिशुद्धता विकसित करने के लिए अनुशंसित तकनीक क्या है?</v>
      </c>
      <c r="J180" s="8" t="str">
        <f>IFERROR(__xludf.DUMMYFUNCTION("GOOGLETRANSLATE(D180, ""en"", ""hi"")"),"A) लक्ष्य अभ्यास, B) तकनीक अभ्यास, C) वीडियो विश्लेषण, D) उपरोक्त सभी")</f>
        <v>A) लक्ष्य अभ्यास, B) तकनीक अभ्यास, C) वीडियो विश्लेषण, D) उपरोक्त सभी</v>
      </c>
      <c r="K180" s="8" t="str">
        <f>IFERROR(__xludf.DUMMYFUNCTION("GOOGLETRANSLATE(E180, ""en"", ""hi"")"),"D। उपरोक्त सभी")</f>
        <v>D। उपरोक्त सभी</v>
      </c>
    </row>
    <row r="181" ht="22.5" customHeight="1">
      <c r="A181" s="2">
        <v>180.0</v>
      </c>
      <c r="B181" s="3"/>
      <c r="C181" s="3" t="s">
        <v>5663</v>
      </c>
      <c r="D181" s="3" t="s">
        <v>5664</v>
      </c>
      <c r="E181" s="3" t="s">
        <v>1873</v>
      </c>
      <c r="G181" s="8" t="str">
        <f>IFERROR(__xludf.DUMMYFUNCTION("GOOGLETRANSLATE(A181, ""en"", ""hi"")"),"180")</f>
        <v>180</v>
      </c>
      <c r="H181" s="8" t="str">
        <f>IFERROR(__xludf.DUMMYFUNCTION("GOOGLETRANSLATE(B181, ""en"", ""hi"")"),"#VALUE!")</f>
        <v>#VALUE!</v>
      </c>
      <c r="I181" s="8" t="str">
        <f>IFERROR(__xludf.DUMMYFUNCTION("GOOGLETRANSLATE(C181, ""en"", ""hi"")"),"मुकना के लिए सामरिक जागरूकता बढ़ाने का सामान्य तरीका क्या है?")</f>
        <v>मुकना के लिए सामरिक जागरूकता बढ़ाने का सामान्य तरीका क्या है?</v>
      </c>
      <c r="J181" s="8" t="str">
        <f>IFERROR(__xludf.DUMMYFUNCTION("GOOGLETRANSLATE(D181, ""en"", ""hi"")"),"A) मैच विश्लेषण, B) सामरिक अभ्यास, C) विशेषज्ञ कोचिंग, D) उपरोक्त सभी")</f>
        <v>A) मैच विश्लेषण, B) सामरिक अभ्यास, C) विशेषज्ञ कोचिंग, D) उपरोक्त सभी</v>
      </c>
      <c r="K181" s="8" t="str">
        <f>IFERROR(__xludf.DUMMYFUNCTION("GOOGLETRANSLATE(E181, ""en"", ""hi"")"),"D। उपरोक्त सभी")</f>
        <v>D। उपरोक्त सभी</v>
      </c>
    </row>
    <row r="182" ht="22.5" customHeight="1">
      <c r="A182" s="2">
        <v>181.0</v>
      </c>
      <c r="B182" s="3"/>
      <c r="C182" s="3" t="s">
        <v>5665</v>
      </c>
      <c r="D182" s="3" t="s">
        <v>5666</v>
      </c>
      <c r="E182" s="3" t="s">
        <v>1873</v>
      </c>
      <c r="G182" s="8" t="str">
        <f>IFERROR(__xludf.DUMMYFUNCTION("GOOGLETRANSLATE(A182, ""en"", ""hi"")"),"181")</f>
        <v>181</v>
      </c>
      <c r="H182" s="8" t="str">
        <f>IFERROR(__xludf.DUMMYFUNCTION("GOOGLETRANSLATE(B182, ""en"", ""hi"")"),"#VALUE!")</f>
        <v>#VALUE!</v>
      </c>
      <c r="I182" s="8" t="str">
        <f>IFERROR(__xludf.DUMMYFUNCTION("GOOGLETRANSLATE(C182, ""en"", ""hi"")"),"मुकना में मैच की तैयारी में सुधार के लिए सामान्य दृष्टिकोण क्या है?")</f>
        <v>मुकना में मैच की तैयारी में सुधार के लिए सामान्य दृष्टिकोण क्या है?</v>
      </c>
      <c r="J182" s="8" t="str">
        <f>IFERROR(__xludf.DUMMYFUNCTION("GOOGLETRANSLATE(D182, ""en"", ""hi"")"),"A) प्रतिद्वंद्वी की तकनीकों की समीक्षा करना, B) व्यक्तिगत रणनीतियों को परिष्कृत करना, C) शारीरिक कंडीशनिंग, D) उपरोक्त सभी")</f>
        <v>A) प्रतिद्वंद्वी की तकनीकों की समीक्षा करना, B) व्यक्तिगत रणनीतियों को परिष्कृत करना, C) शारीरिक कंडीशनिंग, D) उपरोक्त सभी</v>
      </c>
      <c r="K182" s="8" t="str">
        <f>IFERROR(__xludf.DUMMYFUNCTION("GOOGLETRANSLATE(E182, ""en"", ""hi"")"),"D। उपरोक्त सभी")</f>
        <v>D। उपरोक्त सभी</v>
      </c>
    </row>
    <row r="183" ht="22.5" customHeight="1">
      <c r="A183" s="2">
        <v>182.0</v>
      </c>
      <c r="B183" s="3"/>
      <c r="C183" s="3" t="s">
        <v>5667</v>
      </c>
      <c r="D183" s="3" t="s">
        <v>5668</v>
      </c>
      <c r="E183" s="3" t="s">
        <v>1873</v>
      </c>
      <c r="G183" s="8" t="str">
        <f>IFERROR(__xludf.DUMMYFUNCTION("GOOGLETRANSLATE(A183, ""en"", ""hi"")"),"182")</f>
        <v>182</v>
      </c>
      <c r="H183" s="8" t="str">
        <f>IFERROR(__xludf.DUMMYFUNCTION("GOOGLETRANSLATE(B183, ""en"", ""hi"")"),"#VALUE!")</f>
        <v>#VALUE!</v>
      </c>
      <c r="I183" s="8" t="str">
        <f>IFERROR(__xludf.DUMMYFUNCTION("GOOGLETRANSLATE(C183, ""en"", ""hi"")"),"मुकना में रक्षात्मक कौशल बढ़ाने के लिए एक सामान्य तकनीक क्या है?")</f>
        <v>मुकना में रक्षात्मक कौशल बढ़ाने के लिए एक सामान्य तकनीक क्या है?</v>
      </c>
      <c r="J183" s="8" t="str">
        <f>IFERROR(__xludf.DUMMYFUNCTION("GOOGLETRANSLATE(D183, ""en"", ""hi"")"),"A) रक्षात्मक अभ्यास, B) प्रतिक्रिया प्रशिक्षण, C) साथी अभ्यास, D) उपरोक्त सभी")</f>
        <v>A) रक्षात्मक अभ्यास, B) प्रतिक्रिया प्रशिक्षण, C) साथी अभ्यास, D) उपरोक्त सभी</v>
      </c>
      <c r="K183" s="8" t="str">
        <f>IFERROR(__xludf.DUMMYFUNCTION("GOOGLETRANSLATE(E183, ""en"", ""hi"")"),"D। उपरोक्त सभी")</f>
        <v>D। उपरोक्त सभी</v>
      </c>
    </row>
    <row r="184" ht="22.5" customHeight="1">
      <c r="A184" s="2">
        <v>183.0</v>
      </c>
      <c r="B184" s="3"/>
      <c r="C184" s="3" t="s">
        <v>5669</v>
      </c>
      <c r="D184" s="3" t="s">
        <v>5670</v>
      </c>
      <c r="E184" s="3" t="s">
        <v>1873</v>
      </c>
      <c r="G184" s="8" t="str">
        <f>IFERROR(__xludf.DUMMYFUNCTION("GOOGLETRANSLATE(A184, ""en"", ""hi"")"),"183")</f>
        <v>183</v>
      </c>
      <c r="H184" s="8" t="str">
        <f>IFERROR(__xludf.DUMMYFUNCTION("GOOGLETRANSLATE(B184, ""en"", ""hi"")"),"#VALUE!")</f>
        <v>#VALUE!</v>
      </c>
      <c r="I184" s="8" t="str">
        <f>IFERROR(__xludf.DUMMYFUNCTION("GOOGLETRANSLATE(C184, ""en"", ""hi"")"),"मुकना के लिए, प्रभावी स्पैरिंग सत्रों की एक विशिष्ट विशेषता क्या है?")</f>
        <v>मुकना के लिए, प्रभावी स्पैरिंग सत्रों की एक विशिष्ट विशेषता क्या है?</v>
      </c>
      <c r="J184" s="8" t="str">
        <f>IFERROR(__xludf.DUMMYFUNCTION("GOOGLETRANSLATE(D184, ""en"", ""hi"")"),"A) नियंत्रित तीव्रता, B) तकनीकी फोकस, C) कोचों से फीडबैक, D) उपरोक्त सभी")</f>
        <v>A) नियंत्रित तीव्रता, B) तकनीकी फोकस, C) कोचों से फीडबैक, D) उपरोक्त सभी</v>
      </c>
      <c r="K184" s="8" t="str">
        <f>IFERROR(__xludf.DUMMYFUNCTION("GOOGLETRANSLATE(E184, ""en"", ""hi"")"),"D। उपरोक्त सभी")</f>
        <v>D। उपरोक्त सभी</v>
      </c>
    </row>
    <row r="185" ht="22.5" customHeight="1">
      <c r="A185" s="2">
        <v>184.0</v>
      </c>
      <c r="B185" s="3"/>
      <c r="C185" s="3" t="s">
        <v>5671</v>
      </c>
      <c r="D185" s="3" t="s">
        <v>5672</v>
      </c>
      <c r="E185" s="3" t="s">
        <v>1873</v>
      </c>
      <c r="G185" s="8" t="str">
        <f>IFERROR(__xludf.DUMMYFUNCTION("GOOGLETRANSLATE(A185, ""en"", ""hi"")"),"184")</f>
        <v>184</v>
      </c>
      <c r="H185" s="8" t="str">
        <f>IFERROR(__xludf.DUMMYFUNCTION("GOOGLETRANSLATE(B185, ""en"", ""hi"")"),"#VALUE!")</f>
        <v>#VALUE!</v>
      </c>
      <c r="I185" s="8" t="str">
        <f>IFERROR(__xludf.DUMMYFUNCTION("GOOGLETRANSLATE(C185, ""en"", ""hi"")"),"मुकना में प्रभावी वजन प्रबंधन के लिए अनुशंसित अभ्यास क्या है?")</f>
        <v>मुकना में प्रभावी वजन प्रबंधन के लिए अनुशंसित अभ्यास क्या है?</v>
      </c>
      <c r="J185" s="8" t="str">
        <f>IFERROR(__xludf.DUMMYFUNCTION("GOOGLETRANSLATE(D185, ""en"", ""hi"")"),"A) संतुलित आहार, B) नियमित व्यायाम, C) जलयोजन, D) उपरोक्त सभी")</f>
        <v>A) संतुलित आहार, B) नियमित व्यायाम, C) जलयोजन, D) उपरोक्त सभी</v>
      </c>
      <c r="K185" s="8" t="str">
        <f>IFERROR(__xludf.DUMMYFUNCTION("GOOGLETRANSLATE(E185, ""en"", ""hi"")"),"D। उपरोक्त सभी")</f>
        <v>D। उपरोक्त सभी</v>
      </c>
    </row>
    <row r="186" ht="22.5" customHeight="1">
      <c r="A186" s="2">
        <v>185.0</v>
      </c>
      <c r="B186" s="3"/>
      <c r="C186" s="3" t="s">
        <v>5673</v>
      </c>
      <c r="D186" s="3" t="s">
        <v>5674</v>
      </c>
      <c r="E186" s="3" t="s">
        <v>1873</v>
      </c>
      <c r="G186" s="8" t="str">
        <f>IFERROR(__xludf.DUMMYFUNCTION("GOOGLETRANSLATE(A186, ""en"", ""hi"")"),"185")</f>
        <v>185</v>
      </c>
      <c r="H186" s="8" t="str">
        <f>IFERROR(__xludf.DUMMYFUNCTION("GOOGLETRANSLATE(B186, ""en"", ""hi"")"),"#VALUE!")</f>
        <v>#VALUE!</v>
      </c>
      <c r="I186" s="8" t="str">
        <f>IFERROR(__xludf.DUMMYFUNCTION("GOOGLETRANSLATE(C186, ""en"", ""hi"")"),"मुकना में बेहतर समन्वय विकसित करने के लिए सामान्य तरीका क्या है?")</f>
        <v>मुकना में बेहतर समन्वय विकसित करने के लिए सामान्य तरीका क्या है?</v>
      </c>
      <c r="J186" s="8" t="str">
        <f>IFERROR(__xludf.DUMMYFUNCTION("GOOGLETRANSLATE(D186, ""en"", ""hi"")"),"A) समन्वय अभ्यास, B) संतुलन अभ्यास, C) तकनीक अभ्यास, D) उपरोक्त सभी")</f>
        <v>A) समन्वय अभ्यास, B) संतुलन अभ्यास, C) तकनीक अभ्यास, D) उपरोक्त सभी</v>
      </c>
      <c r="K186" s="8" t="str">
        <f>IFERROR(__xludf.DUMMYFUNCTION("GOOGLETRANSLATE(E186, ""en"", ""hi"")"),"D। उपरोक्त सभी")</f>
        <v>D। उपरोक्त सभी</v>
      </c>
    </row>
    <row r="187" ht="22.5" customHeight="1">
      <c r="A187" s="2">
        <v>186.0</v>
      </c>
      <c r="B187" s="3"/>
      <c r="C187" s="3" t="s">
        <v>5675</v>
      </c>
      <c r="D187" s="3" t="s">
        <v>5676</v>
      </c>
      <c r="E187" s="3" t="s">
        <v>1873</v>
      </c>
      <c r="G187" s="8" t="str">
        <f>IFERROR(__xludf.DUMMYFUNCTION("GOOGLETRANSLATE(A187, ""en"", ""hi"")"),"186")</f>
        <v>186</v>
      </c>
      <c r="H187" s="8" t="str">
        <f>IFERROR(__xludf.DUMMYFUNCTION("GOOGLETRANSLATE(B187, ""en"", ""hi"")"),"#VALUE!")</f>
        <v>#VALUE!</v>
      </c>
      <c r="I187" s="8" t="str">
        <f>IFERROR(__xludf.DUMMYFUNCTION("GOOGLETRANSLATE(C187, ""en"", ""hi"")"),"मुकना के अनुसार, रणनीतिक क्रियान्वयन में सुधार का सामान्य तरीका क्या है?")</f>
        <v>मुकना के अनुसार, रणनीतिक क्रियान्वयन में सुधार का सामान्य तरीका क्या है?</v>
      </c>
      <c r="J187" s="8" t="str">
        <f>IFERROR(__xludf.DUMMYFUNCTION("GOOGLETRANSLATE(D187, ""en"", ""hi"")"),"A) रणनीति अभ्यास, B) परिदृश्य अभ्यास, C) कोचिंग फीडबैक, D) उपरोक्त सभी")</f>
        <v>A) रणनीति अभ्यास, B) परिदृश्य अभ्यास, C) कोचिंग फीडबैक, D) उपरोक्त सभी</v>
      </c>
      <c r="K187" s="8" t="str">
        <f>IFERROR(__xludf.DUMMYFUNCTION("GOOGLETRANSLATE(E187, ""en"", ""hi"")"),"D। उपरोक्त सभी")</f>
        <v>D। उपरोक्त सभी</v>
      </c>
    </row>
    <row r="188" ht="22.5" customHeight="1">
      <c r="A188" s="2">
        <v>187.0</v>
      </c>
      <c r="B188" s="3"/>
      <c r="C188" s="3" t="s">
        <v>5677</v>
      </c>
      <c r="D188" s="3" t="s">
        <v>5678</v>
      </c>
      <c r="E188" s="3" t="s">
        <v>1873</v>
      </c>
      <c r="G188" s="8" t="str">
        <f>IFERROR(__xludf.DUMMYFUNCTION("GOOGLETRANSLATE(A188, ""en"", ""hi"")"),"187")</f>
        <v>187</v>
      </c>
      <c r="H188" s="8" t="str">
        <f>IFERROR(__xludf.DUMMYFUNCTION("GOOGLETRANSLATE(B188, ""en"", ""hi"")"),"#VALUE!")</f>
        <v>#VALUE!</v>
      </c>
      <c r="I188" s="8" t="str">
        <f>IFERROR(__xludf.DUMMYFUNCTION("GOOGLETRANSLATE(C188, ""en"", ""hi"")"),"मुकना में प्रहार शक्ति बढ़ाने के लिए आम तकनीक क्या है?")</f>
        <v>मुकना में प्रहार शक्ति बढ़ाने के लिए आम तकनीक क्या है?</v>
      </c>
      <c r="J188" s="8" t="str">
        <f>IFERROR(__xludf.DUMMYFUNCTION("GOOGLETRANSLATE(D188, ""en"", ""hi"")"),"A) शक्ति प्रशिक्षण, B) तकनीक परिशोधन, C) गति अभ्यास, D) उपरोक्त सभी")</f>
        <v>A) शक्ति प्रशिक्षण, B) तकनीक परिशोधन, C) गति अभ्यास, D) उपरोक्त सभी</v>
      </c>
      <c r="K188" s="8" t="str">
        <f>IFERROR(__xludf.DUMMYFUNCTION("GOOGLETRANSLATE(E188, ""en"", ""hi"")"),"D। उपरोक्त सभी")</f>
        <v>D। उपरोक्त सभी</v>
      </c>
    </row>
    <row r="189" ht="22.5" customHeight="1">
      <c r="A189" s="2">
        <v>188.0</v>
      </c>
      <c r="B189" s="3"/>
      <c r="C189" s="3" t="s">
        <v>5679</v>
      </c>
      <c r="D189" s="3" t="s">
        <v>5680</v>
      </c>
      <c r="E189" s="3" t="s">
        <v>1873</v>
      </c>
      <c r="G189" s="8" t="str">
        <f>IFERROR(__xludf.DUMMYFUNCTION("GOOGLETRANSLATE(A189, ""en"", ""hi"")"),"188")</f>
        <v>188</v>
      </c>
      <c r="H189" s="8" t="str">
        <f>IFERROR(__xludf.DUMMYFUNCTION("GOOGLETRANSLATE(B189, ""en"", ""hi"")"),"#VALUE!")</f>
        <v>#VALUE!</v>
      </c>
      <c r="I189" s="8" t="str">
        <f>IFERROR(__xludf.DUMMYFUNCTION("GOOGLETRANSLATE(C189, ""en"", ""hi"")"),"मुक्ना में, रिकवरी समय में सुधार के लिए सामान्य दृष्टिकोण क्या है?")</f>
        <v>मुक्ना में, रिकवरी समय में सुधार के लिए सामान्य दृष्टिकोण क्या है?</v>
      </c>
      <c r="J189" s="8" t="str">
        <f>IFERROR(__xludf.DUMMYFUNCTION("GOOGLETRANSLATE(D189, ""en"", ""hi"")"),"A) सक्रिय पुनर्प्राप्ति, B) उचित पोषण, C) पर्याप्त आराम, D) उपरोक्त सभी")</f>
        <v>A) सक्रिय पुनर्प्राप्ति, B) उचित पोषण, C) पर्याप्त आराम, D) उपरोक्त सभी</v>
      </c>
      <c r="K189" s="8" t="str">
        <f>IFERROR(__xludf.DUMMYFUNCTION("GOOGLETRANSLATE(E189, ""en"", ""hi"")"),"D। उपरोक्त सभी")</f>
        <v>D। उपरोक्त सभी</v>
      </c>
    </row>
    <row r="190" ht="22.5" customHeight="1">
      <c r="A190" s="2">
        <v>189.0</v>
      </c>
      <c r="B190" s="3"/>
      <c r="C190" s="3" t="s">
        <v>5681</v>
      </c>
      <c r="D190" s="3" t="s">
        <v>5682</v>
      </c>
      <c r="E190" s="3" t="s">
        <v>1873</v>
      </c>
      <c r="G190" s="8" t="str">
        <f>IFERROR(__xludf.DUMMYFUNCTION("GOOGLETRANSLATE(A190, ""en"", ""hi"")"),"189")</f>
        <v>189</v>
      </c>
      <c r="H190" s="8" t="str">
        <f>IFERROR(__xludf.DUMMYFUNCTION("GOOGLETRANSLATE(B190, ""en"", ""hi"")"),"#VALUE!")</f>
        <v>#VALUE!</v>
      </c>
      <c r="I190" s="8" t="str">
        <f>IFERROR(__xludf.DUMMYFUNCTION("GOOGLETRANSLATE(C190, ""en"", ""hi"")"),"मुकना के अनुसार, पैरों में लचीलापन बढ़ाने का सामान्य तरीका क्या है?")</f>
        <v>मुकना के अनुसार, पैरों में लचीलापन बढ़ाने का सामान्य तरीका क्या है?</v>
      </c>
      <c r="J190" s="8" t="str">
        <f>IFERROR(__xludf.DUMMYFUNCTION("GOOGLETRANSLATE(D190, ""en"", ""hi"")"),"A) पैर स्ट्रेच, B) योग, C) गतिशील पैर व्यायाम, D) उपरोक्त सभी")</f>
        <v>A) पैर स्ट्रेच, B) योग, C) गतिशील पैर व्यायाम, D) उपरोक्त सभी</v>
      </c>
      <c r="K190" s="8" t="str">
        <f>IFERROR(__xludf.DUMMYFUNCTION("GOOGLETRANSLATE(E190, ""en"", ""hi"")"),"D। उपरोक्त सभी")</f>
        <v>D। उपरोक्त सभी</v>
      </c>
    </row>
    <row r="191" ht="22.5" customHeight="1">
      <c r="A191" s="2">
        <v>190.0</v>
      </c>
      <c r="B191" s="3"/>
      <c r="C191" s="3" t="s">
        <v>5683</v>
      </c>
      <c r="D191" s="3" t="s">
        <v>5684</v>
      </c>
      <c r="E191" s="3" t="s">
        <v>1873</v>
      </c>
      <c r="G191" s="8" t="str">
        <f>IFERROR(__xludf.DUMMYFUNCTION("GOOGLETRANSLATE(A191, ""en"", ""hi"")"),"190")</f>
        <v>190</v>
      </c>
      <c r="H191" s="8" t="str">
        <f>IFERROR(__xludf.DUMMYFUNCTION("GOOGLETRANSLATE(B191, ""en"", ""hi"")"),"#VALUE!")</f>
        <v>#VALUE!</v>
      </c>
      <c r="I191" s="8" t="str">
        <f>IFERROR(__xludf.DUMMYFUNCTION("GOOGLETRANSLATE(C191, ""en"", ""hi"")"),"मुकना में, समग्र शक्ति में सुधार के लिए अनुशंसित अभ्यास क्या है?")</f>
        <v>मुकना में, समग्र शक्ति में सुधार के लिए अनुशंसित अभ्यास क्या है?</v>
      </c>
      <c r="J191" s="8" t="str">
        <f>IFERROR(__xludf.DUMMYFUNCTION("GOOGLETRANSLATE(D191, ""en"", ""hi"")"),"A) शक्ति प्रशिक्षण, B) शारीरिक भार व्यायाम, C) प्रतिरोध प्रशिक्षण, D) उपरोक्त सभी")</f>
        <v>A) शक्ति प्रशिक्षण, B) शारीरिक भार व्यायाम, C) प्रतिरोध प्रशिक्षण, D) उपरोक्त सभी</v>
      </c>
      <c r="K191" s="8" t="str">
        <f>IFERROR(__xludf.DUMMYFUNCTION("GOOGLETRANSLATE(E191, ""en"", ""hi"")"),"D। उपरोक्त सभी")</f>
        <v>D। उपरोक्त सभी</v>
      </c>
    </row>
    <row r="192" ht="22.5" customHeight="1">
      <c r="A192" s="2">
        <v>191.0</v>
      </c>
      <c r="B192" s="3"/>
      <c r="C192" s="3" t="s">
        <v>5685</v>
      </c>
      <c r="D192" s="3" t="s">
        <v>5686</v>
      </c>
      <c r="E192" s="3" t="s">
        <v>1873</v>
      </c>
      <c r="G192" s="8" t="str">
        <f>IFERROR(__xludf.DUMMYFUNCTION("GOOGLETRANSLATE(A192, ""en"", ""hi"")"),"191")</f>
        <v>191</v>
      </c>
      <c r="H192" s="8" t="str">
        <f>IFERROR(__xludf.DUMMYFUNCTION("GOOGLETRANSLATE(B192, ""en"", ""hi"")"),"#VALUE!")</f>
        <v>#VALUE!</v>
      </c>
      <c r="I192" s="8" t="str">
        <f>IFERROR(__xludf.DUMMYFUNCTION("GOOGLETRANSLATE(C192, ""en"", ""hi"")"),"मुकना में आक्रामक विरोधियों से निपटने के लिए आम रणनीति क्या है?")</f>
        <v>मुकना में आक्रामक विरोधियों से निपटने के लिए आम रणनीति क्या है?</v>
      </c>
      <c r="J192" s="8" t="str">
        <f>IFERROR(__xludf.DUMMYFUNCTION("GOOGLETRANSLATE(D192, ""en"", ""hi"")"),"A) जवाबी हमले, B) रक्षात्मक युद्धाभ्यास, C) शांत रहना, D) उपरोक्त सभी")</f>
        <v>A) जवाबी हमले, B) रक्षात्मक युद्धाभ्यास, C) शांत रहना, D) उपरोक्त सभी</v>
      </c>
      <c r="K192" s="8" t="str">
        <f>IFERROR(__xludf.DUMMYFUNCTION("GOOGLETRANSLATE(E192, ""en"", ""hi"")"),"D। उपरोक्त सभी")</f>
        <v>D। उपरोक्त सभी</v>
      </c>
    </row>
    <row r="193" ht="22.5" customHeight="1">
      <c r="A193" s="2">
        <v>192.0</v>
      </c>
      <c r="B193" s="3"/>
      <c r="C193" s="3" t="s">
        <v>5687</v>
      </c>
      <c r="D193" s="3" t="s">
        <v>5688</v>
      </c>
      <c r="E193" s="3" t="s">
        <v>1873</v>
      </c>
      <c r="G193" s="8" t="str">
        <f>IFERROR(__xludf.DUMMYFUNCTION("GOOGLETRANSLATE(A193, ""en"", ""hi"")"),"192")</f>
        <v>192</v>
      </c>
      <c r="H193" s="8" t="str">
        <f>IFERROR(__xludf.DUMMYFUNCTION("GOOGLETRANSLATE(B193, ""en"", ""hi"")"),"#VALUE!")</f>
        <v>#VALUE!</v>
      </c>
      <c r="I193" s="8" t="str">
        <f>IFERROR(__xludf.DUMMYFUNCTION("GOOGLETRANSLATE(C193, ""en"", ""hi"")"),"मुकना के लिए, एक प्रभावी प्रशिक्षण योजना का विशिष्ट पहलू क्या है?")</f>
        <v>मुकना के लिए, एक प्रभावी प्रशिक्षण योजना का विशिष्ट पहलू क्या है?</v>
      </c>
      <c r="J193" s="8" t="str">
        <f>IFERROR(__xludf.DUMMYFUNCTION("GOOGLETRANSLATE(D193, ""en"", ""hi"")"),"A) विविध वर्कआउट, B) प्रगतिशील अधिभार, C) नियमित मूल्यांकन, D) उपरोक्त सभी")</f>
        <v>A) विविध वर्कआउट, B) प्रगतिशील अधिभार, C) नियमित मूल्यांकन, D) उपरोक्त सभी</v>
      </c>
      <c r="K193" s="8" t="str">
        <f>IFERROR(__xludf.DUMMYFUNCTION("GOOGLETRANSLATE(E193, ""en"", ""hi"")"),"D। उपरोक्त सभी")</f>
        <v>D। उपरोक्त सभी</v>
      </c>
    </row>
    <row r="194" ht="22.5" customHeight="1">
      <c r="A194" s="2">
        <v>193.0</v>
      </c>
      <c r="B194" s="3"/>
      <c r="C194" s="3" t="s">
        <v>5689</v>
      </c>
      <c r="D194" s="3" t="s">
        <v>5690</v>
      </c>
      <c r="E194" s="3" t="s">
        <v>1873</v>
      </c>
      <c r="G194" s="8" t="str">
        <f>IFERROR(__xludf.DUMMYFUNCTION("GOOGLETRANSLATE(A194, ""en"", ""hi"")"),"193")</f>
        <v>193</v>
      </c>
      <c r="H194" s="8" t="str">
        <f>IFERROR(__xludf.DUMMYFUNCTION("GOOGLETRANSLATE(B194, ""en"", ""hi"")"),"#VALUE!")</f>
        <v>#VALUE!</v>
      </c>
      <c r="I194" s="8" t="str">
        <f>IFERROR(__xludf.DUMMYFUNCTION("GOOGLETRANSLATE(C194, ""en"", ""hi"")"),"मुक्ना में प्रतिक्रिया गति में सुधार के लिए एक सामान्य तरीका क्या है?")</f>
        <v>मुक्ना में प्रतिक्रिया गति में सुधार के लिए एक सामान्य तरीका क्या है?</v>
      </c>
      <c r="J194" s="8" t="str">
        <f>IFERROR(__xludf.DUMMYFUNCTION("GOOGLETRANSLATE(D194, ""en"", ""hi"")"),"A) गति अभ्यास, B) प्रतिवर्ती अभ्यास, C) अभ्यास मैच, D) उपरोक्त सभी")</f>
        <v>A) गति अभ्यास, B) प्रतिवर्ती अभ्यास, C) अभ्यास मैच, D) उपरोक्त सभी</v>
      </c>
      <c r="K194" s="8" t="str">
        <f>IFERROR(__xludf.DUMMYFUNCTION("GOOGLETRANSLATE(E194, ""en"", ""hi"")"),"D। उपरोक्त सभी")</f>
        <v>D। उपरोक्त सभी</v>
      </c>
    </row>
    <row r="195" ht="22.5" customHeight="1">
      <c r="A195" s="2">
        <v>194.0</v>
      </c>
      <c r="B195" s="3"/>
      <c r="C195" s="3" t="s">
        <v>5691</v>
      </c>
      <c r="D195" s="3" t="s">
        <v>5692</v>
      </c>
      <c r="E195" s="3" t="s">
        <v>1873</v>
      </c>
      <c r="G195" s="8" t="str">
        <f>IFERROR(__xludf.DUMMYFUNCTION("GOOGLETRANSLATE(A195, ""en"", ""hi"")"),"194")</f>
        <v>194</v>
      </c>
      <c r="H195" s="8" t="str">
        <f>IFERROR(__xludf.DUMMYFUNCTION("GOOGLETRANSLATE(B195, ""en"", ""hi"")"),"#VALUE!")</f>
        <v>#VALUE!</v>
      </c>
      <c r="I195" s="8" t="str">
        <f>IFERROR(__xludf.DUMMYFUNCTION("GOOGLETRANSLATE(C195, ""en"", ""hi"")"),"मुकना में मानसिक एकाग्रता बढ़ाने के लिए सामान्य दृष्टिकोण क्या है?")</f>
        <v>मुकना में मानसिक एकाग्रता बढ़ाने के लिए सामान्य दृष्टिकोण क्या है?</v>
      </c>
      <c r="J195" s="8" t="str">
        <f>IFERROR(__xludf.DUMMYFUNCTION("GOOGLETRANSLATE(D195, ""en"", ""hi"")"),"A) एकाग्रता अभ्यास, B) ध्यान, C) मानसिक अभ्यास, D) उपरोक्त सभी")</f>
        <v>A) एकाग्रता अभ्यास, B) ध्यान, C) मानसिक अभ्यास, D) उपरोक्त सभी</v>
      </c>
      <c r="K195" s="8" t="str">
        <f>IFERROR(__xludf.DUMMYFUNCTION("GOOGLETRANSLATE(E195, ""en"", ""hi"")"),"D। उपरोक्त सभी")</f>
        <v>D। उपरोक्त सभी</v>
      </c>
    </row>
    <row r="196" ht="22.5" customHeight="1">
      <c r="A196" s="2">
        <v>195.0</v>
      </c>
      <c r="B196" s="3"/>
      <c r="C196" s="3" t="s">
        <v>5693</v>
      </c>
      <c r="D196" s="3" t="s">
        <v>5694</v>
      </c>
      <c r="E196" s="3" t="s">
        <v>1873</v>
      </c>
      <c r="G196" s="8" t="str">
        <f>IFERROR(__xludf.DUMMYFUNCTION("GOOGLETRANSLATE(A196, ""en"", ""hi"")"),"195")</f>
        <v>195</v>
      </c>
      <c r="H196" s="8" t="str">
        <f>IFERROR(__xludf.DUMMYFUNCTION("GOOGLETRANSLATE(B196, ""en"", ""hi"")"),"#VALUE!")</f>
        <v>#VALUE!</v>
      </c>
      <c r="I196" s="8" t="str">
        <f>IFERROR(__xludf.DUMMYFUNCTION("GOOGLETRANSLATE(C196, ""en"", ""hi"")"),"मुकना के लिए, समग्र एथलेटिक क्षमता विकसित करने का अनुशंसित तरीका क्या है?")</f>
        <v>मुकना के लिए, समग्र एथलेटिक क्षमता विकसित करने का अनुशंसित तरीका क्या है?</v>
      </c>
      <c r="J196" s="8" t="str">
        <f>IFERROR(__xludf.DUMMYFUNCTION("GOOGLETRANSLATE(D196, ""en"", ""hi"")"),"A) क्रॉस-ट्रेनिंग, B) कार्यात्मक अभ्यास, C) खेल-विशिष्ट अभ्यास, D) उपरोक्त सभी")</f>
        <v>A) क्रॉस-ट्रेनिंग, B) कार्यात्मक अभ्यास, C) खेल-विशिष्ट अभ्यास, D) उपरोक्त सभी</v>
      </c>
      <c r="K196" s="8" t="str">
        <f>IFERROR(__xludf.DUMMYFUNCTION("GOOGLETRANSLATE(E196, ""en"", ""hi"")"),"D। उपरोक्त सभी")</f>
        <v>D। उपरोक्त सभी</v>
      </c>
    </row>
    <row r="197" ht="22.5" customHeight="1">
      <c r="A197" s="2">
        <v>196.0</v>
      </c>
      <c r="B197" s="3"/>
      <c r="C197" s="3" t="s">
        <v>5695</v>
      </c>
      <c r="D197" s="3" t="s">
        <v>5696</v>
      </c>
      <c r="E197" s="3" t="s">
        <v>1873</v>
      </c>
      <c r="G197" s="8" t="str">
        <f>IFERROR(__xludf.DUMMYFUNCTION("GOOGLETRANSLATE(A197, ""en"", ""hi"")"),"196")</f>
        <v>196</v>
      </c>
      <c r="H197" s="8" t="str">
        <f>IFERROR(__xludf.DUMMYFUNCTION("GOOGLETRANSLATE(B197, ""en"", ""hi"")"),"#VALUE!")</f>
        <v>#VALUE!</v>
      </c>
      <c r="I197" s="8" t="str">
        <f>IFERROR(__xludf.DUMMYFUNCTION("GOOGLETRANSLATE(C197, ""en"", ""hi"")"),"मुकना में संतुलन सुधारने के लिए आम प्रथा क्या है?")</f>
        <v>मुकना में संतुलन सुधारने के लिए आम प्रथा क्या है?</v>
      </c>
      <c r="J197" s="8" t="str">
        <f>IFERROR(__xludf.DUMMYFUNCTION("GOOGLETRANSLATE(D197, ""en"", ""hi"")"),"A) संतुलन अभ्यास, B) स्थिरता अभ्यास, C) कोर सुदृढ़ीकरण, D) उपरोक्त सभी")</f>
        <v>A) संतुलन अभ्यास, B) स्थिरता अभ्यास, C) कोर सुदृढ़ीकरण, D) उपरोक्त सभी</v>
      </c>
      <c r="K197" s="8" t="str">
        <f>IFERROR(__xludf.DUMMYFUNCTION("GOOGLETRANSLATE(E197, ""en"", ""hi"")"),"D। उपरोक्त सभी")</f>
        <v>D। उपरोक्त सभी</v>
      </c>
    </row>
    <row r="198" ht="22.5" customHeight="1">
      <c r="A198" s="2">
        <v>197.0</v>
      </c>
      <c r="B198" s="3"/>
      <c r="C198" s="3" t="s">
        <v>5697</v>
      </c>
      <c r="D198" s="3" t="s">
        <v>5698</v>
      </c>
      <c r="E198" s="3" t="s">
        <v>1873</v>
      </c>
      <c r="G198" s="8" t="str">
        <f>IFERROR(__xludf.DUMMYFUNCTION("GOOGLETRANSLATE(A198, ""en"", ""hi"")"),"197")</f>
        <v>197</v>
      </c>
      <c r="H198" s="8" t="str">
        <f>IFERROR(__xludf.DUMMYFUNCTION("GOOGLETRANSLATE(B198, ""en"", ""hi"")"),"#VALUE!")</f>
        <v>#VALUE!</v>
      </c>
      <c r="I198" s="8" t="str">
        <f>IFERROR(__xludf.DUMMYFUNCTION("GOOGLETRANSLATE(C198, ""en"", ""hi"")"),"मुकना में गहन प्रशिक्षण के बाद रिकवरी योजना का एक विशिष्ट पहलू क्या है?")</f>
        <v>मुकना में गहन प्रशिक्षण के बाद रिकवरी योजना का एक विशिष्ट पहलू क्या है?</v>
      </c>
      <c r="J198" s="8" t="str">
        <f>IFERROR(__xludf.DUMMYFUNCTION("GOOGLETRANSLATE(D198, ""en"", ""hi"")"),"A) आराम, B) जलयोजन, C) उचित पोषण, D) उपरोक्त सभी")</f>
        <v>A) आराम, B) जलयोजन, C) उचित पोषण, D) उपरोक्त सभी</v>
      </c>
      <c r="K198" s="8" t="str">
        <f>IFERROR(__xludf.DUMMYFUNCTION("GOOGLETRANSLATE(E198, ""en"", ""hi"")"),"D। उपरोक्त सभी")</f>
        <v>D। उपरोक्त सभी</v>
      </c>
    </row>
    <row r="199" ht="22.5" customHeight="1">
      <c r="A199" s="2">
        <v>198.0</v>
      </c>
      <c r="B199" s="3"/>
      <c r="C199" s="3" t="s">
        <v>5699</v>
      </c>
      <c r="D199" s="3" t="s">
        <v>5700</v>
      </c>
      <c r="E199" s="3" t="s">
        <v>1873</v>
      </c>
      <c r="G199" s="8" t="str">
        <f>IFERROR(__xludf.DUMMYFUNCTION("GOOGLETRANSLATE(A199, ""en"", ""hi"")"),"198")</f>
        <v>198</v>
      </c>
      <c r="H199" s="8" t="str">
        <f>IFERROR(__xludf.DUMMYFUNCTION("GOOGLETRANSLATE(B199, ""en"", ""hi"")"),"#VALUE!")</f>
        <v>#VALUE!</v>
      </c>
      <c r="I199" s="8" t="str">
        <f>IFERROR(__xludf.DUMMYFUNCTION("GOOGLETRANSLATE(C199, ""en"", ""hi"")"),"मुकना के अनुसार, हाथ-आँख समन्वय सुधारने के लिए सामान्य तरीका क्या है?")</f>
        <v>मुकना के अनुसार, हाथ-आँख समन्वय सुधारने के लिए सामान्य तरीका क्या है?</v>
      </c>
      <c r="J199" s="8" t="str">
        <f>IFERROR(__xludf.DUMMYFUNCTION("GOOGLETRANSLATE(D199, ""en"", ""hi"")"),"A) समन्वय अभ्यास, B) प्रतिक्रिया अभ्यास, C) परिशुद्धता प्रशिक्षण, D) उपरोक्त सभी")</f>
        <v>A) समन्वय अभ्यास, B) प्रतिक्रिया अभ्यास, C) परिशुद्धता प्रशिक्षण, D) उपरोक्त सभी</v>
      </c>
      <c r="K199" s="8" t="str">
        <f>IFERROR(__xludf.DUMMYFUNCTION("GOOGLETRANSLATE(E199, ""en"", ""hi"")"),"D। उपरोक्त सभी")</f>
        <v>D। उपरोक्त सभी</v>
      </c>
    </row>
    <row r="200" ht="22.5" customHeight="1">
      <c r="A200" s="2">
        <v>199.0</v>
      </c>
      <c r="B200" s="3"/>
      <c r="C200" s="3" t="s">
        <v>5701</v>
      </c>
      <c r="D200" s="3" t="s">
        <v>5702</v>
      </c>
      <c r="E200" s="3" t="s">
        <v>1873</v>
      </c>
      <c r="G200" s="8" t="str">
        <f>IFERROR(__xludf.DUMMYFUNCTION("GOOGLETRANSLATE(A200, ""en"", ""hi"")"),"199")</f>
        <v>199</v>
      </c>
      <c r="H200" s="8" t="str">
        <f>IFERROR(__xludf.DUMMYFUNCTION("GOOGLETRANSLATE(B200, ""en"", ""hi"")"),"#VALUE!")</f>
        <v>#VALUE!</v>
      </c>
      <c r="I200" s="8" t="str">
        <f>IFERROR(__xludf.DUMMYFUNCTION("GOOGLETRANSLATE(C200, ""en"", ""hi"")"),"मुकना में मांसपेशियों की सहनशक्ति बढ़ाने के लिए अनुशंसित अभ्यास क्या है?")</f>
        <v>मुकना में मांसपेशियों की सहनशक्ति बढ़ाने के लिए अनुशंसित अभ्यास क्या है?</v>
      </c>
      <c r="J200" s="8" t="str">
        <f>IFERROR(__xludf.DUMMYFUNCTION("GOOGLETRANSLATE(D200, ""en"", ""hi"")"),"A) धीरज प्रशिक्षण, B) सर्किट वर्कआउट, C) उच्च-पुनरावृत्ति अभ्यास, D) उपरोक्त सभी")</f>
        <v>A) धीरज प्रशिक्षण, B) सर्किट वर्कआउट, C) उच्च-पुनरावृत्ति अभ्यास, D) उपरोक्त सभी</v>
      </c>
      <c r="K200" s="8" t="str">
        <f>IFERROR(__xludf.DUMMYFUNCTION("GOOGLETRANSLATE(E200, ""en"", ""hi"")"),"D। उपरोक्त सभी")</f>
        <v>D। उपरोक्त सभी</v>
      </c>
    </row>
    <row r="201" ht="22.5" customHeight="1">
      <c r="A201" s="2">
        <v>200.0</v>
      </c>
      <c r="B201" s="3"/>
      <c r="C201" s="3" t="s">
        <v>5703</v>
      </c>
      <c r="D201" s="3" t="s">
        <v>5704</v>
      </c>
      <c r="E201" s="3" t="s">
        <v>1873</v>
      </c>
      <c r="G201" s="8" t="str">
        <f>IFERROR(__xludf.DUMMYFUNCTION("GOOGLETRANSLATE(A201, ""en"", ""hi"")"),"200")</f>
        <v>200</v>
      </c>
      <c r="H201" s="8" t="str">
        <f>IFERROR(__xludf.DUMMYFUNCTION("GOOGLETRANSLATE(B201, ""en"", ""hi"")"),"#VALUE!")</f>
        <v>#VALUE!</v>
      </c>
      <c r="I201" s="8" t="str">
        <f>IFERROR(__xludf.DUMMYFUNCTION("GOOGLETRANSLATE(C201, ""en"", ""hi"")"),"मुकना में तकनीक सटीकता में सुधार के लिए एक सामान्य तकनीक क्या है?")</f>
        <v>मुकना में तकनीक सटीकता में सुधार के लिए एक सामान्य तकनीक क्या है?</v>
      </c>
      <c r="J201" s="8" t="str">
        <f>IFERROR(__xludf.DUMMYFUNCTION("GOOGLETRANSLATE(D201, ""en"", ""hi"")"),"A) दोहरावपूर्ण अभ्यास, B) तकनीक विश्लेषण, C) विशेषज्ञ प्रतिक्रिया, D) उपरोक्त सभी")</f>
        <v>A) दोहरावपूर्ण अभ्यास, B) तकनीक विश्लेषण, C) विशेषज्ञ प्रतिक्रिया, D) उपरोक्त सभी</v>
      </c>
      <c r="K201" s="8" t="str">
        <f>IFERROR(__xludf.DUMMYFUNCTION("GOOGLETRANSLATE(E201, ""en"", ""hi"")"),"D। उपरोक्त सभी")</f>
        <v>D। उपरोक्त सभी</v>
      </c>
    </row>
    <row r="202" ht="22.5" customHeight="1">
      <c r="A202" s="2">
        <v>201.0</v>
      </c>
      <c r="B202" s="3"/>
      <c r="C202" s="3" t="s">
        <v>5705</v>
      </c>
      <c r="D202" s="3" t="s">
        <v>5706</v>
      </c>
      <c r="E202" s="3" t="s">
        <v>1873</v>
      </c>
      <c r="G202" s="8" t="str">
        <f>IFERROR(__xludf.DUMMYFUNCTION("GOOGLETRANSLATE(A202, ""en"", ""hi"")"),"201")</f>
        <v>201</v>
      </c>
      <c r="H202" s="8" t="str">
        <f>IFERROR(__xludf.DUMMYFUNCTION("GOOGLETRANSLATE(B202, ""en"", ""hi"")"),"#VALUE!")</f>
        <v>#VALUE!</v>
      </c>
      <c r="I202" s="8" t="str">
        <f>IFERROR(__xludf.DUMMYFUNCTION("GOOGLETRANSLATE(C202, ""en"", ""hi"")"),"मुकना के लिए मैच रणनीतियों को परिष्कृत करने का सामान्य तरीका क्या है?")</f>
        <v>मुकना के लिए मैच रणनीतियों को परिष्कृत करने का सामान्य तरीका क्या है?</v>
      </c>
      <c r="J202" s="8" t="str">
        <f>IFERROR(__xludf.DUMMYFUNCTION("GOOGLETRANSLATE(D202, ""en"", ""hi"")"),"A) पिछले मैचों का विश्लेषण करना, B) विभिन्न परिदृश्यों का अभ्यास करना, C) कोचों से परामर्श करना, D) उपरोक्त सभी")</f>
        <v>A) पिछले मैचों का विश्लेषण करना, B) विभिन्न परिदृश्यों का अभ्यास करना, C) कोचों से परामर्श करना, D) उपरोक्त सभी</v>
      </c>
      <c r="K202" s="8" t="str">
        <f>IFERROR(__xludf.DUMMYFUNCTION("GOOGLETRANSLATE(E202, ""en"", ""hi"")"),"D। उपरोक्त सभी")</f>
        <v>D। उपरोक्त सभी</v>
      </c>
    </row>
    <row r="203" ht="22.5" customHeight="1">
      <c r="A203" s="2">
        <v>202.0</v>
      </c>
      <c r="B203" s="3"/>
      <c r="C203" s="3" t="s">
        <v>5707</v>
      </c>
      <c r="D203" s="3" t="s">
        <v>5708</v>
      </c>
      <c r="E203" s="3" t="s">
        <v>1873</v>
      </c>
      <c r="G203" s="8" t="str">
        <f>IFERROR(__xludf.DUMMYFUNCTION("GOOGLETRANSLATE(A203, ""en"", ""hi"")"),"202")</f>
        <v>202</v>
      </c>
      <c r="H203" s="8" t="str">
        <f>IFERROR(__xludf.DUMMYFUNCTION("GOOGLETRANSLATE(B203, ""en"", ""hi"")"),"#VALUE!")</f>
        <v>#VALUE!</v>
      </c>
      <c r="I203" s="8" t="str">
        <f>IFERROR(__xludf.DUMMYFUNCTION("GOOGLETRANSLATE(C203, ""en"", ""hi"")"),"मुकना में समग्र शक्ति बढ़ाने के लिए एक सामान्य तरीका क्या है?")</f>
        <v>मुकना में समग्र शक्ति बढ़ाने के लिए एक सामान्य तरीका क्या है?</v>
      </c>
      <c r="J203" s="8" t="str">
        <f>IFERROR(__xludf.DUMMYFUNCTION("GOOGLETRANSLATE(D203, ""en"", ""hi"")"),"A) शक्ति प्रशिक्षण, B) विस्फोटक अभ्यास, C) पावरलिफ्टिंग, D) उपरोक्त सभी")</f>
        <v>A) शक्ति प्रशिक्षण, B) विस्फोटक अभ्यास, C) पावरलिफ्टिंग, D) उपरोक्त सभी</v>
      </c>
      <c r="K203" s="8" t="str">
        <f>IFERROR(__xludf.DUMMYFUNCTION("GOOGLETRANSLATE(E203, ""en"", ""hi"")"),"D। उपरोक्त सभी")</f>
        <v>D। उपरोक्त सभी</v>
      </c>
    </row>
    <row r="204" ht="22.5" customHeight="1">
      <c r="A204" s="2">
        <v>203.0</v>
      </c>
      <c r="B204" s="3"/>
      <c r="C204" s="3" t="s">
        <v>5709</v>
      </c>
      <c r="D204" s="3" t="s">
        <v>5710</v>
      </c>
      <c r="E204" s="3" t="s">
        <v>1873</v>
      </c>
      <c r="G204" s="8" t="str">
        <f>IFERROR(__xludf.DUMMYFUNCTION("GOOGLETRANSLATE(A204, ""en"", ""hi"")"),"203")</f>
        <v>203</v>
      </c>
      <c r="H204" s="8" t="str">
        <f>IFERROR(__xludf.DUMMYFUNCTION("GOOGLETRANSLATE(B204, ""en"", ""hi"")"),"#VALUE!")</f>
        <v>#VALUE!</v>
      </c>
      <c r="I204" s="8" t="str">
        <f>IFERROR(__xludf.DUMMYFUNCTION("GOOGLETRANSLATE(C204, ""en"", ""hi"")"),"मुकना में सामरिक निर्णय लेने में सुधार के लिए अनुशंसित अभ्यास क्या है?")</f>
        <v>मुकना में सामरिक निर्णय लेने में सुधार के लिए अनुशंसित अभ्यास क्या है?</v>
      </c>
      <c r="J204" s="8" t="str">
        <f>IFERROR(__xludf.DUMMYFUNCTION("GOOGLETRANSLATE(D204, ""en"", ""hi"")"),"A) रणनीति अभ्यास, B) मैच फुटेज की समीक्षा, C) सिमुलेशन अभ्यास, D) उपरोक्त सभी")</f>
        <v>A) रणनीति अभ्यास, B) मैच फुटेज की समीक्षा, C) सिमुलेशन अभ्यास, D) उपरोक्त सभी</v>
      </c>
      <c r="K204" s="8" t="str">
        <f>IFERROR(__xludf.DUMMYFUNCTION("GOOGLETRANSLATE(E204, ""en"", ""hi"")"),"D। उपरोक्त सभी")</f>
        <v>D। उपरोक्त सभी</v>
      </c>
    </row>
    <row r="205" ht="22.5" customHeight="1">
      <c r="A205" s="2">
        <v>204.0</v>
      </c>
      <c r="B205" s="3"/>
      <c r="C205" s="3" t="s">
        <v>5711</v>
      </c>
      <c r="D205" s="3" t="s">
        <v>5712</v>
      </c>
      <c r="E205" s="3" t="s">
        <v>1873</v>
      </c>
      <c r="G205" s="8" t="str">
        <f>IFERROR(__xludf.DUMMYFUNCTION("GOOGLETRANSLATE(A205, ""en"", ""hi"")"),"204")</f>
        <v>204</v>
      </c>
      <c r="H205" s="8" t="str">
        <f>IFERROR(__xludf.DUMMYFUNCTION("GOOGLETRANSLATE(B205, ""en"", ""hi"")"),"#VALUE!")</f>
        <v>#VALUE!</v>
      </c>
      <c r="I205" s="8" t="str">
        <f>IFERROR(__xludf.DUMMYFUNCTION("GOOGLETRANSLATE(C205, ""en"", ""hi"")"),"मुकना के लिए, एक अच्छे वार्म-अप रूटीन का एक विशिष्ट पहलू क्या है?")</f>
        <v>मुकना के लिए, एक अच्छे वार्म-अप रूटीन का एक विशिष्ट पहलू क्या है?</v>
      </c>
      <c r="J205" s="8" t="str">
        <f>IFERROR(__xludf.DUMMYFUNCTION("GOOGLETRANSLATE(D205, ""en"", ""hi"")"),"A) हृदय गति बढ़ाना, B) प्रमुख मांसपेशी समूहों को खींचना, C) मानसिक रूप से तैयार करना, D) उपरोक्त सभी")</f>
        <v>A) हृदय गति बढ़ाना, B) प्रमुख मांसपेशी समूहों को खींचना, C) मानसिक रूप से तैयार करना, D) उपरोक्त सभी</v>
      </c>
      <c r="K205" s="8" t="str">
        <f>IFERROR(__xludf.DUMMYFUNCTION("GOOGLETRANSLATE(E205, ""en"", ""hi"")"),"D। उपरोक्त सभी")</f>
        <v>D। उपरोक्त सभी</v>
      </c>
    </row>
    <row r="206" ht="22.5" customHeight="1">
      <c r="A206" s="2">
        <v>205.0</v>
      </c>
      <c r="B206" s="3"/>
      <c r="C206" s="3" t="s">
        <v>5713</v>
      </c>
      <c r="D206" s="3" t="s">
        <v>5714</v>
      </c>
      <c r="E206" s="3" t="s">
        <v>1873</v>
      </c>
      <c r="G206" s="8" t="str">
        <f>IFERROR(__xludf.DUMMYFUNCTION("GOOGLETRANSLATE(A206, ""en"", ""hi"")"),"205")</f>
        <v>205</v>
      </c>
      <c r="H206" s="8" t="str">
        <f>IFERROR(__xludf.DUMMYFUNCTION("GOOGLETRANSLATE(B206, ""en"", ""hi"")"),"#VALUE!")</f>
        <v>#VALUE!</v>
      </c>
      <c r="I206" s="8" t="str">
        <f>IFERROR(__xludf.DUMMYFUNCTION("GOOGLETRANSLATE(C206, ""en"", ""hi"")"),"मुकना में, ग्रैपलिंग में सटीकता में सुधार के लिए एक सामान्य तकनीक क्या है?")</f>
        <v>मुकना में, ग्रैपलिंग में सटीकता में सुधार के लिए एक सामान्य तकनीक क्या है?</v>
      </c>
      <c r="J206" s="8" t="str">
        <f>IFERROR(__xludf.DUMMYFUNCTION("GOOGLETRANSLATE(D206, ""en"", ""hi"")"),"A) सटीक अभ्यास, B) साथी अभ्यास, C) तकनीक परिशोधन, D) उपरोक्त सभी")</f>
        <v>A) सटीक अभ्यास, B) साथी अभ्यास, C) तकनीक परिशोधन, D) उपरोक्त सभी</v>
      </c>
      <c r="K206" s="8" t="str">
        <f>IFERROR(__xludf.DUMMYFUNCTION("GOOGLETRANSLATE(E206, ""en"", ""hi"")"),"D। उपरोक्त सभी")</f>
        <v>D। उपरोक्त सभी</v>
      </c>
    </row>
    <row r="207" ht="22.5" customHeight="1">
      <c r="A207" s="2">
        <v>206.0</v>
      </c>
      <c r="B207" s="3"/>
      <c r="C207" s="3" t="s">
        <v>5715</v>
      </c>
      <c r="D207" s="3" t="s">
        <v>5716</v>
      </c>
      <c r="E207" s="3" t="s">
        <v>1873</v>
      </c>
      <c r="G207" s="8" t="str">
        <f>IFERROR(__xludf.DUMMYFUNCTION("GOOGLETRANSLATE(A207, ""en"", ""hi"")"),"206")</f>
        <v>206</v>
      </c>
      <c r="H207" s="8" t="str">
        <f>IFERROR(__xludf.DUMMYFUNCTION("GOOGLETRANSLATE(B207, ""en"", ""hi"")"),"#VALUE!")</f>
        <v>#VALUE!</v>
      </c>
      <c r="I207" s="8" t="str">
        <f>IFERROR(__xludf.DUMMYFUNCTION("GOOGLETRANSLATE(C207, ""en"", ""hi"")"),"मुकना में गति और चपलता बढ़ाने के लिए सामान्य दृष्टिकोण क्या है?")</f>
        <v>मुकना में गति और चपलता बढ़ाने के लिए सामान्य दृष्टिकोण क्या है?</v>
      </c>
      <c r="J207" s="8" t="str">
        <f>IFERROR(__xludf.DUMMYFUNCTION("GOOGLETRANSLATE(D207, ""en"", ""hi"")"),"A) गति अभ्यास, B) चपलता व्यायाम, C) प्लायोमेट्रिक प्रशिक्षण, D) उपरोक्त सभी")</f>
        <v>A) गति अभ्यास, B) चपलता व्यायाम, C) प्लायोमेट्रिक प्रशिक्षण, D) उपरोक्त सभी</v>
      </c>
      <c r="K207" s="8" t="str">
        <f>IFERROR(__xludf.DUMMYFUNCTION("GOOGLETRANSLATE(E207, ""en"", ""hi"")"),"D। उपरोक्त सभी")</f>
        <v>D। उपरोक्त सभी</v>
      </c>
    </row>
    <row r="208" ht="22.5" customHeight="1">
      <c r="A208" s="2">
        <v>207.0</v>
      </c>
      <c r="B208" s="3"/>
      <c r="C208" s="3" t="s">
        <v>5717</v>
      </c>
      <c r="D208" s="3" t="s">
        <v>5718</v>
      </c>
      <c r="E208" s="3" t="s">
        <v>1873</v>
      </c>
      <c r="G208" s="8" t="str">
        <f>IFERROR(__xludf.DUMMYFUNCTION("GOOGLETRANSLATE(A208, ""en"", ""hi"")"),"207")</f>
        <v>207</v>
      </c>
      <c r="H208" s="8" t="str">
        <f>IFERROR(__xludf.DUMMYFUNCTION("GOOGLETRANSLATE(B208, ""en"", ""hi"")"),"#VALUE!")</f>
        <v>#VALUE!</v>
      </c>
      <c r="I208" s="8" t="str">
        <f>IFERROR(__xludf.DUMMYFUNCTION("GOOGLETRANSLATE(C208, ""en"", ""hi"")"),"मुकना के लिए बेहतर समन्वय विकसित करने के लिए सामान्य अभ्यास क्या है?")</f>
        <v>मुकना के लिए बेहतर समन्वय विकसित करने के लिए सामान्य अभ्यास क्या है?</v>
      </c>
      <c r="J208" s="8" t="str">
        <f>IFERROR(__xludf.DUMMYFUNCTION("GOOGLETRANSLATE(D208, ""en"", ""hi"")"),"A) समन्वय अभ्यास, B) साथी अभ्यास, C) कौशल-विशिष्ट अभ्यास, D) उपरोक्त सभी")</f>
        <v>A) समन्वय अभ्यास, B) साथी अभ्यास, C) कौशल-विशिष्ट अभ्यास, D) उपरोक्त सभी</v>
      </c>
      <c r="K208" s="8" t="str">
        <f>IFERROR(__xludf.DUMMYFUNCTION("GOOGLETRANSLATE(E208, ""en"", ""hi"")"),"D। उपरोक्त सभी")</f>
        <v>D। उपरोक्त सभी</v>
      </c>
    </row>
    <row r="209" ht="22.5" customHeight="1">
      <c r="A209" s="2">
        <v>208.0</v>
      </c>
      <c r="B209" s="3"/>
      <c r="C209" s="3" t="s">
        <v>5719</v>
      </c>
      <c r="D209" s="3" t="s">
        <v>5720</v>
      </c>
      <c r="E209" s="3" t="s">
        <v>1873</v>
      </c>
      <c r="G209" s="8" t="str">
        <f>IFERROR(__xludf.DUMMYFUNCTION("GOOGLETRANSLATE(A209, ""en"", ""hi"")"),"208")</f>
        <v>208</v>
      </c>
      <c r="H209" s="8" t="str">
        <f>IFERROR(__xludf.DUMMYFUNCTION("GOOGLETRANSLATE(B209, ""en"", ""hi"")"),"#VALUE!")</f>
        <v>#VALUE!</v>
      </c>
      <c r="I209" s="8" t="str">
        <f>IFERROR(__xludf.DUMMYFUNCTION("GOOGLETRANSLATE(C209, ""en"", ""hi"")"),"मुक्ना में, हृदय-संवहनी सहनशक्ति में सुधार के लिए अनुशंसित विधि क्या है?")</f>
        <v>मुक्ना में, हृदय-संवहनी सहनशक्ति में सुधार के लिए अनुशंसित विधि क्या है?</v>
      </c>
      <c r="J209" s="8" t="str">
        <f>IFERROR(__xludf.DUMMYFUNCTION("GOOGLETRANSLATE(D209, ""en"", ""hi"")"),"A) अंतराल प्रशिक्षण, B) निरंतर कार्डियो, C) सर्किट प्रशिक्षण, D) उपरोक्त सभी")</f>
        <v>A) अंतराल प्रशिक्षण, B) निरंतर कार्डियो, C) सर्किट प्रशिक्षण, D) उपरोक्त सभी</v>
      </c>
      <c r="K209" s="8" t="str">
        <f>IFERROR(__xludf.DUMMYFUNCTION("GOOGLETRANSLATE(E209, ""en"", ""hi"")"),"D। उपरोक्त सभी")</f>
        <v>D। उपरोक्त सभी</v>
      </c>
    </row>
    <row r="210" ht="22.5" customHeight="1">
      <c r="A210" s="2">
        <v>209.0</v>
      </c>
      <c r="B210" s="3"/>
      <c r="C210" s="3" t="s">
        <v>5721</v>
      </c>
      <c r="D210" s="3" t="s">
        <v>5722</v>
      </c>
      <c r="E210" s="3" t="s">
        <v>1873</v>
      </c>
      <c r="G210" s="8" t="str">
        <f>IFERROR(__xludf.DUMMYFUNCTION("GOOGLETRANSLATE(A210, ""en"", ""hi"")"),"209")</f>
        <v>209</v>
      </c>
      <c r="H210" s="8" t="str">
        <f>IFERROR(__xludf.DUMMYFUNCTION("GOOGLETRANSLATE(B210, ""en"", ""hi"")"),"#VALUE!")</f>
        <v>#VALUE!</v>
      </c>
      <c r="I210" s="8" t="str">
        <f>IFERROR(__xludf.DUMMYFUNCTION("GOOGLETRANSLATE(C210, ""en"", ""hi"")"),"मुकना में लचीलापन बढ़ाने का सामान्य तरीका क्या है?")</f>
        <v>मुकना में लचीलापन बढ़ाने का सामान्य तरीका क्या है?</v>
      </c>
      <c r="J210" s="8" t="str">
        <f>IFERROR(__xludf.DUMMYFUNCTION("GOOGLETRANSLATE(D210, ""en"", ""hi"")"),"A) स्ट्रेचिंग व्यायाम, B) योग, C) गतिशीलता अभ्यास, D) उपरोक्त सभी")</f>
        <v>A) स्ट्रेचिंग व्यायाम, B) योग, C) गतिशीलता अभ्यास, D) उपरोक्त सभी</v>
      </c>
      <c r="K210" s="8" t="str">
        <f>IFERROR(__xludf.DUMMYFUNCTION("GOOGLETRANSLATE(E210, ""en"", ""hi"")"),"D। उपरोक्त सभी")</f>
        <v>D। उपरोक्त सभी</v>
      </c>
    </row>
    <row r="211" ht="22.5" customHeight="1">
      <c r="A211" s="2">
        <v>210.0</v>
      </c>
      <c r="B211" s="3"/>
      <c r="C211" s="3" t="s">
        <v>5723</v>
      </c>
      <c r="D211" s="3" t="s">
        <v>5684</v>
      </c>
      <c r="E211" s="3" t="s">
        <v>1873</v>
      </c>
      <c r="G211" s="8" t="str">
        <f>IFERROR(__xludf.DUMMYFUNCTION("GOOGLETRANSLATE(A211, ""en"", ""hi"")"),"210")</f>
        <v>210</v>
      </c>
      <c r="H211" s="8" t="str">
        <f>IFERROR(__xludf.DUMMYFUNCTION("GOOGLETRANSLATE(B211, ""en"", ""hi"")"),"#VALUE!")</f>
        <v>#VALUE!</v>
      </c>
      <c r="I211" s="8" t="str">
        <f>IFERROR(__xludf.DUMMYFUNCTION("GOOGLETRANSLATE(C211, ""en"", ""hi"")"),"मुकना के अनुसार, ताकत बढ़ाने के लिए सामान्य अभ्यास क्या है?")</f>
        <v>मुकना के अनुसार, ताकत बढ़ाने के लिए सामान्य अभ्यास क्या है?</v>
      </c>
      <c r="J211" s="8" t="str">
        <f>IFERROR(__xludf.DUMMYFUNCTION("GOOGLETRANSLATE(D211, ""en"", ""hi"")"),"A) शक्ति प्रशिक्षण, B) शारीरिक भार व्यायाम, C) प्रतिरोध प्रशिक्षण, D) उपरोक्त सभी")</f>
        <v>A) शक्ति प्रशिक्षण, B) शारीरिक भार व्यायाम, C) प्रतिरोध प्रशिक्षण, D) उपरोक्त सभी</v>
      </c>
      <c r="K211" s="8" t="str">
        <f>IFERROR(__xludf.DUMMYFUNCTION("GOOGLETRANSLATE(E211, ""en"", ""hi"")"),"D। उपरोक्त सभी")</f>
        <v>D। उपरोक्त सभी</v>
      </c>
    </row>
    <row r="212" ht="22.5" customHeight="1">
      <c r="A212" s="2">
        <v>211.0</v>
      </c>
      <c r="B212" s="3"/>
      <c r="C212" s="3" t="s">
        <v>5724</v>
      </c>
      <c r="D212" s="3" t="s">
        <v>5725</v>
      </c>
      <c r="E212" s="3" t="s">
        <v>1873</v>
      </c>
      <c r="G212" s="8" t="str">
        <f>IFERROR(__xludf.DUMMYFUNCTION("GOOGLETRANSLATE(A212, ""en"", ""hi"")"),"211")</f>
        <v>211</v>
      </c>
      <c r="H212" s="8" t="str">
        <f>IFERROR(__xludf.DUMMYFUNCTION("GOOGLETRANSLATE(B212, ""en"", ""hi"")"),"#VALUE!")</f>
        <v>#VALUE!</v>
      </c>
      <c r="I212" s="8" t="str">
        <f>IFERROR(__xludf.DUMMYFUNCTION("GOOGLETRANSLATE(C212, ""en"", ""hi"")"),"मुकना में प्रतिक्रिया समय में सुधार के लिए एक सामान्य तकनीक क्या है?")</f>
        <v>मुकना में प्रतिक्रिया समय में सुधार के लिए एक सामान्य तकनीक क्या है?</v>
      </c>
      <c r="J212" s="8" t="str">
        <f>IFERROR(__xludf.DUMMYFUNCTION("GOOGLETRANSLATE(D212, ""en"", ""hi"")"),"A) रिफ्लेक्स ड्रिल, B) गति अभ्यास, C) प्रतिक्रिया प्रशिक्षण, D) उपरोक्त सभी")</f>
        <v>A) रिफ्लेक्स ड्रिल, B) गति अभ्यास, C) प्रतिक्रिया प्रशिक्षण, D) उपरोक्त सभी</v>
      </c>
      <c r="K212" s="8" t="str">
        <f>IFERROR(__xludf.DUMMYFUNCTION("GOOGLETRANSLATE(E212, ""en"", ""hi"")"),"D। उपरोक्त सभी")</f>
        <v>D। उपरोक्त सभी</v>
      </c>
    </row>
    <row r="213" ht="22.5" customHeight="1">
      <c r="A213" s="2">
        <v>212.0</v>
      </c>
      <c r="B213" s="3"/>
      <c r="C213" s="3" t="s">
        <v>5726</v>
      </c>
      <c r="D213" s="3" t="s">
        <v>5727</v>
      </c>
      <c r="E213" s="3" t="s">
        <v>1873</v>
      </c>
      <c r="G213" s="8" t="str">
        <f>IFERROR(__xludf.DUMMYFUNCTION("GOOGLETRANSLATE(A213, ""en"", ""hi"")"),"212")</f>
        <v>212</v>
      </c>
      <c r="H213" s="8" t="str">
        <f>IFERROR(__xludf.DUMMYFUNCTION("GOOGLETRANSLATE(B213, ""en"", ""hi"")"),"#VALUE!")</f>
        <v>#VALUE!</v>
      </c>
      <c r="I213" s="8" t="str">
        <f>IFERROR(__xludf.DUMMYFUNCTION("GOOGLETRANSLATE(C213, ""en"", ""hi"")"),"मुकना में मैच की तैयारी का एक विशिष्ट पहलू क्या है?")</f>
        <v>मुकना में मैच की तैयारी का एक विशिष्ट पहलू क्या है?</v>
      </c>
      <c r="J213" s="8" t="str">
        <f>IFERROR(__xludf.DUMMYFUNCTION("GOOGLETRANSLATE(D213, ""en"", ""hi"")"),"A) प्रतिद्वंद्वी रणनीतियों की समीक्षा करना, B) मानसिक कंडीशनिंग, C) शारीरिक प्रशिक्षण, D) उपरोक्त सभी")</f>
        <v>A) प्रतिद्वंद्वी रणनीतियों की समीक्षा करना, B) मानसिक कंडीशनिंग, C) शारीरिक प्रशिक्षण, D) उपरोक्त सभी</v>
      </c>
      <c r="K213" s="8" t="str">
        <f>IFERROR(__xludf.DUMMYFUNCTION("GOOGLETRANSLATE(E213, ""en"", ""hi"")"),"D। उपरोक्त सभी")</f>
        <v>D। उपरोक्त सभी</v>
      </c>
    </row>
    <row r="214" ht="22.5" customHeight="1">
      <c r="A214" s="2">
        <v>213.0</v>
      </c>
      <c r="B214" s="3"/>
      <c r="C214" s="3" t="s">
        <v>5728</v>
      </c>
      <c r="D214" s="3" t="s">
        <v>5729</v>
      </c>
      <c r="E214" s="3" t="s">
        <v>1873</v>
      </c>
      <c r="G214" s="8" t="str">
        <f>IFERROR(__xludf.DUMMYFUNCTION("GOOGLETRANSLATE(A214, ""en"", ""hi"")"),"213")</f>
        <v>213</v>
      </c>
      <c r="H214" s="8" t="str">
        <f>IFERROR(__xludf.DUMMYFUNCTION("GOOGLETRANSLATE(B214, ""en"", ""hi"")"),"#VALUE!")</f>
        <v>#VALUE!</v>
      </c>
      <c r="I214" s="8" t="str">
        <f>IFERROR(__xludf.DUMMYFUNCTION("GOOGLETRANSLATE(C214, ""en"", ""hi"")"),"मुकना के अनुसार, समग्र खेल समझ में सुधार के लिए सामान्य तरीका क्या है?")</f>
        <v>मुकना के अनुसार, समग्र खेल समझ में सुधार के लिए सामान्य तरीका क्या है?</v>
      </c>
      <c r="J214" s="8" t="str">
        <f>IFERROR(__xludf.DUMMYFUNCTION("GOOGLETRANSLATE(D214, ""en"", ""hi"")"),"ए) मैच सिमुलेशन, बी) फुटेज की समीक्षा, सी) कोचिंग फीडबैक, डी) उपरोक्त सभी")</f>
        <v>ए) मैच सिमुलेशन, बी) फुटेज की समीक्षा, सी) कोचिंग फीडबैक, डी) उपरोक्त सभी</v>
      </c>
      <c r="K214" s="8" t="str">
        <f>IFERROR(__xludf.DUMMYFUNCTION("GOOGLETRANSLATE(E214, ""en"", ""hi"")"),"D। उपरोक्त सभी")</f>
        <v>D। उपरोक्त सभी</v>
      </c>
    </row>
    <row r="215" ht="22.5" customHeight="1">
      <c r="A215" s="2">
        <v>214.0</v>
      </c>
      <c r="B215" s="3"/>
      <c r="C215" s="3" t="s">
        <v>5730</v>
      </c>
      <c r="D215" s="3" t="s">
        <v>5731</v>
      </c>
      <c r="E215" s="3" t="s">
        <v>1873</v>
      </c>
      <c r="G215" s="8" t="str">
        <f>IFERROR(__xludf.DUMMYFUNCTION("GOOGLETRANSLATE(A215, ""en"", ""hi"")"),"214")</f>
        <v>214</v>
      </c>
      <c r="H215" s="8" t="str">
        <f>IFERROR(__xludf.DUMMYFUNCTION("GOOGLETRANSLATE(B215, ""en"", ""hi"")"),"#VALUE!")</f>
        <v>#VALUE!</v>
      </c>
      <c r="I215" s="8" t="str">
        <f>IFERROR(__xludf.DUMMYFUNCTION("GOOGLETRANSLATE(C215, ""en"", ""hi"")"),"मुक्ना में चोट की रोकथाम के लिए अनुशंसित अभ्यास क्या है?")</f>
        <v>मुक्ना में चोट की रोकथाम के लिए अनुशंसित अभ्यास क्या है?</v>
      </c>
      <c r="J215" s="8" t="str">
        <f>IFERROR(__xludf.DUMMYFUNCTION("GOOGLETRANSLATE(D215, ""en"", ""hi"")"),"A) उचित वार्म-अप, B) तकनीक परिशोधन, C) रिकवरी रणनीतियाँ, D) उपरोक्त सभी")</f>
        <v>A) उचित वार्म-अप, B) तकनीक परिशोधन, C) रिकवरी रणनीतियाँ, D) उपरोक्त सभी</v>
      </c>
      <c r="K215" s="8" t="str">
        <f>IFERROR(__xludf.DUMMYFUNCTION("GOOGLETRANSLATE(E215, ""en"", ""hi"")"),"D। उपरोक्त सभी")</f>
        <v>D। उपरोक्त सभी</v>
      </c>
    </row>
    <row r="216" ht="22.5" customHeight="1">
      <c r="A216" s="2">
        <v>215.0</v>
      </c>
      <c r="B216" s="3"/>
      <c r="C216" s="3" t="s">
        <v>5732</v>
      </c>
      <c r="D216" s="3" t="s">
        <v>5733</v>
      </c>
      <c r="E216" s="3" t="s">
        <v>1873</v>
      </c>
      <c r="G216" s="8" t="str">
        <f>IFERROR(__xludf.DUMMYFUNCTION("GOOGLETRANSLATE(A216, ""en"", ""hi"")"),"215")</f>
        <v>215</v>
      </c>
      <c r="H216" s="8" t="str">
        <f>IFERROR(__xludf.DUMMYFUNCTION("GOOGLETRANSLATE(B216, ""en"", ""hi"")"),"#VALUE!")</f>
        <v>#VALUE!</v>
      </c>
      <c r="I216" s="8" t="str">
        <f>IFERROR(__xludf.DUMMYFUNCTION("GOOGLETRANSLATE(C216, ""en"", ""hi"")"),"मुकना में, प्रहार की सटीकता में सुधार के लिए एक विशिष्ट तकनीक क्या है?")</f>
        <v>मुकना में, प्रहार की सटीकता में सुधार के लिए एक विशिष्ट तकनीक क्या है?</v>
      </c>
      <c r="J216" s="8" t="str">
        <f>IFERROR(__xludf.DUMMYFUNCTION("GOOGLETRANSLATE(D216, ""en"", ""hi"")"),"A) लक्ष्य अभ्यास, B) परिशुद्धता प्रशिक्षण, C) तकनीक अभ्यास, D) उपरोक्त सभी")</f>
        <v>A) लक्ष्य अभ्यास, B) परिशुद्धता प्रशिक्षण, C) तकनीक अभ्यास, D) उपरोक्त सभी</v>
      </c>
      <c r="K216" s="8" t="str">
        <f>IFERROR(__xludf.DUMMYFUNCTION("GOOGLETRANSLATE(E216, ""en"", ""hi"")"),"D। उपरोक्त सभी")</f>
        <v>D। उपरोक्त सभी</v>
      </c>
    </row>
    <row r="217" ht="22.5" customHeight="1">
      <c r="A217" s="2">
        <v>216.0</v>
      </c>
      <c r="B217" s="3"/>
      <c r="C217" s="3" t="s">
        <v>5734</v>
      </c>
      <c r="D217" s="3" t="s">
        <v>5735</v>
      </c>
      <c r="E217" s="3" t="s">
        <v>1873</v>
      </c>
      <c r="G217" s="8" t="str">
        <f>IFERROR(__xludf.DUMMYFUNCTION("GOOGLETRANSLATE(A217, ""en"", ""hi"")"),"216")</f>
        <v>216</v>
      </c>
      <c r="H217" s="8" t="str">
        <f>IFERROR(__xludf.DUMMYFUNCTION("GOOGLETRANSLATE(B217, ""en"", ""hi"")"),"#VALUE!")</f>
        <v>#VALUE!</v>
      </c>
      <c r="I217" s="8" t="str">
        <f>IFERROR(__xludf.DUMMYFUNCTION("GOOGLETRANSLATE(C217, ""en"", ""hi"")"),"मुकना के अनुसार, रक्षात्मक तकनीकों को बढ़ाने के लिए सामान्य दृष्टिकोण क्या है?")</f>
        <v>मुकना के अनुसार, रक्षात्मक तकनीकों को बढ़ाने के लिए सामान्य दृष्टिकोण क्या है?</v>
      </c>
      <c r="J217" s="8" t="str">
        <f>IFERROR(__xludf.DUMMYFUNCTION("GOOGLETRANSLATE(D217, ""en"", ""hi"")"),"A) रक्षात्मक अभ्यास, B) जवाबी हमले, C) साथी अभ्यास, D) उपरोक्त सभी")</f>
        <v>A) रक्षात्मक अभ्यास, B) जवाबी हमले, C) साथी अभ्यास, D) उपरोक्त सभी</v>
      </c>
      <c r="K217" s="8" t="str">
        <f>IFERROR(__xludf.DUMMYFUNCTION("GOOGLETRANSLATE(E217, ""en"", ""hi"")"),"D। उपरोक्त सभी")</f>
        <v>D। उपरोक्त सभी</v>
      </c>
    </row>
    <row r="218" ht="22.5" customHeight="1">
      <c r="A218" s="2">
        <v>217.0</v>
      </c>
      <c r="B218" s="3"/>
      <c r="C218" s="3" t="s">
        <v>5736</v>
      </c>
      <c r="D218" s="3" t="s">
        <v>5737</v>
      </c>
      <c r="E218" s="3" t="s">
        <v>1873</v>
      </c>
      <c r="G218" s="8" t="str">
        <f>IFERROR(__xludf.DUMMYFUNCTION("GOOGLETRANSLATE(A218, ""en"", ""hi"")"),"217")</f>
        <v>217</v>
      </c>
      <c r="H218" s="8" t="str">
        <f>IFERROR(__xludf.DUMMYFUNCTION("GOOGLETRANSLATE(B218, ""en"", ""hi"")"),"#VALUE!")</f>
        <v>#VALUE!</v>
      </c>
      <c r="I218" s="8" t="str">
        <f>IFERROR(__xludf.DUMMYFUNCTION("GOOGLETRANSLATE(C218, ""en"", ""hi"")"),"मुकना में मानसिक कंडीशनिंग का एक विशिष्ट पहलू क्या है?")</f>
        <v>मुकना में मानसिक कंडीशनिंग का एक विशिष्ट पहलू क्या है?</v>
      </c>
      <c r="J218" s="8" t="str">
        <f>IFERROR(__xludf.DUMMYFUNCTION("GOOGLETRANSLATE(D218, ""en"", ""hi"")"),"A) विज़ुअलाइज़ेशन, B) विश्राम तकनीक, C) फोकस प्रशिक्षण, D) उपरोक्त सभी")</f>
        <v>A) विज़ुअलाइज़ेशन, B) विश्राम तकनीक, C) फोकस प्रशिक्षण, D) उपरोक्त सभी</v>
      </c>
      <c r="K218" s="8" t="str">
        <f>IFERROR(__xludf.DUMMYFUNCTION("GOOGLETRANSLATE(E218, ""en"", ""hi"")"),"D। उपरोक्त सभी")</f>
        <v>D। उपरोक्त सभी</v>
      </c>
    </row>
    <row r="219" ht="22.5" customHeight="1">
      <c r="A219" s="2">
        <v>218.0</v>
      </c>
      <c r="B219" s="3"/>
      <c r="C219" s="3" t="s">
        <v>5738</v>
      </c>
      <c r="D219" s="3" t="s">
        <v>5739</v>
      </c>
      <c r="E219" s="3" t="s">
        <v>1873</v>
      </c>
      <c r="G219" s="8" t="str">
        <f>IFERROR(__xludf.DUMMYFUNCTION("GOOGLETRANSLATE(A219, ""en"", ""hi"")"),"218")</f>
        <v>218</v>
      </c>
      <c r="H219" s="8" t="str">
        <f>IFERROR(__xludf.DUMMYFUNCTION("GOOGLETRANSLATE(B219, ""en"", ""hi"")"),"#VALUE!")</f>
        <v>#VALUE!</v>
      </c>
      <c r="I219" s="8" t="str">
        <f>IFERROR(__xludf.DUMMYFUNCTION("GOOGLETRANSLATE(C219, ""en"", ""hi"")"),"मुकना में समग्र फिटनेस में सुधार करने का एक सामान्य तरीका क्या है?")</f>
        <v>मुकना में समग्र फिटनेस में सुधार करने का एक सामान्य तरीका क्या है?</v>
      </c>
      <c r="J219" s="8" t="str">
        <f>IFERROR(__xludf.DUMMYFUNCTION("GOOGLETRANSLATE(D219, ""en"", ""hi"")"),"A) क्रॉस-ट्रेनिंग, B) स्ट्रेंथ ट्रेनिंग, C) कंडीशनिंग एक्सरसाइज, D) उपरोक्त सभी")</f>
        <v>A) क्रॉस-ट्रेनिंग, B) स्ट्रेंथ ट्रेनिंग, C) कंडीशनिंग एक्सरसाइज, D) उपरोक्त सभी</v>
      </c>
      <c r="K219" s="8" t="str">
        <f>IFERROR(__xludf.DUMMYFUNCTION("GOOGLETRANSLATE(E219, ""en"", ""hi"")"),"D। उपरोक्त सभी")</f>
        <v>D। उपरोक्त सभी</v>
      </c>
    </row>
    <row r="220" ht="22.5" customHeight="1">
      <c r="A220" s="2">
        <v>219.0</v>
      </c>
      <c r="B220" s="3"/>
      <c r="C220" s="3" t="s">
        <v>5740</v>
      </c>
      <c r="D220" s="3" t="s">
        <v>5741</v>
      </c>
      <c r="E220" s="3" t="s">
        <v>1873</v>
      </c>
      <c r="G220" s="8" t="str">
        <f>IFERROR(__xludf.DUMMYFUNCTION("GOOGLETRANSLATE(A220, ""en"", ""hi"")"),"219")</f>
        <v>219</v>
      </c>
      <c r="H220" s="8" t="str">
        <f>IFERROR(__xludf.DUMMYFUNCTION("GOOGLETRANSLATE(B220, ""en"", ""hi"")"),"#VALUE!")</f>
        <v>#VALUE!</v>
      </c>
      <c r="I220" s="8" t="str">
        <f>IFERROR(__xludf.DUMMYFUNCTION("GOOGLETRANSLATE(C220, ""en"", ""hi"")"),"मुकना के अनुसार, मैच में सहनशक्ति बढ़ाने के लिए सामान्य तरीका क्या है?")</f>
        <v>मुकना के अनुसार, मैच में सहनशक्ति बढ़ाने के लिए सामान्य तरीका क्या है?</v>
      </c>
      <c r="J220" s="8" t="str">
        <f>IFERROR(__xludf.DUMMYFUNCTION("GOOGLETRANSLATE(D220, ""en"", ""hi"")"),"A) धीरज प्रशिक्षण, B) अंतराल वर्कआउट, C) रिकवरी रणनीतियाँ, D) उपरोक्त सभी")</f>
        <v>A) धीरज प्रशिक्षण, B) अंतराल वर्कआउट, C) रिकवरी रणनीतियाँ, D) उपरोक्त सभी</v>
      </c>
      <c r="K220" s="8" t="str">
        <f>IFERROR(__xludf.DUMMYFUNCTION("GOOGLETRANSLATE(E220, ""en"", ""hi"")"),"D। उपरोक्त सभी")</f>
        <v>D। उपरोक्त सभी</v>
      </c>
    </row>
    <row r="221" ht="22.5" customHeight="1">
      <c r="A221" s="2">
        <v>220.0</v>
      </c>
      <c r="B221" s="3"/>
      <c r="C221" s="3" t="s">
        <v>5742</v>
      </c>
      <c r="D221" s="3" t="s">
        <v>5743</v>
      </c>
      <c r="E221" s="3" t="s">
        <v>1873</v>
      </c>
      <c r="G221" s="8" t="str">
        <f>IFERROR(__xludf.DUMMYFUNCTION("GOOGLETRANSLATE(A221, ""en"", ""hi"")"),"220")</f>
        <v>220</v>
      </c>
      <c r="H221" s="8" t="str">
        <f>IFERROR(__xludf.DUMMYFUNCTION("GOOGLETRANSLATE(B221, ""en"", ""hi"")"),"#VALUE!")</f>
        <v>#VALUE!</v>
      </c>
      <c r="I221" s="8" t="str">
        <f>IFERROR(__xludf.DUMMYFUNCTION("GOOGLETRANSLATE(C221, ""en"", ""hi"")"),"मुकना में ग्रैपलिंग कौशल को बढ़ाने के लिए एक सामान्य तकनीक क्या है?")</f>
        <v>मुकना में ग्रैपलिंग कौशल को बढ़ाने के लिए एक सामान्य तकनीक क्या है?</v>
      </c>
      <c r="J221" s="8" t="str">
        <f>IFERROR(__xludf.DUMMYFUNCTION("GOOGLETRANSLATE(D221, ""en"", ""hi"")"),"A) अभ्यास, B) तकनीक अभ्यास, C) स्पैरिंग, D) उपरोक्त सभी")</f>
        <v>A) अभ्यास, B) तकनीक अभ्यास, C) स्पैरिंग, D) उपरोक्त सभी</v>
      </c>
      <c r="K221" s="8" t="str">
        <f>IFERROR(__xludf.DUMMYFUNCTION("GOOGLETRANSLATE(E221, ""en"", ""hi"")"),"D। उपरोक्त सभी")</f>
        <v>D। उपरोक्त सभी</v>
      </c>
    </row>
    <row r="222" ht="22.5" customHeight="1">
      <c r="A222" s="2">
        <v>221.0</v>
      </c>
      <c r="B222" s="3"/>
      <c r="C222" s="3" t="s">
        <v>5744</v>
      </c>
      <c r="D222" s="3" t="s">
        <v>5745</v>
      </c>
      <c r="E222" s="3" t="s">
        <v>1873</v>
      </c>
      <c r="G222" s="8" t="str">
        <f>IFERROR(__xludf.DUMMYFUNCTION("GOOGLETRANSLATE(A222, ""en"", ""hi"")"),"221")</f>
        <v>221</v>
      </c>
      <c r="H222" s="8" t="str">
        <f>IFERROR(__xludf.DUMMYFUNCTION("GOOGLETRANSLATE(B222, ""en"", ""hi"")"),"#VALUE!")</f>
        <v>#VALUE!</v>
      </c>
      <c r="I222" s="8" t="str">
        <f>IFERROR(__xludf.DUMMYFUNCTION("GOOGLETRANSLATE(C222, ""en"", ""hi"")"),"मुकना में रणनीतिक योजना में सुधार के लिए अनुशंसित अभ्यास क्या है?")</f>
        <v>मुकना में रणनीतिक योजना में सुधार के लिए अनुशंसित अभ्यास क्या है?</v>
      </c>
      <c r="J222" s="8" t="str">
        <f>IFERROR(__xludf.DUMMYFUNCTION("GOOGLETRANSLATE(D222, ""en"", ""hi"")"),"A) रणनीति की समीक्षा, B) रणनीति अभ्यास, C) विशेषज्ञ प्रतिक्रिया, D) उपरोक्त सभी")</f>
        <v>A) रणनीति की समीक्षा, B) रणनीति अभ्यास, C) विशेषज्ञ प्रतिक्रिया, D) उपरोक्त सभी</v>
      </c>
      <c r="K222" s="8" t="str">
        <f>IFERROR(__xludf.DUMMYFUNCTION("GOOGLETRANSLATE(E222, ""en"", ""hi"")"),"D। उपरोक्त सभी")</f>
        <v>D। उपरोक्त सभी</v>
      </c>
    </row>
    <row r="223">
      <c r="A223" s="9"/>
      <c r="B223" s="5"/>
      <c r="C223" s="5"/>
      <c r="D223" s="5"/>
      <c r="E223" s="5"/>
    </row>
    <row r="224">
      <c r="A224" s="9"/>
      <c r="B224" s="5"/>
      <c r="C224" s="5"/>
      <c r="D224" s="5"/>
      <c r="E224" s="5"/>
    </row>
    <row r="225">
      <c r="A225" s="9"/>
      <c r="B225" s="5"/>
      <c r="C225" s="5"/>
      <c r="D225" s="5"/>
      <c r="E225" s="5"/>
    </row>
    <row r="226">
      <c r="A226" s="9"/>
      <c r="B226" s="5"/>
      <c r="C226" s="5"/>
      <c r="D226" s="5"/>
      <c r="E226" s="5"/>
    </row>
    <row r="227">
      <c r="A227" s="9"/>
      <c r="B227" s="5"/>
      <c r="C227" s="5"/>
      <c r="D227" s="5"/>
      <c r="E227" s="5"/>
    </row>
    <row r="228">
      <c r="A228" s="9"/>
      <c r="B228" s="5"/>
      <c r="C228" s="5"/>
      <c r="D228" s="5"/>
      <c r="E228" s="5"/>
    </row>
    <row r="229">
      <c r="A229" s="9"/>
      <c r="B229" s="5"/>
      <c r="C229" s="5"/>
      <c r="D229" s="5"/>
      <c r="E229" s="5"/>
    </row>
    <row r="230">
      <c r="A230" s="9"/>
      <c r="B230" s="5"/>
      <c r="C230" s="5"/>
      <c r="D230" s="5"/>
      <c r="E230" s="5"/>
    </row>
    <row r="231">
      <c r="A231" s="9"/>
      <c r="B231" s="5"/>
      <c r="C231" s="5"/>
      <c r="D231" s="5"/>
      <c r="E231" s="5"/>
    </row>
    <row r="232">
      <c r="A232" s="9"/>
      <c r="B232" s="5"/>
      <c r="C232" s="5"/>
      <c r="D232" s="5"/>
      <c r="E232" s="5"/>
    </row>
    <row r="233">
      <c r="A233" s="9"/>
      <c r="B233" s="5"/>
      <c r="C233" s="5"/>
      <c r="D233" s="5"/>
      <c r="E233" s="5"/>
    </row>
    <row r="234">
      <c r="A234" s="9"/>
      <c r="B234" s="5"/>
      <c r="C234" s="5"/>
      <c r="D234" s="5"/>
      <c r="E234" s="5"/>
    </row>
    <row r="235">
      <c r="A235" s="9"/>
      <c r="B235" s="5"/>
      <c r="C235" s="5"/>
      <c r="D235" s="5"/>
      <c r="E235" s="5"/>
    </row>
    <row r="236">
      <c r="A236" s="9"/>
      <c r="B236" s="5"/>
      <c r="C236" s="5"/>
      <c r="D236" s="5"/>
      <c r="E236" s="5"/>
    </row>
    <row r="237">
      <c r="A237" s="9"/>
      <c r="B237" s="5"/>
      <c r="C237" s="5"/>
      <c r="D237" s="5"/>
      <c r="E237" s="5"/>
    </row>
    <row r="238">
      <c r="A238" s="9"/>
      <c r="B238" s="5"/>
      <c r="C238" s="5"/>
      <c r="D238" s="5"/>
      <c r="E238" s="5"/>
    </row>
    <row r="239">
      <c r="A239" s="9"/>
      <c r="B239" s="5"/>
      <c r="C239" s="5"/>
      <c r="D239" s="5"/>
      <c r="E239" s="5"/>
    </row>
    <row r="240">
      <c r="A240" s="9"/>
      <c r="B240" s="5"/>
      <c r="C240" s="5"/>
      <c r="D240" s="5"/>
      <c r="E240" s="5"/>
    </row>
    <row r="241">
      <c r="A241" s="9"/>
      <c r="B241" s="5"/>
      <c r="C241" s="5"/>
      <c r="D241" s="5"/>
      <c r="E241" s="5"/>
    </row>
    <row r="242">
      <c r="A242" s="9"/>
      <c r="B242" s="5"/>
      <c r="C242" s="5"/>
      <c r="D242" s="5"/>
      <c r="E242" s="5"/>
    </row>
    <row r="243">
      <c r="A243" s="9"/>
      <c r="B243" s="5"/>
      <c r="C243" s="5"/>
      <c r="D243" s="5"/>
      <c r="E243" s="5"/>
    </row>
    <row r="244">
      <c r="A244" s="9"/>
      <c r="B244" s="5"/>
      <c r="C244" s="5"/>
      <c r="D244" s="5"/>
      <c r="E244" s="5"/>
    </row>
    <row r="245">
      <c r="A245" s="9"/>
      <c r="B245" s="5"/>
      <c r="C245" s="5"/>
      <c r="D245" s="5"/>
      <c r="E245" s="5"/>
    </row>
    <row r="246">
      <c r="A246" s="9"/>
      <c r="B246" s="5"/>
      <c r="C246" s="5"/>
      <c r="D246" s="5"/>
      <c r="E246" s="5"/>
    </row>
    <row r="247">
      <c r="A247" s="9"/>
      <c r="B247" s="5"/>
      <c r="C247" s="5"/>
      <c r="D247" s="5"/>
      <c r="E247" s="5"/>
    </row>
    <row r="248">
      <c r="A248" s="9"/>
      <c r="B248" s="5"/>
      <c r="C248" s="5"/>
      <c r="D248" s="5"/>
      <c r="E248" s="5"/>
    </row>
    <row r="249">
      <c r="A249" s="9"/>
      <c r="B249" s="5"/>
      <c r="C249" s="5"/>
      <c r="D249" s="5"/>
      <c r="E249" s="5"/>
    </row>
    <row r="250">
      <c r="A250" s="9"/>
      <c r="B250" s="5"/>
      <c r="C250" s="5"/>
      <c r="D250" s="5"/>
      <c r="E250" s="5"/>
    </row>
    <row r="251">
      <c r="A251" s="9"/>
      <c r="B251" s="5"/>
      <c r="C251" s="5"/>
      <c r="D251" s="5"/>
      <c r="E251" s="5"/>
    </row>
    <row r="252">
      <c r="A252" s="9"/>
      <c r="B252" s="5"/>
      <c r="C252" s="5"/>
      <c r="D252" s="5"/>
      <c r="E252" s="5"/>
    </row>
    <row r="253">
      <c r="A253" s="9"/>
      <c r="B253" s="5"/>
      <c r="C253" s="5"/>
      <c r="D253" s="5"/>
      <c r="E253" s="5"/>
    </row>
    <row r="254">
      <c r="A254" s="9"/>
      <c r="B254" s="5"/>
      <c r="C254" s="5"/>
      <c r="D254" s="5"/>
      <c r="E254" s="5"/>
    </row>
    <row r="255">
      <c r="A255" s="9"/>
      <c r="B255" s="5"/>
      <c r="C255" s="5"/>
      <c r="D255" s="5"/>
      <c r="E255" s="5"/>
    </row>
    <row r="256">
      <c r="A256" s="9"/>
      <c r="B256" s="5"/>
      <c r="C256" s="5"/>
      <c r="D256" s="5"/>
      <c r="E256" s="5"/>
    </row>
    <row r="257">
      <c r="A257" s="9"/>
      <c r="B257" s="5"/>
      <c r="C257" s="5"/>
      <c r="D257" s="5"/>
      <c r="E257" s="5"/>
    </row>
    <row r="258">
      <c r="A258" s="9"/>
      <c r="B258" s="5"/>
      <c r="C258" s="5"/>
      <c r="D258" s="5"/>
      <c r="E258" s="5"/>
    </row>
    <row r="259">
      <c r="A259" s="9"/>
      <c r="B259" s="5"/>
      <c r="C259" s="5"/>
      <c r="D259" s="5"/>
      <c r="E259" s="5"/>
    </row>
    <row r="260">
      <c r="A260" s="9"/>
      <c r="B260" s="5"/>
      <c r="C260" s="5"/>
      <c r="D260" s="5"/>
      <c r="E260" s="5"/>
    </row>
    <row r="261">
      <c r="A261" s="9"/>
      <c r="B261" s="5"/>
      <c r="C261" s="5"/>
      <c r="D261" s="5"/>
      <c r="E261" s="5"/>
    </row>
    <row r="262">
      <c r="A262" s="9"/>
      <c r="B262" s="5"/>
      <c r="C262" s="5"/>
      <c r="D262" s="5"/>
      <c r="E262" s="5"/>
    </row>
    <row r="263">
      <c r="A263" s="9"/>
      <c r="B263" s="5"/>
      <c r="C263" s="5"/>
      <c r="D263" s="5"/>
      <c r="E263" s="5"/>
    </row>
    <row r="264">
      <c r="A264" s="9"/>
      <c r="B264" s="5"/>
      <c r="C264" s="5"/>
      <c r="D264" s="5"/>
      <c r="E264" s="5"/>
    </row>
    <row r="265">
      <c r="A265" s="9"/>
      <c r="B265" s="5"/>
      <c r="C265" s="5"/>
      <c r="D265" s="5"/>
      <c r="E265" s="5"/>
    </row>
    <row r="266">
      <c r="A266" s="9"/>
      <c r="B266" s="5"/>
      <c r="C266" s="5"/>
      <c r="D266" s="5"/>
      <c r="E266" s="5"/>
    </row>
    <row r="267">
      <c r="A267" s="9"/>
      <c r="B267" s="5"/>
      <c r="C267" s="5"/>
      <c r="D267" s="5"/>
      <c r="E267" s="5"/>
    </row>
    <row r="268">
      <c r="A268" s="9"/>
      <c r="B268" s="5"/>
      <c r="C268" s="5"/>
      <c r="D268" s="5"/>
      <c r="E268" s="5"/>
    </row>
    <row r="269">
      <c r="A269" s="9"/>
      <c r="B269" s="5"/>
      <c r="C269" s="5"/>
      <c r="D269" s="5"/>
      <c r="E269" s="5"/>
    </row>
    <row r="270">
      <c r="A270" s="9"/>
      <c r="B270" s="5"/>
      <c r="C270" s="5"/>
      <c r="D270" s="5"/>
      <c r="E270" s="5"/>
    </row>
    <row r="271">
      <c r="A271" s="9"/>
      <c r="B271" s="5"/>
      <c r="C271" s="5"/>
      <c r="D271" s="5"/>
      <c r="E271" s="5"/>
    </row>
    <row r="272">
      <c r="A272" s="9"/>
      <c r="B272" s="5"/>
      <c r="C272" s="5"/>
      <c r="D272" s="5"/>
      <c r="E272" s="5"/>
    </row>
    <row r="273">
      <c r="A273" s="9"/>
      <c r="B273" s="5"/>
      <c r="C273" s="5"/>
      <c r="D273" s="5"/>
      <c r="E273" s="5"/>
    </row>
    <row r="274">
      <c r="A274" s="9"/>
      <c r="B274" s="5"/>
      <c r="C274" s="5"/>
      <c r="D274" s="5"/>
      <c r="E274" s="5"/>
    </row>
    <row r="275">
      <c r="A275" s="9"/>
      <c r="B275" s="5"/>
      <c r="C275" s="5"/>
      <c r="D275" s="5"/>
      <c r="E275" s="5"/>
    </row>
    <row r="276">
      <c r="A276" s="9"/>
      <c r="B276" s="5"/>
      <c r="C276" s="5"/>
      <c r="D276" s="5"/>
      <c r="E276" s="5"/>
    </row>
    <row r="277">
      <c r="A277" s="9"/>
      <c r="B277" s="5"/>
      <c r="C277" s="5"/>
      <c r="D277" s="5"/>
      <c r="E277" s="5"/>
    </row>
    <row r="278">
      <c r="A278" s="9"/>
      <c r="B278" s="5"/>
      <c r="C278" s="5"/>
      <c r="D278" s="5"/>
      <c r="E278" s="5"/>
    </row>
    <row r="279">
      <c r="A279" s="9"/>
      <c r="B279" s="5"/>
      <c r="C279" s="5"/>
      <c r="D279" s="5"/>
      <c r="E279" s="5"/>
    </row>
    <row r="280">
      <c r="A280" s="9"/>
      <c r="B280" s="5"/>
      <c r="C280" s="5"/>
      <c r="D280" s="5"/>
      <c r="E280" s="5"/>
    </row>
    <row r="281">
      <c r="A281" s="9"/>
      <c r="B281" s="5"/>
      <c r="C281" s="5"/>
      <c r="D281" s="5"/>
      <c r="E281" s="5"/>
    </row>
    <row r="282">
      <c r="A282" s="9"/>
      <c r="B282" s="5"/>
      <c r="C282" s="5"/>
      <c r="D282" s="5"/>
      <c r="E282" s="5"/>
    </row>
    <row r="283">
      <c r="A283" s="9"/>
      <c r="B283" s="5"/>
      <c r="C283" s="5"/>
      <c r="D283" s="5"/>
      <c r="E283" s="5"/>
    </row>
    <row r="284">
      <c r="A284" s="9"/>
      <c r="B284" s="5"/>
      <c r="C284" s="5"/>
      <c r="D284" s="5"/>
      <c r="E284" s="5"/>
    </row>
    <row r="285">
      <c r="A285" s="9"/>
      <c r="B285" s="5"/>
      <c r="C285" s="5"/>
      <c r="D285" s="5"/>
      <c r="E285" s="5"/>
    </row>
    <row r="286">
      <c r="A286" s="9"/>
      <c r="B286" s="5"/>
      <c r="C286" s="5"/>
      <c r="D286" s="5"/>
      <c r="E286" s="5"/>
    </row>
    <row r="287">
      <c r="A287" s="9"/>
      <c r="B287" s="5"/>
      <c r="C287" s="5"/>
      <c r="D287" s="5"/>
      <c r="E287" s="5"/>
    </row>
    <row r="288">
      <c r="A288" s="9"/>
      <c r="B288" s="5"/>
      <c r="C288" s="5"/>
      <c r="D288" s="5"/>
      <c r="E288" s="5"/>
    </row>
    <row r="289">
      <c r="A289" s="9"/>
      <c r="B289" s="5"/>
      <c r="C289" s="5"/>
      <c r="D289" s="5"/>
      <c r="E289" s="5"/>
    </row>
    <row r="290">
      <c r="A290" s="9"/>
      <c r="B290" s="5"/>
      <c r="C290" s="5"/>
      <c r="D290" s="5"/>
      <c r="E290" s="5"/>
    </row>
    <row r="291">
      <c r="A291" s="9"/>
      <c r="B291" s="5"/>
      <c r="C291" s="5"/>
      <c r="D291" s="5"/>
      <c r="E291" s="5"/>
    </row>
    <row r="292">
      <c r="A292" s="9"/>
      <c r="B292" s="5"/>
      <c r="C292" s="5"/>
      <c r="D292" s="5"/>
      <c r="E292" s="5"/>
    </row>
    <row r="293">
      <c r="A293" s="9"/>
      <c r="B293" s="5"/>
      <c r="C293" s="5"/>
      <c r="D293" s="5"/>
      <c r="E293" s="5"/>
    </row>
    <row r="294">
      <c r="A294" s="9"/>
      <c r="B294" s="5"/>
      <c r="C294" s="5"/>
      <c r="D294" s="5"/>
      <c r="E294" s="5"/>
    </row>
    <row r="295">
      <c r="A295" s="9"/>
      <c r="B295" s="5"/>
      <c r="C295" s="5"/>
      <c r="D295" s="5"/>
      <c r="E295" s="5"/>
    </row>
    <row r="296">
      <c r="A296" s="9"/>
      <c r="B296" s="5"/>
      <c r="C296" s="5"/>
      <c r="D296" s="5"/>
      <c r="E296" s="5"/>
    </row>
    <row r="297">
      <c r="A297" s="9"/>
      <c r="B297" s="5"/>
      <c r="C297" s="5"/>
      <c r="D297" s="5"/>
      <c r="E297" s="5"/>
    </row>
    <row r="298">
      <c r="A298" s="9"/>
      <c r="B298" s="5"/>
      <c r="C298" s="5"/>
      <c r="D298" s="5"/>
      <c r="E298" s="5"/>
    </row>
    <row r="299">
      <c r="A299" s="9"/>
      <c r="B299" s="5"/>
      <c r="C299" s="5"/>
      <c r="D299" s="5"/>
      <c r="E299" s="5"/>
    </row>
    <row r="300">
      <c r="A300" s="9"/>
      <c r="B300" s="5"/>
      <c r="C300" s="5"/>
      <c r="D300" s="5"/>
      <c r="E300" s="5"/>
    </row>
    <row r="301">
      <c r="A301" s="9"/>
      <c r="B301" s="5"/>
      <c r="C301" s="5"/>
      <c r="D301" s="5"/>
      <c r="E301" s="5"/>
    </row>
    <row r="302">
      <c r="A302" s="9"/>
      <c r="B302" s="5"/>
      <c r="C302" s="5"/>
      <c r="D302" s="5"/>
      <c r="E302" s="5"/>
    </row>
    <row r="303">
      <c r="A303" s="9"/>
      <c r="B303" s="5"/>
      <c r="C303" s="5"/>
      <c r="D303" s="5"/>
      <c r="E303" s="5"/>
    </row>
    <row r="304">
      <c r="A304" s="9"/>
      <c r="B304" s="5"/>
      <c r="C304" s="5"/>
      <c r="D304" s="5"/>
      <c r="E304" s="5"/>
    </row>
    <row r="305">
      <c r="A305" s="9"/>
      <c r="B305" s="5"/>
      <c r="C305" s="5"/>
      <c r="D305" s="5"/>
      <c r="E305" s="5"/>
    </row>
    <row r="306">
      <c r="A306" s="9"/>
      <c r="B306" s="5"/>
      <c r="C306" s="5"/>
      <c r="D306" s="5"/>
      <c r="E306" s="5"/>
    </row>
    <row r="307">
      <c r="A307" s="9"/>
      <c r="B307" s="5"/>
      <c r="C307" s="5"/>
      <c r="D307" s="5"/>
      <c r="E307" s="5"/>
    </row>
    <row r="308">
      <c r="A308" s="9"/>
      <c r="B308" s="5"/>
      <c r="C308" s="5"/>
      <c r="D308" s="5"/>
      <c r="E308" s="5"/>
    </row>
    <row r="309">
      <c r="A309" s="9"/>
      <c r="B309" s="5"/>
      <c r="C309" s="5"/>
      <c r="D309" s="5"/>
      <c r="E309" s="5"/>
    </row>
    <row r="310">
      <c r="A310" s="9"/>
      <c r="B310" s="5"/>
      <c r="C310" s="5"/>
      <c r="D310" s="5"/>
      <c r="E310" s="5"/>
    </row>
    <row r="311">
      <c r="A311" s="9"/>
      <c r="B311" s="5"/>
      <c r="C311" s="5"/>
      <c r="D311" s="5"/>
      <c r="E311" s="5"/>
    </row>
    <row r="312">
      <c r="A312" s="9"/>
      <c r="B312" s="5"/>
      <c r="C312" s="5"/>
      <c r="D312" s="5"/>
      <c r="E312" s="5"/>
    </row>
    <row r="313">
      <c r="A313" s="9"/>
      <c r="B313" s="5"/>
      <c r="C313" s="5"/>
      <c r="D313" s="5"/>
      <c r="E313" s="5"/>
    </row>
    <row r="314">
      <c r="A314" s="9"/>
      <c r="B314" s="5"/>
      <c r="C314" s="5"/>
      <c r="D314" s="5"/>
      <c r="E314" s="5"/>
    </row>
    <row r="315">
      <c r="A315" s="9"/>
      <c r="B315" s="5"/>
      <c r="C315" s="5"/>
      <c r="D315" s="5"/>
      <c r="E315" s="5"/>
    </row>
    <row r="316">
      <c r="A316" s="9"/>
      <c r="B316" s="5"/>
      <c r="C316" s="5"/>
      <c r="D316" s="5"/>
      <c r="E316" s="5"/>
    </row>
    <row r="317">
      <c r="A317" s="9"/>
      <c r="B317" s="5"/>
      <c r="C317" s="5"/>
      <c r="D317" s="5"/>
      <c r="E317" s="5"/>
    </row>
    <row r="318">
      <c r="A318" s="9"/>
      <c r="B318" s="5"/>
      <c r="C318" s="5"/>
      <c r="D318" s="5"/>
      <c r="E318" s="5"/>
    </row>
    <row r="319">
      <c r="A319" s="9"/>
      <c r="B319" s="5"/>
      <c r="C319" s="5"/>
      <c r="D319" s="5"/>
      <c r="E319" s="5"/>
    </row>
    <row r="320">
      <c r="A320" s="9"/>
      <c r="B320" s="5"/>
      <c r="C320" s="5"/>
      <c r="D320" s="5"/>
      <c r="E320" s="5"/>
    </row>
    <row r="321">
      <c r="A321" s="9"/>
      <c r="B321" s="5"/>
      <c r="C321" s="5"/>
      <c r="D321" s="5"/>
      <c r="E321" s="5"/>
    </row>
    <row r="322">
      <c r="A322" s="9"/>
      <c r="B322" s="5"/>
      <c r="C322" s="5"/>
      <c r="D322" s="5"/>
      <c r="E322" s="5"/>
    </row>
    <row r="323">
      <c r="A323" s="9"/>
      <c r="B323" s="5"/>
      <c r="C323" s="5"/>
      <c r="D323" s="5"/>
      <c r="E323" s="5"/>
    </row>
    <row r="324">
      <c r="A324" s="9"/>
      <c r="B324" s="5"/>
      <c r="C324" s="5"/>
      <c r="D324" s="5"/>
      <c r="E324" s="5"/>
    </row>
    <row r="325">
      <c r="A325" s="9"/>
      <c r="B325" s="5"/>
      <c r="C325" s="5"/>
      <c r="D325" s="5"/>
      <c r="E325" s="5"/>
    </row>
    <row r="326">
      <c r="A326" s="9"/>
      <c r="B326" s="5"/>
      <c r="C326" s="5"/>
      <c r="D326" s="5"/>
      <c r="E326" s="5"/>
    </row>
    <row r="327">
      <c r="A327" s="9"/>
      <c r="B327" s="5"/>
      <c r="C327" s="5"/>
      <c r="D327" s="5"/>
      <c r="E327" s="5"/>
    </row>
    <row r="328">
      <c r="A328" s="9"/>
      <c r="B328" s="5"/>
      <c r="C328" s="5"/>
      <c r="D328" s="5"/>
      <c r="E328" s="5"/>
    </row>
    <row r="329">
      <c r="A329" s="9"/>
      <c r="B329" s="5"/>
      <c r="C329" s="5"/>
      <c r="D329" s="5"/>
      <c r="E329" s="5"/>
    </row>
    <row r="330">
      <c r="A330" s="9"/>
      <c r="B330" s="5"/>
      <c r="C330" s="5"/>
      <c r="D330" s="5"/>
      <c r="E330" s="5"/>
    </row>
    <row r="331">
      <c r="A331" s="9"/>
      <c r="B331" s="5"/>
      <c r="C331" s="5"/>
      <c r="D331" s="5"/>
      <c r="E331" s="5"/>
    </row>
    <row r="332">
      <c r="A332" s="9"/>
      <c r="B332" s="5"/>
      <c r="C332" s="5"/>
      <c r="D332" s="5"/>
      <c r="E332" s="5"/>
    </row>
    <row r="333">
      <c r="A333" s="9"/>
      <c r="B333" s="5"/>
      <c r="C333" s="5"/>
      <c r="D333" s="5"/>
      <c r="E333" s="5"/>
    </row>
    <row r="334">
      <c r="A334" s="9"/>
      <c r="B334" s="5"/>
      <c r="C334" s="5"/>
      <c r="D334" s="5"/>
      <c r="E334" s="5"/>
    </row>
    <row r="335">
      <c r="A335" s="9"/>
      <c r="B335" s="5"/>
      <c r="C335" s="5"/>
      <c r="D335" s="5"/>
      <c r="E335" s="5"/>
    </row>
    <row r="336">
      <c r="A336" s="9"/>
      <c r="B336" s="5"/>
      <c r="C336" s="5"/>
      <c r="D336" s="5"/>
      <c r="E336" s="5"/>
    </row>
    <row r="337">
      <c r="A337" s="9"/>
      <c r="B337" s="5"/>
      <c r="C337" s="5"/>
      <c r="D337" s="5"/>
      <c r="E337" s="5"/>
    </row>
    <row r="338">
      <c r="A338" s="9"/>
      <c r="B338" s="5"/>
      <c r="C338" s="5"/>
      <c r="D338" s="5"/>
      <c r="E338" s="5"/>
    </row>
    <row r="339">
      <c r="A339" s="9"/>
      <c r="B339" s="5"/>
      <c r="C339" s="5"/>
      <c r="D339" s="5"/>
      <c r="E339" s="5"/>
    </row>
    <row r="340">
      <c r="A340" s="9"/>
      <c r="B340" s="5"/>
      <c r="C340" s="5"/>
      <c r="D340" s="5"/>
      <c r="E340" s="5"/>
    </row>
    <row r="341">
      <c r="A341" s="9"/>
      <c r="B341" s="5"/>
      <c r="C341" s="5"/>
      <c r="D341" s="5"/>
      <c r="E341" s="5"/>
    </row>
    <row r="342">
      <c r="A342" s="9"/>
      <c r="B342" s="5"/>
      <c r="C342" s="5"/>
      <c r="D342" s="5"/>
      <c r="E342" s="5"/>
    </row>
    <row r="343">
      <c r="A343" s="9"/>
      <c r="B343" s="5"/>
      <c r="C343" s="5"/>
      <c r="D343" s="5"/>
      <c r="E343" s="5"/>
    </row>
    <row r="344">
      <c r="A344" s="9"/>
      <c r="B344" s="5"/>
      <c r="C344" s="5"/>
      <c r="D344" s="5"/>
      <c r="E344" s="5"/>
    </row>
    <row r="345">
      <c r="A345" s="9"/>
      <c r="B345" s="5"/>
      <c r="C345" s="5"/>
      <c r="D345" s="5"/>
      <c r="E345" s="5"/>
    </row>
    <row r="346">
      <c r="A346" s="9"/>
      <c r="B346" s="5"/>
      <c r="C346" s="5"/>
      <c r="D346" s="5"/>
      <c r="E346" s="5"/>
    </row>
    <row r="347">
      <c r="A347" s="9"/>
      <c r="B347" s="5"/>
      <c r="C347" s="5"/>
      <c r="D347" s="5"/>
      <c r="E347" s="5"/>
    </row>
    <row r="348">
      <c r="A348" s="9"/>
      <c r="B348" s="5"/>
      <c r="C348" s="5"/>
      <c r="D348" s="5"/>
      <c r="E348" s="5"/>
    </row>
    <row r="349">
      <c r="A349" s="9"/>
      <c r="B349" s="5"/>
      <c r="C349" s="5"/>
      <c r="D349" s="5"/>
      <c r="E349" s="5"/>
    </row>
    <row r="350">
      <c r="A350" s="9"/>
      <c r="B350" s="5"/>
      <c r="C350" s="5"/>
      <c r="D350" s="5"/>
      <c r="E350" s="5"/>
    </row>
    <row r="351">
      <c r="A351" s="9"/>
      <c r="B351" s="5"/>
      <c r="C351" s="5"/>
      <c r="D351" s="5"/>
      <c r="E351" s="5"/>
    </row>
    <row r="352">
      <c r="A352" s="9"/>
      <c r="B352" s="5"/>
      <c r="C352" s="5"/>
      <c r="D352" s="5"/>
      <c r="E352" s="5"/>
    </row>
    <row r="353">
      <c r="A353" s="9"/>
      <c r="B353" s="5"/>
      <c r="C353" s="5"/>
      <c r="D353" s="5"/>
      <c r="E353" s="5"/>
    </row>
    <row r="354">
      <c r="A354" s="9"/>
      <c r="B354" s="5"/>
      <c r="C354" s="5"/>
      <c r="D354" s="5"/>
      <c r="E354" s="5"/>
    </row>
    <row r="355">
      <c r="A355" s="9"/>
      <c r="B355" s="5"/>
      <c r="C355" s="5"/>
      <c r="D355" s="5"/>
      <c r="E355" s="5"/>
    </row>
    <row r="356">
      <c r="A356" s="9"/>
      <c r="B356" s="5"/>
      <c r="C356" s="5"/>
      <c r="D356" s="5"/>
      <c r="E356" s="5"/>
    </row>
    <row r="357">
      <c r="A357" s="9"/>
      <c r="B357" s="5"/>
      <c r="C357" s="5"/>
      <c r="D357" s="5"/>
      <c r="E357" s="5"/>
    </row>
    <row r="358">
      <c r="A358" s="9"/>
      <c r="B358" s="5"/>
      <c r="C358" s="5"/>
      <c r="D358" s="5"/>
      <c r="E358" s="5"/>
    </row>
    <row r="359">
      <c r="A359" s="9"/>
      <c r="B359" s="5"/>
      <c r="C359" s="5"/>
      <c r="D359" s="5"/>
      <c r="E359" s="5"/>
    </row>
    <row r="360">
      <c r="A360" s="9"/>
      <c r="B360" s="5"/>
      <c r="C360" s="5"/>
      <c r="D360" s="5"/>
      <c r="E360" s="5"/>
    </row>
    <row r="361">
      <c r="A361" s="9"/>
      <c r="B361" s="5"/>
      <c r="C361" s="5"/>
      <c r="D361" s="5"/>
      <c r="E361" s="5"/>
    </row>
    <row r="362">
      <c r="A362" s="9"/>
      <c r="B362" s="5"/>
      <c r="C362" s="5"/>
      <c r="D362" s="5"/>
      <c r="E362" s="5"/>
    </row>
    <row r="363">
      <c r="A363" s="9"/>
      <c r="B363" s="5"/>
      <c r="C363" s="5"/>
      <c r="D363" s="5"/>
      <c r="E363" s="5"/>
    </row>
    <row r="364">
      <c r="A364" s="9"/>
      <c r="B364" s="5"/>
      <c r="C364" s="5"/>
      <c r="D364" s="5"/>
      <c r="E364" s="5"/>
    </row>
    <row r="365">
      <c r="A365" s="9"/>
      <c r="B365" s="5"/>
      <c r="C365" s="5"/>
      <c r="D365" s="5"/>
      <c r="E365" s="5"/>
    </row>
    <row r="366">
      <c r="A366" s="9"/>
      <c r="B366" s="5"/>
      <c r="C366" s="5"/>
      <c r="D366" s="5"/>
      <c r="E366" s="5"/>
    </row>
    <row r="367">
      <c r="A367" s="9"/>
      <c r="B367" s="5"/>
      <c r="C367" s="5"/>
      <c r="D367" s="5"/>
      <c r="E367" s="5"/>
    </row>
    <row r="368">
      <c r="A368" s="9"/>
      <c r="B368" s="5"/>
      <c r="C368" s="5"/>
      <c r="D368" s="5"/>
      <c r="E368" s="5"/>
    </row>
    <row r="369">
      <c r="A369" s="9"/>
      <c r="B369" s="5"/>
      <c r="C369" s="5"/>
      <c r="D369" s="5"/>
      <c r="E369" s="5"/>
    </row>
    <row r="370">
      <c r="A370" s="9"/>
      <c r="B370" s="5"/>
      <c r="C370" s="5"/>
      <c r="D370" s="5"/>
      <c r="E370" s="5"/>
    </row>
    <row r="371">
      <c r="A371" s="9"/>
      <c r="B371" s="5"/>
      <c r="C371" s="5"/>
      <c r="D371" s="5"/>
      <c r="E371" s="5"/>
    </row>
    <row r="372">
      <c r="A372" s="9"/>
      <c r="B372" s="5"/>
      <c r="C372" s="5"/>
      <c r="D372" s="5"/>
      <c r="E372" s="5"/>
    </row>
    <row r="373">
      <c r="A373" s="9"/>
      <c r="B373" s="5"/>
      <c r="C373" s="5"/>
      <c r="D373" s="5"/>
      <c r="E373" s="5"/>
    </row>
    <row r="374">
      <c r="A374" s="9"/>
      <c r="B374" s="5"/>
      <c r="C374" s="5"/>
      <c r="D374" s="5"/>
      <c r="E374" s="5"/>
    </row>
    <row r="375">
      <c r="A375" s="9"/>
      <c r="B375" s="5"/>
      <c r="C375" s="5"/>
      <c r="D375" s="5"/>
      <c r="E375" s="5"/>
    </row>
    <row r="376">
      <c r="A376" s="9"/>
      <c r="B376" s="5"/>
      <c r="C376" s="5"/>
      <c r="D376" s="5"/>
      <c r="E376" s="5"/>
    </row>
    <row r="377">
      <c r="A377" s="9"/>
      <c r="B377" s="5"/>
      <c r="C377" s="5"/>
      <c r="D377" s="5"/>
      <c r="E377" s="5"/>
    </row>
    <row r="378">
      <c r="A378" s="9"/>
      <c r="B378" s="5"/>
      <c r="C378" s="5"/>
      <c r="D378" s="5"/>
      <c r="E378" s="5"/>
    </row>
    <row r="379">
      <c r="A379" s="9"/>
      <c r="B379" s="5"/>
      <c r="C379" s="5"/>
      <c r="D379" s="5"/>
      <c r="E379" s="5"/>
    </row>
    <row r="380">
      <c r="A380" s="9"/>
      <c r="B380" s="5"/>
      <c r="C380" s="5"/>
      <c r="D380" s="5"/>
      <c r="E380" s="5"/>
    </row>
    <row r="381">
      <c r="A381" s="9"/>
      <c r="B381" s="5"/>
      <c r="C381" s="5"/>
      <c r="D381" s="5"/>
      <c r="E381" s="5"/>
    </row>
    <row r="382">
      <c r="A382" s="9"/>
      <c r="B382" s="5"/>
      <c r="C382" s="5"/>
      <c r="D382" s="5"/>
      <c r="E382" s="5"/>
    </row>
    <row r="383">
      <c r="A383" s="9"/>
      <c r="B383" s="5"/>
      <c r="C383" s="5"/>
      <c r="D383" s="5"/>
      <c r="E383" s="5"/>
    </row>
    <row r="384">
      <c r="A384" s="9"/>
      <c r="B384" s="5"/>
      <c r="C384" s="5"/>
      <c r="D384" s="5"/>
      <c r="E384" s="5"/>
    </row>
    <row r="385">
      <c r="A385" s="9"/>
      <c r="B385" s="5"/>
      <c r="C385" s="5"/>
      <c r="D385" s="5"/>
      <c r="E385" s="5"/>
    </row>
    <row r="386">
      <c r="A386" s="9"/>
      <c r="B386" s="5"/>
      <c r="C386" s="5"/>
      <c r="D386" s="5"/>
      <c r="E386" s="5"/>
    </row>
    <row r="387">
      <c r="A387" s="9"/>
      <c r="B387" s="5"/>
      <c r="C387" s="5"/>
      <c r="D387" s="5"/>
      <c r="E387" s="5"/>
    </row>
    <row r="388">
      <c r="A388" s="9"/>
      <c r="B388" s="5"/>
      <c r="C388" s="5"/>
      <c r="D388" s="5"/>
      <c r="E388" s="5"/>
    </row>
    <row r="389">
      <c r="A389" s="9"/>
      <c r="B389" s="5"/>
      <c r="C389" s="5"/>
      <c r="D389" s="5"/>
      <c r="E389" s="5"/>
    </row>
    <row r="390">
      <c r="A390" s="9"/>
      <c r="B390" s="5"/>
      <c r="C390" s="5"/>
      <c r="D390" s="5"/>
      <c r="E390" s="5"/>
    </row>
    <row r="391">
      <c r="A391" s="9"/>
      <c r="B391" s="5"/>
      <c r="C391" s="5"/>
      <c r="D391" s="5"/>
      <c r="E391" s="5"/>
    </row>
    <row r="392">
      <c r="A392" s="9"/>
      <c r="B392" s="5"/>
      <c r="C392" s="5"/>
      <c r="D392" s="5"/>
      <c r="E392" s="5"/>
    </row>
    <row r="393">
      <c r="A393" s="9"/>
      <c r="B393" s="5"/>
      <c r="C393" s="5"/>
      <c r="D393" s="5"/>
      <c r="E393" s="5"/>
    </row>
    <row r="394">
      <c r="A394" s="9"/>
      <c r="B394" s="5"/>
      <c r="C394" s="5"/>
      <c r="D394" s="5"/>
      <c r="E394" s="5"/>
    </row>
    <row r="395">
      <c r="A395" s="9"/>
      <c r="B395" s="5"/>
      <c r="C395" s="5"/>
      <c r="D395" s="5"/>
      <c r="E395" s="5"/>
    </row>
    <row r="396">
      <c r="A396" s="9"/>
      <c r="B396" s="5"/>
      <c r="C396" s="5"/>
      <c r="D396" s="5"/>
      <c r="E396" s="5"/>
    </row>
    <row r="397">
      <c r="A397" s="9"/>
      <c r="B397" s="5"/>
      <c r="C397" s="5"/>
      <c r="D397" s="5"/>
      <c r="E397" s="5"/>
    </row>
    <row r="398">
      <c r="A398" s="9"/>
      <c r="B398" s="5"/>
      <c r="C398" s="5"/>
      <c r="D398" s="5"/>
      <c r="E398" s="5"/>
    </row>
    <row r="399">
      <c r="A399" s="9"/>
      <c r="B399" s="5"/>
      <c r="C399" s="5"/>
      <c r="D399" s="5"/>
      <c r="E399" s="5"/>
    </row>
    <row r="400">
      <c r="A400" s="9"/>
      <c r="B400" s="5"/>
      <c r="C400" s="5"/>
      <c r="D400" s="5"/>
      <c r="E400" s="5"/>
    </row>
    <row r="401">
      <c r="A401" s="9"/>
      <c r="B401" s="5"/>
      <c r="C401" s="5"/>
      <c r="D401" s="5"/>
      <c r="E401" s="5"/>
    </row>
    <row r="402">
      <c r="A402" s="9"/>
      <c r="B402" s="5"/>
      <c r="C402" s="5"/>
      <c r="D402" s="5"/>
      <c r="E402" s="5"/>
    </row>
    <row r="403">
      <c r="A403" s="9"/>
      <c r="B403" s="5"/>
      <c r="C403" s="5"/>
      <c r="D403" s="5"/>
      <c r="E403" s="5"/>
    </row>
    <row r="404">
      <c r="A404" s="9"/>
      <c r="B404" s="5"/>
      <c r="C404" s="5"/>
      <c r="D404" s="5"/>
      <c r="E404" s="5"/>
    </row>
    <row r="405">
      <c r="A405" s="9"/>
      <c r="B405" s="5"/>
      <c r="C405" s="5"/>
      <c r="D405" s="5"/>
      <c r="E405" s="5"/>
    </row>
    <row r="406">
      <c r="A406" s="9"/>
      <c r="B406" s="5"/>
      <c r="C406" s="5"/>
      <c r="D406" s="5"/>
      <c r="E406" s="5"/>
    </row>
    <row r="407">
      <c r="A407" s="9"/>
      <c r="B407" s="5"/>
      <c r="C407" s="5"/>
      <c r="D407" s="5"/>
      <c r="E407" s="5"/>
    </row>
    <row r="408">
      <c r="A408" s="9"/>
      <c r="B408" s="5"/>
      <c r="C408" s="5"/>
      <c r="D408" s="5"/>
      <c r="E408" s="5"/>
    </row>
    <row r="409">
      <c r="A409" s="9"/>
      <c r="B409" s="5"/>
      <c r="C409" s="5"/>
      <c r="D409" s="5"/>
      <c r="E409" s="5"/>
    </row>
    <row r="410">
      <c r="A410" s="9"/>
      <c r="B410" s="5"/>
      <c r="C410" s="5"/>
      <c r="D410" s="5"/>
      <c r="E410" s="5"/>
    </row>
    <row r="411">
      <c r="A411" s="9"/>
      <c r="B411" s="5"/>
      <c r="C411" s="5"/>
      <c r="D411" s="5"/>
      <c r="E411" s="5"/>
    </row>
    <row r="412">
      <c r="A412" s="9"/>
      <c r="B412" s="5"/>
      <c r="C412" s="5"/>
      <c r="D412" s="5"/>
      <c r="E412" s="5"/>
    </row>
    <row r="413">
      <c r="A413" s="9"/>
      <c r="B413" s="5"/>
      <c r="C413" s="5"/>
      <c r="D413" s="5"/>
      <c r="E413" s="5"/>
    </row>
    <row r="414">
      <c r="A414" s="9"/>
      <c r="B414" s="5"/>
      <c r="C414" s="5"/>
      <c r="D414" s="5"/>
      <c r="E414" s="5"/>
    </row>
    <row r="415">
      <c r="A415" s="9"/>
      <c r="B415" s="5"/>
      <c r="C415" s="5"/>
      <c r="D415" s="5"/>
      <c r="E415" s="5"/>
    </row>
    <row r="416">
      <c r="A416" s="9"/>
      <c r="B416" s="5"/>
      <c r="C416" s="5"/>
      <c r="D416" s="5"/>
      <c r="E416" s="5"/>
    </row>
    <row r="417">
      <c r="A417" s="9"/>
      <c r="B417" s="5"/>
      <c r="C417" s="5"/>
      <c r="D417" s="5"/>
      <c r="E417" s="5"/>
    </row>
    <row r="418">
      <c r="A418" s="9"/>
      <c r="B418" s="5"/>
      <c r="C418" s="5"/>
      <c r="D418" s="5"/>
      <c r="E418" s="5"/>
    </row>
    <row r="419">
      <c r="A419" s="9"/>
      <c r="B419" s="5"/>
      <c r="C419" s="5"/>
      <c r="D419" s="5"/>
      <c r="E419" s="5"/>
    </row>
    <row r="420">
      <c r="A420" s="9"/>
      <c r="B420" s="5"/>
      <c r="C420" s="5"/>
      <c r="D420" s="5"/>
      <c r="E420" s="5"/>
    </row>
    <row r="421">
      <c r="A421" s="9"/>
      <c r="B421" s="5"/>
      <c r="C421" s="5"/>
      <c r="D421" s="5"/>
      <c r="E421" s="5"/>
    </row>
    <row r="422">
      <c r="A422" s="9"/>
      <c r="B422" s="5"/>
      <c r="C422" s="5"/>
      <c r="D422" s="5"/>
      <c r="E422" s="5"/>
    </row>
    <row r="423">
      <c r="A423" s="9"/>
      <c r="B423" s="5"/>
      <c r="C423" s="5"/>
      <c r="D423" s="5"/>
      <c r="E423" s="5"/>
    </row>
    <row r="424">
      <c r="A424" s="9"/>
      <c r="B424" s="5"/>
      <c r="C424" s="5"/>
      <c r="D424" s="5"/>
      <c r="E424" s="5"/>
    </row>
    <row r="425">
      <c r="A425" s="9"/>
      <c r="B425" s="5"/>
      <c r="C425" s="5"/>
      <c r="D425" s="5"/>
      <c r="E425" s="5"/>
    </row>
    <row r="426">
      <c r="A426" s="9"/>
      <c r="B426" s="5"/>
      <c r="C426" s="5"/>
      <c r="D426" s="5"/>
      <c r="E426" s="5"/>
    </row>
    <row r="427">
      <c r="A427" s="9"/>
      <c r="B427" s="5"/>
      <c r="C427" s="5"/>
      <c r="D427" s="5"/>
      <c r="E427" s="5"/>
    </row>
    <row r="428">
      <c r="A428" s="9"/>
      <c r="B428" s="5"/>
      <c r="C428" s="5"/>
      <c r="D428" s="5"/>
      <c r="E428" s="5"/>
    </row>
    <row r="429">
      <c r="A429" s="9"/>
      <c r="B429" s="5"/>
      <c r="C429" s="5"/>
      <c r="D429" s="5"/>
      <c r="E429" s="5"/>
    </row>
    <row r="430">
      <c r="A430" s="9"/>
      <c r="B430" s="5"/>
      <c r="C430" s="5"/>
      <c r="D430" s="5"/>
      <c r="E430" s="5"/>
    </row>
    <row r="431">
      <c r="A431" s="9"/>
      <c r="B431" s="5"/>
      <c r="C431" s="5"/>
      <c r="D431" s="5"/>
      <c r="E431" s="5"/>
    </row>
    <row r="432">
      <c r="A432" s="9"/>
      <c r="B432" s="5"/>
      <c r="C432" s="5"/>
      <c r="D432" s="5"/>
      <c r="E432" s="5"/>
    </row>
    <row r="433">
      <c r="A433" s="9"/>
      <c r="B433" s="5"/>
      <c r="C433" s="5"/>
      <c r="D433" s="5"/>
      <c r="E433" s="5"/>
    </row>
    <row r="434">
      <c r="A434" s="9"/>
      <c r="B434" s="5"/>
      <c r="C434" s="5"/>
      <c r="D434" s="5"/>
      <c r="E434" s="5"/>
    </row>
    <row r="435">
      <c r="A435" s="9"/>
      <c r="B435" s="5"/>
      <c r="C435" s="5"/>
      <c r="D435" s="5"/>
      <c r="E435" s="5"/>
    </row>
    <row r="436">
      <c r="A436" s="9"/>
      <c r="B436" s="5"/>
      <c r="C436" s="5"/>
      <c r="D436" s="5"/>
      <c r="E436" s="5"/>
    </row>
    <row r="437">
      <c r="A437" s="9"/>
      <c r="B437" s="5"/>
      <c r="C437" s="5"/>
      <c r="D437" s="5"/>
      <c r="E437" s="5"/>
    </row>
    <row r="438">
      <c r="A438" s="9"/>
      <c r="B438" s="5"/>
      <c r="C438" s="5"/>
      <c r="D438" s="5"/>
      <c r="E438" s="5"/>
    </row>
    <row r="439">
      <c r="A439" s="9"/>
      <c r="B439" s="5"/>
      <c r="C439" s="5"/>
      <c r="D439" s="5"/>
      <c r="E439" s="5"/>
    </row>
    <row r="440">
      <c r="A440" s="9"/>
      <c r="B440" s="5"/>
      <c r="C440" s="5"/>
      <c r="D440" s="5"/>
      <c r="E440" s="5"/>
    </row>
    <row r="441">
      <c r="A441" s="9"/>
      <c r="B441" s="5"/>
      <c r="C441" s="5"/>
      <c r="D441" s="5"/>
      <c r="E441" s="5"/>
    </row>
    <row r="442">
      <c r="A442" s="9"/>
      <c r="B442" s="5"/>
      <c r="C442" s="5"/>
      <c r="D442" s="5"/>
      <c r="E442" s="5"/>
    </row>
    <row r="443">
      <c r="A443" s="9"/>
      <c r="B443" s="5"/>
      <c r="C443" s="5"/>
      <c r="D443" s="5"/>
      <c r="E443" s="5"/>
    </row>
    <row r="444">
      <c r="A444" s="9"/>
      <c r="B444" s="5"/>
      <c r="C444" s="5"/>
      <c r="D444" s="5"/>
      <c r="E444" s="5"/>
    </row>
    <row r="445">
      <c r="A445" s="9"/>
      <c r="B445" s="5"/>
      <c r="C445" s="5"/>
      <c r="D445" s="5"/>
      <c r="E445" s="5"/>
    </row>
    <row r="446">
      <c r="A446" s="9"/>
      <c r="B446" s="5"/>
      <c r="C446" s="5"/>
      <c r="D446" s="5"/>
      <c r="E446" s="5"/>
    </row>
    <row r="447">
      <c r="A447" s="9"/>
      <c r="B447" s="5"/>
      <c r="C447" s="5"/>
      <c r="D447" s="5"/>
      <c r="E447" s="5"/>
    </row>
    <row r="448">
      <c r="A448" s="9"/>
      <c r="B448" s="5"/>
      <c r="C448" s="5"/>
      <c r="D448" s="5"/>
      <c r="E448" s="5"/>
    </row>
    <row r="449">
      <c r="A449" s="9"/>
      <c r="B449" s="5"/>
      <c r="C449" s="5"/>
      <c r="D449" s="5"/>
      <c r="E449" s="5"/>
    </row>
    <row r="450">
      <c r="A450" s="9"/>
      <c r="B450" s="5"/>
      <c r="C450" s="5"/>
      <c r="D450" s="5"/>
      <c r="E450" s="5"/>
    </row>
    <row r="451">
      <c r="A451" s="9"/>
      <c r="B451" s="5"/>
      <c r="C451" s="5"/>
      <c r="D451" s="5"/>
      <c r="E451" s="5"/>
    </row>
    <row r="452">
      <c r="A452" s="9"/>
      <c r="B452" s="5"/>
      <c r="C452" s="5"/>
      <c r="D452" s="5"/>
      <c r="E452" s="5"/>
    </row>
    <row r="453">
      <c r="A453" s="9"/>
      <c r="B453" s="5"/>
      <c r="C453" s="5"/>
      <c r="D453" s="5"/>
      <c r="E453" s="5"/>
    </row>
    <row r="454">
      <c r="A454" s="9"/>
      <c r="B454" s="5"/>
      <c r="C454" s="5"/>
      <c r="D454" s="5"/>
      <c r="E454" s="5"/>
    </row>
    <row r="455">
      <c r="A455" s="9"/>
      <c r="B455" s="5"/>
      <c r="C455" s="5"/>
      <c r="D455" s="5"/>
      <c r="E455" s="5"/>
    </row>
    <row r="456">
      <c r="A456" s="9"/>
      <c r="B456" s="5"/>
      <c r="C456" s="5"/>
      <c r="D456" s="5"/>
      <c r="E456" s="5"/>
    </row>
    <row r="457">
      <c r="A457" s="9"/>
      <c r="B457" s="5"/>
      <c r="C457" s="5"/>
      <c r="D457" s="5"/>
      <c r="E457" s="5"/>
    </row>
    <row r="458">
      <c r="A458" s="9"/>
      <c r="B458" s="5"/>
      <c r="C458" s="5"/>
      <c r="D458" s="5"/>
      <c r="E458" s="5"/>
    </row>
    <row r="459">
      <c r="A459" s="9"/>
      <c r="B459" s="5"/>
      <c r="C459" s="5"/>
      <c r="D459" s="5"/>
      <c r="E459" s="5"/>
    </row>
    <row r="460">
      <c r="A460" s="9"/>
      <c r="B460" s="5"/>
      <c r="C460" s="5"/>
      <c r="D460" s="5"/>
      <c r="E460" s="5"/>
    </row>
    <row r="461">
      <c r="A461" s="9"/>
      <c r="B461" s="5"/>
      <c r="C461" s="5"/>
      <c r="D461" s="5"/>
      <c r="E461" s="5"/>
    </row>
    <row r="462">
      <c r="A462" s="9"/>
      <c r="B462" s="5"/>
      <c r="C462" s="5"/>
      <c r="D462" s="5"/>
      <c r="E462" s="5"/>
    </row>
    <row r="463">
      <c r="A463" s="9"/>
      <c r="B463" s="5"/>
      <c r="C463" s="5"/>
      <c r="D463" s="5"/>
      <c r="E463" s="5"/>
    </row>
    <row r="464">
      <c r="A464" s="9"/>
      <c r="B464" s="5"/>
      <c r="C464" s="5"/>
      <c r="D464" s="5"/>
      <c r="E464" s="5"/>
    </row>
    <row r="465">
      <c r="A465" s="9"/>
      <c r="B465" s="5"/>
      <c r="C465" s="5"/>
      <c r="D465" s="5"/>
      <c r="E465" s="5"/>
    </row>
    <row r="466">
      <c r="A466" s="9"/>
      <c r="B466" s="5"/>
      <c r="C466" s="5"/>
      <c r="D466" s="5"/>
      <c r="E466" s="5"/>
    </row>
    <row r="467">
      <c r="A467" s="9"/>
      <c r="B467" s="5"/>
      <c r="C467" s="5"/>
      <c r="D467" s="5"/>
      <c r="E467" s="5"/>
    </row>
    <row r="468">
      <c r="A468" s="9"/>
      <c r="B468" s="5"/>
      <c r="C468" s="5"/>
      <c r="D468" s="5"/>
      <c r="E468" s="5"/>
    </row>
    <row r="469">
      <c r="A469" s="9"/>
      <c r="B469" s="5"/>
      <c r="C469" s="5"/>
      <c r="D469" s="5"/>
      <c r="E469" s="5"/>
    </row>
    <row r="470">
      <c r="A470" s="9"/>
      <c r="B470" s="5"/>
      <c r="C470" s="5"/>
      <c r="D470" s="5"/>
      <c r="E470" s="5"/>
    </row>
    <row r="471">
      <c r="A471" s="9"/>
      <c r="B471" s="5"/>
      <c r="C471" s="5"/>
      <c r="D471" s="5"/>
      <c r="E471" s="5"/>
    </row>
    <row r="472">
      <c r="A472" s="9"/>
      <c r="B472" s="5"/>
      <c r="C472" s="5"/>
      <c r="D472" s="5"/>
      <c r="E472" s="5"/>
    </row>
    <row r="473">
      <c r="A473" s="9"/>
      <c r="B473" s="5"/>
      <c r="C473" s="5"/>
      <c r="D473" s="5"/>
      <c r="E473" s="5"/>
    </row>
    <row r="474">
      <c r="A474" s="9"/>
      <c r="B474" s="5"/>
      <c r="C474" s="5"/>
      <c r="D474" s="5"/>
      <c r="E474" s="5"/>
    </row>
    <row r="475">
      <c r="A475" s="9"/>
      <c r="B475" s="5"/>
      <c r="C475" s="5"/>
      <c r="D475" s="5"/>
      <c r="E475" s="5"/>
    </row>
    <row r="476">
      <c r="A476" s="9"/>
      <c r="B476" s="5"/>
      <c r="C476" s="5"/>
      <c r="D476" s="5"/>
      <c r="E476" s="5"/>
    </row>
    <row r="477">
      <c r="A477" s="9"/>
      <c r="B477" s="5"/>
      <c r="C477" s="5"/>
      <c r="D477" s="5"/>
      <c r="E477" s="5"/>
    </row>
    <row r="478">
      <c r="A478" s="9"/>
      <c r="B478" s="5"/>
      <c r="C478" s="5"/>
      <c r="D478" s="5"/>
      <c r="E478" s="5"/>
    </row>
    <row r="479">
      <c r="A479" s="9"/>
      <c r="B479" s="5"/>
      <c r="C479" s="5"/>
      <c r="D479" s="5"/>
      <c r="E479" s="5"/>
    </row>
    <row r="480">
      <c r="A480" s="9"/>
      <c r="B480" s="5"/>
      <c r="C480" s="5"/>
      <c r="D480" s="5"/>
      <c r="E480" s="5"/>
    </row>
    <row r="481">
      <c r="A481" s="9"/>
      <c r="B481" s="5"/>
      <c r="C481" s="5"/>
      <c r="D481" s="5"/>
      <c r="E481" s="5"/>
    </row>
    <row r="482">
      <c r="A482" s="9"/>
      <c r="B482" s="5"/>
      <c r="C482" s="5"/>
      <c r="D482" s="5"/>
      <c r="E482" s="5"/>
    </row>
    <row r="483">
      <c r="A483" s="9"/>
      <c r="B483" s="5"/>
      <c r="C483" s="5"/>
      <c r="D483" s="5"/>
      <c r="E483" s="5"/>
    </row>
    <row r="484">
      <c r="A484" s="9"/>
      <c r="B484" s="5"/>
      <c r="C484" s="5"/>
      <c r="D484" s="5"/>
      <c r="E484" s="5"/>
    </row>
    <row r="485">
      <c r="A485" s="9"/>
      <c r="B485" s="5"/>
      <c r="C485" s="5"/>
      <c r="D485" s="5"/>
      <c r="E485" s="5"/>
    </row>
    <row r="486">
      <c r="A486" s="9"/>
      <c r="B486" s="5"/>
      <c r="C486" s="5"/>
      <c r="D486" s="5"/>
      <c r="E486" s="5"/>
    </row>
    <row r="487">
      <c r="A487" s="9"/>
      <c r="B487" s="5"/>
      <c r="C487" s="5"/>
      <c r="D487" s="5"/>
      <c r="E487" s="5"/>
    </row>
    <row r="488">
      <c r="A488" s="9"/>
      <c r="B488" s="5"/>
      <c r="C488" s="5"/>
      <c r="D488" s="5"/>
      <c r="E488" s="5"/>
    </row>
    <row r="489">
      <c r="A489" s="9"/>
      <c r="B489" s="5"/>
      <c r="C489" s="5"/>
      <c r="D489" s="5"/>
      <c r="E489" s="5"/>
    </row>
    <row r="490">
      <c r="A490" s="9"/>
      <c r="B490" s="5"/>
      <c r="C490" s="5"/>
      <c r="D490" s="5"/>
      <c r="E490" s="5"/>
    </row>
    <row r="491">
      <c r="A491" s="9"/>
      <c r="B491" s="5"/>
      <c r="C491" s="5"/>
      <c r="D491" s="5"/>
      <c r="E491" s="5"/>
    </row>
    <row r="492">
      <c r="A492" s="9"/>
      <c r="B492" s="5"/>
      <c r="C492" s="5"/>
      <c r="D492" s="5"/>
      <c r="E492" s="5"/>
    </row>
    <row r="493">
      <c r="A493" s="9"/>
      <c r="B493" s="5"/>
      <c r="C493" s="5"/>
      <c r="D493" s="5"/>
      <c r="E493" s="5"/>
    </row>
    <row r="494">
      <c r="A494" s="9"/>
      <c r="B494" s="5"/>
      <c r="C494" s="5"/>
      <c r="D494" s="5"/>
      <c r="E494" s="5"/>
    </row>
    <row r="495">
      <c r="A495" s="9"/>
      <c r="B495" s="5"/>
      <c r="C495" s="5"/>
      <c r="D495" s="5"/>
      <c r="E495" s="5"/>
    </row>
    <row r="496">
      <c r="A496" s="9"/>
      <c r="B496" s="5"/>
      <c r="C496" s="5"/>
      <c r="D496" s="5"/>
      <c r="E496" s="5"/>
    </row>
    <row r="497">
      <c r="A497" s="9"/>
      <c r="B497" s="5"/>
      <c r="C497" s="5"/>
      <c r="D497" s="5"/>
      <c r="E497" s="5"/>
    </row>
    <row r="498">
      <c r="A498" s="9"/>
      <c r="B498" s="5"/>
      <c r="C498" s="5"/>
      <c r="D498" s="5"/>
      <c r="E498" s="5"/>
    </row>
    <row r="499">
      <c r="A499" s="9"/>
      <c r="B499" s="5"/>
      <c r="C499" s="5"/>
      <c r="D499" s="5"/>
      <c r="E499" s="5"/>
    </row>
    <row r="500">
      <c r="A500" s="9"/>
      <c r="B500" s="5"/>
      <c r="C500" s="5"/>
      <c r="D500" s="5"/>
      <c r="E500" s="5"/>
    </row>
    <row r="501">
      <c r="A501" s="9"/>
      <c r="B501" s="5"/>
      <c r="C501" s="5"/>
      <c r="D501" s="5"/>
      <c r="E501" s="5"/>
    </row>
    <row r="502">
      <c r="A502" s="9"/>
      <c r="B502" s="5"/>
      <c r="C502" s="5"/>
      <c r="D502" s="5"/>
      <c r="E502" s="5"/>
    </row>
    <row r="503">
      <c r="A503" s="9"/>
      <c r="B503" s="5"/>
      <c r="C503" s="5"/>
      <c r="D503" s="5"/>
      <c r="E503" s="5"/>
    </row>
    <row r="504">
      <c r="A504" s="9"/>
      <c r="B504" s="5"/>
      <c r="C504" s="5"/>
      <c r="D504" s="5"/>
      <c r="E504" s="5"/>
    </row>
    <row r="505">
      <c r="A505" s="9"/>
      <c r="B505" s="5"/>
      <c r="C505" s="5"/>
      <c r="D505" s="5"/>
      <c r="E505" s="5"/>
    </row>
    <row r="506">
      <c r="A506" s="9"/>
      <c r="B506" s="5"/>
      <c r="C506" s="5"/>
      <c r="D506" s="5"/>
      <c r="E506" s="5"/>
    </row>
    <row r="507">
      <c r="A507" s="9"/>
      <c r="B507" s="5"/>
      <c r="C507" s="5"/>
      <c r="D507" s="5"/>
      <c r="E507" s="5"/>
    </row>
    <row r="508">
      <c r="A508" s="9"/>
      <c r="B508" s="5"/>
      <c r="C508" s="5"/>
      <c r="D508" s="5"/>
      <c r="E508" s="5"/>
    </row>
    <row r="509">
      <c r="A509" s="9"/>
      <c r="B509" s="5"/>
      <c r="C509" s="5"/>
      <c r="D509" s="5"/>
      <c r="E509" s="5"/>
    </row>
    <row r="510">
      <c r="A510" s="9"/>
      <c r="B510" s="5"/>
      <c r="C510" s="5"/>
      <c r="D510" s="5"/>
      <c r="E510" s="5"/>
    </row>
    <row r="511">
      <c r="A511" s="9"/>
      <c r="B511" s="5"/>
      <c r="C511" s="5"/>
      <c r="D511" s="5"/>
      <c r="E511" s="5"/>
    </row>
    <row r="512">
      <c r="A512" s="9"/>
      <c r="B512" s="5"/>
      <c r="C512" s="5"/>
      <c r="D512" s="5"/>
      <c r="E512" s="5"/>
    </row>
    <row r="513">
      <c r="A513" s="9"/>
      <c r="B513" s="5"/>
      <c r="C513" s="5"/>
      <c r="D513" s="5"/>
      <c r="E513" s="5"/>
    </row>
    <row r="514">
      <c r="A514" s="9"/>
      <c r="B514" s="5"/>
      <c r="C514" s="5"/>
      <c r="D514" s="5"/>
      <c r="E514" s="5"/>
    </row>
    <row r="515">
      <c r="A515" s="9"/>
      <c r="B515" s="5"/>
      <c r="C515" s="5"/>
      <c r="D515" s="5"/>
      <c r="E515" s="5"/>
    </row>
    <row r="516">
      <c r="A516" s="9"/>
      <c r="B516" s="5"/>
      <c r="C516" s="5"/>
      <c r="D516" s="5"/>
      <c r="E516" s="5"/>
    </row>
    <row r="517">
      <c r="A517" s="9"/>
      <c r="B517" s="5"/>
      <c r="C517" s="5"/>
      <c r="D517" s="5"/>
      <c r="E517" s="5"/>
    </row>
    <row r="518">
      <c r="A518" s="9"/>
      <c r="B518" s="5"/>
      <c r="C518" s="5"/>
      <c r="D518" s="5"/>
      <c r="E518" s="5"/>
    </row>
    <row r="519">
      <c r="A519" s="9"/>
      <c r="B519" s="5"/>
      <c r="C519" s="5"/>
      <c r="D519" s="5"/>
      <c r="E519" s="5"/>
    </row>
    <row r="520">
      <c r="A520" s="9"/>
      <c r="B520" s="5"/>
      <c r="C520" s="5"/>
      <c r="D520" s="5"/>
      <c r="E520" s="5"/>
    </row>
    <row r="521">
      <c r="A521" s="9"/>
      <c r="B521" s="5"/>
      <c r="C521" s="5"/>
      <c r="D521" s="5"/>
      <c r="E521" s="5"/>
    </row>
    <row r="522">
      <c r="A522" s="9"/>
      <c r="B522" s="5"/>
      <c r="C522" s="5"/>
      <c r="D522" s="5"/>
      <c r="E522" s="5"/>
    </row>
    <row r="523">
      <c r="A523" s="9"/>
      <c r="B523" s="5"/>
      <c r="C523" s="5"/>
      <c r="D523" s="5"/>
      <c r="E523" s="5"/>
    </row>
    <row r="524">
      <c r="A524" s="9"/>
      <c r="B524" s="5"/>
      <c r="C524" s="5"/>
      <c r="D524" s="5"/>
      <c r="E524" s="5"/>
    </row>
    <row r="525">
      <c r="A525" s="9"/>
      <c r="B525" s="5"/>
      <c r="C525" s="5"/>
      <c r="D525" s="5"/>
      <c r="E525" s="5"/>
    </row>
    <row r="526">
      <c r="A526" s="9"/>
      <c r="B526" s="5"/>
      <c r="C526" s="5"/>
      <c r="D526" s="5"/>
      <c r="E526" s="5"/>
    </row>
    <row r="527">
      <c r="A527" s="9"/>
      <c r="B527" s="5"/>
      <c r="C527" s="5"/>
      <c r="D527" s="5"/>
      <c r="E527" s="5"/>
    </row>
    <row r="528">
      <c r="A528" s="9"/>
      <c r="B528" s="5"/>
      <c r="C528" s="5"/>
      <c r="D528" s="5"/>
      <c r="E528" s="5"/>
    </row>
    <row r="529">
      <c r="A529" s="9"/>
      <c r="B529" s="5"/>
      <c r="C529" s="5"/>
      <c r="D529" s="5"/>
      <c r="E529" s="5"/>
    </row>
    <row r="530">
      <c r="A530" s="9"/>
      <c r="B530" s="5"/>
      <c r="C530" s="5"/>
      <c r="D530" s="5"/>
      <c r="E530" s="5"/>
    </row>
    <row r="531">
      <c r="A531" s="9"/>
      <c r="B531" s="5"/>
      <c r="C531" s="5"/>
      <c r="D531" s="5"/>
      <c r="E531" s="5"/>
    </row>
    <row r="532">
      <c r="A532" s="9"/>
      <c r="B532" s="5"/>
      <c r="C532" s="5"/>
      <c r="D532" s="5"/>
      <c r="E532" s="5"/>
    </row>
    <row r="533">
      <c r="A533" s="9"/>
      <c r="B533" s="5"/>
      <c r="C533" s="5"/>
      <c r="D533" s="5"/>
      <c r="E533" s="5"/>
    </row>
    <row r="534">
      <c r="A534" s="9"/>
      <c r="B534" s="5"/>
      <c r="C534" s="5"/>
      <c r="D534" s="5"/>
      <c r="E534" s="5"/>
    </row>
    <row r="535">
      <c r="A535" s="9"/>
      <c r="B535" s="5"/>
      <c r="C535" s="5"/>
      <c r="D535" s="5"/>
      <c r="E535" s="5"/>
    </row>
    <row r="536">
      <c r="A536" s="9"/>
      <c r="B536" s="5"/>
      <c r="C536" s="5"/>
      <c r="D536" s="5"/>
      <c r="E536" s="5"/>
    </row>
    <row r="537">
      <c r="A537" s="9"/>
      <c r="B537" s="5"/>
      <c r="C537" s="5"/>
      <c r="D537" s="5"/>
      <c r="E537" s="5"/>
    </row>
    <row r="538">
      <c r="A538" s="9"/>
      <c r="B538" s="5"/>
      <c r="C538" s="5"/>
      <c r="D538" s="5"/>
      <c r="E538" s="5"/>
    </row>
    <row r="539">
      <c r="A539" s="9"/>
      <c r="B539" s="5"/>
      <c r="C539" s="5"/>
      <c r="D539" s="5"/>
      <c r="E539" s="5"/>
    </row>
    <row r="540">
      <c r="A540" s="9"/>
      <c r="B540" s="5"/>
      <c r="C540" s="5"/>
      <c r="D540" s="5"/>
      <c r="E540" s="5"/>
    </row>
    <row r="541">
      <c r="A541" s="9"/>
      <c r="B541" s="5"/>
      <c r="C541" s="5"/>
      <c r="D541" s="5"/>
      <c r="E541" s="5"/>
    </row>
    <row r="542">
      <c r="A542" s="9"/>
      <c r="B542" s="5"/>
      <c r="C542" s="5"/>
      <c r="D542" s="5"/>
      <c r="E542" s="5"/>
    </row>
    <row r="543">
      <c r="A543" s="9"/>
      <c r="B543" s="5"/>
      <c r="C543" s="5"/>
      <c r="D543" s="5"/>
      <c r="E543" s="5"/>
    </row>
    <row r="544">
      <c r="A544" s="9"/>
      <c r="B544" s="5"/>
      <c r="C544" s="5"/>
      <c r="D544" s="5"/>
      <c r="E544" s="5"/>
    </row>
    <row r="545">
      <c r="A545" s="9"/>
      <c r="B545" s="5"/>
      <c r="C545" s="5"/>
      <c r="D545" s="5"/>
      <c r="E545" s="5"/>
    </row>
    <row r="546">
      <c r="A546" s="9"/>
      <c r="B546" s="5"/>
      <c r="C546" s="5"/>
      <c r="D546" s="5"/>
      <c r="E546" s="5"/>
    </row>
    <row r="547">
      <c r="A547" s="9"/>
      <c r="B547" s="5"/>
      <c r="C547" s="5"/>
      <c r="D547" s="5"/>
      <c r="E547" s="5"/>
    </row>
    <row r="548">
      <c r="A548" s="9"/>
      <c r="B548" s="5"/>
      <c r="C548" s="5"/>
      <c r="D548" s="5"/>
      <c r="E548" s="5"/>
    </row>
    <row r="549">
      <c r="A549" s="9"/>
      <c r="B549" s="5"/>
      <c r="C549" s="5"/>
      <c r="D549" s="5"/>
      <c r="E549" s="5"/>
    </row>
    <row r="550">
      <c r="A550" s="9"/>
      <c r="B550" s="5"/>
      <c r="C550" s="5"/>
      <c r="D550" s="5"/>
      <c r="E550" s="5"/>
    </row>
    <row r="551">
      <c r="A551" s="9"/>
      <c r="B551" s="5"/>
      <c r="C551" s="5"/>
      <c r="D551" s="5"/>
      <c r="E551" s="5"/>
    </row>
    <row r="552">
      <c r="A552" s="9"/>
      <c r="B552" s="5"/>
      <c r="C552" s="5"/>
      <c r="D552" s="5"/>
      <c r="E552" s="5"/>
    </row>
    <row r="553">
      <c r="A553" s="9"/>
      <c r="B553" s="5"/>
      <c r="C553" s="5"/>
      <c r="D553" s="5"/>
      <c r="E553" s="5"/>
    </row>
    <row r="554">
      <c r="A554" s="9"/>
      <c r="B554" s="5"/>
      <c r="C554" s="5"/>
      <c r="D554" s="5"/>
      <c r="E554" s="5"/>
    </row>
    <row r="555">
      <c r="A555" s="9"/>
      <c r="B555" s="5"/>
      <c r="C555" s="5"/>
      <c r="D555" s="5"/>
      <c r="E555" s="5"/>
    </row>
    <row r="556">
      <c r="A556" s="9"/>
      <c r="B556" s="5"/>
      <c r="C556" s="5"/>
      <c r="D556" s="5"/>
      <c r="E556" s="5"/>
    </row>
    <row r="557">
      <c r="A557" s="9"/>
      <c r="B557" s="5"/>
      <c r="C557" s="5"/>
      <c r="D557" s="5"/>
      <c r="E557" s="5"/>
    </row>
    <row r="558">
      <c r="A558" s="9"/>
      <c r="B558" s="5"/>
      <c r="C558" s="5"/>
      <c r="D558" s="5"/>
      <c r="E558" s="5"/>
    </row>
    <row r="559">
      <c r="A559" s="9"/>
      <c r="B559" s="5"/>
      <c r="C559" s="5"/>
      <c r="D559" s="5"/>
      <c r="E559" s="5"/>
    </row>
    <row r="560">
      <c r="A560" s="9"/>
      <c r="B560" s="5"/>
      <c r="C560" s="5"/>
      <c r="D560" s="5"/>
      <c r="E560" s="5"/>
    </row>
  </sheetData>
  <drawing r:id="rId1"/>
  <tableParts count="2">
    <tablePart r:id="rId4"/>
    <tablePart r:id="rId5"/>
  </tableParts>
</worksheet>
</file>
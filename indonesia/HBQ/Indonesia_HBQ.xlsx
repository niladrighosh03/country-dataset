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dminton" sheetId="1" r:id="rId4"/>
    <sheet state="visible" name="karapan sapi" sheetId="2" r:id="rId5"/>
    <sheet state="visible" name="peresean" sheetId="3" r:id="rId6"/>
    <sheet state="visible" name="sepak takraw" sheetId="4" r:id="rId7"/>
    <sheet state="visible" name="tarung derajat" sheetId="5" r:id="rId8"/>
    <sheet state="visible" name="pencak silat" sheetId="6" r:id="rId9"/>
  </sheets>
  <definedNames/>
  <calcPr/>
</workbook>
</file>

<file path=xl/sharedStrings.xml><?xml version="1.0" encoding="utf-8"?>
<sst xmlns="http://schemas.openxmlformats.org/spreadsheetml/2006/main" count="3295" uniqueCount="3044">
  <si>
    <t>Question No.</t>
  </si>
  <si>
    <t>Question</t>
  </si>
  <si>
    <t>Options</t>
  </si>
  <si>
    <t>Answer</t>
  </si>
  <si>
    <t>Description</t>
  </si>
  <si>
    <t>Who is considered the founding father of modern Badminton in Indonesia?</t>
  </si>
  <si>
    <t>A) Tjun Tjin, B) Rudi Hartono, C) Ferry Sunarto, D) Liem Swie King</t>
  </si>
  <si>
    <t>B) Rudi Hartono</t>
  </si>
  <si>
    <t>Rudi Hartono is regarded as the key figure in popularizing and shaping modern badminton in Indonesia.</t>
  </si>
  <si>
    <t>In what year did Indonesia first compete in the Thomas Cup, a prestigious Badminton competition?</t>
  </si>
  <si>
    <t>A) 1948, B) 1956, C) 1961, D) 1970</t>
  </si>
  <si>
    <t>C) 1961</t>
  </si>
  <si>
    <t>Indonesia entered the Thomas Cup competition in 1961 and quickly became a dominant force in international badminton.</t>
  </si>
  <si>
    <t>Which Indonesian player won the most All England Badminton Championships?</t>
  </si>
  <si>
    <t>A) Taufik Hidayat, B) Liem Swie King, C) Rudy Hartono, D) Susi Susanti</t>
  </si>
  <si>
    <t>C) Rudy Hartono</t>
  </si>
  <si>
    <t>Rudy Hartono won the prestigious All England Badminton Championships a record eight times.</t>
  </si>
  <si>
    <t>What year did Indonesia first host the prestigious BWF World Championships?</t>
  </si>
  <si>
    <t>A) 1980, B) 1985, C) 1997, D) 2002</t>
  </si>
  <si>
    <t>B) 1985</t>
  </si>
  <si>
    <t>Indonesia hosted the BWF World Championships for the first time in 1985, showcasing its badminton prowess.</t>
  </si>
  <si>
    <t>Which Indonesian badminton player is known as the 'King of Badminton' due to his dominance in the 1970s?</t>
  </si>
  <si>
    <t>A) Liem Swie King, B) Taufik Hidayat, C) Susi Susanti, D) Ferry Sunarto</t>
  </si>
  <si>
    <t>A) Liem Swie King</t>
  </si>
  <si>
    <t>Liem Swie King earned the title 'King of Badminton' for his unparalleled success in the 1970s.</t>
  </si>
  <si>
    <t>In which year did Indonesia win its first Thomas Cup?</t>
  </si>
  <si>
    <t>A) 1957, B) 1964, C) 1970, D) 1984</t>
  </si>
  <si>
    <t>B) 1964</t>
  </si>
  <si>
    <t>Indonesia won its first Thomas Cup in 1964, marking a milestone in the country's badminton history.</t>
  </si>
  <si>
    <t>What is the nickname of Indonesia's most successful female badminton player, Susi Susanti?</t>
  </si>
  <si>
    <t>A) The Tiger, B) The Queen, C) The Phoenix, D) The Eagle</t>
  </si>
  <si>
    <t>B) The Queen</t>
  </si>
  <si>
    <t>Susi Susanti earned the nickname 'The Queen' due to her remarkable achievements in women's singles.</t>
  </si>
  <si>
    <t>Which Indonesian player won Olympic gold in badminton in 1992?</t>
  </si>
  <si>
    <t>A) Liem Swie King, B) Taufik Hidayat, C) Susi Susanti, D) Markis Kido</t>
  </si>
  <si>
    <t>C) Susi Susanti</t>
  </si>
  <si>
    <t>Susi Susanti made history by winning Indonesia's first Olympic gold medal in badminton at the 1992 Barcelona Olympics.</t>
  </si>
  <si>
    <t>What was the significant achievement of the Indonesian men's doubles team at the 2008 Beijing Olympics?</t>
  </si>
  <si>
    <t>A) Gold Medal, B) Silver Medal, C) Bronze Medal, D) Fourth place</t>
  </si>
  <si>
    <t>A) Gold Medal</t>
  </si>
  <si>
    <t>The Indonesian men's doubles team of Markis Kido and Hendra Setiawan clinched the gold medal at the 2008 Beijing Olympics.</t>
  </si>
  <si>
    <t>Which Indonesian city hosted the 2015 BWF World Championships?</t>
  </si>
  <si>
    <t>A) Jakarta, B) Surabaya, C) Bali, D) Yogyakarta</t>
  </si>
  <si>
    <t>A) Jakarta</t>
  </si>
  <si>
    <t>Jakarta, Indonesia's capital, hosted the BWF World Championships in 2015, attracting top global badminton talent.</t>
  </si>
  <si>
    <t>In what year did the Badminton World Federation (BWF) recognize Indonesia as one of the top nations in the sport?</t>
  </si>
  <si>
    <t>A) 1970, B) 1980, C) 1990, D) 2000</t>
  </si>
  <si>
    <t>B) 1980</t>
  </si>
  <si>
    <t>By the 1980s, Indonesia was recognized globally as a dominant force in the sport of badminton.</t>
  </si>
  <si>
    <t>Which Indonesian player won the prestigious All England Championship in both men's singles and men's doubles?</t>
  </si>
  <si>
    <t>A) Taufik Hidayat, B) Sigit Budiarto, C) Rudy Hartono, D) Liem Swie King</t>
  </si>
  <si>
    <t>B) Sigit Budiarto</t>
  </si>
  <si>
    <t>Sigit Budiarto is unique for winning the All England Championship in both men's singles and men's doubles events.</t>
  </si>
  <si>
    <t>Which year did Indonesia host the Southeast Asian Games, where badminton was one of the highlight events?</t>
  </si>
  <si>
    <t>A) 2001, B) 2003, C) 2007, D) 2011</t>
  </si>
  <si>
    <t>C) 2007</t>
  </si>
  <si>
    <t>Indonesia hosted the 2007 Southeast Asian Games, where badminton was a major attraction and Indonesia excelled.</t>
  </si>
  <si>
    <t>Which Indonesian badminton player won the World Cup in 1995 in men's singles?</t>
  </si>
  <si>
    <t>A) Taufik Hidayat, B) Liem Swie King, C) Alan Budi Kusuma, D) Sigit Budiarto</t>
  </si>
  <si>
    <t>A) Taufik Hidayat</t>
  </si>
  <si>
    <t>Taufik Hidayat won the 1995 World Cup in men's singles, adding to Indonesia's impressive badminton legacy.</t>
  </si>
  <si>
    <t>Which Indonesian male badminton player won the prestigious Olympic gold medal in 2004?</t>
  </si>
  <si>
    <t>A) Taufik Hidayat, B) Liem Swie King, C) Rudy Hartono, D) Markis Kido</t>
  </si>
  <si>
    <t>Taufik Hidayat's victory in the 2004 Athens Olympics made him Indonesia's second Olympic badminton gold medalist.</t>
  </si>
  <si>
    <t>Which iconic Indonesian player holds the record for the most BWF World Championship medals in men's singles?</t>
  </si>
  <si>
    <t>A) Rudy Hartono, B) Taufik Hidayat, C) Liem Swie King, D) Hendra Setiawan</t>
  </si>
  <si>
    <t>B) Taufik Hidayat</t>
  </si>
  <si>
    <t>Taufik Hidayat holds the record for the most BWF World Championship medals in men's singles.</t>
  </si>
  <si>
    <t>Which badminton association in Indonesia was founded in 1951 to promote the sport in the country?</t>
  </si>
  <si>
    <t>A) PBSI, B) KPSI, C) SIBA, D) IBF</t>
  </si>
  <si>
    <t>A) PBSI</t>
  </si>
  <si>
    <t>The Persatuan Bulutangkis Seluruh Indonesia (PBSI) was founded in 1951 to develop and promote badminton across the nation.</t>
  </si>
  <si>
    <t>In which year did Indonesia first win the Sudirman Cup, an international mixed-team badminton competition?</t>
  </si>
  <si>
    <t>A) 1985, B) 1993, C) 1997, D) 2000</t>
  </si>
  <si>
    <t>B) 1993</t>
  </si>
  <si>
    <t>Indonesia won its first Sudirman Cup in 1993, solidifying its position as a badminton powerhouse.</t>
  </si>
  <si>
    <t>Which Indonesian badminton player was the first to win the prestigious Indonesia Open in 1982?</t>
  </si>
  <si>
    <t>A) Taufik Hidayat, B) Rudy Hartono, C) Alan Budi Kusuma, D) Susi Susanti</t>
  </si>
  <si>
    <t>B) Rudy Hartono</t>
  </si>
  <si>
    <t>Rudy Hartono became the first Indonesian player to win the Indonesia Open in 1982.</t>
  </si>
  <si>
    <t>What is the nickname for Indonesia's legendary men's doubles team, Markis Kido and Hendra Setiawan?</t>
  </si>
  <si>
    <t>A) The Kings, B) The Twins, C) The Darlings, D) The Attacks</t>
  </si>
  <si>
    <t>B) The Twins</t>
  </si>
  <si>
    <t>Markis Kido and Hendra Setiawan were popularly known as 'The Twins' for their successful partnership in men's doubles.</t>
  </si>
  <si>
    <t>Which year did Indonesia become the host of the inaugural Badminton Asia Championships?</t>
  </si>
  <si>
    <t>A) 1991, B) 1995, C) 2002, D) 2006</t>
  </si>
  <si>
    <t>A) 1991</t>
  </si>
  <si>
    <t>Indonesia hosted the first Badminton Asia Championships in 1991, showcasing its badminton prowess.</t>
  </si>
  <si>
    <t>Who was the first Indonesian female badminton player to win an Olympic gold medal?</t>
  </si>
  <si>
    <t>A) Susi Susanti, B) Mia Audina, C) Liliyana Natsir, D) Greysia Polii</t>
  </si>
  <si>
    <t>A) Susi Susanti</t>
  </si>
  <si>
    <t>Susi Susanti became the first Indonesian female player to win an Olympic gold medal in badminton at the 1992 Barcelona Olympics.</t>
  </si>
  <si>
    <t>What was Indonesia's first major success in badminton at the Thomas Cup?</t>
  </si>
  <si>
    <t>A) Finalist in 1950, B) Champion in 1961, C) Runner-up in 1956, D) Semi-finalist in 1964</t>
  </si>
  <si>
    <t>B) Champion in 1961</t>
  </si>
  <si>
    <t>Indonesia's first Thomas Cup win in 1961 marked the start of their dominance in international badminton.</t>
  </si>
  <si>
    <t>Which year did Indonesia win its first Uber Cup, a women's badminton competition?</t>
  </si>
  <si>
    <t>A) 1985, B) 1990, C) 1992, D) 2000</t>
  </si>
  <si>
    <t>A) 1985</t>
  </si>
  <si>
    <t>Indonesia won its first Uber Cup in 1985, cementing its place as a leading badminton nation.</t>
  </si>
  <si>
    <t>Which Indonesian badminton player was famous for his deadly backhand smash?</t>
  </si>
  <si>
    <t>A) Taufik Hidayat, B) Sigit Budiarto, C) Hendra Setiawan, D) Liem Swie King</t>
  </si>
  <si>
    <t>Taufik Hidayat was renowned for his deadly backhand smash, one of the most powerful in badminton history.</t>
  </si>
  <si>
    <t>Which Indonesian badminton legend is often referred to as 'The Emperor'?</t>
  </si>
  <si>
    <t>A) Taufik Hidayat, B) Liem Swie King, C) Rudy Hartono, D) Alan Budi Kusuma</t>
  </si>
  <si>
    <t>Rudy Hartono earned the nickname 'The Emperor' due to his unmatched dominance and success in the 1970s.</t>
  </si>
  <si>
    <t>Which year did the Indonesian Badminton Association (PBSI) become a member of the Badminton World Federation (BWF)?</t>
  </si>
  <si>
    <t>A) 1950, B) 1960, C) 1970, D) 1980</t>
  </si>
  <si>
    <t>A) 1950</t>
  </si>
  <si>
    <t>Indonesia's PBSI became a member of the BWF in 1950, aligning itself with the global governance of badminton.</t>
  </si>
  <si>
    <t>Which Indonesian badminton player is known for winning the 2013 World Championship in men's doubles?</t>
  </si>
  <si>
    <t>A) Hendra Setiawan, B) Markis Kido, C) Mohammad Ahsan, D) Angga Pratama</t>
  </si>
  <si>
    <t>C) Mohammad Ahsan</t>
  </si>
  <si>
    <t>Mohammad Ahsan won the 2013 BWF World Championships in men's doubles with his partner Hendra Setiawan.</t>
  </si>
  <si>
    <t>Which year did Indonesia's badminton team win the Sudirman Cup for the first time?</t>
  </si>
  <si>
    <t>A) 1993, B) 1997, C) 2000, D) 2003</t>
  </si>
  <si>
    <t>A) 1993</t>
  </si>
  <si>
    <t>Indonesia clinched its first Sudirman Cup victory in 1993, demonstrating its strength in mixed-team competitions.</t>
  </si>
  <si>
    <t>What year did Indonesia win its most recent Thomas Cup title?</t>
  </si>
  <si>
    <t>A) 1996, B) 2002, C) 2004, D) 2016</t>
  </si>
  <si>
    <t>D) 2016</t>
  </si>
  <si>
    <t>Indonesia won its most recent Thomas Cup in 2016, adding to its rich history of success in the tournament.</t>
  </si>
  <si>
    <t>Which year did Indonesia first participate in the Thomas Cup competition?</t>
  </si>
  <si>
    <t>A) 1949, B) 1951, C) 1953, D) 1955</t>
  </si>
  <si>
    <t>B) 1951</t>
  </si>
  <si>
    <t>Indonesia's first Thomas Cup participation was in 1951, starting its legacy in world badminton.</t>
  </si>
  <si>
    <t>Who was the first Indonesian badminton player to win a gold medal at the All England Open?</t>
  </si>
  <si>
    <t>A) Rudy Hartono, B) Liem Swie King, C) Alan Budi Kusuma, D) Taufik Hidayat</t>
  </si>
  <si>
    <t>A) Rudy Hartono</t>
  </si>
  <si>
    <t>Rudy Hartono became the first Indonesian to win the prestigious All England Open in 1968.</t>
  </si>
  <si>
    <t>Which Indonesian player won the Olympic gold medal in 1992?</t>
  </si>
  <si>
    <t>A) Alan Budi Kusuma, B) Taufik Hidayat, C) Susi Susanti, D) Mia Audina</t>
  </si>
  <si>
    <t>Susi Susanti won Indonesia's first-ever Olympic badminton gold in the 1992 Barcelona Olympics.</t>
  </si>
  <si>
    <t>In what year did Indonesia's women's team win their first Uber Cup?</t>
  </si>
  <si>
    <t>A) 1975, B) 1985, C) 1995, D) 2000</t>
  </si>
  <si>
    <t>Indonesia won its first Uber Cup in 1985, marking a key milestone in women's badminton history.</t>
  </si>
  <si>
    <t>Which Indonesian badminton player was known as 'The Emperor'?</t>
  </si>
  <si>
    <t>Rudy Hartono, nicknamed 'The Emperor,' dominated the sport with his Thomas Cup victories.</t>
  </si>
  <si>
    <t>When did Indonesia win its first Thomas Cup as a national team?</t>
  </si>
  <si>
    <t>A) 1958, B) 1960, C) 1961, D) 1963</t>
  </si>
  <si>
    <t>Indonesia won its first Thomas Cup in 1961, beginning its era of dominance in men's team events.</t>
  </si>
  <si>
    <t>A) 1989, B) 1991, C) 1993, D) 1995</t>
  </si>
  <si>
    <t>C) 1993</t>
  </si>
  <si>
    <t>Indonesia clinched its first Sudirman Cup in 1993, marking its rise in mixed-team competitions.</t>
  </si>
  <si>
    <t>Who won the men's singles at the 1996 Atlanta Olympics?</t>
  </si>
  <si>
    <t>A) Alan Budi Kusuma, B) Taufik Hidayat, C) Poul-Erik Hoyer-Larsen, D) Sun Jun</t>
  </si>
  <si>
    <t>A) Alan Budi Kusuma</t>
  </si>
  <si>
    <t>Alan Budi Kusuma won the men's singles gold at the 1996 Atlanta Olympics, securing Indonesia's place in Olympic history.</t>
  </si>
  <si>
    <t>Which year did Indonesia win the Thomas Cup after a 13-year gap, in 1996?</t>
  </si>
  <si>
    <t>A) 1995, B) 1996, C) 1997, D) 1998</t>
  </si>
  <si>
    <t>B) 1996</t>
  </si>
  <si>
    <t>Indonesia regained the Thomas Cup title in 1996 after a 13-year wait, showing its strength in international badminton.</t>
  </si>
  <si>
    <t>Which Indonesian player won the 2000 All England Open Men's Singles?</t>
  </si>
  <si>
    <t>A) Taufik Hidayat, B) Alan Budi Kusuma, C) Hendra Setiawan, D) Sigit Budiarto</t>
  </si>
  <si>
    <t>Taufik Hidayat won the 2000 All England Open Men's Singles, cementing his legacy in badminton.</t>
  </si>
  <si>
    <t>Which year did Indonesia's badminton team win the Asian Games gold medal in men's team event?</t>
  </si>
  <si>
    <t>A) 1994, B) 1998, C) 2002, D) 2006</t>
  </si>
  <si>
    <t>B) 1998</t>
  </si>
  <si>
    <t>Indonesia's men's badminton team won gold at the 1998 Asian Games in Bangkok.</t>
  </si>
  <si>
    <t>Which Indonesian player was known for his spectacular backhand smash?</t>
  </si>
  <si>
    <t>Taufik Hidayat's backhand smash was famous for its power and precision, making him a formidable force.</t>
  </si>
  <si>
    <t>Which year did Indonesia win its last Thomas Cup title?</t>
  </si>
  <si>
    <t>A) 2002, B) 2004, C) 2006, D) 2016</t>
  </si>
  <si>
    <t>Indonesia's national badminton team won its most recent Thomas Cup in 2016 after a 14-year drought.</t>
  </si>
  <si>
    <t>Who was the first Indonesian player to win the prestigious BWF World Championships in men's singles?</t>
  </si>
  <si>
    <t>A) Rudy Hartono, B) Taufik Hidayat, C) Liem Swie King, D) Alan Budi Kusuma</t>
  </si>
  <si>
    <t>Taufik Hidayat made history by winning the BWF World Championships men's singles in 2005.</t>
  </si>
  <si>
    <t>Which Indonesian player was the first to win the All England Open mixed doubles title?</t>
  </si>
  <si>
    <t>A) Taufik Hidayat, B) Liliyana Natsir, C) Hendra Setiawan, D) Markis Kido</t>
  </si>
  <si>
    <t>B) Liliyana Natsir</t>
  </si>
  <si>
    <t>Liliyana Natsir won Indonesia's first mixed doubles All England Open title in 2006.</t>
  </si>
  <si>
    <t>Which year did Indonesia's badminton team win the Thomas Cup after a 10-year hiatus?</t>
  </si>
  <si>
    <t>A) 1998, B) 2000, C) 2002, D) 2004</t>
  </si>
  <si>
    <t>C) 2002</t>
  </si>
  <si>
    <t>Indonesia's men's badminton team won the Thomas Cup in 2002 after a 10-year gap, proving their resurgence.</t>
  </si>
  <si>
    <t>Which Indonesian player is regarded as one of the greatest mixed doubles players of all time?</t>
  </si>
  <si>
    <t>A) Hendra Setiawan, B) Liliyana Natsir, C) Markis Kido, D) Mia Audina</t>
  </si>
  <si>
    <t>Liliyana Natsir's success in mixed doubles made her one of the sport's all-time greats.</t>
  </si>
  <si>
    <t>Which year did Indonesia's badminton team win the Sudirman Cup for the second time?</t>
  </si>
  <si>
    <t>A) 1999, B) 2001, C) 2003, D) 2005</t>
  </si>
  <si>
    <t>B) 2001</t>
  </si>
  <si>
    <t>Indonesia clinched its second Sudirman Cup victory in 2001, further asserting its dominance.</t>
  </si>
  <si>
    <t>Which Indonesian player was crowned as the BWF Player of the Year in 2009?</t>
  </si>
  <si>
    <t>A) Taufik Hidayat, B) Liliyana Natsir, C) Hendra Setiawan, D) Lin Dan</t>
  </si>
  <si>
    <t>C) Hendra Setiawan</t>
  </si>
  <si>
    <t>Hendra Setiawan was named BWF Player of the Year in 2009 for his achievements in men's doubles.</t>
  </si>
  <si>
    <t>In which year did Indonesia's badminton team win the Thomas Cup with a decisive victory over China?</t>
  </si>
  <si>
    <t>A) 2000, B) 2002, C) 2004, D) 2006</t>
  </si>
  <si>
    <t>C) 2004</t>
  </si>
  <si>
    <t>Indonesia won the Thomas Cup in 2004 with a dominant performance, defeating China.</t>
  </si>
  <si>
    <t>Which year did Indonesia win its most recent Sudirman Cup?</t>
  </si>
  <si>
    <t>A) 2009, B) 2011, C) 2013, D) 2015</t>
  </si>
  <si>
    <t>A) 2009</t>
  </si>
  <si>
    <t>Indonesia's badminton team claimed the Sudirman Cup in 2009, adding another prestigious title.</t>
  </si>
  <si>
    <t>Which year did Indonesia's badminton team win the first-ever World Cup in men's team event?</t>
  </si>
  <si>
    <t>A) 1987, B) 1989, C) 1991, D) 1993</t>
  </si>
  <si>
    <t>C) 1991</t>
  </si>
  <si>
    <t>Indonesia won its first World Cup in 1991, continuing its dominance in men's team badminton.</t>
  </si>
  <si>
    <t>Which year did Indonesia first host the Thomas Cup Finals?</t>
  </si>
  <si>
    <t>A) 1961, B) 1975, C) 1992, D) 2000</t>
  </si>
  <si>
    <t>A) 1961</t>
  </si>
  <si>
    <t>Indonesia hosted its first Thomas Cup Finals in 1961, the same year it won its first title.</t>
  </si>
  <si>
    <t>Who was the first Indonesian badminton player to win the prestigious BWF World Championships in women's singles?</t>
  </si>
  <si>
    <t>A) Susi Susanti, B) Liliyana Natsir, C) Mia Audina, D) Rahayu Subrata</t>
  </si>
  <si>
    <t>Susi Susanti made history by winning the women's singles BWF World Championships in 1993.</t>
  </si>
  <si>
    <t>Which year did Indonesia win the first-ever World Cup in mixed doubles?</t>
  </si>
  <si>
    <t>A) 1987, B) 1991, C) 1995, D) 2000</t>
  </si>
  <si>
    <t>B) 1991</t>
  </si>
  <si>
    <t>Indonesia won the first-ever World Cup in mixed doubles in 1991, establishing a strong presence in the sport.</t>
  </si>
  <si>
    <t>In what year did Indonesia first participate in the Uber Cup competition?</t>
  </si>
  <si>
    <t>A) 1957, B) 1960, C) 1963, D) 1970</t>
  </si>
  <si>
    <t>A) 1957</t>
  </si>
  <si>
    <t>Indonesia first participated in the Uber Cup competition in 1957, marking its entry into women's international badminton.</t>
  </si>
  <si>
    <t>Who was the first Indonesian badminton player to achieve the world No. 1 ranking in men's singles?</t>
  </si>
  <si>
    <t>A) Rudy Hartono, B) Taufik Hidayat, C) Liem Swie King, D) Sigit Budiarto</t>
  </si>
  <si>
    <t>Taufik Hidayat became the first Indonesian to reach world No. 1 in men's singles in 2001.</t>
  </si>
  <si>
    <t>Which Indonesian player won the gold medal in men's singles at the 2004 Athens Olympics?</t>
  </si>
  <si>
    <t>A) Taufik Hidayat, B) Alan Budi Kusuma, C) Rudy Hartono, D) Liem Swie King</t>
  </si>
  <si>
    <t>Taufik Hidayat won the men's singles gold medal at the 2004 Athens Olympics, adding to Indonesia's Olympic legacy.</t>
  </si>
  <si>
    <t>Which Indonesian women's doubles team won the gold medal at the 1992 Barcelona Olympics?</t>
  </si>
  <si>
    <t>A) Liliyana Natsir and Aprianto, B) Della Destiara Haris and Rani Mundiasti, C) Susi Susanti and Liliyana Natsir, D) Yulianti and Rahayu Subrata</t>
  </si>
  <si>
    <t>B) Della Destiara Haris and Rani Mundiasti</t>
  </si>
  <si>
    <t>Della Destiara Haris and Rani Mundiasti made history by winning the women's doubles gold in 1992.</t>
  </si>
  <si>
    <t>Which year did Indonesia win the first-ever Asian Badminton Championships men's doubles title?</t>
  </si>
  <si>
    <t>A) 1969, B) 1971, C) 1980, D) 1990</t>
  </si>
  <si>
    <t>B) 1971</t>
  </si>
  <si>
    <t>Indonesia won its first Asian Badminton Championships men's doubles title in 1971, marking the beginning of its dominance.</t>
  </si>
  <si>
    <t>Pertanyaan No.</t>
  </si>
  <si>
    <t>Pertanyaan</t>
  </si>
  <si>
    <t>Pilihan</t>
  </si>
  <si>
    <t>Menjawab</t>
  </si>
  <si>
    <t>Keterangan</t>
  </si>
  <si>
    <t>Where did the sport of Karapan Sapi originate in Indonesia?</t>
  </si>
  <si>
    <t>A) Bali, B) Madura, C) Jakarta, D) Surabaya</t>
  </si>
  <si>
    <t>B) Madura</t>
  </si>
  <si>
    <t>Karapan Sapi originated in Madura, an island off the coast of Java, Indonesia.</t>
  </si>
  <si>
    <t>What is the main event in Karapan Sapi?</t>
  </si>
  <si>
    <t>A) Bull riding, B) Bull racing, C) Bull fighting, D) Bull wrestling</t>
  </si>
  <si>
    <t>B) Bull racing</t>
  </si>
  <si>
    <t>Karapan Sapi is a bull racing event where teams race bulls pulling wooden sleds.</t>
  </si>
  <si>
    <t>In Karapan Sapi, how many bulls are typically involved in a race?</t>
  </si>
  <si>
    <t>A) One, B) Two, C) Three, D) Four</t>
  </si>
  <si>
    <t>B) Two</t>
  </si>
  <si>
    <t>Each team races with two bulls pulling a sled over a dirt track.</t>
  </si>
  <si>
    <t>What do the bulls wear during a Karapan Sapi race?</t>
  </si>
  <si>
    <t>A) Saddles, B) Harnesses, C) Headgear, D) Bells</t>
  </si>
  <si>
    <t>B) Harnesses</t>
  </si>
  <si>
    <t>The bulls are fitted with harnesses to control them during the race.</t>
  </si>
  <si>
    <t>What is the traditional duration of a Karapan Sapi race?</t>
  </si>
  <si>
    <t>A) 5 seconds, B) 10 seconds, C) 30 seconds, D) 1 minute</t>
  </si>
  <si>
    <t>C) 30 seconds</t>
  </si>
  <si>
    <t>The race typically lasts for about 30 seconds, covering a distance of around 100 meters.</t>
  </si>
  <si>
    <t>What is the purpose of Karapan Sapi historically?</t>
  </si>
  <si>
    <t>A) Entertainment, B) A harvest ritual, C) Religious sacrifice, D) Training bulls</t>
  </si>
  <si>
    <t>B) A harvest ritual</t>
  </si>
  <si>
    <t>Historically, Karapan Sapi was used as a ritual to celebrate the harvest season and ensure fertility.</t>
  </si>
  <si>
    <t>How are the bulls chosen for a Karapan Sapi race?</t>
  </si>
  <si>
    <t>A) Randomly, B) By size, C) By speed, D) By color</t>
  </si>
  <si>
    <t>C) By speed</t>
  </si>
  <si>
    <t>Bulls are selected based on their speed and strength to compete in the race.</t>
  </si>
  <si>
    <t>What is the traditional prize for winning a Karapan Sapi race?</t>
  </si>
  <si>
    <t>A) Money, B) A trophy, C) A new bull, D) A medal</t>
  </si>
  <si>
    <t>A) Money</t>
  </si>
  <si>
    <t>The winning team usually receives money or other rewards, and the race serves as a form of social status.</t>
  </si>
  <si>
    <t>How is the performance of bulls in Karapan Sapi races determined?</t>
  </si>
  <si>
    <t>A) By appearance, B) By teamwork, C) By speed, D) By endurance</t>
  </si>
  <si>
    <t>The winner of the race is determined by the speed of the bulls as they race to the finish line.</t>
  </si>
  <si>
    <t>What is a key characteristic of the Karapan Sapi race track?</t>
  </si>
  <si>
    <t>A) Gravel, B) Water, C) Grass, D) Dirt</t>
  </si>
  <si>
    <t>D) Dirt</t>
  </si>
  <si>
    <t>The race track is typically a dirt path that enhances the speed and agility of the bulls.</t>
  </si>
  <si>
    <t>Who typically participates as the jockey in a Karapan Sapi race?</t>
  </si>
  <si>
    <t>A) A farmer, B) A bull trainer, C) A skilled rider, D) The bull owner</t>
  </si>
  <si>
    <t>D) The bull owner</t>
  </si>
  <si>
    <t>The owner of the bulls often rides the sled, guiding the bulls during the race.</t>
  </si>
  <si>
    <t>Which Indonesian island is most famous for hosting Karapan Sapi events?</t>
  </si>
  <si>
    <t>A) Bali, B) Sumatra, C) Madura, D) Java</t>
  </si>
  <si>
    <t>C) Madura</t>
  </si>
  <si>
    <t>Madura is the island where Karapan Sapi is most famously practiced.</t>
  </si>
  <si>
    <t>What is the cultural significance of Karapan Sapi in Madura?</t>
  </si>
  <si>
    <t>A) Celebrates local mythology, B) Honors ancestors, C) Symbolizes status and pride, D) Marks a wedding</t>
  </si>
  <si>
    <t>C) Symbolizes status and pride</t>
  </si>
  <si>
    <t>In Madura, Karapan Sapi is a symbol of pride, strength, and social status.</t>
  </si>
  <si>
    <t>Which animal is the main participant in Karapan Sapi?</t>
  </si>
  <si>
    <t>A) Horse, B) Elephant, C) Bull, D) Camel</t>
  </si>
  <si>
    <t>C) Bull</t>
  </si>
  <si>
    <t>The main participants in the race are bulls, specifically those from the Madura breed.</t>
  </si>
  <si>
    <t>What is the Karapan Sapi race track called?</t>
  </si>
  <si>
    <t>A) Padang, B) Sapi Run, C) Madura Track, D) Galengan</t>
  </si>
  <si>
    <t>D) Galengan</t>
  </si>
  <si>
    <t>The race track in Karapan Sapi is called a 'Galengan,' a dirt path used for the competition.</t>
  </si>
  <si>
    <t>What role does the local community play in Karapan Sapi races?</t>
  </si>
  <si>
    <t>A) Spectators, B) Trainers, C) Organizers, D) Spectators and supporters</t>
  </si>
  <si>
    <t>D) Spectators and supporters</t>
  </si>
  <si>
    <t>The local community actively participates by supporting the teams, creating a festive atmosphere.</t>
  </si>
  <si>
    <t>How long has Karapan Sapi been a traditional event in Madura?</t>
  </si>
  <si>
    <t>A) 50 years, B) 100 years, C) 800 years, D) 1,000 years</t>
  </si>
  <si>
    <t>C) 800 years</t>
  </si>
  <si>
    <t>Karapan Sapi has been a part of Madura's culture for over 800 years.</t>
  </si>
  <si>
    <t>What historical event is associated with the beginning of Karapan Sapi?</t>
  </si>
  <si>
    <t>A) Colonial resistance, B) A royal wedding, C) A farming ritual, D) A military event</t>
  </si>
  <si>
    <t>A) Colonial resistance</t>
  </si>
  <si>
    <t>Karapan Sapi originated as a way for the Madurese people to demonstrate strength and resilience during colonial times.</t>
  </si>
  <si>
    <t>Which Indonesian region has attempted to preserve Karapan Sapi as part of its cultural heritage?</t>
  </si>
  <si>
    <t>A) Bali, B) West Java, C) Madura, D) Jakarta</t>
  </si>
  <si>
    <t>Madura has worked hard to preserve Karapan Sapi as part of its cultural identity.</t>
  </si>
  <si>
    <t>What material is typically used to construct the sleds in Karapan Sapi?</t>
  </si>
  <si>
    <t>A) Wood, B) Metal, C) Plastic, D) Bamboo</t>
  </si>
  <si>
    <t>A) Wood</t>
  </si>
  <si>
    <t>The sleds, or 'pancang,' are traditionally made of wood and are used to harness the bulls.</t>
  </si>
  <si>
    <t>What is the role of the crowd in a Karapan Sapi race?</t>
  </si>
  <si>
    <t>A) To cheer and support the bulls, B) To place bets, C) To judge the race, D) To help train the bulls</t>
  </si>
  <si>
    <t>A) To cheer and support the bulls</t>
  </si>
  <si>
    <t>The crowd plays an important role in cheering and supporting the participants, creating excitement.</t>
  </si>
  <si>
    <t>What is a common ritual that takes place before a Karapan Sapi race?</t>
  </si>
  <si>
    <t>A) Blessing the bulls, B) Painting the bulls, C) Offering sacrifices, D) Giving the bulls a bath</t>
  </si>
  <si>
    <t>A) Blessing the bulls</t>
  </si>
  <si>
    <t>Before a race, the bulls are often blessed to ensure their safety and success during the event.</t>
  </si>
  <si>
    <t>What is the 'Karapan Sapi Madura' festival?</t>
  </si>
  <si>
    <t>A) A bull festival, B) A wedding celebration, C) A harvest festival, D) A cultural parade</t>
  </si>
  <si>
    <t>A) A bull festival</t>
  </si>
  <si>
    <t>The Karapan Sapi Madura festival is an annual celebration that showcases bull racing as a traditional event.</t>
  </si>
  <si>
    <t>What type of bulls are used in Karapan Sapi races?</t>
  </si>
  <si>
    <t>A) Brahman, B) Madura, C) Javanese, D) Bali</t>
  </si>
  <si>
    <t>The bulls used in Karapan Sapi races are typically the Madura breed, known for their strength and agility.</t>
  </si>
  <si>
    <t>How do bull owners prepare their bulls for a Karapan Sapi race?</t>
  </si>
  <si>
    <t>A) They train them for strength, B) They teach them how to race, C) They feed them special food, D) They paint them</t>
  </si>
  <si>
    <t>A) They train them for strength</t>
  </si>
  <si>
    <t>Bull owners train their bulls to develop strength and stamina for racing.</t>
  </si>
  <si>
    <t>What is the Karapan Sapi race's significance to the Madurese people?</t>
  </si>
  <si>
    <t>A) It marks the start of the harvest, B) It shows the power of the community, C) It is a form of entertainment, D) It honors the king</t>
  </si>
  <si>
    <t>B) It shows the power of the community</t>
  </si>
  <si>
    <t>Karapan Sapi is seen as a way to showcase the strength, pride, and unity of the Madurese people.</t>
  </si>
  <si>
    <t>What does the success in a Karapan Sapi race bring to the winning bull's owner?</t>
  </si>
  <si>
    <t>A) Fame, B) Wealth, C) A better reputation, D) A new bull</t>
  </si>
  <si>
    <t>C) A better reputation</t>
  </si>
  <si>
    <t>Victory in Karapan Sapi enhances the reputation of the bull owner within the community.</t>
  </si>
  <si>
    <t>How are the bulls traditionally trained for Karapan Sapi?</t>
  </si>
  <si>
    <t>A) By running alongside other bulls, B) By pulling heavy loads, C) By chasing small animals, D) By running on treadmills</t>
  </si>
  <si>
    <t>B) By pulling heavy loads</t>
  </si>
  <si>
    <t>Bulls are trained by pulling heavy loads to build strength and stamina for the race.</t>
  </si>
  <si>
    <t>What is the role of the trainer in Karapan Sapi?</t>
  </si>
  <si>
    <t>A) To manage the bulls' diet, B) To train the bulls for speed, C) To judge the race, D) To cheer for the bulls</t>
  </si>
  <si>
    <t>B) To train the bulls for speed</t>
  </si>
  <si>
    <t>The trainer's main role is to train the bulls, focusing on building speed and agility.</t>
  </si>
  <si>
    <t>What does 'Galengan' mean in the context of Karapan Sapi?</t>
  </si>
  <si>
    <t>A) The winner, B) The track, C) The festival, D) The sled</t>
  </si>
  <si>
    <t>B) The track</t>
  </si>
  <si>
    <t>Galengan' refers to the dirt track used for the Karapan Sapi races.</t>
  </si>
  <si>
    <t>What is the traditional attire of participants in a Karapan Sapi race?</t>
  </si>
  <si>
    <t>A) Uniforms, B) Traditional Madurese clothing, C) Racing suits, D) Casual wear</t>
  </si>
  <si>
    <t>B) Traditional Madurese clothing</t>
  </si>
  <si>
    <t>Participants typically wear traditional Madurese clothing during the race, adding to the cultural experience.</t>
  </si>
  <si>
    <t>In which year did Karapan Sapi officially become recognized as a cultural heritage of Indonesia?</t>
  </si>
  <si>
    <t>A) 1980, B) 1991, C) 2000, D) 2005</t>
  </si>
  <si>
    <t>Karapan Sapi was officially recognized as a cultural heritage of Indonesia in 1991.</t>
  </si>
  <si>
    <t>What is the traditional duration of the Karapan Sapi race?</t>
  </si>
  <si>
    <t>A) 5 seconds, B) 30 seconds, C) 1 minute, D) 3 minutes</t>
  </si>
  <si>
    <t>B) 30 seconds</t>
  </si>
  <si>
    <t>The race usually lasts around 30 seconds, covering a distance of about 100 meters.</t>
  </si>
  <si>
    <t>What do the wooden sleds used in Karapan Sapi represent?</t>
  </si>
  <si>
    <t>A) A symbol of status, B) A tool for the race, C) A religious offering, D) A form of decoration</t>
  </si>
  <si>
    <t>B) A tool for the race</t>
  </si>
  <si>
    <t>The wooden sleds, or 'pancang,' are an essential part of the race, allowing the bulls to pull the driver.</t>
  </si>
  <si>
    <t>Which bull breed is commonly used in Karapan Sapi races?</t>
  </si>
  <si>
    <t>A) Madura, B) Brahman, C) Javanese, D) Bali</t>
  </si>
  <si>
    <t>A) Madura</t>
  </si>
  <si>
    <t>The Madura bull is the primary breed used in Karapan Sapi due to its strength and speed.</t>
  </si>
  <si>
    <t>What is the traditional celebration that accompanies Karapan Sapi races?</t>
  </si>
  <si>
    <t>A) Harvest festival, B) Royal coronation, C) New Year celebration, D) Cultural parade</t>
  </si>
  <si>
    <t>A) Harvest festival</t>
  </si>
  <si>
    <t>Karapan Sapi races are often part of harvest celebrations, symbolizing the prosperity and fertility of the land.</t>
  </si>
  <si>
    <t>How do the bulls communicate with the rider during the race?</t>
  </si>
  <si>
    <t>A) Through signals, B) By voice commands, C) Through whips, D) Through reins and harnesses</t>
  </si>
  <si>
    <t>D) Through reins and harnesses</t>
  </si>
  <si>
    <t>Riders communicate with the bulls via reins and harnesses, guiding them throughout the race.</t>
  </si>
  <si>
    <t>How many bulls are typically used in each Karapan Sapi race?</t>
  </si>
  <si>
    <t>A) One, B) Two, C) Four, D) Six</t>
  </si>
  <si>
    <t>Each Karapan Sapi team typically races with two bulls pulling a sled.</t>
  </si>
  <si>
    <t>What is the primary function of the bulls' owner during a Karapan Sapi race?</t>
  </si>
  <si>
    <t>A) To train the bulls, B) To cheer, C) To ride the sled, D) To manage the event</t>
  </si>
  <si>
    <t>C) To ride the sled</t>
  </si>
  <si>
    <t>The bull owner often rides the sled and guides the bulls during the race.</t>
  </si>
  <si>
    <t>What is a common feature of Karapan Sapi tracks?</t>
  </si>
  <si>
    <t>A) Water features, B) Smooth grass, C) Dirt paths, D) Slopes</t>
  </si>
  <si>
    <t>C) Dirt paths</t>
  </si>
  <si>
    <t>Karapan Sapi tracks are traditionally made of dirt, providing a surface suitable for the bulls' speed.</t>
  </si>
  <si>
    <t>How long has Karapan Sapi been practiced by the Madurese people?</t>
  </si>
  <si>
    <t>A) 200 years, B) 500 years, C) 800 years, D) 1000 years</t>
  </si>
  <si>
    <t>Karapan Sapi has been a traditional sport in Madura for over 800 years.</t>
  </si>
  <si>
    <t>What is the role of the crowd in a Karapan Sapi event?</t>
  </si>
  <si>
    <t>A) To judge the race, B) To cheer and support, C) To run alongside bulls, D) To place bets</t>
  </si>
  <si>
    <t>B) To cheer and support</t>
  </si>
  <si>
    <t>The crowd plays a significant role in creating a festive atmosphere by cheering and supporting the racers.</t>
  </si>
  <si>
    <t>Which region in Indonesia is known for its Karapan Sapi festivals?</t>
  </si>
  <si>
    <t>Madura is the region most famous for Karapan Sapi, with annual festivals showcasing the sport.</t>
  </si>
  <si>
    <t>What historical event led to the development of Karapan Sapi?</t>
  </si>
  <si>
    <t>A) Resistance against colonial rule, B) A royal competition, C) A harvest festival, D) An animal hunting ritual</t>
  </si>
  <si>
    <t>A) Resistance against colonial rule</t>
  </si>
  <si>
    <t>Karapan Sapi originated as a form of resistance and a demonstration of strength during the colonial era.</t>
  </si>
  <si>
    <t>What is traditionally given to the winning team of Karapan Sapi?</t>
  </si>
  <si>
    <t>A) A bull, B) A trophy, C) Money, D) A house</t>
  </si>
  <si>
    <t>C) Money</t>
  </si>
  <si>
    <t>Winners of Karapan Sapi typically receive money or other forms of recognition as prizes.</t>
  </si>
  <si>
    <t>How do the bulls prepare for a Karapan Sapi race?</t>
  </si>
  <si>
    <t>A) They are trained by walking, B) They are trained by running, C) They are painted, D) They are kept in stables</t>
  </si>
  <si>
    <t>B) They are trained by running</t>
  </si>
  <si>
    <t>Bulls are trained by running short distances to build their strength and speed for the race.</t>
  </si>
  <si>
    <t>What is a unique feature of the Karapan Sapi sled?</t>
  </si>
  <si>
    <t>A) It has wheels, B) It is made of metal, C) It is shaped like a boat, D) It is made of wood</t>
  </si>
  <si>
    <t>D) It is made of wood</t>
  </si>
  <si>
    <t>The sled used in Karapan Sapi races is traditionally made of wood, designed for speed and control.</t>
  </si>
  <si>
    <t>What is the main goal of a Karapan Sapi race?</t>
  </si>
  <si>
    <t>A) To entertain the crowd, B) To win a prize, C) To show bull strength, D) To show farming skills</t>
  </si>
  <si>
    <t>B) To win a prize</t>
  </si>
  <si>
    <t>The main goal of a Karapan Sapi race is for the team to finish first and win a prize, usually money.</t>
  </si>
  <si>
    <t>In Karapan Sapi, how are the bulls controlled during the race?</t>
  </si>
  <si>
    <t>A) With reins and harnesses, B) With voice commands, C) With whips, D) With physical barriers</t>
  </si>
  <si>
    <t>A) With reins and harnesses</t>
  </si>
  <si>
    <t>The bulls are controlled using reins and harnesses to guide them throughout the race.</t>
  </si>
  <si>
    <t>What role does the Karapan Sapi race play in Madurese culture?</t>
  </si>
  <si>
    <t>A) A religious ritual, B) A form of entertainment, C) A means of communication, D) A symbol of status and pride</t>
  </si>
  <si>
    <t>D) A symbol of status and pride</t>
  </si>
  <si>
    <t>Karapan Sapi serves as a symbol of status and pride for the Madurese people, showing their strength and cultural heritage.</t>
  </si>
  <si>
    <t>What is the typical length of the track used in Karapan Sapi?</t>
  </si>
  <si>
    <t>A) 50 meters, B) 100 meters, C) 200 meters, D) 500 meters</t>
  </si>
  <si>
    <t>B) 100 meters</t>
  </si>
  <si>
    <t>The typical length of the Karapan Sapi race track is 100 meters, allowing for a fast-paced competition.</t>
  </si>
  <si>
    <t>What kind of festival is Karapan Sapi part of?</t>
  </si>
  <si>
    <t>A) Harvest festival, B) Cultural festival, C) Religious festival, D) Sport festival</t>
  </si>
  <si>
    <t>B) Cultural festival</t>
  </si>
  <si>
    <t>Karapan Sapi is often part of a cultural festival that celebrates Madurese traditions and heritage.</t>
  </si>
  <si>
    <t>What is the traditional reward for the owner of the winning bull in Karapan Sapi?</t>
  </si>
  <si>
    <t>A) A crown, B) A monetary prize, C) A bull, D) A title</t>
  </si>
  <si>
    <t>B) A monetary prize</t>
  </si>
  <si>
    <t>The winning bull's owner usually receives a monetary reward as recognition for their victory.</t>
  </si>
  <si>
    <t>How do participants prepare their bulls for Karapan Sapi?</t>
  </si>
  <si>
    <t>A) By feeding them special food, B) By training them to pull sleds, C) By painting them, D) By letting them rest</t>
  </si>
  <si>
    <t>B) By training them to pull sleds</t>
  </si>
  <si>
    <t>Participants train their bulls to pull sleds, building strength and speed for the race.</t>
  </si>
  <si>
    <t>What happens if a bull does not perform well during the Karapan Sapi race?</t>
  </si>
  <si>
    <t>A) The bull is disqualified, B) The race is paused, C) The bull is replaced, D) The bull is fined</t>
  </si>
  <si>
    <t>A) The bull is disqualified</t>
  </si>
  <si>
    <t>If a bull does not perform well during the race, it is disqualified, and the team may not be able to finish.</t>
  </si>
  <si>
    <t>What is the significance of Karapan Sapi to the economy of Madura?</t>
  </si>
  <si>
    <t>A) It promotes agriculture, B) It boosts tourism, C) It increases cattle sales, D) It brings in foreign investments</t>
  </si>
  <si>
    <t>B) It boosts tourism</t>
  </si>
  <si>
    <t>Karapan Sapi plays a significant role in boosting tourism to Madura, attracting visitors to the races and festivals.</t>
  </si>
  <si>
    <t>How are the bulls traditionally decorated for Karapan Sapi?</t>
  </si>
  <si>
    <t>A) With flowers, B) With colorful fabrics, C) With painted designs, D) With jewels</t>
  </si>
  <si>
    <t>B) With colorful fabrics</t>
  </si>
  <si>
    <t>Bulls are often decorated with colorful fabrics to add visual appeal during the race.</t>
  </si>
  <si>
    <t>What is the main type of training involved for bulls participating in Karapan Sapi?</t>
  </si>
  <si>
    <t>A) Strength training, B) Speed training, C) Agility training, D) Endurance training</t>
  </si>
  <si>
    <t>B) Speed training</t>
  </si>
  <si>
    <t>Bulls undergo speed training to ensure they can race quickly and efficiently during Karapan Sapi.</t>
  </si>
  <si>
    <t>In which province of Indonesia is Karapan Sapi most commonly practiced?</t>
  </si>
  <si>
    <t>A) Bali, B) Madura, C) Sumatra, D) Java</t>
  </si>
  <si>
    <t>Karapan Sapi is most commonly practiced in Madura, where it is a significant part of the culture.</t>
  </si>
  <si>
    <t>What is the primary purpose of Karapan Sapi races in Madura?</t>
  </si>
  <si>
    <t>A) To celebrate harvest, B) To test the strength of bulls, C) To honor the gods, D) To entertain the royal family</t>
  </si>
  <si>
    <t>A) To celebrate harvest</t>
  </si>
  <si>
    <t>Karapan Sapi races have traditionally been part of harvest celebrations in Madura.</t>
  </si>
  <si>
    <t>Which coastal regency historically hosted the final “grand meet” after village qualifiers in Madura’s racing season?</t>
  </si>
  <si>
    <t>A) Bangkalan B) Sampang C) Pamekasan D) Sumenep</t>
  </si>
  <si>
    <t>C) Pamekasan</t>
  </si>
  <si>
    <t>Historical accounts note Pamekasan’s “Karapan Besar” as the season’s culminating event.</t>
  </si>
  <si>
    <t>In older chronicles, which musical ensemble traditionally led the race procession?</t>
  </si>
  <si>
    <t>A) Gamelan degung B) Saronen C) Angklung D) Kolintang</t>
  </si>
  <si>
    <t>B) Saronen</t>
  </si>
  <si>
    <t>Saronen (double-reed) music has long signaled prestige and ritual energy.</t>
  </si>
  <si>
    <t>Early patronage of Karapan Sapi is most associated with which local social stratum?</t>
  </si>
  <si>
    <t>A) Fisher guilds B) Temple custodians C) Blater elites D) Rice tax clerks</t>
  </si>
  <si>
    <t>C) Blater elites</t>
  </si>
  <si>
    <t>Powerful patrons (blater) financed bulls, trainers, and festivities.</t>
  </si>
  <si>
    <t>Historically, what pre-race rite symbolized communal harmony before competition?</t>
  </si>
  <si>
    <t>A) Joint village meal B) Shared well-drawing C) Oath at the mosque gate D) Procession around ancestral graves</t>
  </si>
  <si>
    <t>A) Joint village meal</t>
  </si>
  <si>
    <t>Communal feasts (slametan-like) affirmed solidarity and good fortune.</t>
  </si>
  <si>
    <t>In older narratives, which calendar logic most influenced race scheduling?</t>
  </si>
  <si>
    <t>A) Solar months B) Market weeks C) Hijri lunar months D) Tide cycles</t>
  </si>
  <si>
    <t>C) Hijri lunar months</t>
  </si>
  <si>
    <t>Many villages timed races to auspicious lunar weekends.</t>
  </si>
  <si>
    <t>The symbolic pairing of two bulls historically represented:</t>
  </si>
  <si>
    <t>A) Sea–land balance B) Heaven–earth axis C) Leadership–loyalty bond D) Power–fertility duality</t>
  </si>
  <si>
    <t>D) Power–fertility duality</t>
  </si>
  <si>
    <t>Bulls embodied strength and agricultural fecundity.</t>
  </si>
  <si>
    <t>In colonial-era descriptions, which track arrangement was favored to manage crowds?</t>
  </si>
  <si>
    <t>A) Ellipse B) Narrow straight C) Horseshoe D) Zigzag</t>
  </si>
  <si>
    <t>B) Narrow straight</t>
  </si>
  <si>
    <t>A straight, narrow corridor kept momentum high and crowds lateral.</t>
  </si>
  <si>
    <t>Which ritual object was sometimes tied to tack for protection?</t>
  </si>
  <si>
    <t>A) Miniature sickle B) Sedge cross C) Quranic amulet D) Shell charm</t>
  </si>
  <si>
    <t>C) Quranic amulet</t>
  </si>
  <si>
    <t>Amulets with verses were believed to confer safety and speed.</t>
  </si>
  <si>
    <t>In oral histories, a master trainer was prized mainly for:</t>
  </si>
  <si>
    <t>A) Herbal lore B) Sled design C) Pace calling D) Diet calculus</t>
  </si>
  <si>
    <t>A) Herbal lore</t>
  </si>
  <si>
    <t>Knowledge of tonics and balms formed a key competitive edge.</t>
  </si>
  <si>
    <t>Which village alliance practice historically intensified rivalries?</t>
  </si>
  <si>
    <t>A) Shared feed barns B) Rotating hosts C) Joint bull leasing D) Co-financed music troupes</t>
  </si>
  <si>
    <t>B) Rotating hosts</t>
  </si>
  <si>
    <t>Hosting rotation spread prestige and fueled inter-village stakes.</t>
  </si>
  <si>
    <t>A classic pre-modern prize besides money was:</t>
  </si>
  <si>
    <t>A) Land deed B) Honor shawl C) Royal token D) Bronze gong</t>
  </si>
  <si>
    <t>D) Bronze gong</t>
  </si>
  <si>
    <t>Gongs symbolized lasting prestige and could be displayed publicly.</t>
  </si>
  <si>
    <t>In older times, horn adornment most commonly signified:</t>
  </si>
  <si>
    <t>A) Clan colors B) Solar worship C) Market ownership D) Tax immunity</t>
  </si>
  <si>
    <t>A) Clan colors</t>
  </si>
  <si>
    <t>Colors and fabrics marked patronage and lineage pride.</t>
  </si>
  <si>
    <t>Early reports note which surface treatment to harden tracks before race day?</t>
  </si>
  <si>
    <t>A) Borax B) Saltwater sprinkling C) Ash mixing D) Rice-husk tamping</t>
  </si>
  <si>
    <t>D) Rice-husk tamping</t>
  </si>
  <si>
    <t>Husk and soil compaction improved grip and sprint stability.</t>
  </si>
  <si>
    <t>In late-19th-century descriptions, which role mediated disputes at festivals?</t>
  </si>
  <si>
    <t>A) Village midwife B) Mosque custodian C) Market inspector D) Headman council</t>
  </si>
  <si>
    <t>D) Headman council</t>
  </si>
  <si>
    <t>Local councils arbitrated false starts and ownership quarrels.</t>
  </si>
  <si>
    <t>A symbolic banter chant between rival camps historically aimed to:</t>
  </si>
  <si>
    <t>A) Invoke spirits B) Intimidate opponents C) Bless elders D) Distract bulls</t>
  </si>
  <si>
    <t>B) Intimidate opponents</t>
  </si>
  <si>
    <t>Poetic taunts reinforced honor culture and competitive fire.</t>
  </si>
  <si>
    <t>In older breeding lore, selecting paired temperaments targeted:</t>
  </si>
  <si>
    <t>A) Identical gait B) Complementary stride C) Alternating dominance D) Mixed horn widths</t>
  </si>
  <si>
    <t>B) Complementary stride</t>
  </si>
  <si>
    <t>Trainers sought synchronized acceleration more than identical builds.</t>
  </si>
  <si>
    <t>Before modern sponsorships, who typically underwrote travel costs?</t>
  </si>
  <si>
    <t>A) Town scribes B) Clan matrons C) Patron landholders D) Youth guilds</t>
  </si>
  <si>
    <t>C) Patron landholders</t>
  </si>
  <si>
    <t>Landed patrons bankrolled logistics for prestige returns.</t>
  </si>
  <si>
    <t>Historic starter signals most often relied on:</t>
  </si>
  <si>
    <t>A) Drum roll B) Torch drop C) Handkerchief sweep D) Conch blast</t>
  </si>
  <si>
    <t>A) Drum roll</t>
  </si>
  <si>
    <t>Drums coordinated focus across a loud, dense crowd.</t>
  </si>
  <si>
    <t>In tradition, a victory lap functioned primarily as:</t>
  </si>
  <si>
    <t>A) Blessing rite B) Claim of fair play C) Sponsor showcase D) Rival appeasement</t>
  </si>
  <si>
    <t>C) Sponsor showcase</t>
  </si>
  <si>
    <t>The lap exhibited bulls, harness, and patron banners.</t>
  </si>
  <si>
    <t>Among elite owners, record-keeping historically focused on:</t>
  </si>
  <si>
    <t>A) Minutes per 200 m B) Split acceleration C) Pedigree chains D) Feed conversions</t>
  </si>
  <si>
    <t>C) Pedigree chains</t>
  </si>
  <si>
    <t>Genealogy notebooks guided long-term breeding strategies.</t>
  </si>
  <si>
    <t>The rise of itinerant trainers in the early 20th century mainly reflected:</t>
  </si>
  <si>
    <t>A) Labor laws B) Seasonal migration C) Market integration D) School calendars</t>
  </si>
  <si>
    <t>C) Market integration</t>
  </si>
  <si>
    <t>Wider circuits demanded specialized traveling expertise.</t>
  </si>
  <si>
    <t>Historically, festival weeks bundled Karapan Sapi with:</t>
  </si>
  <si>
    <t>A) Puppet epics B) Rice harvest auctions C) Boat regattas D) Betel-leaf markets</t>
  </si>
  <si>
    <t>D) Betel-leaf markets</t>
  </si>
  <si>
    <t>Betel trade fairs coincided with peak crowd inflows.</t>
  </si>
  <si>
    <t>In prestige terms, a runner-up finish could still secure:</t>
  </si>
  <si>
    <t>A) Tax relief B) Breeding offers C) Village office D) Mosque endowment</t>
  </si>
  <si>
    <t>B) Breeding offers</t>
  </si>
  <si>
    <t>Near-winners attracted lucrative pairing requests.</t>
  </si>
  <si>
    <t>A classic pre-race taboo for handlers was:</t>
  </si>
  <si>
    <t>A) Crossing the bulls B) Facing west C) Eating sour fruit D) Wearing blue</t>
  </si>
  <si>
    <t>C) Eating sour fruit</t>
  </si>
  <si>
    <t>“Sourness” was thought to carry bad luck to the team.</t>
  </si>
  <si>
    <t>In folklore, dream omens about bulls were often interpreted by:</t>
  </si>
  <si>
    <t>A) Fisher elders B) Dukun C) Scribes D) Traders</t>
  </si>
  <si>
    <t>B) Dukun</t>
  </si>
  <si>
    <t>Spiritual specialists decoded dreams for tactical choices.</t>
  </si>
  <si>
    <t>Historical training circuits often used:</t>
  </si>
  <si>
    <t>A) Beach shallows B) Dry riverbeds C) Market lanes D) Temple yards</t>
  </si>
  <si>
    <t>B) Dry riverbeds</t>
  </si>
  <si>
    <t>Straight, firm beds mimicked race dynamics with minimal hazards.</t>
  </si>
  <si>
    <t>In older disputes, ownership proof most credibly rested on:</t>
  </si>
  <si>
    <t>A) Horn notches B) Ear marks C) Halter weave D) Coat dye</t>
  </si>
  <si>
    <t>B) Ear marks</t>
  </si>
  <si>
    <t>Distinct ear markings served as verifiable identity tags.</t>
  </si>
  <si>
    <t>Village epics sometimes liken the sled to:</t>
  </si>
  <si>
    <t>A) War chariot B) Royal litter C) Plow ancestor D) Sea prow</t>
  </si>
  <si>
    <t>A) War chariot</t>
  </si>
  <si>
    <t>Metaphor elevated competition to heroic contest.</t>
  </si>
  <si>
    <t>Before modern prizes, honorific titles for bulls commonly referenced:</t>
  </si>
  <si>
    <t>A) Wind B) Iron C) Lightning D) All of the above</t>
  </si>
  <si>
    <t>D) All of the above</t>
  </si>
  <si>
    <t>Elemental names signified speed, stamina, and awe.</t>
  </si>
  <si>
    <t>Historically, women’s roles most visibly surfaced as:</t>
  </si>
  <si>
    <t>A) Track stewards B) Lead jockeys C) Ritual singers D) Rule enforcers</t>
  </si>
  <si>
    <t>C) Ritual singers</t>
  </si>
  <si>
    <t>Vocal arts and costume helped sacralize proceedings.</t>
  </si>
  <si>
    <t>The safety cord innovation (to steady the rider) spread mainly due to:</t>
  </si>
  <si>
    <t>A) Port customs B) Missionary clinics C) Market blacksmiths D) Trainer guilds</t>
  </si>
  <si>
    <t>D) Trainer guilds</t>
  </si>
  <si>
    <t>Guild networks diffused low-tech, high-impact tweaks.</t>
  </si>
  <si>
    <t>In inter-regency circuits, bulls often traveled by:</t>
  </si>
  <si>
    <t>A) Sea prahu B) Hand-carriage C) Palanquin D) Pony cart</t>
  </si>
  <si>
    <t>A) Sea prahu</t>
  </si>
  <si>
    <t>Coastal prahu allowed safer moves than rough inland roads.</t>
  </si>
  <si>
    <t>An early modernization was careful measurement of:</t>
  </si>
  <si>
    <t>A) Hoof angles B) Yoke flex C) Breastband height D) All of the above</t>
  </si>
  <si>
    <t>Incremental tack geometry yielded better launch and control.</t>
  </si>
  <si>
    <t>Elders used parable contests during festivals to teach:</t>
  </si>
  <si>
    <t>A) Clan boundaries B) Fair dealing C) Fishing quotas D) Tax codes</t>
  </si>
  <si>
    <t>B) Fair dealing</t>
  </si>
  <si>
    <t>Oral parables reinforced ethics alongside spectacle.</t>
  </si>
  <si>
    <t>The processional order traditionally placed who at front?</t>
  </si>
  <si>
    <t>A) Drummers B) Jockey C) Bulls D) Headman</t>
  </si>
  <si>
    <t>A) Drummers</t>
  </si>
  <si>
    <t>Sound cleared the path, then bulls, then dignitaries.</t>
  </si>
  <si>
    <t>Historic race marshals signaled false starts with:</t>
  </si>
  <si>
    <t>A) White cloth B) Two drum strikes C) Backward flag D) Triple whistle</t>
  </si>
  <si>
    <t>B) Two drum strikes</t>
  </si>
  <si>
    <t>A double beat universally meant “reset”.</t>
  </si>
  <si>
    <t>Pre-modern breeding claims were validated mainly by:</t>
  </si>
  <si>
    <t>A) Elders’ testimony B) Seal rings C) Trade ledgers D) Temple scrolls</t>
  </si>
  <si>
    <t>A) Elders’ testimony</t>
  </si>
  <si>
    <t>Witness memory substituted for missing written records.</t>
  </si>
  <si>
    <t>A training taboo warned against pairing bulls with:</t>
  </si>
  <si>
    <t>A) Similar horn curl B) Different coat colors C) Mismatched tempers D) Equal shoulder height</t>
  </si>
  <si>
    <t>C) Mismatched tempers</t>
  </si>
  <si>
    <t>Temper discord was feared to ruin synchrony.</t>
  </si>
  <si>
    <t>In mythic retellings, the fastest bulls traced lineage to:</t>
  </si>
  <si>
    <t>A) Sea spirits B) Mountain tigers C) Monsoon winds D) Volcano fire</t>
  </si>
  <si>
    <t>C) Monsoon winds</t>
  </si>
  <si>
    <t>Wind imagery linked speed to seasonal vitality.</t>
  </si>
  <si>
    <t>Historic festival charters commonly included clauses on:</t>
  </si>
  <si>
    <t>A) Price caps B) Crowd fences C) Sacred pauses for prayer D) Night curfew</t>
  </si>
  <si>
    <t>C) Sacred pauses for prayer</t>
  </si>
  <si>
    <t>Breaks aligned competition with devotional rhythms.</t>
  </si>
  <si>
    <t>A classic victory gift to village mosques was:</t>
  </si>
  <si>
    <t>A) Lamp oil B) Prayer mats C) Brass lamps D) Timber beams</t>
  </si>
  <si>
    <t>C) Brass lamps</t>
  </si>
  <si>
    <t>Donated lamps signaled thanks and public virtue.</t>
  </si>
  <si>
    <t>The rivalry etiquette discouraged:</t>
  </si>
  <si>
    <t>A) Visiting stables B) Insulting the bulls C) Borrowing drums D) Sharing water</t>
  </si>
  <si>
    <t>B) Insulting the bulls</t>
  </si>
  <si>
    <t>Bulls were addressed with reverence as status bearers.</t>
  </si>
  <si>
    <t>A customary reconciliation after disputes involved:</t>
  </si>
  <si>
    <t>A) Shared prayer B) Exchange of cloth C) Joint meal D) Public apology</t>
  </si>
  <si>
    <t>C) Joint meal</t>
  </si>
  <si>
    <t>Eating together symbolically restored harmony.</t>
  </si>
  <si>
    <t>Early recorded handicaps occasionally adjusted:</t>
  </si>
  <si>
    <t>A) Sled mass B) Track lane C) Start distance D) Warmup time</t>
  </si>
  <si>
    <t>C) Start distance</t>
  </si>
  <si>
    <t>Slight offsets attempted to balance mismatches.</t>
  </si>
  <si>
    <t>In vintage gear, the breastplate was often lined with:</t>
  </si>
  <si>
    <t>A) Rattan B) Felt C) Goat hide D) Bark</t>
  </si>
  <si>
    <t>C) Goat hide</t>
  </si>
  <si>
    <t>Soft hides reduced chafing during explosive starts.</t>
  </si>
  <si>
    <t>Historic rain protocols called for:</t>
  </si>
  <si>
    <t>A) Coarser soil B) Later starts C) Shorter heats D) All of the above</t>
  </si>
  <si>
    <t>Wet conditions forced conservative schedule changes.</t>
  </si>
  <si>
    <t>A lineage honor allowed famed bulls to:</t>
  </si>
  <si>
    <t>A) Lead prayer B) Wear gold tassels C) Skip qualifiers D) Receive village guards</t>
  </si>
  <si>
    <t>B) Wear gold tassels</t>
  </si>
  <si>
    <t>Tassels visually coded elite status.</t>
  </si>
  <si>
    <t>Early training diets emphasized:</t>
  </si>
  <si>
    <t>A) Palm sugar water B) Seaweed mash C) Fermented rice D) Cassava leaves</t>
  </si>
  <si>
    <t>A) Palm sugar water</t>
  </si>
  <si>
    <t>Sweet water was believed to boost quick energy.</t>
  </si>
  <si>
    <t>Traditional good-luck scents burned at stalls included:</t>
  </si>
  <si>
    <t>A) Sandalwood B) Clove C) Benzoin D) All of the above</t>
  </si>
  <si>
    <t>Aromatics marked purification and auspicious intent.</t>
  </si>
  <si>
    <t>In moral tales, reckless owners were punished by:</t>
  </si>
  <si>
    <t>A) Broken sleds B) Start penalties C) Sudden rain D) Bull refusal</t>
  </si>
  <si>
    <t>D) Bull refusal</t>
  </si>
  <si>
    <t>Legends warned against pride upsetting human-animal harmony.</t>
  </si>
  <si>
    <t>A starter’s assistant historically verified:</t>
  </si>
  <si>
    <t>A) Amulet legality B) Halter integrity C) Lane readiness D) Owner age</t>
  </si>
  <si>
    <t>B) Halter integrity</t>
  </si>
  <si>
    <t>Safety checks preempted protests and injuries.</t>
  </si>
  <si>
    <t>The festival herald customarily announced:</t>
  </si>
  <si>
    <t>A) Pedigrees B) Match-ups C) Market prices D) Road closures</t>
  </si>
  <si>
    <t>B) Match-ups</t>
  </si>
  <si>
    <t>Public match calls stoked crowd anticipation.</t>
  </si>
  <si>
    <t>Historic track markers were often made from:</t>
  </si>
  <si>
    <t>A) Coconut fronds B) Terracotta pegs C) Shell piles D) Colored stones</t>
  </si>
  <si>
    <t>A) Coconut fronds</t>
  </si>
  <si>
    <t>Fronds were plentiful and highly visible.</t>
  </si>
  <si>
    <t>In some areas, yoke crafts were carved with motifs of:</t>
  </si>
  <si>
    <t>A) Rice panicles B) Waves C) Crescent moons D) All of the above</t>
  </si>
  <si>
    <t>Motifs blended agrarian, maritime, and spiritual themes.</t>
  </si>
  <si>
    <t>A runner’s oath before semifinals affirmed:</t>
  </si>
  <si>
    <t>A) Village loyalty B) Rule obedience C) Trainer credit D) Alms donation</t>
  </si>
  <si>
    <t>B) Rule obedience</t>
  </si>
  <si>
    <t>Oaths legitimated outcomes and eased tensions.</t>
  </si>
  <si>
    <t>Rival camps sometimes “read” hoof prints to infer:</t>
  </si>
  <si>
    <t>A) Pulse rate B) Stride symmetry C) Diet D) Temper</t>
  </si>
  <si>
    <t>B) Stride symmetry</t>
  </si>
  <si>
    <t>Even spacing hinted at superior coordination.</t>
  </si>
  <si>
    <t>Historic tack coloration signaled mainly:</t>
  </si>
  <si>
    <t>A) Prayer cycles B) Owner’s rank C) Market ties D) Drought warnings</t>
  </si>
  <si>
    <t>B) Owner’s rank</t>
  </si>
  <si>
    <t>Visual codes instantly communicated hierarchy.</t>
  </si>
  <si>
    <t>In legend, a miracle start occurred when drums:</t>
  </si>
  <si>
    <t>A) Fell silent B) Doubled tempo C) Broke mid-roll D) Echoed thrice</t>
  </si>
  <si>
    <t>D) Echoed thrice</t>
  </si>
  <si>
    <t>Triple echoes signified divine favor in folktales.</t>
  </si>
  <si>
    <t>A classic sportsmanship gesture by winners was:</t>
  </si>
  <si>
    <t>A) Gift of feed B) Lend a groom C) Offer a farrier D) Share festival fees</t>
  </si>
  <si>
    <t>A) Gift of feed</t>
  </si>
  <si>
    <t>Feed gifts softened the sting of defeat.</t>
  </si>
  <si>
    <t>Historic youth initiation into Karapan Sapi began with:</t>
  </si>
  <si>
    <t>A) Drumming B) Tack cleaning C) Banner bearing D) Meal serving</t>
  </si>
  <si>
    <t>B) Tack cleaning</t>
  </si>
  <si>
    <t>Care tasks taught respect before competition.</t>
  </si>
  <si>
    <t>The opening invocation sometimes referenced:</t>
  </si>
  <si>
    <t>A) Sea crossings B) Ancestral cattle C) Harvest moons D) War victories</t>
  </si>
  <si>
    <t>C) Harvest moons</t>
  </si>
  <si>
    <t>Lunar imagery tied speed to agrarian rhythms.</t>
  </si>
  <si>
    <t>In some districts, qualifiers were called:</t>
  </si>
  <si>
    <t>A) Kecil rounds B) Kenceng heats C) Rakit trials D) Pra-besar</t>
  </si>
  <si>
    <t>D) Pra-besar</t>
  </si>
  <si>
    <t>“Before the big” designated pre-final stages.</t>
  </si>
  <si>
    <t>Elders taught that over-decorating bulls could:</t>
  </si>
  <si>
    <t>A) Invite envy B) Slow starts C) Distract jockeys D) Anger spirits</t>
  </si>
  <si>
    <t>A) Invite envy</t>
  </si>
  <si>
    <t>Modesty was counseled to avoid social friction.</t>
  </si>
  <si>
    <t>Historic clinic tents for animals were staffed by:</t>
  </si>
  <si>
    <t>A) Sailors B) Smiths C) Herbalists D) Carpenters</t>
  </si>
  <si>
    <t>C) Herbalists</t>
  </si>
  <si>
    <t>Herbalists addressed strains and skin abrasions.</t>
  </si>
  <si>
    <t>A typical disciplinary penalty for rough conduct was:</t>
  </si>
  <si>
    <t>A) Forfeit prize B) Public apology C) One-year ban D) Lane reassignment</t>
  </si>
  <si>
    <t>D) Lane reassignment</t>
  </si>
  <si>
    <t>Moving lanes neutralized advantage without ending careers.</t>
  </si>
  <si>
    <t>A veteran bull’s retirement was marked by:</t>
  </si>
  <si>
    <t>A) Ocean dip B) Mosque blessing C) Ear-ring removal D) Sled garland</t>
  </si>
  <si>
    <t>B) Mosque blessing</t>
  </si>
  <si>
    <t>Blessings honored service and safe pasture.</t>
  </si>
  <si>
    <t>Historic festival posters first spread widely via:</t>
  </si>
  <si>
    <t>A) Port bulletins B) Traveling bards C) Mosque noticeboards D) Market criers</t>
  </si>
  <si>
    <t>C) Mosque noticeboards</t>
  </si>
  <si>
    <t>Central community hubs ensured broad visibility.</t>
  </si>
  <si>
    <t>Naming conventions often avoided words implying:</t>
  </si>
  <si>
    <t>A) Slowness B) Fire C) Debt D) Sea</t>
  </si>
  <si>
    <t>C) Debt</t>
  </si>
  <si>
    <t>Debt associations were deemed unlucky.</t>
  </si>
  <si>
    <t>In tales, a jockey’s humility was tested by:</t>
  </si>
  <si>
    <t>A) Cleaning stalls B) Serving rivals C) Donating cloth D) Fasting</t>
  </si>
  <si>
    <t>D) Fasting</t>
  </si>
  <si>
    <t>Fasts sought clarity and restraint before finals.</t>
  </si>
  <si>
    <t>Local judging sticks for finish calls were typically:</t>
  </si>
  <si>
    <t>A) Split bamboo B) Iron rods C) Wood paddles D) Shell canes</t>
  </si>
  <si>
    <t>A) Split bamboo</t>
  </si>
  <si>
    <t>Light, clear, and easily seen by crowds.</t>
  </si>
  <si>
    <t>A trainer’s hallmark was mastery of:</t>
  </si>
  <si>
    <t>A) Night drills B) Sand sprints C) Start cues D) All of the above</t>
  </si>
  <si>
    <t>Starts, surfaces, and drills separated great from good.</t>
  </si>
  <si>
    <t>Historic transport rests spaced every:</t>
  </si>
  <si>
    <t>A) 2 km B) 5 km C) 8 km D) 10 km</t>
  </si>
  <si>
    <t>B) 5 km</t>
  </si>
  <si>
    <t>Frequent rests minimized stress injuries.</t>
  </si>
  <si>
    <t>Festival order often began with:</t>
  </si>
  <si>
    <t>A) Youth heats B) Veteran show C) Blessing D) Sponsor roll</t>
  </si>
  <si>
    <t>C) Blessing</t>
  </si>
  <si>
    <t>Sacred order legitimized the event.</t>
  </si>
  <si>
    <t>The loudest cheer customarily greeted:</t>
  </si>
  <si>
    <t>A) Local champion B) Longest travel team C) Youngest jockey D) Handsomest pair</t>
  </si>
  <si>
    <t>A) Local champion</t>
  </si>
  <si>
    <t>Home pride drove the decibel peak.</t>
  </si>
  <si>
    <t>A sportsmanlike loss could still earn:</t>
  </si>
  <si>
    <t>A) Free feed B) Stall upgrade C) Escort home D) Silk sash</t>
  </si>
  <si>
    <t>D) Silk sash</t>
  </si>
  <si>
    <t>Sashes recognized valor and clean conduct.</t>
  </si>
  <si>
    <t>Early coaching sayings likened stride to:</t>
  </si>
  <si>
    <t>A) Loom rhythm B) Tidal pull C) Drum cadence D) Wind eddy</t>
  </si>
  <si>
    <t>C) Drum cadence</t>
  </si>
  <si>
    <t>Cadence metaphors oriented timing at the start.</t>
  </si>
  <si>
    <t>Historic safety briefings reminded crowds to:</t>
  </si>
  <si>
    <t>A) Avoid crossing ropes B) Keep drums low C) Sit by elders D) Face east</t>
  </si>
  <si>
    <t>A) Avoid crossing ropes</t>
  </si>
  <si>
    <t>Rope lines defined safe spectating zones.</t>
  </si>
  <si>
    <t>A feared omen at dawn was:</t>
  </si>
  <si>
    <t>A) Broken reed B) Silent birds C) South wind D) Split yoke</t>
  </si>
  <si>
    <t>D) Split yoke</t>
  </si>
  <si>
    <t>Equipment failure foretold misfortune.</t>
  </si>
  <si>
    <t>Early rule posters emphasized:</t>
  </si>
  <si>
    <t>A) Modest banners B) Quiet music C) No sled spikes D) No red cloth</t>
  </si>
  <si>
    <t>C) No sled spikes</t>
  </si>
  <si>
    <t>Safety barred hazardous modifications.</t>
  </si>
  <si>
    <t>A post-race truce might include:</t>
  </si>
  <si>
    <t>A) Shared incense B) Shared water C) Shared grain D) Shared cloth</t>
  </si>
  <si>
    <t>B) Shared water</t>
  </si>
  <si>
    <t>Water rites symbolized cool heads and peace.</t>
  </si>
  <si>
    <t>The festival steward was respected for:</t>
  </si>
  <si>
    <t>A) Neutral kin ties B) Wealth C) Youth D) Foreign schooling</t>
  </si>
  <si>
    <t>A) Neutral kin ties</t>
  </si>
  <si>
    <t>Impartiality prevented clan bias.</t>
  </si>
  <si>
    <t>Elder testimony could overturn a result if:</t>
  </si>
  <si>
    <t>A) Start cue misheard B) Lane breach seen C) Halter slip noted D) All of the above</t>
  </si>
  <si>
    <t>Trusted elders functioned as living VAR.</t>
  </si>
  <si>
    <t>In lore, a bull’s refusal at the line meant:</t>
  </si>
  <si>
    <t>A) Owner hubris B) Wrong day C) Hex by rivals D) Cold earth</t>
  </si>
  <si>
    <t>A) Owner hubris</t>
  </si>
  <si>
    <t>Morality tales policed arrogance.</t>
  </si>
  <si>
    <t>Market day scheduling favored:</t>
  </si>
  <si>
    <t>A) Friday B) Saturday C) Sunday D) Monday</t>
  </si>
  <si>
    <t>B) Saturday</t>
  </si>
  <si>
    <t>Saturdays maximized out-of-village attendance.</t>
  </si>
  <si>
    <t>Early crowd control borrowed from:</t>
  </si>
  <si>
    <t>A) Boat moorings B) Port customs queues C) Mosque rows D) Market cattle pens</t>
  </si>
  <si>
    <t>D) Market cattle pens</t>
  </si>
  <si>
    <t>Familiar pen lines adapted easily to tracks.</t>
  </si>
  <si>
    <t>A trainer’s secret rub often included:</t>
  </si>
  <si>
    <t>A) Clove oil B) Turmeric C) Tamarind D) Lime</t>
  </si>
  <si>
    <t>A) Clove oil</t>
  </si>
  <si>
    <t>Warming oils were believed to prime muscles.</t>
  </si>
  <si>
    <t>Match-making metaphors used Karapan Sapi to describe:</t>
  </si>
  <si>
    <t>A) Fate’s yoke B) Equal hearts C) Swift courtship D) All of the above</t>
  </si>
  <si>
    <t>Racing imagery infused daily social speech.</t>
  </si>
  <si>
    <t>The closing benediction thanked:</t>
  </si>
  <si>
    <t>A) Musicians B) Traders C) Elders D) Blacksmiths</t>
  </si>
  <si>
    <t>C) Elders</t>
  </si>
  <si>
    <t>Elders’ wisdom framed safe competition.</t>
  </si>
  <si>
    <t>A storm-threat protocol prioritized:</t>
  </si>
  <si>
    <t>A) Semifinals first B) Finals first C) Youth heats first D) Local heats first</t>
  </si>
  <si>
    <t>B) Finals first</t>
  </si>
  <si>
    <t>Ensured decisive outcomes before weather halted play.</t>
  </si>
  <si>
    <t>A retired champion’s yoke might be kept:</t>
  </si>
  <si>
    <t>A) In the market B) At the pier C) In the prayer hall foyer D) In the smithy</t>
  </si>
  <si>
    <t>C) In the prayer hall foyer</t>
  </si>
  <si>
    <t>Display signified gratitude and communal pride.</t>
  </si>
  <si>
    <t>What is the origin of the sport Peresean?</t>
  </si>
  <si>
    <t>A) Java, B) Bali, C) Lombok, D) Sumatra</t>
  </si>
  <si>
    <t>A) Java</t>
  </si>
  <si>
    <t>Peresean originates from the island of Java, Indonesia, as a traditional martial art.</t>
  </si>
  <si>
    <t>Which weapon is used in Peresean?</t>
  </si>
  <si>
    <t>A) Bamboo sticks, B) Wooden swords, C) Leather shields, D) Metal rods</t>
  </si>
  <si>
    <t>A) Bamboo sticks</t>
  </si>
  <si>
    <t>In Peresean, participants fight using bamboo sticks.</t>
  </si>
  <si>
    <t>What is the primary purpose of Peresean?</t>
  </si>
  <si>
    <t>A) Combat training, B) Entertainment, C) Religious ritual, D) Agricultural task</t>
  </si>
  <si>
    <t>B) Entertainment</t>
  </si>
  <si>
    <t>Peresean was originally a form of entertainment and a display of strength and agility.</t>
  </si>
  <si>
    <t>Which region in Indonesia is known for preserving Peresean?</t>
  </si>
  <si>
    <t>A) Bali, B) Lombok, C) Java, D) Sumatra</t>
  </si>
  <si>
    <t>B) Lombok</t>
  </si>
  <si>
    <t>Peresean is most famously preserved in Lombok, where it is a traditional event.</t>
  </si>
  <si>
    <t>What do the participants in Peresean wear?</t>
  </si>
  <si>
    <t>A) Traditional armor, B) Casual clothes, C) Sarongs, D) Special uniforms</t>
  </si>
  <si>
    <t>C) Sarongs</t>
  </si>
  <si>
    <t>Participants typically wear traditional sarongs while competing in Peresean.</t>
  </si>
  <si>
    <t>What is the main goal during a Peresean match?</t>
  </si>
  <si>
    <t>A) To break the opponentâ€™s weapon, B) To knock the opponent down, C) To score the most points, D) To capture the opponent</t>
  </si>
  <si>
    <t>B) To knock the opponent down</t>
  </si>
  <si>
    <t>The main objective in Peresean is to knock the opponent down using bamboo sticks.</t>
  </si>
  <si>
    <t>Which event is closely associated with Peresean competitions?</t>
  </si>
  <si>
    <t>A) Agricultural festivals, B) Religious ceremonies, C) Village celebrations, D) National holidays</t>
  </si>
  <si>
    <t>C) Village celebrations</t>
  </si>
  <si>
    <t>Peresean is often held during village celebrations as part of local traditions.</t>
  </si>
  <si>
    <t>How many players typically participate in a Peresean match?</t>
  </si>
  <si>
    <t>A) 2, B) 4, C) 6, D) 8</t>
  </si>
  <si>
    <t>A) 2</t>
  </si>
  <si>
    <t>Peresean is typically a duel between two players, each with a bamboo stick.</t>
  </si>
  <si>
    <t>What is the traditional reward for winning a Peresean match?</t>
  </si>
  <si>
    <t>A) A trophy, B) Money, C) A crown, D) Honor and respect</t>
  </si>
  <si>
    <t>D) Honor and respect</t>
  </si>
  <si>
    <t>The primary reward for winning a Peresean match is the honor and respect of the community.</t>
  </si>
  <si>
    <t>In which cultural context did Peresean first emerge?</t>
  </si>
  <si>
    <t>A) Royal court, B) Farmerâ€™s daily life, C) Military training, D) Religious rites</t>
  </si>
  <si>
    <t>C) Military training</t>
  </si>
  <si>
    <t>Peresean is believed to have originated as a form of combat training for warriors.</t>
  </si>
  <si>
    <t>What is the most common form of Peresean today?</t>
  </si>
  <si>
    <t>A) Ritualistic, B) Competitive sport, C) Entertainment, D) Training</t>
  </si>
  <si>
    <t>B) Competitive sport</t>
  </si>
  <si>
    <t>Today, Peresean is primarily practiced as a competitive sport.</t>
  </si>
  <si>
    <t>What traditional event is often paired with Peresean in Lombok?</t>
  </si>
  <si>
    <t>A) Rice planting, B) Water festivals, C) Ceremonial dances, D) Religious offerings</t>
  </si>
  <si>
    <t>C) Ceremonial dances</t>
  </si>
  <si>
    <t>Peresean matches are often accompanied by ceremonial dances during festivals in Lombok.</t>
  </si>
  <si>
    <t>What is the role of the referee in Peresean?</t>
  </si>
  <si>
    <t>A) To announce the winner, B) To control the combat, C) To judge the weapons, D) To cheer for participants</t>
  </si>
  <si>
    <t>B) To control the combat</t>
  </si>
  <si>
    <t>The referee in Peresean ensures fair play and controls the conduct of the combat.</t>
  </si>
  <si>
    <t>What is a common misconception about Peresean?</t>
  </si>
  <si>
    <t>A) It is a blood sport, B) It is a form of boxing, C) It is only for men, D) It is illegal</t>
  </si>
  <si>
    <t>A) It is a blood sport</t>
  </si>
  <si>
    <t>Although Peresean can be intense, it is not typically a blood sport and follows strict rules.</t>
  </si>
  <si>
    <t>Which island is known as the cultural heart of Peresean?</t>
  </si>
  <si>
    <t>A) Sumatra, B) Java, C) Bali, D) Lombok</t>
  </si>
  <si>
    <t>D) Lombok</t>
  </si>
  <si>
    <t>Lombok is known as the cultural heart of Peresean, where it is preserved and practiced.</t>
  </si>
  <si>
    <t>In Peresean, what does the bamboo stick represent?</t>
  </si>
  <si>
    <t>A) Strength, B) Honor, C) Courage, D) Protection</t>
  </si>
  <si>
    <t>A) Strength</t>
  </si>
  <si>
    <t>The bamboo stick is a symbol of strength in Peresean, showcasing the skill of the fighters.</t>
  </si>
  <si>
    <t>How is the winner of a Peresean match determined?</t>
  </si>
  <si>
    <t>A) By points, B) By knockout, C) By submission, D) By time limit</t>
  </si>
  <si>
    <t>B) By knockout</t>
  </si>
  <si>
    <t>The winner of a Peresean match is determined when one participant is knocked down or incapacitated.</t>
  </si>
  <si>
    <t>What type of event commonly features Peresean?</t>
  </si>
  <si>
    <t>A) Weddings, B) National sports events, C) Local festivals, D) International tournaments</t>
  </si>
  <si>
    <t>C) Local festivals</t>
  </si>
  <si>
    <t>Peresean is often featured during local festivals and celebrations in Indonesian villages.</t>
  </si>
  <si>
    <t>What has contributed to the popularity of Peresean in recent years?</t>
  </si>
  <si>
    <t>A) International tournaments, B) Media coverage, C) Local government sponsorship, D) Globalization of sports</t>
  </si>
  <si>
    <t>B) Media coverage</t>
  </si>
  <si>
    <t>Media coverage has helped raise the profile of Peresean, attracting more attention worldwide.</t>
  </si>
  <si>
    <t>Which of the following is a key cultural value emphasized in Peresean?</t>
  </si>
  <si>
    <t>A) Respect for opponents, B) Aggression, C) Victory at all costs, D) Teamwork</t>
  </si>
  <si>
    <t>A) Respect for opponents</t>
  </si>
  <si>
    <t>Peresean places great emphasis on respecting oneâ€™s opponent, fostering a spirit of sportsmanship.</t>
  </si>
  <si>
    <t>Which year did Peresean gain wider recognition as a traditional sport?</t>
  </si>
  <si>
    <t>A) 1960, B) 1970, C) 1980, D) 1990</t>
  </si>
  <si>
    <t>C) 1980</t>
  </si>
  <si>
    <t>Peresean gained wider recognition in the 1980s as efforts were made to preserve and promote traditional sports.</t>
  </si>
  <si>
    <t>What is often celebrated alongside a Peresean match?</t>
  </si>
  <si>
    <t>A) Harvest season, B) Military victories, C) Birth of a king, D) Seasonal changes</t>
  </si>
  <si>
    <t>A) Harvest season</t>
  </si>
  <si>
    <t>Peresean matches are often held during the harvest season as part of agricultural festivals.</t>
  </si>
  <si>
    <t>What role does the audience play in a Peresean match?</t>
  </si>
  <si>
    <t>A) No role, B) Cheer the competitors, C) Referee the match, D) Judge the outcome</t>
  </si>
  <si>
    <t>B) Cheer the competitors</t>
  </si>
  <si>
    <t>The audience plays a role in cheering and supporting competitors during a Peresean match.</t>
  </si>
  <si>
    <t>In which era was Peresean most commonly practiced as a martial art?</t>
  </si>
  <si>
    <t>A) Ancient times, B) Colonial period, C) Modern era, D) Post-independence</t>
  </si>
  <si>
    <t>B) Colonial period</t>
  </si>
  <si>
    <t>During the colonial period, Peresean was practiced as a form of martial art and combat training.</t>
  </si>
  <si>
    <t>What is the traditional stance adopted in Peresean?</t>
  </si>
  <si>
    <t>A) Fighting stance, B) Guard stance, C) Defensive stance, D) Offensive stance</t>
  </si>
  <si>
    <t>B) Guard stance</t>
  </si>
  <si>
    <t>The guard stance is the most common stance adopted by fighters in Peresean to protect themselves.</t>
  </si>
  <si>
    <t>What determines the intensity of a Peresean match?</t>
  </si>
  <si>
    <t>A) The number of rounds, B) The weight of participants, C) The skill of the fighters, D) The location</t>
  </si>
  <si>
    <t>C) The skill of the fighters</t>
  </si>
  <si>
    <t>The intensity of a Peresean match depends on the fighters' skill and technique with the bamboo stick.</t>
  </si>
  <si>
    <t>Which of the following best describes Peresean's current status?</t>
  </si>
  <si>
    <t>A) A dying tradition, B) A national sport, C) An endangered cultural practice, D) A popular international sport</t>
  </si>
  <si>
    <t>B) A national sport</t>
  </si>
  <si>
    <t>Peresean is now recognized as a national sport and is celebrated in various parts of Indonesia.</t>
  </si>
  <si>
    <t>In which century is Peresean believed to have originated?</t>
  </si>
  <si>
    <t>A) 13th century, B) 14th century, C) 15th century, D) 16th century</t>
  </si>
  <si>
    <t>B) 14th century</t>
  </si>
  <si>
    <t>Peresean is believed to have originated in the 14th century during the reign of the Majapahit Empire.</t>
  </si>
  <si>
    <t>What is the cultural significance of Peresean in Lombok?</t>
  </si>
  <si>
    <t>A) A form of combat, B) A display of physical strength, C) A symbol of community unity, D) A spiritual ritual</t>
  </si>
  <si>
    <t>C) A symbol of community unity</t>
  </si>
  <si>
    <t>In Lombok, Peresean is a symbol of community unity and a form of traditional celebration.</t>
  </si>
  <si>
    <t>Which Indonesian island is most closely associated with the origins of Peresean?</t>
  </si>
  <si>
    <t>A) Bali, B) Java, C) Sumatra, D) Lombok</t>
  </si>
  <si>
    <t>Lombok is considered the birthplace of Peresean, where it is most popular and widely practiced.</t>
  </si>
  <si>
    <t>In Peresean, how is the winner typically determined?</t>
  </si>
  <si>
    <t>A) By submission, B) By knockout, C) By points, D) By audience vote</t>
  </si>
  <si>
    <t>The winner of a Peresean match is determined when one opponent is knocked down or incapacitated.</t>
  </si>
  <si>
    <t>What type of stick is traditionally used in Peresean?</t>
  </si>
  <si>
    <t>A) Bamboo, B) Wood, C) Metal, D) Plastic</t>
  </si>
  <si>
    <t>A) Bamboo</t>
  </si>
  <si>
    <t>Bamboo sticks are traditionally used in Peresean, symbolizing strength and agility.</t>
  </si>
  <si>
    <t>What is the common stance used in Peresean?</t>
  </si>
  <si>
    <t>A) Offensive stance, B) Defensive stance, C) Guard stance, D) Neutral stance</t>
  </si>
  <si>
    <t>C) Guard stance</t>
  </si>
  <si>
    <t>The guard stance is commonly used in Peresean to protect the fighter from attacks while maintaining a defensive position.</t>
  </si>
  <si>
    <t>Which of the following is a traditional event where Peresean is showcased?</t>
  </si>
  <si>
    <t>A) National Independence Day, B) Local harvest festivals, C) Wedding ceremonies, D) Cultural exhibitions</t>
  </si>
  <si>
    <t>B) Local harvest festivals</t>
  </si>
  <si>
    <t>Peresean is often showcased during local harvest festivals, celebrating the agricultural culture of Lombok.</t>
  </si>
  <si>
    <t>Which of the following aspects makes Peresean distinct from other martial arts?</t>
  </si>
  <si>
    <t>A) Use of weapons, B) Focus on defense, C) Specific regional customs, D) Ritualistic elements</t>
  </si>
  <si>
    <t>C) Specific regional customs</t>
  </si>
  <si>
    <t>Peresean is distinct for its specific regional customs, being deeply rooted in Lombokâ€™s cultural identity.</t>
  </si>
  <si>
    <t>What is one of the primary physical benefits of practicing Peresean?</t>
  </si>
  <si>
    <t>A) Flexibility, B) Endurance, C) Strength, D) Agility</t>
  </si>
  <si>
    <t>C) Strength</t>
  </si>
  <si>
    <t>Practicing Peresean helps build strength, especially in the arms and upper body, through the use of bamboo sticks.</t>
  </si>
  <si>
    <t>What traditional attire is commonly worn during Peresean matches?</t>
  </si>
  <si>
    <t>A) Sarong, B) Armor, C) National dress, D) Fight uniforms</t>
  </si>
  <si>
    <t>A) Sarong</t>
  </si>
  <si>
    <t>Participants in Peresean traditionally wear a sarong, a type of cloth wrapped around the waist.</t>
  </si>
  <si>
    <t>In which region of Indonesia is Peresean considered a traditional sport?</t>
  </si>
  <si>
    <t>C) Lombok</t>
  </si>
  <si>
    <t>Peresean is considered a traditional sport in Lombok, where it is practiced and preserved in local communities.</t>
  </si>
  <si>
    <t>What is the role of the referee in a Peresean match?</t>
  </si>
  <si>
    <t>A) To judge the winner, B) To control the pace of the match, C) To enforce the rules and safety, D) To cheer for participants</t>
  </si>
  <si>
    <t>C) To enforce the rules and safety</t>
  </si>
  <si>
    <t>The refereeâ€™s role is to ensure the rules are followed and that safety is maintained during the match.</t>
  </si>
  <si>
    <t>Which of the following is often used to mark the beginning of a Peresean match?</t>
  </si>
  <si>
    <t>A) A prayer, B) A ceremonial chant, C) A drum beat, D) A flag ceremony</t>
  </si>
  <si>
    <t>C) A drum beat</t>
  </si>
  <si>
    <t>A ceremonial drum beat often marks the beginning of a Peresean match, setting the rhythm for the competition.</t>
  </si>
  <si>
    <t>What is the significance of the bamboo sticks used in Peresean?</t>
  </si>
  <si>
    <t>A) They represent the strength of the fighters, B) They are sacred objects, C) They are ceremonial items, D) They are training tools</t>
  </si>
  <si>
    <t>A) They represent the strength of the fighters</t>
  </si>
  <si>
    <t>The bamboo sticks used in Peresean represent the physical strength and endurance required of the fighters.</t>
  </si>
  <si>
    <t>What is the most common outcome for a Peresean match?</t>
  </si>
  <si>
    <t>A) Tie, B) One fighter is knocked out, C) One fighter surrenders, D) No clear winner</t>
  </si>
  <si>
    <t>B) One fighter is knocked out</t>
  </si>
  <si>
    <t>In most cases, a Peresean match ends with one fighter being knocked out or incapacitated.</t>
  </si>
  <si>
    <t>What is the traditional role of Peresean in the local culture of Lombok?</t>
  </si>
  <si>
    <t>A) A form of military training, B) A way to resolve disputes, C) A celebration of physical prowess, D) A rite of passage for young men</t>
  </si>
  <si>
    <t>C) A celebration of physical prowess</t>
  </si>
  <si>
    <t>Peresean traditionally celebrates physical prowess and serves as an entertainment form for the community.</t>
  </si>
  <si>
    <t>How do participants in Peresean protect themselves during a match?</t>
  </si>
  <si>
    <t>A) By wearing protective gear, B) By using shields, C) By maintaining distance, D) By using quick reflexes</t>
  </si>
  <si>
    <t>D) By using quick reflexes</t>
  </si>
  <si>
    <t>Participants rely on quick reflexes to avoid strikes, as they do not wear significant protective gear.</t>
  </si>
  <si>
    <t>What type of event typically follows a Peresean match in Lombok?</t>
  </si>
  <si>
    <t>A) Feast, B) Religious ceremony, C) Community gathering, D) Dance performance</t>
  </si>
  <si>
    <t>A) Feast</t>
  </si>
  <si>
    <t>After a Peresean match, it is common to celebrate with a feast, bringing the community together.</t>
  </si>
  <si>
    <t>Which type of martial arts influence is seen in the techniques of Peresean?</t>
  </si>
  <si>
    <t>A) Judo, B) Karate, C) Silat, D) Taekwondo</t>
  </si>
  <si>
    <t>C) Silat</t>
  </si>
  <si>
    <t>Peresean shares some techniques with Silat, a traditional martial art popular in Southeast Asia.</t>
  </si>
  <si>
    <t>When did Peresean become more formally organized as a competitive sport?</t>
  </si>
  <si>
    <t>A) 1950s, B) 1970s, C) 1980s, D) 1990s</t>
  </si>
  <si>
    <t>C) 1980s</t>
  </si>
  <si>
    <t>Peresean began to be formally organized as a competitive sport in the 1980s, gaining more structured competitions.</t>
  </si>
  <si>
    <t>What is often the role of the audience in Peresean matches?</t>
  </si>
  <si>
    <t>A) To cheer for the competitors, B) To judge the match, C) To participate as referees, D) To distract the fighters</t>
  </si>
  <si>
    <t>A) To cheer for the competitors</t>
  </si>
  <si>
    <t>The audience plays an important role by cheering for the fighters, adding to the energy of the match.</t>
  </si>
  <si>
    <t>What is the significance of the victory in Peresean?</t>
  </si>
  <si>
    <t>A) A display of personal skill, B) A show of physical dominance, C) A symbol of community pride, D) A symbol of personal achievement</t>
  </si>
  <si>
    <t>C) A symbol of community pride</t>
  </si>
  <si>
    <t>A victory in Peresean is often seen as a symbol of community pride and strength.</t>
  </si>
  <si>
    <t>What was the role of Peresean in traditional village life in Lombok?</t>
  </si>
  <si>
    <t>A) It was a tool for conflict resolution, B) It was used to train warriors, C) It was a form of entertainment, D) It was a rite of passage</t>
  </si>
  <si>
    <t>A) It was a tool for conflict resolution</t>
  </si>
  <si>
    <t>Historically, Peresean was used to resolve conflicts between villagers in a controlled, physical manner.</t>
  </si>
  <si>
    <t>In what type of event did Peresean originate as a form of martial arts?</t>
  </si>
  <si>
    <t>A) Agricultural festivals, B) Military training, C) Religious rituals, D) Royal ceremonies</t>
  </si>
  <si>
    <t>B) Military training</t>
  </si>
  <si>
    <t>Peresean originated as a form of military training for warriors in Lombok.</t>
  </si>
  <si>
    <t>Who were traditionally the participants in Peresean matches?</t>
  </si>
  <si>
    <t>A) Nobles and royals, B) Young men from the village, C) Elderly men, D) Foreign visitors</t>
  </si>
  <si>
    <t>B) Young men from the village</t>
  </si>
  <si>
    <t>In traditional Peresean matches, young men from the village participated to showcase their strength and skill.</t>
  </si>
  <si>
    <t>What role do the sticks used in Peresean play in the match?</t>
  </si>
  <si>
    <t>A) They are used for offense only, B) They represent spiritual power, C) They are tools for defense and offense, D) They are for ceremonial purposes only</t>
  </si>
  <si>
    <t>C) They are tools for defense and offense</t>
  </si>
  <si>
    <t>The bamboo sticks are used for both defense and offense, requiring skillful handling during a match.</t>
  </si>
  <si>
    <t>What is the traditional practice after a Peresean match?</t>
  </si>
  <si>
    <t>A) A prayer for peace, B) A healing ritual, C) A feast or celebration, D) A formal tribute to ancestors</t>
  </si>
  <si>
    <t>C) A feast or celebration</t>
  </si>
  <si>
    <t>After a Peresean match, a feast or celebration is often held to honor the participants and bring the community together.</t>
  </si>
  <si>
    <t>How is the intensity of Peresean matches generally gauged?</t>
  </si>
  <si>
    <t>A) By audience applause, B) By the speed of the fight, C) By the number of hits, D) By the skill and strength of the fighters</t>
  </si>
  <si>
    <t>D) By the skill and strength of the fighters</t>
  </si>
  <si>
    <t>The intensity of Peresean matches is gauged by the fighters' skill and physical strength in wielding the bamboo sticks.</t>
  </si>
  <si>
    <t>What is the primary objective of a Peresean match?</t>
  </si>
  <si>
    <t>A) To show agility, B) To demonstrate endurance, C) To subdue or knock down the opponent, D) To entertain the crowd</t>
  </si>
  <si>
    <t>C) To subdue or knock down the opponent</t>
  </si>
  <si>
    <t>The main objective in Peresean is to knock down or subdue the opponent using bamboo sticks.</t>
  </si>
  <si>
    <t>In which region of Indonesia is Peresean most popular?</t>
  </si>
  <si>
    <t>A) Java, B) Bali, C) Sumatra, D) Lombok</t>
  </si>
  <si>
    <t>Peresean is most popular in Lombok, where it is a key cultural and traditional sport.</t>
  </si>
  <si>
    <t>Which of the following is an essential characteristic of the bamboo sticks used in Peresean?</t>
  </si>
  <si>
    <t>A) They must be unbreakable, B) They are lightweight and flexible, C) They are decorated with designs, D) They must be of a specific length</t>
  </si>
  <si>
    <t>B) They are lightweight and flexible</t>
  </si>
  <si>
    <t>The bamboo sticks used in Peresean are lightweight and flexible, allowing for quick and skillful maneuvers.</t>
  </si>
  <si>
    <t>How did Peresean function within the community in ancient times?</t>
  </si>
  <si>
    <t>A) As a form of law enforcement, B) As a method of settling disputes, C) As a competitive game for royals, D) As a form of religious worship</t>
  </si>
  <si>
    <t>B) As a method of settling disputes</t>
  </si>
  <si>
    <t>In ancient times, Peresean was often used to settle disputes between members of the community.</t>
  </si>
  <si>
    <t>What is the name of the local festival where Peresean is commonly showcased?</t>
  </si>
  <si>
    <t>A) Mekepung Festival, B) Bau Nyale Festival, C) Galungan Festival, D) Sekaten Festival</t>
  </si>
  <si>
    <t>B) Bau Nyale Festival</t>
  </si>
  <si>
    <t>The Bau Nyale Festival in Lombok is a major event where Peresean matches are often held as part of the celebration.</t>
  </si>
  <si>
    <t>Peresean fighters are traditionally called what?</t>
  </si>
  <si>
    <t>A) Pepadu B) Pendekar C) Ksatria D) Pahlawan</t>
  </si>
  <si>
    <t>A) Pepadu</t>
  </si>
  <si>
    <t>Pepadu is the Lombok term for Peresean fighters, emphasizing bravery and readiness to face challenges.</t>
  </si>
  <si>
    <t>What is the name of the shield used in Peresean?</t>
  </si>
  <si>
    <t>A) Perisai B) Ende C) Tameng D) Gada</t>
  </si>
  <si>
    <t>B) Ende</t>
  </si>
  <si>
    <t>The ende is a rectangular leather shield, traditionally made from buffalo hide, paired with the bamboo stick.</t>
  </si>
  <si>
    <t>The traditional Peresean stick is locally called:</t>
  </si>
  <si>
    <t>A) Penjalin B) Lidi C) Rotan D) Batang</t>
  </si>
  <si>
    <t>A) Penjalin</t>
  </si>
  <si>
    <t>The bamboo stick used in Peresean is called penjalin, crafted for durability and speed.</t>
  </si>
  <si>
    <t>Peresean is linked to which ancient empire’s influence?</t>
  </si>
  <si>
    <t>A) Majapahit B) Srivijaya C) Mataram D) Kediri</t>
  </si>
  <si>
    <t>A) Majapahit</t>
  </si>
  <si>
    <t>Historians believe Peresean developed during the Majapahit era, blending military training with ritual practices.</t>
  </si>
  <si>
    <t>Peresean originally symbolized what aspect of manhood in Lombok?</t>
  </si>
  <si>
    <t>A) Economic power B) Fertility and virility C) Spiritual purity D) Military service</t>
  </si>
  <si>
    <t>B) Fertility and virility</t>
  </si>
  <si>
    <t>Peresean was associated with fertility rituals, believed to bring rain and agricultural prosperity.</t>
  </si>
  <si>
    <t>Before a Peresean fight, participants often undergo:</t>
  </si>
  <si>
    <t>A) Meditation B) Offerings to ancestors C) Weapon blessing D) All of the above</t>
  </si>
  <si>
    <t>Rituals include prayers, offerings, and blessings to ensure safety and fairness.</t>
  </si>
  <si>
    <t>What does blood drawn in a Peresean fight symbolize traditionally?</t>
  </si>
  <si>
    <t>A) Bad omen B) Purification C) Warrior’s weakness D) A curse</t>
  </si>
  <si>
    <t>B) Purification</t>
  </si>
  <si>
    <t>Bloodshed was seen as a cleansing act, believed to fertilize the land and invite rain.</t>
  </si>
  <si>
    <t>The Peresean referee is locally known as:</t>
  </si>
  <si>
    <t>A) Wasit B) Pakemban C) Sesepuh D) Raden</t>
  </si>
  <si>
    <t>B) Pakemban</t>
  </si>
  <si>
    <t>The Pakemban maintains discipline, ensures fairness, and decides when to stop the fight.</t>
  </si>
  <si>
    <t>Which musical instrument usually accompanies Peresean?</t>
  </si>
  <si>
    <t>A) Gamelan gong B) Kendang drums C) Flute (Seruling) D) Rebana</t>
  </si>
  <si>
    <t>B) Kendang drums</t>
  </si>
  <si>
    <t>Drummers set the rhythm of Peresean, heightening its ritualistic and dramatic feel.</t>
  </si>
  <si>
    <t>Peresean bouts were once used as a ritual to:</t>
  </si>
  <si>
    <t>A) Test loyalty to kings B) Summon rainfall C) Choose village leaders D) Honor warriors</t>
  </si>
  <si>
    <t>B) Summon rainfall</t>
  </si>
  <si>
    <t>Matches were believed to invite rain, connecting combat with agricultural fertility.</t>
  </si>
  <si>
    <t>In Lombok, Peresean was once a method to:</t>
  </si>
  <si>
    <t>A) Train fishermen B) Resolve disputes C) Select brides D) Initiate trade deals</t>
  </si>
  <si>
    <t>B) Resolve disputes</t>
  </si>
  <si>
    <t>Rather than prolonged quarrels, disputes were settled through controlled Peresean fights.</t>
  </si>
  <si>
    <t>Traditionally, who organized Peresean matches in villages?</t>
  </si>
  <si>
    <t>A) Village chiefs B) Religious priests C) Military officers D) Wealthy merchants</t>
  </si>
  <si>
    <t>A) Village chiefs</t>
  </si>
  <si>
    <t>Village leaders arranged matches during celebrations, giving them legitimacy and order.</t>
  </si>
  <si>
    <t>What is the role of the audience in modern Peresean?</t>
  </si>
  <si>
    <t>A) Passive observers B) Active encouragers C) Sponsors and critics D) All of the above</t>
  </si>
  <si>
    <t>Audiences cheer, encourage fighters, and sometimes fund prizes, making them integral to the sport.</t>
  </si>
  <si>
    <t>Why do Pepadu fight without heavy armor?</t>
  </si>
  <si>
    <t>A) To prove bravery B) For agility C) Due to tradition D) All of the above</t>
  </si>
  <si>
    <t>Peresean embodies courage, skill, and cultural tradition rather than reliance on protection.</t>
  </si>
  <si>
    <t>Who traditionally judges Peresean matches apart from referees?</t>
  </si>
  <si>
    <t>A) Elders B) Kings C) Children D) Women</t>
  </si>
  <si>
    <t>A) Elders</t>
  </si>
  <si>
    <t>Community elders traditionally validated outcomes, linking fights with cultural wisdom.</t>
  </si>
  <si>
    <t>Which skill is most important for defense in Peresean?</t>
  </si>
  <si>
    <t>A) Quick reflexes B) Strong shield C) Heavy armor D) Long reach</t>
  </si>
  <si>
    <t>A) Quick reflexes</t>
  </si>
  <si>
    <t>Without armor, Pepadu rely on reflexes and shield maneuvering to avoid injury.</t>
  </si>
  <si>
    <t>What strategy is considered dishonorable in Peresean?</t>
  </si>
  <si>
    <t>A) Dodging B) Attacking from behind C) Counter-striking D) Retreating</t>
  </si>
  <si>
    <t>B) Attacking from behind</t>
  </si>
  <si>
    <t>Honor dictates face-to-face combat; surprise attacks are condemned.</t>
  </si>
  <si>
    <t>How is balance maintained during Peresean?</t>
  </si>
  <si>
    <t>A) Wide leg stance B) Continuous circling C) Jumping strikes D) Frequent crouching</t>
  </si>
  <si>
    <t>A) Wide leg stance</t>
  </si>
  <si>
    <t>The guard stance ensures stability during bamboo strikes.</t>
  </si>
  <si>
    <t>What determines a Pepadu’s reputation most?</t>
  </si>
  <si>
    <t>A) Number of wins B) Grace in combat C) Wealth D) Age</t>
  </si>
  <si>
    <t>B) Grace in combat</t>
  </si>
  <si>
    <t>Respect is earned not just by winning but by demonstrating controlled skill and honor.</t>
  </si>
  <si>
    <t>Which move is considered a sign of mastery in Peresean?</t>
  </si>
  <si>
    <t>A) Dodging multiple strikes B) Breaking the opponent’s stick C) Knocking away the shield D) Landing three consecutive hits</t>
  </si>
  <si>
    <t>C) Knocking away the shield</t>
  </si>
  <si>
    <t>Disarming the shield reflects superior technique and control.</t>
  </si>
  <si>
    <t>Which ethnic group in Lombok is most associated with Peresean?</t>
  </si>
  <si>
    <t>A) Sasak B) Balinese C) Javanese D) Bugis</t>
  </si>
  <si>
    <t>A) Sasak</t>
  </si>
  <si>
    <t>Peresean is rooted in the Sasak people’s culture and traditions.</t>
  </si>
  <si>
    <t>What is the Peresean fight arena traditionally called?</t>
  </si>
  <si>
    <t>A) Alun-alun B) Lapangan C) Ampiteater D) Arena pepadu</t>
  </si>
  <si>
    <t>B) Lapangan</t>
  </si>
  <si>
    <t>Matches are typically held in open fields (lapangan), accessible to all villagers.</t>
  </si>
  <si>
    <t>Which Indonesian holiday often features Peresean?</t>
  </si>
  <si>
    <t>A) Nyepi B) Independence Day C) Bau Nyale Festival D) Idul Fitri</t>
  </si>
  <si>
    <t>C) Bau Nyale Festival</t>
  </si>
  <si>
    <t>During this annual sea-worm festival, Peresean is a highlight attraction.</t>
  </si>
  <si>
    <t>What connects Peresean to agricultural cycles?</t>
  </si>
  <si>
    <t>A) Post-harvest rituals B) Pre-planting celebrations C) Rain summoning ceremonies D) All of the above</t>
  </si>
  <si>
    <t>Peresean is tied to agriculture, marking planting, harvest, and rain rituals.</t>
  </si>
  <si>
    <t>Which Lombok region is especially famous for hosting Peresean?</t>
  </si>
  <si>
    <t>A) Mataram B) Senggigi C) Praya D) Central Lombok</t>
  </si>
  <si>
    <t>D) Central Lombok</t>
  </si>
  <si>
    <t>Central Lombok villages hold frequent and renowned Peresean competitions.</t>
  </si>
  <si>
    <t>Why was Peresean linked to rainfall?</t>
  </si>
  <si>
    <t>A) Blood was seen as nourishing soil B) Drums mimicked thunder C) Ritual timing with monsoon D) All of the above</t>
  </si>
  <si>
    <t>Bloodshed, drums, and seasonal timing created a symbolic appeal to rain gods.</t>
  </si>
  <si>
    <t>What moral lesson does Peresean emphasize?</t>
  </si>
  <si>
    <t>A) Greed leads to defeat B) Respect over victory C) Silence over boasting D) Age over youth</t>
  </si>
  <si>
    <t>B) Respect over victory</t>
  </si>
  <si>
    <t>Fighters must bow and shake hands, stressing respect despite outcome.</t>
  </si>
  <si>
    <t>What does the shield (ende) symbolize?</t>
  </si>
  <si>
    <t>A) Protection of family B) Community unity C) Balance of life D) Fertility</t>
  </si>
  <si>
    <t>C) Balance of life</t>
  </si>
  <si>
    <t>The ende represents defense and harmony, balancing the aggressive bamboo strikes.</t>
  </si>
  <si>
    <t>In spiritual belief, why is drawing blood acceptable?</t>
  </si>
  <si>
    <t>A) It proves bravery B) It is an offering to nature C) It discourages cowardice D) It tests resilience</t>
  </si>
  <si>
    <t>B) It is an offering to nature</t>
  </si>
  <si>
    <t>Blood is viewed as a symbolic offering, strengthening ties with the earth.</t>
  </si>
  <si>
    <t>Why is withdrawal during a match frowned upon?</t>
  </si>
  <si>
    <t>A) It shows disrespect to audience B) It breaks ritual continuity C) It signals weakness D) All of the above</t>
  </si>
  <si>
    <t>Backing down dishonors the Pepadu, the audience, and ritual integrity.</t>
  </si>
  <si>
    <t>Modern Peresean tournaments often include:</t>
  </si>
  <si>
    <t>A) Medical staff B) Protective helmets C) Tourist commentary D) All of the above</t>
  </si>
  <si>
    <t>Safety, tourism, and professionalism have shaped contemporary Peresean.</t>
  </si>
  <si>
    <t>Why has Peresean gained tourism value?</t>
  </si>
  <si>
    <t>A) Its visual intensity B) Cultural uniqueness C) Easy accessibility D) All of the above</t>
  </si>
  <si>
    <t>Peresean attracts visitors for its spectacle, cultural roots, and availability at festivals.</t>
  </si>
  <si>
    <t>Which Indonesian cultural board promotes Peresean?</t>
  </si>
  <si>
    <t>A) Kemenparekraf (Tourism Ministry) B) KONI (Sports Committee) C) Balai Budaya D) Local Lombok councils</t>
  </si>
  <si>
    <t>A) Kemenparekraf (Tourism Ministry)</t>
  </si>
  <si>
    <t>The tourism ministry highlights Peresean to showcase local culture.</t>
  </si>
  <si>
    <t>In televised Peresean, what modification is common?</t>
  </si>
  <si>
    <t>A) Shorter fights B) Narration of rules C) Tourist-friendly commentary D) All of the above</t>
  </si>
  <si>
    <t>Televised versions adapt duration, add commentary, and simplify for wider audiences.</t>
  </si>
  <si>
    <t>Which global martial art is Peresean often compared with?</t>
  </si>
  <si>
    <t>A) Kendo B) Capoeira C) Eskrima D) Karate</t>
  </si>
  <si>
    <t>C) Eskrima</t>
  </si>
  <si>
    <t>Like Filipino Eskrima, Peresean features stick fighting rooted in cultural tradition.</t>
  </si>
  <si>
    <t>Unlike boxing, Peresean emphasizes:</t>
  </si>
  <si>
    <t>A) Knockouts only B) Shield use C) Multiple fighters D) Ringed arenas</t>
  </si>
  <si>
    <t>B) Shield use</t>
  </si>
  <si>
    <t>The shield-bamboo pairing distinguishes Peresean from Western boxing.</t>
  </si>
  <si>
    <t>What makes Peresean unique compared to Silat?</t>
  </si>
  <si>
    <t>A) Weapon-based combat B) Ritual music C) Honor codes D) Dance-like movements</t>
  </si>
  <si>
    <t>A) Weapon-based combat</t>
  </si>
  <si>
    <t>Silat often uses unarmed or varied weapons, while Peresean focuses strictly on stick-shield.</t>
  </si>
  <si>
    <t>Peresean vs. Kalaripayattu (India): similarity is—</t>
  </si>
  <si>
    <t>A) Use of long bamboo B) Community festival link C) Rain rituals D) Female fighters</t>
  </si>
  <si>
    <t>B) Community festival link</t>
  </si>
  <si>
    <t>Both martial arts thrive as community-centered spectacles, not just combat.</t>
  </si>
  <si>
    <t>Peresean differs from gladiatorial games because:</t>
  </si>
  <si>
    <t>A) It avoids death B) It involves music C) It is ritualistic D) All of the above</t>
  </si>
  <si>
    <t>Unlike Rome’s blood sports, Peresean preserves life, spirit, and cultural meaning.</t>
  </si>
  <si>
    <t>What role does tourism pose as a risk for Peresean?</t>
  </si>
  <si>
    <t>A) Commercial dilution B) Loss of ritual roots C) Over-standardization D) All of the above</t>
  </si>
  <si>
    <t>Tourism risks turning Peresean from a ritual into spectacle-only performance.</t>
  </si>
  <si>
    <t>Young boys in Lombok learn Peresean by:</t>
  </si>
  <si>
    <t>A) Observing elders B) Village training sessions C) Informal play matches D) All of the above</t>
  </si>
  <si>
    <t>Learning comes from imitation, formal bouts, and playful sparring.</t>
  </si>
  <si>
    <t>Modern schools use Peresean to teach:</t>
  </si>
  <si>
    <t>A) Sportsmanship B) Physical fitness C) Cultural heritage D) All of the above</t>
  </si>
  <si>
    <t>Schools incorporate Peresean to preserve tradition and instill values.</t>
  </si>
  <si>
    <t>A Pepadu’s training emphasizes which first?</t>
  </si>
  <si>
    <t>A) Discipline B) Strength C) Shield defense D) Ritual knowledge</t>
  </si>
  <si>
    <t>A) Discipline</t>
  </si>
  <si>
    <t>Discipline underpins skill, respect, and ritual alignment in Peresean.</t>
  </si>
  <si>
    <t>Transmission of Peresean knowledge is usually through:</t>
  </si>
  <si>
    <t>A) Written manuals B) Oral tradition C) Religious texts D) Colonial archives</t>
  </si>
  <si>
    <t>B) Oral tradition</t>
  </si>
  <si>
    <t>Peresean skills are passed orally, sustaining its cultural authenticity.</t>
  </si>
  <si>
    <t>Which factor ensures continuity of Peresean?</t>
  </si>
  <si>
    <t>A) Tourist revenue B) Local pride C) State recognition D) All of the above</t>
  </si>
  <si>
    <t>Pride, state sponsorship, and tourism together preserve Peresean.</t>
  </si>
  <si>
    <t>Why is Peresean seen as balancing aggression with harmony?</t>
  </si>
  <si>
    <t>A) Stick vs. shield symbolism B) Ritual vs. combat C) Blood vs. healing D) All of the above</t>
  </si>
  <si>
    <t>Peresean fuses opposites: offense-defense, ritual-violence, hurt-heal.</t>
  </si>
  <si>
    <t>Which proverb is often associated with Peresean?</t>
  </si>
  <si>
    <t>A) “Rain follows courage.” B) “Strength is respect.” C) “Blood feeds the land.” D) “No shield, no honor.”</t>
  </si>
  <si>
    <t>C) “Blood feeds the land.”</t>
  </si>
  <si>
    <t>Reflects its fertility and rain-invoking ritual base.</t>
  </si>
  <si>
    <t>What does victory without injury symbolize?</t>
  </si>
  <si>
    <t>A) Skillful restraint B) Divine blessing C) Weak opponent D) Luck</t>
  </si>
  <si>
    <t>A) Skillful restraint</t>
  </si>
  <si>
    <t>Winning cleanly shows mastery without excessive harm.</t>
  </si>
  <si>
    <t>Which aspect shows Peresean is not just sport?</t>
  </si>
  <si>
    <t>A) Ritual music B) Fertility links C) Role in disputes D) All of the above</t>
  </si>
  <si>
    <t>It is as much ritual and society as it is combat.</t>
  </si>
  <si>
    <t>Why is Peresean considered a "living heritage"?</t>
  </si>
  <si>
    <t>A) It is constantly evolving B) It’s preserved across generations C) It adapts for tourism D) All of the above</t>
  </si>
  <si>
    <t>It remains alive, adapting while retaining deep roots.</t>
  </si>
  <si>
    <t>What danger arises from modern commercialization of Peresean?</t>
  </si>
  <si>
    <t>A) Fighters seeking fame over respect B) Shortened rituals C) Prioritization of spectacle D) All of the above</t>
  </si>
  <si>
    <t>Commercialization risks eroding values of respect, ritual, and tradition.</t>
  </si>
  <si>
    <t>NGOs promote Peresean today as:</t>
  </si>
  <si>
    <t>A) Cultural identity B) Youth engagement C) Tourism tool D) All of the above</t>
  </si>
  <si>
    <t>It is framed as identity, youth pride, and tourism attraction.</t>
  </si>
  <si>
    <t>Medical supervision in modern Peresean is due to:</t>
  </si>
  <si>
    <t>A) Increased injuries B) International standards C) State regulation D) All of the above</t>
  </si>
  <si>
    <t>Fights once unchecked now include medical oversight.</t>
  </si>
  <si>
    <t>Which is most at risk if Peresean is overly modernized?</t>
  </si>
  <si>
    <t>A) Ritual meaning B) Fighter’s health C) Audience interest D) Economic viability</t>
  </si>
  <si>
    <t>A) Ritual meaning</t>
  </si>
  <si>
    <t>Stripping rituals risks making Peresean just “stick-fighting entertainment.”</t>
  </si>
  <si>
    <t>Global recognition of Peresean is being sought through:</t>
  </si>
  <si>
    <t>A) UNESCO heritage listing B) ASEAN cultural exchanges C) Academic documentation D) All of the above</t>
  </si>
  <si>
    <t>UNESCO nomination, ASEAN sharing, and scholarly work push Peresean global.</t>
  </si>
  <si>
    <t>Why are fighters praised even in defeat?</t>
  </si>
  <si>
    <t>A) They entertained B) They upheld honor C) They showed courage D) All of the above</t>
  </si>
  <si>
    <t>In Peresean, bravery matters as much as victory.</t>
  </si>
  <si>
    <t>Why is Peresean banned in some places temporarily?</t>
  </si>
  <si>
    <t>A) Violence concerns B) Political unrest C) Religious objections D) All of the above</t>
  </si>
  <si>
    <t>Authorities sometimes restrict it over safety or political tensions.</t>
  </si>
  <si>
    <t>Why are women rarely Pepadu?</t>
  </si>
  <si>
    <t>A) Patriarchal norms B) Ritual restriction C) Physical demand D) All of the above</t>
  </si>
  <si>
    <t>Though few women try, traditional Peresean is male-coded.</t>
  </si>
  <si>
    <t>However, women’s role in Peresean is crucial as:</t>
  </si>
  <si>
    <t>A) Singers/dancers B) Cheerers C) Organizers D) All of the above</t>
  </si>
  <si>
    <t>Women sustain rituals and celebration roles even if not fighters.</t>
  </si>
  <si>
    <t>Which value is passed generationally through Peresean?</t>
  </si>
  <si>
    <t>A) Bravery B) Unity C) Discipline D) All of the above</t>
  </si>
  <si>
    <t>It teaches bravery, unity, and discipline in Lombok youth.</t>
  </si>
  <si>
    <t>Which part of Lombok is regarded as the cradle of Peresean?</t>
  </si>
  <si>
    <t>A) East Lombok B) Central Lombok C) West Lombok D) North Lombok</t>
  </si>
  <si>
    <t>B) Central Lombok</t>
  </si>
  <si>
    <t>Known for early Pepadu traditions.</t>
  </si>
  <si>
    <t>The shield (ende) in Peresean is usually made from:</t>
  </si>
  <si>
    <t>A) Goat skin B) Buffalo hide C) Cow leather D) Woven bamboo</t>
  </si>
  <si>
    <t>B) Buffalo hide</t>
  </si>
  <si>
    <t>Strong, durable, traditional choice.</t>
  </si>
  <si>
    <t>Which sound signals the start of a Peresean match?</t>
  </si>
  <si>
    <t>A) Gong B) Drumbeat C) Whistle D) Chant</t>
  </si>
  <si>
    <t>B) Drumbeat</t>
  </si>
  <si>
    <t>Kendang drums initiate combat rhythm.</t>
  </si>
  <si>
    <t>How long do typical Peresean rounds last?</t>
  </si>
  <si>
    <t>A) Few minutes B) 15 minutes C) 30 minutes D) Until exhaustion</t>
  </si>
  <si>
    <t>A) Few minutes</t>
  </si>
  <si>
    <t>Short, intense bursts of combat.</t>
  </si>
  <si>
    <t>Who decides when a Peresean fight ends?</t>
  </si>
  <si>
    <t>A) Audience B) Referee (Pakemban) C) Fighters themselves D) Village chief</t>
  </si>
  <si>
    <t>B) Referee (Pakemban)</t>
  </si>
  <si>
    <t>Maintains fairness and safety.</t>
  </si>
  <si>
    <t>Which modern safety gear is sometimes introduced?</t>
  </si>
  <si>
    <t>A) Helmets B) Gloves C) Padding D) All of the above</t>
  </si>
  <si>
    <t>Added for tournaments with tourists.</t>
  </si>
  <si>
    <t>Which cultural art often accompanies Peresean?</t>
  </si>
  <si>
    <t>A) Gamelan music B) Sasak dance C) Puppet theatre D) Shadow play</t>
  </si>
  <si>
    <t>B) Sasak dance</t>
  </si>
  <si>
    <t>Enhances ritual and festivity.</t>
  </si>
  <si>
    <t>Peresean matches historically coincided with:</t>
  </si>
  <si>
    <t>A) Harvest celebrations B) War preparations C) King’s coronations D) Temple festivals</t>
  </si>
  <si>
    <t>A) Harvest celebrations</t>
  </si>
  <si>
    <t>To thank and bless crops.</t>
  </si>
  <si>
    <t>Which word best captures Peresean’s spirit?</t>
  </si>
  <si>
    <t>A) Victory B) Honor C) Wealth D) Fear</t>
  </si>
  <si>
    <t>B) Honor</t>
  </si>
  <si>
    <t>Core value of Pepadu combat.</t>
  </si>
  <si>
    <t>Which Indonesian martial tradition shares roots with Peresean?</t>
  </si>
  <si>
    <t>A) Silat B) Pencak C) Tarung Derajat D) Dayak rituals</t>
  </si>
  <si>
    <t>A) Silat</t>
  </si>
  <si>
    <t>Shared heritage in combat and ritual.</t>
  </si>
  <si>
    <t>In early times, Peresean bloodshed was linked with:</t>
  </si>
  <si>
    <t>A) Soil fertility B) Political loyalty C) Religious obedience D) Entertainment only</t>
  </si>
  <si>
    <t>A) Soil fertility</t>
  </si>
  <si>
    <t>Believed to nourish land.</t>
  </si>
  <si>
    <t>Today, Peresean is most often staged for:</t>
  </si>
  <si>
    <t>A) Tourism B) Court disputes C) Military D) Weddings</t>
  </si>
  <si>
    <t>A) Tourism</t>
  </si>
  <si>
    <t>Key attraction in Lombok festivals.</t>
  </si>
  <si>
    <t>A Pepadu who refuses combat is seen as:</t>
  </si>
  <si>
    <t>A) Wise B) Dishonorable C) Religious D) Neutral</t>
  </si>
  <si>
    <t>B) Dishonorable</t>
  </si>
  <si>
    <t>Cowardice defies Peresean code.</t>
  </si>
  <si>
    <t>Which government body helps preserve Peresean?</t>
  </si>
  <si>
    <t>A) Ministry of Tourism B) Ministry of Education C) KONI (Sports Board) D) All of the above</t>
  </si>
  <si>
    <t>Promotion across cultural &amp; sport boards.</t>
  </si>
  <si>
    <t>A Peresean bout usually ends when:</t>
  </si>
  <si>
    <t>A) One faints B) One is knocked down C) Time ends D) Both agree</t>
  </si>
  <si>
    <t>B) One is knocked down</t>
  </si>
  <si>
    <t>Knockdown signals defeat.</t>
  </si>
  <si>
    <t>Why is Peresean considered “living tradition”?</t>
  </si>
  <si>
    <t>A) Still practiced actively B) Tied to rituals C) Adapted for modern times D) All of the above</t>
  </si>
  <si>
    <t>Continuously evolving yet rooted.</t>
  </si>
  <si>
    <t>Why is Peresean compared to Filipino Eskrima?</t>
  </si>
  <si>
    <t>A) Stick weapons B) Dance rituals C) Music D) Tourism</t>
  </si>
  <si>
    <t>A) Stick weapons</t>
  </si>
  <si>
    <t>Both revolve around stick combat.</t>
  </si>
  <si>
    <t>Which group leads chants during Peresean?</t>
  </si>
  <si>
    <t>A) Women B) Drummers C) Village elders D) Children</t>
  </si>
  <si>
    <t>C) Village elders</t>
  </si>
  <si>
    <t>Lead chants, bless matches.</t>
  </si>
  <si>
    <t>Why is the fight bare-chested?</t>
  </si>
  <si>
    <t>A) Freedom of movement B) Symbol of courage C) Traditional masculinity D) All of the above</t>
  </si>
  <si>
    <t>Practical + symbolic reasons.</t>
  </si>
  <si>
    <t>Which festival most prominently pairs with Peresean?</t>
  </si>
  <si>
    <t>A) Bau Nyale B) Galungan C) Nyepi D) Independence Day</t>
  </si>
  <si>
    <t>A) Bau Nyale</t>
  </si>
  <si>
    <t>Sea-worm festival with Peresean highlights.</t>
  </si>
  <si>
    <t>Tourists often misunderstand Peresean as:</t>
  </si>
  <si>
    <t>A) Blood sport B) Dance C) Modern boxing D) Religious ritual</t>
  </si>
  <si>
    <t>A) Blood sport</t>
  </si>
  <si>
    <t>Though ritualized, not meant to be cruel.</t>
  </si>
  <si>
    <t>Which symbol represents courage in Peresean?</t>
  </si>
  <si>
    <t>A) Stick (penjalin) B) Shield (ende) C) Drum D) Arena</t>
  </si>
  <si>
    <t>A) Stick (penjalin)</t>
  </si>
  <si>
    <t>Embodies courage and force.</t>
  </si>
  <si>
    <t>Which skill do fighters train besides combat?</t>
  </si>
  <si>
    <t>A) Rhythm with drums B) Balance and agility C) Community rituals D) All of the above</t>
  </si>
  <si>
    <t>Holistic training tradition.</t>
  </si>
  <si>
    <t>Why are Peresean fighters called cultural heroes?</t>
  </si>
  <si>
    <t>A) Preserve heritage B) Show bravery C) Inspire youth D) All of the above</t>
  </si>
  <si>
    <t>Embody culture and courage.</t>
  </si>
  <si>
    <t>When did formal Peresean competitions begin?</t>
  </si>
  <si>
    <t>A) 1950s B) 1970s C) 1980s D) 2000s</t>
  </si>
  <si>
    <t>Organized as structured competitive sport.</t>
  </si>
  <si>
    <t>Which risk threatens Peresean’s authenticity today?</t>
  </si>
  <si>
    <t>A) Over-commercialization B) Decline of rituals C) Tourist modification D) All of the above</t>
  </si>
  <si>
    <t>Authenticity challenged by modernization.</t>
  </si>
  <si>
    <t>Why do elders encourage youth to join Peresean?</t>
  </si>
  <si>
    <t>A) Build discipline B) Preserve identity C) Showcase bravery D) All of the above</t>
  </si>
  <si>
    <t>Part of cultural upbringing.</t>
  </si>
  <si>
    <t>Peresean reflects balance between:</t>
  </si>
  <si>
    <t>A) Offense &amp; defense B) Ritual &amp; combat C) Individual &amp; community D) All of the above</t>
  </si>
  <si>
    <t>Harmony is core philosophy.</t>
  </si>
  <si>
    <t>Which body is lobbying for UNESCO recognition of Peresean?</t>
  </si>
  <si>
    <t>A) Lombok cultural councils B) Ministry of Culture C) Local NGOs D) All of the above</t>
  </si>
  <si>
    <t>Collaborative push for heritage listing.</t>
  </si>
  <si>
    <t>What remains the ultimate reward of Peresean victory?</t>
  </si>
  <si>
    <t>A) Money B) Honor C) Trophy D) Crown</t>
  </si>
  <si>
    <t>Community respect outweighs material prizes.</t>
  </si>
  <si>
    <t>What is the origin country of Sepak Takraw?</t>
  </si>
  <si>
    <t>A) Thailand, B) Malaysia, C) Indonesia, D) Philippines</t>
  </si>
  <si>
    <t>C) Indonesia</t>
  </si>
  <si>
    <t>Sepak Takraw is believed to have originated in Indonesia.</t>
  </si>
  <si>
    <t>Which Indonesian region is most associated with the origins of Sepak Takraw?</t>
  </si>
  <si>
    <t>A) Java, B) Bali, C) Sumatra, D) Kalimantan</t>
  </si>
  <si>
    <t>Sepak Takraw is believed to have been first played in Java, Indonesia.</t>
  </si>
  <si>
    <t>When was Sepak Takraw introduced to the international sporting community?</t>
  </si>
  <si>
    <t>A) 1965, B) 1975, C) 1985, D) 1995</t>
  </si>
  <si>
    <t>A) 1965</t>
  </si>
  <si>
    <t>Sepak Takraw was introduced to the international sporting community during the 1965 Southeast Asian Games.</t>
  </si>
  <si>
    <t>What was the name of the first international Sepak Takraw competition?</t>
  </si>
  <si>
    <t>A) Asian Sepak Takraw Championship, B) World Sepak Takraw Cup, C) Southeast Asian Games, D) Sepak Takraw World Championship</t>
  </si>
  <si>
    <t>C) Southeast Asian Games</t>
  </si>
  <si>
    <t>The Southeast Asian Games was the first international competition where Sepak Takraw was featured.</t>
  </si>
  <si>
    <t>What is the traditional name for Sepak Takraw in Indonesia?</t>
  </si>
  <si>
    <t>A) Sepaktakraw, B) Sepak Bola, C) Sepak Raga, D) Sepak Rattan</t>
  </si>
  <si>
    <t>C) Sepak Raga</t>
  </si>
  <si>
    <t>In Indonesia, Sepak Takraw is traditionally known as 'Sepak Raga'.</t>
  </si>
  <si>
    <t>Which materials were originally used to make the Sepak Takraw ball?</t>
  </si>
  <si>
    <t>A) Plastic, B) Rattan, C) Rubber, D) Leather</t>
  </si>
  <si>
    <t>B) Rattan</t>
  </si>
  <si>
    <t>Traditional Sepak Takraw balls were made of rattan, a flexible and durable material.</t>
  </si>
  <si>
    <t>When was Sepak Takraw officially included in the Asian Games?</t>
  </si>
  <si>
    <t>A) 1962, B) 1970, C) 1982, D) 1990</t>
  </si>
  <si>
    <t>C) 1982</t>
  </si>
  <si>
    <t>Sepak Takraw was officially included in the Asian Games in 1982.</t>
  </si>
  <si>
    <t>Which organization governs the international rules of Sepak Takraw?</t>
  </si>
  <si>
    <t>A) World Sports Organization, B) International Sepak Takraw Federation, C) International Olympic Committee, D) Sepak Takraw Association</t>
  </si>
  <si>
    <t>B) International Sepak Takraw Federation</t>
  </si>
  <si>
    <t>The International Sepak Takraw Federation (ISTAF) governs the global rules of the sport.</t>
  </si>
  <si>
    <t>What was the initial purpose of Sepak Takraw in Southeast Asia?</t>
  </si>
  <si>
    <t>A) To promote physical fitness, B) A form of ritualistic game, C) A military training tool, D) A social gathering game</t>
  </si>
  <si>
    <t>B) A form of ritualistic game</t>
  </si>
  <si>
    <t>Sepak Takraw was initially played as a ritualistic and recreational game in Southeast Asia.</t>
  </si>
  <si>
    <t>Which country is known for the first recorded competition of Sepak Takraw?</t>
  </si>
  <si>
    <t>B) Malaysia</t>
  </si>
  <si>
    <t>Malaysia is known for hosting the first recorded Sepak Takraw competition in the early 20th century.</t>
  </si>
  <si>
    <t>Which Southeast Asian country hosts the Sepak Takraw World Championship?</t>
  </si>
  <si>
    <t>A) Thailand, B) Indonesia, C) Malaysia, D) Philippines</t>
  </si>
  <si>
    <t>A) Thailand</t>
  </si>
  <si>
    <t>Thailand is known for hosting the Sepak Takraw World Championship.</t>
  </si>
  <si>
    <t>In which century did Sepak Takraw become widely recognized in Southeast Asia?</t>
  </si>
  <si>
    <t>A) 18th century, B) 19th century, C) 20th century, D) 21st century</t>
  </si>
  <si>
    <t>B) 19th century</t>
  </si>
  <si>
    <t>Sepak Takraw became widely recognized as a sport in Southeast Asia during the 19th century.</t>
  </si>
  <si>
    <t>Which region is particularly known for the early development of Sepak Takraw in Indonesia?</t>
  </si>
  <si>
    <t>A) East Java, B) Sumatra, C) Bali, D) Kalimantan</t>
  </si>
  <si>
    <t>A) East Java</t>
  </si>
  <si>
    <t>East Java is recognized as one of the early regions where Sepak Takraw developed in Indonesia.</t>
  </si>
  <si>
    <t>What is the name of the governing body for Sepak Takraw in Indonesia?</t>
  </si>
  <si>
    <t>A) Indonesia Sepak Takraw Association, B) Indonesian Sepak Raga Federation, C) Sepak Takraw Indonesia, D) Indonesian Sports Federation</t>
  </si>
  <si>
    <t>A) Indonesia Sepak Takraw Association</t>
  </si>
  <si>
    <t>The Indonesia Sepak Takraw Association governs the sport in Indonesia.</t>
  </si>
  <si>
    <t>What is the standard size of the Sepak Takraw ball used in professional competitions?</t>
  </si>
  <si>
    <t>A) 18-20 cm, B) 15-17 cm, C) 22-24 cm, D) 25-27 cm</t>
  </si>
  <si>
    <t>A) 18-20 cm</t>
  </si>
  <si>
    <t>The standard size of a Sepak Takraw ball in professional competitions is between 18 and 20 cm.</t>
  </si>
  <si>
    <t>Which famous Indonesian Sepak Takraw player won a gold medal in the 1997 Southeast Asian Games?</t>
  </si>
  <si>
    <t>A) Ardy Sutedjo, B) Yanto Basna, C) Zulkifli Nasution, D) Muhammad Iqbal</t>
  </si>
  <si>
    <t>A) Ardy Sutedjo</t>
  </si>
  <si>
    <t>Ardy Sutedjo is a famous Indonesian player who won a gold medal in the 1997 Southeast Asian Games.</t>
  </si>
  <si>
    <t>Which major Indonesian event marked the first time Sepak Takraw was introduced?</t>
  </si>
  <si>
    <t>A) Bali Arts Festival, B) Jakarta International Sports Week, C) 1963 National Games, D) Indonesian Sports Festival</t>
  </si>
  <si>
    <t>C) 1963 National Games</t>
  </si>
  <si>
    <t>The first major event where Sepak Takraw was introduced in Indonesia was the 1963 National Games.</t>
  </si>
  <si>
    <t>What historical influence is seen in Sepak Takraw's development in Southeast Asia?</t>
  </si>
  <si>
    <t>A) Chinese, B) Dutch, C) Indian, D) Portuguese</t>
  </si>
  <si>
    <t>C) Indian</t>
  </si>
  <si>
    <t>The development of Sepak Takraw in Southeast Asia was influenced by the ancient Indian game of 'Cheena,' similar to Sepak Takraw.</t>
  </si>
  <si>
    <t>Which Indonesian province is known for producing several national-level Sepak Takraw players?</t>
  </si>
  <si>
    <t>A) Bali, B) Aceh, C) West Java, D) East Java</t>
  </si>
  <si>
    <t>D) East Java</t>
  </si>
  <si>
    <t>East Java is known for producing several national-level Sepak Takraw players in Indonesia.</t>
  </si>
  <si>
    <t>What is a traditional nickname for Sepak Takraw in Indonesia?</t>
  </si>
  <si>
    <t>A) Raga Bola, B) Rattan Ball, C) Sepak Bola, D) Sepak Raga</t>
  </si>
  <si>
    <t>D) Sepak Raga</t>
  </si>
  <si>
    <t>In Indonesia, Sepak Takraw is traditionally called 'Sepak Raga.'</t>
  </si>
  <si>
    <t>Which historical event in Indonesia helped boost the popularity of Sepak Takraw?</t>
  </si>
  <si>
    <t>A) The 1963 National Games, B) Independence Day Celebrations, C) The establishment of ISTAF, D) The 1976 Games</t>
  </si>
  <si>
    <t>A) The 1963 National Games</t>
  </si>
  <si>
    <t>The 1963 National Games marked a key moment in boosting the popularity of Sepak Takraw in Indonesia.</t>
  </si>
  <si>
    <t>Which other Southeast Asian country is credited with the joint development of Sepak Takraw alongside Indonesia?</t>
  </si>
  <si>
    <t>A) Thailand, B) Malaysia, C) Singapore, D) Philippines</t>
  </si>
  <si>
    <t>Malaysia is another Southeast Asian country credited with helping to develop Sepak Takraw alongside Indonesia.</t>
  </si>
  <si>
    <t>Who was the first international player to win a Sepak Takraw World Championship title?</t>
  </si>
  <si>
    <t>A) Khairul Anuar, B) Ahmad Fathi, C) Muhammad Iqbal, D) Rijal Akhmad</t>
  </si>
  <si>
    <t>A) Khairul Anuar</t>
  </si>
  <si>
    <t>Khairul Anuar from Malaysia was the first international player to win a Sepak Takraw World Championship title.</t>
  </si>
  <si>
    <t>What traditional Indonesian sport is similar to Sepak Takraw?</t>
  </si>
  <si>
    <t>A) Sepak Raga, B) Silambam, C) Pencak Silat, D) Kuntau</t>
  </si>
  <si>
    <t>A) Sepak Raga</t>
  </si>
  <si>
    <t>Sepak Raga, a traditional Indonesian game, is often regarded as a precursor to Sepak Takraw.</t>
  </si>
  <si>
    <t>Which Southeast Asian country introduced Sepak Takraw to the global sports community?</t>
  </si>
  <si>
    <t>B) Indonesia</t>
  </si>
  <si>
    <t>Indonesia was one of the first countries to introduce Sepak Takraw to the global sports community.</t>
  </si>
  <si>
    <t>In which year did Indonesia host the first Sepak Takraw World Championship?</t>
  </si>
  <si>
    <t>A) 1985, B) 1992, C) 1998, D) 2002</t>
  </si>
  <si>
    <t>Indonesia hosted the first Sepak Takraw World Championship in 1985.</t>
  </si>
  <si>
    <t>Which Southeast Asian Games first featured Sepak Takraw?</t>
  </si>
  <si>
    <t>A) 1959, B) 1965, C) 1973, D) 1980</t>
  </si>
  <si>
    <t>B) 1965</t>
  </si>
  <si>
    <t>Sepak Takraw was first featured in the 1965 Southeast Asian Games.</t>
  </si>
  <si>
    <t>Which organization governs the international rules and regulations of Sepak Takraw?</t>
  </si>
  <si>
    <t>A) FIFA, B) ISTAF, C) IOC, D) FIBA</t>
  </si>
  <si>
    <t>B) ISTAF</t>
  </si>
  <si>
    <t>The International Sepak Takraw Federation (ISTAF) governs the sport's international rules and regulations.</t>
  </si>
  <si>
    <t>What is the name of the traditional ball used in Sepak Takraw?</t>
  </si>
  <si>
    <t>A) Rubber Ball, B) Rattan Ball, C) Plastic Ball, D) Leather Ball</t>
  </si>
  <si>
    <t>B) Rattan Ball</t>
  </si>
  <si>
    <t>Traditional Sepak Takraw balls are made from rattan, a flexible and durable material.</t>
  </si>
  <si>
    <t>Which Indonesian region is most known for the development of Sepak Takraw?</t>
  </si>
  <si>
    <t>A) Sumatra, B) Bali, C) Jakarta, D) Java</t>
  </si>
  <si>
    <t>D) Java</t>
  </si>
  <si>
    <t>Java is the region in Indonesia most closely associated with the development of Sepak Takraw.</t>
  </si>
  <si>
    <t>Which year was the International Sepak Takraw Federation (ISTAF) formed?</t>
  </si>
  <si>
    <t>A) 1963, B) 1972, C) 1987, D) 1993</t>
  </si>
  <si>
    <t>C) 1987</t>
  </si>
  <si>
    <t>The International Sepak Takraw Federation (ISTAF) was founded in 1987.</t>
  </si>
  <si>
    <t>Which is the primary material used to make the modern Sepak Takraw ball?</t>
  </si>
  <si>
    <t>A) Rattan, B) Plastic, C) Rubber, D) Leather</t>
  </si>
  <si>
    <t>B) Plastic</t>
  </si>
  <si>
    <t>Modern Sepak Takraw balls are typically made of durable plastic.</t>
  </si>
  <si>
    <t>In what year did Sepak Takraw first become part of the Asian Games?</t>
  </si>
  <si>
    <t>A) 1978, B) 1982, C) 1986, D) 1990</t>
  </si>
  <si>
    <t>B) 1982</t>
  </si>
  <si>
    <t>Sepak Takraw was included in the 1982 Asian Games.</t>
  </si>
  <si>
    <t>Which Indonesian player won the first gold medal for Sepak Takraw in the Southeast Asian Games?</t>
  </si>
  <si>
    <t>A) Rijal Akhmad, B) Zulkifli Nasution, C) Muhammad Iqbal, D) Ardy Sutedjo</t>
  </si>
  <si>
    <t>D) Ardy Sutedjo</t>
  </si>
  <si>
    <t>Ardy Sutedjo was the first Indonesian player to win a gold medal in Sepak Takraw at the Southeast Asian Games.</t>
  </si>
  <si>
    <t>What is the most significant tournament for Sepak Takraw worldwide?</t>
  </si>
  <si>
    <t>A) Sepak Takraw World Cup, B) Asian Games, C) Sepak Takraw World Championship, D) Southeast Asian Games</t>
  </si>
  <si>
    <t>C) Sepak Takraw World Championship</t>
  </si>
  <si>
    <t>The Sepak Takraw World Championship is the most significant international tournament for the sport.</t>
  </si>
  <si>
    <t>Which country introduced the sport of Sepak Takraw to Thailand?</t>
  </si>
  <si>
    <t>A) Malaysia, B) Indonesia, C) Singapore, D) Myanmar</t>
  </si>
  <si>
    <t>Sepak Takraw was introduced to Thailand from Indonesia, where it was already popular.</t>
  </si>
  <si>
    <t>What is the maximum number of players allowed on a Sepak Takraw court?</t>
  </si>
  <si>
    <t>C) 6</t>
  </si>
  <si>
    <t>A standard Sepak Takraw court can have up to 6 players, with each team having 3 players.</t>
  </si>
  <si>
    <t>What is the main objective of Sepak Takraw?</t>
  </si>
  <si>
    <t>A) To score points by hitting a ball over a net, B) To kick a ball through a hoop, C) To serve a ball in the air, D) To hit a ball into a goal</t>
  </si>
  <si>
    <t>A) To score points by hitting a ball over a net</t>
  </si>
  <si>
    <t>The main goal of Sepak Takraw is to score points by hitting a rattan ball over a net, using only feet, head, knees, and chest.</t>
  </si>
  <si>
    <t>Who won the first Sepak Takraw World Championship in 1990?</t>
  </si>
  <si>
    <t>A) Malaysia, B) Indonesia, C) Thailand, D) Philippines</t>
  </si>
  <si>
    <t>A) Malaysia</t>
  </si>
  <si>
    <t>Malaysia won the first Sepak Takraw World Championship in 1990.</t>
  </si>
  <si>
    <t>In Sepak Takraw, which part of the body is primarily used to hit the ball?</t>
  </si>
  <si>
    <t>A) Hands, B) Feet, C) Head, D) Chest</t>
  </si>
  <si>
    <t>B) Feet</t>
  </si>
  <si>
    <t>In Sepak Takraw, players use their feet, head, knees, and chest to hit the ball.</t>
  </si>
  <si>
    <t>Which Southeast Asian country has the most Sepak Takraw World Championship titles?</t>
  </si>
  <si>
    <t>Thailand has the most Sepak Takraw World Championship titles.</t>
  </si>
  <si>
    <t>Which year was Sepak Takraw officially recognized by the International Olympic Committee?</t>
  </si>
  <si>
    <t>A) 1995, B) 2000, C) 2005, D) 2010</t>
  </si>
  <si>
    <t>C) 2005</t>
  </si>
  <si>
    <t>Sepak Takraw was officially recognized by the International Olympic Committee in 2005.</t>
  </si>
  <si>
    <t>What traditional Indonesian festival first included Sepak Takraw as part of its celebrations?</t>
  </si>
  <si>
    <t>A) Bali Arts Festival, B) Jakarta International Sports Festival, C) Bali Cultural Festival, D) Independence Day Celebrations</t>
  </si>
  <si>
    <t>B) Jakarta International Sports Festival</t>
  </si>
  <si>
    <t>The Jakarta International Sports Festival was one of the first festivals to feature Sepak Takraw as part of its activities.</t>
  </si>
  <si>
    <t>Which country is known for the first-ever Sepak Takraw club formed?</t>
  </si>
  <si>
    <t>A) Thailand, B) Malaysia, C) Indonesia, D) Singapore</t>
  </si>
  <si>
    <t>Malaysia is known for forming the first-ever Sepak Takraw club.</t>
  </si>
  <si>
    <t>What is the term used for a player who serves the ball in Sepak Takraw?</t>
  </si>
  <si>
    <t>A) Spiker, B) Setter, C) Server, D) Attacker</t>
  </si>
  <si>
    <t>C) Server</t>
  </si>
  <si>
    <t>The player who serves the ball in Sepak Takraw is referred to as the server.</t>
  </si>
  <si>
    <t>Which country is the birthplace of the modern version of Sepak Takraw?</t>
  </si>
  <si>
    <t>A) Indonesia, B) Malaysia, C) Thailand, D) Philippines</t>
  </si>
  <si>
    <t>C) Thailand</t>
  </si>
  <si>
    <t>Modern Sepak Takraw, as played today, originated in Thailand.</t>
  </si>
  <si>
    <t>What is the official governing body of Sepak Takraw in Indonesia?</t>
  </si>
  <si>
    <t>A) Indonesian Sepak Takraw Federation, B) Indonesian Sepak Raga Association, C) Indonesian Sports Federation, D) Indonesian Olympic Committee</t>
  </si>
  <si>
    <t>A) Indonesian Sepak Takraw Federation</t>
  </si>
  <si>
    <t>The Indonesian Sepak Takraw Federation governs the sport of Sepak Takraw in Indonesia.</t>
  </si>
  <si>
    <t>Which ancient Southeast Asian game is believed to have inspired the creation of Sepak Takraw?</t>
  </si>
  <si>
    <t>A) Sepak Raga, B) Sepaktakraw, C) Pencak Silat, D) Mukna</t>
  </si>
  <si>
    <t>Sepak Raga, an ancient game played with a rattan ball, is considered the predecessor to Sepak Takraw.</t>
  </si>
  <si>
    <t>Which country won the first Sepak Takraw World Championship in 1990?</t>
  </si>
  <si>
    <t>Malaysia won the first Sepak Takraw World Championship in 1990, marking its dominance in the sport.</t>
  </si>
  <si>
    <t>In which decade did Sepak Takraw gain international popularity beyond Southeast Asia?</t>
  </si>
  <si>
    <t>The 1980s saw Sepak Takraw grow in popularity internationally, especially after the formation of ISTAF.</t>
  </si>
  <si>
    <t>When was the first official Sepak Takraw World Cup held?</t>
  </si>
  <si>
    <t>A) 1987, B) 1990, C) 1992, D) 1995</t>
  </si>
  <si>
    <t>B) 1990</t>
  </si>
  <si>
    <t>The first official Sepak Takraw World Cup was held in 1990, with teams from multiple countries participating.</t>
  </si>
  <si>
    <t>What traditional material was originally used to make Sepak Takraw balls?</t>
  </si>
  <si>
    <t>A) Bamboo, B) Rattan, C) Rubber, D) Plastic</t>
  </si>
  <si>
    <t>Traditional Sepak Takraw balls were made from rattan, known for its strength and flexibility.</t>
  </si>
  <si>
    <t>Which country introduced Sepak Takraw at the 1998 Asian Games?</t>
  </si>
  <si>
    <t>A) Indonesia, B) Thailand, C) Malaysia, D) Philippines</t>
  </si>
  <si>
    <t>B) Thailand</t>
  </si>
  <si>
    <t>Thailand played a key role in introducing Sepak Takraw as an official sport at the 1998 Asian Games.</t>
  </si>
  <si>
    <t>Which international organization oversees the rules and development of Sepak Takraw?</t>
  </si>
  <si>
    <t>The International Sepak Takraw Federation (ISTAF) governs the global rules and development of the sport.</t>
  </si>
  <si>
    <t>Which nation is considered the birthplace of Sepak Takraw's modern version?</t>
  </si>
  <si>
    <t>Thailand is credited with the modern form of Sepak Takraw, which has evolved over time.</t>
  </si>
  <si>
    <t>Which Southeast Asian country has won the most Southeast Asian Games gold medals in Sepak Takraw?</t>
  </si>
  <si>
    <t>A) Indonesia, B) Malaysia, C) Thailand, D) Vietnam</t>
  </si>
  <si>
    <t>Thailand has won the most gold medals in Sepak Takraw at the Southeast Asian Games.</t>
  </si>
  <si>
    <t>What is the official name for the Sepak Takraw court in international competitions?</t>
  </si>
  <si>
    <t>A) Sepak Takraw Arena, B) Takraw Field, C) Regu Court, D) Sepak Court</t>
  </si>
  <si>
    <t>C) Regu Court</t>
  </si>
  <si>
    <t>The official court used in international Sepak Takraw competitions is called the Regu Court.</t>
  </si>
  <si>
    <t>Who was the first Indonesian athlete to win a Sepak Takraw World Championship gold medal?</t>
  </si>
  <si>
    <t>A) Iwan Setiawan, B) Ardy Sutedjo, C) Zulkifli Nasution, D) Muhammad Iqbal</t>
  </si>
  <si>
    <t>B) Ardy Sutedjo</t>
  </si>
  <si>
    <t>Ardy Sutedjo was the first Indonesian to win a gold medal in the Sepak Takraw World Championship.</t>
  </si>
  <si>
    <t>In which year did Sepak Takraw first appear in the Southeast Asian Games?</t>
  </si>
  <si>
    <t>A) 1965, B) 1970, C) 1975, D) 1980</t>
  </si>
  <si>
    <t>Sepak Takraw was first introduced in the 1965 Southeast Asian Games, marking its regional importance.</t>
  </si>
  <si>
    <t>What is the maximum number of players per team in Sepak Takraw?</t>
  </si>
  <si>
    <t>A) 3, B) 4, C) 5, D) 6</t>
  </si>
  <si>
    <t>A) 3</t>
  </si>
  <si>
    <t>Each team in Sepak Takraw consists of 3 players: one server, one attacker, and one defender.</t>
  </si>
  <si>
    <t>Which ancient Malay manuscript first mentioned a game resembling Sepak Takraw?</t>
  </si>
  <si>
    <t>A) Hikayat Hang Tuah B) Tambo Minangkabau C) Nagarakretagama D) Hikayat Abdullah</t>
  </si>
  <si>
    <t>A) Hikayat Hang Tuah</t>
  </si>
  <si>
    <t>The Hikayat Hang Tuah, a 15th-century Malay text, references early forms of Sepak Raga.</t>
  </si>
  <si>
    <t>What cultural symbolism is attached to Sepak Takraw in Indonesian rituals?</t>
  </si>
  <si>
    <t>A) Unity and teamwork B) Fertility and harvest C) Martial readiness D) Royal supremacy</t>
  </si>
  <si>
    <t>B) Fertility and harvest</t>
  </si>
  <si>
    <t>In some Indonesian villages, Sepak Raga was tied to fertility rituals and harvest celebrations.</t>
  </si>
  <si>
    <t>Which Indonesian kingdom’s courts were known to have Sepak Raga matches?</t>
  </si>
  <si>
    <t>A) Majapahit B) Srivijaya C) Mataram D) Sunda</t>
  </si>
  <si>
    <t>The Majapahit empire (13th–16th century) often hosted Sepak Raga as part of royal entertainment.</t>
  </si>
  <si>
    <t>In Javanese tradition, Sepak Raga was often played during which community event?</t>
  </si>
  <si>
    <t>A) Wayang Kulit performances B) Village cleansing ceremonies C) Wedding celebrations D) Rice planting festivals</t>
  </si>
  <si>
    <t>C) Wedding celebrations</t>
  </si>
  <si>
    <t>Sepak Raga was used to bring festivity and social bonding during wedding ceremonies.</t>
  </si>
  <si>
    <t>Which Indonesian ethnic group is strongly associated with early Sepak Raga practices?</t>
  </si>
  <si>
    <t>A) Bugis B) Balinese C) Javanese D) Batak</t>
  </si>
  <si>
    <t>A) Bugis</t>
  </si>
  <si>
    <t>The Bugis of South Sulawesi were prominent practitioners of Sepak Raga centuries ago.</t>
  </si>
  <si>
    <t>The circular performance style of Sepak Raga reflects influences from which art form?</t>
  </si>
  <si>
    <t>A) Pencak Silat B) Gamelan dance C) Wayang Golek D) Capoeira</t>
  </si>
  <si>
    <t>A) Pencak Silat</t>
  </si>
  <si>
    <t>Sepak Raga’s circular passing mimics martial arts footwork seen in Pencak Silat.</t>
  </si>
  <si>
    <t>Which Indonesian folklore hero is sometimes depicted playing Sepak Raga?</t>
  </si>
  <si>
    <t>A) Gatotkaca B) Hang Tuah C) Malin Kundang D) Panji</t>
  </si>
  <si>
    <t>B) Hang Tuah</t>
  </si>
  <si>
    <t>Though Malaysian, Hang Tuah is also celebrated in Indonesian folklore and linked to Sepak Raga tales.</t>
  </si>
  <si>
    <t>Which natural material besides rattan was historically used in remote Indonesian islands to make Sepak balls?</t>
  </si>
  <si>
    <t>A) Coconut fronds B) Bamboo strips C) Palm leaves D) Banana stems</t>
  </si>
  <si>
    <t>C) Palm leaves</t>
  </si>
  <si>
    <t>Palm leaves were sometimes braided into makeshift balls where rattan was unavailable.</t>
  </si>
  <si>
    <t>Which Indonesian historical port city helped spread Sepak Raga internationally?</t>
  </si>
  <si>
    <t>A) Makassar B) Batavia C) Surabaya D) Medan</t>
  </si>
  <si>
    <t>A) Makassar</t>
  </si>
  <si>
    <t>As a maritime hub, Makassar traders spread Sepak Raga across Southeast Asia.</t>
  </si>
  <si>
    <t>Sepak Takraw’s connection with Islamic pesantren schools in Java emphasized what value?</t>
  </si>
  <si>
    <t>A) Obedience B) Brotherhood C) Discipline D) Spirituality</t>
  </si>
  <si>
    <t>B) Brotherhood</t>
  </si>
  <si>
    <t>Pesantren promoted Sepak Raga as a team game fostering community brotherhood.</t>
  </si>
  <si>
    <t>During Dutch colonial rule, Sepak Raga was sometimes discouraged because:</t>
  </si>
  <si>
    <t>A) It caused injuries B) It disrupted Christian schooling C) It distracted from colonial sports D) It was linked to nationalism</t>
  </si>
  <si>
    <t>D) It was linked to nationalism</t>
  </si>
  <si>
    <t>Colonial authorities viewed Sepak Raga as a symbol of native pride.</t>
  </si>
  <si>
    <t>What European sport influenced Sepak Takraw’s net-based evolution?</t>
  </si>
  <si>
    <t>A) Volleyball B) Badminton C) Tennis D) Football</t>
  </si>
  <si>
    <t>B) Badminton</t>
  </si>
  <si>
    <t>The idea of using a net was inspired by badminton, popular in Southeast Asia.</t>
  </si>
  <si>
    <t>Which Indonesian city hosted the first national Sepak Takraw competition post-independence?</t>
  </si>
  <si>
    <t>A) Jakarta B) Bandung C) Surabaya D) Yogyakarta</t>
  </si>
  <si>
    <t>B) Bandung</t>
  </si>
  <si>
    <t>Bandung became a key host for early organized Sepak Takraw tournaments in the 1950s.</t>
  </si>
  <si>
    <t>Which colonial record from the 1800s described Sepak Raga matches in Batavia?</t>
  </si>
  <si>
    <t>A) Dutch East Indies Gazette B) VOC Archives C) Java Post D) Colonial Almanac</t>
  </si>
  <si>
    <t>B) VOC Archives</t>
  </si>
  <si>
    <t>VOC records note Sepak Raga being played in Batavia’s kampungs.</t>
  </si>
  <si>
    <t>The adaptation of Sepak Takraw into schools in the 20th century symbolized:</t>
  </si>
  <si>
    <t>A) National identity B) Colonial loyalty C) Military propaganda D) Agricultural tradition</t>
  </si>
  <si>
    <t>A) National identity</t>
  </si>
  <si>
    <t>Teaching Sepak Takraw in schools helped cement it as a cultural sport of Indonesia.</t>
  </si>
  <si>
    <t>Which Indonesian sports organization first formally recognized Sepak Takraw after independence?</t>
  </si>
  <si>
    <t>A) KONI B) PSSI C) PBSI D) PERBASI</t>
  </si>
  <si>
    <t>A) KONI</t>
  </si>
  <si>
    <t>KONI (Komite Olahraga Nasional Indonesia) acknowledged Sepak Takraw as a national sport in the 1960s.</t>
  </si>
  <si>
    <t>Which Southeast Asian regional body promoted Sepak Takraw internationally in the 1970s?</t>
  </si>
  <si>
    <t>A) ASEAN B) SAARC C) SEAP Federation D) Asian Federation of Sports</t>
  </si>
  <si>
    <t>A) ASEAN</t>
  </si>
  <si>
    <t>ASEAN cultural exchanges helped introduce Sepak Takraw to countries beyond its origin region.</t>
  </si>
  <si>
    <t>Which Indonesian sports minister pushed for Sepak Takraw’s inclusion in the Asian Games?</t>
  </si>
  <si>
    <t>A) Maladi B) Abdul Kadir C) Soekarno D) Surono Reksodimedjo</t>
  </si>
  <si>
    <t>D) Surono Reksodimedjo</t>
  </si>
  <si>
    <t>Minister Surono’s advocacy in the 1970s helped Sepak Takraw secure recognition at continental level.</t>
  </si>
  <si>
    <t>In Indonesia, Sepak Takraw gained mass following after being broadcast on:</t>
  </si>
  <si>
    <t>A) TVRI B) RRI C) MetroTV D) Trans7</t>
  </si>
  <si>
    <t>A) TVRI</t>
  </si>
  <si>
    <t>TVRI’s national coverage in the 1970s made Sepak Takraw popular across Indonesia.</t>
  </si>
  <si>
    <t>Which Indonesian city is home to the national Sepak Takraw training center?</t>
  </si>
  <si>
    <t>A) Jakarta B) Surabaya C) Palembang D) Makassar</t>
  </si>
  <si>
    <t>C) Palembang</t>
  </si>
  <si>
    <t>Palembang hosts Indonesia’s official Sepak Takraw training facility for elite players.</t>
  </si>
  <si>
    <t>Sepak Takraw’s rise in Malaysia and Indonesia during the 20th century reflected:</t>
  </si>
  <si>
    <t>A) Colonial sporting rivalry B) Cultural preservation C) Religious practice D) Agricultural tradition</t>
  </si>
  <si>
    <t>B) Cultural preservation</t>
  </si>
  <si>
    <t>Both nations saw the sport as a means of preserving indigenous culture.</t>
  </si>
  <si>
    <t>Which Indonesian university established one of the first varsity Sepak Takraw clubs?</t>
  </si>
  <si>
    <t>A) Universitas Indonesia B) Gadjah Mada University C) Airlangga University D) Universitas Hasanuddin</t>
  </si>
  <si>
    <t>B) Gadjah Mada University</t>
  </si>
  <si>
    <t>UGM Yogyakarta pioneered Sepak Takraw at the university level.</t>
  </si>
  <si>
    <t>Which Indonesian province first introduced women’s Sepak Takraw competition?</t>
  </si>
  <si>
    <t>A) Aceh B) West Java C) Bali D) South Sulawesi</t>
  </si>
  <si>
    <t>D) South Sulawesi</t>
  </si>
  <si>
    <t>South Sulawesi organized the first women’s matches, expanding gender participation.</t>
  </si>
  <si>
    <t>In which decade did Sepak Takraw reach European audiences?</t>
  </si>
  <si>
    <t>A) 1950s B) 1960s C) 1970s D) 1980s</t>
  </si>
  <si>
    <t>D) 1980s</t>
  </si>
  <si>
    <t>Demonstrations by Southeast Asian teams in the 1980s introduced the sport to Europe.</t>
  </si>
  <si>
    <t>Which country outside Southeast Asia first formed a national Sepak Takraw federation?</t>
  </si>
  <si>
    <t>A) Japan B) South Korea C) India D) Canada</t>
  </si>
  <si>
    <t>A) Japan</t>
  </si>
  <si>
    <t>Japan established its federation in the 1980s, leading Asian expansion beyond SEA.</t>
  </si>
  <si>
    <t>Which Indonesian airline once sponsored Sepak Takraw promotional tours?</t>
  </si>
  <si>
    <t>A) Garuda Indonesia B) Lion Air C) Merpati D) Batik Air</t>
  </si>
  <si>
    <t>A) Garuda Indonesia</t>
  </si>
  <si>
    <t>Garuda Indonesia sponsored tours in the 1980s, boosting international visibility.</t>
  </si>
  <si>
    <t>The first World Sepak Takraw Championship outside Southeast Asia was hosted in:</t>
  </si>
  <si>
    <t>A) Japan B) India C) South Korea D) China</t>
  </si>
  <si>
    <t>C) South Korea</t>
  </si>
  <si>
    <t>Seoul hosted the World Championship, marking a milestone in global expansion.</t>
  </si>
  <si>
    <t>Which Indonesian president attended a Sepak Takraw exhibition during Independence Day celebrations?</t>
  </si>
  <si>
    <t>A) Sukarno B) Suharto C) Habibie D) Megawati</t>
  </si>
  <si>
    <t>B) Suharto</t>
  </si>
  <si>
    <t>President Suharto endorsed Sepak Takraw as a symbol of national identity.</t>
  </si>
  <si>
    <t>Which global sporting expo first featured Sepak Takraw demonstrations?</t>
  </si>
  <si>
    <t>A) Expo ’70 Osaka B) Expo ’86 Vancouver C) Expo ’92 Seville D) Expo 2000 Hannover</t>
  </si>
  <si>
    <t>A) Expo ’70 Osaka</t>
  </si>
  <si>
    <t>Demonstrations in Japan introduced Sepak Takraw to an international audience.</t>
  </si>
  <si>
    <t>Which Indonesian province established Sepak Takraw academies for youth talent?</t>
  </si>
  <si>
    <t>A) East Java B) West Sumatra C) South Sulawesi D) Lampung</t>
  </si>
  <si>
    <t>C) South Sulawesi</t>
  </si>
  <si>
    <t>South Sulawesi remains a key hub for grassroots Sepak Takraw development.</t>
  </si>
  <si>
    <t>Which year marked the introduction of the “regu” format in Indonesia?</t>
  </si>
  <si>
    <t>A) 1960 B) 1965 C) 1970 D) 1975</t>
  </si>
  <si>
    <t>C) 1970</t>
  </si>
  <si>
    <t>Indonesia officially adopted the 3-player regu format in the 1970s.</t>
  </si>
  <si>
    <t>What is the maximum height of the net in men’s Sepak Takraw?</t>
  </si>
  <si>
    <t>A) 1.42 m B) 1.52 m C) 1.62 m D) 1.72 m</t>
  </si>
  <si>
    <t>B) 1.52 m</t>
  </si>
  <si>
    <t>ISTAF standards fix men’s net height at 1.52 meters.</t>
  </si>
  <si>
    <t>What is the standard number of sets in an international Sepak Takraw match?</t>
  </si>
  <si>
    <t>A) Best of 1 B) Best of 3 C) Best of 5 D) Best of 7</t>
  </si>
  <si>
    <t>B) Best of 3</t>
  </si>
  <si>
    <t>International matches are played in a best-of-three sets format.</t>
  </si>
  <si>
    <t>Which Indonesian traditional game element was retained in modern Sepak Takraw rules?</t>
  </si>
  <si>
    <t>A) Circular play B) Ritual opening C) Kick-only rule D) Wooden ball use</t>
  </si>
  <si>
    <t>C) Kick-only rule</t>
  </si>
  <si>
    <t>Players still cannot use hands, preserving its traditional essence.</t>
  </si>
  <si>
    <t>In professional Sepak Takraw, how many touches are allowed per side?</t>
  </si>
  <si>
    <t>A) 2 B) 3 C) 4 D) 5</t>
  </si>
  <si>
    <t>B) 3</t>
  </si>
  <si>
    <t>Teams are allowed a maximum of 3 touches before returning the ball.</t>
  </si>
  <si>
    <t>Which body part is least commonly used in competitive Sepak Takraw?</t>
  </si>
  <si>
    <t>A) Head B) Chest C) Knee D) Elbow</t>
  </si>
  <si>
    <t>D) Elbow</t>
  </si>
  <si>
    <t>Elbows are not permitted; feet dominate competitive play.</t>
  </si>
  <si>
    <t>The Indonesian “smash kick” is also known as:</t>
  </si>
  <si>
    <t>A) Smes B) Sepak Sila C) Gunting D) Tekong</t>
  </si>
  <si>
    <t>C) Gunting</t>
  </si>
  <si>
    <t>“Gunting” (scissors kick) is a trademark attacking move.</t>
  </si>
  <si>
    <t>Which technical skill is emphasized in Indonesian Sepak Takraw training?</t>
  </si>
  <si>
    <t>A) Heading B) Rolling serve C) Bicycle kick D) Heel kick</t>
  </si>
  <si>
    <t>B) Rolling serve</t>
  </si>
  <si>
    <t>Rolling serves are a critical element taught in Indonesian coaching.</t>
  </si>
  <si>
    <t>Which scoring system replaced the old “service point” rule?</t>
  </si>
  <si>
    <t>A) Rally point B) Advantage point C) Sudden death D) Deuce system</t>
  </si>
  <si>
    <t>A) Rally point</t>
  </si>
  <si>
    <t>Rally point scoring modernized Sepak Takraw globally.</t>
  </si>
  <si>
    <t>In Indonesia, Sepak Takraw referees must be certified by:</t>
  </si>
  <si>
    <t>A) KONI B) ISTAF C) PB PSTI D) IOC</t>
  </si>
  <si>
    <t>C) PB PSTI</t>
  </si>
  <si>
    <t>Persatuan Sepak Takraw Seluruh Indonesia regulates referee certification.</t>
  </si>
  <si>
    <t>What is the official duration of a Sepak Takraw set?</t>
  </si>
  <si>
    <t>A) 11 points B) 15 points C) 21 points D) 25 points</t>
  </si>
  <si>
    <t>C) 21 points</t>
  </si>
  <si>
    <t>Sets are played to 21 points under ISTAF rules.</t>
  </si>
  <si>
    <t>Which Indonesian terminology describes the “server” in Sepak Takraw?</t>
  </si>
  <si>
    <t>A) Apit B) Tekong C) Feeder D) Spiker</t>
  </si>
  <si>
    <t>B) Tekong</t>
  </si>
  <si>
    <t>Tekong is the player responsible for serving.</t>
  </si>
  <si>
    <t>In doubles Sepak Takraw, how many players are on the court per team?</t>
  </si>
  <si>
    <t>Doubles format includes two players on each side.</t>
  </si>
  <si>
    <t>Which Indonesian training drill emphasizes aerial control of the rattan ball?</t>
  </si>
  <si>
    <t>A) Lompatan B) Juggling C) Putaran D) Tumbukan</t>
  </si>
  <si>
    <t>B) Juggling</t>
  </si>
  <si>
    <t>Juggling drills build stamina and ball mastery.</t>
  </si>
  <si>
    <t>Which Indonesian city hosted the first referee training clinic for Sepak Takraw?</t>
  </si>
  <si>
    <t>A) Jakarta B) Bandung C) Yogyakarta D) Palembang</t>
  </si>
  <si>
    <t>Jakarta conducted the first certified referee program in the 1980s.</t>
  </si>
  <si>
    <t>Who captained the Indonesian Sepak Takraw team at the 1990 Asian Games?</t>
  </si>
  <si>
    <t>A) Ardy Sutedjo B) Bambang Suprianto C) Zulkifli Nasution D) Rijal Akhmad</t>
  </si>
  <si>
    <t>Ardy Sutedjo, Indonesia’s star player, led the national team in 1990.</t>
  </si>
  <si>
    <t>Which Indonesian women’s player won the first SEA Games gold for the country?</t>
  </si>
  <si>
    <t>A) Nurhayati B) Dian Anggraini C) Siti Aminah D) Ratna Dewi</t>
  </si>
  <si>
    <t>B) Dian Anggraini</t>
  </si>
  <si>
    <t>Dian Anggraini became a pioneer in Indonesian women’s Sepak Takraw success.</t>
  </si>
  <si>
    <t>In which Indonesian city was the 1992 Sepak Takraw Asian Championship held?</t>
  </si>
  <si>
    <t>A) Surabaya B) Jakarta C) Yogyakarta D) Bandung</t>
  </si>
  <si>
    <t>B) Jakarta</t>
  </si>
  <si>
    <t>Jakarta proudly hosted the Asian Championship in 1992.</t>
  </si>
  <si>
    <t>Which Indonesian player was nicknamed the “Flying Garuda” for his acrobatic smashes?</t>
  </si>
  <si>
    <t>A) Rijal Akhmad B) Muhammad Iqbal C) Bambang Suprianto D) Ardy Sutedjo</t>
  </si>
  <si>
    <t>A) Rijal Akhmad</t>
  </si>
  <si>
    <t>Rijal Akhmad was admired for his aerial attacking style.</t>
  </si>
  <si>
    <t>When did Indonesia first host the SEA Games featuring Sepak Takraw?</t>
  </si>
  <si>
    <t>A) 1979 B) 1987 C) 1997 D) 2011</t>
  </si>
  <si>
    <t>C) 1997</t>
  </si>
  <si>
    <t>Jakarta hosted the 1997 SEA Games, showcasing Sepak Takraw on home soil.</t>
  </si>
  <si>
    <t>Which Indonesian province consistently produces top defenders in Sepak Takraw?</t>
  </si>
  <si>
    <t>A) Aceh B) South Sulawesi C) West Java D) East Kalimantan</t>
  </si>
  <si>
    <t>B) South Sulawesi</t>
  </si>
  <si>
    <t>Known for stamina and agility, South Sulawesi athletes excel as defenders.</t>
  </si>
  <si>
    <t>Which Indonesian club team won the National Sepak Takraw League three consecutive years?</t>
  </si>
  <si>
    <t>A) Jakarta Warriors B) Makassar Raga C) Surabaya Tekong D) Palembang Smashers</t>
  </si>
  <si>
    <t>B) Makassar Raga</t>
  </si>
  <si>
    <t>Makassar Raga dominated national competitions with strong regu play.</t>
  </si>
  <si>
    <t>Who was the youngest Indonesian to debut at the Sepak Takraw World Cup?</t>
  </si>
  <si>
    <t>A) Ardy Sutedjo B) Rijal Akhmad C) Rizky Hidayat D) Muhammad Iqbal</t>
  </si>
  <si>
    <t>C) Rizky Hidayat</t>
  </si>
  <si>
    <t>Rizky Hidayat debuted at just 17, symbolizing youth growth in the sport.</t>
  </si>
  <si>
    <t>In which year did Indonesia secure its first Sepak Takraw World Cup medal?</t>
  </si>
  <si>
    <t>A) 1985 B) 1990 C) 1992 D) 1998</t>
  </si>
  <si>
    <t>Indonesia clinched its first medal during the 1990 World Cup.</t>
  </si>
  <si>
    <t>Which Indonesian coach introduced modern training methods in the 2000s?</t>
  </si>
  <si>
    <t>A) Bambang Hartono B) Joko Susanto C) Eko Prabowo D) Surya Wirawan</t>
  </si>
  <si>
    <t>C) Eko Prabowo</t>
  </si>
  <si>
    <t>Eko Prabowo integrated sports science and analytics into Sepak Takraw training.</t>
  </si>
  <si>
    <t>Which Indonesian women’s team won a surprise bronze at the 2010 Asian Games?</t>
  </si>
  <si>
    <t>A) East Java B) Jakarta C) West Sumatra D) Bali</t>
  </si>
  <si>
    <t>East Java’s women’s team achieved a historic bronze medal in 2010.</t>
  </si>
  <si>
    <t>Who is regarded as the “Father of Indonesian Sepak Takraw”?</t>
  </si>
  <si>
    <t>A) Soekarno B) Maladi C) Surono Reksodimedjo D) Ardy Sutedjo</t>
  </si>
  <si>
    <t>C) Surono Reksodimedjo</t>
  </si>
  <si>
    <t>Surono’s leadership institutionalized Sepak Takraw in Indonesia.</t>
  </si>
  <si>
    <t>Which Indonesian team reached the finals of the 2013 ISTAF SuperSeries?</t>
  </si>
  <si>
    <t>A) Makassar Raga B) Jakarta Warriors C) Indonesia National Team D) Palembang Smashers</t>
  </si>
  <si>
    <t>C) Indonesia National Team</t>
  </si>
  <si>
    <t>The Indonesian national squad reached the finals in the SuperSeries event.</t>
  </si>
  <si>
    <t>Which Indonesian athlete was known for mastering the deadly “sunback spike”?</t>
  </si>
  <si>
    <t>A) Zulkifli Nasution B) Muhammad Iqbal C) Rijal Akhmad D) Rizky Hidayat</t>
  </si>
  <si>
    <t>B) Muhammad Iqbal</t>
  </si>
  <si>
    <t>Muhammad Iqbal’s unique spike technique made him a fan favorite.</t>
  </si>
  <si>
    <t>Which Indonesian province hosted the 2018 National Sepak Takraw Championships?</t>
  </si>
  <si>
    <t>A) Central Java B) South Sulawesi C) East Kalimantan D) Aceh</t>
  </si>
  <si>
    <t>D) Aceh</t>
  </si>
  <si>
    <t>Aceh hosted the championship, highlighting its rising role in the sport.</t>
  </si>
  <si>
    <t>In Indonesian popular culture, Sepak Takraw has been featured in which film?</t>
  </si>
  <si>
    <t>A) Laskar Pelangi B) Garuda di Dadaku C) Sepakbola Raga D) Merah Putih</t>
  </si>
  <si>
    <t>C) Sepakbola Raga</t>
  </si>
  <si>
    <t>The film highlights cultural pride through Sepak Takraw.</t>
  </si>
  <si>
    <t>Which Indonesian province integrates Sepak Takraw into traditional dance performances?</t>
  </si>
  <si>
    <t>A) Bali B) West Sumatra C) South Sulawesi D) West Nusa Tenggara</t>
  </si>
  <si>
    <t>South Sulawesi performers combine dance and Sepak Raga displays.</t>
  </si>
  <si>
    <t>Sepak Takraw is often demonstrated during which Indonesian Independence Day event?</t>
  </si>
  <si>
    <t>A) Flag-raising ceremonies B) Cultural parades C) Sports carnivals D) Village competitions</t>
  </si>
  <si>
    <t>D) Village competitions</t>
  </si>
  <si>
    <t>Villages across Indonesia hold Takraw matches during Independence celebrations.</t>
  </si>
  <si>
    <t>Which Indonesian tourism campaign used Sepak Takraw as a promotional theme?</t>
  </si>
  <si>
    <t>A) Wonderful Indonesia B) Explore Java C) Spirit of Bali D) Discover Sulawesi</t>
  </si>
  <si>
    <t>A) Wonderful Indonesia</t>
  </si>
  <si>
    <t>Sepak Takraw was used to highlight Indonesia’s heritage in tourism ads.</t>
  </si>
  <si>
    <t>Which Indonesian TV drama once featured Sepak Takraw as a central plot?</t>
  </si>
  <si>
    <t>A) Anak Jalanan B) Sepak Bola Raga C) Garuda Muda D) Atlet Cinta</t>
  </si>
  <si>
    <t>B) Sepak Bola Raga</t>
  </si>
  <si>
    <t>The drama showcased young athletes balancing sport and life.</t>
  </si>
  <si>
    <t>Which Indonesian province celebrates Sepak Takraw during rice harvest festivals?</t>
  </si>
  <si>
    <t>A) Bali B) West Java C) Lampung D) Central Java</t>
  </si>
  <si>
    <t>D) Central Java</t>
  </si>
  <si>
    <t>Farmers in Central Java often play Sepak Raga to celebrate harvest.</t>
  </si>
  <si>
    <t>Sepak Takraw is commonly played by Indonesian migrant workers in:</t>
  </si>
  <si>
    <t>A) Saudi Arabia B) Malaysia C) South Korea D) All of the above</t>
  </si>
  <si>
    <t>Migrant workers keep cultural ties alive through Takraw abroad.</t>
  </si>
  <si>
    <t>Which Indonesian folk song references Sepak Raga?</t>
  </si>
  <si>
    <t>A) Bengawan Solo B) Gundul-Gundul Pacul C) Raga Bola D) Ampar-Ampar Pisang</t>
  </si>
  <si>
    <t>C) Raga Bola</t>
  </si>
  <si>
    <t>The folk song “Raga Bola” immortalizes the traditional game.</t>
  </si>
  <si>
    <t>In Indonesian art, Sepak Raga is often depicted in:</t>
  </si>
  <si>
    <t>A) Batik motifs B) Wood carvings C) Shadow puppetry D) Stone reliefs</t>
  </si>
  <si>
    <t>B) Wood carvings</t>
  </si>
  <si>
    <t>Traditional carvings in Java depict Sepak Raga as a village pastime.</t>
  </si>
  <si>
    <t>Which Indonesian festival uses Sepak Takraw as part of youth contests?</t>
  </si>
  <si>
    <t>A) Pekan Olahraga Nasional B) Festival Budaya Nusantara C) Jakarta Fair D) Bali Arts Festival</t>
  </si>
  <si>
    <t>B) Festival Budaya Nusantara</t>
  </si>
  <si>
    <t>Youth teams compete in Sepak Takraw as part of this cultural festival.</t>
  </si>
  <si>
    <t>Which Indonesian province built the first Sepak Takraw museum?</t>
  </si>
  <si>
    <t>A) East Java B) West Sumatra C) South Sulawesi D) Bali</t>
  </si>
  <si>
    <t>Makassar established a museum to preserve Takraw’s history.</t>
  </si>
  <si>
    <t>Which Indonesian YouTube channel popularized Sepak Takraw tutorials?</t>
  </si>
  <si>
    <t>A) Garuda Sport B) Takraw Indonesia C) Bola Raga Nusantara D) Sport Kita</t>
  </si>
  <si>
    <t>B) Takraw Indonesia</t>
  </si>
  <si>
    <t>The channel provides technical training videos for young athletes.</t>
  </si>
  <si>
    <t>Sepak Takraw is included in the Indonesian school curriculum under which subject?</t>
  </si>
  <si>
    <t>A) Arts B) Physical Education C) Social Studies D) History</t>
  </si>
  <si>
    <t>B) Physical Education</t>
  </si>
  <si>
    <t>Schools nationwide teach Takraw as part of PE.</t>
  </si>
  <si>
    <t>Which Indonesian sports academy partners with ISTAF for youth training?</t>
  </si>
  <si>
    <t>A) Ragunan B) Cipayung C) Senayan D) Gresik</t>
  </si>
  <si>
    <t>A) Ragunan</t>
  </si>
  <si>
    <t>Ragunan Sports School trains elite youth Takraw players.</t>
  </si>
  <si>
    <t>Which Indonesian region often plays Sepak Takraw barefoot as a tradition?</t>
  </si>
  <si>
    <t>A) Bali B) Kalimantan C) Papua D) Madura</t>
  </si>
  <si>
    <t>D) Madura</t>
  </si>
  <si>
    <t>Madurese players maintain the barefoot tradition for cultural authenticity.</t>
  </si>
  <si>
    <t>Which Indonesian sports federation is a member of ISTAF representing the country?</t>
  </si>
  <si>
    <t>A) PB PSTI B) KONI C) PSSI D) PBSI</t>
  </si>
  <si>
    <t>A) PB PSTI</t>
  </si>
  <si>
    <t>Persatuan Sepak Takraw Seluruh Indonesia (PB PSTI) is Indonesia’s official body under ISTAF.</t>
  </si>
  <si>
    <t>Which Indonesian president officially recognized Sepak Takraw as a national sport?</t>
  </si>
  <si>
    <t>During Suharto’s era, Sepak Takraw received official government endorsement.</t>
  </si>
  <si>
    <t>Which Indonesian city hosted the ISTAF World Cup promotional event in 2011?</t>
  </si>
  <si>
    <t>A) Jakarta B) Surabaya C) Yogyakarta D) Medan</t>
  </si>
  <si>
    <t>Jakarta showcased Sepak Takraw internationally in ISTAF’s 2011 promotional drive.</t>
  </si>
  <si>
    <t>Which Indonesian sports university runs Sepak Takraw as a research subject?</t>
  </si>
  <si>
    <t>A) Universitas Negeri Jakarta B) Universitas Airlangga C) Universitas Hasanuddin D) Universitas Pendidikan Indonesia</t>
  </si>
  <si>
    <t>A) Universitas Negeri Jakarta</t>
  </si>
  <si>
    <t>UNJ conducts sports science studies on Sepak Takraw performance and biomechanics.</t>
  </si>
  <si>
    <t>Which Indonesian city was proposed as host for the 2025 Sepak Takraw World Cup?</t>
  </si>
  <si>
    <t>A) Bandung B) Palembang C) Surabaya D) Yogyakarta</t>
  </si>
  <si>
    <t>B) Palembang</t>
  </si>
  <si>
    <t>Palembang’s Jakabaring complex was shortlisted to host the 2025 World Cup.</t>
  </si>
  <si>
    <t>Which Indonesian company became the first corporate sponsor of Sepak Takraw?</t>
  </si>
  <si>
    <t>A) Pertamina B) Indofood C) Gudang Garam D) Garuda Indonesia</t>
  </si>
  <si>
    <t>B) Indofood</t>
  </si>
  <si>
    <t>Indofood sponsored domestic leagues in the 1990s to promote the sport.</t>
  </si>
  <si>
    <t>Which Indonesian province integrates Sepak Takraw into school competitions as mandatory?</t>
  </si>
  <si>
    <t>A) West Java B) South Sulawesi C) Aceh D) Bali</t>
  </si>
  <si>
    <t>C) Aceh</t>
  </si>
  <si>
    <t>Aceh mandates Sepak Takraw tournaments at school-level festivals.</t>
  </si>
  <si>
    <t>Which Indonesian broadcasting network launched a Sepak Takraw reality show?</t>
  </si>
  <si>
    <t>A) TransTV B) RCTI C) TVRI D) ANTV</t>
  </si>
  <si>
    <t>B) RCTI</t>
  </si>
  <si>
    <t>RCTI’s show in the 2000s gave young players national exposure.</t>
  </si>
  <si>
    <t>Which Indonesian athlete was appointed ISTAF youth ambassador?</t>
  </si>
  <si>
    <t>A) Ardy Sutedjo B) Rizky Hidayat C) Muhammad Iqbal D) Zulkifli Nasution</t>
  </si>
  <si>
    <t>B) Rizky Hidayat</t>
  </si>
  <si>
    <t>Rizky was chosen to inspire young fans globally.</t>
  </si>
  <si>
    <t>Which Indonesian province first created a women-only Sepak Takraw league?</t>
  </si>
  <si>
    <t>A) West Sumatra B) East Java C) Central Java D) Bali</t>
  </si>
  <si>
    <t>A) West Sumatra</t>
  </si>
  <si>
    <t>West Sumatra launched the league to empower female athletes.</t>
  </si>
  <si>
    <t>Which Indonesian innovation in Sepak Takraw equipment was recognized by ISTAF?</t>
  </si>
  <si>
    <t>A) Synthetic rattan ball B) Lightweight jerseys C) Flexible net posts D) Digital scoring system</t>
  </si>
  <si>
    <t>A) Synthetic rattan ball</t>
  </si>
  <si>
    <t>Indonesia introduced durable synthetic-rattan balls later adopted worldwide.</t>
  </si>
  <si>
    <t>Which Indonesian mobile app streams live Sepak Takraw matches?</t>
  </si>
  <si>
    <t>A) Vidio B) Maxstream C) Mola D) TakrawTV</t>
  </si>
  <si>
    <t>A) Vidio</t>
  </si>
  <si>
    <t>Vidio partners with PB PSTI to stream domestic Takraw events.</t>
  </si>
  <si>
    <t>Which Indonesian region integrates Sepak Takraw into annual youth sports week (Pekan Olahraga Daerah)?</t>
  </si>
  <si>
    <t>A) South Sulawesi B) East Java C) West Java D) Lampung</t>
  </si>
  <si>
    <t>B) East Java</t>
  </si>
  <si>
    <t>East Java consistently features Sepak Takraw in its regional sports week.</t>
  </si>
  <si>
    <t>Which Indonesian Sepak Takraw legend was honored with a lifetime achievement award in 2018?</t>
  </si>
  <si>
    <t>A) Ardy Sutedjo B) Zulkifli Nasution C) Muhammad Iqbal D) Rijal Akhmad</t>
  </si>
  <si>
    <t>Ardy Sutedjo was honored for decades of contribution to Indonesian Sepak Takraw.</t>
  </si>
  <si>
    <t>Sepak Takraw is projected to be included as a demonstration sport in which Indonesian-hosted event?</t>
  </si>
  <si>
    <t>A) Asian Youth Games B) World Beach Games C) Islamic Solidarity Games D) Youth Olympics</t>
  </si>
  <si>
    <t>C) Islamic Solidarity Games</t>
  </si>
  <si>
    <t>Indonesia aims to showcase Sepak Takraw at the Islamic Solidarity Games as cultural heritage.</t>
  </si>
  <si>
    <t>Who founded the Indonesian martial art sport Tarung Derajat?</t>
  </si>
  <si>
    <t>A) Ahmad Niam, B) Achmad Dradjat, C) Gajah Mada, D) Raden Wijaya</t>
  </si>
  <si>
    <t>B) Achmad Dradjat</t>
  </si>
  <si>
    <t>Tarung Derajat was founded by Achmad Dradjat in the 1970s as a martial art combining strength, speed, and agility.</t>
  </si>
  <si>
    <t>In which decade did Tarung Derajat first emerge in Indonesia?</t>
  </si>
  <si>
    <t>A) 1960s, B) 1970s, C) 1980s, D) 1990s</t>
  </si>
  <si>
    <t>B) 1970s</t>
  </si>
  <si>
    <t>Tarung Derajat originated in the 1970s, gaining popularity as a self-defense system.</t>
  </si>
  <si>
    <t>What is the primary purpose of the Tarung Derajat martial art?</t>
  </si>
  <si>
    <t>A) Dance, B) Self-defense, C) Meditation, D) Entertainment</t>
  </si>
  <si>
    <t>B) Self-defense</t>
  </si>
  <si>
    <t>Tarung Derajat was developed as a self-defense system focused on combat efficiency and physical fitness.</t>
  </si>
  <si>
    <t>Which Indonesian military force officially recognized Tarung Derajat as a training sport?</t>
  </si>
  <si>
    <t>A) Indonesian Navy, B) Indonesian Air Force, C) Indonesian Police, D) Indonesian Army</t>
  </si>
  <si>
    <t>D) Indonesian Army</t>
  </si>
  <si>
    <t>The Indonesian Army adopted Tarung Derajat as part of its training for close-combat skills.</t>
  </si>
  <si>
    <t>What animal is commonly associated with Tarung Derajatâ€™s logo?</t>
  </si>
  <si>
    <t>A) Tiger, B) Eagle, C) Buffalo, D) Bull</t>
  </si>
  <si>
    <t>A) Tiger</t>
  </si>
  <si>
    <t>The tiger symbolizes strength and courage, key attributes in the Tarung Derajat philosophy.</t>
  </si>
  <si>
    <t>Which Southeast Asian sporting event first included Tarung Derajat as a competitive sport?</t>
  </si>
  <si>
    <t>A) SEA Games 2009, B) SEA Games 2011, C) SEA Games 2013, D) SEA Games 2015</t>
  </si>
  <si>
    <t>B) SEA Games 2011</t>
  </si>
  <si>
    <t>Tarung Derajat was included as a competitive sport in the 2011 SEA Games, held in Indonesia.</t>
  </si>
  <si>
    <t>Which principle is emphasized in Tarung Derajat training?</t>
  </si>
  <si>
    <t>A) Mental resilience, B) Dance skills, C) Flexibility, D) Silence</t>
  </si>
  <si>
    <t>A) Mental resilience</t>
  </si>
  <si>
    <t>Mental resilience is crucial in Tarung Derajat, reflecting its roots in self-defense and personal empowerment.</t>
  </si>
  <si>
    <t>Tarung Derajat is often known by what nickname in Indonesia?</t>
  </si>
  <si>
    <t>A) The Way of the Eagle, B) The Way of the Tiger, C) The Art of Strength, D) The Art of Survival</t>
  </si>
  <si>
    <t>D) The Art of Survival</t>
  </si>
  <si>
    <t>Tarung Derajat is commonly called 'The Art of Survival' due to its emphasis on practical self-defense.</t>
  </si>
  <si>
    <t>Who is considered the 'father' of Tarung Derajat?</t>
  </si>
  <si>
    <t>A) Ahmad Zahari, B) Bung Karno, C) Pak Kameo, D) Haji Achmad Dradjat</t>
  </si>
  <si>
    <t>D) Haji Achmad Dradjat</t>
  </si>
  <si>
    <t>Haji Achmad Dradjat is revered as the 'father' of Tarung Derajat, having formalized its techniques and training.</t>
  </si>
  <si>
    <t>What does the term 'Tarung Derajat' translate to in English?</t>
  </si>
  <si>
    <t>A) Fighting Skills, B) Power of Survival, C) Way of Strength, D) Martial Spirit</t>
  </si>
  <si>
    <t>B) Power of Survival</t>
  </si>
  <si>
    <t>In English, 'Tarung Derajat' translates to 'Power of Survival,' emphasizing resilience and self-defense.</t>
  </si>
  <si>
    <t>In which Indonesian city did Tarung Derajat originate?</t>
  </si>
  <si>
    <t>A) Jakarta, B) Bandung, C) Surabaya, D) Yogyakarta</t>
  </si>
  <si>
    <t>Tarung Derajat was founded in Bandung, where it developed a strong following.</t>
  </si>
  <si>
    <t>Tarung Derajat was inspired by which type of street fighting experience?</t>
  </si>
  <si>
    <t>A) Street brawls, B) Organized matches, C) Military combat, D) Wrestling events</t>
  </si>
  <si>
    <t>A) Street brawls</t>
  </si>
  <si>
    <t>Achmad Dradjat developed Tarung Derajat based on his experience in street brawls, focusing on practical techniques.</t>
  </si>
  <si>
    <t>Which of these is a key component of Tarung Derajatâ€™s philosophy?</t>
  </si>
  <si>
    <t>A) Spirituality, B) Self-confidence, C) Wealth, D) Fame</t>
  </si>
  <si>
    <t>B) Self-confidence</t>
  </si>
  <si>
    <t>Self-confidence is central to Tarung Derajat, encouraging practitioners to believe in their strength.</t>
  </si>
  <si>
    <t>What unique element does Tarung Derajat incorporate in training?</t>
  </si>
  <si>
    <t>A) Shadow boxing, B) Animal movements, C) Rhythm exercises, D) Traditional dance</t>
  </si>
  <si>
    <t>A) Shadow boxing</t>
  </si>
  <si>
    <t>Shadow boxing is a key element of Tarung Derajat training, helping practitioners refine technique and speed.</t>
  </si>
  <si>
    <t>How many different types of strikes are there in Tarung Derajat?</t>
  </si>
  <si>
    <t>A) 3, B) 5, C) 7, D) 9</t>
  </si>
  <si>
    <t>B) 5</t>
  </si>
  <si>
    <t>Tarung Derajat includes five primary types of strikes: punch, elbow, knee, kick, and head.</t>
  </si>
  <si>
    <t>Which of these terms is often associated with Tarung Derajatâ€™s guiding principles?</t>
  </si>
  <si>
    <t>A) The Code of the Warrior, B) The Five Points of Power, C) The Path of Discipline, D) The Seven Ways of Wisdom</t>
  </si>
  <si>
    <t>B) The Five Points of Power</t>
  </si>
  <si>
    <t>The Five Points of Power are core principles in Tarung Derajat, focusing on strength, speed, accuracy, courage, and endurance.</t>
  </si>
  <si>
    <t>In what year did the Indonesian Ministry of Youth and Sports officially recognize Tarung Derajat?</t>
  </si>
  <si>
    <t>A) 1995, B) 1998, C) 2001, D) 2005</t>
  </si>
  <si>
    <t>C) 2001</t>
  </si>
  <si>
    <t>In 2001, the Indonesian Ministry of Youth and Sports officially recognized Tarung Derajat as a national sport.</t>
  </si>
  <si>
    <t>Tarung Derajat is part of which broader martial arts category?</t>
  </si>
  <si>
    <t>A) Soft martial arts, B) Hard martial arts, C) Internal arts, D) Flow arts</t>
  </si>
  <si>
    <t>B) Hard martial arts</t>
  </si>
  <si>
    <t>Tarung Derajat is considered a hard martial art, focusing on powerful strikes and self-defense techniques.</t>
  </si>
  <si>
    <t>What motto is commonly associated with Tarung Derajat?</t>
  </si>
  <si>
    <t>A) Strength Through Peace, B) For Defense, Not Offense, C) I am my own strength, D) Endure and Overcome</t>
  </si>
  <si>
    <t>C) I am my own strength</t>
  </si>
  <si>
    <t>The motto 'I am my own strength' reflects Tarung Derajat's emphasis on self-reliance and empowerment.</t>
  </si>
  <si>
    <t>Which type of competition format is used in Tarung Derajat tournaments?</t>
  </si>
  <si>
    <t>A) Point-based, B) Full-contact, C) No-contact, D) Timed matches</t>
  </si>
  <si>
    <t>B) Full-contact</t>
  </si>
  <si>
    <t>Tarung Derajat tournaments are typically full-contact, emphasizing real combat scenarios.</t>
  </si>
  <si>
    <t>Who was the first person to earn the title of grandmaster in Tarung Derajat?</t>
  </si>
  <si>
    <t>A) Achmad Dradjat, B) Iwan Dradjat, C) Ahmad Niam, D) Ali Mahmud</t>
  </si>
  <si>
    <t>A) Achmad Dradjat</t>
  </si>
  <si>
    <t>Achmad Dradjat, the founder, holds the title of grandmaster in Tarung Derajat.</t>
  </si>
  <si>
    <t>What are the training uniforms for Tarung Derajat practitioners called?</t>
  </si>
  <si>
    <t>A) Gi, B) Dobok, C) Seragam, D) Pencak</t>
  </si>
  <si>
    <t>C) Seragam</t>
  </si>
  <si>
    <t>In Tarung Derajat, practitioners wear a 'seragam,' the Indonesian term for uniform.</t>
  </si>
  <si>
    <t>Which Indonesian province is home to the largest number of Tarung Derajat practitioners?</t>
  </si>
  <si>
    <t>A) Jakarta, B) West Java, C) Central Java, D) East Java</t>
  </si>
  <si>
    <t>B) West Java</t>
  </si>
  <si>
    <t>West Java, particularly Bandung, has the highest concentration of Tarung Derajat practitioners.</t>
  </si>
  <si>
    <t>What aspect of traditional Indonesian life influenced Tarung Derajat?</t>
  </si>
  <si>
    <t>A) Farming practices, B) Tribal warfare, C) Fishing techniques, D) Dance rituals</t>
  </si>
  <si>
    <t>B) Tribal warfare</t>
  </si>
  <si>
    <t>Tribal warfare in Indonesian history inspired the self-defense focus of Tarung Derajat.</t>
  </si>
  <si>
    <t>Tarung Derajat was primarily developed to address which of the following?</t>
  </si>
  <si>
    <t>A) Competitive sports, B) Self-defense against street violence, C) Ritual performances, D) National pride</t>
  </si>
  <si>
    <t>B) Self-defense against street violence</t>
  </si>
  <si>
    <t>Achmad Dradjat created Tarung Derajat for practical self-defense based on his own street-fighting experiences.</t>
  </si>
  <si>
    <t>In which year did Tarung Derajat officially become part of Indonesiaâ€™s National Sports Committee?</t>
  </si>
  <si>
    <t>A) 1985, B) 1990, C) 1998, D) 2001</t>
  </si>
  <si>
    <t>C) 1998</t>
  </si>
  <si>
    <t>Tarung Derajat gained official recognition from the Indonesian National Sports Committee in 1998.</t>
  </si>
  <si>
    <t>What kind of techniques are emphasized in Tarung Derajat training?</t>
  </si>
  <si>
    <t>A) Weapon techniques, B) Grappling, C) Strikes and kicks, D) Dance moves</t>
  </si>
  <si>
    <t>C) Strikes and kicks</t>
  </si>
  <si>
    <t>Tarung Derajat focuses on powerful strikes and kicks as primary self-defense techniques.</t>
  </si>
  <si>
    <t>What is a common teaching in Tarung Derajatâ€™s philosophy?</t>
  </si>
  <si>
    <t>A) Power lies in solitude, B) Knowledge is greater than strength, C) Strength begins within oneself, D) Always fight to win</t>
  </si>
  <si>
    <t>C) Strength begins within oneself</t>
  </si>
  <si>
    <t>Tarung Derajat emphasizes inner strength and self-reliance as core principles.</t>
  </si>
  <si>
    <t>How did Achmad Dradjat come to develop the techniques in Tarung Derajat?</t>
  </si>
  <si>
    <t>A) Through meditation, B) By formal martial arts training, C) From personal experiences, D) By studying ancient texts</t>
  </si>
  <si>
    <t>C) From personal experiences</t>
  </si>
  <si>
    <t>Achmad Dradjatâ€™s personal experiences with street fights shaped the techniques in Tarung Derajat.</t>
  </si>
  <si>
    <t>Which Indonesian government body first supported Tarung Derajat as a sport?</t>
  </si>
  <si>
    <t>A) Ministry of Education, B) Ministry of Youth and Sports, C) National Police, D) National Defense Agency</t>
  </si>
  <si>
    <t>B) Ministry of Youth and Sports</t>
  </si>
  <si>
    <t>The Ministry of Youth and Sports was one of the first government bodies to support Tarung Derajat.</t>
  </si>
  <si>
    <t>What is the significance of the tiger in Tarung Derajatâ€™s symbolism?</t>
  </si>
  <si>
    <t>A) Cunning, B) Stealth, C) Power and bravery, D) Flexibility</t>
  </si>
  <si>
    <t>C) Power and bravery</t>
  </si>
  <si>
    <t>The tiger in Tarung Derajat represents the power and bravery of its practitioners.</t>
  </si>
  <si>
    <t>What is one of the main physical goals for Tarung Derajat practitioners?</t>
  </si>
  <si>
    <t>A) Speed and agility, B) Meditation, C) Flexibility, D) Graceful movement</t>
  </si>
  <si>
    <t>A) Speed and agility</t>
  </si>
  <si>
    <t>Speed and agility are key goals for Tarung Derajat practitioners to enhance self-defense abilities.</t>
  </si>
  <si>
    <t>What was the founder's nickname that also became part of the sportâ€™s identity?</t>
  </si>
  <si>
    <t>A) Dradjat the Strong, B) Dradjat the Tiger, C) Mat, D) Drajat Hero</t>
  </si>
  <si>
    <t>B) Dradjat the Tiger</t>
  </si>
  <si>
    <t>Achmad Dradjatâ€™s nickname, 'Dradjat the Tiger,' inspired Tarung Derajatâ€™s identity.</t>
  </si>
  <si>
    <t>Which year marked the beginning of formal Tarung Derajat classes?</t>
  </si>
  <si>
    <t>A) 1969, B) 1974, C) 1980, D) 1985</t>
  </si>
  <si>
    <t>B) 1974</t>
  </si>
  <si>
    <t>Formal Tarung Derajat classes began in 1974, marking its development as a structured martial art.</t>
  </si>
  <si>
    <t>In which SEA Games did Tarung Derajat first make its competitive debut?</t>
  </si>
  <si>
    <t>A) 2007, B) 2009, C) 2011, D) 2013</t>
  </si>
  <si>
    <t>C) 2011</t>
  </si>
  <si>
    <t>Tarung Derajat made its competitive debut in the 2011 SEA Games, bringing it to an international stage.</t>
  </si>
  <si>
    <t>What is a core concept taught in Tarung Derajat to help practitioners face challenges?</t>
  </si>
  <si>
    <t>A) Avoidance, B) Resilience, C) Gentleness, D) Spirituality</t>
  </si>
  <si>
    <t>B) Resilience</t>
  </si>
  <si>
    <t>Resilience is a core concept in Tarung Derajat, teaching practitioners to face challenges with strength.</t>
  </si>
  <si>
    <t>How many phases are there in the Tarung Derajat training system?</t>
  </si>
  <si>
    <t>The training system in Tarung Derajat is divided into five distinct phases.</t>
  </si>
  <si>
    <t>Which of these values is integral to Tarung Derajat philosophy?</t>
  </si>
  <si>
    <t>A) Generosity, B) Self-control, C) Humility, D) Wealth</t>
  </si>
  <si>
    <t>B) Self-control</t>
  </si>
  <si>
    <t>Self-control is central to Tarung Derajat, encouraging discipline in both combat and daily life.</t>
  </si>
  <si>
    <t>What is the Indonesian term for the levels or phases in Tarung Derajat?</t>
  </si>
  <si>
    <t>A) Tingkat, B) Tahap, C) Langkah, D) Lintasan</t>
  </si>
  <si>
    <t>A) Tingkat</t>
  </si>
  <si>
    <t>In Tarung Derajat, 'Tingkat' refers to the levels or phases of training.</t>
  </si>
  <si>
    <t>How is power measured in Tarung Derajat techniques?</t>
  </si>
  <si>
    <t>A) Length of strikes, B) Impact force, C) Speed, D) Breath control</t>
  </si>
  <si>
    <t>B) Impact force</t>
  </si>
  <si>
    <t>Power in Tarung Derajat is primarily measured by the impact force of strikes.</t>
  </si>
  <si>
    <t>What role does Tarung Derajat play in Indonesian military training?</t>
  </si>
  <si>
    <t>A) Mental discipline, B) Self-defense training, C) Flexibility training, D) Survival skills</t>
  </si>
  <si>
    <t>B) Self-defense training</t>
  </si>
  <si>
    <t>Tarung Derajat is used in Indonesian military training for its focus on practical self-defense.</t>
  </si>
  <si>
    <t>Tarung Derajat is recognized as a ______ martial art.</t>
  </si>
  <si>
    <t>A) Soft, B) Peaceful, C) Hard, D) Aesthetic</t>
  </si>
  <si>
    <t>C) Hard</t>
  </si>
  <si>
    <t>Tarung Derajat is classified as a hard martial art due to its focus on striking power and physical strength.</t>
  </si>
  <si>
    <t>Which traditional martial art term is NOT commonly used in Tarung Derajat?</t>
  </si>
  <si>
    <t>A) Punch, B) Kick, C) Grapple, D) Elbow strike</t>
  </si>
  <si>
    <t>C) Grapple</t>
  </si>
  <si>
    <t>Tarung Derajat focuses on strikes and kicks, with minimal emphasis on grappling techniques.</t>
  </si>
  <si>
    <t>What phrase is often used to describe the self-reliance focus of Tarung Derajat?</t>
  </si>
  <si>
    <t>A) Look within, B) Strength is life, C) Self is strength, D) Win at all costs</t>
  </si>
  <si>
    <t>C) Self is strength</t>
  </si>
  <si>
    <t>Self is strength' reflects the emphasis on personal resilience in Tarung Derajat.</t>
  </si>
  <si>
    <t>How do practitioners show respect in Tarung Derajat?</t>
  </si>
  <si>
    <t>A) Bowing, B) Fist salute, C) Chanting, D) Silent reflection</t>
  </si>
  <si>
    <t>B) Fist salute</t>
  </si>
  <si>
    <t>Practitioners show respect through a fist salute, symbolizing strength and unity.</t>
  </si>
  <si>
    <t>What does the phrase 'I am my own power' signify in Tarung Derajat?</t>
  </si>
  <si>
    <t>A) Trust in weapons, B) Belief in one's own strength, C) Control over others, D) Isolation</t>
  </si>
  <si>
    <t>B) Belief in one's own strength</t>
  </si>
  <si>
    <t>I am my own power' emphasizes the belief in one's self-sufficiency and strength.</t>
  </si>
  <si>
    <t>Tarung Derajat teaches practitioners to be ______ in their actions.</t>
  </si>
  <si>
    <t>A) Aggressive, B) Strategic, C) Gentle, D) Unpredictable</t>
  </si>
  <si>
    <t>B) Strategic</t>
  </si>
  <si>
    <t>Practitioners are taught to be strategic, using force wisely and effectively.</t>
  </si>
  <si>
    <t>Who is the founder of Tarung Derajat?</t>
  </si>
  <si>
    <t>A) Achmad Dradjat, B) Iko Uwais, C) Gatot Nurmantyo, D) Rhoma Irama</t>
  </si>
  <si>
    <t>Achmad Dradjat, inspired by personal experiences, founded Tarung Derajat as a self-defense martial art.</t>
  </si>
  <si>
    <t>Which animal symbolizes strength and power in Tarung Derajat?</t>
  </si>
  <si>
    <t>A) Lion, B) Eagle, C) Tiger, D) Elephant</t>
  </si>
  <si>
    <t>C) Tiger</t>
  </si>
  <si>
    <t>The tiger represents the strength, power, and resilience central to Tarung Derajat philosophy.</t>
  </si>
  <si>
    <t>Tarung Derajat is also referred to by which nickname?</t>
  </si>
  <si>
    <t>A) Pencak Silat 2.0, B) Self-Defense of the People, C) Boxer Style, D) The Martial Art of Tigers</t>
  </si>
  <si>
    <t>C) Boxer Style</t>
  </si>
  <si>
    <t>Tarung Derajat is known as 'Boxer Style' due to its focus on punches, kicks, and defensive movements.</t>
  </si>
  <si>
    <t>In which Indonesian province did Achmad Dradjat first start demonstrating Tarung Derajat techniques publicly?</t>
  </si>
  <si>
    <t>A) Bali B) West Java C) Sumatra D) Kalimantan</t>
  </si>
  <si>
    <t>West Java, especially Bandung, was the birthplace of Tarung Derajat’s first public demonstrations in the 1970s.</t>
  </si>
  <si>
    <t>Which Indonesian president’s era coincided with the rise of Tarung Derajat?</t>
  </si>
  <si>
    <t>A) Sukarno B) Suharto C) B.J. Habibie D) Megawati</t>
  </si>
  <si>
    <t>Tarung Derajat emerged in the 1970s, during Suharto’s New Order government, when national identity and discipline were emphasized.</t>
  </si>
  <si>
    <t>Before being recognized nationally, Tarung Derajat was practiced mostly by which group?</t>
  </si>
  <si>
    <t>A) University students B) Street youths C) Military officers D) Farmers</t>
  </si>
  <si>
    <t>B) Street youths</t>
  </si>
  <si>
    <t>Achmad Dradjat trained Bandung’s street youths in Tarung Derajat, turning raw street fighting into structured martial arts.</t>
  </si>
  <si>
    <t>What was the name of the first official Tarung Derajat organization?</t>
  </si>
  <si>
    <t>A) Persatuan Tarung B) Keluarga Tarung Derajat C) Perguruan Tarung Derajat D) Ikatan Tarung Derajat Indonesia</t>
  </si>
  <si>
    <t>C) Perguruan Tarung Derajat</t>
  </si>
  <si>
    <t>“Perguruan Tarung Derajat” became the first formal institution to organize and standardize the sport.</t>
  </si>
  <si>
    <t>In which decade did Tarung Derajat begin to spread beyond Bandung to other Indonesian cities?</t>
  </si>
  <si>
    <t>A) 1970s B) 1980s C) 1990s D) 2000s</t>
  </si>
  <si>
    <t>B) 1980s</t>
  </si>
  <si>
    <t>From Bandung, Tarung Derajat expanded to major Indonesian cities in the 1980s, attracting broader recognition.</t>
  </si>
  <si>
    <t>Which Indonesian ministry granted Tarung Derajat its first formal recognition?</t>
  </si>
  <si>
    <t>A) Ministry of Defense B) Ministry of Education C) Ministry of Youth and Sports D) Ministry of Culture</t>
  </si>
  <si>
    <t>C) Ministry of Youth and Sports</t>
  </si>
  <si>
    <t>In 2001, the Ministry of Youth and Sports officially recognized Tarung Derajat as a national sport.</t>
  </si>
  <si>
    <t>Which traditional martial art did Tarung Derajat initially face competition from for recognition?</t>
  </si>
  <si>
    <t>A) Pencak Silat B) Karate C) Tae Kwon Do D) Judo</t>
  </si>
  <si>
    <t>As Indonesia’s national martial art, Pencak Silat initially overshadowed Tarung Derajat before it gained its own recognition.</t>
  </si>
  <si>
    <t>The official establishment of Tarung Derajat as part of KONI (Indonesian National Sports Committee) took place in which year?</t>
  </si>
  <si>
    <t>A) 1985 B) 1990 C) 1998 D) 2001</t>
  </si>
  <si>
    <t>Tarung Derajat became part of KONI in 1998, cementing its place in Indonesia’s sports history.</t>
  </si>
  <si>
    <t>Which major Indonesian event in 2011 marked Tarung Derajat’s international debut?</t>
  </si>
  <si>
    <t>A) Bali Martial Arts Festival B) SEA Games C) Asian Games D) National Defense Expo</t>
  </si>
  <si>
    <t>B) SEA Games</t>
  </si>
  <si>
    <t>The 2011 SEA Games in Indonesia included Tarung Derajat as an official competitive sport.</t>
  </si>
  <si>
    <t>The inclusion of Tarung Derajat in the SEA Games highlighted Indonesia’s effort to showcase its _______.</t>
  </si>
  <si>
    <t>A) Military discipline B) Economic growth C) Cultural identity D) Tourism industry</t>
  </si>
  <si>
    <t>C) Cultural identity</t>
  </si>
  <si>
    <t>By featuring Tarung Derajat, Indonesia promoted its unique martial heritage internationally.</t>
  </si>
  <si>
    <t>What role did Bandung’s urban culture play in shaping Tarung Derajat?</t>
  </si>
  <si>
    <t>A) It provided combat arenas B) It influenced rhythm and movements C) It exposed street violence D) It shaped ceremonial rituals</t>
  </si>
  <si>
    <t>C) It exposed street violence</t>
  </si>
  <si>
    <t>The violence in Bandung’s streets during the 1970s pushed Achmad Dradjat to formalize Tarung Derajat as self-defense.</t>
  </si>
  <si>
    <t>Which of the following best describes Tarung Derajat’s historical origin?</t>
  </si>
  <si>
    <t>A) A revival of ancient martial arts B) A blend of foreign and local systems C) A codification of street-fighting D) A traditional royal art</t>
  </si>
  <si>
    <t>C) A codification of street-fighting</t>
  </si>
  <si>
    <t>Unlike Pencak Silat, Tarung Derajat emerged from codified street-fighting into formal martial art.</t>
  </si>
  <si>
    <t>When Achmad Dradjat sought recognition, which quality of Tarung Derajat appealed most to the Indonesian Army?</t>
  </si>
  <si>
    <t>A) Ritual discipline B) Practical self-defense C) Spiritual meditation D) Cultural symbolism</t>
  </si>
  <si>
    <t>B) Practical self-defense</t>
  </si>
  <si>
    <t>Its real combat applicability led the Indonesian Army to adopt Tarung Derajat into training.</t>
  </si>
  <si>
    <t>Which Indonesian city became the headquarters of Tarung Derajat organizations?</t>
  </si>
  <si>
    <t>A) Jakarta B) Bandung C) Surabaya D) Medan</t>
  </si>
  <si>
    <t>Bandung not only birthed Tarung Derajat but also became the administrative hub for its institutions.</t>
  </si>
  <si>
    <t>Which sporting policy reform in Indonesia accelerated Tarung Derajat’s national adoption?</t>
  </si>
  <si>
    <t>A) KONI expansion programs B) National Sports Week reforms C) New Order’s martial culture promotion D) Ministry scholarships</t>
  </si>
  <si>
    <t>A) KONI expansion programs</t>
  </si>
  <si>
    <t>KONI’s expansion initiatives in the late 1990s created room for Tarung Derajat’s inclusion.</t>
  </si>
  <si>
    <t>In which era did Tarung Derajat become symbolic of Indonesian youth empowerment?</t>
  </si>
  <si>
    <t>A) 1960s B) 1970s–80s C) 1990s D) 2000s</t>
  </si>
  <si>
    <t>B) 1970s–80s</t>
  </si>
  <si>
    <t>Tarung Derajat symbolized youth empowerment during its spread in the 70s and 80s.</t>
  </si>
  <si>
    <t>The recognition of Tarung Derajat in 1998 coincided with which major event in Indonesian history?</t>
  </si>
  <si>
    <t>A) Fall of Suharto B) Asian Games C) Bali Bombings D) Reformasi Education Act</t>
  </si>
  <si>
    <t>A) Fall of Suharto</t>
  </si>
  <si>
    <t>Tarung Derajat’s recognition coincided with Indonesia’s political transition after Suharto’s fall.</t>
  </si>
  <si>
    <t>Who played a key role in lobbying for Tarung Derajat’s entry into KONI?</t>
  </si>
  <si>
    <t>A) Indonesian Army generals B) Bandung city officials C) Youth activists D) Achmad Dradjat himself</t>
  </si>
  <si>
    <t>D) Achmad Dradjat himself</t>
  </si>
  <si>
    <t>Founder Achmad Dradjat directly lobbied to secure Tarung Derajat’s official recognition.</t>
  </si>
  <si>
    <t>Which Indonesian sports policy document first listed Tarung Derajat as a national martial art?</t>
  </si>
  <si>
    <t>A) Garis Besar Haluan Negara B) National Sports Blueprint C) KONI Annual Charter D) Youth Development Report</t>
  </si>
  <si>
    <t>C) KONI Annual Charter</t>
  </si>
  <si>
    <t>KONI’s charter in 1998 officially listed Tarung Derajat as part of Indonesia’s recognized sports.</t>
  </si>
  <si>
    <t>Which Asian martial art community first acknowledged Tarung Derajat after its SEA Games debut?</t>
  </si>
  <si>
    <t>A) ASEAN martial arts council B) Asian Martial Arts Federation C) Southeast Asian Sports Council D) East Asia Combat Association</t>
  </si>
  <si>
    <t>C) Southeast Asian Sports Council</t>
  </si>
  <si>
    <t>The SEA Sports Council acknowledged Tarung Derajat’s legitimacy after its inclusion in the 2011 SEA Games.</t>
  </si>
  <si>
    <t>In which year was the Tarung Derajat federation (KODRAT) officially formed?</t>
  </si>
  <si>
    <t>A) 1996 B) 1998 C) 2000 D) 2002</t>
  </si>
  <si>
    <t>KODRAT (Komite Olahraga Tarung Derajat) was founded in 1998, unifying Tarung Derajat’s organizational structure nationwide.</t>
  </si>
  <si>
    <t>The founding of KODRAT coincided with which Indonesian historical period?</t>
  </si>
  <si>
    <t>A) Guided Democracy B) Reformasi Era C) Old Order D) Economic Boom Era</t>
  </si>
  <si>
    <t>B) Reformasi Era</t>
  </si>
  <si>
    <t>KODRAT’s birth in 1998 aligned with the Reformasi period after Suharto’s resignation, symbolizing new freedoms.</t>
  </si>
  <si>
    <t>Who served as the first chairman of KODRAT?</t>
  </si>
  <si>
    <t>A) Achmad Dradjat B) Iwan Dradjat C) Brigadier General Rudi D) Bambang Gunawan</t>
  </si>
  <si>
    <t>Founder Achmad Dradjat himself became the first leader of KODRAT to ensure continuity of vision.</t>
  </si>
  <si>
    <t>Which Indonesian National Sports Week (PON) first included Tarung Derajat?</t>
  </si>
  <si>
    <t>A) PON XV B) PON XVI C) PON XVII D) PON XVIII</t>
  </si>
  <si>
    <t>C) PON XVII</t>
  </si>
  <si>
    <t>Tarung Derajat debuted in the XVII National Sports Week (PON) in 2008 in East Kalimantan.</t>
  </si>
  <si>
    <t>Where was the PON XVII, featuring Tarung Derajat for the first time, held?</t>
  </si>
  <si>
    <t>A) Bandung B) Samarinda C) Jakarta D) Surabaya</t>
  </si>
  <si>
    <t>B) Samarinda</t>
  </si>
  <si>
    <t>The 2008 PON XVII in Samarinda marked Tarung Derajat’s first appearance in a national multi-sport event.</t>
  </si>
  <si>
    <t>Tarung Derajat’s first participation in PON demonstrated its transition from ______ to national sport.</t>
  </si>
  <si>
    <t>A) Hobby B) Street practice C) Informal art D) Community club</t>
  </si>
  <si>
    <t>B) Street practice</t>
  </si>
  <si>
    <t>Tarung Derajat’s inclusion in PON symbolized its leap from informal street practice to official competition.</t>
  </si>
  <si>
    <t>Which Indonesian region sent the largest contingent of Tarung Derajat athletes in PON XVII?</t>
  </si>
  <si>
    <t>A) West Java B) Jakarta C) East Java D) Central Java</t>
  </si>
  <si>
    <t>A) West Java</t>
  </si>
  <si>
    <t>West Java, Tarung Derajat’s birthplace, fielded the strongest team during its PON debut in 2008.</t>
  </si>
  <si>
    <t>In which year did Tarung Derajat first appear in Indonesia’s National Sports Calendar?</t>
  </si>
  <si>
    <t>A) 1995 B) 1998 C) 2001 D) 2003</t>
  </si>
  <si>
    <t>Tarung Derajat entered the official National Sports Calendar after recognition by the Ministry of Youth and Sports in 2001.</t>
  </si>
  <si>
    <t>Tarung Derajat’s recognition by KONI in 1998 was historically significant because KONI was founded in which year?</t>
  </si>
  <si>
    <t>A) 1946 B) 1950 C) 1954 D) 1960</t>
  </si>
  <si>
    <t>B) 1950</t>
  </si>
  <si>
    <t>KONI, established in 1950, became the body that formally recognized Tarung Derajat almost 50 years later.</t>
  </si>
  <si>
    <t>The 2011 SEA Games inclusion of Tarung Derajat was held in which Indonesian city?</t>
  </si>
  <si>
    <t>A) Jakarta B) Palembang C) Bandung D) Yogyakarta</t>
  </si>
  <si>
    <t>Palembang co-hosted the 2011 SEA Games, where Tarung Derajat made its international competitive debut.</t>
  </si>
  <si>
    <t>What year marked the official acknowledgment of Tarung Derajat by Indonesia’s National Sports Council?</t>
  </si>
  <si>
    <t>A) 1998 B) 1999 C) 2000 D) 2001</t>
  </si>
  <si>
    <t>A) 1998</t>
  </si>
  <si>
    <t>The National Sports Council listed Tarung Derajat as a formal sport in 1998.</t>
  </si>
  <si>
    <t>What historical challenge delayed Tarung Derajat’s recognition compared to Pencak Silat?</t>
  </si>
  <si>
    <t>A) Lack of documentation B) No spiritual roots C) Urban bias D) Weak political lobbying</t>
  </si>
  <si>
    <t>A) Lack of documentation</t>
  </si>
  <si>
    <t>Unlike Pencak Silat, Tarung Derajat lacked historical manuscripts, slowing its acceptance.</t>
  </si>
  <si>
    <t>Which Indonesian sports law indirectly supported Tarung Derajat’s recognition in 2005?</t>
  </si>
  <si>
    <t>A) Sports Act No. 3 B) Sports Act No. 6 C) Sports Act No. 9 D) Sports Act No. 12</t>
  </si>
  <si>
    <t>C) Sports Act No. 9</t>
  </si>
  <si>
    <t>Sports Act No. 9 of 2005 outlined national sport standards, enabling Tarung Derajat to be included.</t>
  </si>
  <si>
    <t>In which year was the Tarung Derajat training curriculum formally introduced in Indonesian high schools?</t>
  </si>
  <si>
    <t>A) 2003 B) 2006 C) 2008 D) 2010</t>
  </si>
  <si>
    <t>B) 2006</t>
  </si>
  <si>
    <t>In 2006, Tarung Derajat was integrated into extracurricular high school activities in West Java.</t>
  </si>
  <si>
    <t>Who initiated Tarung Derajat’s integration into the Indonesian Army’s training program?</t>
  </si>
  <si>
    <t>A) General Wiranto B) General Gatot C) Achmad Dradjat D) Youth and Sports Minister</t>
  </si>
  <si>
    <t>C) Achmad Dradjat</t>
  </si>
  <si>
    <t>Achmad Dradjat directly negotiated with military officials to include Tarung Derajat in training.</t>
  </si>
  <si>
    <t>The Indonesian Army recognized Tarung Derajat during which decade?</t>
  </si>
  <si>
    <t>By the 1980s, Tarung Derajat became part of Indonesian Army training programs.</t>
  </si>
  <si>
    <t>Which Indonesian police unit was the first to experiment with Tarung Derajat drills?</t>
  </si>
  <si>
    <t>A) Brimob B) Polantas C) Intelkam D) Sabhara</t>
  </si>
  <si>
    <t>A) Brimob</t>
  </si>
  <si>
    <t>Brimob (Mobile Brigade) tested Tarung Derajat for close-combat training before the Army formally recognized it.</t>
  </si>
  <si>
    <t>When did Tarung Derajat athletes first represent Indonesia abroad in demonstration events?</t>
  </si>
  <si>
    <t>A) 1995 B) 1999 C) 2003 D) 2007</t>
  </si>
  <si>
    <t>D) 2007</t>
  </si>
  <si>
    <t>In 2007, Tarung Derajat athletes showcased the art abroad in preparation for SEA Games inclusion.</t>
  </si>
  <si>
    <t>Which Indonesian sports festival first highlighted Tarung Derajat in the 1990s?</t>
  </si>
  <si>
    <t>A) Festival Olahraga Nasional B) Pekan Olahraga Mahasiswa C) Pekan Olahraga Nasional D) Youth Expo</t>
  </si>
  <si>
    <t>A) Festival Olahraga Nasional</t>
  </si>
  <si>
    <t>In the 1990s, Tarung Derajat was highlighted at the National Sports Festival before official recognition.</t>
  </si>
  <si>
    <t>Which Indonesian president was in office during Tarung Derajat’s SEA Games 2011 debut?</t>
  </si>
  <si>
    <t>A) Megawati B) Susilo Bambang Yudhoyono C) Jokowi D) Gus Dur</t>
  </si>
  <si>
    <t>B) Susilo Bambang Yudhoyono</t>
  </si>
  <si>
    <t>President Yudhoyono oversaw Indonesia’s hosting of the SEA Games in 2011, including Tarung Derajat’s debut.</t>
  </si>
  <si>
    <t>The historical motto “Aku adalah kekuatanku” (“I am my own strength”) was first publicly declared in which decade?</t>
  </si>
  <si>
    <t>A) 1970s</t>
  </si>
  <si>
    <t>Achmad Dradjat coined the motto in the 1970s as Tarung Derajat’s guiding principle.</t>
  </si>
  <si>
    <t>Which Indonesian military academy adopted Tarung Derajat as part of cadet training in the 1990s?</t>
  </si>
  <si>
    <t>A) Akmil Magelang B) Akpol Semarang C) Seskoal Jakarta D) Seskoau Bandung</t>
  </si>
  <si>
    <t>A) Akmil Magelang</t>
  </si>
  <si>
    <t>The Military Academy in Magelang integrated Tarung Derajat into cadet training in the 1990s.</t>
  </si>
  <si>
    <t>Tarung Derajat’s rise in Bandung paralleled which cultural trend of the 1970s?</t>
  </si>
  <si>
    <t>A) Rock music B) Motorcycle gangs C) Student protests D) Street theater</t>
  </si>
  <si>
    <t>B) Motorcycle gangs</t>
  </si>
  <si>
    <t>Bandung’s street violence and motorcycle gangs influenced the codification of Tarung Derajat.</t>
  </si>
  <si>
    <t>Which year marked the founding of the first Tarung Derajat training camp outside Bandung?</t>
  </si>
  <si>
    <t>A) 1978 B) 1982 C) 1986 D) 1990</t>
  </si>
  <si>
    <t>In 1982, the first Tarung Derajat camp was opened outside Bandung, signaling expansion.</t>
  </si>
  <si>
    <t>Which Southeast Asian country showed early interest in Tarung Derajat demonstrations after 2011?</t>
  </si>
  <si>
    <t>A) Malaysia B) Thailand C) Philippines D) Vietnam</t>
  </si>
  <si>
    <t>Malaysia invited Tarung Derajat athletes for exhibitions after its SEA Games inclusion.</t>
  </si>
  <si>
    <t>What was the historical purpose behind creating KODRAT in 1998?</t>
  </si>
  <si>
    <t>A) To promote exports B) To unify practitioners C) To rival Pencak Silat D) To support tourism</t>
  </si>
  <si>
    <t>B) To unify practitioners</t>
  </si>
  <si>
    <t>KODRAT centralized Tarung Derajat’s development to avoid fragmentation across Indonesia.</t>
  </si>
  <si>
    <t>The 2001 official recognition by the Ministry of Youth and Sports was celebrated in which city?</t>
  </si>
  <si>
    <t>A) Bandung B) Jakarta C) Surabaya D) Semarang</t>
  </si>
  <si>
    <t>A) Bandung</t>
  </si>
  <si>
    <t>Bandung, as Tarung Derajat’s birthplace, hosted celebrations for the 2001 recognition.</t>
  </si>
  <si>
    <t>The historical slogan “Bela diri untuk hidup, bukan untuk gaya” (“Self-defense for life, not for show”) was emphasized in which era?</t>
  </si>
  <si>
    <t>In the 1980s, Dradjat promoted the slogan to distinguish Tarung Derajat from exhibition arts.</t>
  </si>
  <si>
    <t>The Indonesian Ministry of Education acknowledged Tarung Derajat as a sports extracurricular option in which year?</t>
  </si>
  <si>
    <t>A) 2004 B) 2005 C) 2006 D) 2007</t>
  </si>
  <si>
    <t>C) 2006</t>
  </si>
  <si>
    <t>Schools adopted Tarung Derajat in 2006 as part of extracurricular physical education.</t>
  </si>
  <si>
    <t>Which Indonesian regional sports event featured Tarung Derajat before national recognition?</t>
  </si>
  <si>
    <t>A) West Java Sports Week B) East Java Sports Week C) Jakarta Cup D) Sumatra Games</t>
  </si>
  <si>
    <t>A) West Java Sports Week</t>
  </si>
  <si>
    <t>West Java hosted regional events that included Tarung Derajat before its KONI recognition.</t>
  </si>
  <si>
    <t>In which year did the Indonesian Parliament discuss Tarung Derajat in cultural identity debates?</t>
  </si>
  <si>
    <t>A) 1999 B) 2001 C) 2003 D) 2005</t>
  </si>
  <si>
    <t>In 2001, Parliament highlighted Tarung Derajat as a symbol of modern Indonesian culture.</t>
  </si>
  <si>
    <t>Tarung Derajat’s founding in Bandung coincided with Indonesia’s rapid growth in which sector?</t>
  </si>
  <si>
    <t>A) Industry B) Arts C) Education D) Transportation</t>
  </si>
  <si>
    <t>A) Industry</t>
  </si>
  <si>
    <t>Bandung’s industrial expansion in the 1970s paralleled Tarung Derajat’s rise among urban youth.</t>
  </si>
  <si>
    <t>Achmad Dradjat received his first government award for Tarung Derajat in which year?</t>
  </si>
  <si>
    <t>A) 1995 B) 1999 C) 2002 D) 2004</t>
  </si>
  <si>
    <t>The government honored Achmad Dradjat in 2002 for his cultural contribution.</t>
  </si>
  <si>
    <t>The first Tarung Derajat documentary was broadcast on Indonesian television in which decade?</t>
  </si>
  <si>
    <t>A) 1980s B) 1990s C) 2000s D) 2010s</t>
  </si>
  <si>
    <t>B) 1990s</t>
  </si>
  <si>
    <t>The 1990s saw Indonesia’s first televised documentary about Tarung Derajat’s origins.</t>
  </si>
  <si>
    <t>Which Indonesian youth movement in the 1980s popularized Tarung Derajat?</t>
  </si>
  <si>
    <t>A) Karang Taruna B) Pramuka C) Pemuda Pancasila D) Mahasiswa Independen</t>
  </si>
  <si>
    <t>A) Karang Taruna</t>
  </si>
  <si>
    <t>Karang Taruna youth organizations introduced Tarung Derajat at community levels.</t>
  </si>
  <si>
    <t>The year 1974 is significant because it marked the beginning of what in Tarung Derajat’s history?</t>
  </si>
  <si>
    <t>A) First formal class B) First national tournament C) First logo design D) First motto</t>
  </si>
  <si>
    <t>A) First formal class</t>
  </si>
  <si>
    <t>Achmad Dradjat launched structured classes for Tarung Derajat in 1974.</t>
  </si>
  <si>
    <t>Which Indonesian newspaper first reported on Tarung Derajat in the 1970s?</t>
  </si>
  <si>
    <t>A) Pikiran Rakyat B) Kompas C) Suara Merdeka D) Republika</t>
  </si>
  <si>
    <t>A) Pikiran Rakyat</t>
  </si>
  <si>
    <t>Pikiran Rakyat, Bandung-based, was the first to publish reports on Tarung Derajat.</t>
  </si>
  <si>
    <t>Which year marked Tarung Derajat’s first national championship?</t>
  </si>
  <si>
    <t>A) 1996</t>
  </si>
  <si>
    <t>The first Tarung Derajat national championship was held in 1996.</t>
  </si>
  <si>
    <t>The 1996 national championship was hosted in which city?</t>
  </si>
  <si>
    <t>A) Jakarta B) Bandung C) Yogyakarta D) Semarang</t>
  </si>
  <si>
    <t>Bandung hosted the inaugural national-level Tarung Derajat competition in 1996.</t>
  </si>
  <si>
    <t>Which Indonesian university was first to establish a Tarung Derajat student unit?</t>
  </si>
  <si>
    <t>A) ITB B) UI C) UGM D) Unpad</t>
  </si>
  <si>
    <t>D) Unpad</t>
  </si>
  <si>
    <t>Padjadjaran University (Unpad) in Bandung created the first campus Tarung Derajat unit.</t>
  </si>
  <si>
    <t>When was Tarung Derajat first demonstrated in front of KONI officials?</t>
  </si>
  <si>
    <t>A) 1988 B) 1990 C) 1992 D) 1994</t>
  </si>
  <si>
    <t>KONI first witnessed Tarung Derajat demonstrations in 1990 before recognizing it officially.</t>
  </si>
  <si>
    <t>Which Indonesian police academy formally included Tarung Derajat drills?</t>
  </si>
  <si>
    <t>A) Semarang B) Jakarta C) Makassar D) Medan</t>
  </si>
  <si>
    <t>A) Semarang</t>
  </si>
  <si>
    <t>The Police Academy in Semarang added Tarung Derajat drills in the 1990s.</t>
  </si>
  <si>
    <t>Which Indonesian general was an early supporter of Tarung Derajat in the military?</t>
  </si>
  <si>
    <t>A) General Wiranto B) General Sudirman C) General Try Sutrisno D) General Gatot</t>
  </si>
  <si>
    <t>C) General Try Sutrisno</t>
  </si>
  <si>
    <t>Try Sutrisno supported Tarung Derajat’s inclusion in military training during the 1980s–90s.</t>
  </si>
  <si>
    <t>Which Indonesian sports minister signed Tarung Derajat’s official recognition in 2001?</t>
  </si>
  <si>
    <t>A) Agung Laksono B) Mahadi Sinambela C) Adhyaksa Dault D) Abdul Gafur</t>
  </si>
  <si>
    <t>B) Mahadi Sinambela</t>
  </si>
  <si>
    <t>Minister Mahadi Sinambela signed the 2001 decree recognizing Tarung Derajat.</t>
  </si>
  <si>
    <t>In 2011, Tarung Derajat’s SEA Games medals were awarded in which venue?</t>
  </si>
  <si>
    <t>A) Gelora Bung Karno B) Jakabaring Sport City C) Istora Senayan D) Bandung Hall</t>
  </si>
  <si>
    <t>B) Jakabaring Sport City</t>
  </si>
  <si>
    <t>Tarung Derajat SEA Games matches were held at Jakabaring Sport City, Palembang.</t>
  </si>
  <si>
    <t>The Tarung Derajat founder’s nickname “Sang Guru Besar” was first given in which decade?</t>
  </si>
  <si>
    <t>Achmad Dradjat earned the honorary title “Sang Guru Besar” (Grandmaster) in the 1980s.</t>
  </si>
  <si>
    <t>Which Indonesian region outside Java first established Tarung Derajat clubs?</t>
  </si>
  <si>
    <t>A) Bali B) Sumatra C) Kalimantan D) Sulawesi</t>
  </si>
  <si>
    <t>B) Sumatra</t>
  </si>
  <si>
    <t>Sumatra was the first region outside Java to form Tarung Derajat clubs in the 1980s.</t>
  </si>
  <si>
    <t>In which year was Tarung Derajat included in Indonesia’s National Sports Festival (Fornas)?</t>
  </si>
  <si>
    <t>A) 2004 B) 2006 C) 2008 D) 2010</t>
  </si>
  <si>
    <t>Tarung Derajat joined the National Sports Festival in 2006, ahead of PON XVII.</t>
  </si>
  <si>
    <t>The first Tarung Derajat international workshop was organized in which year?</t>
  </si>
  <si>
    <t>A) 2008 B) 2010 C) 2012 D) 2014</t>
  </si>
  <si>
    <t>B) 2010</t>
  </si>
  <si>
    <t>In 2010, Indonesia hosted the first international workshop to prepare Tarung Derajat for SEA Games.</t>
  </si>
  <si>
    <t>Which type of publication first helped popularize early historical accounts of Tarung Derajat in Bandung?</t>
  </si>
  <si>
    <t>A) Academic journals B) Local newspapers C) International magazines D) Government white papers</t>
  </si>
  <si>
    <t>B) Local newspapers</t>
  </si>
  <si>
    <t>Bandung’s local press in the 1970s–80s spotlighted community demos and the art’s origins.</t>
  </si>
  <si>
    <t>In which decade did national TV first broadcast highlights from a Tarung Derajat championship?</t>
  </si>
  <si>
    <t>C) 2000s</t>
  </si>
  <si>
    <t>Broader Indonesian TV coverage of competitive events emerged in the 2000s, boosting visibility.</t>
  </si>
  <si>
    <t>Which provincial sports office was most instrumental in early institutional support for Tarung Derajat?</t>
  </si>
  <si>
    <t>A) Jakarta B) West Java C) East Java D) Central Java</t>
  </si>
  <si>
    <t>As the birthplace region, West Java’s sports office backed events and clubs earlier than others.</t>
  </si>
  <si>
    <t>When did women’s competitive divisions begin appearing regularly at major Tarung Derajat events?</t>
  </si>
  <si>
    <t>Formalized women’s brackets expanded alongside national competitive structures in the 2000s.</t>
  </si>
  <si>
    <t>Which Indonesian school-curriculum reform period enabled broader extracurricular adoption of Tarung Derajat?</t>
  </si>
  <si>
    <t>A) 1994 curriculum B) 2004 competency-based C) 2006 KTSP era D) 2013 Curriculum</t>
  </si>
  <si>
    <t>C) 2006 KTSP era</t>
  </si>
  <si>
    <t>KTSP reforms created room for regionally relevant sports clubs, aiding formal school uptake.</t>
  </si>
  <si>
    <t>In which decade did Indonesian diaspora communities begin organizing Tarung Derajat demos abroad?</t>
  </si>
  <si>
    <t>D) 2010s</t>
  </si>
  <si>
    <t>After the 2011 SEA Games, diaspora groups increasingly hosted showcases overseas.</t>
  </si>
  <si>
    <t>Which nearby country hosted one of the earliest post-SEA Games international demonstrations?</t>
  </si>
  <si>
    <t>A) Singapore B) Brunei C) Laos D) Myanmar</t>
  </si>
  <si>
    <t>A) Singapore</t>
  </si>
  <si>
    <t>Proximity and sports exchange ties made Singapore an early international demo site.</t>
  </si>
  <si>
    <t>Which event sequence best reflects Tarung Derajat’s path to mainstream status?</t>
  </si>
  <si>
    <t>A) TV shows → SEA Games → KONI recognition B) Street demos → KONI recognition → PON inclusion C) Army drills → PON inclusion → Founder recognized by UNESCO D) School clubs → ASEAN Games → Olympic test</t>
  </si>
  <si>
    <t>B) Street demos → KONI recognition → PON inclusion</t>
  </si>
  <si>
    <t>Grassroots demos led to 1998 KONI recognition and later PON XVII participation (2008).</t>
  </si>
  <si>
    <t>What archival source most commonly preserved the earliest Tarung Derajat posters and notices?</t>
  </si>
  <si>
    <t>A) University libraries B) Private scrapbooks C) Embassy archives D) International federations</t>
  </si>
  <si>
    <t>B) Private scrapbooks</t>
  </si>
  <si>
    <t>Early materials were often kept by founders, students, and community organizers.</t>
  </si>
  <si>
    <t>Which historical shift most helped Tarung Derajat secure a place in national multi-sport events?</t>
  </si>
  <si>
    <t>A) Decentralization of sports funding B) Tourism campaigns C) Music festival tie-ins D) Military downsizing</t>
  </si>
  <si>
    <t>A) Decentralization of sports funding</t>
  </si>
  <si>
    <t>Late-1990s/2000s decentralization let provinces champion local martial arts into PON.</t>
  </si>
  <si>
    <t>Which kind of early event was crucial for convincing officials of Tarung Derajat’s public appeal?</t>
  </si>
  <si>
    <t>A) Closed-door tryouts B) Street-level exhibitions C) Academic colloquia D) Ritual festivals</t>
  </si>
  <si>
    <t>B) Street-level exhibitions</t>
  </si>
  <si>
    <t>High-energy public demos in urban spaces drew crowds and official attention.</t>
  </si>
  <si>
    <t>What milestone marked Tarung Derajat’s move from community circles to national policy discussions?</t>
  </si>
  <si>
    <t>A) Founder’s TV interview B) Inclusion in KONI charter C) First foreign tour D) First school club</t>
  </si>
  <si>
    <t>B) Inclusion in KONI charter</t>
  </si>
  <si>
    <t>The 1998 KONI listing placed the art within Indonesia’s formal sports governance.</t>
  </si>
  <si>
    <t>Which city most often hosted early inter-club invitationals before national championships existed?</t>
  </si>
  <si>
    <t>A) Bandung B) Medan C) Makassar D) Denpasar</t>
  </si>
  <si>
    <t>Bandung’s clubs organized inter-club meets that predated standardized nationals.</t>
  </si>
  <si>
    <t>Which governmental recognition most directly enabled budget lines for Tarung Derajat programs?</t>
  </si>
  <si>
    <t>A) Cultural heritage listing B) Ministry of Youth &amp; Sports recognition C) Education ministry circular D) Tourism certification</t>
  </si>
  <si>
    <t>B) Ministry of Youth &amp; Sports recognition</t>
  </si>
  <si>
    <t>The 2001 recognition let national/provincial budgets support events and training.</t>
  </si>
  <si>
    <t>Which aspect of Indonesia’s 2011 SEA Games hosting most boosted Tarung Derajat’s historical profile?</t>
  </si>
  <si>
    <t>A) New TV production tech B) Co-hosting across two cities C) Celebrity commentators D) Expanded volunteer corps</t>
  </si>
  <si>
    <t>B) Co-hosting across two cities</t>
  </si>
  <si>
    <t>Jakarta–Palembang hosting gave wider exposure and venue flexibility for the debut.</t>
  </si>
  <si>
    <t>Which development best explains Tarung Derajat’s entry into school and campus life historically?</t>
  </si>
  <si>
    <t>A) Alumni networks B) Low equipment costs C) Scholarship tie-ins D) Standardized coaching clinics</t>
  </si>
  <si>
    <t>D) Standardized coaching clinics</t>
  </si>
  <si>
    <t>Coach education produced consistent training, making clubs viable in schools/universities.</t>
  </si>
  <si>
    <t>What organizational step helped avoid fragmentation among early clubs nationwide?</t>
  </si>
  <si>
    <t>A) Mandatory uniforms B) Centralized syllabus C) Annual parade D) International franchising</t>
  </si>
  <si>
    <t>B) Centralized syllabus</t>
  </si>
  <si>
    <t>A national syllabus under KODRAT aligned grading, events, and coaching standards.</t>
  </si>
  <si>
    <t>Which pattern describes Tarung Derajat’s historical spread across Indonesia?</t>
  </si>
  <si>
    <t>A) Coastal cities first B) Archipelago east-to-west C) Java core then provinces D) Rural to urban</t>
  </si>
  <si>
    <t>C) Java core then provinces</t>
  </si>
  <si>
    <t>From Bandung/West Java, clubs grew into other Javanese cities before expanding nationwide.</t>
  </si>
  <si>
    <t>Which type of early media coverage most influenced government stakeholders about Tarung Derajat?</t>
  </si>
  <si>
    <t>A) International magazines B) Local TV news features C) Radio call-in shows D) Sports podcasts</t>
  </si>
  <si>
    <t>B) Local TV news features</t>
  </si>
  <si>
    <t>Regional TV segments showcased safety, rules, and community impact to officials.</t>
  </si>
  <si>
    <t>Which national multi-sport event’s visibility directly preceded SEA Games inclusion?</t>
  </si>
  <si>
    <t>A) Fornas (National Sports Festival) B) Popnas (Student Nationals) C) POMNas (University Games) D) PON (National Sports Week)</t>
  </si>
  <si>
    <t>D) PON (National Sports Week)</t>
  </si>
  <si>
    <t>PON XVII (2008) competition helped make the case for the 2011 SEA Games debut.</t>
  </si>
  <si>
    <t>Historically, what phrase best summarizes Tarung Derajat’s journey from streets to stadiums?</t>
  </si>
  <si>
    <t>A) “From ritual to rank,” B) “From ring to records,” C) “From survival to sport,” D) “From arts to archives”</t>
  </si>
  <si>
    <t>C) “From survival to sport”</t>
  </si>
  <si>
    <t>It evolved from pragmatic street self-defense to a codified, nationally recognized sport.</t>
  </si>
  <si>
    <t>Pencak Silat originated in which country?</t>
  </si>
  <si>
    <t>Pencak Silat is a traditional martial art that originated in Indonesia.</t>
  </si>
  <si>
    <t>In which century did Pencak Silat likely begin to develop?</t>
  </si>
  <si>
    <t>A) 12th century, B) 14th century, C) 16th century, D) 18th century</t>
  </si>
  <si>
    <t>A) 12th century</t>
  </si>
  <si>
    <t>Pencak Silat is believed to have originated as early as the 12th century in Southeast Asia.</t>
  </si>
  <si>
    <t>Pencak Silat was influenced by which of the following cultures?</t>
  </si>
  <si>
    <t>A) Hindu-Buddhist, B) Islamic, C) Western, D) Japanese</t>
  </si>
  <si>
    <t>A) Hindu-Buddhist</t>
  </si>
  <si>
    <t>The art of Pencak Silat has deep influences from Hindu-Buddhist culture in Indonesia.</t>
  </si>
  <si>
    <t>The name 'Pencak Silat' combines words from which languages?</t>
  </si>
  <si>
    <t>A) Javanese and Sundanese, B) Javanese and Malay, C) Balinese and Malay, D) Sundanese and Balinese</t>
  </si>
  <si>
    <t>B) Javanese and Malay</t>
  </si>
  <si>
    <t>Pencak' is from Javanese, while 'Silat' is from Malay.</t>
  </si>
  <si>
    <t>Pencak Silat was recognized by UNESCO as an intangible cultural heritage in which year?</t>
  </si>
  <si>
    <t>A) 2017, B) 2018, C) 2019, D) 2020</t>
  </si>
  <si>
    <t>C) 2019</t>
  </si>
  <si>
    <t>UNESCO recognized Pencak Silat as an intangible cultural heritage in 2019.</t>
  </si>
  <si>
    <t>Which Indonesian empire is credited with spreading Pencak Silat across Southeast Asia?</t>
  </si>
  <si>
    <t>A) Majapahit, B) Sriwijaya, C) Mataram, D) Samudra Pasai</t>
  </si>
  <si>
    <t>The Majapahit Empire helped spread Pencak Silat through its vast network in Southeast Asia.</t>
  </si>
  <si>
    <t>Pencak Silat was historically practiced for which purpose?</t>
  </si>
  <si>
    <t>A) Spiritual development, B) Personal defense, C) Entertainment, D) All of the above</t>
  </si>
  <si>
    <t>Pencak Silat combines spiritual, defensive, and entertainment elements.</t>
  </si>
  <si>
    <t>Pencak Silat is known for its integration of which spiritual aspect?</t>
  </si>
  <si>
    <t>A) Meditation, B) Music, C) Dance, D) Mantras</t>
  </si>
  <si>
    <t>C) Dance</t>
  </si>
  <si>
    <t>Dance is a key component in Pencak Silat, symbolizing harmony and grace in movements.</t>
  </si>
  <si>
    <t>The main governing body of Pencak Silat in Indonesia is known as what?</t>
  </si>
  <si>
    <t>A) Persilat, B) IPSI, C) Silat United, D) Indonesian Silat Federation</t>
  </si>
  <si>
    <t>B) IPSI</t>
  </si>
  <si>
    <t>The Ikatan Pencak Silat Indonesia (IPSI) is the primary organization governing Pencak Silat in Indonesia.</t>
  </si>
  <si>
    <t>Pencak Silat was used by Indonesian nationalists during which major conflict?</t>
  </si>
  <si>
    <t>A) Indonesian War of Independence, B) World War II, C) Boxer Rebellion, D) Cold War</t>
  </si>
  <si>
    <t>A) Indonesian War of Independence</t>
  </si>
  <si>
    <t>Pencak Silat was practiced by Indonesian freedom fighters during the War of Independence against the Dutch.</t>
  </si>
  <si>
    <t>Pencak Silat traces back to which ancient Indonesian martial arts form?</t>
  </si>
  <si>
    <t>A) Silat Pulut, B) Kuntao, C) Seni Gayong, D) Harimau</t>
  </si>
  <si>
    <t>B) Kuntao</t>
  </si>
  <si>
    <t>Kuntao is an ancient martial art that influenced the development of Pencak Silat.</t>
  </si>
  <si>
    <t>Which Southeast Asian country is also known for its historical roots in Silat alongside Indonesia?</t>
  </si>
  <si>
    <t>A) Malaysia, B) Thailand, C) Philippines, D) Vietnam</t>
  </si>
  <si>
    <t>Silat has historical roots in both Indonesia and Malaysia.</t>
  </si>
  <si>
    <t>Which component of Pencak Silat refers to the performance aspect of the art?</t>
  </si>
  <si>
    <t>A) Pencak, B) Silat, C) Harimau, D) Gayong</t>
  </si>
  <si>
    <t>A) Pencak</t>
  </si>
  <si>
    <t>Pencak' refers to the performance aspect, while 'Silat' emphasizes the combative techniques.</t>
  </si>
  <si>
    <t>In Pencak Silat, what does the term 'Silat' specifically mean?</t>
  </si>
  <si>
    <t>A) Technique, B) Skill, C) Combat, D) Spirit</t>
  </si>
  <si>
    <t>C) Combat</t>
  </si>
  <si>
    <t>The term 'Silat' is associated with the combative aspect of the martial art.</t>
  </si>
  <si>
    <t>What kind of weapon is traditionally associated with Pencak Silat?</t>
  </si>
  <si>
    <t>A) Kris, B) Sword, C) Spear, D) Dagger</t>
  </si>
  <si>
    <t>A) Kris</t>
  </si>
  <si>
    <t>The Kris, a wavy-bladed dagger, is commonly used in Pencak Silat.</t>
  </si>
  <si>
    <t>Which ancient manuscript references early forms of Pencak Silat?</t>
  </si>
  <si>
    <t>A) Nagarakretagama, B) Kidung Sunda, C) Babad Tanah Jawi, D) Sutasoma</t>
  </si>
  <si>
    <t>A) Nagarakretagama</t>
  </si>
  <si>
    <t>The Nagarakretagama manuscript mentions early forms of martial arts similar to Pencak Silat.</t>
  </si>
  <si>
    <t>Pencak Silat has a cultural connection to which Indonesian ethnic group?</t>
  </si>
  <si>
    <t>A) Javanese, B) Sundanese, C) Minangkabau, D) Batak</t>
  </si>
  <si>
    <t>C) Minangkabau</t>
  </si>
  <si>
    <t>The Minangkabau people of Sumatra have a strong tradition of Pencak Silat.</t>
  </si>
  <si>
    <t>Pencak Silat is often performed to the music of which traditional Indonesian instrument?</t>
  </si>
  <si>
    <t>A) Gamelan, B) Angklung, C) Sasando, D) Kolintang</t>
  </si>
  <si>
    <t>A) Gamelan</t>
  </si>
  <si>
    <t>Gamelan music often accompanies Pencak Silat performances.</t>
  </si>
  <si>
    <t>Which Indonesian island is known for the style of Pencak Silat called 'Harimau'?</t>
  </si>
  <si>
    <t>A) Sumatra, B) Java, C) Bali, D) Borneo</t>
  </si>
  <si>
    <t>A) Sumatra</t>
  </si>
  <si>
    <t>The Harimau (Tiger) style of Pencak Silat originates from Sumatra.</t>
  </si>
  <si>
    <t>Pencak Silat emphasizes animal forms as part of its techniques. Which animal is a common form?</t>
  </si>
  <si>
    <t>A) Tiger, B) Eagle, C) Cobra, D) Leopard</t>
  </si>
  <si>
    <t>The tiger form is a central technique in some styles of Pencak Silat.</t>
  </si>
  <si>
    <t>During which period did Pencak Silat gain popularity as a sport in Indonesia?</t>
  </si>
  <si>
    <t>A) 20th century, B) 18th century, C) 19th century, D) 17th century</t>
  </si>
  <si>
    <t>A) 20th century</t>
  </si>
  <si>
    <t>Pencak Silat became widely recognized as a competitive sport in the 20th century.</t>
  </si>
  <si>
    <t>Which Indonesian island is known for the 'Bali Silat' style of Pencak Silat?</t>
  </si>
  <si>
    <t>C) Bali</t>
  </si>
  <si>
    <t>Bali has its own unique style of Pencak Silat called 'Bali Silat.'</t>
  </si>
  <si>
    <t>In which year was the International Pencak Silat Federation (PERSILAT) formed?</t>
  </si>
  <si>
    <t>A) 1980, B) 1991, C) 1973, D) 2000</t>
  </si>
  <si>
    <t>C) 1973</t>
  </si>
  <si>
    <t>The International Pencak Silat Federation (PERSILAT) was established in 1973.</t>
  </si>
  <si>
    <t>Pencak Silat was first introduced in the SEA Games in which year?</t>
  </si>
  <si>
    <t>A) 1987, B) 1991, C) 1997, D) 2003</t>
  </si>
  <si>
    <t>A) 1987</t>
  </si>
  <si>
    <t>Pencak Silat made its debut in the Southeast Asian Games in 1987.</t>
  </si>
  <si>
    <t>Which Southeast Asian country has developed its own Pencak Silat federation alongside Indonesia?</t>
  </si>
  <si>
    <t>A) Malaysia, B) Thailand, C) Singapore, D) Brunei</t>
  </si>
  <si>
    <t>Malaysia has its own national Pencak Silat federation and culture.</t>
  </si>
  <si>
    <t>What is the term for Pencak Silat practitioners?</t>
  </si>
  <si>
    <t>A) Pesilat, B) Silatists, C) Fighters, D) Players</t>
  </si>
  <si>
    <t>A) Pesilat</t>
  </si>
  <si>
    <t>Practitioners of Pencak Silat are known as 'Pesilat.'</t>
  </si>
  <si>
    <t>Which UNESCO category was Pencak Silat recognized under?</t>
  </si>
  <si>
    <t>A) Intangible Cultural Heritage, B) Natural Heritage, C) World Heritage Site, D) Cultural Landscape</t>
  </si>
  <si>
    <t>A) Intangible Cultural Heritage</t>
  </si>
  <si>
    <t>UNESCO recognized Pencak Silat as an Intangible Cultural Heritage.</t>
  </si>
  <si>
    <t>What is the term for a Pencak Silat school or training hall?</t>
  </si>
  <si>
    <t>A) Dojo, B) Perguruan, C) Padepokan, D) Gym</t>
  </si>
  <si>
    <t>C) Padepokan</t>
  </si>
  <si>
    <t>In Indonesia, a Pencak Silat school is called a 'Padepokan.'</t>
  </si>
  <si>
    <t>In Pencak Silat, what is the meaning of the term 'jurus'?</t>
  </si>
  <si>
    <t>A) Attack, B) Defense, C) Technique, D) Stance</t>
  </si>
  <si>
    <t>C) Technique</t>
  </si>
  <si>
    <t>Jurus' refers to a technique or set of movements in Pencak Silat.</t>
  </si>
  <si>
    <t>The martial art of Pencak Silat shares similarities with which neighboring martial art?</t>
  </si>
  <si>
    <t>A) Taekwondo, B) Eskrima, C) Muay Thai, D) Kuntao</t>
  </si>
  <si>
    <t>D) Kuntao</t>
  </si>
  <si>
    <t>Pencak Silat has similarities with Kuntao, another Southeast Asian martial art.</t>
  </si>
  <si>
    <t>Pencak Silat is believed to have mystical influences from which traditional Indonesian belief system?</t>
  </si>
  <si>
    <t>A) Kejawen, B) Islam, C) Hinduism, D) Buddhism</t>
  </si>
  <si>
    <t>A) Kejawen</t>
  </si>
  <si>
    <t>Kejawen, a Javanese belief system, has mystical elements reflected in Pencak Silat.</t>
  </si>
  <si>
    <t>The Indonesian term 'Harimau' in Pencak Silat represents which animal?</t>
  </si>
  <si>
    <t>A) Lion, B) Tiger, C) Leopard, D) Eagle</t>
  </si>
  <si>
    <t>B) Tiger</t>
  </si>
  <si>
    <t>Harimau' means tiger and symbolizes strength and agility in Pencak Silat.</t>
  </si>
  <si>
    <t>The Sundanese people are from which Indonesian island known for their Silat style?</t>
  </si>
  <si>
    <t>B) Java</t>
  </si>
  <si>
    <t>The Sundanese from West Java have their distinct Silat style.</t>
  </si>
  <si>
    <t>Which historical event in Indonesia led to the spread of Pencak Silat across Southeast Asia?</t>
  </si>
  <si>
    <t>A) The Dutch colonization, B) The spread of Islam, C) The rise of the Majapahit Empire, D) The migration of the Malay people</t>
  </si>
  <si>
    <t>B) The spread of Islam</t>
  </si>
  <si>
    <t>Islam played a significant role in spreading Pencak Silat throughout Southeast Asia.</t>
  </si>
  <si>
    <t>Which island in Indonesia is known for developing the 'Betawi' style of Pencak Silat?</t>
  </si>
  <si>
    <t>A) Sumatra, B) Java, C) Bali, D) Kalimantan</t>
  </si>
  <si>
    <t>The Betawi style of Pencak Silat originates from the Betawi people of Jakarta, Java.</t>
  </si>
  <si>
    <t>Which popular sport in Indonesia shares some movements with Pencak Silat?</t>
  </si>
  <si>
    <t>A) Sepak Takraw, B) Badminton, C) Silambam, D) Wushu</t>
  </si>
  <si>
    <t>A) Sepak Takraw</t>
  </si>
  <si>
    <t>Sepak Takraw incorporates agility and acrobatics, which are common traits in Pencak Silat.</t>
  </si>
  <si>
    <t>Which Indonesian kingdom was instrumental in the early development of Pencak Silat?</t>
  </si>
  <si>
    <t>A) Majapahit, B) Srivijaya, C) Mataram, D) Singhasari</t>
  </si>
  <si>
    <t>The Majapahit kingdom (13th-16th centuries) contributed significantly to the cultural development of Pencak Silat.</t>
  </si>
  <si>
    <t>Which traditional Indonesian musical instrument is commonly used during Pencak Silat performances?</t>
  </si>
  <si>
    <t>A) Gamelan, B) Angklung, C) Bamboo flute, D) Sasando</t>
  </si>
  <si>
    <t>The Gamelan orchestra is widely used to accompany Pencak Silat performances.</t>
  </si>
  <si>
    <t>What is the traditional weapon in Pencak Silat known for its unique curved shape?</t>
  </si>
  <si>
    <t>A) Kriss, B) Machete, C) Spear, D) Sword</t>
  </si>
  <si>
    <t>A) Kriss</t>
  </si>
  <si>
    <t>The Kriss is a traditional Indonesian weapon with a distinctive wavy blade, often used in Pencak Silat.</t>
  </si>
  <si>
    <t>Which animal-inspired style of Pencak Silat is known for its fluid movements and evasiveness?</t>
  </si>
  <si>
    <t>A) Harimau (Tiger), B) Naga (Dragon), C) Kera (Monkey), D) Ular (Snake)</t>
  </si>
  <si>
    <t>D) Ular (Snake)</t>
  </si>
  <si>
    <t>The Ular (Snake) style of Pencak Silat focuses on fluidity and evasive movements.</t>
  </si>
  <si>
    <t>Which famous Indonesian national hero practiced Pencak Silat?</t>
  </si>
  <si>
    <t>A) Sukarno, B) Pramoedya Ananta Toer, C) Raden Ajeng Kartini, D) Diponegoro</t>
  </si>
  <si>
    <t>D) Diponegoro</t>
  </si>
  <si>
    <t>Diponegoro, an Indonesian national hero, practiced Pencak Silat as part of his martial arts training.</t>
  </si>
  <si>
    <t>Which style of Pencak Silat is considered the oldest form and originates from the Minangkabau people?</t>
  </si>
  <si>
    <t>A) Harimau, B) Silek, C) Serak, D) Cingkrik</t>
  </si>
  <si>
    <t>B) Silek</t>
  </si>
  <si>
    <t>Silek, originating from the Minangkabau people of West Sumatra, is one of the oldest styles of Pencak Silat.</t>
  </si>
  <si>
    <t>Which traditional Indonesian philosophy influences the principles of Pencak Silat?</t>
  </si>
  <si>
    <t>A) Kejawen, B) Confucianism, C) Taoism, D) Animism</t>
  </si>
  <si>
    <t>Kejawen, a Javanese spiritual philosophy, influences the ethics and movements in Pencak Silat.</t>
  </si>
  <si>
    <t>Which Indonesian island is known for the 'Bali' style of Pencak Silat?</t>
  </si>
  <si>
    <t>A) Sumatra, B) Bali, C) Java, D) Lombok</t>
  </si>
  <si>
    <t>B) Bali</t>
  </si>
  <si>
    <t>Bali is known for its unique style of Pencak Silat, which incorporates local cultural elements.</t>
  </si>
  <si>
    <t>Who was the founder of the International Pencak Silat Federation (PERSILAT)?</t>
  </si>
  <si>
    <t>A) Anwar Bismar, B) Tarmizi Abdul Rahman, C) Eddy Pratomo, D) B. Soedewo</t>
  </si>
  <si>
    <t>C) Eddy Pratomo</t>
  </si>
  <si>
    <t>Eddy Pratomo was one of the key founders of the International Pencak Silat Federation in 1973.</t>
  </si>
  <si>
    <t>In which year did Pencak Silat officially become a demonstration sport at the Southeast Asian Games?</t>
  </si>
  <si>
    <t>A) 1977, B) 1987, C) 1997, D) 2007</t>
  </si>
  <si>
    <t>B) 1987</t>
  </si>
  <si>
    <t>Pencak Silat became an official demonstration sport at the Southeast Asian Games in 1987.</t>
  </si>
  <si>
    <t>Which Indonesian national sport body is responsible for the governance of Pencak Silat in Indonesia?</t>
  </si>
  <si>
    <t>A) PSSI, B) KONI, C) IPSI, D) PBSI</t>
  </si>
  <si>
    <t>C) IPSI</t>
  </si>
  <si>
    <t>The Indonesian Pencak Silat Association (IPSI) is responsible for overseeing the sport in Indonesia.</t>
  </si>
  <si>
    <t>Which Indonesian province is famous for the 'Cindelaras' Pencak Silat style?</t>
  </si>
  <si>
    <t>A) Aceh, B) West Sumatra, C) Yogyakarta, D) Bali</t>
  </si>
  <si>
    <t>C) Yogyakarta</t>
  </si>
  <si>
    <t>The 'Cindelaras' style of Pencak Silat is known to originate from Yogyakarta, Central Java.</t>
  </si>
  <si>
    <t>Pencak Silat has its roots in martial arts from which broader region?</t>
  </si>
  <si>
    <t>A) South Asia, B) Southeast Asia, C) East Asia, D) Central Asia</t>
  </si>
  <si>
    <t>B) Southeast Asia</t>
  </si>
  <si>
    <t>Pencak Silat developed as part of the broader Southeast Asian martial arts traditions.</t>
  </si>
  <si>
    <t>What is the primary purpose of Pencak Silat performances in traditional ceremonies?</t>
  </si>
  <si>
    <t>A) Entertainment, B) Spiritual, C) Education, D) Competition</t>
  </si>
  <si>
    <t>B) Spiritual</t>
  </si>
  <si>
    <t>Traditional Pencak Silat performances often serve a spiritual and ceremonial purpose.</t>
  </si>
  <si>
    <t>Which European country was the first to introduce Pencak Silat to the Western world?</t>
  </si>
  <si>
    <t>A) France, B) England, C) Netherlands, D) Portugal</t>
  </si>
  <si>
    <t>C) Netherlands</t>
  </si>
  <si>
    <t>The Dutch introduced Pencak Silat to the Western world during their colonial presence in Indonesia.</t>
  </si>
  <si>
    <t>Which of these Pencak Silat forms is known for its quick strikes and mobility?</t>
  </si>
  <si>
    <t>A) Kera (Monkey), B) Harimau (Tiger), C) Naga (Dragon), D) Serak</t>
  </si>
  <si>
    <t>A) Kera (Monkey)</t>
  </si>
  <si>
    <t>The Kera (Monkey) form emphasizes agility and rapid strikes in Pencak Silat.</t>
  </si>
  <si>
    <t>The martial art of Pencak Silat is also a form of defense against what?</t>
  </si>
  <si>
    <t>A) Wild animals, B) Opponents' weapons, C) Psychological stress, D) Natural disasters</t>
  </si>
  <si>
    <t>B) Opponents' weapons</t>
  </si>
  <si>
    <t>Pencak Silat techniques are designed to defend against armed opponents.</t>
  </si>
  <si>
    <t>Which aspect of Pencak Silat is most emphasized in modern competitions?</t>
  </si>
  <si>
    <t>A) Strength, B) Fluidity, C) Speed and precision, D) Power</t>
  </si>
  <si>
    <t>C) Speed and precision</t>
  </si>
  <si>
    <t>In modern competitions, Pencak Silat emphasizes speed and precision of movements.</t>
  </si>
  <si>
    <t>Pencak Silat is recognized by which global sporting body?</t>
  </si>
  <si>
    <t>A) IOC (International Olympic Committee), B) FIFA, C) World Taekwondo, D) GAISF</t>
  </si>
  <si>
    <t>D) GAISF</t>
  </si>
  <si>
    <t>Pencak Silat is officially recognized by the Global Association of International Sports Federations (GAISF).</t>
  </si>
  <si>
    <t>The Pencak Silat practitioner is known by which term?</t>
  </si>
  <si>
    <t>A) Pesilat, B) Pencak, C) Silatman, D) Pendekar</t>
  </si>
  <si>
    <t>A practitioner of Pencak Silat is called a 'Pesilat' in Indonesia.</t>
  </si>
  <si>
    <t>Which Indonesian region developed the 'Cempaka' style of Pencak Silat?</t>
  </si>
  <si>
    <t>A) Bali, B) West Sumatra, C) Central Java, D) Aceh</t>
  </si>
  <si>
    <t>C) Central Java</t>
  </si>
  <si>
    <t>The 'Cempaka' style of Pencak Silat originates from Central Java.</t>
  </si>
  <si>
    <t>Which historical figure is credited with spreading Pencak Silat beyond Indonesia to Malaysia and Singapore?</t>
  </si>
  <si>
    <t>A) Syeikh Abdurrahman, B) Tunku Abdul Rahman, C) Mahmud of Malacca, D) Pahlawan</t>
  </si>
  <si>
    <t>A) Syeikh Abdurrahman</t>
  </si>
  <si>
    <t>Syeikh Abdurrahman played a key role in spreading Pencak Silat to neighboring countries like Malaysia and Singapore.</t>
  </si>
  <si>
    <t>In what year was the first Pencak Silat World Championship held?</t>
  </si>
  <si>
    <t>A) 1971, B) 1979, C) 1982, D) 1990</t>
  </si>
  <si>
    <t>B) 1979</t>
  </si>
  <si>
    <t>The first Pencak Silat World Championship was held in 1979 to promote the sport internationally.</t>
  </si>
  <si>
    <t>Which historical event is thought to have heavily influenced the development of Pencak Silat?</t>
  </si>
  <si>
    <t>A) The colonial era, B) The rise of the Malayan Sultanates, C) The formation of the Majapahit Empire, D) The spread of Buddhism</t>
  </si>
  <si>
    <t>A) The colonial era</t>
  </si>
  <si>
    <t>The Dutch colonial period influenced the development and evolution of Pencak Silat in Indonesia.</t>
  </si>
  <si>
    <t>Which Indonesian sultanate preserved Pencak Silat as part of palace training traditions?</t>
  </si>
  <si>
    <t>A) Sultanate of Demak B) Sultanate of Malacca C) Sultanate of Yogyakarta D) Sultanate of Aceh</t>
  </si>
  <si>
    <t>C) Sultanate of Yogyakarta</t>
  </si>
  <si>
    <t>The Yogyakarta Sultanate integrated Pencak Silat into royal training and cultural ceremonies.</t>
  </si>
  <si>
    <t>Early Pencak Silat training was often held in which type of community space?</t>
  </si>
  <si>
    <t>A) Rice barns B) Village courtyards C) Padepokan D) Temples</t>
  </si>
  <si>
    <t>Padepokan, traditional halls, served as the historical centers for Silat instruction.</t>
  </si>
  <si>
    <t>The spread of Pencak Silat to Malaysia was closely linked with which maritime network?</t>
  </si>
  <si>
    <t>A) Silk Road B) Indian Ocean trade C) Malacca Strait trade D) South China Sea routes</t>
  </si>
  <si>
    <t>C) Malacca Strait trade</t>
  </si>
  <si>
    <t>Traders and warriors carried Silat traditions across the Malacca Strait into Malaysia.</t>
  </si>
  <si>
    <t>During Dutch colonial rule, Pencak Silat was often disguised as what?</t>
  </si>
  <si>
    <t>A) Folk dance B) Ritual ceremony C) Theatre play D) Shadow puppetry</t>
  </si>
  <si>
    <t>A) Folk dance</t>
  </si>
  <si>
    <t>To avoid suppression, Pencak Silat practitioners disguised training as cultural dance.</t>
  </si>
  <si>
    <t>Which Indonesian manuscript from the 14th century hints at warrior practices linked to Silat?</t>
  </si>
  <si>
    <t>A) Kakawin Ramayana B) Nagarakretagama C) Serat Centhini D) Hikayat Hang Tuah</t>
  </si>
  <si>
    <t>B) Nagarakretagama</t>
  </si>
  <si>
    <t>This Majapahit-era text referenced martial traditions similar to Pencak Silat.</t>
  </si>
  <si>
    <t>The Minangkabau Silek tradition was transmitted through which institution?</t>
  </si>
  <si>
    <t>A) Surau (prayer houses) B) Palaces C) Schools D) Trade guilds</t>
  </si>
  <si>
    <t>A) Surau (prayer houses)</t>
  </si>
  <si>
    <t>In West Sumatra, Silek was taught in surau, blending martial and spiritual learning.</t>
  </si>
  <si>
    <t>Which Islamic scholar is credited with promoting Silat in Sumatra during the 16th century?</t>
  </si>
  <si>
    <t>A) Hamzah Fansuri B) Syeikh Burhanuddin C) Sunan Kalijaga D) Nuruddin al-Raniri</t>
  </si>
  <si>
    <t>B) Syeikh Burhanuddin</t>
  </si>
  <si>
    <t>He integrated Islamic values with Silat, making it a moral and martial practice.</t>
  </si>
  <si>
    <t>The Portuguese encounter with Silat was first documented in which century?</t>
  </si>
  <si>
    <t>A) 14th B) 15th C) 16th D) 17th</t>
  </si>
  <si>
    <t>C) 16th</t>
  </si>
  <si>
    <t>Portuguese traders noted local martial traditions resembling Silat in the 1500s.</t>
  </si>
  <si>
    <t>Which colonial-era group practiced Silat secretly as resistance against Dutch forces?</t>
  </si>
  <si>
    <t>A) Javanese peasants B) Guerrilla fighters C) Plantation workers D) Sailors</t>
  </si>
  <si>
    <t>B) Guerrilla fighters</t>
  </si>
  <si>
    <t>Guerrilla movements in Java and Sumatra used Silat to resist colonial control.</t>
  </si>
  <si>
    <t>The art of Pencak Silat was historically transmitted through what method?</t>
  </si>
  <si>
    <t>A) Written manuals B) Oral tradition C) Theatre performances D) Military scripts</t>
  </si>
  <si>
    <t>Knowledge was passed orally from masters (guru) to students for centuries.</t>
  </si>
  <si>
    <t>Which Minangkabau legend is often linked with the origins of Silek Harimau?</t>
  </si>
  <si>
    <t>A) Malin Kundang B) Datuk Suri Dirajo C) Hang Tuah D) Si Pahit Lidah</t>
  </si>
  <si>
    <t>B) Datuk Suri Dirajo</t>
  </si>
  <si>
    <t>Minangkabau folklore attributes the creation of Harimau style to Datuk Suri Dirajo.</t>
  </si>
  <si>
    <t>Which 19th-century uprising in Java involved Silat-trained fighters?</t>
  </si>
  <si>
    <t>A) Diponegoro War B) Aceh War C) Java War D) Padri War</t>
  </si>
  <si>
    <t>A) Diponegoro War</t>
  </si>
  <si>
    <t>Prince Diponegoro’s forces included Silat practitioners during the Java War (1825–1830).</t>
  </si>
  <si>
    <t>The Padri War (1821–1837) in Sumatra saw the use of which Silat tradition?</t>
  </si>
  <si>
    <t>A) Harimau B) Silek Minang C) Serak D) Betawi</t>
  </si>
  <si>
    <t>B) Silek Minang</t>
  </si>
  <si>
    <t>Minangkabau fighters used Silek techniques in battles during the Padri War.</t>
  </si>
  <si>
    <t>The spread of Silat to Singapore was influenced by which migration?</t>
  </si>
  <si>
    <t>A) Bugis migration B) Malay diaspora C) Chinese merchants D) Indian traders</t>
  </si>
  <si>
    <t>B) Malay diaspora</t>
  </si>
  <si>
    <t>Malay communities migrating to Singapore brought Pencak Silat traditions.</t>
  </si>
  <si>
    <t>Which form of Silat developed among the Betawi people in Jakarta?</t>
  </si>
  <si>
    <t>A) Serak B) Cingkrik C) Silek D) Harimau</t>
  </si>
  <si>
    <t>B) Cingkrik</t>
  </si>
  <si>
    <t>Cingkrik style evolved in Betawi culture, emphasizing agile and evasive techniques.</t>
  </si>
  <si>
    <t>The Serak style of Silat originated from which Indonesian island?</t>
  </si>
  <si>
    <t>A) Java B) Sumatra C) Bali D) Kalimantan</t>
  </si>
  <si>
    <t>Serak style was developed in West Java and remains influential in modern Silat.</t>
  </si>
  <si>
    <t>The traditional Silat form “Kuntau” is thought to have origins linked with which cultural exchange?</t>
  </si>
  <si>
    <t>A) Chinese traders B) Arab merchants C) Indian seafarers D) Portuguese sailors</t>
  </si>
  <si>
    <t>A) Chinese traders</t>
  </si>
  <si>
    <t>Kuntau reflects Chinese martial influences that merged with local Silat practices.</t>
  </si>
  <si>
    <t>Which traditional Javanese royal guards incorporated Silat into their training?</t>
  </si>
  <si>
    <t>A) Abdi Dalem B) Prajurit Kraton C) Mangkunegaran Guards D) Sultana Corps</t>
  </si>
  <si>
    <t>B) Prajurit Kraton</t>
  </si>
  <si>
    <t>Royal guards of Javanese palaces practiced Silat as part of their defense system.</t>
  </si>
  <si>
    <t>In Minangkabau society, Silek was historically taught to boys after mastering what?</t>
  </si>
  <si>
    <t>A) Quranic studies B) Farming C) Crafts D) Hunting</t>
  </si>
  <si>
    <t>A) Quranic studies</t>
  </si>
  <si>
    <t>Minangkabau tradition required boys to study religion before learning Silek.</t>
  </si>
  <si>
    <t>The introduction of Silat into the SEA Games symbolized what historical milestone?</t>
  </si>
  <si>
    <t>A) Decolonization B) ASEAN cultural unity C) Martial recognition D) Olympic aspiration</t>
  </si>
  <si>
    <t>B) ASEAN cultural unity</t>
  </si>
  <si>
    <t>Its inclusion reflected regional pride and post-colonial identity.</t>
  </si>
  <si>
    <t>Which colonial power documented Silat as a “native war dance” in early ethnographic reports?</t>
  </si>
  <si>
    <t>A) Portuguese B) Dutch C) British D) Spanish</t>
  </si>
  <si>
    <t>B) Dutch</t>
  </si>
  <si>
    <t>Dutch colonial officers often misclassified Silat as a cultural dance rather than martial art.</t>
  </si>
  <si>
    <t>Which Indonesian hero from Aceh integrated Silat into guerrilla resistance against Dutch troops?</t>
  </si>
  <si>
    <t>A) Teuku Umar B) Cut Nyak Dhien C) Sultan Iskandar Muda D) Hasan di Tiro</t>
  </si>
  <si>
    <t>A) Teuku Umar</t>
  </si>
  <si>
    <t>Teuku Umar used Silat-trained warriors in Aceh’s 19th-century resistance.</t>
  </si>
  <si>
    <t>The Serat Centhini (1814) mentions martial practices resembling Silat. Where was it compiled?</t>
  </si>
  <si>
    <t>A) Central Java B) West Sumatra C) Bali D) Aceh</t>
  </si>
  <si>
    <t>A) Central Java</t>
  </si>
  <si>
    <t>The Javanese literary masterpiece Serat Centhini contains descriptions of martial traditions akin to Silat.</t>
  </si>
  <si>
    <t>Which traditional Indonesian theatre sometimes included Silat demonstrations in its performances?</t>
  </si>
  <si>
    <t>A) Wayang Kulit B) Ludruk C) Ketoprak D) Topeng</t>
  </si>
  <si>
    <t>C) Ketoprak</t>
  </si>
  <si>
    <t>Javanese Ketoprak dramas often staged Silat fights to enhance realism.</t>
  </si>
  <si>
    <t>During the Japanese occupation of Indonesia (1942–1945), Silat training was encouraged as what?</t>
  </si>
  <si>
    <t>A) Physical education B) Military preparation C) Folk revival D) Entertainment</t>
  </si>
  <si>
    <t>B) Military preparation</t>
  </si>
  <si>
    <t>The Japanese allowed Silat training to prepare locals for paramilitary service.</t>
  </si>
  <si>
    <t>Which royal chronicle describes martial traditions resembling early Silat in West Java?</t>
  </si>
  <si>
    <t>A) Carita Parahyangan B) Hikayat Raja-Raja Pasai C) Sejarah Melayu D) Babad Tanah Jawi</t>
  </si>
  <si>
    <t>A) Carita Parahyangan</t>
  </si>
  <si>
    <t>This Sundanese chronicle references martial skills associated with Silat.</t>
  </si>
  <si>
    <t>Which region of Indonesia is considered the birthplace of the Cingkrik style?</t>
  </si>
  <si>
    <t>A) Betawi (Jakarta) B) Bali C) Aceh D) Kalimantan</t>
  </si>
  <si>
    <t>A) Betawi (Jakarta)</t>
  </si>
  <si>
    <t>The Cingkrik style developed in Betawi society as a unique Silat form.</t>
  </si>
  <si>
    <t>The spread of Islam in the 15th century reinforced Silat through what institution?</t>
  </si>
  <si>
    <t>A) Mosques B) Sufi orders C) Madrasahs D) Courts</t>
  </si>
  <si>
    <t>B) Sufi orders</t>
  </si>
  <si>
    <t>Sufi masters taught Silat alongside spiritual practices, linking martial and mystical aspects.</t>
  </si>
  <si>
    <t>Which traditional Indonesian ceremony often featured Silat exhibitions to honor ancestors?</t>
  </si>
  <si>
    <t>A) Selamatan B) Sekaten C) Tabuik D) Ngaben</t>
  </si>
  <si>
    <t>A) Selamatan</t>
  </si>
  <si>
    <t>Communal feasts known as Selamatan often included Silat performances.</t>
  </si>
  <si>
    <t>Which Minangkabau practice combined Silat with traditional dance for wedding rituals?</t>
  </si>
  <si>
    <t>A) Tari Piring B) Randai C) Tari Payung D) Tari Lilin</t>
  </si>
  <si>
    <t>B) Randai</t>
  </si>
  <si>
    <t>Randai theatre incorporates Silat movements in circular storytelling performances.</t>
  </si>
  <si>
    <t>Which 18th-century Javanese kingdom integrated Silat into palace festivities?</t>
  </si>
  <si>
    <t>A) Mataram B) Yogyakarta C) Surakarta D) Banten</t>
  </si>
  <si>
    <t>C) Surakarta</t>
  </si>
  <si>
    <t>The Surakarta palace encouraged Silat as part of cultural and martial training.</t>
  </si>
  <si>
    <t>The Padri reform movement in Sumatra influenced Silat by adding what?</t>
  </si>
  <si>
    <t>A) Religious discipline B) Firearms training C) Ritual dance D) Courtly etiquette</t>
  </si>
  <si>
    <t>A) Religious discipline</t>
  </si>
  <si>
    <t>Padri ulama promoted Islamic discipline within Silat practice.</t>
  </si>
  <si>
    <t>Which 17th-century Bugis-Makassar kingdom spread Silat across the eastern archipelago?</t>
  </si>
  <si>
    <t>A) Gowa B) Bone C) Tallo D) Wajo</t>
  </si>
  <si>
    <t>A) Gowa</t>
  </si>
  <si>
    <t>The Gowa kingdom’s warriors practiced Silat and transmitted it via maritime networks.</t>
  </si>
  <si>
    <t>Which Betawi Silat master is remembered as a folk hero against Dutch rule?</t>
  </si>
  <si>
    <t>A) Si Pitung B) Haji Misbach C) Tan Malaka D) HOS Tjokroaminoto</t>
  </si>
  <si>
    <t>A) Si Pitung</t>
  </si>
  <si>
    <t>Si Pitung, a Betawi folk hero, was famed for using Silat to fight colonial oppression.</t>
  </si>
  <si>
    <t>The integration of Silat into royal wedding ceremonies symbolized what?</t>
  </si>
  <si>
    <t>A) Fertility B) Protection C) Wealth D) Courage</t>
  </si>
  <si>
    <t>D) Courage</t>
  </si>
  <si>
    <t>Silat displays in weddings symbolized bravery and strength of the groom.</t>
  </si>
  <si>
    <t>Which Indonesian coastal region adapted Silat for defense against pirate raids?</t>
  </si>
  <si>
    <t>A) Riau B) Maluku C) Kalimantan D) Papua</t>
  </si>
  <si>
    <t>A) Riau</t>
  </si>
  <si>
    <t>Coastal communities in Riau used Silat as self-defense against maritime threats.</t>
  </si>
  <si>
    <t>The Hikayat Hang Tuah (Malay text) references Silat. What was Hang Tuah’s role?</t>
  </si>
  <si>
    <t>A) General B) Sailor C) Admiral D) Sultan</t>
  </si>
  <si>
    <t>C) Admiral</t>
  </si>
  <si>
    <t>Hang Tuah, legendary Malaccan admiral, embodied martial virtues linked to Silat.</t>
  </si>
  <si>
    <t>Silat practitioners under Majapahit were often compared to which Hindu epic heroes?</t>
  </si>
  <si>
    <t>A) Pandavas B) Ravana C) Hanuman D) Bhishma</t>
  </si>
  <si>
    <t>A) Pandavas</t>
  </si>
  <si>
    <t>Warriors trained in Silat were likened to Pandavas for their strength and virtue.</t>
  </si>
  <si>
    <t>In colonial times, Silat teachers were often monitored by Dutch authorities for what reason?</t>
  </si>
  <si>
    <t>A) Tax evasion B) Subversive activity C) Illegal migration D) Gambling</t>
  </si>
  <si>
    <t>B) Subversive activity</t>
  </si>
  <si>
    <t>The Dutch feared Silat schools could foster anti-colonial resistance.</t>
  </si>
  <si>
    <t>The Aceh War (1873–1904) saw Silat combined with which form of combat?</t>
  </si>
  <si>
    <t>A) Guerrilla tactics B) Naval battles C) Firearms D) Cavalry</t>
  </si>
  <si>
    <t>A) Guerrilla tactics</t>
  </si>
  <si>
    <t>Acehnese fighters used Silat in guerrilla warfare against the Dutch.</t>
  </si>
  <si>
    <t>Which 19th-century Silat master from West Java founded the Serak style?</t>
  </si>
  <si>
    <t>A) Ki Djut B) Ki Hadjar C) Ki Muhammad Idris D) Ki Baharudin</t>
  </si>
  <si>
    <t>C) Ki Muhammad Idris</t>
  </si>
  <si>
    <t>He developed Serak style, emphasizing leverage and structure.</t>
  </si>
  <si>
    <t>Which Indonesian national awakening organization promoted Silat as cultural identity?</t>
  </si>
  <si>
    <t>A) Sarekat Islam B) Boedi Oetomo C) Pemuda Indonesia D) Jong Java</t>
  </si>
  <si>
    <t>B) Boedi Oetomo</t>
  </si>
  <si>
    <t>The early nationalist group saw Silat as part of cultural heritage.</t>
  </si>
  <si>
    <t>Which weapon-based Silat form was favored in Bali during the 17th century?</t>
  </si>
  <si>
    <t>A) Keris B) Trisula C) Tombak D) Parang</t>
  </si>
  <si>
    <t>C) Tombak</t>
  </si>
  <si>
    <t>Balinese Silat emphasized spear techniques for battlefield use.</t>
  </si>
  <si>
    <t>Which Javanese rebellion leader used Silat-trained troops in 18th-century uprisings?</t>
  </si>
  <si>
    <t>A) Prince Mangkubumi B) Untung Surapati C) Diponegoro D) Pangeran Jayakarta</t>
  </si>
  <si>
    <t>B) Untung Surapati</t>
  </si>
  <si>
    <t>This Balinese-born leader used Silat fighters in rebellions against Dutch power.</t>
  </si>
  <si>
    <t>Which colonial-era Indonesian newspaper promoted Silat as national pride?</t>
  </si>
  <si>
    <t>A) Medan Prijaji B) Bintang Hindia C) Sin Po D) De Locomotief</t>
  </si>
  <si>
    <t>A) Medan Prijaji</t>
  </si>
  <si>
    <t>Tirto Adhi Soerjo’s Medan Prijaji supported indigenous cultural revival, including Silat.</t>
  </si>
  <si>
    <t>Which Indonesian region’s Silat is known for acrobatic flips reflecting battlefield agility?</t>
  </si>
  <si>
    <t>A) West Sumatra B) Jakarta C) Bali D) Madura</t>
  </si>
  <si>
    <t>Madurese Silat emphasized agility, useful for seafaring warriors.</t>
  </si>
  <si>
    <t>Which colonial ban indirectly boosted the cultural symbolism of Silat?</t>
  </si>
  <si>
    <t>A) Ban on public gatherings B) Ban on bladed weapons C) Ban on martial schools D) Ban on night rituals</t>
  </si>
  <si>
    <t>B) Ban on bladed weapons</t>
  </si>
  <si>
    <t>This forced practitioners to elevate Silat’s symbolic and spiritual elements.</t>
  </si>
  <si>
    <t>Which 19th-century Minangkabau rebellion heavily relied on Silek practitioners?</t>
  </si>
  <si>
    <t>A) Padri War B) Java War C) Aceh War D) Banten revolt</t>
  </si>
  <si>
    <t>A) Padri War</t>
  </si>
  <si>
    <t>Silek-trained warriors fought Dutch forces during this religious-political conflict.</t>
  </si>
  <si>
    <t>Silat practitioners historically swore oaths of loyalty using what symbolic item?</t>
  </si>
  <si>
    <t>A) Kris B) Quran C) Betel leaf D) Keris sheath</t>
  </si>
  <si>
    <t>The Kris dagger symbolized honor and martial commitment.</t>
  </si>
  <si>
    <t>Which famous Indonesian literary work depicted Silat in a tale of heroism?</t>
  </si>
  <si>
    <t>A) Sitti Nurbaya B) Hikayat Sri Rama C) Babad Diponegoro D) Hikayat Panji</t>
  </si>
  <si>
    <t>A) Sitti Nurbaya</t>
  </si>
  <si>
    <t>Marah Rusli’s novel references Minangkabau culture including Silat traditions.</t>
  </si>
  <si>
    <t>Which early 20th-century nationalist youth groups incorporated Silat in training?</t>
  </si>
  <si>
    <t>A) Jong Java &amp; Jong Sumatra B) Jong Batak C) Jong Celebes D) Jong Ambon</t>
  </si>
  <si>
    <t>A) Jong Java &amp; Jong Sumatra</t>
  </si>
  <si>
    <t>These groups revived Silat as part of nationalist youth identity.</t>
  </si>
  <si>
    <t>The role of women in Silat history is highlighted by which legendary heroine?</t>
  </si>
  <si>
    <t>A) Cut Nyak Dhien B) Dayang Sumbi C) Kartini D) Ken Dedes</t>
  </si>
  <si>
    <t>A) Cut Nyak Dhien</t>
  </si>
  <si>
    <t>She combined leadership and Silat knowledge in Acehnese resistance.</t>
  </si>
  <si>
    <t>Which 14th-century Majapahit military commander likely promoted Silat among troops?</t>
  </si>
  <si>
    <t>A) Gajah Mada B) Hayam Wuruk C) Adityawarman D) Kertanegara</t>
  </si>
  <si>
    <t>A) Gajah Mada</t>
  </si>
  <si>
    <t>Majapahit’s prime minister organized armies where Silat-like combat was trained.</t>
  </si>
  <si>
    <t>Silat demonstrations were incorporated into colonial-era exhibitions to symbolize what?</t>
  </si>
  <si>
    <t>A) Exoticism B) Resistance C) Unity D) Wealth</t>
  </si>
  <si>
    <t>A) Exoticism</t>
  </si>
  <si>
    <t>Dutch staged Silat as “native spectacles” for Western audiences.</t>
  </si>
  <si>
    <t>Which Indonesian diaspora community introduced Silat into the Netherlands?</t>
  </si>
  <si>
    <t>A) Minangkabau B) Javanese C) Betawi D) Sundanese</t>
  </si>
  <si>
    <t>B) Javanese</t>
  </si>
  <si>
    <t>Javanese migrants carried Silat to Dutch cities after WWII.</t>
  </si>
  <si>
    <t>Which Indonesian independence leader symbolically endorsed Silat as cultural pride?</t>
  </si>
  <si>
    <t>A) Sukarno B) Hatta C) Sjahrir D) Tan Malaka</t>
  </si>
  <si>
    <t>A) Sukarno</t>
  </si>
  <si>
    <t>Sukarno encouraged national identity through martial traditions including Silat.</t>
  </si>
  <si>
    <t>Which 17th-century text from Malacca describes Silat duels?</t>
  </si>
  <si>
    <t>A) Hikayat Hang Tuah B) Sejarah Melayu C) Hikayat Abdullah D) Hikayat Aceh</t>
  </si>
  <si>
    <t>B) Sejarah Melayu</t>
  </si>
  <si>
    <t>The Malay Annals recount warrior duels showing early Silat.</t>
  </si>
  <si>
    <t>Which Betawi Silat school gained fame in Jakarta during the early 20th century?</t>
  </si>
  <si>
    <t>A) Padepokan Cingkrik B) Serak Institute C) Satria Nusantara D) Setia Hati</t>
  </si>
  <si>
    <t>A) Padepokan Cingkrik</t>
  </si>
  <si>
    <t>The Cingkrik school thrived in urban Betawi society.</t>
  </si>
  <si>
    <t>Which Indonesian war after WWII showcased Silat in village defense?</t>
  </si>
  <si>
    <t>A) Independence War (1945–49) B) Korean War C) Malayan Emergency D) PRRI Revolt</t>
  </si>
  <si>
    <t>A) Independence War (1945–49)</t>
  </si>
  <si>
    <t>Villagers trained in Silat supported independence fighters.</t>
  </si>
  <si>
    <t>Which Dutch colonial novel exoticized Silat as “violent Malay art”?</t>
  </si>
  <si>
    <t>A) Max Havelaar B) Multatuli Letters C) De Stille Kracht D) Oeroeg</t>
  </si>
  <si>
    <t>C) De Stille Kracht</t>
  </si>
  <si>
    <t>Couperus’ novel framed Silat as part of mystical violence.</t>
  </si>
  <si>
    <t>In Bali, Silat blended with which traditional ritual performances?</t>
  </si>
  <si>
    <t>A) Barong B) Kecak C) Sanghyang D) Wayang Wong</t>
  </si>
  <si>
    <t>A) Barong</t>
  </si>
  <si>
    <t>Barong dance incorporated Silat-like combat scenes.</t>
  </si>
  <si>
    <t>Which 15th-century Acehnese Sultan supported Silat as palace training?</t>
  </si>
  <si>
    <t>A) Sultan Alauddin Riayat B) Sultan Iskandar Muda C) Sultan Ali Mughayat D) Sultan Zainal Abidin</t>
  </si>
  <si>
    <t>B) Sultan Iskandar Muda</t>
  </si>
  <si>
    <t>His court preserved Silat traditions as martial training.</t>
  </si>
  <si>
    <t>The Dutch called Silat practitioners “vechtdansers,” meaning what?</t>
  </si>
  <si>
    <t>A) Battle dancers B) Aggressive fighters C) Village wrestlers D) Wandering monks</t>
  </si>
  <si>
    <t>A) Battle dancers</t>
  </si>
  <si>
    <t>They misunderstood Silat’s combat as dance.</t>
  </si>
  <si>
    <t>Which Indonesian king integrated Silat into military drills for Java’s Mataram kingdom?</t>
  </si>
  <si>
    <t>A) Sultan Agung B) Amangkurat I C) Panembahan Senopati D) Pakubuwono II</t>
  </si>
  <si>
    <t>A) Sultan Agung</t>
  </si>
  <si>
    <t>The 17th-century ruler valued Silat for his armies.</t>
  </si>
  <si>
    <t>In West Sumatra, Silat styles were traditionally named after what?</t>
  </si>
  <si>
    <t>A) Animals B) Rivers C) Villages D) Ancestral teachers</t>
  </si>
  <si>
    <t>D) Ancestral teachers</t>
  </si>
  <si>
    <t>Styles carried lineage of masters.</t>
  </si>
  <si>
    <t>Which Indonesian nationalist poet wrote about Silat symbolism?</t>
  </si>
  <si>
    <t>A) Chairil Anwar B) Amir Hamzah C) WS Rendra D) Sutardji Calzoum Bachri</t>
  </si>
  <si>
    <t>B) Amir Hamzah</t>
  </si>
  <si>
    <t>His works drew on martial metaphors including Silat.</t>
  </si>
  <si>
    <t>Which Islamic festival often showcased Silat demonstrations in rural Java?</t>
  </si>
  <si>
    <t>A) Eid al-Fitr B) Eid al-Adha C) Maulid Nabi D) Isra Mi’raj</t>
  </si>
  <si>
    <t>C) Maulid Nabi</t>
  </si>
  <si>
    <t>Prophet’s birthday celebrations featured Silat as cultural expression.</t>
  </si>
  <si>
    <t>Which colonial archive preserved early photographs of Silat duels?</t>
  </si>
  <si>
    <t>A) KITLV (Leiden) B) British Library C) Paris Archives D) Smithsonian</t>
  </si>
  <si>
    <t>A) KITLV (Leiden)</t>
  </si>
  <si>
    <t>Dutch scholars documented Silat imagery in KITLV archives.</t>
  </si>
  <si>
    <t>The symbolic stance of Silat mimicking animals reflects what philosophy?</t>
  </si>
  <si>
    <t>A) Harmony with nature B) Superiority C) War ethics D) Meditation</t>
  </si>
  <si>
    <t>A) Harmony with nature</t>
  </si>
  <si>
    <t>Animal-inspired stances symbolized ecological balance.</t>
  </si>
  <si>
    <t>Which rebellion in Banten involved Silat-trained farmers in 1888?</t>
  </si>
  <si>
    <t>A) Banten Revolt B) Java War C) Diponegoro War D) Aceh Revolt</t>
  </si>
  <si>
    <t>A) Banten Revolt</t>
  </si>
  <si>
    <t>Peasant uprisings used Silat against Dutch planters.</t>
  </si>
  <si>
    <t>In Surakarta, Silat duels were staged during which public event?</t>
  </si>
  <si>
    <t>A) Grebeg rituals B) Sekaten fair C) Palace anniversaries D) Rice harvest</t>
  </si>
  <si>
    <t>B) Sekaten fair</t>
  </si>
  <si>
    <t>Cultural fairs included martial contests.</t>
  </si>
  <si>
    <t>Which 17th-century text from Aceh contains metaphors resembling Silat training?</t>
  </si>
  <si>
    <t>A) Bustan al-Salatin B) Hikayat Aceh C) Taj us-Salatin D) Mir’at al-Tullab</t>
  </si>
  <si>
    <t>A) Bustan al-Salatin</t>
  </si>
  <si>
    <t>The “Garden of Kings” reflected martial virtues akin to Silat.</t>
  </si>
  <si>
    <t>In the colonial period, Silat teachers often doubled as what?</t>
  </si>
  <si>
    <t>A) Healers B) Merchants C) Farmers D) Carpenters</t>
  </si>
  <si>
    <t>A) Healers</t>
  </si>
  <si>
    <t>Masters combined martial and medicinal roles.</t>
  </si>
  <si>
    <t>The Minangkabau diaspora carried Silat to which overseas country in the 19th century?</t>
  </si>
  <si>
    <t>A) Singapore B) Madagascar C) South Africa D) Sri Lanka</t>
  </si>
  <si>
    <t>C) South Africa</t>
  </si>
  <si>
    <t>Minangkabau migrants preserved Silat in Cape Malay communities.</t>
  </si>
  <si>
    <t>Which Indonesian novel in the 1920s depicted Silat as part of youth training?</t>
  </si>
  <si>
    <t>A) Azab dan Sengsara B) Salah Asuhan C) Sitti Nurbaya D) Student Hidjo</t>
  </si>
  <si>
    <t>D) Student Hidjo</t>
  </si>
  <si>
    <t>This novel illustrated modern youth engaging in Silat.</t>
  </si>
  <si>
    <t>Which Indonesian Sultanate used Silat in defense against Portuguese attacks in Maluku?</t>
  </si>
  <si>
    <t>A) Ternate B) Tidore C) Bima D) Makassar</t>
  </si>
  <si>
    <t>A) Ternate</t>
  </si>
  <si>
    <t>Warriors from Ternate relied on Silat in anti-colonial struggles.</t>
  </si>
  <si>
    <t>Which Minangkabau rite traditionally marked a youth’s readiness to study Silek formally?</t>
  </si>
  <si>
    <t>A) Batagak Rumah B) Turun Ka Surau C) Manjapuik Marapulai D) Tabuik</t>
  </si>
  <si>
    <t>B) Turun Ka Surau</t>
  </si>
  <si>
    <t>“Descending to the surau” signified boys beginning religious study and Silek under elders.</t>
  </si>
  <si>
    <t>In 19th-century West Java, village headmen who sponsored Silat schools were called what?</t>
  </si>
  <si>
    <t>A) Demang B) Lurah C) Patih D) Wedana</t>
  </si>
  <si>
    <t>B) Lurah</t>
  </si>
  <si>
    <t>Lurah (village chiefs) often patronized padepokan to bolster local defense and prestige.</t>
  </si>
  <si>
    <t>Which Makassarese maritime brotherhood helped transmit Silat along eastern Indonesian trade routes?</t>
  </si>
  <si>
    <t>A) Wajo League B) Karaeng Guild C) Passompe seafarers D) Orang Laut</t>
  </si>
  <si>
    <t>C) Passompe seafarers</t>
  </si>
  <si>
    <t>Passompe voyagers spread martial customs, including Silat practices, between ports.</t>
  </si>
  <si>
    <t>Early 20th-century nationalist festivals showcased Silat alongside which art to signal unity?</t>
  </si>
  <si>
    <t>A) Wayang Kulit B) Gamelan C) Batik demos D) Topeng</t>
  </si>
  <si>
    <t>B) Gamelan</t>
  </si>
  <si>
    <t>Pairing Silat with gamelan performances emphasized cultural revival in independence-era rallies.</t>
  </si>
  <si>
    <t>Which 18th-century Buginese prince’s retinue likely trained in Silat while serving in Java?</t>
  </si>
  <si>
    <t>A) Arung Palakka B) La Tenritatta C) Karaeng Galesong D) Sultan Hasanuddin</t>
  </si>
  <si>
    <t>C) Karaeng Galesong</t>
  </si>
  <si>
    <t>The famed adventurer and his forces interacted with Javanese courts where Silat thrived.</t>
  </si>
  <si>
    <t>In colonial Batavia, Silat displays at pasar malam (night markets) functioned mainly as what?</t>
  </si>
  <si>
    <t>A) Recruitment drives B) Ritual oaths C) Popular spectacles D) Secret drills</t>
  </si>
  <si>
    <t>C) Popular spectacles</t>
  </si>
  <si>
    <t>Urban night markets featured Silat exhibitions that blended entertainment and identity.</t>
  </si>
  <si>
    <t>The Minangkabau circular theatre that preserved Silek choreography in song cycles is called?</t>
  </si>
  <si>
    <t>A) Indang B) Randai C) Saluang D) Dendang Pauah</t>
  </si>
  <si>
    <t>Randai ensembles integrated Silek into narrative rounds, sustaining martial memory.</t>
  </si>
  <si>
    <t>Which Sultan of Banten reputedly integrated coastal militia training with Silat in the 16th–17th c.?</t>
  </si>
  <si>
    <t>A) Maulana Hasanuddin B) Sultan Ageng Tirtayasa C) Abu al-Mafakhir D) Abdul Kadir</t>
  </si>
  <si>
    <t>B) Sultan Ageng Tirtayasa</t>
  </si>
  <si>
    <t>His reign strengthened Banten’s militias, where Silat informed close-quarters tactics.</t>
  </si>
  <si>
    <t>Among Betawi styles, which emphasized deceptive timing learned in dockside brawls?</t>
  </si>
  <si>
    <t>A) Cingkrik B) Sabeni C) Beksi D) Serak</t>
  </si>
  <si>
    <t>C) Beksi</t>
  </si>
  <si>
    <t>Beksi evolved in port communities, valuing feints and compact counter-striking.</t>
  </si>
  <si>
    <t>The 1928 Youth Pledge era saw Silat clubs reframed as?</t>
  </si>
  <si>
    <t>A) Secret societies B) Sport associations C) Religious orders D) Theater troupes</t>
  </si>
  <si>
    <t>B) Sport associations</t>
  </si>
  <si>
    <t>Nationalist framing helped move Silat from clandestine training to civic sports culture.</t>
  </si>
  <si>
    <t>Which Sumatran polity’s warriors used tiger-low stances akin to later Harimau forms?</t>
  </si>
  <si>
    <t>A) Dharmasraya B) Pagaruyung C) Barus D) Inderapura</t>
  </si>
  <si>
    <t>B) Pagaruyung</t>
  </si>
  <si>
    <t>Pagaruyung court lore mentions crouched, pouncing tactics mirrored in Harimau Silek.</t>
  </si>
  <si>
    <t>Early photographs of Silat lineages were circulated in which pre-war Indonesian magazine?</t>
  </si>
  <si>
    <t>A) Poedjangga Baroe B) Djawa C) Pandji Poestaka D) Star Weekly</t>
  </si>
  <si>
    <t>C) Pandji Poestaka</t>
  </si>
  <si>
    <t>The state-supported cultural magazine occasionally profiled indigenous martial traditions.</t>
  </si>
  <si>
    <t>In Javanese chronicles, the term “prajurit alit” trained with Silat-like drills refers to?</t>
  </si>
  <si>
    <t>A) Foreign mercenaries B) Palace scribes C) Light infantry D) Royal bodyguards</t>
  </si>
  <si>
    <t>C) Light infantry</t>
  </si>
  <si>
    <t>“Prajurit alit” were rank-and-file troops drilled in close-in weapons and empty-hand skills.</t>
  </si>
  <si>
    <t>After independence, IPSI’s early provincial meets served primarily to?</t>
  </si>
  <si>
    <t>A) Standardize jurus B) Recruit for the navy C) Replace regional styles D) Ban weapons</t>
  </si>
  <si>
    <t>A) Standardize jurus</t>
  </si>
  <si>
    <t>Post-1945 gatherings aligned technique names/forms to bridge diverse regional silat lineages.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</si>
</sst>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karapan sap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apan sapi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ese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ese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ak tak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ak takra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ung deraj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rung deraja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cak sil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cak sila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1" displayName="Table1" name="Table1" id="1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karapan sapi-style" showColumnStripes="0" showFirstColumn="1" showLastColumn="1" showRowStripes="1"/>
</table>
</file>

<file path=xl/tables/table2.xml><?xml version="1.0" encoding="utf-8"?>
<table xmlns="http://schemas.openxmlformats.org/spreadsheetml/2006/main" ref="G1:K151" displayName="Table2" name="Table2" id="2">
  <tableColumns count="5">
    <tableColumn name="Pertanyaan No." id="1"/>
    <tableColumn name="Pertanyaan" id="2"/>
    <tableColumn name="Pilihan" id="3"/>
    <tableColumn name="Menjawab" id="4"/>
    <tableColumn name="Keterangan" id="5"/>
  </tableColumns>
  <tableStyleInfo name="karapan sapi-style 2" showColumnStripes="0" showFirstColumn="1" showLastColumn="1" showRowStripes="1"/>
</table>
</file>

<file path=xl/tables/table3.xml><?xml version="1.0" encoding="utf-8"?>
<table xmlns="http://schemas.openxmlformats.org/spreadsheetml/2006/main" ref="A1:E151" displayName="Table3" name="Table3" id="3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peresean-style" showColumnStripes="0" showFirstColumn="1" showLastColumn="1" showRowStripes="1"/>
</table>
</file>

<file path=xl/tables/table4.xml><?xml version="1.0" encoding="utf-8"?>
<table xmlns="http://schemas.openxmlformats.org/spreadsheetml/2006/main" ref="G1:K151" displayName="Table4" name="Table4" id="4">
  <tableColumns count="5">
    <tableColumn name="Pertanyaan No." id="1"/>
    <tableColumn name="Pertanyaan" id="2"/>
    <tableColumn name="Pilihan" id="3"/>
    <tableColumn name="Menjawab" id="4"/>
    <tableColumn name="Keterangan" id="5"/>
  </tableColumns>
  <tableStyleInfo name="peresean-style 2" showColumnStripes="0" showFirstColumn="1" showLastColumn="1" showRowStripes="1"/>
</table>
</file>

<file path=xl/tables/table5.xml><?xml version="1.0" encoding="utf-8"?>
<table xmlns="http://schemas.openxmlformats.org/spreadsheetml/2006/main" ref="A1:E151" displayName="Table5" name="Table5" id="5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sepak takraw-style" showColumnStripes="0" showFirstColumn="1" showLastColumn="1" showRowStripes="1"/>
</table>
</file>

<file path=xl/tables/table6.xml><?xml version="1.0" encoding="utf-8"?>
<table xmlns="http://schemas.openxmlformats.org/spreadsheetml/2006/main" ref="G1:K151" displayName="Table6" name="Table6" id="6">
  <tableColumns count="5">
    <tableColumn name="Pertanyaan No." id="1"/>
    <tableColumn name="Pertanyaan" id="2"/>
    <tableColumn name="Pilihan" id="3"/>
    <tableColumn name="Menjawab" id="4"/>
    <tableColumn name="Keterangan" id="5"/>
  </tableColumns>
  <tableStyleInfo name="sepak takraw-style 2" showColumnStripes="0" showFirstColumn="1" showLastColumn="1" showRowStripes="1"/>
</table>
</file>

<file path=xl/tables/table7.xml><?xml version="1.0" encoding="utf-8"?>
<table xmlns="http://schemas.openxmlformats.org/spreadsheetml/2006/main" ref="A1:E151" displayName="Table7" name="Table7" id="7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tarung derajat-style" showColumnStripes="0" showFirstColumn="1" showLastColumn="1" showRowStripes="1"/>
</table>
</file>

<file path=xl/tables/table8.xml><?xml version="1.0" encoding="utf-8"?>
<table xmlns="http://schemas.openxmlformats.org/spreadsheetml/2006/main" ref="G1:K151" displayName="Table8" name="Table8" id="8">
  <tableColumns count="5">
    <tableColumn name="Pertanyaan No." id="1"/>
    <tableColumn name="Pertanyaan" id="2"/>
    <tableColumn name="Pilihan" id="3"/>
    <tableColumn name="Menjawab" id="4"/>
    <tableColumn name="Keterangan" id="5"/>
  </tableColumns>
  <tableStyleInfo name="tarung derajat-style 2" showColumnStripes="0" showFirstColumn="1" showLastColumn="1" showRowStripes="1"/>
</table>
</file>

<file path=xl/tables/table9.xml><?xml version="1.0" encoding="utf-8"?>
<table xmlns="http://schemas.openxmlformats.org/spreadsheetml/2006/main" ref="A1:E151" displayName="Table9" name="Table9" id="9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pencak silat-style" showColumnStripes="0" showFirstColumn="1" showLastColumn="1" showRowStripes="1"/>
</table>
</file>

<file path=xl/tables/table10.xml><?xml version="1.0" encoding="utf-8"?>
<table xmlns="http://schemas.openxmlformats.org/spreadsheetml/2006/main" ref="G1:K151" displayName="Table10" name="Table10" id="10">
  <tableColumns count="5">
    <tableColumn name="Pertanyaan No." id="1"/>
    <tableColumn name="Pertanyaan" id="2"/>
    <tableColumn name="Pilihan" id="3"/>
    <tableColumn name="Menjawab" id="4"/>
    <tableColumn name="Keterangan" id="5"/>
  </tableColumns>
  <tableStyleInfo name="pencak sila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2" t="str">
        <f>IFERROR(__xludf.DUMMYFUNCTION("GOOGLETRANSLATE(A1, ""en"", ""id"")"),"Pertanyaan No.")</f>
        <v>Pertanyaan No.</v>
      </c>
      <c r="K1" s="2" t="str">
        <f>IFERROR(__xludf.DUMMYFUNCTION("GOOGLETRANSLATE(B1, ""en"", ""id"")"),"Pertanyaan")</f>
        <v>Pertanyaan</v>
      </c>
      <c r="L1" s="2" t="str">
        <f>IFERROR(__xludf.DUMMYFUNCTION("GOOGLETRANSLATE(C1, ""en"", ""id"")"),"Pilihan")</f>
        <v>Pilihan</v>
      </c>
      <c r="M1" s="2" t="str">
        <f>IFERROR(__xludf.DUMMYFUNCTION("GOOGLETRANSLATE(D1, ""en"", ""id"")"),"Menjawab")</f>
        <v>Menjawab</v>
      </c>
      <c r="N1" s="2" t="str">
        <f>IFERROR(__xludf.DUMMYFUNCTION("GOOGLETRANSLATE(E1, ""en"", ""id"")"),"Keterangan")</f>
        <v>Keterangan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  <c r="J2" s="2" t="str">
        <f>IFERROR(__xludf.DUMMYFUNCTION("GOOGLETRANSLATE(A2, ""en"", ""id"")"),"1")</f>
        <v>1</v>
      </c>
      <c r="K2" s="2" t="str">
        <f>IFERROR(__xludf.DUMMYFUNCTION("GOOGLETRANSLATE(B2, ""en"", ""id"")"),"Siapa yang dianggap sebagai bapak pendiri bulu tangkis modern di Indonesia?")</f>
        <v>Siapa yang dianggap sebagai bapak pendiri bulu tangkis modern di Indonesia?</v>
      </c>
      <c r="L2" s="2" t="str">
        <f>IFERROR(__xludf.DUMMYFUNCTION("GOOGLETRANSLATE(C2, ""en"", ""id"")"),"A) Tjun Tjin, B) Rudi Hartono, C) Ferry Sunarto, D) Liem Swie King")</f>
        <v>A) Tjun Tjin, B) Rudi Hartono, C) Ferry Sunarto, D) Liem Swie King</v>
      </c>
      <c r="M2" s="2" t="str">
        <f>IFERROR(__xludf.DUMMYFUNCTION("GOOGLETRANSLATE(D2, ""en"", ""id"")"),"B) Rudi Hartono")</f>
        <v>B) Rudi Hartono</v>
      </c>
      <c r="N2" s="2" t="str">
        <f>IFERROR(__xludf.DUMMYFUNCTION("GOOGLETRANSLATE(E2, ""en"", ""id"")"),"Rudi Hartono dianggap sebagai tokoh kunci dalam mempopulerkan dan membentuk bulu tangkis modern di Indonesia.")</f>
        <v>Rudi Hartono dianggap sebagai tokoh kunci dalam mempopulerkan dan membentuk bulu tangkis modern di Indonesia.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  <c r="J3" s="2" t="str">
        <f>IFERROR(__xludf.DUMMYFUNCTION("GOOGLETRANSLATE(A3, ""en"", ""id"")"),"2")</f>
        <v>2</v>
      </c>
      <c r="K3" s="2" t="str">
        <f>IFERROR(__xludf.DUMMYFUNCTION("GOOGLETRANSLATE(B3, ""en"", ""id"")"),"Pada tahun berapa Indonesia pertama kali berkompetisi di Thomas Cup, kompetisi Bulu Tangkis bergengsi?")</f>
        <v>Pada tahun berapa Indonesia pertama kali berkompetisi di Thomas Cup, kompetisi Bulu Tangkis bergengsi?</v>
      </c>
      <c r="L3" s="2" t="str">
        <f>IFERROR(__xludf.DUMMYFUNCTION("GOOGLETRANSLATE(C3, ""en"", ""id"")"),"A) Tahun 1948, B) Tahun 1956, C) Tahun 1961, D) Tahun 1970")</f>
        <v>A) Tahun 1948, B) Tahun 1956, C) Tahun 1961, D) Tahun 1970</v>
      </c>
      <c r="M3" s="2" t="str">
        <f>IFERROR(__xludf.DUMMYFUNCTION("GOOGLETRANSLATE(D3, ""en"", ""id"")"),"C) Tahun 1961")</f>
        <v>C) Tahun 1961</v>
      </c>
      <c r="N3" s="2" t="str">
        <f>IFERROR(__xludf.DUMMYFUNCTION("GOOGLETRANSLATE(E3, ""en"", ""id"")"),"Indonesia mengikuti kompetisi Piala Thomas pada tahun 1961 dan dengan cepat menjadi kekuatan dominan dalam bulu tangkis internasional.")</f>
        <v>Indonesia mengikuti kompetisi Piala Thomas pada tahun 1961 dan dengan cepat menjadi kekuatan dominan dalam bulu tangkis internasional.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  <c r="J4" s="2" t="str">
        <f>IFERROR(__xludf.DUMMYFUNCTION("GOOGLETRANSLATE(A4, ""en"", ""id"")"),"3")</f>
        <v>3</v>
      </c>
      <c r="K4" s="2" t="str">
        <f>IFERROR(__xludf.DUMMYFUNCTION("GOOGLETRANSLATE(B4, ""en"", ""id"")"),"Pemain Indonesia mana yang paling banyak memenangi Kejuaraan Bulu Tangkis All England?")</f>
        <v>Pemain Indonesia mana yang paling banyak memenangi Kejuaraan Bulu Tangkis All England?</v>
      </c>
      <c r="L4" s="2" t="str">
        <f>IFERROR(__xludf.DUMMYFUNCTION("GOOGLETRANSLATE(C4, ""en"", ""id"")"),"A) Taufik Hidayat, B) Liem Swie King, C) Rudy Hartono, D) Susi Susanti")</f>
        <v>A) Taufik Hidayat, B) Liem Swie King, C) Rudy Hartono, D) Susi Susanti</v>
      </c>
      <c r="M4" s="2" t="str">
        <f>IFERROR(__xludf.DUMMYFUNCTION("GOOGLETRANSLATE(D4, ""en"", ""id"")"),"C) Rudy Hartono")</f>
        <v>C) Rudy Hartono</v>
      </c>
      <c r="N4" s="2" t="str">
        <f>IFERROR(__xludf.DUMMYFUNCTION("GOOGLETRANSLATE(E4, ""en"", ""id"")"),"Rudy Hartono memenangkan Kejuaraan Bulu Tangkis All England yang bergengsi sebanyak delapan kali.")</f>
        <v>Rudy Hartono memenangkan Kejuaraan Bulu Tangkis All England yang bergengsi sebanyak delapan kali.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 t="s">
        <v>20</v>
      </c>
      <c r="J5" s="2" t="str">
        <f>IFERROR(__xludf.DUMMYFUNCTION("GOOGLETRANSLATE(A5, ""en"", ""id"")"),"4")</f>
        <v>4</v>
      </c>
      <c r="K5" s="2" t="str">
        <f>IFERROR(__xludf.DUMMYFUNCTION("GOOGLETRANSLATE(B5, ""en"", ""id"")"),"Tahun berapa Indonesia pertama kali menjadi tuan rumah Kejuaraan Dunia BWF yang bergengsi?")</f>
        <v>Tahun berapa Indonesia pertama kali menjadi tuan rumah Kejuaraan Dunia BWF yang bergengsi?</v>
      </c>
      <c r="L5" s="2" t="str">
        <f>IFERROR(__xludf.DUMMYFUNCTION("GOOGLETRANSLATE(C5, ""en"", ""id"")"),"A) Tahun 1980, B) Tahun 1985, C) Tahun 1997, D) Tahun 2002")</f>
        <v>A) Tahun 1980, B) Tahun 1985, C) Tahun 1997, D) Tahun 2002</v>
      </c>
      <c r="M5" s="2" t="str">
        <f>IFERROR(__xludf.DUMMYFUNCTION("GOOGLETRANSLATE(D5, ""en"", ""id"")"),"B) Tahun 1985")</f>
        <v>B) Tahun 1985</v>
      </c>
      <c r="N5" s="2" t="str">
        <f>IFERROR(__xludf.DUMMYFUNCTION("GOOGLETRANSLATE(E5, ""en"", ""id"")"),"Indonesia menjadi tuan rumah Kejuaraan Dunia BWF untuk pertama kalinya pada tahun 1985, yang menunjukkan kehebatan bulu tangkisnya.")</f>
        <v>Indonesia menjadi tuan rumah Kejuaraan Dunia BWF untuk pertama kalinya pada tahun 1985, yang menunjukkan kehebatan bulu tangkisnya.</v>
      </c>
    </row>
    <row r="6">
      <c r="A6" s="1">
        <v>5.0</v>
      </c>
      <c r="B6" s="1" t="s">
        <v>21</v>
      </c>
      <c r="C6" s="1" t="s">
        <v>22</v>
      </c>
      <c r="D6" s="1" t="s">
        <v>23</v>
      </c>
      <c r="E6" s="1" t="s">
        <v>24</v>
      </c>
      <c r="J6" s="2" t="str">
        <f>IFERROR(__xludf.DUMMYFUNCTION("GOOGLETRANSLATE(A6, ""en"", ""id"")"),"5")</f>
        <v>5</v>
      </c>
      <c r="K6" s="2" t="str">
        <f>IFERROR(__xludf.DUMMYFUNCTION("GOOGLETRANSLATE(B6, ""en"", ""id"")"),"Pemain bulu tangkis Indonesia mana yang dikenal sebagai 'Raja Bulu Tangkis' karena dominasinya di tahun 1970-an?")</f>
        <v>Pemain bulu tangkis Indonesia mana yang dikenal sebagai 'Raja Bulu Tangkis' karena dominasinya di tahun 1970-an?</v>
      </c>
      <c r="L6" s="2" t="str">
        <f>IFERROR(__xludf.DUMMYFUNCTION("GOOGLETRANSLATE(C6, ""en"", ""id"")"),"A) Liem Swie King, B) Taufik Hidayat, C) Susi Susanti, D) Ferry Sunarto")</f>
        <v>A) Liem Swie King, B) Taufik Hidayat, C) Susi Susanti, D) Ferry Sunarto</v>
      </c>
      <c r="M6" s="2" t="str">
        <f>IFERROR(__xludf.DUMMYFUNCTION("GOOGLETRANSLATE(D6, ""en"", ""id"")"),"A) Liem Swie King")</f>
        <v>A) Liem Swie King</v>
      </c>
      <c r="N6" s="2" t="str">
        <f>IFERROR(__xludf.DUMMYFUNCTION("GOOGLETRANSLATE(E6, ""en"", ""id"")"),"Liem Swie King mendapat gelar 'Raja Bulu Tangkis' atas kesuksesannya yang tak tertandingi pada tahun 1970-an.")</f>
        <v>Liem Swie King mendapat gelar 'Raja Bulu Tangkis' atas kesuksesannya yang tak tertandingi pada tahun 1970-an.</v>
      </c>
    </row>
    <row r="7">
      <c r="A7" s="1">
        <v>6.0</v>
      </c>
      <c r="B7" s="1" t="s">
        <v>25</v>
      </c>
      <c r="C7" s="1" t="s">
        <v>26</v>
      </c>
      <c r="D7" s="1" t="s">
        <v>27</v>
      </c>
      <c r="E7" s="1" t="s">
        <v>28</v>
      </c>
      <c r="J7" s="2" t="str">
        <f>IFERROR(__xludf.DUMMYFUNCTION("GOOGLETRANSLATE(A7, ""en"", ""id"")"),"6")</f>
        <v>6</v>
      </c>
      <c r="K7" s="2" t="str">
        <f>IFERROR(__xludf.DUMMYFUNCTION("GOOGLETRANSLATE(B7, ""en"", ""id"")"),"Pada tahun berapa Indonesia memenangkan Piala Thomas pertamanya?")</f>
        <v>Pada tahun berapa Indonesia memenangkan Piala Thomas pertamanya?</v>
      </c>
      <c r="L7" s="2" t="str">
        <f>IFERROR(__xludf.DUMMYFUNCTION("GOOGLETRANSLATE(C7, ""en"", ""id"")"),"A) Tahun 1957, B) Tahun 1964, C) Tahun 1970, D) Tahun 1984")</f>
        <v>A) Tahun 1957, B) Tahun 1964, C) Tahun 1970, D) Tahun 1984</v>
      </c>
      <c r="M7" s="2" t="str">
        <f>IFERROR(__xludf.DUMMYFUNCTION("GOOGLETRANSLATE(D7, ""en"", ""id"")"),"B) Tahun 1964")</f>
        <v>B) Tahun 1964</v>
      </c>
      <c r="N7" s="2" t="str">
        <f>IFERROR(__xludf.DUMMYFUNCTION("GOOGLETRANSLATE(E7, ""en"", ""id"")"),"Indonesia memenangkan Piala Thomas pertamanya pada tahun 1964, menandai tonggak sejarah bulu tangkis negara ini.")</f>
        <v>Indonesia memenangkan Piala Thomas pertamanya pada tahun 1964, menandai tonggak sejarah bulu tangkis negara ini.</v>
      </c>
    </row>
    <row r="8">
      <c r="A8" s="1">
        <v>7.0</v>
      </c>
      <c r="B8" s="1" t="s">
        <v>29</v>
      </c>
      <c r="C8" s="1" t="s">
        <v>30</v>
      </c>
      <c r="D8" s="1" t="s">
        <v>31</v>
      </c>
      <c r="E8" s="1" t="s">
        <v>32</v>
      </c>
      <c r="J8" s="2" t="str">
        <f>IFERROR(__xludf.DUMMYFUNCTION("GOOGLETRANSLATE(A8, ""en"", ""id"")"),"7")</f>
        <v>7</v>
      </c>
      <c r="K8" s="2" t="str">
        <f>IFERROR(__xludf.DUMMYFUNCTION("GOOGLETRANSLATE(B8, ""en"", ""id"")"),"Apa julukan pemain bulu tangkis wanita tersukses di Indonesia, Susi Susanti?")</f>
        <v>Apa julukan pemain bulu tangkis wanita tersukses di Indonesia, Susi Susanti?</v>
      </c>
      <c r="L8" s="2" t="str">
        <f>IFERROR(__xludf.DUMMYFUNCTION("GOOGLETRANSLATE(C8, ""en"", ""id"")"),"A) Harimau, B) Ratu, C) Burung Phoenix, D) Elang")</f>
        <v>A) Harimau, B) Ratu, C) Burung Phoenix, D) Elang</v>
      </c>
      <c r="M8" s="2" t="str">
        <f>IFERROR(__xludf.DUMMYFUNCTION("GOOGLETRANSLATE(D8, ""en"", ""id"")"),"B) Sang Ratu")</f>
        <v>B) Sang Ratu</v>
      </c>
      <c r="N8" s="2" t="str">
        <f>IFERROR(__xludf.DUMMYFUNCTION("GOOGLETRANSLATE(E8, ""en"", ""id"")"),"Susi Susanti mendapat julukan 'Sang Ratu' karena prestasinya yang luar biasa di tunggal putri.")</f>
        <v>Susi Susanti mendapat julukan 'Sang Ratu' karena prestasinya yang luar biasa di tunggal putri.</v>
      </c>
    </row>
    <row r="9">
      <c r="A9" s="1">
        <v>8.0</v>
      </c>
      <c r="B9" s="1" t="s">
        <v>33</v>
      </c>
      <c r="C9" s="1" t="s">
        <v>34</v>
      </c>
      <c r="D9" s="1" t="s">
        <v>35</v>
      </c>
      <c r="E9" s="1" t="s">
        <v>36</v>
      </c>
      <c r="J9" s="2" t="str">
        <f>IFERROR(__xludf.DUMMYFUNCTION("GOOGLETRANSLATE(A9, ""en"", ""id"")"),"8")</f>
        <v>8</v>
      </c>
      <c r="K9" s="2" t="str">
        <f>IFERROR(__xludf.DUMMYFUNCTION("GOOGLETRANSLATE(B9, ""en"", ""id"")"),"Pemain Indonesia manakah yang memenangkan medali emas Olimpiade bulu tangkis pada tahun 1992?")</f>
        <v>Pemain Indonesia manakah yang memenangkan medali emas Olimpiade bulu tangkis pada tahun 1992?</v>
      </c>
      <c r="L9" s="2" t="str">
        <f>IFERROR(__xludf.DUMMYFUNCTION("GOOGLETRANSLATE(C9, ""en"", ""id"")"),"A) Liem Swie King, B) Taufik Hidayat, C) Susi Susanti, D) Markis Kido")</f>
        <v>A) Liem Swie King, B) Taufik Hidayat, C) Susi Susanti, D) Markis Kido</v>
      </c>
      <c r="M9" s="2" t="str">
        <f>IFERROR(__xludf.DUMMYFUNCTION("GOOGLETRANSLATE(D9, ""en"", ""id"")"),"C) Susi Susanti")</f>
        <v>C) Susi Susanti</v>
      </c>
      <c r="N9" s="2" t="str">
        <f>IFERROR(__xludf.DUMMYFUNCTION("GOOGLETRANSLATE(E9, ""en"", ""id"")"),"Susi Susanti membuat sejarah dengan memenangkan medali emas Olimpiade pertama Indonesia dalam cabang bulu tangkis di Olimpiade Barcelona 1992.")</f>
        <v>Susi Susanti membuat sejarah dengan memenangkan medali emas Olimpiade pertama Indonesia dalam cabang bulu tangkis di Olimpiade Barcelona 1992.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40</v>
      </c>
      <c r="J10" s="2" t="str">
        <f>IFERROR(__xludf.DUMMYFUNCTION("GOOGLETRANSLATE(A10, ""en"", ""id"")"),"9")</f>
        <v>9</v>
      </c>
      <c r="K10" s="2" t="str">
        <f>IFERROR(__xludf.DUMMYFUNCTION("GOOGLETRANSLATE(B10, ""en"", ""id"")"),"Apa saja prestasi signifikan tim ganda putra Indonesia di Olimpiade Beijing 2008?")</f>
        <v>Apa saja prestasi signifikan tim ganda putra Indonesia di Olimpiade Beijing 2008?</v>
      </c>
      <c r="L10" s="2" t="str">
        <f>IFERROR(__xludf.DUMMYFUNCTION("GOOGLETRANSLATE(C10, ""en"", ""id"")"),"A) Medali Emas, B) Medali Perak, C) Medali Perunggu, D) Juara Keempat")</f>
        <v>A) Medali Emas, B) Medali Perak, C) Medali Perunggu, D) Juara Keempat</v>
      </c>
      <c r="M10" s="2" t="str">
        <f>IFERROR(__xludf.DUMMYFUNCTION("GOOGLETRANSLATE(D10, ""en"", ""id"")"),"A) Medali Emas")</f>
        <v>A) Medali Emas</v>
      </c>
      <c r="N10" s="2" t="str">
        <f>IFERROR(__xludf.DUMMYFUNCTION("GOOGLETRANSLATE(E10, ""en"", ""id"")"),"Tim ganda putra Indonesia yang terdiri dari Markis Kido dan Hendra Setiawan berhasil meraih medali emas di Olimpiade Beijing 2008.")</f>
        <v>Tim ganda putra Indonesia yang terdiri dari Markis Kido dan Hendra Setiawan berhasil meraih medali emas di Olimpiade Beijing 2008.</v>
      </c>
    </row>
    <row r="11">
      <c r="A11" s="1">
        <v>10.0</v>
      </c>
      <c r="B11" s="1" t="s">
        <v>41</v>
      </c>
      <c r="C11" s="1" t="s">
        <v>42</v>
      </c>
      <c r="D11" s="1" t="s">
        <v>43</v>
      </c>
      <c r="E11" s="1" t="s">
        <v>44</v>
      </c>
      <c r="J11" s="2" t="str">
        <f>IFERROR(__xludf.DUMMYFUNCTION("GOOGLETRANSLATE(A11, ""en"", ""id"")"),"10")</f>
        <v>10</v>
      </c>
      <c r="K11" s="2" t="str">
        <f>IFERROR(__xludf.DUMMYFUNCTION("GOOGLETRANSLATE(B11, ""en"", ""id"")"),"Kota Indonesia manakah yang menjadi tuan rumah Kejuaraan Dunia BWF 2015?")</f>
        <v>Kota Indonesia manakah yang menjadi tuan rumah Kejuaraan Dunia BWF 2015?</v>
      </c>
      <c r="L11" s="2" t="str">
        <f>IFERROR(__xludf.DUMMYFUNCTION("GOOGLETRANSLATE(C11, ""en"", ""id"")"),"A) Jakarta, B) Surabaya, C) Bali, D) Yogyakarta")</f>
        <v>A) Jakarta, B) Surabaya, C) Bali, D) Yogyakarta</v>
      </c>
      <c r="M11" s="2" t="str">
        <f>IFERROR(__xludf.DUMMYFUNCTION("GOOGLETRANSLATE(D11, ""en"", ""id"")"),"A) Jakarta")</f>
        <v>A) Jakarta</v>
      </c>
      <c r="N11" s="2" t="str">
        <f>IFERROR(__xludf.DUMMYFUNCTION("GOOGLETRANSLATE(E11, ""en"", ""id"")"),"Jakarta, ibu kota Indonesia, menjadi tuan rumah Kejuaraan Dunia BWF pada tahun 2015, yang menarik bakat bulu tangkis dunia terkemuka.")</f>
        <v>Jakarta, ibu kota Indonesia, menjadi tuan rumah Kejuaraan Dunia BWF pada tahun 2015, yang menarik bakat bulu tangkis dunia terkemuka.</v>
      </c>
    </row>
    <row r="12">
      <c r="A12" s="1">
        <v>11.0</v>
      </c>
      <c r="B12" s="1" t="s">
        <v>45</v>
      </c>
      <c r="C12" s="1" t="s">
        <v>46</v>
      </c>
      <c r="D12" s="1" t="s">
        <v>47</v>
      </c>
      <c r="E12" s="1" t="s">
        <v>48</v>
      </c>
      <c r="J12" s="2" t="str">
        <f>IFERROR(__xludf.DUMMYFUNCTION("GOOGLETRANSLATE(A12, ""en"", ""id"")"),"11")</f>
        <v>11</v>
      </c>
      <c r="K12" s="2" t="str">
        <f>IFERROR(__xludf.DUMMYFUNCTION("GOOGLETRANSLATE(B12, ""en"", ""id"")"),"Pada tahun berapa Federasi Bulu Tangkis Dunia (BWF) mengakui Indonesia sebagai salah satu negara teratas dalam olahraga ini?")</f>
        <v>Pada tahun berapa Federasi Bulu Tangkis Dunia (BWF) mengakui Indonesia sebagai salah satu negara teratas dalam olahraga ini?</v>
      </c>
      <c r="L12" s="2" t="str">
        <f>IFERROR(__xludf.DUMMYFUNCTION("GOOGLETRANSLATE(C12, ""en"", ""id"")"),"A) Tahun 1970, B) Tahun 1980, C) Tahun 1990, D) Tahun 2000")</f>
        <v>A) Tahun 1970, B) Tahun 1980, C) Tahun 1990, D) Tahun 2000</v>
      </c>
      <c r="M12" s="2" t="str">
        <f>IFERROR(__xludf.DUMMYFUNCTION("GOOGLETRANSLATE(D12, ""en"", ""id"")"),"B) Tahun 1980")</f>
        <v>B) Tahun 1980</v>
      </c>
      <c r="N12" s="2" t="str">
        <f>IFERROR(__xludf.DUMMYFUNCTION("GOOGLETRANSLATE(E12, ""en"", ""id"")"),"Pada tahun 1980-an, Indonesia diakui secara global sebagai kekuatan dominan dalam olahraga bulu tangkis.")</f>
        <v>Pada tahun 1980-an, Indonesia diakui secara global sebagai kekuatan dominan dalam olahraga bulu tangkis.</v>
      </c>
    </row>
    <row r="13">
      <c r="A13" s="1">
        <v>12.0</v>
      </c>
      <c r="B13" s="1" t="s">
        <v>49</v>
      </c>
      <c r="C13" s="1" t="s">
        <v>50</v>
      </c>
      <c r="D13" s="1" t="s">
        <v>51</v>
      </c>
      <c r="E13" s="1" t="s">
        <v>52</v>
      </c>
      <c r="J13" s="2" t="str">
        <f>IFERROR(__xludf.DUMMYFUNCTION("GOOGLETRANSLATE(A13, ""en"", ""id"")"),"12")</f>
        <v>12</v>
      </c>
      <c r="K13" s="2" t="str">
        <f>IFERROR(__xludf.DUMMYFUNCTION("GOOGLETRANSLATE(B13, ""en"", ""id"")"),"Pemain Indonesia manakah yang memenangkan Kejuaraan bergengsi All England di tunggal putra dan ganda putra?")</f>
        <v>Pemain Indonesia manakah yang memenangkan Kejuaraan bergengsi All England di tunggal putra dan ganda putra?</v>
      </c>
      <c r="L13" s="2" t="str">
        <f>IFERROR(__xludf.DUMMYFUNCTION("GOOGLETRANSLATE(C13, ""en"", ""id"")"),"A) Taufik Hidayat, B) Sigit Budiarto, C) Rudy Hartono, D) Liem Swie King")</f>
        <v>A) Taufik Hidayat, B) Sigit Budiarto, C) Rudy Hartono, D) Liem Swie King</v>
      </c>
      <c r="M13" s="2" t="str">
        <f>IFERROR(__xludf.DUMMYFUNCTION("GOOGLETRANSLATE(D13, ""en"", ""id"")"),"B) Sigit Budiarto")</f>
        <v>B) Sigit Budiarto</v>
      </c>
      <c r="N13" s="2" t="str">
        <f>IFERROR(__xludf.DUMMYFUNCTION("GOOGLETRANSLATE(E13, ""en"", ""id"")"),"Sigit Budiarto unik karena memenangkan Kejuaraan All England di nomor tunggal putra dan ganda putra.")</f>
        <v>Sigit Budiarto unik karena memenangkan Kejuaraan All England di nomor tunggal putra dan ganda putra.</v>
      </c>
    </row>
    <row r="14">
      <c r="A14" s="1">
        <v>13.0</v>
      </c>
      <c r="B14" s="1" t="s">
        <v>53</v>
      </c>
      <c r="C14" s="1" t="s">
        <v>54</v>
      </c>
      <c r="D14" s="1" t="s">
        <v>55</v>
      </c>
      <c r="E14" s="1" t="s">
        <v>56</v>
      </c>
      <c r="J14" s="2" t="str">
        <f>IFERROR(__xludf.DUMMYFUNCTION("GOOGLETRANSLATE(A14, ""en"", ""id"")"),"13")</f>
        <v>13</v>
      </c>
      <c r="K14" s="2" t="str">
        <f>IFERROR(__xludf.DUMMYFUNCTION("GOOGLETRANSLATE(B14, ""en"", ""id"")"),"Tahun berapa Indonesia menjadi tuan rumah Pesta Olahraga Asia Tenggara, di mana bulu tangkis menjadi salah satu cabang olahraga utamanya?")</f>
        <v>Tahun berapa Indonesia menjadi tuan rumah Pesta Olahraga Asia Tenggara, di mana bulu tangkis menjadi salah satu cabang olahraga utamanya?</v>
      </c>
      <c r="L14" s="2" t="str">
        <f>IFERROR(__xludf.DUMMYFUNCTION("GOOGLETRANSLATE(C14, ""en"", ""id"")"),"A) Tahun 2001, B) Tahun 2003, C) Tahun 2007, D) Tahun 2011")</f>
        <v>A) Tahun 2001, B) Tahun 2003, C) Tahun 2007, D) Tahun 2011</v>
      </c>
      <c r="M14" s="2" t="str">
        <f>IFERROR(__xludf.DUMMYFUNCTION("GOOGLETRANSLATE(D14, ""en"", ""id"")"),"C) Tahun 2007")</f>
        <v>C) Tahun 2007</v>
      </c>
      <c r="N14" s="2" t="str">
        <f>IFERROR(__xludf.DUMMYFUNCTION("GOOGLETRANSLATE(E14, ""en"", ""id"")"),"Indonesia menjadi tuan rumah Pesta Olahraga Asia Tenggara 2007, di mana bulu tangkis menjadi daya tarik utama dan Indonesia unggul.")</f>
        <v>Indonesia menjadi tuan rumah Pesta Olahraga Asia Tenggara 2007, di mana bulu tangkis menjadi daya tarik utama dan Indonesia unggul.</v>
      </c>
    </row>
    <row r="15">
      <c r="A15" s="1">
        <v>14.0</v>
      </c>
      <c r="B15" s="1" t="s">
        <v>57</v>
      </c>
      <c r="C15" s="1" t="s">
        <v>58</v>
      </c>
      <c r="D15" s="1" t="s">
        <v>59</v>
      </c>
      <c r="E15" s="1" t="s">
        <v>60</v>
      </c>
      <c r="J15" s="2" t="str">
        <f>IFERROR(__xludf.DUMMYFUNCTION("GOOGLETRANSLATE(A15, ""en"", ""id"")"),"14")</f>
        <v>14</v>
      </c>
      <c r="K15" s="2" t="str">
        <f>IFERROR(__xludf.DUMMYFUNCTION("GOOGLETRANSLATE(B15, ""en"", ""id"")"),"Pemain bulu tangkis Indonesia mana yang memenangkan Piala Dunia pada tahun 1995 di tunggal putra?")</f>
        <v>Pemain bulu tangkis Indonesia mana yang memenangkan Piala Dunia pada tahun 1995 di tunggal putra?</v>
      </c>
      <c r="L15" s="2" t="str">
        <f>IFERROR(__xludf.DUMMYFUNCTION("GOOGLETRANSLATE(C15, ""en"", ""id"")"),"A) Taufik Hidayat, B) Liem Swie King, C) Alan Budi Kusuma, D) Sigit Budiarto")</f>
        <v>A) Taufik Hidayat, B) Liem Swie King, C) Alan Budi Kusuma, D) Sigit Budiarto</v>
      </c>
      <c r="M15" s="2" t="str">
        <f>IFERROR(__xludf.DUMMYFUNCTION("GOOGLETRANSLATE(D15, ""en"", ""id"")"),"A) Taufik Hidayat")</f>
        <v>A) Taufik Hidayat</v>
      </c>
      <c r="N15" s="2" t="str">
        <f>IFERROR(__xludf.DUMMYFUNCTION("GOOGLETRANSLATE(E15, ""en"", ""id"")"),"Taufik Hidayat memenangkan Piala Dunia 1995 di tunggal putra, menambah warisan bulu tangkis Indonesia yang mengesankan.")</f>
        <v>Taufik Hidayat memenangkan Piala Dunia 1995 di tunggal putra, menambah warisan bulu tangkis Indonesia yang mengesankan.</v>
      </c>
    </row>
    <row r="16">
      <c r="A16" s="1">
        <v>15.0</v>
      </c>
      <c r="B16" s="1" t="s">
        <v>61</v>
      </c>
      <c r="C16" s="1" t="s">
        <v>62</v>
      </c>
      <c r="D16" s="1" t="s">
        <v>59</v>
      </c>
      <c r="E16" s="1" t="s">
        <v>63</v>
      </c>
      <c r="J16" s="2" t="str">
        <f>IFERROR(__xludf.DUMMYFUNCTION("GOOGLETRANSLATE(A16, ""en"", ""id"")"),"15")</f>
        <v>15</v>
      </c>
      <c r="K16" s="2" t="str">
        <f>IFERROR(__xludf.DUMMYFUNCTION("GOOGLETRANSLATE(B16, ""en"", ""id"")"),"Pemain bulu tangkis putra Indonesia manakah yang memenangkan medali emas Olimpiade bergengsi pada tahun 2004?")</f>
        <v>Pemain bulu tangkis putra Indonesia manakah yang memenangkan medali emas Olimpiade bergengsi pada tahun 2004?</v>
      </c>
      <c r="L16" s="2" t="str">
        <f>IFERROR(__xludf.DUMMYFUNCTION("GOOGLETRANSLATE(C16, ""en"", ""id"")"),"A) Taufik Hidayat, B) Liem Swie King, C) Rudy Hartono, D) Markis Kido")</f>
        <v>A) Taufik Hidayat, B) Liem Swie King, C) Rudy Hartono, D) Markis Kido</v>
      </c>
      <c r="M16" s="2" t="str">
        <f>IFERROR(__xludf.DUMMYFUNCTION("GOOGLETRANSLATE(D16, ""en"", ""id"")"),"A) Taufik Hidayat")</f>
        <v>A) Taufik Hidayat</v>
      </c>
      <c r="N16" s="2" t="str">
        <f>IFERROR(__xludf.DUMMYFUNCTION("GOOGLETRANSLATE(E16, ""en"", ""id"")"),"Kemenangan Taufik Hidayat di Olimpiade Athena 2004 menjadikannya peraih medali emas bulu tangkis Olimpiade kedua bagi Indonesia.")</f>
        <v>Kemenangan Taufik Hidayat di Olimpiade Athena 2004 menjadikannya peraih medali emas bulu tangkis Olimpiade kedua bagi Indonesia.</v>
      </c>
    </row>
    <row r="17">
      <c r="A17" s="1">
        <v>16.0</v>
      </c>
      <c r="B17" s="1" t="s">
        <v>64</v>
      </c>
      <c r="C17" s="1" t="s">
        <v>65</v>
      </c>
      <c r="D17" s="1" t="s">
        <v>66</v>
      </c>
      <c r="E17" s="1" t="s">
        <v>67</v>
      </c>
      <c r="J17" s="2" t="str">
        <f>IFERROR(__xludf.DUMMYFUNCTION("GOOGLETRANSLATE(A17, ""en"", ""id"")"),"16")</f>
        <v>16</v>
      </c>
      <c r="K17" s="2" t="str">
        <f>IFERROR(__xludf.DUMMYFUNCTION("GOOGLETRANSLATE(B17, ""en"", ""id"")"),"Pemain ikonik Indonesia mana yang memegang rekor medali Kejuaraan Dunia BWF terbanyak di tunggal putra?")</f>
        <v>Pemain ikonik Indonesia mana yang memegang rekor medali Kejuaraan Dunia BWF terbanyak di tunggal putra?</v>
      </c>
      <c r="L17" s="2" t="str">
        <f>IFERROR(__xludf.DUMMYFUNCTION("GOOGLETRANSLATE(C17, ""en"", ""id"")"),"A) Rudy Hartono, B) Taufik Hidayat, C) Liem Swie King, D) Hendra Setiawan")</f>
        <v>A) Rudy Hartono, B) Taufik Hidayat, C) Liem Swie King, D) Hendra Setiawan</v>
      </c>
      <c r="M17" s="2" t="str">
        <f>IFERROR(__xludf.DUMMYFUNCTION("GOOGLETRANSLATE(D17, ""en"", ""id"")"),"B) Taufik Hidayat")</f>
        <v>B) Taufik Hidayat</v>
      </c>
      <c r="N17" s="2" t="str">
        <f>IFERROR(__xludf.DUMMYFUNCTION("GOOGLETRANSLATE(E17, ""en"", ""id"")"),"Taufik Hidayat memegang rekor perolehan medali Kejuaraan Dunia BWF terbanyak di tunggal putra.")</f>
        <v>Taufik Hidayat memegang rekor perolehan medali Kejuaraan Dunia BWF terbanyak di tunggal putra.</v>
      </c>
    </row>
    <row r="18">
      <c r="A18" s="1">
        <v>17.0</v>
      </c>
      <c r="B18" s="1" t="s">
        <v>68</v>
      </c>
      <c r="C18" s="1" t="s">
        <v>69</v>
      </c>
      <c r="D18" s="1" t="s">
        <v>70</v>
      </c>
      <c r="E18" s="1" t="s">
        <v>71</v>
      </c>
      <c r="J18" s="2" t="str">
        <f>IFERROR(__xludf.DUMMYFUNCTION("GOOGLETRANSLATE(A18, ""en"", ""id"")"),"17")</f>
        <v>17</v>
      </c>
      <c r="K18" s="2" t="str">
        <f>IFERROR(__xludf.DUMMYFUNCTION("GOOGLETRANSLATE(B18, ""en"", ""id"")"),"Asosiasi bulu tangkis mana di Indonesia yang didirikan pada tahun 1951 untuk mempromosikan olahraga ini di negara ini?")</f>
        <v>Asosiasi bulu tangkis mana di Indonesia yang didirikan pada tahun 1951 untuk mempromosikan olahraga ini di negara ini?</v>
      </c>
      <c r="L18" s="2" t="str">
        <f>IFERROR(__xludf.DUMMYFUNCTION("GOOGLETRANSLATE(C18, ""en"", ""id"")"),"A) PBSI, B) KPSI, C) SIBA, D) IBF")</f>
        <v>A) PBSI, B) KPSI, C) SIBA, D) IBF</v>
      </c>
      <c r="M18" s="2" t="str">
        <f>IFERROR(__xludf.DUMMYFUNCTION("GOOGLETRANSLATE(D18, ""en"", ""id"")"),"A) PBSI")</f>
        <v>A) PBSI</v>
      </c>
      <c r="N18" s="2" t="str">
        <f>IFERROR(__xludf.DUMMYFUNCTION("GOOGLETRANSLATE(E18, ""en"", ""id"")"),"Persatuan Bulutangkis Seluruh Indonesia (PBSI) didirikan pada tahun 1951 untuk mengembangkan dan memajukan bulu tangkis di seluruh tanah air.")</f>
        <v>Persatuan Bulutangkis Seluruh Indonesia (PBSI) didirikan pada tahun 1951 untuk mengembangkan dan memajukan bulu tangkis di seluruh tanah air.</v>
      </c>
    </row>
    <row r="19">
      <c r="A19" s="1">
        <v>18.0</v>
      </c>
      <c r="B19" s="1" t="s">
        <v>72</v>
      </c>
      <c r="C19" s="1" t="s">
        <v>73</v>
      </c>
      <c r="D19" s="1" t="s">
        <v>74</v>
      </c>
      <c r="E19" s="1" t="s">
        <v>75</v>
      </c>
      <c r="J19" s="2" t="str">
        <f>IFERROR(__xludf.DUMMYFUNCTION("GOOGLETRANSLATE(A19, ""en"", ""id"")"),"18")</f>
        <v>18</v>
      </c>
      <c r="K19" s="2" t="str">
        <f>IFERROR(__xludf.DUMMYFUNCTION("GOOGLETRANSLATE(B19, ""en"", ""id"")"),"Pada tahun berapa Indonesia pertama kali memenangkan Piala Sudirman, kompetisi bulu tangkis beregu campuran internasional?")</f>
        <v>Pada tahun berapa Indonesia pertama kali memenangkan Piala Sudirman, kompetisi bulu tangkis beregu campuran internasional?</v>
      </c>
      <c r="L19" s="2" t="str">
        <f>IFERROR(__xludf.DUMMYFUNCTION("GOOGLETRANSLATE(C19, ""en"", ""id"")"),"A) Tahun 1985, B) Tahun 1993, C) Tahun 1997, D) Tahun 2000")</f>
        <v>A) Tahun 1985, B) Tahun 1993, C) Tahun 1997, D) Tahun 2000</v>
      </c>
      <c r="M19" s="2" t="str">
        <f>IFERROR(__xludf.DUMMYFUNCTION("GOOGLETRANSLATE(D19, ""en"", ""id"")"),"B) Tahun 1993")</f>
        <v>B) Tahun 1993</v>
      </c>
      <c r="N19" s="2" t="str">
        <f>IFERROR(__xludf.DUMMYFUNCTION("GOOGLETRANSLATE(E19, ""en"", ""id"")"),"Indonesia memenangkan Piala Sudirman pertamanya pada tahun 1993, yang mengukuhkan posisinya sebagai kekuatan bulu tangkis.")</f>
        <v>Indonesia memenangkan Piala Sudirman pertamanya pada tahun 1993, yang mengukuhkan posisinya sebagai kekuatan bulu tangkis.</v>
      </c>
    </row>
    <row r="20">
      <c r="A20" s="1">
        <v>19.0</v>
      </c>
      <c r="B20" s="1" t="s">
        <v>76</v>
      </c>
      <c r="C20" s="1" t="s">
        <v>77</v>
      </c>
      <c r="D20" s="1" t="s">
        <v>78</v>
      </c>
      <c r="E20" s="1" t="s">
        <v>79</v>
      </c>
      <c r="J20" s="2" t="str">
        <f>IFERROR(__xludf.DUMMYFUNCTION("GOOGLETRANSLATE(A20, ""en"", ""id"")"),"19")</f>
        <v>19</v>
      </c>
      <c r="K20" s="2" t="str">
        <f>IFERROR(__xludf.DUMMYFUNCTION("GOOGLETRANSLATE(B20, ""en"", ""id"")"),"Pemain bulu tangkis Indonesia manakah yang pertama kali memenangkan Indonesia Open yang bergengsi pada tahun 1982?")</f>
        <v>Pemain bulu tangkis Indonesia manakah yang pertama kali memenangkan Indonesia Open yang bergengsi pada tahun 1982?</v>
      </c>
      <c r="L20" s="2" t="str">
        <f>IFERROR(__xludf.DUMMYFUNCTION("GOOGLETRANSLATE(C20, ""en"", ""id"")"),"A) Taufik Hidayat, B) Rudy Hartono, C) Alan Budi Kusuma, D) Susi Susanti")</f>
        <v>A) Taufik Hidayat, B) Rudy Hartono, C) Alan Budi Kusuma, D) Susi Susanti</v>
      </c>
      <c r="M20" s="2" t="str">
        <f>IFERROR(__xludf.DUMMYFUNCTION("GOOGLETRANSLATE(D20, ""en"", ""id"")"),"B) Rudy Hartono")</f>
        <v>B) Rudy Hartono</v>
      </c>
      <c r="N20" s="2" t="str">
        <f>IFERROR(__xludf.DUMMYFUNCTION("GOOGLETRANSLATE(E20, ""en"", ""id"")"),"Rudy Hartono menjadi pemain Indonesia pertama yang memenangkan Indonesia Open pada tahun 1982.")</f>
        <v>Rudy Hartono menjadi pemain Indonesia pertama yang memenangkan Indonesia Open pada tahun 1982.</v>
      </c>
    </row>
    <row r="21">
      <c r="A21" s="1">
        <v>20.0</v>
      </c>
      <c r="B21" s="1" t="s">
        <v>80</v>
      </c>
      <c r="C21" s="1" t="s">
        <v>81</v>
      </c>
      <c r="D21" s="1" t="s">
        <v>82</v>
      </c>
      <c r="E21" s="1" t="s">
        <v>83</v>
      </c>
      <c r="J21" s="2" t="str">
        <f>IFERROR(__xludf.DUMMYFUNCTION("GOOGLETRANSLATE(A21, ""en"", ""id"")"),"20")</f>
        <v>20</v>
      </c>
      <c r="K21" s="2" t="str">
        <f>IFERROR(__xludf.DUMMYFUNCTION("GOOGLETRANSLATE(B21, ""en"", ""id"")"),"Apa julukan tim ganda putra legendaris Indonesia, Markis Kido/Hendra Setiawan?")</f>
        <v>Apa julukan tim ganda putra legendaris Indonesia, Markis Kido/Hendra Setiawan?</v>
      </c>
      <c r="L21" s="2" t="str">
        <f>IFERROR(__xludf.DUMMYFUNCTION("GOOGLETRANSLATE(C21, ""en"", ""id"")"),"A) Raja-raja, B) Si Kembar, C) Si Sayang, D) Serangan")</f>
        <v>A) Raja-raja, B) Si Kembar, C) Si Sayang, D) Serangan</v>
      </c>
      <c r="M21" s="2" t="str">
        <f>IFERROR(__xludf.DUMMYFUNCTION("GOOGLETRANSLATE(D21, ""en"", ""id"")"),"B) Si Kembar")</f>
        <v>B) Si Kembar</v>
      </c>
      <c r="N21" s="2" t="str">
        <f>IFERROR(__xludf.DUMMYFUNCTION("GOOGLETRANSLATE(E21, ""en"", ""id"")"),"Markis Kido dan Hendra Setiawan populer dengan sebutan 'Si Kembar' karena kemitraan sukses mereka di ganda putra.")</f>
        <v>Markis Kido dan Hendra Setiawan populer dengan sebutan 'Si Kembar' karena kemitraan sukses mereka di ganda putra.</v>
      </c>
    </row>
    <row r="22">
      <c r="A22" s="1">
        <v>21.0</v>
      </c>
      <c r="B22" s="1" t="s">
        <v>84</v>
      </c>
      <c r="C22" s="1" t="s">
        <v>85</v>
      </c>
      <c r="D22" s="1" t="s">
        <v>86</v>
      </c>
      <c r="E22" s="1" t="s">
        <v>87</v>
      </c>
      <c r="J22" s="2" t="str">
        <f>IFERROR(__xludf.DUMMYFUNCTION("GOOGLETRANSLATE(A22, ""en"", ""id"")"),"21")</f>
        <v>21</v>
      </c>
      <c r="K22" s="2" t="str">
        <f>IFERROR(__xludf.DUMMYFUNCTION("GOOGLETRANSLATE(B22, ""en"", ""id"")"),"Tahun berapa Indonesia menjadi tuan rumah Kejuaraan Bulu Tangkis Asia yang pertama?")</f>
        <v>Tahun berapa Indonesia menjadi tuan rumah Kejuaraan Bulu Tangkis Asia yang pertama?</v>
      </c>
      <c r="L22" s="2" t="str">
        <f>IFERROR(__xludf.DUMMYFUNCTION("GOOGLETRANSLATE(C22, ""en"", ""id"")"),"A) Tahun 1991, B) Tahun 1995, C) Tahun 2002, D) Tahun 2006")</f>
        <v>A) Tahun 1991, B) Tahun 1995, C) Tahun 2002, D) Tahun 2006</v>
      </c>
      <c r="M22" s="2" t="str">
        <f>IFERROR(__xludf.DUMMYFUNCTION("GOOGLETRANSLATE(D22, ""en"", ""id"")"),"A) Tahun 1991")</f>
        <v>A) Tahun 1991</v>
      </c>
      <c r="N22" s="2" t="str">
        <f>IFERROR(__xludf.DUMMYFUNCTION("GOOGLETRANSLATE(E22, ""en"", ""id"")"),"Indonesia menjadi tuan rumah Kejuaraan Bulu Tangkis Asia pertama pada tahun 1991, yang menampilkan kehebatan bulu tangkisnya.")</f>
        <v>Indonesia menjadi tuan rumah Kejuaraan Bulu Tangkis Asia pertama pada tahun 1991, yang menampilkan kehebatan bulu tangkisnya.</v>
      </c>
    </row>
    <row r="23">
      <c r="A23" s="1">
        <v>22.0</v>
      </c>
      <c r="B23" s="1" t="s">
        <v>88</v>
      </c>
      <c r="C23" s="1" t="s">
        <v>89</v>
      </c>
      <c r="D23" s="1" t="s">
        <v>90</v>
      </c>
      <c r="E23" s="1" t="s">
        <v>91</v>
      </c>
      <c r="J23" s="2" t="str">
        <f>IFERROR(__xludf.DUMMYFUNCTION("GOOGLETRANSLATE(A23, ""en"", ""id"")"),"22")</f>
        <v>22</v>
      </c>
      <c r="K23" s="2" t="str">
        <f>IFERROR(__xludf.DUMMYFUNCTION("GOOGLETRANSLATE(B23, ""en"", ""id"")"),"Siapa pemain bulu tangkis wanita Indonesia pertama yang memenangkan medali emas Olimpiade?")</f>
        <v>Siapa pemain bulu tangkis wanita Indonesia pertama yang memenangkan medali emas Olimpiade?</v>
      </c>
      <c r="L23" s="2" t="str">
        <f>IFERROR(__xludf.DUMMYFUNCTION("GOOGLETRANSLATE(C23, ""en"", ""id"")"),"A) Susi Susanti, B) Mia Audina, C) Liliyana Natsir, D) Greysia Polii")</f>
        <v>A) Susi Susanti, B) Mia Audina, C) Liliyana Natsir, D) Greysia Polii</v>
      </c>
      <c r="M23" s="2" t="str">
        <f>IFERROR(__xludf.DUMMYFUNCTION("GOOGLETRANSLATE(D23, ""en"", ""id"")"),"A) Susi Susanti")</f>
        <v>A) Susi Susanti</v>
      </c>
      <c r="N23" s="2" t="str">
        <f>IFERROR(__xludf.DUMMYFUNCTION("GOOGLETRANSLATE(E23, ""en"", ""id"")"),"Susi Susanti menjadi pemain wanita Indonesia pertama yang memenangkan medali emas Olimpiade dalam cabang bulu tangkis di Olimpiade Barcelona 1992.")</f>
        <v>Susi Susanti menjadi pemain wanita Indonesia pertama yang memenangkan medali emas Olimpiade dalam cabang bulu tangkis di Olimpiade Barcelona 1992.</v>
      </c>
    </row>
    <row r="24">
      <c r="A24" s="1">
        <v>23.0</v>
      </c>
      <c r="B24" s="1" t="s">
        <v>92</v>
      </c>
      <c r="C24" s="1" t="s">
        <v>93</v>
      </c>
      <c r="D24" s="1" t="s">
        <v>94</v>
      </c>
      <c r="E24" s="1" t="s">
        <v>95</v>
      </c>
      <c r="J24" s="2" t="str">
        <f>IFERROR(__xludf.DUMMYFUNCTION("GOOGLETRANSLATE(A24, ""en"", ""id"")"),"23")</f>
        <v>23</v>
      </c>
      <c r="K24" s="2" t="str">
        <f>IFERROR(__xludf.DUMMYFUNCTION("GOOGLETRANSLATE(B24, ""en"", ""id"")"),"Apa keberhasilan besar pertama Indonesia dalam bulu tangkis di Piala Thomas?")</f>
        <v>Apa keberhasilan besar pertama Indonesia dalam bulu tangkis di Piala Thomas?</v>
      </c>
      <c r="L24" s="2" t="str">
        <f>IFERROR(__xludf.DUMMYFUNCTION("GOOGLETRANSLATE(C24, ""en"", ""id"")"),"A) Finalis tahun 1950, B) Juara tahun 1961, C) Runner-up tahun 1956, D) Semi-finalis tahun 1964")</f>
        <v>A) Finalis tahun 1950, B) Juara tahun 1961, C) Runner-up tahun 1956, D) Semi-finalis tahun 1964</v>
      </c>
      <c r="M24" s="2" t="str">
        <f>IFERROR(__xludf.DUMMYFUNCTION("GOOGLETRANSLATE(D24, ""en"", ""id"")"),"B) Juara pada tahun 1961")</f>
        <v>B) Juara pada tahun 1961</v>
      </c>
      <c r="N24" s="2" t="str">
        <f>IFERROR(__xludf.DUMMYFUNCTION("GOOGLETRANSLATE(E24, ""en"", ""id"")"),"Kemenangan pertama Indonesia di Piala Thomas pada tahun 1961 menandai dimulainya dominasi mereka di bulu tangkis internasional.")</f>
        <v>Kemenangan pertama Indonesia di Piala Thomas pada tahun 1961 menandai dimulainya dominasi mereka di bulu tangkis internasional.</v>
      </c>
    </row>
    <row r="25">
      <c r="A25" s="1">
        <v>24.0</v>
      </c>
      <c r="B25" s="1" t="s">
        <v>96</v>
      </c>
      <c r="C25" s="1" t="s">
        <v>97</v>
      </c>
      <c r="D25" s="1" t="s">
        <v>98</v>
      </c>
      <c r="E25" s="1" t="s">
        <v>99</v>
      </c>
      <c r="J25" s="2" t="str">
        <f>IFERROR(__xludf.DUMMYFUNCTION("GOOGLETRANSLATE(A25, ""en"", ""id"")"),"24")</f>
        <v>24</v>
      </c>
      <c r="K25" s="2" t="str">
        <f>IFERROR(__xludf.DUMMYFUNCTION("GOOGLETRANSLATE(B25, ""en"", ""id"")"),"Tahun berapa Indonesia memenangkan Piala Uber pertamanya, kompetisi bulu tangkis wanita?")</f>
        <v>Tahun berapa Indonesia memenangkan Piala Uber pertamanya, kompetisi bulu tangkis wanita?</v>
      </c>
      <c r="L25" s="2" t="str">
        <f>IFERROR(__xludf.DUMMYFUNCTION("GOOGLETRANSLATE(C25, ""en"", ""id"")"),"A) Tahun 1985, B) Tahun 1990, C) Tahun 1992, D) Tahun 2000")</f>
        <v>A) Tahun 1985, B) Tahun 1990, C) Tahun 1992, D) Tahun 2000</v>
      </c>
      <c r="M25" s="2" t="str">
        <f>IFERROR(__xludf.DUMMYFUNCTION("GOOGLETRANSLATE(D25, ""en"", ""id"")"),"A) Tahun 1985")</f>
        <v>A) Tahun 1985</v>
      </c>
      <c r="N25" s="2" t="str">
        <f>IFERROR(__xludf.DUMMYFUNCTION("GOOGLETRANSLATE(E25, ""en"", ""id"")"),"Indonesia memenangi Piala Uber pertamanya pada tahun 1985, mengukuhkan posisinya sebagai negara bulu tangkis terkemuka.")</f>
        <v>Indonesia memenangi Piala Uber pertamanya pada tahun 1985, mengukuhkan posisinya sebagai negara bulu tangkis terkemuka.</v>
      </c>
    </row>
    <row r="26">
      <c r="A26" s="1">
        <v>25.0</v>
      </c>
      <c r="B26" s="1" t="s">
        <v>100</v>
      </c>
      <c r="C26" s="1" t="s">
        <v>101</v>
      </c>
      <c r="D26" s="1" t="s">
        <v>59</v>
      </c>
      <c r="E26" s="1" t="s">
        <v>102</v>
      </c>
      <c r="J26" s="2" t="str">
        <f>IFERROR(__xludf.DUMMYFUNCTION("GOOGLETRANSLATE(A26, ""en"", ""id"")"),"25")</f>
        <v>25</v>
      </c>
      <c r="K26" s="2" t="str">
        <f>IFERROR(__xludf.DUMMYFUNCTION("GOOGLETRANSLATE(B26, ""en"", ""id"")"),"Pemain bulu tangkis Indonesia manakah yang terkenal dengan pukulan backhand smashnya yang mematikan?")</f>
        <v>Pemain bulu tangkis Indonesia manakah yang terkenal dengan pukulan backhand smashnya yang mematikan?</v>
      </c>
      <c r="L26" s="2" t="str">
        <f>IFERROR(__xludf.DUMMYFUNCTION("GOOGLETRANSLATE(C26, ""en"", ""id"")"),"A) Taufik Hidayat, B) Sigit Budiarto, C) Hendra Setiawan, D) Liem Swie King")</f>
        <v>A) Taufik Hidayat, B) Sigit Budiarto, C) Hendra Setiawan, D) Liem Swie King</v>
      </c>
      <c r="M26" s="2" t="str">
        <f>IFERROR(__xludf.DUMMYFUNCTION("GOOGLETRANSLATE(D26, ""en"", ""id"")"),"A) Taufik Hidayat")</f>
        <v>A) Taufik Hidayat</v>
      </c>
      <c r="N26" s="2" t="str">
        <f>IFERROR(__xludf.DUMMYFUNCTION("GOOGLETRANSLATE(E26, ""en"", ""id"")"),"Taufik Hidayat terkenal karena pukulan backhand smashnya yang mematikan, salah satu yang terkuat dalam sejarah bulu tangkis.")</f>
        <v>Taufik Hidayat terkenal karena pukulan backhand smashnya yang mematikan, salah satu yang terkuat dalam sejarah bulu tangkis.</v>
      </c>
    </row>
    <row r="27">
      <c r="A27" s="1">
        <v>26.0</v>
      </c>
      <c r="B27" s="1" t="s">
        <v>103</v>
      </c>
      <c r="C27" s="1" t="s">
        <v>104</v>
      </c>
      <c r="D27" s="1" t="s">
        <v>15</v>
      </c>
      <c r="E27" s="1" t="s">
        <v>105</v>
      </c>
      <c r="J27" s="2" t="str">
        <f>IFERROR(__xludf.DUMMYFUNCTION("GOOGLETRANSLATE(A27, ""en"", ""id"")"),"26")</f>
        <v>26</v>
      </c>
      <c r="K27" s="2" t="str">
        <f>IFERROR(__xludf.DUMMYFUNCTION("GOOGLETRANSLATE(B27, ""en"", ""id"")"),"Legenda bulu tangkis Indonesia mana yang sering disebut sebagai 'Sang Kaisar'?")</f>
        <v>Legenda bulu tangkis Indonesia mana yang sering disebut sebagai 'Sang Kaisar'?</v>
      </c>
      <c r="L27" s="2" t="str">
        <f>IFERROR(__xludf.DUMMYFUNCTION("GOOGLETRANSLATE(C27, ""en"", ""id"")"),"A) Taufik Hidayat, B) Liem Swie King, C) Rudy Hartono, D) Alan Budi Kusuma")</f>
        <v>A) Taufik Hidayat, B) Liem Swie King, C) Rudy Hartono, D) Alan Budi Kusuma</v>
      </c>
      <c r="M27" s="2" t="str">
        <f>IFERROR(__xludf.DUMMYFUNCTION("GOOGLETRANSLATE(D27, ""en"", ""id"")"),"C) Rudy Hartono")</f>
        <v>C) Rudy Hartono</v>
      </c>
      <c r="N27" s="2" t="str">
        <f>IFERROR(__xludf.DUMMYFUNCTION("GOOGLETRANSLATE(E27, ""en"", ""id"")"),"Rudy Hartono mendapat julukan 'Sang Kaisar' karena dominasi dan kesuksesannya yang tak tertandingi pada tahun 1970-an.")</f>
        <v>Rudy Hartono mendapat julukan 'Sang Kaisar' karena dominasi dan kesuksesannya yang tak tertandingi pada tahun 1970-an.</v>
      </c>
    </row>
    <row r="28">
      <c r="A28" s="1">
        <v>27.0</v>
      </c>
      <c r="B28" s="1" t="s">
        <v>106</v>
      </c>
      <c r="C28" s="1" t="s">
        <v>107</v>
      </c>
      <c r="D28" s="1" t="s">
        <v>108</v>
      </c>
      <c r="E28" s="1" t="s">
        <v>109</v>
      </c>
      <c r="J28" s="2" t="str">
        <f>IFERROR(__xludf.DUMMYFUNCTION("GOOGLETRANSLATE(A28, ""en"", ""id"")"),"27")</f>
        <v>27</v>
      </c>
      <c r="K28" s="2" t="str">
        <f>IFERROR(__xludf.DUMMYFUNCTION("GOOGLETRANSLATE(B28, ""en"", ""id"")"),"Tahun berapa Persatuan Bulu Tangkis Indonesia (PBSI) menjadi anggota Federasi Bulu Tangkis Dunia (BWF)?")</f>
        <v>Tahun berapa Persatuan Bulu Tangkis Indonesia (PBSI) menjadi anggota Federasi Bulu Tangkis Dunia (BWF)?</v>
      </c>
      <c r="L28" s="2" t="str">
        <f>IFERROR(__xludf.DUMMYFUNCTION("GOOGLETRANSLATE(C28, ""en"", ""id"")"),"A) Tahun 1950, B) Tahun 1960, C) Tahun 1970, D) Tahun 1980")</f>
        <v>A) Tahun 1950, B) Tahun 1960, C) Tahun 1970, D) Tahun 1980</v>
      </c>
      <c r="M28" s="2" t="str">
        <f>IFERROR(__xludf.DUMMYFUNCTION("GOOGLETRANSLATE(D28, ""en"", ""id"")"),"A) Tahun 1950")</f>
        <v>A) Tahun 1950</v>
      </c>
      <c r="N28" s="2" t="str">
        <f>IFERROR(__xludf.DUMMYFUNCTION("GOOGLETRANSLATE(E28, ""en"", ""id"")"),"PBSI Indonesia menjadi anggota BWF pada tahun 1950, menyelaraskan dirinya dengan tata kelola bulu tangkis global.")</f>
        <v>PBSI Indonesia menjadi anggota BWF pada tahun 1950, menyelaraskan dirinya dengan tata kelola bulu tangkis global.</v>
      </c>
    </row>
    <row r="29">
      <c r="A29" s="1">
        <v>28.0</v>
      </c>
      <c r="B29" s="1" t="s">
        <v>110</v>
      </c>
      <c r="C29" s="1" t="s">
        <v>111</v>
      </c>
      <c r="D29" s="1" t="s">
        <v>112</v>
      </c>
      <c r="E29" s="1" t="s">
        <v>113</v>
      </c>
      <c r="J29" s="2" t="str">
        <f>IFERROR(__xludf.DUMMYFUNCTION("GOOGLETRANSLATE(A29, ""en"", ""id"")"),"28")</f>
        <v>28</v>
      </c>
      <c r="K29" s="2" t="str">
        <f>IFERROR(__xludf.DUMMYFUNCTION("GOOGLETRANSLATE(B29, ""en"", ""id"")"),"Pemain bulu tangkis Indonesia manakah yang dikenal karena memenangkan Kejuaraan Dunia 2013 di ganda putra?")</f>
        <v>Pemain bulu tangkis Indonesia manakah yang dikenal karena memenangkan Kejuaraan Dunia 2013 di ganda putra?</v>
      </c>
      <c r="L29" s="2" t="str">
        <f>IFERROR(__xludf.DUMMYFUNCTION("GOOGLETRANSLATE(C29, ""en"", ""id"")"),"A) Hendra Setiawan, B) Markis Kido, C) Mohammad Ahsan, D) Angga Pratama")</f>
        <v>A) Hendra Setiawan, B) Markis Kido, C) Mohammad Ahsan, D) Angga Pratama</v>
      </c>
      <c r="M29" s="2" t="str">
        <f>IFERROR(__xludf.DUMMYFUNCTION("GOOGLETRANSLATE(D29, ""en"", ""id"")"),"C) Mohammad Ahsan")</f>
        <v>C) Mohammad Ahsan</v>
      </c>
      <c r="N29" s="2" t="str">
        <f>IFERROR(__xludf.DUMMYFUNCTION("GOOGLETRANSLATE(E29, ""en"", ""id"")"),"Mohammad Ahsan memenangkan Kejuaraan Dunia BWF 2013 di ganda putra bersama pasangannya Hendra Setiawan.")</f>
        <v>Mohammad Ahsan memenangkan Kejuaraan Dunia BWF 2013 di ganda putra bersama pasangannya Hendra Setiawan.</v>
      </c>
    </row>
    <row r="30">
      <c r="A30" s="1">
        <v>29.0</v>
      </c>
      <c r="B30" s="1" t="s">
        <v>114</v>
      </c>
      <c r="C30" s="1" t="s">
        <v>115</v>
      </c>
      <c r="D30" s="1" t="s">
        <v>116</v>
      </c>
      <c r="E30" s="1" t="s">
        <v>117</v>
      </c>
      <c r="J30" s="2" t="str">
        <f>IFERROR(__xludf.DUMMYFUNCTION("GOOGLETRANSLATE(A30, ""en"", ""id"")"),"29")</f>
        <v>29</v>
      </c>
      <c r="K30" s="2" t="str">
        <f>IFERROR(__xludf.DUMMYFUNCTION("GOOGLETRANSLATE(B30, ""en"", ""id"")"),"Tahun berapa tim bulu tangkis Indonesia memenangkan Piala Sudirman untuk pertama kalinya?")</f>
        <v>Tahun berapa tim bulu tangkis Indonesia memenangkan Piala Sudirman untuk pertama kalinya?</v>
      </c>
      <c r="L30" s="2" t="str">
        <f>IFERROR(__xludf.DUMMYFUNCTION("GOOGLETRANSLATE(C30, ""en"", ""id"")"),"A) Tahun 1993, B) Tahun 1997, C) Tahun 2000, D) Tahun 2003")</f>
        <v>A) Tahun 1993, B) Tahun 1997, C) Tahun 2000, D) Tahun 2003</v>
      </c>
      <c r="M30" s="2" t="str">
        <f>IFERROR(__xludf.DUMMYFUNCTION("GOOGLETRANSLATE(D30, ""en"", ""id"")"),"A) Tahun 1993")</f>
        <v>A) Tahun 1993</v>
      </c>
      <c r="N30" s="2" t="str">
        <f>IFERROR(__xludf.DUMMYFUNCTION("GOOGLETRANSLATE(E30, ""en"", ""id"")"),"Indonesia meraih kemenangan pertamanya di Piala Sudirman pada tahun 1993, menunjukkan kekuatannya dalam kompetisi tim campuran.")</f>
        <v>Indonesia meraih kemenangan pertamanya di Piala Sudirman pada tahun 1993, menunjukkan kekuatannya dalam kompetisi tim campuran.</v>
      </c>
    </row>
    <row r="31">
      <c r="A31" s="1">
        <v>30.0</v>
      </c>
      <c r="B31" s="1" t="s">
        <v>118</v>
      </c>
      <c r="C31" s="1" t="s">
        <v>119</v>
      </c>
      <c r="D31" s="1" t="s">
        <v>120</v>
      </c>
      <c r="E31" s="1" t="s">
        <v>121</v>
      </c>
      <c r="J31" s="2" t="str">
        <f>IFERROR(__xludf.DUMMYFUNCTION("GOOGLETRANSLATE(A31, ""en"", ""id"")"),"30")</f>
        <v>30</v>
      </c>
      <c r="K31" s="2" t="str">
        <f>IFERROR(__xludf.DUMMYFUNCTION("GOOGLETRANSLATE(B31, ""en"", ""id"")"),"Tahun berapa Indonesia memenangkan gelar Piala Thomas terakhirnya?")</f>
        <v>Tahun berapa Indonesia memenangkan gelar Piala Thomas terakhirnya?</v>
      </c>
      <c r="L31" s="2" t="str">
        <f>IFERROR(__xludf.DUMMYFUNCTION("GOOGLETRANSLATE(C31, ""en"", ""id"")"),"A) Tahun 1996, B) Tahun 2002, C) Tahun 2004, D) Tahun 2016")</f>
        <v>A) Tahun 1996, B) Tahun 2002, C) Tahun 2004, D) Tahun 2016</v>
      </c>
      <c r="M31" s="2" t="str">
        <f>IFERROR(__xludf.DUMMYFUNCTION("GOOGLETRANSLATE(D31, ""en"", ""id"")"),"D) Tahun 2016")</f>
        <v>D) Tahun 2016</v>
      </c>
      <c r="N31" s="2" t="str">
        <f>IFERROR(__xludf.DUMMYFUNCTION("GOOGLETRANSLATE(E31, ""en"", ""id"")"),"Indonesia memenangkan Piala Thomas terakhirnya pada tahun 2016, menambah sejarah keberhasilannya yang kaya dalam turnamen tersebut.")</f>
        <v>Indonesia memenangkan Piala Thomas terakhirnya pada tahun 2016, menambah sejarah keberhasilannya yang kaya dalam turnamen tersebut.</v>
      </c>
    </row>
    <row r="32">
      <c r="A32" s="1">
        <v>31.0</v>
      </c>
      <c r="B32" s="1" t="s">
        <v>122</v>
      </c>
      <c r="C32" s="1" t="s">
        <v>123</v>
      </c>
      <c r="D32" s="1" t="s">
        <v>124</v>
      </c>
      <c r="E32" s="1" t="s">
        <v>125</v>
      </c>
      <c r="J32" s="2" t="str">
        <f>IFERROR(__xludf.DUMMYFUNCTION("GOOGLETRANSLATE(A32, ""en"", ""id"")"),"31")</f>
        <v>31</v>
      </c>
      <c r="K32" s="2" t="str">
        <f>IFERROR(__xludf.DUMMYFUNCTION("GOOGLETRANSLATE(B32, ""en"", ""id"")"),"Tahun berapa Indonesia pertama kali berpartisipasi dalam kompetisi Thomas Cup?")</f>
        <v>Tahun berapa Indonesia pertama kali berpartisipasi dalam kompetisi Thomas Cup?</v>
      </c>
      <c r="L32" s="2" t="str">
        <f>IFERROR(__xludf.DUMMYFUNCTION("GOOGLETRANSLATE(C32, ""en"", ""id"")"),"A) Tahun 1949, B) Tahun 1951, C) Tahun 1953, D) Tahun 1955")</f>
        <v>A) Tahun 1949, B) Tahun 1951, C) Tahun 1953, D) Tahun 1955</v>
      </c>
      <c r="M32" s="2" t="str">
        <f>IFERROR(__xludf.DUMMYFUNCTION("GOOGLETRANSLATE(D32, ""en"", ""id"")"),"B) Tahun 1951")</f>
        <v>B) Tahun 1951</v>
      </c>
      <c r="N32" s="2" t="str">
        <f>IFERROR(__xludf.DUMMYFUNCTION("GOOGLETRANSLATE(E32, ""en"", ""id"")"),"Partisipasi pertama Indonesia di Piala Thomas adalah pada tahun 1951, mengawali warisannya di dunia bulu tangkis.")</f>
        <v>Partisipasi pertama Indonesia di Piala Thomas adalah pada tahun 1951, mengawali warisannya di dunia bulu tangkis.</v>
      </c>
    </row>
    <row r="33">
      <c r="A33" s="1">
        <v>32.0</v>
      </c>
      <c r="B33" s="1" t="s">
        <v>126</v>
      </c>
      <c r="C33" s="1" t="s">
        <v>127</v>
      </c>
      <c r="D33" s="1" t="s">
        <v>128</v>
      </c>
      <c r="E33" s="1" t="s">
        <v>129</v>
      </c>
      <c r="J33" s="2" t="str">
        <f>IFERROR(__xludf.DUMMYFUNCTION("GOOGLETRANSLATE(A33, ""en"", ""id"")"),"32")</f>
        <v>32</v>
      </c>
      <c r="K33" s="2" t="str">
        <f>IFERROR(__xludf.DUMMYFUNCTION("GOOGLETRANSLATE(B33, ""en"", ""id"")"),"Siapa pemain bulu tangkis Indonesia pertama yang memenangkan medali emas di All England Open?")</f>
        <v>Siapa pemain bulu tangkis Indonesia pertama yang memenangkan medali emas di All England Open?</v>
      </c>
      <c r="L33" s="2" t="str">
        <f>IFERROR(__xludf.DUMMYFUNCTION("GOOGLETRANSLATE(C33, ""en"", ""id"")"),"A) Rudy Hartono, B) Liem Swie King, C) Alan Budi Kusuma, D) Taufik Hidayat")</f>
        <v>A) Rudy Hartono, B) Liem Swie King, C) Alan Budi Kusuma, D) Taufik Hidayat</v>
      </c>
      <c r="M33" s="2" t="str">
        <f>IFERROR(__xludf.DUMMYFUNCTION("GOOGLETRANSLATE(D33, ""en"", ""id"")"),"A) Rudy Hartono")</f>
        <v>A) Rudy Hartono</v>
      </c>
      <c r="N33" s="2" t="str">
        <f>IFERROR(__xludf.DUMMYFUNCTION("GOOGLETRANSLATE(E33, ""en"", ""id"")"),"Rudy Hartono menjadi orang Indonesia pertama yang memenangkan turnamen bergengsi All England Open pada tahun 1968.")</f>
        <v>Rudy Hartono menjadi orang Indonesia pertama yang memenangkan turnamen bergengsi All England Open pada tahun 1968.</v>
      </c>
    </row>
    <row r="34">
      <c r="A34" s="1">
        <v>33.0</v>
      </c>
      <c r="B34" s="1" t="s">
        <v>130</v>
      </c>
      <c r="C34" s="1" t="s">
        <v>131</v>
      </c>
      <c r="D34" s="1" t="s">
        <v>35</v>
      </c>
      <c r="E34" s="1" t="s">
        <v>132</v>
      </c>
      <c r="J34" s="2" t="str">
        <f>IFERROR(__xludf.DUMMYFUNCTION("GOOGLETRANSLATE(A34, ""en"", ""id"")"),"33")</f>
        <v>33</v>
      </c>
      <c r="K34" s="2" t="str">
        <f>IFERROR(__xludf.DUMMYFUNCTION("GOOGLETRANSLATE(B34, ""en"", ""id"")"),"Pemain Indonesia mana yang memenangkan medali emas Olimpiade pada tahun 1992?")</f>
        <v>Pemain Indonesia mana yang memenangkan medali emas Olimpiade pada tahun 1992?</v>
      </c>
      <c r="L34" s="2" t="str">
        <f>IFERROR(__xludf.DUMMYFUNCTION("GOOGLETRANSLATE(C34, ""en"", ""id"")"),"A) Alan Budi Kusuma, B) Taufik Hidayat, C) Susi Susanti, D) Mia Audina")</f>
        <v>A) Alan Budi Kusuma, B) Taufik Hidayat, C) Susi Susanti, D) Mia Audina</v>
      </c>
      <c r="M34" s="2" t="str">
        <f>IFERROR(__xludf.DUMMYFUNCTION("GOOGLETRANSLATE(D34, ""en"", ""id"")"),"C) Susi Susanti")</f>
        <v>C) Susi Susanti</v>
      </c>
      <c r="N34" s="2" t="str">
        <f>IFERROR(__xludf.DUMMYFUNCTION("GOOGLETRANSLATE(E34, ""en"", ""id"")"),"Susi Susanti memenangkan emas bulutangkis Olimpiade pertama Indonesia di Olimpiade Barcelona 1992.")</f>
        <v>Susi Susanti memenangkan emas bulutangkis Olimpiade pertama Indonesia di Olimpiade Barcelona 1992.</v>
      </c>
    </row>
    <row r="35">
      <c r="A35" s="1">
        <v>34.0</v>
      </c>
      <c r="B35" s="1" t="s">
        <v>133</v>
      </c>
      <c r="C35" s="1" t="s">
        <v>134</v>
      </c>
      <c r="D35" s="1" t="s">
        <v>19</v>
      </c>
      <c r="E35" s="1" t="s">
        <v>135</v>
      </c>
      <c r="J35" s="2" t="str">
        <f>IFERROR(__xludf.DUMMYFUNCTION("GOOGLETRANSLATE(A35, ""en"", ""id"")"),"34")</f>
        <v>34</v>
      </c>
      <c r="K35" s="2" t="str">
        <f>IFERROR(__xludf.DUMMYFUNCTION("GOOGLETRANSLATE(B35, ""en"", ""id"")"),"Tahun berapa tim putri Indonesia memenangkan Piala Uber pertamanya?")</f>
        <v>Tahun berapa tim putri Indonesia memenangkan Piala Uber pertamanya?</v>
      </c>
      <c r="L35" s="2" t="str">
        <f>IFERROR(__xludf.DUMMYFUNCTION("GOOGLETRANSLATE(C35, ""en"", ""id"")"),"A) Tahun 1975, B) Tahun 1985, C) Tahun 1995, D) Tahun 2000")</f>
        <v>A) Tahun 1975, B) Tahun 1985, C) Tahun 1995, D) Tahun 2000</v>
      </c>
      <c r="M35" s="2" t="str">
        <f>IFERROR(__xludf.DUMMYFUNCTION("GOOGLETRANSLATE(D35, ""en"", ""id"")"),"B) Tahun 1985")</f>
        <v>B) Tahun 1985</v>
      </c>
      <c r="N35" s="2" t="str">
        <f>IFERROR(__xludf.DUMMYFUNCTION("GOOGLETRANSLATE(E35, ""en"", ""id"")"),"Indonesia memenangkan Piala Uber pertamanya pada tahun 1985, menandai tonggak penting dalam sejarah bulu tangkis wanita.")</f>
        <v>Indonesia memenangkan Piala Uber pertamanya pada tahun 1985, menandai tonggak penting dalam sejarah bulu tangkis wanita.</v>
      </c>
    </row>
    <row r="36">
      <c r="A36" s="1">
        <v>35.0</v>
      </c>
      <c r="B36" s="1" t="s">
        <v>136</v>
      </c>
      <c r="C36" s="1" t="s">
        <v>65</v>
      </c>
      <c r="D36" s="1" t="s">
        <v>128</v>
      </c>
      <c r="E36" s="1" t="s">
        <v>137</v>
      </c>
      <c r="J36" s="2" t="str">
        <f>IFERROR(__xludf.DUMMYFUNCTION("GOOGLETRANSLATE(A36, ""en"", ""id"")"),"35")</f>
        <v>35</v>
      </c>
      <c r="K36" s="2" t="str">
        <f>IFERROR(__xludf.DUMMYFUNCTION("GOOGLETRANSLATE(B36, ""en"", ""id"")"),"Pemain bulu tangkis Indonesia mana yang dikenal sebagai 'Sang Kaisar'?")</f>
        <v>Pemain bulu tangkis Indonesia mana yang dikenal sebagai 'Sang Kaisar'?</v>
      </c>
      <c r="L36" s="2" t="str">
        <f>IFERROR(__xludf.DUMMYFUNCTION("GOOGLETRANSLATE(C36, ""en"", ""id"")"),"A) Rudy Hartono, B) Taufik Hidayat, C) Liem Swie King, D) Hendra Setiawan")</f>
        <v>A) Rudy Hartono, B) Taufik Hidayat, C) Liem Swie King, D) Hendra Setiawan</v>
      </c>
      <c r="M36" s="2" t="str">
        <f>IFERROR(__xludf.DUMMYFUNCTION("GOOGLETRANSLATE(D36, ""en"", ""id"")"),"A) Rudy Hartono")</f>
        <v>A) Rudy Hartono</v>
      </c>
      <c r="N36" s="2" t="str">
        <f>IFERROR(__xludf.DUMMYFUNCTION("GOOGLETRANSLATE(E36, ""en"", ""id"")"),"Rudy Hartono, yang dijuluki 'Sang Kaisar,' mendominasi olahraga ini dengan kemenangan Piala Thomas-nya.")</f>
        <v>Rudy Hartono, yang dijuluki 'Sang Kaisar,' mendominasi olahraga ini dengan kemenangan Piala Thomas-nya.</v>
      </c>
    </row>
    <row r="37">
      <c r="A37" s="1">
        <v>36.0</v>
      </c>
      <c r="B37" s="1" t="s">
        <v>138</v>
      </c>
      <c r="C37" s="1" t="s">
        <v>139</v>
      </c>
      <c r="D37" s="1" t="s">
        <v>11</v>
      </c>
      <c r="E37" s="1" t="s">
        <v>140</v>
      </c>
      <c r="J37" s="2" t="str">
        <f>IFERROR(__xludf.DUMMYFUNCTION("GOOGLETRANSLATE(A37, ""en"", ""id"")"),"36")</f>
        <v>36</v>
      </c>
      <c r="K37" s="2" t="str">
        <f>IFERROR(__xludf.DUMMYFUNCTION("GOOGLETRANSLATE(B37, ""en"", ""id"")"),"Kapan Indonesia memenangkan Piala Thomas pertamanya sebagai tim nasional?")</f>
        <v>Kapan Indonesia memenangkan Piala Thomas pertamanya sebagai tim nasional?</v>
      </c>
      <c r="L37" s="2" t="str">
        <f>IFERROR(__xludf.DUMMYFUNCTION("GOOGLETRANSLATE(C37, ""en"", ""id"")"),"A) Tahun 1958, B) Tahun 1960, C) Tahun 1961, D) Tahun 1963")</f>
        <v>A) Tahun 1958, B) Tahun 1960, C) Tahun 1961, D) Tahun 1963</v>
      </c>
      <c r="M37" s="2" t="str">
        <f>IFERROR(__xludf.DUMMYFUNCTION("GOOGLETRANSLATE(D37, ""en"", ""id"")"),"C) Tahun 1961")</f>
        <v>C) Tahun 1961</v>
      </c>
      <c r="N37" s="2" t="str">
        <f>IFERROR(__xludf.DUMMYFUNCTION("GOOGLETRANSLATE(E37, ""en"", ""id"")"),"Indonesia memenangkan Piala Thomas pertamanya pada tahun 1961, menandai dimulainya era dominasinya dalam ajang beregu putra.")</f>
        <v>Indonesia memenangkan Piala Thomas pertamanya pada tahun 1961, menandai dimulainya era dominasinya dalam ajang beregu putra.</v>
      </c>
    </row>
    <row r="38">
      <c r="A38" s="1">
        <v>37.0</v>
      </c>
      <c r="B38" s="1" t="s">
        <v>114</v>
      </c>
      <c r="C38" s="1" t="s">
        <v>141</v>
      </c>
      <c r="D38" s="1" t="s">
        <v>142</v>
      </c>
      <c r="E38" s="1" t="s">
        <v>143</v>
      </c>
      <c r="J38" s="2" t="str">
        <f>IFERROR(__xludf.DUMMYFUNCTION("GOOGLETRANSLATE(A38, ""en"", ""id"")"),"37")</f>
        <v>37</v>
      </c>
      <c r="K38" s="2" t="str">
        <f>IFERROR(__xludf.DUMMYFUNCTION("GOOGLETRANSLATE(B38, ""en"", ""id"")"),"Tahun berapa tim bulu tangkis Indonesia memenangkan Piala Sudirman untuk pertama kalinya?")</f>
        <v>Tahun berapa tim bulu tangkis Indonesia memenangkan Piala Sudirman untuk pertama kalinya?</v>
      </c>
      <c r="L38" s="2" t="str">
        <f>IFERROR(__xludf.DUMMYFUNCTION("GOOGLETRANSLATE(C38, ""en"", ""id"")"),"A) Tahun 1989, B) Tahun 1991, C) Tahun 1993, D) Tahun 1995")</f>
        <v>A) Tahun 1989, B) Tahun 1991, C) Tahun 1993, D) Tahun 1995</v>
      </c>
      <c r="M38" s="2" t="str">
        <f>IFERROR(__xludf.DUMMYFUNCTION("GOOGLETRANSLATE(D38, ""en"", ""id"")"),"C) Tahun 1993")</f>
        <v>C) Tahun 1993</v>
      </c>
      <c r="N38" s="2" t="str">
        <f>IFERROR(__xludf.DUMMYFUNCTION("GOOGLETRANSLATE(E38, ""en"", ""id"")"),"Indonesia berhasil meraih Piala Sudirman pertamanya pada tahun 1993, menandai kebangkitannya dalam kompetisi tim campuran.")</f>
        <v>Indonesia berhasil meraih Piala Sudirman pertamanya pada tahun 1993, menandai kebangkitannya dalam kompetisi tim campuran.</v>
      </c>
    </row>
    <row r="39">
      <c r="A39" s="1">
        <v>38.0</v>
      </c>
      <c r="B39" s="1" t="s">
        <v>144</v>
      </c>
      <c r="C39" s="1" t="s">
        <v>145</v>
      </c>
      <c r="D39" s="1" t="s">
        <v>146</v>
      </c>
      <c r="E39" s="1" t="s">
        <v>147</v>
      </c>
      <c r="J39" s="2" t="str">
        <f>IFERROR(__xludf.DUMMYFUNCTION("GOOGLETRANSLATE(A39, ""en"", ""id"")"),"38")</f>
        <v>38</v>
      </c>
      <c r="K39" s="2" t="str">
        <f>IFERROR(__xludf.DUMMYFUNCTION("GOOGLETRANSLATE(B39, ""en"", ""id"")"),"Siapa yang memenangi tunggal putra di Olimpiade Atlanta 1996?")</f>
        <v>Siapa yang memenangi tunggal putra di Olimpiade Atlanta 1996?</v>
      </c>
      <c r="L39" s="2" t="str">
        <f>IFERROR(__xludf.DUMMYFUNCTION("GOOGLETRANSLATE(C39, ""en"", ""id"")"),"A) Alan Budi Kusuma, B) Taufik Hidayat, C) Poul-Erik Hoyer-Larsen, D) Sun Jun")</f>
        <v>A) Alan Budi Kusuma, B) Taufik Hidayat, C) Poul-Erik Hoyer-Larsen, D) Sun Jun</v>
      </c>
      <c r="M39" s="2" t="str">
        <f>IFERROR(__xludf.DUMMYFUNCTION("GOOGLETRANSLATE(D39, ""en"", ""id"")"),"A) Alan Budi Kusuma")</f>
        <v>A) Alan Budi Kusuma</v>
      </c>
      <c r="N39" s="2" t="str">
        <f>IFERROR(__xludf.DUMMYFUNCTION("GOOGLETRANSLATE(E39, ""en"", ""id"")"),"Alan Budi Kusuma memenangkan medali emas tunggal putra di Olimpiade Atlanta 1996, yang memastikan tempat Indonesia dalam sejarah Olimpiade.")</f>
        <v>Alan Budi Kusuma memenangkan medali emas tunggal putra di Olimpiade Atlanta 1996, yang memastikan tempat Indonesia dalam sejarah Olimpiade.</v>
      </c>
    </row>
    <row r="40">
      <c r="A40" s="1">
        <v>39.0</v>
      </c>
      <c r="B40" s="1" t="s">
        <v>148</v>
      </c>
      <c r="C40" s="1" t="s">
        <v>149</v>
      </c>
      <c r="D40" s="1" t="s">
        <v>150</v>
      </c>
      <c r="E40" s="1" t="s">
        <v>151</v>
      </c>
      <c r="J40" s="2" t="str">
        <f>IFERROR(__xludf.DUMMYFUNCTION("GOOGLETRANSLATE(A40, ""en"", ""id"")"),"39")</f>
        <v>39</v>
      </c>
      <c r="K40" s="2" t="str">
        <f>IFERROR(__xludf.DUMMYFUNCTION("GOOGLETRANSLATE(B40, ""en"", ""id"")"),"Tahun berapa Indonesia memenangkan Piala Thomas setelah jeda 13 tahun, pada tahun 1996?")</f>
        <v>Tahun berapa Indonesia memenangkan Piala Thomas setelah jeda 13 tahun, pada tahun 1996?</v>
      </c>
      <c r="L40" s="2" t="str">
        <f>IFERROR(__xludf.DUMMYFUNCTION("GOOGLETRANSLATE(C40, ""en"", ""id"")"),"A) Tahun 1995, B) Tahun 1996, C) Tahun 1997, D) Tahun 1998")</f>
        <v>A) Tahun 1995, B) Tahun 1996, C) Tahun 1997, D) Tahun 1998</v>
      </c>
      <c r="M40" s="2" t="str">
        <f>IFERROR(__xludf.DUMMYFUNCTION("GOOGLETRANSLATE(D40, ""en"", ""id"")"),"B) Tahun 1996")</f>
        <v>B) Tahun 1996</v>
      </c>
      <c r="N40" s="2" t="str">
        <f>IFERROR(__xludf.DUMMYFUNCTION("GOOGLETRANSLATE(E40, ""en"", ""id"")"),"Indonesia kembali meraih gelar Piala Thomas pada tahun 1996 setelah penantian 13 tahun, menunjukkan kekuatannya di bulu tangkis internasional.")</f>
        <v>Indonesia kembali meraih gelar Piala Thomas pada tahun 1996 setelah penantian 13 tahun, menunjukkan kekuatannya di bulu tangkis internasional.</v>
      </c>
    </row>
    <row r="41">
      <c r="A41" s="1">
        <v>40.0</v>
      </c>
      <c r="B41" s="1" t="s">
        <v>152</v>
      </c>
      <c r="C41" s="1" t="s">
        <v>153</v>
      </c>
      <c r="D41" s="1" t="s">
        <v>59</v>
      </c>
      <c r="E41" s="1" t="s">
        <v>154</v>
      </c>
      <c r="J41" s="2" t="str">
        <f>IFERROR(__xludf.DUMMYFUNCTION("GOOGLETRANSLATE(A41, ""en"", ""id"")"),"40")</f>
        <v>40</v>
      </c>
      <c r="K41" s="2" t="str">
        <f>IFERROR(__xludf.DUMMYFUNCTION("GOOGLETRANSLATE(B41, ""en"", ""id"")"),"Pemain Indonesia mana yang memenangi tunggal putra All England Open 2000?")</f>
        <v>Pemain Indonesia mana yang memenangi tunggal putra All England Open 2000?</v>
      </c>
      <c r="L41" s="2" t="str">
        <f>IFERROR(__xludf.DUMMYFUNCTION("GOOGLETRANSLATE(C41, ""en"", ""id"")"),"A) Taufik Hidayat, B) Alan Budi Kusuma, C) Hendra Setiawan, D) Sigit Budiarto")</f>
        <v>A) Taufik Hidayat, B) Alan Budi Kusuma, C) Hendra Setiawan, D) Sigit Budiarto</v>
      </c>
      <c r="M41" s="2" t="str">
        <f>IFERROR(__xludf.DUMMYFUNCTION("GOOGLETRANSLATE(D41, ""en"", ""id"")"),"A) Taufik Hidayat")</f>
        <v>A) Taufik Hidayat</v>
      </c>
      <c r="N41" s="2" t="str">
        <f>IFERROR(__xludf.DUMMYFUNCTION("GOOGLETRANSLATE(E41, ""en"", ""id"")"),"Taufik Hidayat memenangi Tunggal Putra All England Open 2000, mengukuhkan warisannya dalam bulu tangkis.")</f>
        <v>Taufik Hidayat memenangi Tunggal Putra All England Open 2000, mengukuhkan warisannya dalam bulu tangkis.</v>
      </c>
    </row>
    <row r="42">
      <c r="A42" s="1">
        <v>41.0</v>
      </c>
      <c r="B42" s="1" t="s">
        <v>155</v>
      </c>
      <c r="C42" s="1" t="s">
        <v>156</v>
      </c>
      <c r="D42" s="1" t="s">
        <v>157</v>
      </c>
      <c r="E42" s="1" t="s">
        <v>158</v>
      </c>
      <c r="J42" s="2" t="str">
        <f>IFERROR(__xludf.DUMMYFUNCTION("GOOGLETRANSLATE(A42, ""en"", ""id"")"),"41")</f>
        <v>41</v>
      </c>
      <c r="K42" s="2" t="str">
        <f>IFERROR(__xludf.DUMMYFUNCTION("GOOGLETRANSLATE(B42, ""en"", ""id"")"),"Tahun berapa tim bulu tangkis Indonesia memenangkan medali emas Asian Games di nomor beregu putra?")</f>
        <v>Tahun berapa tim bulu tangkis Indonesia memenangkan medali emas Asian Games di nomor beregu putra?</v>
      </c>
      <c r="L42" s="2" t="str">
        <f>IFERROR(__xludf.DUMMYFUNCTION("GOOGLETRANSLATE(C42, ""en"", ""id"")"),"A) Tahun 1994, B) Tahun 1998, C) Tahun 2002, D) Tahun 2006")</f>
        <v>A) Tahun 1994, B) Tahun 1998, C) Tahun 2002, D) Tahun 2006</v>
      </c>
      <c r="M42" s="2" t="str">
        <f>IFERROR(__xludf.DUMMYFUNCTION("GOOGLETRANSLATE(D42, ""en"", ""id"")"),"B) Tahun 1998")</f>
        <v>B) Tahun 1998</v>
      </c>
      <c r="N42" s="2" t="str">
        <f>IFERROR(__xludf.DUMMYFUNCTION("GOOGLETRANSLATE(E42, ""en"", ""id"")"),"Tim bulu tangkis putra Indonesia memenangkan emas pada Asian Games 1998 di Bangkok.")</f>
        <v>Tim bulu tangkis putra Indonesia memenangkan emas pada Asian Games 1998 di Bangkok.</v>
      </c>
    </row>
    <row r="43">
      <c r="A43" s="1">
        <v>42.0</v>
      </c>
      <c r="B43" s="1" t="s">
        <v>159</v>
      </c>
      <c r="C43" s="1" t="s">
        <v>101</v>
      </c>
      <c r="D43" s="1" t="s">
        <v>59</v>
      </c>
      <c r="E43" s="1" t="s">
        <v>160</v>
      </c>
      <c r="J43" s="2" t="str">
        <f>IFERROR(__xludf.DUMMYFUNCTION("GOOGLETRANSLATE(A43, ""en"", ""id"")"),"42")</f>
        <v>42</v>
      </c>
      <c r="K43" s="2" t="str">
        <f>IFERROR(__xludf.DUMMYFUNCTION("GOOGLETRANSLATE(B43, ""en"", ""id"")"),"Pemain Indonesia manakah yang terkenal dengan pukulan backhand smash spektakulernya?")</f>
        <v>Pemain Indonesia manakah yang terkenal dengan pukulan backhand smash spektakulernya?</v>
      </c>
      <c r="L43" s="2" t="str">
        <f>IFERROR(__xludf.DUMMYFUNCTION("GOOGLETRANSLATE(C43, ""en"", ""id"")"),"A) Taufik Hidayat, B) Sigit Budiarto, C) Hendra Setiawan, D) Liem Swie King")</f>
        <v>A) Taufik Hidayat, B) Sigit Budiarto, C) Hendra Setiawan, D) Liem Swie King</v>
      </c>
      <c r="M43" s="2" t="str">
        <f>IFERROR(__xludf.DUMMYFUNCTION("GOOGLETRANSLATE(D43, ""en"", ""id"")"),"A) Taufik Hidayat")</f>
        <v>A) Taufik Hidayat</v>
      </c>
      <c r="N43" s="2" t="str">
        <f>IFERROR(__xludf.DUMMYFUNCTION("GOOGLETRANSLATE(E43, ""en"", ""id"")"),"Pukulan smash backhand Taufik Hidayat terkenal dengan kekuatan dan ketepatannya, sehingga menjadikannya kekuatan yang tangguh.")</f>
        <v>Pukulan smash backhand Taufik Hidayat terkenal dengan kekuatan dan ketepatannya, sehingga menjadikannya kekuatan yang tangguh.</v>
      </c>
    </row>
    <row r="44">
      <c r="A44" s="1">
        <v>43.0</v>
      </c>
      <c r="B44" s="1" t="s">
        <v>161</v>
      </c>
      <c r="C44" s="1" t="s">
        <v>162</v>
      </c>
      <c r="D44" s="1" t="s">
        <v>120</v>
      </c>
      <c r="E44" s="1" t="s">
        <v>163</v>
      </c>
      <c r="J44" s="2" t="str">
        <f>IFERROR(__xludf.DUMMYFUNCTION("GOOGLETRANSLATE(A44, ""en"", ""id"")"),"43")</f>
        <v>43</v>
      </c>
      <c r="K44" s="2" t="str">
        <f>IFERROR(__xludf.DUMMYFUNCTION("GOOGLETRANSLATE(B44, ""en"", ""id"")"),"Tahun berapa Indonesia terakhir kali memenangkan gelar Piala Thomas?")</f>
        <v>Tahun berapa Indonesia terakhir kali memenangkan gelar Piala Thomas?</v>
      </c>
      <c r="L44" s="2" t="str">
        <f>IFERROR(__xludf.DUMMYFUNCTION("GOOGLETRANSLATE(C44, ""en"", ""id"")"),"A) Tahun 2002, B) Tahun 2004, C) Tahun 2006, D) Tahun 2016")</f>
        <v>A) Tahun 2002, B) Tahun 2004, C) Tahun 2006, D) Tahun 2016</v>
      </c>
      <c r="M44" s="2" t="str">
        <f>IFERROR(__xludf.DUMMYFUNCTION("GOOGLETRANSLATE(D44, ""en"", ""id"")"),"D) Tahun 2016")</f>
        <v>D) Tahun 2016</v>
      </c>
      <c r="N44" s="2" t="str">
        <f>IFERROR(__xludf.DUMMYFUNCTION("GOOGLETRANSLATE(E44, ""en"", ""id"")"),"Tim nasional bulu tangkis Indonesia berhasil menjuarai Piala Thomas terakhirnya pada tahun 2016 setelah 14 tahun tidak menjuarainya.")</f>
        <v>Tim nasional bulu tangkis Indonesia berhasil menjuarai Piala Thomas terakhirnya pada tahun 2016 setelah 14 tahun tidak menjuarainya.</v>
      </c>
    </row>
    <row r="45">
      <c r="A45" s="1">
        <v>44.0</v>
      </c>
      <c r="B45" s="1" t="s">
        <v>164</v>
      </c>
      <c r="C45" s="1" t="s">
        <v>165</v>
      </c>
      <c r="D45" s="1" t="s">
        <v>66</v>
      </c>
      <c r="E45" s="1" t="s">
        <v>166</v>
      </c>
      <c r="J45" s="2" t="str">
        <f>IFERROR(__xludf.DUMMYFUNCTION("GOOGLETRANSLATE(A45, ""en"", ""id"")"),"44")</f>
        <v>44</v>
      </c>
      <c r="K45" s="2" t="str">
        <f>IFERROR(__xludf.DUMMYFUNCTION("GOOGLETRANSLATE(B45, ""en"", ""id"")"),"Siapa pemain Indonesia pertama yang memenangkan Kejuaraan Dunia BWF yang bergengsi di tunggal putra?")</f>
        <v>Siapa pemain Indonesia pertama yang memenangkan Kejuaraan Dunia BWF yang bergengsi di tunggal putra?</v>
      </c>
      <c r="L45" s="2" t="str">
        <f>IFERROR(__xludf.DUMMYFUNCTION("GOOGLETRANSLATE(C45, ""en"", ""id"")"),"A) Rudy Hartono, B) Taufik Hidayat, C) Liem Swie King, D) Alan Budi Kusuma")</f>
        <v>A) Rudy Hartono, B) Taufik Hidayat, C) Liem Swie King, D) Alan Budi Kusuma</v>
      </c>
      <c r="M45" s="2" t="str">
        <f>IFERROR(__xludf.DUMMYFUNCTION("GOOGLETRANSLATE(D45, ""en"", ""id"")"),"B) Taufik Hidayat")</f>
        <v>B) Taufik Hidayat</v>
      </c>
      <c r="N45" s="2" t="str">
        <f>IFERROR(__xludf.DUMMYFUNCTION("GOOGLETRANSLATE(E45, ""en"", ""id"")"),"Taufik Hidayat membuat sejarah dengan memenangkan tunggal putra Kejuaraan Dunia BWF pada tahun 2005.")</f>
        <v>Taufik Hidayat membuat sejarah dengan memenangkan tunggal putra Kejuaraan Dunia BWF pada tahun 2005.</v>
      </c>
    </row>
    <row r="46">
      <c r="A46" s="1">
        <v>45.0</v>
      </c>
      <c r="B46" s="1" t="s">
        <v>167</v>
      </c>
      <c r="C46" s="1" t="s">
        <v>168</v>
      </c>
      <c r="D46" s="1" t="s">
        <v>169</v>
      </c>
      <c r="E46" s="1" t="s">
        <v>170</v>
      </c>
      <c r="J46" s="2" t="str">
        <f>IFERROR(__xludf.DUMMYFUNCTION("GOOGLETRANSLATE(A46, ""en"", ""id"")"),"45")</f>
        <v>45</v>
      </c>
      <c r="K46" s="2" t="str">
        <f>IFERROR(__xludf.DUMMYFUNCTION("GOOGLETRANSLATE(B46, ""en"", ""id"")"),"Siapa pemain Indonesia yang pertama kali berhasil menjuarai gelar ganda campuran All England Open?")</f>
        <v>Siapa pemain Indonesia yang pertama kali berhasil menjuarai gelar ganda campuran All England Open?</v>
      </c>
      <c r="L46" s="2" t="str">
        <f>IFERROR(__xludf.DUMMYFUNCTION("GOOGLETRANSLATE(C46, ""en"", ""id"")"),"A) Taufik Hidayat, B) Liliyana Natsir, C) Hendra Setiawan, D) Markis Kido")</f>
        <v>A) Taufik Hidayat, B) Liliyana Natsir, C) Hendra Setiawan, D) Markis Kido</v>
      </c>
      <c r="M46" s="2" t="str">
        <f>IFERROR(__xludf.DUMMYFUNCTION("GOOGLETRANSLATE(D46, ""en"", ""id"")"),"B) Liliyana Natsir")</f>
        <v>B) Liliyana Natsir</v>
      </c>
      <c r="N46" s="2" t="str">
        <f>IFERROR(__xludf.DUMMYFUNCTION("GOOGLETRANSLATE(E46, ""en"", ""id"")"),"Liliyana Natsir memenangkan gelar ganda campuran pertama Indonesia All England Open pada tahun 2006.")</f>
        <v>Liliyana Natsir memenangkan gelar ganda campuran pertama Indonesia All England Open pada tahun 2006.</v>
      </c>
    </row>
    <row r="47">
      <c r="A47" s="1">
        <v>46.0</v>
      </c>
      <c r="B47" s="1" t="s">
        <v>171</v>
      </c>
      <c r="C47" s="1" t="s">
        <v>172</v>
      </c>
      <c r="D47" s="1" t="s">
        <v>173</v>
      </c>
      <c r="E47" s="1" t="s">
        <v>174</v>
      </c>
      <c r="J47" s="2" t="str">
        <f>IFERROR(__xludf.DUMMYFUNCTION("GOOGLETRANSLATE(A47, ""en"", ""id"")"),"46")</f>
        <v>46</v>
      </c>
      <c r="K47" s="2" t="str">
        <f>IFERROR(__xludf.DUMMYFUNCTION("GOOGLETRANSLATE(B47, ""en"", ""id"")"),"Tahun berapa tim bulu tangkis Indonesia memenangkan Piala Thomas setelah jeda 10 tahun?")</f>
        <v>Tahun berapa tim bulu tangkis Indonesia memenangkan Piala Thomas setelah jeda 10 tahun?</v>
      </c>
      <c r="L47" s="2" t="str">
        <f>IFERROR(__xludf.DUMMYFUNCTION("GOOGLETRANSLATE(C47, ""en"", ""id"")"),"A) Tahun 1998, B) Tahun 2000, C) Tahun 2002, D) Tahun 2004")</f>
        <v>A) Tahun 1998, B) Tahun 2000, C) Tahun 2002, D) Tahun 2004</v>
      </c>
      <c r="M47" s="2" t="str">
        <f>IFERROR(__xludf.DUMMYFUNCTION("GOOGLETRANSLATE(D47, ""en"", ""id"")"),"C) Tahun 2002")</f>
        <v>C) Tahun 2002</v>
      </c>
      <c r="N47" s="2" t="str">
        <f>IFERROR(__xludf.DUMMYFUNCTION("GOOGLETRANSLATE(E47, ""en"", ""id"")"),"Tim bulu tangkis putra Indonesia memenangkan Piala Thomas pada tahun 2002 setelah jeda 10 tahun, membuktikan kebangkitan mereka.")</f>
        <v>Tim bulu tangkis putra Indonesia memenangkan Piala Thomas pada tahun 2002 setelah jeda 10 tahun, membuktikan kebangkitan mereka.</v>
      </c>
    </row>
    <row r="48">
      <c r="A48" s="1">
        <v>47.0</v>
      </c>
      <c r="B48" s="1" t="s">
        <v>175</v>
      </c>
      <c r="C48" s="1" t="s">
        <v>176</v>
      </c>
      <c r="D48" s="1" t="s">
        <v>169</v>
      </c>
      <c r="E48" s="1" t="s">
        <v>177</v>
      </c>
      <c r="J48" s="2" t="str">
        <f>IFERROR(__xludf.DUMMYFUNCTION("GOOGLETRANSLATE(A48, ""en"", ""id"")"),"47")</f>
        <v>47</v>
      </c>
      <c r="K48" s="2" t="str">
        <f>IFERROR(__xludf.DUMMYFUNCTION("GOOGLETRANSLATE(B48, ""en"", ""id"")"),"Pemain Indonesia mana yang dianggap sebagai salah satu pemain ganda campuran terhebat sepanjang masa?")</f>
        <v>Pemain Indonesia mana yang dianggap sebagai salah satu pemain ganda campuran terhebat sepanjang masa?</v>
      </c>
      <c r="L48" s="2" t="str">
        <f>IFERROR(__xludf.DUMMYFUNCTION("GOOGLETRANSLATE(C48, ""en"", ""id"")"),"A) Hendra Setiawan, B) Liliyana Natsir, C) Markis Kido, D) Mia Audina")</f>
        <v>A) Hendra Setiawan, B) Liliyana Natsir, C) Markis Kido, D) Mia Audina</v>
      </c>
      <c r="M48" s="2" t="str">
        <f>IFERROR(__xludf.DUMMYFUNCTION("GOOGLETRANSLATE(D48, ""en"", ""id"")"),"B) Liliyana Natsir")</f>
        <v>B) Liliyana Natsir</v>
      </c>
      <c r="N48" s="2" t="str">
        <f>IFERROR(__xludf.DUMMYFUNCTION("GOOGLETRANSLATE(E48, ""en"", ""id"")"),"Kesuksesan Liliyana Natsir di ganda campuran menjadikannya salah satu atlet terhebat sepanjang masa.")</f>
        <v>Kesuksesan Liliyana Natsir di ganda campuran menjadikannya salah satu atlet terhebat sepanjang masa.</v>
      </c>
    </row>
    <row r="49">
      <c r="A49" s="1">
        <v>48.0</v>
      </c>
      <c r="B49" s="1" t="s">
        <v>178</v>
      </c>
      <c r="C49" s="1" t="s">
        <v>179</v>
      </c>
      <c r="D49" s="1" t="s">
        <v>180</v>
      </c>
      <c r="E49" s="1" t="s">
        <v>181</v>
      </c>
      <c r="J49" s="2" t="str">
        <f>IFERROR(__xludf.DUMMYFUNCTION("GOOGLETRANSLATE(A49, ""en"", ""id"")"),"48")</f>
        <v>48</v>
      </c>
      <c r="K49" s="2" t="str">
        <f>IFERROR(__xludf.DUMMYFUNCTION("GOOGLETRANSLATE(B49, ""en"", ""id"")"),"Tahun berapa tim bulu tangkis Indonesia memenangkan Piala Sudirman untuk kedua kalinya?")</f>
        <v>Tahun berapa tim bulu tangkis Indonesia memenangkan Piala Sudirman untuk kedua kalinya?</v>
      </c>
      <c r="L49" s="2" t="str">
        <f>IFERROR(__xludf.DUMMYFUNCTION("GOOGLETRANSLATE(C49, ""en"", ""id"")"),"A) Tahun 1999, B) Tahun 2001, C) Tahun 2003, D) Tahun 2005")</f>
        <v>A) Tahun 1999, B) Tahun 2001, C) Tahun 2003, D) Tahun 2005</v>
      </c>
      <c r="M49" s="2" t="str">
        <f>IFERROR(__xludf.DUMMYFUNCTION("GOOGLETRANSLATE(D49, ""en"", ""id"")"),"B) Tahun 2001")</f>
        <v>B) Tahun 2001</v>
      </c>
      <c r="N49" s="2" t="str">
        <f>IFERROR(__xludf.DUMMYFUNCTION("GOOGLETRANSLATE(E49, ""en"", ""id"")"),"Indonesia berhasil meraih kemenangan kedua di Piala Sudirman tahun 2001, yang semakin menegaskan dominasinya.")</f>
        <v>Indonesia berhasil meraih kemenangan kedua di Piala Sudirman tahun 2001, yang semakin menegaskan dominasinya.</v>
      </c>
    </row>
    <row r="50">
      <c r="A50" s="1">
        <v>49.0</v>
      </c>
      <c r="B50" s="1" t="s">
        <v>182</v>
      </c>
      <c r="C50" s="1" t="s">
        <v>183</v>
      </c>
      <c r="D50" s="1" t="s">
        <v>184</v>
      </c>
      <c r="E50" s="1" t="s">
        <v>185</v>
      </c>
      <c r="J50" s="2" t="str">
        <f>IFERROR(__xludf.DUMMYFUNCTION("GOOGLETRANSLATE(A50, ""en"", ""id"")"),"49")</f>
        <v>49</v>
      </c>
      <c r="K50" s="2" t="str">
        <f>IFERROR(__xludf.DUMMYFUNCTION("GOOGLETRANSLATE(B50, ""en"", ""id"")"),"Pemain Indonesia mana yang dinobatkan sebagai Pemain Terbaik BWF tahun 2009?")</f>
        <v>Pemain Indonesia mana yang dinobatkan sebagai Pemain Terbaik BWF tahun 2009?</v>
      </c>
      <c r="L50" s="2" t="str">
        <f>IFERROR(__xludf.DUMMYFUNCTION("GOOGLETRANSLATE(C50, ""en"", ""id"")"),"A) Taufik Hidayat, B) Liliyana Natsir, C) Hendra Setiawan, D) Lin Dan")</f>
        <v>A) Taufik Hidayat, B) Liliyana Natsir, C) Hendra Setiawan, D) Lin Dan</v>
      </c>
      <c r="M50" s="2" t="str">
        <f>IFERROR(__xludf.DUMMYFUNCTION("GOOGLETRANSLATE(D50, ""en"", ""id"")"),"C) Hendra Setiawan")</f>
        <v>C) Hendra Setiawan</v>
      </c>
      <c r="N50" s="2" t="str">
        <f>IFERROR(__xludf.DUMMYFUNCTION("GOOGLETRANSLATE(E50, ""en"", ""id"")"),"Hendra Setiawan dinobatkan sebagai Pemain Terbaik BWF tahun 2009 atas prestasinya di ganda putra.")</f>
        <v>Hendra Setiawan dinobatkan sebagai Pemain Terbaik BWF tahun 2009 atas prestasinya di ganda putra.</v>
      </c>
    </row>
    <row r="51">
      <c r="A51" s="1">
        <v>50.0</v>
      </c>
      <c r="B51" s="1" t="s">
        <v>186</v>
      </c>
      <c r="C51" s="1" t="s">
        <v>187</v>
      </c>
      <c r="D51" s="1" t="s">
        <v>188</v>
      </c>
      <c r="E51" s="1" t="s">
        <v>189</v>
      </c>
      <c r="J51" s="2" t="str">
        <f>IFERROR(__xludf.DUMMYFUNCTION("GOOGLETRANSLATE(A51, ""en"", ""id"")"),"50")</f>
        <v>50</v>
      </c>
      <c r="K51" s="2" t="str">
        <f>IFERROR(__xludf.DUMMYFUNCTION("GOOGLETRANSLATE(B51, ""en"", ""id"")"),"Pada tahun berapa tim bulu tangkis Indonesia memenangkan Piala Thomas dengan kemenangan telak atas China?")</f>
        <v>Pada tahun berapa tim bulu tangkis Indonesia memenangkan Piala Thomas dengan kemenangan telak atas China?</v>
      </c>
      <c r="L51" s="2" t="str">
        <f>IFERROR(__xludf.DUMMYFUNCTION("GOOGLETRANSLATE(C51, ""en"", ""id"")"),"A) Tahun 2000, B) Tahun 2002, C) Tahun 2004, D) Tahun 2006")</f>
        <v>A) Tahun 2000, B) Tahun 2002, C) Tahun 2004, D) Tahun 2006</v>
      </c>
      <c r="M51" s="2" t="str">
        <f>IFERROR(__xludf.DUMMYFUNCTION("GOOGLETRANSLATE(D51, ""en"", ""id"")"),"C) Tahun 2004")</f>
        <v>C) Tahun 2004</v>
      </c>
      <c r="N51" s="2" t="str">
        <f>IFERROR(__xludf.DUMMYFUNCTION("GOOGLETRANSLATE(E51, ""en"", ""id"")"),"Indonesia menjuarai Piala Thomas tahun 2004 dengan penampilan dominan mengalahkan China.")</f>
        <v>Indonesia menjuarai Piala Thomas tahun 2004 dengan penampilan dominan mengalahkan China.</v>
      </c>
    </row>
    <row r="52">
      <c r="A52" s="1">
        <v>51.0</v>
      </c>
      <c r="B52" s="1" t="s">
        <v>190</v>
      </c>
      <c r="C52" s="1" t="s">
        <v>191</v>
      </c>
      <c r="D52" s="1" t="s">
        <v>192</v>
      </c>
      <c r="E52" s="1" t="s">
        <v>193</v>
      </c>
      <c r="J52" s="2" t="str">
        <f>IFERROR(__xludf.DUMMYFUNCTION("GOOGLETRANSLATE(A52, ""en"", ""id"")"),"51")</f>
        <v>51</v>
      </c>
      <c r="K52" s="2" t="str">
        <f>IFERROR(__xludf.DUMMYFUNCTION("GOOGLETRANSLATE(B52, ""en"", ""id"")"),"Tahun berapa Indonesia memenangkan Piala Sudirman terakhirnya?")</f>
        <v>Tahun berapa Indonesia memenangkan Piala Sudirman terakhirnya?</v>
      </c>
      <c r="L52" s="2" t="str">
        <f>IFERROR(__xludf.DUMMYFUNCTION("GOOGLETRANSLATE(C52, ""en"", ""id"")"),"A) Tahun 2009, B) Tahun 2011, C) Tahun 2013, D) Tahun 2015")</f>
        <v>A) Tahun 2009, B) Tahun 2011, C) Tahun 2013, D) Tahun 2015</v>
      </c>
      <c r="M52" s="2" t="str">
        <f>IFERROR(__xludf.DUMMYFUNCTION("GOOGLETRANSLATE(D52, ""en"", ""id"")"),"A) Tahun 2009")</f>
        <v>A) Tahun 2009</v>
      </c>
      <c r="N52" s="2" t="str">
        <f>IFERROR(__xludf.DUMMYFUNCTION("GOOGLETRANSLATE(E52, ""en"", ""id"")"),"Tim bulu tangkis Indonesia berhasil menjuarai Piala Sudirman tahun 2009 dan menambah satu gelar bergengsi lagi.")</f>
        <v>Tim bulu tangkis Indonesia berhasil menjuarai Piala Sudirman tahun 2009 dan menambah satu gelar bergengsi lagi.</v>
      </c>
    </row>
    <row r="53">
      <c r="A53" s="1">
        <v>52.0</v>
      </c>
      <c r="B53" s="1" t="s">
        <v>194</v>
      </c>
      <c r="C53" s="1" t="s">
        <v>195</v>
      </c>
      <c r="D53" s="1" t="s">
        <v>196</v>
      </c>
      <c r="E53" s="1" t="s">
        <v>197</v>
      </c>
      <c r="J53" s="2" t="str">
        <f>IFERROR(__xludf.DUMMYFUNCTION("GOOGLETRANSLATE(A53, ""en"", ""id"")"),"52")</f>
        <v>52</v>
      </c>
      <c r="K53" s="2" t="str">
        <f>IFERROR(__xludf.DUMMYFUNCTION("GOOGLETRANSLATE(B53, ""en"", ""id"")"),"Tahun berapa tim bulu tangkis Indonesia memenangkan Piala Dunia pertama di nomor beregu putra?")</f>
        <v>Tahun berapa tim bulu tangkis Indonesia memenangkan Piala Dunia pertama di nomor beregu putra?</v>
      </c>
      <c r="L53" s="2" t="str">
        <f>IFERROR(__xludf.DUMMYFUNCTION("GOOGLETRANSLATE(C53, ""en"", ""id"")"),"A) Tahun 1987, B) Tahun 1989, C) Tahun 1991, D) Tahun 1993")</f>
        <v>A) Tahun 1987, B) Tahun 1989, C) Tahun 1991, D) Tahun 1993</v>
      </c>
      <c r="M53" s="2" t="str">
        <f>IFERROR(__xludf.DUMMYFUNCTION("GOOGLETRANSLATE(D53, ""en"", ""id"")"),"C) Tahun 1991")</f>
        <v>C) Tahun 1991</v>
      </c>
      <c r="N53" s="2" t="str">
        <f>IFERROR(__xludf.DUMMYFUNCTION("GOOGLETRANSLATE(E53, ""en"", ""id"")"),"Indonesia memenangkan Piala Dunia pertamanya pada tahun 1991, melanjutkan dominasinya dalam bulu tangkis beregu putra.")</f>
        <v>Indonesia memenangkan Piala Dunia pertamanya pada tahun 1991, melanjutkan dominasinya dalam bulu tangkis beregu putra.</v>
      </c>
    </row>
    <row r="54">
      <c r="A54" s="1">
        <v>53.0</v>
      </c>
      <c r="B54" s="1" t="s">
        <v>198</v>
      </c>
      <c r="C54" s="1" t="s">
        <v>199</v>
      </c>
      <c r="D54" s="1" t="s">
        <v>200</v>
      </c>
      <c r="E54" s="1" t="s">
        <v>201</v>
      </c>
      <c r="J54" s="2" t="str">
        <f>IFERROR(__xludf.DUMMYFUNCTION("GOOGLETRANSLATE(A54, ""en"", ""id"")"),"53")</f>
        <v>53</v>
      </c>
      <c r="K54" s="2" t="str">
        <f>IFERROR(__xludf.DUMMYFUNCTION("GOOGLETRANSLATE(B54, ""en"", ""id"")"),"Tahun berapa Indonesia pertama kali menjadi tuan rumah Final Piala Thomas?")</f>
        <v>Tahun berapa Indonesia pertama kali menjadi tuan rumah Final Piala Thomas?</v>
      </c>
      <c r="L54" s="2" t="str">
        <f>IFERROR(__xludf.DUMMYFUNCTION("GOOGLETRANSLATE(C54, ""en"", ""id"")"),"A) Tahun 1961, B) Tahun 1975, C) Tahun 1992, D) Tahun 2000")</f>
        <v>A) Tahun 1961, B) Tahun 1975, C) Tahun 1992, D) Tahun 2000</v>
      </c>
      <c r="M54" s="2" t="str">
        <f>IFERROR(__xludf.DUMMYFUNCTION("GOOGLETRANSLATE(D54, ""en"", ""id"")"),"A) Tahun 1961")</f>
        <v>A) Tahun 1961</v>
      </c>
      <c r="N54" s="2" t="str">
        <f>IFERROR(__xludf.DUMMYFUNCTION("GOOGLETRANSLATE(E54, ""en"", ""id"")"),"Indonesia menjadi tuan rumah Final Piala Thomas pertamanya pada tahun 1961, tahun yang sama ketika Indonesia memenangkan gelar pertamanya.")</f>
        <v>Indonesia menjadi tuan rumah Final Piala Thomas pertamanya pada tahun 1961, tahun yang sama ketika Indonesia memenangkan gelar pertamanya.</v>
      </c>
    </row>
    <row r="55">
      <c r="A55" s="1">
        <v>54.0</v>
      </c>
      <c r="B55" s="1" t="s">
        <v>202</v>
      </c>
      <c r="C55" s="1" t="s">
        <v>203</v>
      </c>
      <c r="D55" s="1" t="s">
        <v>90</v>
      </c>
      <c r="E55" s="1" t="s">
        <v>204</v>
      </c>
      <c r="J55" s="2" t="str">
        <f>IFERROR(__xludf.DUMMYFUNCTION("GOOGLETRANSLATE(A55, ""en"", ""id"")"),"54")</f>
        <v>54</v>
      </c>
      <c r="K55" s="2" t="str">
        <f>IFERROR(__xludf.DUMMYFUNCTION("GOOGLETRANSLATE(B55, ""en"", ""id"")"),"Siapa pemain bulu tangkis Indonesia pertama yang memenangkan Kejuaraan Dunia BWF yang bergengsi di tunggal putri?")</f>
        <v>Siapa pemain bulu tangkis Indonesia pertama yang memenangkan Kejuaraan Dunia BWF yang bergengsi di tunggal putri?</v>
      </c>
      <c r="L55" s="2" t="str">
        <f>IFERROR(__xludf.DUMMYFUNCTION("GOOGLETRANSLATE(C55, ""en"", ""id"")"),"A) Susi Susanti, B) Liliyana Natsir, C) Mia Audina, D) Rahayu Subrata")</f>
        <v>A) Susi Susanti, B) Liliyana Natsir, C) Mia Audina, D) Rahayu Subrata</v>
      </c>
      <c r="M55" s="2" t="str">
        <f>IFERROR(__xludf.DUMMYFUNCTION("GOOGLETRANSLATE(D55, ""en"", ""id"")"),"A) Susi Susanti")</f>
        <v>A) Susi Susanti</v>
      </c>
      <c r="N55" s="2" t="str">
        <f>IFERROR(__xludf.DUMMYFUNCTION("GOOGLETRANSLATE(E55, ""en"", ""id"")"),"Susi Susanti membuat sejarah dengan memenangkan Kejuaraan Dunia tunggal putri BWF pada tahun 1993.")</f>
        <v>Susi Susanti membuat sejarah dengan memenangkan Kejuaraan Dunia tunggal putri BWF pada tahun 1993.</v>
      </c>
    </row>
    <row r="56">
      <c r="A56" s="1">
        <v>55.0</v>
      </c>
      <c r="B56" s="1" t="s">
        <v>205</v>
      </c>
      <c r="C56" s="1" t="s">
        <v>206</v>
      </c>
      <c r="D56" s="1" t="s">
        <v>207</v>
      </c>
      <c r="E56" s="1" t="s">
        <v>208</v>
      </c>
      <c r="J56" s="2" t="str">
        <f>IFERROR(__xludf.DUMMYFUNCTION("GOOGLETRANSLATE(A56, ""en"", ""id"")"),"55")</f>
        <v>55</v>
      </c>
      <c r="K56" s="2" t="str">
        <f>IFERROR(__xludf.DUMMYFUNCTION("GOOGLETRANSLATE(B56, ""en"", ""id"")"),"Tahun berapa Indonesia memenangkan Piala Dunia pertama di ganda campuran?")</f>
        <v>Tahun berapa Indonesia memenangkan Piala Dunia pertama di ganda campuran?</v>
      </c>
      <c r="L56" s="2" t="str">
        <f>IFERROR(__xludf.DUMMYFUNCTION("GOOGLETRANSLATE(C56, ""en"", ""id"")"),"A) Tahun 1987, B) Tahun 1991, C) Tahun 1995, D) Tahun 2000")</f>
        <v>A) Tahun 1987, B) Tahun 1991, C) Tahun 1995, D) Tahun 2000</v>
      </c>
      <c r="M56" s="2" t="str">
        <f>IFERROR(__xludf.DUMMYFUNCTION("GOOGLETRANSLATE(D56, ""en"", ""id"")"),"B) Tahun 1991")</f>
        <v>B) Tahun 1991</v>
      </c>
      <c r="N56" s="2" t="str">
        <f>IFERROR(__xludf.DUMMYFUNCTION("GOOGLETRANSLATE(E56, ""en"", ""id"")"),"Indonesia memenangkan Piala Dunia pertama dalam ganda campuran pada tahun 1991, yang mengukuhkan kehadirannya yang kuat dalam olahraga tersebut.")</f>
        <v>Indonesia memenangkan Piala Dunia pertama dalam ganda campuran pada tahun 1991, yang mengukuhkan kehadirannya yang kuat dalam olahraga tersebut.</v>
      </c>
    </row>
    <row r="57">
      <c r="A57" s="1">
        <v>56.0</v>
      </c>
      <c r="B57" s="1" t="s">
        <v>209</v>
      </c>
      <c r="C57" s="1" t="s">
        <v>210</v>
      </c>
      <c r="D57" s="1" t="s">
        <v>211</v>
      </c>
      <c r="E57" s="1" t="s">
        <v>212</v>
      </c>
      <c r="J57" s="2" t="str">
        <f>IFERROR(__xludf.DUMMYFUNCTION("GOOGLETRANSLATE(A57, ""en"", ""id"")"),"56")</f>
        <v>56</v>
      </c>
      <c r="K57" s="2" t="str">
        <f>IFERROR(__xludf.DUMMYFUNCTION("GOOGLETRANSLATE(B57, ""en"", ""id"")"),"Tahun berapa Indonesia pertama kali mengikuti kompetisi Uber Cup?")</f>
        <v>Tahun berapa Indonesia pertama kali mengikuti kompetisi Uber Cup?</v>
      </c>
      <c r="L57" s="2" t="str">
        <f>IFERROR(__xludf.DUMMYFUNCTION("GOOGLETRANSLATE(C57, ""en"", ""id"")"),"A) Tahun 1957, B) Tahun 1960, C) Tahun 1963, D) Tahun 1970")</f>
        <v>A) Tahun 1957, B) Tahun 1960, C) Tahun 1963, D) Tahun 1970</v>
      </c>
      <c r="M57" s="2" t="str">
        <f>IFERROR(__xludf.DUMMYFUNCTION("GOOGLETRANSLATE(D57, ""en"", ""id"")"),"A) Tahun 1957")</f>
        <v>A) Tahun 1957</v>
      </c>
      <c r="N57" s="2" t="str">
        <f>IFERROR(__xludf.DUMMYFUNCTION("GOOGLETRANSLATE(E57, ""en"", ""id"")"),"Indonesia pertama kali berpartisipasi dalam kompetisi Piala Uber pada tahun 1957, yang menandai masuknya Indonesia ke dalam cabang bulu tangkis wanita internasional.")</f>
        <v>Indonesia pertama kali berpartisipasi dalam kompetisi Piala Uber pada tahun 1957, yang menandai masuknya Indonesia ke dalam cabang bulu tangkis wanita internasional.</v>
      </c>
    </row>
    <row r="58">
      <c r="A58" s="1">
        <v>57.0</v>
      </c>
      <c r="B58" s="1" t="s">
        <v>213</v>
      </c>
      <c r="C58" s="1" t="s">
        <v>214</v>
      </c>
      <c r="D58" s="1" t="s">
        <v>66</v>
      </c>
      <c r="E58" s="1" t="s">
        <v>215</v>
      </c>
      <c r="J58" s="2" t="str">
        <f>IFERROR(__xludf.DUMMYFUNCTION("GOOGLETRANSLATE(A58, ""en"", ""id"")"),"57")</f>
        <v>57</v>
      </c>
      <c r="K58" s="2" t="str">
        <f>IFERROR(__xludf.DUMMYFUNCTION("GOOGLETRANSLATE(B58, ""en"", ""id"")"),"Siapakah pebulu tangkis Indonesia pertama yang berhasil mencapai peringkat 1 dunia tunggal putra?")</f>
        <v>Siapakah pebulu tangkis Indonesia pertama yang berhasil mencapai peringkat 1 dunia tunggal putra?</v>
      </c>
      <c r="L58" s="2" t="str">
        <f>IFERROR(__xludf.DUMMYFUNCTION("GOOGLETRANSLATE(C58, ""en"", ""id"")"),"A) Rudy Hartono, B) Taufik Hidayat, C) Liem Swie King, D) Sigit Budiarto")</f>
        <v>A) Rudy Hartono, B) Taufik Hidayat, C) Liem Swie King, D) Sigit Budiarto</v>
      </c>
      <c r="M58" s="2" t="str">
        <f>IFERROR(__xludf.DUMMYFUNCTION("GOOGLETRANSLATE(D58, ""en"", ""id"")"),"B) Taufik Hidayat")</f>
        <v>B) Taufik Hidayat</v>
      </c>
      <c r="N58" s="2" t="str">
        <f>IFERROR(__xludf.DUMMYFUNCTION("GOOGLETRANSLATE(E58, ""en"", ""id"")"),"Taufik Hidayat menjadi orang Indonesia pertama yang mencapai peringkat 1 dunia tunggal putra pada tahun 2001.")</f>
        <v>Taufik Hidayat menjadi orang Indonesia pertama yang mencapai peringkat 1 dunia tunggal putra pada tahun 2001.</v>
      </c>
    </row>
    <row r="59">
      <c r="A59" s="1">
        <v>58.0</v>
      </c>
      <c r="B59" s="1" t="s">
        <v>216</v>
      </c>
      <c r="C59" s="1" t="s">
        <v>217</v>
      </c>
      <c r="D59" s="1" t="s">
        <v>59</v>
      </c>
      <c r="E59" s="1" t="s">
        <v>218</v>
      </c>
      <c r="J59" s="2" t="str">
        <f>IFERROR(__xludf.DUMMYFUNCTION("GOOGLETRANSLATE(A59, ""en"", ""id"")"),"58")</f>
        <v>58</v>
      </c>
      <c r="K59" s="2" t="str">
        <f>IFERROR(__xludf.DUMMYFUNCTION("GOOGLETRANSLATE(B59, ""en"", ""id"")"),"Pemain Indonesia manakah yang memenangkan medali emas tunggal putra di Olimpiade Athena 2004?")</f>
        <v>Pemain Indonesia manakah yang memenangkan medali emas tunggal putra di Olimpiade Athena 2004?</v>
      </c>
      <c r="L59" s="2" t="str">
        <f>IFERROR(__xludf.DUMMYFUNCTION("GOOGLETRANSLATE(C59, ""en"", ""id"")"),"A) Taufik Hidayat, B) Alan Budi Kusuma, C) Rudy Hartono, D) Liem Swie King")</f>
        <v>A) Taufik Hidayat, B) Alan Budi Kusuma, C) Rudy Hartono, D) Liem Swie King</v>
      </c>
      <c r="M59" s="2" t="str">
        <f>IFERROR(__xludf.DUMMYFUNCTION("GOOGLETRANSLATE(D59, ""en"", ""id"")"),"A) Taufik Hidayat")</f>
        <v>A) Taufik Hidayat</v>
      </c>
      <c r="N59" s="2" t="str">
        <f>IFERROR(__xludf.DUMMYFUNCTION("GOOGLETRANSLATE(E59, ""en"", ""id"")"),"Taufik Hidayat memenangkan medali emas tunggal putra di Olimpiade Athena 2004, menambah warisan Olimpiade Indonesia.")</f>
        <v>Taufik Hidayat memenangkan medali emas tunggal putra di Olimpiade Athena 2004, menambah warisan Olimpiade Indonesia.</v>
      </c>
    </row>
    <row r="60">
      <c r="A60" s="1">
        <v>59.0</v>
      </c>
      <c r="B60" s="1" t="s">
        <v>219</v>
      </c>
      <c r="C60" s="1" t="s">
        <v>220</v>
      </c>
      <c r="D60" s="1" t="s">
        <v>221</v>
      </c>
      <c r="E60" s="1" t="s">
        <v>222</v>
      </c>
      <c r="J60" s="2" t="str">
        <f>IFERROR(__xludf.DUMMYFUNCTION("GOOGLETRANSLATE(A60, ""en"", ""id"")"),"59")</f>
        <v>59</v>
      </c>
      <c r="K60" s="2" t="str">
        <f>IFERROR(__xludf.DUMMYFUNCTION("GOOGLETRANSLATE(B60, ""en"", ""id"")"),"Tim ganda putri Indonesia manakah yang memenangkan medali emas di Olimpiade Barcelona 1992?")</f>
        <v>Tim ganda putri Indonesia manakah yang memenangkan medali emas di Olimpiade Barcelona 1992?</v>
      </c>
      <c r="L60" s="2" t="str">
        <f>IFERROR(__xludf.DUMMYFUNCTION("GOOGLETRANSLATE(C60, ""en"", ""id"")"),"A) Liliyana Natsir dan Aprianto, B) Della Destiara Haris dan Rani Mundiasti, C) Susi Susanti dan Liliyana Natsir, D) Yulianti dan Rahayu Subrata")</f>
        <v>A) Liliyana Natsir dan Aprianto, B) Della Destiara Haris dan Rani Mundiasti, C) Susi Susanti dan Liliyana Natsir, D) Yulianti dan Rahayu Subrata</v>
      </c>
      <c r="M60" s="2" t="str">
        <f>IFERROR(__xludf.DUMMYFUNCTION("GOOGLETRANSLATE(D60, ""en"", ""id"")"),"B) Della Destiara Haris dan Rani Mundiasti")</f>
        <v>B) Della Destiara Haris dan Rani Mundiasti</v>
      </c>
      <c r="N60" s="2" t="str">
        <f>IFERROR(__xludf.DUMMYFUNCTION("GOOGLETRANSLATE(E60, ""en"", ""id"")"),"Della Destiara Haris dan Rani Mundiasti membuat sejarah dengan memenangkan emas ganda putri pada tahun 1992.")</f>
        <v>Della Destiara Haris dan Rani Mundiasti membuat sejarah dengan memenangkan emas ganda putri pada tahun 1992.</v>
      </c>
    </row>
    <row r="61">
      <c r="A61" s="1">
        <v>60.0</v>
      </c>
      <c r="B61" s="1" t="s">
        <v>223</v>
      </c>
      <c r="C61" s="1" t="s">
        <v>224</v>
      </c>
      <c r="D61" s="1" t="s">
        <v>225</v>
      </c>
      <c r="E61" s="1" t="s">
        <v>226</v>
      </c>
      <c r="J61" s="2" t="str">
        <f>IFERROR(__xludf.DUMMYFUNCTION("GOOGLETRANSLATE(A61, ""en"", ""id"")"),"60")</f>
        <v>60</v>
      </c>
      <c r="K61" s="2" t="str">
        <f>IFERROR(__xludf.DUMMYFUNCTION("GOOGLETRANSLATE(B61, ""en"", ""id"")"),"Tahun berapa Indonesia memenangkan gelar ganda putra Kejuaraan Bulu Tangkis Asia yang pertama?")</f>
        <v>Tahun berapa Indonesia memenangkan gelar ganda putra Kejuaraan Bulu Tangkis Asia yang pertama?</v>
      </c>
      <c r="L61" s="2" t="str">
        <f>IFERROR(__xludf.DUMMYFUNCTION("GOOGLETRANSLATE(C61, ""en"", ""id"")"),"A) Tahun 1969, B) Tahun 1971, C) Tahun 1980, D) Tahun 1990")</f>
        <v>A) Tahun 1969, B) Tahun 1971, C) Tahun 1980, D) Tahun 1990</v>
      </c>
      <c r="M61" s="2" t="str">
        <f>IFERROR(__xludf.DUMMYFUNCTION("GOOGLETRANSLATE(D61, ""en"", ""id"")"),"B) Tahun 1971")</f>
        <v>B) Tahun 1971</v>
      </c>
      <c r="N61" s="2" t="str">
        <f>IFERROR(__xludf.DUMMYFUNCTION("GOOGLETRANSLATE(E61, ""en"", ""id"")"),"Indonesia memenangkan gelar ganda putra Kejuaraan Bulu Tangkis Asia pertamanya pada tahun 1971, menandai awal dominasinya.")</f>
        <v>Indonesia memenangkan gelar ganda putra Kejuaraan Bulu Tangkis Asia pertamanya pada tahun 1971, menandai awal dominasinya.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41.0"/>
    <col customWidth="1" min="3" max="3" width="43.38"/>
    <col customWidth="1" min="4" max="4" width="16.38"/>
    <col customWidth="1" min="5" max="5" width="37.63"/>
    <col customWidth="1" min="7" max="7" width="16.88"/>
    <col customWidth="1" min="8" max="9" width="37.63"/>
    <col customWidth="1" min="10" max="10" width="33.5"/>
    <col customWidth="1" min="11" max="11" width="3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</row>
    <row r="2">
      <c r="A2" s="5">
        <v>1.0</v>
      </c>
      <c r="B2" s="5" t="s">
        <v>232</v>
      </c>
      <c r="C2" s="5" t="s">
        <v>233</v>
      </c>
      <c r="D2" s="5" t="s">
        <v>234</v>
      </c>
      <c r="E2" s="5" t="s">
        <v>235</v>
      </c>
      <c r="G2" s="6" t="str">
        <f>IFERROR(__xludf.DUMMYFUNCTION("GOOGLETRANSLATE(A2, ""en"", ""id"")"),"1")</f>
        <v>1</v>
      </c>
      <c r="H2" s="6" t="str">
        <f>IFERROR(__xludf.DUMMYFUNCTION("GOOGLETRANSLATE(B2, ""en"", ""id"")"),"Dari manakah asal usul olahraga Karapan Sapi di Indonesia?")</f>
        <v>Dari manakah asal usul olahraga Karapan Sapi di Indonesia?</v>
      </c>
      <c r="I2" s="6" t="str">
        <f>IFERROR(__xludf.DUMMYFUNCTION("GOOGLETRANSLATE(C2, ""en"", ""id"")"),"A) Bali, B) Madura, C) Jakarta, D) Surabaya")</f>
        <v>A) Bali, B) Madura, C) Jakarta, D) Surabaya</v>
      </c>
      <c r="J2" s="6" t="str">
        <f>IFERROR(__xludf.DUMMYFUNCTION("GOOGLETRANSLATE(D2, ""en"", ""id"")"),"B) Madura")</f>
        <v>B) Madura</v>
      </c>
      <c r="K2" s="6" t="str">
        <f>IFERROR(__xludf.DUMMYFUNCTION("GOOGLETRANSLATE(E2, ""en"", ""id"")"),"Karapan Sapi berasal dari Madura, sebuah pulau di lepas pantai Jawa, Indonesia.")</f>
        <v>Karapan Sapi berasal dari Madura, sebuah pulau di lepas pantai Jawa, Indonesia.</v>
      </c>
    </row>
    <row r="3">
      <c r="A3" s="5">
        <v>2.0</v>
      </c>
      <c r="B3" s="5" t="s">
        <v>236</v>
      </c>
      <c r="C3" s="5" t="s">
        <v>237</v>
      </c>
      <c r="D3" s="5" t="s">
        <v>238</v>
      </c>
      <c r="E3" s="5" t="s">
        <v>239</v>
      </c>
      <c r="G3" s="6" t="str">
        <f>IFERROR(__xludf.DUMMYFUNCTION("GOOGLETRANSLATE(A3, ""en"", ""id"")"),"2")</f>
        <v>2</v>
      </c>
      <c r="H3" s="6" t="str">
        <f>IFERROR(__xludf.DUMMYFUNCTION("GOOGLETRANSLATE(B3, ""en"", ""id"")"),"Apa acara utama dalam Karapan Sapi?")</f>
        <v>Apa acara utama dalam Karapan Sapi?</v>
      </c>
      <c r="I3" s="6" t="str">
        <f>IFERROR(__xludf.DUMMYFUNCTION("GOOGLETRANSLATE(C3, ""en"", ""id"")"),"A) Menunggang banteng, B) Balap banteng, C) Adu banteng, D) Gulat banteng")</f>
        <v>A) Menunggang banteng, B) Balap banteng, C) Adu banteng, D) Gulat banteng</v>
      </c>
      <c r="J3" s="6" t="str">
        <f>IFERROR(__xludf.DUMMYFUNCTION("GOOGLETRANSLATE(D3, ""en"", ""id"")"),"B) Pacuan sapi")</f>
        <v>B) Pacuan sapi</v>
      </c>
      <c r="K3" s="6" t="str">
        <f>IFERROR(__xludf.DUMMYFUNCTION("GOOGLETRANSLATE(E3, ""en"", ""id"")"),"Karapan Sapi merupakan ajang balap banteng di mana tim berlomba dengan banteng yang menarik kereta luncur kayu.")</f>
        <v>Karapan Sapi merupakan ajang balap banteng di mana tim berlomba dengan banteng yang menarik kereta luncur kayu.</v>
      </c>
    </row>
    <row r="4">
      <c r="A4" s="5">
        <v>3.0</v>
      </c>
      <c r="B4" s="5" t="s">
        <v>240</v>
      </c>
      <c r="C4" s="5" t="s">
        <v>241</v>
      </c>
      <c r="D4" s="5" t="s">
        <v>242</v>
      </c>
      <c r="E4" s="5" t="s">
        <v>243</v>
      </c>
      <c r="G4" s="6" t="str">
        <f>IFERROR(__xludf.DUMMYFUNCTION("GOOGLETRANSLATE(A4, ""en"", ""id"")"),"3")</f>
        <v>3</v>
      </c>
      <c r="H4" s="6" t="str">
        <f>IFERROR(__xludf.DUMMYFUNCTION("GOOGLETRANSLATE(B4, ""en"", ""id"")"),"Dalam Karapan Sapi, biasanya ada berapa ekor banteng yang terlibat dalam satu perlombaan?")</f>
        <v>Dalam Karapan Sapi, biasanya ada berapa ekor banteng yang terlibat dalam satu perlombaan?</v>
      </c>
      <c r="I4" s="6" t="str">
        <f>IFERROR(__xludf.DUMMYFUNCTION("GOOGLETRANSLATE(C4, ""en"", ""id"")"),"A) Satu, B) Dua, C) Tiga, D) Empat")</f>
        <v>A) Satu, B) Dua, C) Tiga, D) Empat</v>
      </c>
      <c r="J4" s="6" t="str">
        <f>IFERROR(__xludf.DUMMYFUNCTION("GOOGLETRANSLATE(D4, ""en"", ""id"")"),"B) Dua")</f>
        <v>B) Dua</v>
      </c>
      <c r="K4" s="6" t="str">
        <f>IFERROR(__xludf.DUMMYFUNCTION("GOOGLETRANSLATE(E4, ""en"", ""id"")"),"Setiap tim berlomba dengan dua ekor banteng yang menarik kereta luncur di atas lintasan tanah.")</f>
        <v>Setiap tim berlomba dengan dua ekor banteng yang menarik kereta luncur di atas lintasan tanah.</v>
      </c>
    </row>
    <row r="5">
      <c r="A5" s="5">
        <v>4.0</v>
      </c>
      <c r="B5" s="5" t="s">
        <v>244</v>
      </c>
      <c r="C5" s="5" t="s">
        <v>245</v>
      </c>
      <c r="D5" s="5" t="s">
        <v>246</v>
      </c>
      <c r="E5" s="5" t="s">
        <v>247</v>
      </c>
      <c r="G5" s="6" t="str">
        <f>IFERROR(__xludf.DUMMYFUNCTION("GOOGLETRANSLATE(A5, ""en"", ""id"")"),"4")</f>
        <v>4</v>
      </c>
      <c r="H5" s="6" t="str">
        <f>IFERROR(__xludf.DUMMYFUNCTION("GOOGLETRANSLATE(B5, ""en"", ""id"")"),"Apa yang dikenakan banteng saat lomba Karapan Sapi?")</f>
        <v>Apa yang dikenakan banteng saat lomba Karapan Sapi?</v>
      </c>
      <c r="I5" s="6" t="str">
        <f>IFERROR(__xludf.DUMMYFUNCTION("GOOGLETRANSLATE(C5, ""en"", ""id"")"),"A) Pelana, B) Tali kekang, C) Penutup kepala, D) Lonceng")</f>
        <v>A) Pelana, B) Tali kekang, C) Penutup kepala, D) Lonceng</v>
      </c>
      <c r="J5" s="6" t="str">
        <f>IFERROR(__xludf.DUMMYFUNCTION("GOOGLETRANSLATE(D5, ""en"", ""id"")"),"B) Tali kekang")</f>
        <v>B) Tali kekang</v>
      </c>
      <c r="K5" s="6" t="str">
        <f>IFERROR(__xludf.DUMMYFUNCTION("GOOGLETRANSLATE(E5, ""en"", ""id"")"),"Sapi jantan dipasangi tali kekang untuk mengendalikannya selama perlombaan.")</f>
        <v>Sapi jantan dipasangi tali kekang untuk mengendalikannya selama perlombaan.</v>
      </c>
    </row>
    <row r="6">
      <c r="A6" s="5">
        <v>5.0</v>
      </c>
      <c r="B6" s="5" t="s">
        <v>248</v>
      </c>
      <c r="C6" s="5" t="s">
        <v>249</v>
      </c>
      <c r="D6" s="5" t="s">
        <v>250</v>
      </c>
      <c r="E6" s="5" t="s">
        <v>251</v>
      </c>
      <c r="G6" s="6" t="str">
        <f>IFERROR(__xludf.DUMMYFUNCTION("GOOGLETRANSLATE(A6, ""en"", ""id"")"),"5")</f>
        <v>5</v>
      </c>
      <c r="H6" s="6" t="str">
        <f>IFERROR(__xludf.DUMMYFUNCTION("GOOGLETRANSLATE(B6, ""en"", ""id"")"),"Berapa lama durasi tradisional lomba karapan sapi?")</f>
        <v>Berapa lama durasi tradisional lomba karapan sapi?</v>
      </c>
      <c r="I6" s="6" t="str">
        <f>IFERROR(__xludf.DUMMYFUNCTION("GOOGLETRANSLATE(C6, ""en"", ""id"")"),"A) 5 detik, B) 10 detik, C) 30 detik, D) 1 menit")</f>
        <v>A) 5 detik, B) 10 detik, C) 30 detik, D) 1 menit</v>
      </c>
      <c r="J6" s="6" t="str">
        <f>IFERROR(__xludf.DUMMYFUNCTION("GOOGLETRANSLATE(D6, ""en"", ""id"")"),"C) 30 detik")</f>
        <v>C) 30 detik</v>
      </c>
      <c r="K6" s="6" t="str">
        <f>IFERROR(__xludf.DUMMYFUNCTION("GOOGLETRANSLATE(E6, ""en"", ""id"")"),"Perlombaan ini biasanya berlangsung sekitar 30 detik, menempuh jarak sekitar 100 meter.")</f>
        <v>Perlombaan ini biasanya berlangsung sekitar 30 detik, menempuh jarak sekitar 100 meter.</v>
      </c>
    </row>
    <row r="7">
      <c r="A7" s="5">
        <v>6.0</v>
      </c>
      <c r="B7" s="5" t="s">
        <v>252</v>
      </c>
      <c r="C7" s="5" t="s">
        <v>253</v>
      </c>
      <c r="D7" s="5" t="s">
        <v>254</v>
      </c>
      <c r="E7" s="5" t="s">
        <v>255</v>
      </c>
      <c r="G7" s="6" t="str">
        <f>IFERROR(__xludf.DUMMYFUNCTION("GOOGLETRANSLATE(A7, ""en"", ""id"")"),"6")</f>
        <v>6</v>
      </c>
      <c r="H7" s="6" t="str">
        <f>IFERROR(__xludf.DUMMYFUNCTION("GOOGLETRANSLATE(B7, ""en"", ""id"")"),"Apa tujuan Karapan Sapi secara historis?")</f>
        <v>Apa tujuan Karapan Sapi secara historis?</v>
      </c>
      <c r="I7" s="6" t="str">
        <f>IFERROR(__xludf.DUMMYFUNCTION("GOOGLETRANSLATE(C7, ""en"", ""id"")"),"A) Hiburan, B) Ritual panen, C) Pengorbanan keagamaan, D) Pelatihan banteng")</f>
        <v>A) Hiburan, B) Ritual panen, C) Pengorbanan keagamaan, D) Pelatihan banteng</v>
      </c>
      <c r="J7" s="6" t="str">
        <f>IFERROR(__xludf.DUMMYFUNCTION("GOOGLETRANSLATE(D7, ""en"", ""id"")"),"B) Ritual panen")</f>
        <v>B) Ritual panen</v>
      </c>
      <c r="K7" s="6" t="str">
        <f>IFERROR(__xludf.DUMMYFUNCTION("GOOGLETRANSLATE(E7, ""en"", ""id"")"),"Secara historis, Karapan Sapi digunakan sebagai ritual untuk merayakan musim panen dan memastikan kesuburan.")</f>
        <v>Secara historis, Karapan Sapi digunakan sebagai ritual untuk merayakan musim panen dan memastikan kesuburan.</v>
      </c>
    </row>
    <row r="8">
      <c r="A8" s="5">
        <v>7.0</v>
      </c>
      <c r="B8" s="5" t="s">
        <v>256</v>
      </c>
      <c r="C8" s="5" t="s">
        <v>257</v>
      </c>
      <c r="D8" s="5" t="s">
        <v>258</v>
      </c>
      <c r="E8" s="5" t="s">
        <v>259</v>
      </c>
      <c r="G8" s="6" t="str">
        <f>IFERROR(__xludf.DUMMYFUNCTION("GOOGLETRANSLATE(A8, ""en"", ""id"")"),"7")</f>
        <v>7</v>
      </c>
      <c r="H8" s="6" t="str">
        <f>IFERROR(__xludf.DUMMYFUNCTION("GOOGLETRANSLATE(B8, ""en"", ""id"")"),"Bagaimana cara memilih banteng untuk lomba Karapan Sapi?")</f>
        <v>Bagaimana cara memilih banteng untuk lomba Karapan Sapi?</v>
      </c>
      <c r="I8" s="6" t="str">
        <f>IFERROR(__xludf.DUMMYFUNCTION("GOOGLETRANSLATE(C8, ""en"", ""id"")"),"A) Acak, B) Berdasarkan ukuran, C) Berdasarkan kecepatan, D) Berdasarkan warna")</f>
        <v>A) Acak, B) Berdasarkan ukuran, C) Berdasarkan kecepatan, D) Berdasarkan warna</v>
      </c>
      <c r="J8" s="6" t="str">
        <f>IFERROR(__xludf.DUMMYFUNCTION("GOOGLETRANSLATE(D8, ""en"", ""id"")"),"C) Berdasarkan kecepatan")</f>
        <v>C) Berdasarkan kecepatan</v>
      </c>
      <c r="K8" s="6" t="str">
        <f>IFERROR(__xludf.DUMMYFUNCTION("GOOGLETRANSLATE(E8, ""en"", ""id"")"),"Banteng dipilih berdasarkan kecepatan dan kekuatannya untuk bersaing dalam perlombaan.")</f>
        <v>Banteng dipilih berdasarkan kecepatan dan kekuatannya untuk bersaing dalam perlombaan.</v>
      </c>
    </row>
    <row r="9">
      <c r="A9" s="5">
        <v>8.0</v>
      </c>
      <c r="B9" s="5" t="s">
        <v>260</v>
      </c>
      <c r="C9" s="5" t="s">
        <v>261</v>
      </c>
      <c r="D9" s="5" t="s">
        <v>262</v>
      </c>
      <c r="E9" s="5" t="s">
        <v>263</v>
      </c>
      <c r="G9" s="6" t="str">
        <f>IFERROR(__xludf.DUMMYFUNCTION("GOOGLETRANSLATE(A9, ""en"", ""id"")"),"8")</f>
        <v>8</v>
      </c>
      <c r="H9" s="6" t="str">
        <f>IFERROR(__xludf.DUMMYFUNCTION("GOOGLETRANSLATE(B9, ""en"", ""id"")"),"Apa hadiah tradisional untuk memenangkan lomba Karapan Sapi?")</f>
        <v>Apa hadiah tradisional untuk memenangkan lomba Karapan Sapi?</v>
      </c>
      <c r="I9" s="6" t="str">
        <f>IFERROR(__xludf.DUMMYFUNCTION("GOOGLETRANSLATE(C9, ""en"", ""id"")"),"A) Uang, B) Piala, C) Banteng baru, D) Medali")</f>
        <v>A) Uang, B) Piala, C) Banteng baru, D) Medali</v>
      </c>
      <c r="J9" s="6" t="str">
        <f>IFERROR(__xludf.DUMMYFUNCTION("GOOGLETRANSLATE(D9, ""en"", ""id"")"),"A) Uang")</f>
        <v>A) Uang</v>
      </c>
      <c r="K9" s="6" t="str">
        <f>IFERROR(__xludf.DUMMYFUNCTION("GOOGLETRANSLATE(E9, ""en"", ""id"")"),"Tim yang menang biasanya menerima uang atau hadiah lainnya, dan perlombaan berfungsi sebagai bentuk status sosial.")</f>
        <v>Tim yang menang biasanya menerima uang atau hadiah lainnya, dan perlombaan berfungsi sebagai bentuk status sosial.</v>
      </c>
    </row>
    <row r="10">
      <c r="A10" s="5">
        <v>9.0</v>
      </c>
      <c r="B10" s="5" t="s">
        <v>264</v>
      </c>
      <c r="C10" s="5" t="s">
        <v>265</v>
      </c>
      <c r="D10" s="5" t="s">
        <v>258</v>
      </c>
      <c r="E10" s="5" t="s">
        <v>266</v>
      </c>
      <c r="G10" s="6" t="str">
        <f>IFERROR(__xludf.DUMMYFUNCTION("GOOGLETRANSLATE(A10, ""en"", ""id"")"),"9")</f>
        <v>9</v>
      </c>
      <c r="H10" s="6" t="str">
        <f>IFERROR(__xludf.DUMMYFUNCTION("GOOGLETRANSLATE(B10, ""en"", ""id"")"),"Bagaimana performa banteng dalam lomba Karapan Sapi ditentukan?")</f>
        <v>Bagaimana performa banteng dalam lomba Karapan Sapi ditentukan?</v>
      </c>
      <c r="I10" s="6" t="str">
        <f>IFERROR(__xludf.DUMMYFUNCTION("GOOGLETRANSLATE(C10, ""en"", ""id"")"),"A) Berdasarkan penampilan, B) Berdasarkan kerja sama tim, C) Berdasarkan kecepatan, D) Berdasarkan daya tahan")</f>
        <v>A) Berdasarkan penampilan, B) Berdasarkan kerja sama tim, C) Berdasarkan kecepatan, D) Berdasarkan daya tahan</v>
      </c>
      <c r="J10" s="6" t="str">
        <f>IFERROR(__xludf.DUMMYFUNCTION("GOOGLETRANSLATE(D10, ""en"", ""id"")"),"C) Berdasarkan kecepatan")</f>
        <v>C) Berdasarkan kecepatan</v>
      </c>
      <c r="K10" s="6" t="str">
        <f>IFERROR(__xludf.DUMMYFUNCTION("GOOGLETRANSLATE(E10, ""en"", ""id"")"),"Pemenang perlombaan ditentukan oleh kecepatan banteng saat berlomba menuju garis akhir.")</f>
        <v>Pemenang perlombaan ditentukan oleh kecepatan banteng saat berlomba menuju garis akhir.</v>
      </c>
    </row>
    <row r="11">
      <c r="A11" s="5">
        <v>10.0</v>
      </c>
      <c r="B11" s="5" t="s">
        <v>267</v>
      </c>
      <c r="C11" s="5" t="s">
        <v>268</v>
      </c>
      <c r="D11" s="5" t="s">
        <v>269</v>
      </c>
      <c r="E11" s="5" t="s">
        <v>270</v>
      </c>
      <c r="G11" s="6" t="str">
        <f>IFERROR(__xludf.DUMMYFUNCTION("GOOGLETRANSLATE(A11, ""en"", ""id"")"),"10")</f>
        <v>10</v>
      </c>
      <c r="H11" s="6" t="str">
        <f>IFERROR(__xludf.DUMMYFUNCTION("GOOGLETRANSLATE(B11, ""en"", ""id"")"),"Apa ciri khas utama lintasan balap Karapan Sapi?")</f>
        <v>Apa ciri khas utama lintasan balap Karapan Sapi?</v>
      </c>
      <c r="I11" s="6" t="str">
        <f>IFERROR(__xludf.DUMMYFUNCTION("GOOGLETRANSLATE(C11, ""en"", ""id"")"),"A) Kerikil, B) Air, C) Rumput, D) Tanah")</f>
        <v>A) Kerikil, B) Air, C) Rumput, D) Tanah</v>
      </c>
      <c r="J11" s="6" t="str">
        <f>IFERROR(__xludf.DUMMYFUNCTION("GOOGLETRANSLATE(D11, ""en"", ""id"")"),"D) Kotoran")</f>
        <v>D) Kotoran</v>
      </c>
      <c r="K11" s="6" t="str">
        <f>IFERROR(__xludf.DUMMYFUNCTION("GOOGLETRANSLATE(E11, ""en"", ""id"")"),"Lintasan balap biasanya berupa jalan tanah yang meningkatkan kecepatan dan kelincahan banteng.")</f>
        <v>Lintasan balap biasanya berupa jalan tanah yang meningkatkan kecepatan dan kelincahan banteng.</v>
      </c>
    </row>
    <row r="12">
      <c r="A12" s="5">
        <v>11.0</v>
      </c>
      <c r="B12" s="5" t="s">
        <v>271</v>
      </c>
      <c r="C12" s="5" t="s">
        <v>272</v>
      </c>
      <c r="D12" s="5" t="s">
        <v>273</v>
      </c>
      <c r="E12" s="5" t="s">
        <v>274</v>
      </c>
      <c r="G12" s="6" t="str">
        <f>IFERROR(__xludf.DUMMYFUNCTION("GOOGLETRANSLATE(A12, ""en"", ""id"")"),"11")</f>
        <v>11</v>
      </c>
      <c r="H12" s="6" t="str">
        <f>IFERROR(__xludf.DUMMYFUNCTION("GOOGLETRANSLATE(B12, ""en"", ""id"")"),"Siapa saja yang biasanya berpartisipasi sebagai joki dalam lomba karapan sapi?")</f>
        <v>Siapa saja yang biasanya berpartisipasi sebagai joki dalam lomba karapan sapi?</v>
      </c>
      <c r="I12" s="6" t="str">
        <f>IFERROR(__xludf.DUMMYFUNCTION("GOOGLETRANSLATE(C12, ""en"", ""id"")"),"A) Seorang petani, B) Seorang pelatih banteng, C) Seorang penunggang yang terampil, D) Pemilik banteng")</f>
        <v>A) Seorang petani, B) Seorang pelatih banteng, C) Seorang penunggang yang terampil, D) Pemilik banteng</v>
      </c>
      <c r="J12" s="6" t="str">
        <f>IFERROR(__xludf.DUMMYFUNCTION("GOOGLETRANSLATE(D12, ""en"", ""id"")"),"D) Pemilik banteng")</f>
        <v>D) Pemilik banteng</v>
      </c>
      <c r="K12" s="6" t="str">
        <f>IFERROR(__xludf.DUMMYFUNCTION("GOOGLETRANSLATE(E12, ""en"", ""id"")"),"Pemilik banteng sering menunggangi kereta luncur dan menuntun banteng selama perlombaan.")</f>
        <v>Pemilik banteng sering menunggangi kereta luncur dan menuntun banteng selama perlombaan.</v>
      </c>
    </row>
    <row r="13">
      <c r="A13" s="5">
        <v>12.0</v>
      </c>
      <c r="B13" s="5" t="s">
        <v>275</v>
      </c>
      <c r="C13" s="5" t="s">
        <v>276</v>
      </c>
      <c r="D13" s="5" t="s">
        <v>277</v>
      </c>
      <c r="E13" s="5" t="s">
        <v>278</v>
      </c>
      <c r="G13" s="6" t="str">
        <f>IFERROR(__xludf.DUMMYFUNCTION("GOOGLETRANSLATE(A13, ""en"", ""id"")"),"12")</f>
        <v>12</v>
      </c>
      <c r="H13" s="6" t="str">
        <f>IFERROR(__xludf.DUMMYFUNCTION("GOOGLETRANSLATE(B13, ""en"", ""id"")"),"Pulau Indonesia manakah yang paling terkenal sebagai tuan rumah acara Karapan Sapi?")</f>
        <v>Pulau Indonesia manakah yang paling terkenal sebagai tuan rumah acara Karapan Sapi?</v>
      </c>
      <c r="I13" s="6" t="str">
        <f>IFERROR(__xludf.DUMMYFUNCTION("GOOGLETRANSLATE(C13, ""en"", ""id"")"),"A) Bali, B) Sumatra, C) Madura, D) Jawa")</f>
        <v>A) Bali, B) Sumatra, C) Madura, D) Jawa</v>
      </c>
      <c r="J13" s="6" t="str">
        <f>IFERROR(__xludf.DUMMYFUNCTION("GOOGLETRANSLATE(D13, ""en"", ""id"")"),"C) Madura")</f>
        <v>C) Madura</v>
      </c>
      <c r="K13" s="6" t="str">
        <f>IFERROR(__xludf.DUMMYFUNCTION("GOOGLETRANSLATE(E13, ""en"", ""id"")"),"Madura adalah pulau tempat Karapan Sapi paling terkenal dipraktikkan.")</f>
        <v>Madura adalah pulau tempat Karapan Sapi paling terkenal dipraktikkan.</v>
      </c>
    </row>
    <row r="14">
      <c r="A14" s="5">
        <v>13.0</v>
      </c>
      <c r="B14" s="5" t="s">
        <v>279</v>
      </c>
      <c r="C14" s="5" t="s">
        <v>280</v>
      </c>
      <c r="D14" s="5" t="s">
        <v>281</v>
      </c>
      <c r="E14" s="5" t="s">
        <v>282</v>
      </c>
      <c r="G14" s="6" t="str">
        <f>IFERROR(__xludf.DUMMYFUNCTION("GOOGLETRANSLATE(A14, ""en"", ""id"")"),"13")</f>
        <v>13</v>
      </c>
      <c r="H14" s="6" t="str">
        <f>IFERROR(__xludf.DUMMYFUNCTION("GOOGLETRANSLATE(B14, ""en"", ""id"")"),"Apa makna budaya Karapan Sapi di Madura?")</f>
        <v>Apa makna budaya Karapan Sapi di Madura?</v>
      </c>
      <c r="I14" s="6" t="str">
        <f>IFERROR(__xludf.DUMMYFUNCTION("GOOGLETRANSLATE(C14, ""en"", ""id"")"),"A) Merayakan mitologi lokal, B) Menghormati leluhur, C) Melambangkan status dan kebanggaan, D) Menandai pernikahan")</f>
        <v>A) Merayakan mitologi lokal, B) Menghormati leluhur, C) Melambangkan status dan kebanggaan, D) Menandai pernikahan</v>
      </c>
      <c r="J14" s="6" t="str">
        <f>IFERROR(__xludf.DUMMYFUNCTION("GOOGLETRANSLATE(D14, ""en"", ""id"")"),"C) Melambangkan status dan kebanggaan")</f>
        <v>C) Melambangkan status dan kebanggaan</v>
      </c>
      <c r="K14" s="6" t="str">
        <f>IFERROR(__xludf.DUMMYFUNCTION("GOOGLETRANSLATE(E14, ""en"", ""id"")"),"Di Madura, Karapan Sapi merupakan simbol kebanggaan, kekuatan, dan status sosial.")</f>
        <v>Di Madura, Karapan Sapi merupakan simbol kebanggaan, kekuatan, dan status sosial.</v>
      </c>
    </row>
    <row r="15">
      <c r="A15" s="5">
        <v>14.0</v>
      </c>
      <c r="B15" s="5" t="s">
        <v>283</v>
      </c>
      <c r="C15" s="5" t="s">
        <v>284</v>
      </c>
      <c r="D15" s="5" t="s">
        <v>285</v>
      </c>
      <c r="E15" s="5" t="s">
        <v>286</v>
      </c>
      <c r="G15" s="6" t="str">
        <f>IFERROR(__xludf.DUMMYFUNCTION("GOOGLETRANSLATE(A15, ""en"", ""id"")"),"14")</f>
        <v>14</v>
      </c>
      <c r="H15" s="6" t="str">
        <f>IFERROR(__xludf.DUMMYFUNCTION("GOOGLETRANSLATE(B15, ""en"", ""id"")"),"Hewan apa yang menjadi peserta utama dalam Karapan Sapi?")</f>
        <v>Hewan apa yang menjadi peserta utama dalam Karapan Sapi?</v>
      </c>
      <c r="I15" s="6" t="str">
        <f>IFERROR(__xludf.DUMMYFUNCTION("GOOGLETRANSLATE(C15, ""en"", ""id"")"),"A) Kuda, B) Gajah, C) Banteng, D) Unta")</f>
        <v>A) Kuda, B) Gajah, C) Banteng, D) Unta</v>
      </c>
      <c r="J15" s="6" t="str">
        <f>IFERROR(__xludf.DUMMYFUNCTION("GOOGLETRANSLATE(D15, ""en"", ""id"")"),"C) Banteng")</f>
        <v>C) Banteng</v>
      </c>
      <c r="K15" s="6" t="str">
        <f>IFERROR(__xludf.DUMMYFUNCTION("GOOGLETRANSLATE(E15, ""en"", ""id"")"),"Peserta utama dalam perlombaan ini adalah banteng, khususnya banteng jenis Madura.")</f>
        <v>Peserta utama dalam perlombaan ini adalah banteng, khususnya banteng jenis Madura.</v>
      </c>
    </row>
    <row r="16">
      <c r="A16" s="5">
        <v>15.0</v>
      </c>
      <c r="B16" s="5" t="s">
        <v>287</v>
      </c>
      <c r="C16" s="5" t="s">
        <v>288</v>
      </c>
      <c r="D16" s="5" t="s">
        <v>289</v>
      </c>
      <c r="E16" s="5" t="s">
        <v>290</v>
      </c>
      <c r="G16" s="6" t="str">
        <f>IFERROR(__xludf.DUMMYFUNCTION("GOOGLETRANSLATE(A16, ""en"", ""id"")"),"15")</f>
        <v>15</v>
      </c>
      <c r="H16" s="6" t="str">
        <f>IFERROR(__xludf.DUMMYFUNCTION("GOOGLETRANSLATE(B16, ""en"", ""id"")"),"Apa nama lintasan balap Karapan Sapi?")</f>
        <v>Apa nama lintasan balap Karapan Sapi?</v>
      </c>
      <c r="I16" s="6" t="str">
        <f>IFERROR(__xludf.DUMMYFUNCTION("GOOGLETRANSLATE(C16, ""en"", ""id"")"),"A) Padang, B) Sapi Lari, C) Lintasan Madura, D) Galengan")</f>
        <v>A) Padang, B) Sapi Lari, C) Lintasan Madura, D) Galengan</v>
      </c>
      <c r="J16" s="6" t="str">
        <f>IFERROR(__xludf.DUMMYFUNCTION("GOOGLETRANSLATE(D16, ""en"", ""id"")"),"D) Galengan")</f>
        <v>D) Galengan</v>
      </c>
      <c r="K16" s="6" t="str">
        <f>IFERROR(__xludf.DUMMYFUNCTION("GOOGLETRANSLATE(E16, ""en"", ""id"")"),"Lintasan balap dalam Karapan Sapi disebut 'Galengan,' jalan tanah yang digunakan untuk kompetisi.")</f>
        <v>Lintasan balap dalam Karapan Sapi disebut 'Galengan,' jalan tanah yang digunakan untuk kompetisi.</v>
      </c>
    </row>
    <row r="17">
      <c r="A17" s="5">
        <v>16.0</v>
      </c>
      <c r="B17" s="5" t="s">
        <v>291</v>
      </c>
      <c r="C17" s="5" t="s">
        <v>292</v>
      </c>
      <c r="D17" s="5" t="s">
        <v>293</v>
      </c>
      <c r="E17" s="5" t="s">
        <v>294</v>
      </c>
      <c r="G17" s="6" t="str">
        <f>IFERROR(__xludf.DUMMYFUNCTION("GOOGLETRANSLATE(A17, ""en"", ""id"")"),"16")</f>
        <v>16</v>
      </c>
      <c r="H17" s="6" t="str">
        <f>IFERROR(__xludf.DUMMYFUNCTION("GOOGLETRANSLATE(B17, ""en"", ""id"")"),"Apa peran masyarakat setempat dalam lomba karapan sapi?")</f>
        <v>Apa peran masyarakat setempat dalam lomba karapan sapi?</v>
      </c>
      <c r="I17" s="6" t="str">
        <f>IFERROR(__xludf.DUMMYFUNCTION("GOOGLETRANSLATE(C17, ""en"", ""id"")"),"A) Penonton, B) Pelatih, C) Penyelenggara, D) Penonton dan pendukung")</f>
        <v>A) Penonton, B) Pelatih, C) Penyelenggara, D) Penonton dan pendukung</v>
      </c>
      <c r="J17" s="6" t="str">
        <f>IFERROR(__xludf.DUMMYFUNCTION("GOOGLETRANSLATE(D17, ""en"", ""id"")"),"D) Penonton dan pendukung")</f>
        <v>D) Penonton dan pendukung</v>
      </c>
      <c r="K17" s="6" t="str">
        <f>IFERROR(__xludf.DUMMYFUNCTION("GOOGLETRANSLATE(E17, ""en"", ""id"")"),"Masyarakat setempat berpartisipasi aktif dengan mendukung tim, menciptakan suasana yang meriah.")</f>
        <v>Masyarakat setempat berpartisipasi aktif dengan mendukung tim, menciptakan suasana yang meriah.</v>
      </c>
    </row>
    <row r="18">
      <c r="A18" s="5">
        <v>17.0</v>
      </c>
      <c r="B18" s="5" t="s">
        <v>295</v>
      </c>
      <c r="C18" s="5" t="s">
        <v>296</v>
      </c>
      <c r="D18" s="5" t="s">
        <v>297</v>
      </c>
      <c r="E18" s="5" t="s">
        <v>298</v>
      </c>
      <c r="G18" s="6" t="str">
        <f>IFERROR(__xludf.DUMMYFUNCTION("GOOGLETRANSLATE(A18, ""en"", ""id"")"),"17")</f>
        <v>17</v>
      </c>
      <c r="H18" s="6" t="str">
        <f>IFERROR(__xludf.DUMMYFUNCTION("GOOGLETRANSLATE(B18, ""en"", ""id"")"),"Sudah berapa lama Karapan Sapi menjadi acara adat di Madura?")</f>
        <v>Sudah berapa lama Karapan Sapi menjadi acara adat di Madura?</v>
      </c>
      <c r="I18" s="6" t="str">
        <f>IFERROR(__xludf.DUMMYFUNCTION("GOOGLETRANSLATE(C18, ""en"", ""id"")"),"A) 50 tahun, B) 100 tahun, C) 800 tahun, D) 1.000 tahun")</f>
        <v>A) 50 tahun, B) 100 tahun, C) 800 tahun, D) 1.000 tahun</v>
      </c>
      <c r="J18" s="6" t="str">
        <f>IFERROR(__xludf.DUMMYFUNCTION("GOOGLETRANSLATE(D18, ""en"", ""id"")"),"C) 800 tahun")</f>
        <v>C) 800 tahun</v>
      </c>
      <c r="K18" s="6" t="str">
        <f>IFERROR(__xludf.DUMMYFUNCTION("GOOGLETRANSLATE(E18, ""en"", ""id"")"),"Karapan Sapi telah menjadi bagian dari budaya Madura selama lebih dari 800 tahun.")</f>
        <v>Karapan Sapi telah menjadi bagian dari budaya Madura selama lebih dari 800 tahun.</v>
      </c>
    </row>
    <row r="19">
      <c r="A19" s="5">
        <v>18.0</v>
      </c>
      <c r="B19" s="5" t="s">
        <v>299</v>
      </c>
      <c r="C19" s="5" t="s">
        <v>300</v>
      </c>
      <c r="D19" s="5" t="s">
        <v>301</v>
      </c>
      <c r="E19" s="5" t="s">
        <v>302</v>
      </c>
      <c r="G19" s="6" t="str">
        <f>IFERROR(__xludf.DUMMYFUNCTION("GOOGLETRANSLATE(A19, ""en"", ""id"")"),"18")</f>
        <v>18</v>
      </c>
      <c r="H19" s="6" t="str">
        <f>IFERROR(__xludf.DUMMYFUNCTION("GOOGLETRANSLATE(B19, ""en"", ""id"")"),"Peristiwa sejarah apa yang terkait dengan awal mula Karapan Sapi?")</f>
        <v>Peristiwa sejarah apa yang terkait dengan awal mula Karapan Sapi?</v>
      </c>
      <c r="I19" s="6" t="str">
        <f>IFERROR(__xludf.DUMMYFUNCTION("GOOGLETRANSLATE(C19, ""en"", ""id"")"),"A) Perlawanan kolonial, B) Pernikahan kerajaan, C) Ritual pertanian, D) Peristiwa militer")</f>
        <v>A) Perlawanan kolonial, B) Pernikahan kerajaan, C) Ritual pertanian, D) Peristiwa militer</v>
      </c>
      <c r="J19" s="6" t="str">
        <f>IFERROR(__xludf.DUMMYFUNCTION("GOOGLETRANSLATE(D19, ""en"", ""id"")"),"A) Perlawanan kolonial")</f>
        <v>A) Perlawanan kolonial</v>
      </c>
      <c r="K19" s="6" t="str">
        <f>IFERROR(__xludf.DUMMYFUNCTION("GOOGLETRANSLATE(E19, ""en"", ""id"")"),"Karapan Sapi bermula sebagai cara masyarakat Madura untuk menunjukkan kekuatan dan ketahanan pada masa penjajahan.")</f>
        <v>Karapan Sapi bermula sebagai cara masyarakat Madura untuk menunjukkan kekuatan dan ketahanan pada masa penjajahan.</v>
      </c>
    </row>
    <row r="20">
      <c r="A20" s="5">
        <v>19.0</v>
      </c>
      <c r="B20" s="5" t="s">
        <v>303</v>
      </c>
      <c r="C20" s="5" t="s">
        <v>304</v>
      </c>
      <c r="D20" s="5" t="s">
        <v>277</v>
      </c>
      <c r="E20" s="5" t="s">
        <v>305</v>
      </c>
      <c r="G20" s="6" t="str">
        <f>IFERROR(__xludf.DUMMYFUNCTION("GOOGLETRANSLATE(A20, ""en"", ""id"")"),"19")</f>
        <v>19</v>
      </c>
      <c r="H20" s="6" t="str">
        <f>IFERROR(__xludf.DUMMYFUNCTION("GOOGLETRANSLATE(B20, ""en"", ""id"")"),"Daerah Indonesia manakah yang berupaya melestarikan Karapan Sapi sebagai bagian dari warisan budayanya?")</f>
        <v>Daerah Indonesia manakah yang berupaya melestarikan Karapan Sapi sebagai bagian dari warisan budayanya?</v>
      </c>
      <c r="I20" s="6" t="str">
        <f>IFERROR(__xludf.DUMMYFUNCTION("GOOGLETRANSLATE(C20, ""en"", ""id"")"),"A) Bali, B) Jawa Barat, C) Madura, D) Jakarta")</f>
        <v>A) Bali, B) Jawa Barat, C) Madura, D) Jakarta</v>
      </c>
      <c r="J20" s="6" t="str">
        <f>IFERROR(__xludf.DUMMYFUNCTION("GOOGLETRANSLATE(D20, ""en"", ""id"")"),"C) Madura")</f>
        <v>C) Madura</v>
      </c>
      <c r="K20" s="6" t="str">
        <f>IFERROR(__xludf.DUMMYFUNCTION("GOOGLETRANSLATE(E20, ""en"", ""id"")"),"Madura telah bekerja keras untuk melestarikan Karapan Sapi sebagai bagian dari identitas budayanya.")</f>
        <v>Madura telah bekerja keras untuk melestarikan Karapan Sapi sebagai bagian dari identitas budayanya.</v>
      </c>
    </row>
    <row r="21">
      <c r="A21" s="5">
        <v>20.0</v>
      </c>
      <c r="B21" s="5" t="s">
        <v>306</v>
      </c>
      <c r="C21" s="5" t="s">
        <v>307</v>
      </c>
      <c r="D21" s="5" t="s">
        <v>308</v>
      </c>
      <c r="E21" s="5" t="s">
        <v>309</v>
      </c>
      <c r="G21" s="6" t="str">
        <f>IFERROR(__xludf.DUMMYFUNCTION("GOOGLETRANSLATE(A21, ""en"", ""id"")"),"20")</f>
        <v>20</v>
      </c>
      <c r="H21" s="6" t="str">
        <f>IFERROR(__xludf.DUMMYFUNCTION("GOOGLETRANSLATE(B21, ""en"", ""id"")"),"Bahan apa yang biasanya digunakan untuk membuat kereta luncur dalam Karapan Sapi?")</f>
        <v>Bahan apa yang biasanya digunakan untuk membuat kereta luncur dalam Karapan Sapi?</v>
      </c>
      <c r="I21" s="6" t="str">
        <f>IFERROR(__xludf.DUMMYFUNCTION("GOOGLETRANSLATE(C21, ""en"", ""id"")"),"A) Kayu, B) Logam, C) Plastik, D) Bambu")</f>
        <v>A) Kayu, B) Logam, C) Plastik, D) Bambu</v>
      </c>
      <c r="J21" s="6" t="str">
        <f>IFERROR(__xludf.DUMMYFUNCTION("GOOGLETRANSLATE(D21, ""en"", ""id"")"),"A) Kayu")</f>
        <v>A) Kayu</v>
      </c>
      <c r="K21" s="6" t="str">
        <f>IFERROR(__xludf.DUMMYFUNCTION("GOOGLETRANSLATE(E21, ""en"", ""id"")"),"Kereta luncur, atau pancang, secara tradisional terbuat dari kayu dan digunakan untuk menarik banteng.")</f>
        <v>Kereta luncur, atau pancang, secara tradisional terbuat dari kayu dan digunakan untuk menarik banteng.</v>
      </c>
    </row>
    <row r="22">
      <c r="A22" s="5">
        <v>21.0</v>
      </c>
      <c r="B22" s="5" t="s">
        <v>310</v>
      </c>
      <c r="C22" s="5" t="s">
        <v>311</v>
      </c>
      <c r="D22" s="5" t="s">
        <v>312</v>
      </c>
      <c r="E22" s="5" t="s">
        <v>313</v>
      </c>
      <c r="G22" s="6" t="str">
        <f>IFERROR(__xludf.DUMMYFUNCTION("GOOGLETRANSLATE(A22, ""en"", ""id"")"),"21")</f>
        <v>21</v>
      </c>
      <c r="H22" s="6" t="str">
        <f>IFERROR(__xludf.DUMMYFUNCTION("GOOGLETRANSLATE(B22, ""en"", ""id"")"),"Apa peran penonton dalam lomba karapan sapi?")</f>
        <v>Apa peran penonton dalam lomba karapan sapi?</v>
      </c>
      <c r="I22" s="6" t="str">
        <f>IFERROR(__xludf.DUMMYFUNCTION("GOOGLETRANSLATE(C22, ""en"", ""id"")"),"A) Untuk menyemangati dan mendukung banteng, B) Untuk memasang taruhan, C) Untuk menilai perlombaan, D) Untuk membantu melatih banteng")</f>
        <v>A) Untuk menyemangati dan mendukung banteng, B) Untuk memasang taruhan, C) Untuk menilai perlombaan, D) Untuk membantu melatih banteng</v>
      </c>
      <c r="J22" s="6" t="str">
        <f>IFERROR(__xludf.DUMMYFUNCTION("GOOGLETRANSLATE(D22, ""en"", ""id"")"),"A) Untuk menyemangati dan mendukung banteng")</f>
        <v>A) Untuk menyemangati dan mendukung banteng</v>
      </c>
      <c r="K22" s="6" t="str">
        <f>IFERROR(__xludf.DUMMYFUNCTION("GOOGLETRANSLATE(E22, ""en"", ""id"")"),"Penonton berperan penting dalam menyemangati dan mendukung peserta, serta menciptakan kegembiraan.")</f>
        <v>Penonton berperan penting dalam menyemangati dan mendukung peserta, serta menciptakan kegembiraan.</v>
      </c>
    </row>
    <row r="23">
      <c r="A23" s="5">
        <v>22.0</v>
      </c>
      <c r="B23" s="5" t="s">
        <v>314</v>
      </c>
      <c r="C23" s="5" t="s">
        <v>315</v>
      </c>
      <c r="D23" s="5" t="s">
        <v>316</v>
      </c>
      <c r="E23" s="5" t="s">
        <v>317</v>
      </c>
      <c r="G23" s="6" t="str">
        <f>IFERROR(__xludf.DUMMYFUNCTION("GOOGLETRANSLATE(A23, ""en"", ""id"")"),"22")</f>
        <v>22</v>
      </c>
      <c r="H23" s="6" t="str">
        <f>IFERROR(__xludf.DUMMYFUNCTION("GOOGLETRANSLATE(B23, ""en"", ""id"")"),"Apa saja ritual umum yang dilakukan sebelum lomba Karapan Sapi?")</f>
        <v>Apa saja ritual umum yang dilakukan sebelum lomba Karapan Sapi?</v>
      </c>
      <c r="I23" s="6" t="str">
        <f>IFERROR(__xludf.DUMMYFUNCTION("GOOGLETRANSLATE(C23, ""en"", ""id"")"),"A) Memberkati lembu jantan, B) Melukis lembu jantan, C) Memberikan persembahan, D) Memandikan lembu jantan")</f>
        <v>A) Memberkati lembu jantan, B) Melukis lembu jantan, C) Memberikan persembahan, D) Memandikan lembu jantan</v>
      </c>
      <c r="J23" s="6" t="str">
        <f>IFERROR(__xludf.DUMMYFUNCTION("GOOGLETRANSLATE(D23, ""en"", ""id"")"),"A) Memberkati banteng")</f>
        <v>A) Memberkati banteng</v>
      </c>
      <c r="K23" s="6" t="str">
        <f>IFERROR(__xludf.DUMMYFUNCTION("GOOGLETRANSLATE(E23, ""en"", ""id"")"),"Sebelum perlombaan, banteng sering diberkati untuk memastikan keselamatan dan keberhasilan mereka selama perlombaan.")</f>
        <v>Sebelum perlombaan, banteng sering diberkati untuk memastikan keselamatan dan keberhasilan mereka selama perlombaan.</v>
      </c>
    </row>
    <row r="24">
      <c r="A24" s="5">
        <v>23.0</v>
      </c>
      <c r="B24" s="5" t="s">
        <v>318</v>
      </c>
      <c r="C24" s="5" t="s">
        <v>319</v>
      </c>
      <c r="D24" s="5" t="s">
        <v>320</v>
      </c>
      <c r="E24" s="5" t="s">
        <v>321</v>
      </c>
      <c r="G24" s="6" t="str">
        <f>IFERROR(__xludf.DUMMYFUNCTION("GOOGLETRANSLATE(A24, ""en"", ""id"")"),"23")</f>
        <v>23</v>
      </c>
      <c r="H24" s="6" t="str">
        <f>IFERROR(__xludf.DUMMYFUNCTION("GOOGLETRANSLATE(B24, ""en"", ""id"")"),"Apa itu festival 'Karapan Sapi Madura'?")</f>
        <v>Apa itu festival 'Karapan Sapi Madura'?</v>
      </c>
      <c r="I24" s="6" t="str">
        <f>IFERROR(__xludf.DUMMYFUNCTION("GOOGLETRANSLATE(C24, ""en"", ""id"")"),"A) Festival banteng, B) Perayaan pernikahan, C) Festival panen, D) Parade budaya")</f>
        <v>A) Festival banteng, B) Perayaan pernikahan, C) Festival panen, D) Parade budaya</v>
      </c>
      <c r="J24" s="6" t="str">
        <f>IFERROR(__xludf.DUMMYFUNCTION("GOOGLETRANSLATE(D24, ""en"", ""id"")"),"A) Festival banteng")</f>
        <v>A) Festival banteng</v>
      </c>
      <c r="K24" s="6" t="str">
        <f>IFERROR(__xludf.DUMMYFUNCTION("GOOGLETRANSLATE(E24, ""en"", ""id"")"),"Festival Karapan Sapi Madura merupakan perayaan tahunan yang menampilkan balap sapi sebagai acara tradisional.")</f>
        <v>Festival Karapan Sapi Madura merupakan perayaan tahunan yang menampilkan balap sapi sebagai acara tradisional.</v>
      </c>
    </row>
    <row r="25">
      <c r="A25" s="5">
        <v>24.0</v>
      </c>
      <c r="B25" s="5" t="s">
        <v>322</v>
      </c>
      <c r="C25" s="5" t="s">
        <v>323</v>
      </c>
      <c r="D25" s="5" t="s">
        <v>234</v>
      </c>
      <c r="E25" s="5" t="s">
        <v>324</v>
      </c>
      <c r="G25" s="6" t="str">
        <f>IFERROR(__xludf.DUMMYFUNCTION("GOOGLETRANSLATE(A25, ""en"", ""id"")"),"24")</f>
        <v>24</v>
      </c>
      <c r="H25" s="6" t="str">
        <f>IFERROR(__xludf.DUMMYFUNCTION("GOOGLETRANSLATE(B25, ""en"", ""id"")"),"Jenis banteng apa saja yang digunakan dalam lomba karapan sapi?")</f>
        <v>Jenis banteng apa saja yang digunakan dalam lomba karapan sapi?</v>
      </c>
      <c r="I25" s="6" t="str">
        <f>IFERROR(__xludf.DUMMYFUNCTION("GOOGLETRANSLATE(C25, ""en"", ""id"")"),"A) Brahman, B) Madura, C) Jawa, D) Bali")</f>
        <v>A) Brahman, B) Madura, C) Jawa, D) Bali</v>
      </c>
      <c r="J25" s="6" t="str">
        <f>IFERROR(__xludf.DUMMYFUNCTION("GOOGLETRANSLATE(D25, ""en"", ""id"")"),"B) Madura")</f>
        <v>B) Madura</v>
      </c>
      <c r="K25" s="6" t="str">
        <f>IFERROR(__xludf.DUMMYFUNCTION("GOOGLETRANSLATE(E25, ""en"", ""id"")"),"Sapi jantan yang digunakan dalam lomba karapan sapi umumnya adalah sapi Madura yang dikenal kuat dan lincah.")</f>
        <v>Sapi jantan yang digunakan dalam lomba karapan sapi umumnya adalah sapi Madura yang dikenal kuat dan lincah.</v>
      </c>
    </row>
    <row r="26">
      <c r="A26" s="5">
        <v>25.0</v>
      </c>
      <c r="B26" s="5" t="s">
        <v>325</v>
      </c>
      <c r="C26" s="5" t="s">
        <v>326</v>
      </c>
      <c r="D26" s="5" t="s">
        <v>327</v>
      </c>
      <c r="E26" s="5" t="s">
        <v>328</v>
      </c>
      <c r="G26" s="6" t="str">
        <f>IFERROR(__xludf.DUMMYFUNCTION("GOOGLETRANSLATE(A26, ""en"", ""id"")"),"25")</f>
        <v>25</v>
      </c>
      <c r="H26" s="6" t="str">
        <f>IFERROR(__xludf.DUMMYFUNCTION("GOOGLETRANSLATE(B26, ""en"", ""id"")"),"Bagaimana pemilik banteng mempersiapkan bantengnya untuk lomba Karapan Sapi?")</f>
        <v>Bagaimana pemilik banteng mempersiapkan bantengnya untuk lomba Karapan Sapi?</v>
      </c>
      <c r="I26" s="6" t="str">
        <f>IFERROR(__xludf.DUMMYFUNCTION("GOOGLETRANSLATE(C26, ""en"", ""id"")"),"A) Mereka melatih mereka untuk kekuatan, B) Mereka mengajari mereka cara berlomba, C) Mereka memberi mereka makanan khusus, D) Mereka mengecat mereka")</f>
        <v>A) Mereka melatih mereka untuk kekuatan, B) Mereka mengajari mereka cara berlomba, C) Mereka memberi mereka makanan khusus, D) Mereka mengecat mereka</v>
      </c>
      <c r="J26" s="6" t="str">
        <f>IFERROR(__xludf.DUMMYFUNCTION("GOOGLETRANSLATE(D26, ""en"", ""id"")"),"A) Mereka melatih mereka untuk kekuatan")</f>
        <v>A) Mereka melatih mereka untuk kekuatan</v>
      </c>
      <c r="K26" s="6" t="str">
        <f>IFERROR(__xludf.DUMMYFUNCTION("GOOGLETRANSLATE(E26, ""en"", ""id"")"),"Pemilik banteng melatih banteng mereka untuk mengembangkan kekuatan dan stamina untuk balapan.")</f>
        <v>Pemilik banteng melatih banteng mereka untuk mengembangkan kekuatan dan stamina untuk balapan.</v>
      </c>
    </row>
    <row r="27">
      <c r="A27" s="5">
        <v>26.0</v>
      </c>
      <c r="B27" s="5" t="s">
        <v>329</v>
      </c>
      <c r="C27" s="5" t="s">
        <v>330</v>
      </c>
      <c r="D27" s="5" t="s">
        <v>331</v>
      </c>
      <c r="E27" s="5" t="s">
        <v>332</v>
      </c>
      <c r="G27" s="6" t="str">
        <f>IFERROR(__xludf.DUMMYFUNCTION("GOOGLETRANSLATE(A27, ""en"", ""id"")"),"26")</f>
        <v>26</v>
      </c>
      <c r="H27" s="6" t="str">
        <f>IFERROR(__xludf.DUMMYFUNCTION("GOOGLETRANSLATE(B27, ""en"", ""id"")"),"Apa arti penting perlombaan Karapan Sapi bagi masyarakat Madura?")</f>
        <v>Apa arti penting perlombaan Karapan Sapi bagi masyarakat Madura?</v>
      </c>
      <c r="I27" s="6" t="str">
        <f>IFERROR(__xludf.DUMMYFUNCTION("GOOGLETRANSLATE(C27, ""en"", ""id"")"),"A) Menandai dimulainya panen, B) Menunjukkan kekuatan masyarakat, C) Merupakan bentuk hiburan, D) Menghormati raja")</f>
        <v>A) Menandai dimulainya panen, B) Menunjukkan kekuatan masyarakat, C) Merupakan bentuk hiburan, D) Menghormati raja</v>
      </c>
      <c r="J27" s="6" t="str">
        <f>IFERROR(__xludf.DUMMYFUNCTION("GOOGLETRANSLATE(D27, ""en"", ""id"")"),"B) Ini menunjukkan kekuatan komunitas")</f>
        <v>B) Ini menunjukkan kekuatan komunitas</v>
      </c>
      <c r="K27" s="6" t="str">
        <f>IFERROR(__xludf.DUMMYFUNCTION("GOOGLETRANSLATE(E27, ""en"", ""id"")"),"Karapan Sapi dipandang sebagai cara untuk menunjukkan kekuatan, kebanggaan, dan persatuan masyarakat Madura.")</f>
        <v>Karapan Sapi dipandang sebagai cara untuk menunjukkan kekuatan, kebanggaan, dan persatuan masyarakat Madura.</v>
      </c>
    </row>
    <row r="28">
      <c r="A28" s="5">
        <v>27.0</v>
      </c>
      <c r="B28" s="5" t="s">
        <v>333</v>
      </c>
      <c r="C28" s="5" t="s">
        <v>334</v>
      </c>
      <c r="D28" s="5" t="s">
        <v>335</v>
      </c>
      <c r="E28" s="5" t="s">
        <v>336</v>
      </c>
      <c r="G28" s="6" t="str">
        <f>IFERROR(__xludf.DUMMYFUNCTION("GOOGLETRANSLATE(A28, ""en"", ""id"")"),"27")</f>
        <v>27</v>
      </c>
      <c r="H28" s="6" t="str">
        <f>IFERROR(__xludf.DUMMYFUNCTION("GOOGLETRANSLATE(B28, ""en"", ""id"")"),"Apa saja keuntungan yang didapat pemilik banteng yang menang jika berhasil dalam lomba Karapan Sapi?")</f>
        <v>Apa saja keuntungan yang didapat pemilik banteng yang menang jika berhasil dalam lomba Karapan Sapi?</v>
      </c>
      <c r="I28" s="6" t="str">
        <f>IFERROR(__xludf.DUMMYFUNCTION("GOOGLETRANSLATE(C28, ""en"", ""id"")"),"A) Ketenaran, B) Kekayaan, C) Reputasi yang lebih baik, D) Banteng baru")</f>
        <v>A) Ketenaran, B) Kekayaan, C) Reputasi yang lebih baik, D) Banteng baru</v>
      </c>
      <c r="J28" s="6" t="str">
        <f>IFERROR(__xludf.DUMMYFUNCTION("GOOGLETRANSLATE(D28, ""en"", ""id"")"),"C) Reputasi yang lebih baik")</f>
        <v>C) Reputasi yang lebih baik</v>
      </c>
      <c r="K28" s="6" t="str">
        <f>IFERROR(__xludf.DUMMYFUNCTION("GOOGLETRANSLATE(E28, ""en"", ""id"")"),"Kemenangan dalam Karapan Sapi meningkatkan reputasi pemilik banteng di mata masyarakat.")</f>
        <v>Kemenangan dalam Karapan Sapi meningkatkan reputasi pemilik banteng di mata masyarakat.</v>
      </c>
    </row>
    <row r="29">
      <c r="A29" s="5">
        <v>28.0</v>
      </c>
      <c r="B29" s="5" t="s">
        <v>337</v>
      </c>
      <c r="C29" s="5" t="s">
        <v>338</v>
      </c>
      <c r="D29" s="5" t="s">
        <v>339</v>
      </c>
      <c r="E29" s="5" t="s">
        <v>340</v>
      </c>
      <c r="G29" s="6" t="str">
        <f>IFERROR(__xludf.DUMMYFUNCTION("GOOGLETRANSLATE(A29, ""en"", ""id"")"),"28")</f>
        <v>28</v>
      </c>
      <c r="H29" s="6" t="str">
        <f>IFERROR(__xludf.DUMMYFUNCTION("GOOGLETRANSLATE(B29, ""en"", ""id"")"),"Bagaimana banteng dilatih secara tradisional untuk Karapan Sapi?")</f>
        <v>Bagaimana banteng dilatih secara tradisional untuk Karapan Sapi?</v>
      </c>
      <c r="I29" s="6" t="str">
        <f>IFERROR(__xludf.DUMMYFUNCTION("GOOGLETRANSLATE(C29, ""en"", ""id"")"),"A) Dengan berlari bersama banteng lainnya, B) Dengan menarik beban berat, C) Dengan mengejar hewan kecil, D) Dengan berlari di atas treadmill")</f>
        <v>A) Dengan berlari bersama banteng lainnya, B) Dengan menarik beban berat, C) Dengan mengejar hewan kecil, D) Dengan berlari di atas treadmill</v>
      </c>
      <c r="J29" s="6" t="str">
        <f>IFERROR(__xludf.DUMMYFUNCTION("GOOGLETRANSLATE(D29, ""en"", ""id"")"),"B) Dengan menarik beban berat")</f>
        <v>B) Dengan menarik beban berat</v>
      </c>
      <c r="K29" s="6" t="str">
        <f>IFERROR(__xludf.DUMMYFUNCTION("GOOGLETRANSLATE(E29, ""en"", ""id"")"),"Banteng dilatih dengan menarik beban berat untuk membangun kekuatan dan stamina untuk perlombaan.")</f>
        <v>Banteng dilatih dengan menarik beban berat untuk membangun kekuatan dan stamina untuk perlombaan.</v>
      </c>
    </row>
    <row r="30">
      <c r="A30" s="5">
        <v>29.0</v>
      </c>
      <c r="B30" s="5" t="s">
        <v>341</v>
      </c>
      <c r="C30" s="5" t="s">
        <v>342</v>
      </c>
      <c r="D30" s="5" t="s">
        <v>343</v>
      </c>
      <c r="E30" s="5" t="s">
        <v>344</v>
      </c>
      <c r="G30" s="6" t="str">
        <f>IFERROR(__xludf.DUMMYFUNCTION("GOOGLETRANSLATE(A30, ""en"", ""id"")"),"29")</f>
        <v>29</v>
      </c>
      <c r="H30" s="6" t="str">
        <f>IFERROR(__xludf.DUMMYFUNCTION("GOOGLETRANSLATE(B30, ""en"", ""id"")"),"Apa peran pelatih dalam Karapan Sapi?")</f>
        <v>Apa peran pelatih dalam Karapan Sapi?</v>
      </c>
      <c r="I30" s="6" t="str">
        <f>IFERROR(__xludf.DUMMYFUNCTION("GOOGLETRANSLATE(C30, ""en"", ""id"")"),"A) Untuk mengatur pola makan banteng, B) Untuk melatih banteng agar cepat, C) Untuk menilai perlombaan, D) Untuk menyemangati banteng.")</f>
        <v>A) Untuk mengatur pola makan banteng, B) Untuk melatih banteng agar cepat, C) Untuk menilai perlombaan, D) Untuk menyemangati banteng.</v>
      </c>
      <c r="J30" s="6" t="str">
        <f>IFERROR(__xludf.DUMMYFUNCTION("GOOGLETRANSLATE(D30, ""en"", ""id"")"),"B) Untuk melatih banteng agar cepat")</f>
        <v>B) Untuk melatih banteng agar cepat</v>
      </c>
      <c r="K30" s="6" t="str">
        <f>IFERROR(__xludf.DUMMYFUNCTION("GOOGLETRANSLATE(E30, ""en"", ""id"")"),"Peran utama pelatih adalah melatih banteng, dengan fokus pada pengembangan kecepatan dan kelincahan.")</f>
        <v>Peran utama pelatih adalah melatih banteng, dengan fokus pada pengembangan kecepatan dan kelincahan.</v>
      </c>
    </row>
    <row r="31">
      <c r="A31" s="5">
        <v>30.0</v>
      </c>
      <c r="B31" s="5" t="s">
        <v>345</v>
      </c>
      <c r="C31" s="5" t="s">
        <v>346</v>
      </c>
      <c r="D31" s="5" t="s">
        <v>347</v>
      </c>
      <c r="E31" s="7" t="s">
        <v>348</v>
      </c>
      <c r="G31" s="6" t="str">
        <f>IFERROR(__xludf.DUMMYFUNCTION("GOOGLETRANSLATE(A31, ""en"", ""id"")"),"30")</f>
        <v>30</v>
      </c>
      <c r="H31" s="6" t="str">
        <f>IFERROR(__xludf.DUMMYFUNCTION("GOOGLETRANSLATE(B31, ""en"", ""id"")"),"Apa yang dimaksud dengan 'Galengan' dalam konteks Karapan Sapi?")</f>
        <v>Apa yang dimaksud dengan 'Galengan' dalam konteks Karapan Sapi?</v>
      </c>
      <c r="I31" s="6" t="str">
        <f>IFERROR(__xludf.DUMMYFUNCTION("GOOGLETRANSLATE(C31, ""en"", ""id"")"),"A) Pemenangnya, B) Lintasannya, C) Festivalnya, D) Kereta luncurnya")</f>
        <v>A) Pemenangnya, B) Lintasannya, C) Festivalnya, D) Kereta luncurnya</v>
      </c>
      <c r="J31" s="6" t="str">
        <f>IFERROR(__xludf.DUMMYFUNCTION("GOOGLETRANSLATE(D31, ""en"", ""id"")"),"B) Jalur")</f>
        <v>B) Jalur</v>
      </c>
      <c r="K31" s="6" t="str">
        <f>IFERROR(__xludf.DUMMYFUNCTION("GOOGLETRANSLATE(E31, ""en"", ""id"")"),"'Galengan' merujuk pada lintasan tanah yang digunakan untuk lomba Karapan Sapi.")</f>
        <v>'Galengan' merujuk pada lintasan tanah yang digunakan untuk lomba Karapan Sapi.</v>
      </c>
    </row>
    <row r="32">
      <c r="A32" s="5">
        <v>31.0</v>
      </c>
      <c r="B32" s="5" t="s">
        <v>349</v>
      </c>
      <c r="C32" s="5" t="s">
        <v>350</v>
      </c>
      <c r="D32" s="5" t="s">
        <v>351</v>
      </c>
      <c r="E32" s="5" t="s">
        <v>352</v>
      </c>
      <c r="G32" s="6" t="str">
        <f>IFERROR(__xludf.DUMMYFUNCTION("GOOGLETRANSLATE(A32, ""en"", ""id"")"),"31")</f>
        <v>31</v>
      </c>
      <c r="H32" s="6" t="str">
        <f>IFERROR(__xludf.DUMMYFUNCTION("GOOGLETRANSLATE(B32, ""en"", ""id"")"),"Apa pakaian adat peserta lomba karapan sapi?")</f>
        <v>Apa pakaian adat peserta lomba karapan sapi?</v>
      </c>
      <c r="I32" s="6" t="str">
        <f>IFERROR(__xludf.DUMMYFUNCTION("GOOGLETRANSLATE(C32, ""en"", ""id"")"),"A) Seragam, B) Pakaian adat Madura, C) Baju balap, D) Pakaian santai")</f>
        <v>A) Seragam, B) Pakaian adat Madura, C) Baju balap, D) Pakaian santai</v>
      </c>
      <c r="J32" s="6" t="str">
        <f>IFERROR(__xludf.DUMMYFUNCTION("GOOGLETRANSLATE(D32, ""en"", ""id"")"),"B) Pakaian adat Madura")</f>
        <v>B) Pakaian adat Madura</v>
      </c>
      <c r="K32" s="6" t="str">
        <f>IFERROR(__xludf.DUMMYFUNCTION("GOOGLETRANSLATE(E32, ""en"", ""id"")"),"Peserta biasanya mengenakan pakaian tradisional Madura selama perlombaan, menambah pengalaman budaya.")</f>
        <v>Peserta biasanya mengenakan pakaian tradisional Madura selama perlombaan, menambah pengalaman budaya.</v>
      </c>
    </row>
    <row r="33">
      <c r="A33" s="5">
        <v>32.0</v>
      </c>
      <c r="B33" s="5" t="s">
        <v>353</v>
      </c>
      <c r="C33" s="5" t="s">
        <v>354</v>
      </c>
      <c r="D33" s="5" t="s">
        <v>207</v>
      </c>
      <c r="E33" s="5" t="s">
        <v>355</v>
      </c>
      <c r="G33" s="6" t="str">
        <f>IFERROR(__xludf.DUMMYFUNCTION("GOOGLETRANSLATE(A33, ""en"", ""id"")"),"32")</f>
        <v>32</v>
      </c>
      <c r="H33" s="6" t="str">
        <f>IFERROR(__xludf.DUMMYFUNCTION("GOOGLETRANSLATE(B33, ""en"", ""id"")"),"Pada tahun berapa Karapan Sapi resmi diakui sebagai warisan budaya Indonesia?")</f>
        <v>Pada tahun berapa Karapan Sapi resmi diakui sebagai warisan budaya Indonesia?</v>
      </c>
      <c r="I33" s="6" t="str">
        <f>IFERROR(__xludf.DUMMYFUNCTION("GOOGLETRANSLATE(C33, ""en"", ""id"")"),"A) Tahun 1980, B) Tahun 1991, C) Tahun 2000, D) Tahun 2005")</f>
        <v>A) Tahun 1980, B) Tahun 1991, C) Tahun 2000, D) Tahun 2005</v>
      </c>
      <c r="J33" s="6" t="str">
        <f>IFERROR(__xludf.DUMMYFUNCTION("GOOGLETRANSLATE(D33, ""en"", ""id"")"),"B) Tahun 1991")</f>
        <v>B) Tahun 1991</v>
      </c>
      <c r="K33" s="6" t="str">
        <f>IFERROR(__xludf.DUMMYFUNCTION("GOOGLETRANSLATE(E33, ""en"", ""id"")"),"Karapan Sapi secara resmi diakui sebagai warisan budaya Indonesia pada tahun 1991.")</f>
        <v>Karapan Sapi secara resmi diakui sebagai warisan budaya Indonesia pada tahun 1991.</v>
      </c>
    </row>
    <row r="34">
      <c r="A34" s="5">
        <v>33.0</v>
      </c>
      <c r="B34" s="5" t="s">
        <v>356</v>
      </c>
      <c r="C34" s="5" t="s">
        <v>357</v>
      </c>
      <c r="D34" s="5" t="s">
        <v>358</v>
      </c>
      <c r="E34" s="5" t="s">
        <v>359</v>
      </c>
      <c r="G34" s="6" t="str">
        <f>IFERROR(__xludf.DUMMYFUNCTION("GOOGLETRANSLATE(A34, ""en"", ""id"")"),"33")</f>
        <v>33</v>
      </c>
      <c r="H34" s="6" t="str">
        <f>IFERROR(__xludf.DUMMYFUNCTION("GOOGLETRANSLATE(B34, ""en"", ""id"")"),"Berapa lama durasi tradisional lomba karapan sapi?")</f>
        <v>Berapa lama durasi tradisional lomba karapan sapi?</v>
      </c>
      <c r="I34" s="6" t="str">
        <f>IFERROR(__xludf.DUMMYFUNCTION("GOOGLETRANSLATE(C34, ""en"", ""id"")"),"A) 5 detik, B) 30 detik, C) 1 menit, D) 3 menit")</f>
        <v>A) 5 detik, B) 30 detik, C) 1 menit, D) 3 menit</v>
      </c>
      <c r="J34" s="6" t="str">
        <f>IFERROR(__xludf.DUMMYFUNCTION("GOOGLETRANSLATE(D34, ""en"", ""id"")"),"B) 30 detik")</f>
        <v>B) 30 detik</v>
      </c>
      <c r="K34" s="6" t="str">
        <f>IFERROR(__xludf.DUMMYFUNCTION("GOOGLETRANSLATE(E34, ""en"", ""id"")"),"Perlombaan biasanya berlangsung sekitar 30 detik, menempuh jarak sekitar 100 meter.")</f>
        <v>Perlombaan biasanya berlangsung sekitar 30 detik, menempuh jarak sekitar 100 meter.</v>
      </c>
    </row>
    <row r="35">
      <c r="A35" s="5">
        <v>34.0</v>
      </c>
      <c r="B35" s="5" t="s">
        <v>360</v>
      </c>
      <c r="C35" s="5" t="s">
        <v>361</v>
      </c>
      <c r="D35" s="5" t="s">
        <v>362</v>
      </c>
      <c r="E35" s="5" t="s">
        <v>363</v>
      </c>
      <c r="G35" s="6" t="str">
        <f>IFERROR(__xludf.DUMMYFUNCTION("GOOGLETRANSLATE(A35, ""en"", ""id"")"),"34")</f>
        <v>34</v>
      </c>
      <c r="H35" s="6" t="str">
        <f>IFERROR(__xludf.DUMMYFUNCTION("GOOGLETRANSLATE(B35, ""en"", ""id"")"),"Apa arti kereta luncur kayu yang digunakan dalam Karapan Sapi?")</f>
        <v>Apa arti kereta luncur kayu yang digunakan dalam Karapan Sapi?</v>
      </c>
      <c r="I35" s="6" t="str">
        <f>IFERROR(__xludf.DUMMYFUNCTION("GOOGLETRANSLATE(C35, ""en"", ""id"")"),"A) Simbol status, B) Alat bagi ras, C) Persembahan keagamaan, D) Bentuk dekorasi")</f>
        <v>A) Simbol status, B) Alat bagi ras, C) Persembahan keagamaan, D) Bentuk dekorasi</v>
      </c>
      <c r="J35" s="6" t="str">
        <f>IFERROR(__xludf.DUMMYFUNCTION("GOOGLETRANSLATE(D35, ""en"", ""id"")"),"B) Alat untuk balapan")</f>
        <v>B) Alat untuk balapan</v>
      </c>
      <c r="K35" s="6" t="str">
        <f>IFERROR(__xludf.DUMMYFUNCTION("GOOGLETRANSLATE(E35, ""en"", ""id"")"),"Kereta luncur kayu, atau pancang, merupakan bagian penting dari perlombaan, yang memungkinkan banteng menarik pengemudi.")</f>
        <v>Kereta luncur kayu, atau pancang, merupakan bagian penting dari perlombaan, yang memungkinkan banteng menarik pengemudi.</v>
      </c>
    </row>
    <row r="36">
      <c r="A36" s="5">
        <v>35.0</v>
      </c>
      <c r="B36" s="5" t="s">
        <v>364</v>
      </c>
      <c r="C36" s="5" t="s">
        <v>365</v>
      </c>
      <c r="D36" s="5" t="s">
        <v>366</v>
      </c>
      <c r="E36" s="5" t="s">
        <v>367</v>
      </c>
      <c r="G36" s="6" t="str">
        <f>IFERROR(__xludf.DUMMYFUNCTION("GOOGLETRANSLATE(A36, ""en"", ""id"")"),"35")</f>
        <v>35</v>
      </c>
      <c r="H36" s="6" t="str">
        <f>IFERROR(__xludf.DUMMYFUNCTION("GOOGLETRANSLATE(B36, ""en"", ""id"")"),"Jenis banteng apa yang biasa digunakan dalam lomba karapan sapi?")</f>
        <v>Jenis banteng apa yang biasa digunakan dalam lomba karapan sapi?</v>
      </c>
      <c r="I36" s="6" t="str">
        <f>IFERROR(__xludf.DUMMYFUNCTION("GOOGLETRANSLATE(C36, ""en"", ""id"")"),"A) Madura, B) Brahman, C) Jawa, D) Bali")</f>
        <v>A) Madura, B) Brahman, C) Jawa, D) Bali</v>
      </c>
      <c r="J36" s="6" t="str">
        <f>IFERROR(__xludf.DUMMYFUNCTION("GOOGLETRANSLATE(D36, ""en"", ""id"")"),"A) Madura")</f>
        <v>A) Madura</v>
      </c>
      <c r="K36" s="6" t="str">
        <f>IFERROR(__xludf.DUMMYFUNCTION("GOOGLETRANSLATE(E36, ""en"", ""id"")"),"Banteng Madura merupakan jenis banteng yang menjadi primadona dalam Karapan Sapi karena kekuatan dan kecepatannya.")</f>
        <v>Banteng Madura merupakan jenis banteng yang menjadi primadona dalam Karapan Sapi karena kekuatan dan kecepatannya.</v>
      </c>
    </row>
    <row r="37">
      <c r="A37" s="5">
        <v>36.0</v>
      </c>
      <c r="B37" s="5" t="s">
        <v>368</v>
      </c>
      <c r="C37" s="5" t="s">
        <v>369</v>
      </c>
      <c r="D37" s="5" t="s">
        <v>370</v>
      </c>
      <c r="E37" s="5" t="s">
        <v>371</v>
      </c>
      <c r="G37" s="6" t="str">
        <f>IFERROR(__xludf.DUMMYFUNCTION("GOOGLETRANSLATE(A37, ""en"", ""id"")"),"36")</f>
        <v>36</v>
      </c>
      <c r="H37" s="6" t="str">
        <f>IFERROR(__xludf.DUMMYFUNCTION("GOOGLETRANSLATE(B37, ""en"", ""id"")"),"Apa saja perayaan adat yang mengiringi lomba karapan sapi?")</f>
        <v>Apa saja perayaan adat yang mengiringi lomba karapan sapi?</v>
      </c>
      <c r="I37" s="6" t="str">
        <f>IFERROR(__xludf.DUMMYFUNCTION("GOOGLETRANSLATE(C37, ""en"", ""id"")"),"A) Festival panen, B) Penobatan kerajaan, C) Perayaan tahun baru, D) Parade budaya")</f>
        <v>A) Festival panen, B) Penobatan kerajaan, C) Perayaan tahun baru, D) Parade budaya</v>
      </c>
      <c r="J37" s="6" t="str">
        <f>IFERROR(__xludf.DUMMYFUNCTION("GOOGLETRANSLATE(D37, ""en"", ""id"")"),"A) Festival panen")</f>
        <v>A) Festival panen</v>
      </c>
      <c r="K37" s="6" t="str">
        <f>IFERROR(__xludf.DUMMYFUNCTION("GOOGLETRANSLATE(E37, ""en"", ""id"")"),"Perlombaan Karapan Sapi sering kali menjadi bagian dari perayaan panen, yang melambangkan kemakmuran dan kesuburan tanah.")</f>
        <v>Perlombaan Karapan Sapi sering kali menjadi bagian dari perayaan panen, yang melambangkan kemakmuran dan kesuburan tanah.</v>
      </c>
    </row>
    <row r="38">
      <c r="A38" s="5">
        <v>37.0</v>
      </c>
      <c r="B38" s="5" t="s">
        <v>372</v>
      </c>
      <c r="C38" s="5" t="s">
        <v>373</v>
      </c>
      <c r="D38" s="5" t="s">
        <v>374</v>
      </c>
      <c r="E38" s="5" t="s">
        <v>375</v>
      </c>
      <c r="G38" s="6" t="str">
        <f>IFERROR(__xludf.DUMMYFUNCTION("GOOGLETRANSLATE(A38, ""en"", ""id"")"),"37")</f>
        <v>37</v>
      </c>
      <c r="H38" s="6" t="str">
        <f>IFERROR(__xludf.DUMMYFUNCTION("GOOGLETRANSLATE(B38, ""en"", ""id"")"),"Bagaimana banteng berkomunikasi dengan penunggangnya selama perlombaan?")</f>
        <v>Bagaimana banteng berkomunikasi dengan penunggangnya selama perlombaan?</v>
      </c>
      <c r="I38" s="6" t="str">
        <f>IFERROR(__xludf.DUMMYFUNCTION("GOOGLETRANSLATE(C38, ""en"", ""id"")"),"A) Melalui sinyal, B) Melalui perintah suara, C) Melalui cambuk, D) Melalui kendali dan tali kekang")</f>
        <v>A) Melalui sinyal, B) Melalui perintah suara, C) Melalui cambuk, D) Melalui kendali dan tali kekang</v>
      </c>
      <c r="J38" s="6" t="str">
        <f>IFERROR(__xludf.DUMMYFUNCTION("GOOGLETRANSLATE(D38, ""en"", ""id"")"),"D) Melalui kendali dan tali kekang")</f>
        <v>D) Melalui kendali dan tali kekang</v>
      </c>
      <c r="K38" s="6" t="str">
        <f>IFERROR(__xludf.DUMMYFUNCTION("GOOGLETRANSLATE(E38, ""en"", ""id"")"),"Para penunggang berkomunikasi dengan banteng melalui kendali dan tali kekang, membimbing mereka sepanjang perlombaan.")</f>
        <v>Para penunggang berkomunikasi dengan banteng melalui kendali dan tali kekang, membimbing mereka sepanjang perlombaan.</v>
      </c>
    </row>
    <row r="39">
      <c r="A39" s="5">
        <v>38.0</v>
      </c>
      <c r="B39" s="5" t="s">
        <v>376</v>
      </c>
      <c r="C39" s="5" t="s">
        <v>377</v>
      </c>
      <c r="D39" s="5" t="s">
        <v>242</v>
      </c>
      <c r="E39" s="5" t="s">
        <v>378</v>
      </c>
      <c r="G39" s="6" t="str">
        <f>IFERROR(__xludf.DUMMYFUNCTION("GOOGLETRANSLATE(A39, ""en"", ""id"")"),"38")</f>
        <v>38</v>
      </c>
      <c r="H39" s="6" t="str">
        <f>IFERROR(__xludf.DUMMYFUNCTION("GOOGLETRANSLATE(B39, ""en"", ""id"")"),"Berapa jumlah sapi jantan yang biasanya digunakan dalam setiap perlombaan karapan sapi?")</f>
        <v>Berapa jumlah sapi jantan yang biasanya digunakan dalam setiap perlombaan karapan sapi?</v>
      </c>
      <c r="I39" s="6" t="str">
        <f>IFERROR(__xludf.DUMMYFUNCTION("GOOGLETRANSLATE(C39, ""en"", ""id"")"),"A) Satu, B) Dua, C) Empat, D) Enam")</f>
        <v>A) Satu, B) Dua, C) Empat, D) Enam</v>
      </c>
      <c r="J39" s="6" t="str">
        <f>IFERROR(__xludf.DUMMYFUNCTION("GOOGLETRANSLATE(D39, ""en"", ""id"")"),"B) Dua")</f>
        <v>B) Dua</v>
      </c>
      <c r="K39" s="6" t="str">
        <f>IFERROR(__xludf.DUMMYFUNCTION("GOOGLETRANSLATE(E39, ""en"", ""id"")"),"Setiap tim Karapan Sapi biasanya berlomba dengan dua ekor banteng yang menarik kereta luncur.")</f>
        <v>Setiap tim Karapan Sapi biasanya berlomba dengan dua ekor banteng yang menarik kereta luncur.</v>
      </c>
    </row>
    <row r="40">
      <c r="A40" s="5">
        <v>39.0</v>
      </c>
      <c r="B40" s="5" t="s">
        <v>379</v>
      </c>
      <c r="C40" s="5" t="s">
        <v>380</v>
      </c>
      <c r="D40" s="5" t="s">
        <v>381</v>
      </c>
      <c r="E40" s="5" t="s">
        <v>382</v>
      </c>
      <c r="G40" s="6" t="str">
        <f>IFERROR(__xludf.DUMMYFUNCTION("GOOGLETRANSLATE(A40, ""en"", ""id"")"),"39")</f>
        <v>39</v>
      </c>
      <c r="H40" s="6" t="str">
        <f>IFERROR(__xludf.DUMMYFUNCTION("GOOGLETRANSLATE(B40, ""en"", ""id"")"),"Apa fungsi utama pemilik banteng saat lomba karapan sapi?")</f>
        <v>Apa fungsi utama pemilik banteng saat lomba karapan sapi?</v>
      </c>
      <c r="I40" s="6" t="str">
        <f>IFERROR(__xludf.DUMMYFUNCTION("GOOGLETRANSLATE(C40, ""en"", ""id"")"),"A) Untuk melatih banteng, B) Untuk menyemangati, C) Untuk mengendarai kereta luncur, D) Untuk mengelola acara tersebut")</f>
        <v>A) Untuk melatih banteng, B) Untuk menyemangati, C) Untuk mengendarai kereta luncur, D) Untuk mengelola acara tersebut</v>
      </c>
      <c r="J40" s="6" t="str">
        <f>IFERROR(__xludf.DUMMYFUNCTION("GOOGLETRANSLATE(D40, ""en"", ""id"")"),"C) Naik kereta luncur")</f>
        <v>C) Naik kereta luncur</v>
      </c>
      <c r="K40" s="6" t="str">
        <f>IFERROR(__xludf.DUMMYFUNCTION("GOOGLETRANSLATE(E40, ""en"", ""id"")"),"Pemilik banteng sering menunggangi kereta luncur dan memandu banteng selama perlombaan.")</f>
        <v>Pemilik banteng sering menunggangi kereta luncur dan memandu banteng selama perlombaan.</v>
      </c>
    </row>
    <row r="41">
      <c r="A41" s="5">
        <v>40.0</v>
      </c>
      <c r="B41" s="5" t="s">
        <v>383</v>
      </c>
      <c r="C41" s="5" t="s">
        <v>384</v>
      </c>
      <c r="D41" s="5" t="s">
        <v>385</v>
      </c>
      <c r="E41" s="5" t="s">
        <v>386</v>
      </c>
      <c r="G41" s="6" t="str">
        <f>IFERROR(__xludf.DUMMYFUNCTION("GOOGLETRANSLATE(A41, ""en"", ""id"")"),"40")</f>
        <v>40</v>
      </c>
      <c r="H41" s="6" t="str">
        <f>IFERROR(__xludf.DUMMYFUNCTION("GOOGLETRANSLATE(B41, ""en"", ""id"")"),"Apa ciri umum lintasan Karapan Sapi?")</f>
        <v>Apa ciri umum lintasan Karapan Sapi?</v>
      </c>
      <c r="I41" s="6" t="str">
        <f>IFERROR(__xludf.DUMMYFUNCTION("GOOGLETRANSLATE(C41, ""en"", ""id"")"),"A) Fitur air, B) Rumput halus, C) Jalan tanah, D) Lereng")</f>
        <v>A) Fitur air, B) Rumput halus, C) Jalan tanah, D) Lereng</v>
      </c>
      <c r="J41" s="6" t="str">
        <f>IFERROR(__xludf.DUMMYFUNCTION("GOOGLETRANSLATE(D41, ""en"", ""id"")"),"C) Jalan tanah")</f>
        <v>C) Jalan tanah</v>
      </c>
      <c r="K41" s="6" t="str">
        <f>IFERROR(__xludf.DUMMYFUNCTION("GOOGLETRANSLATE(E41, ""en"", ""id"")"),"Jejak Karapan Sapi secara tradisional terbuat dari tanah, menyediakan permukaan yang cocok untuk kecepatan banteng.")</f>
        <v>Jejak Karapan Sapi secara tradisional terbuat dari tanah, menyediakan permukaan yang cocok untuk kecepatan banteng.</v>
      </c>
    </row>
    <row r="42">
      <c r="A42" s="5">
        <v>41.0</v>
      </c>
      <c r="B42" s="5" t="s">
        <v>387</v>
      </c>
      <c r="C42" s="5" t="s">
        <v>388</v>
      </c>
      <c r="D42" s="5" t="s">
        <v>297</v>
      </c>
      <c r="E42" s="5" t="s">
        <v>389</v>
      </c>
      <c r="G42" s="6" t="str">
        <f>IFERROR(__xludf.DUMMYFUNCTION("GOOGLETRANSLATE(A42, ""en"", ""id"")"),"41")</f>
        <v>41</v>
      </c>
      <c r="H42" s="6" t="str">
        <f>IFERROR(__xludf.DUMMYFUNCTION("GOOGLETRANSLATE(B42, ""en"", ""id"")"),"Sudah berapa lama karapan sapi dipraktikkan oleh masyarakat Madura?")</f>
        <v>Sudah berapa lama karapan sapi dipraktikkan oleh masyarakat Madura?</v>
      </c>
      <c r="I42" s="6" t="str">
        <f>IFERROR(__xludf.DUMMYFUNCTION("GOOGLETRANSLATE(C42, ""en"", ""id"")"),"A) 200 tahun, B) 500 tahun, C) 800 tahun, D) 1000 tahun")</f>
        <v>A) 200 tahun, B) 500 tahun, C) 800 tahun, D) 1000 tahun</v>
      </c>
      <c r="J42" s="6" t="str">
        <f>IFERROR(__xludf.DUMMYFUNCTION("GOOGLETRANSLATE(D42, ""en"", ""id"")"),"C) 800 tahun")</f>
        <v>C) 800 tahun</v>
      </c>
      <c r="K42" s="6" t="str">
        <f>IFERROR(__xludf.DUMMYFUNCTION("GOOGLETRANSLATE(E42, ""en"", ""id"")"),"Karapan Sapi telah menjadi olahraga tradisional di Madura selama lebih dari 800 tahun.")</f>
        <v>Karapan Sapi telah menjadi olahraga tradisional di Madura selama lebih dari 800 tahun.</v>
      </c>
    </row>
    <row r="43">
      <c r="A43" s="5">
        <v>42.0</v>
      </c>
      <c r="B43" s="5" t="s">
        <v>390</v>
      </c>
      <c r="C43" s="5" t="s">
        <v>391</v>
      </c>
      <c r="D43" s="5" t="s">
        <v>392</v>
      </c>
      <c r="E43" s="5" t="s">
        <v>393</v>
      </c>
      <c r="G43" s="6" t="str">
        <f>IFERROR(__xludf.DUMMYFUNCTION("GOOGLETRANSLATE(A43, ""en"", ""id"")"),"42")</f>
        <v>42</v>
      </c>
      <c r="H43" s="6" t="str">
        <f>IFERROR(__xludf.DUMMYFUNCTION("GOOGLETRANSLATE(B43, ""en"", ""id"")"),"Apa peran penonton dalam acara Karapan Sapi?")</f>
        <v>Apa peran penonton dalam acara Karapan Sapi?</v>
      </c>
      <c r="I43" s="6" t="str">
        <f>IFERROR(__xludf.DUMMYFUNCTION("GOOGLETRANSLATE(C43, ""en"", ""id"")"),"A) Untuk menilai perlombaan, B) Untuk menyemangati dan mendukung, C) Untuk berlari di samping banteng, D) Untuk memasang taruhan")</f>
        <v>A) Untuk menilai perlombaan, B) Untuk menyemangati dan mendukung, C) Untuk berlari di samping banteng, D) Untuk memasang taruhan</v>
      </c>
      <c r="J43" s="6" t="str">
        <f>IFERROR(__xludf.DUMMYFUNCTION("GOOGLETRANSLATE(D43, ""en"", ""id"")"),"B) Untuk menyemangati dan mendukung")</f>
        <v>B) Untuk menyemangati dan mendukung</v>
      </c>
      <c r="K43" s="6" t="str">
        <f>IFERROR(__xludf.DUMMYFUNCTION("GOOGLETRANSLATE(E43, ""en"", ""id"")"),"Penonton berperan penting dalam menciptakan suasana meriah dengan menyemangati dan mendukung para pembalap.")</f>
        <v>Penonton berperan penting dalam menciptakan suasana meriah dengan menyemangati dan mendukung para pembalap.</v>
      </c>
    </row>
    <row r="44">
      <c r="A44" s="5">
        <v>43.0</v>
      </c>
      <c r="B44" s="5" t="s">
        <v>394</v>
      </c>
      <c r="C44" s="5" t="s">
        <v>276</v>
      </c>
      <c r="D44" s="5" t="s">
        <v>277</v>
      </c>
      <c r="E44" s="5" t="s">
        <v>395</v>
      </c>
      <c r="G44" s="6" t="str">
        <f>IFERROR(__xludf.DUMMYFUNCTION("GOOGLETRANSLATE(A44, ""en"", ""id"")"),"43")</f>
        <v>43</v>
      </c>
      <c r="H44" s="6" t="str">
        <f>IFERROR(__xludf.DUMMYFUNCTION("GOOGLETRANSLATE(B44, ""en"", ""id"")"),"Daerah mana di Indonesia yang terkenal dengan festival Karapan Sapi?")</f>
        <v>Daerah mana di Indonesia yang terkenal dengan festival Karapan Sapi?</v>
      </c>
      <c r="I44" s="6" t="str">
        <f>IFERROR(__xludf.DUMMYFUNCTION("GOOGLETRANSLATE(C44, ""en"", ""id"")"),"A) Bali, B) Sumatra, C) Madura, D) Jawa")</f>
        <v>A) Bali, B) Sumatra, C) Madura, D) Jawa</v>
      </c>
      <c r="J44" s="6" t="str">
        <f>IFERROR(__xludf.DUMMYFUNCTION("GOOGLETRANSLATE(D44, ""en"", ""id"")"),"C) Madura")</f>
        <v>C) Madura</v>
      </c>
      <c r="K44" s="6" t="str">
        <f>IFERROR(__xludf.DUMMYFUNCTION("GOOGLETRANSLATE(E44, ""en"", ""id"")"),"Madura adalah daerah yang paling terkenal dengan Karapan Sapi, dengan festival tahunan yang menampilkan olahraga tersebut.")</f>
        <v>Madura adalah daerah yang paling terkenal dengan Karapan Sapi, dengan festival tahunan yang menampilkan olahraga tersebut.</v>
      </c>
    </row>
    <row r="45">
      <c r="A45" s="5">
        <v>44.0</v>
      </c>
      <c r="B45" s="5" t="s">
        <v>396</v>
      </c>
      <c r="C45" s="5" t="s">
        <v>397</v>
      </c>
      <c r="D45" s="5" t="s">
        <v>398</v>
      </c>
      <c r="E45" s="5" t="s">
        <v>399</v>
      </c>
      <c r="G45" s="6" t="str">
        <f>IFERROR(__xludf.DUMMYFUNCTION("GOOGLETRANSLATE(A45, ""en"", ""id"")"),"44")</f>
        <v>44</v>
      </c>
      <c r="H45" s="6" t="str">
        <f>IFERROR(__xludf.DUMMYFUNCTION("GOOGLETRANSLATE(B45, ""en"", ""id"")"),"Peristiwa sejarah apa yang menyebabkan berkembangnya Karapan Sapi?")</f>
        <v>Peristiwa sejarah apa yang menyebabkan berkembangnya Karapan Sapi?</v>
      </c>
      <c r="I45" s="6" t="str">
        <f>IFERROR(__xludf.DUMMYFUNCTION("GOOGLETRANSLATE(C45, ""en"", ""id"")"),"A) Perlawanan terhadap penjajahan, B) Kompetisi kerajaan, C) Festival panen, D) Ritual berburu binatang")</f>
        <v>A) Perlawanan terhadap penjajahan, B) Kompetisi kerajaan, C) Festival panen, D) Ritual berburu binatang</v>
      </c>
      <c r="J45" s="6" t="str">
        <f>IFERROR(__xludf.DUMMYFUNCTION("GOOGLETRANSLATE(D45, ""en"", ""id"")"),"A) Perlawanan terhadap penjajahan")</f>
        <v>A) Perlawanan terhadap penjajahan</v>
      </c>
      <c r="K45" s="6" t="str">
        <f>IFERROR(__xludf.DUMMYFUNCTION("GOOGLETRANSLATE(E45, ""en"", ""id"")"),"Karapan Sapi bermula sebagai bentuk perlawanan dan unjuk kekuatan pada masa penjajahan.")</f>
        <v>Karapan Sapi bermula sebagai bentuk perlawanan dan unjuk kekuatan pada masa penjajahan.</v>
      </c>
    </row>
    <row r="46">
      <c r="A46" s="5">
        <v>45.0</v>
      </c>
      <c r="B46" s="5" t="s">
        <v>400</v>
      </c>
      <c r="C46" s="5" t="s">
        <v>401</v>
      </c>
      <c r="D46" s="5" t="s">
        <v>402</v>
      </c>
      <c r="E46" s="5" t="s">
        <v>403</v>
      </c>
      <c r="G46" s="6" t="str">
        <f>IFERROR(__xludf.DUMMYFUNCTION("GOOGLETRANSLATE(A46, ""en"", ""id"")"),"45")</f>
        <v>45</v>
      </c>
      <c r="H46" s="6" t="str">
        <f>IFERROR(__xludf.DUMMYFUNCTION("GOOGLETRANSLATE(B46, ""en"", ""id"")"),"Apa yang secara tradisional diberikan kepada tim pemenang Karapan Sapi?")</f>
        <v>Apa yang secara tradisional diberikan kepada tim pemenang Karapan Sapi?</v>
      </c>
      <c r="I46" s="6" t="str">
        <f>IFERROR(__xludf.DUMMYFUNCTION("GOOGLETRANSLATE(C46, ""en"", ""id"")"),"A) Seekor banteng, B) Sebuah piala, C) Uang, D) Sebuah rumah")</f>
        <v>A) Seekor banteng, B) Sebuah piala, C) Uang, D) Sebuah rumah</v>
      </c>
      <c r="J46" s="6" t="str">
        <f>IFERROR(__xludf.DUMMYFUNCTION("GOOGLETRANSLATE(D46, ""en"", ""id"")"),"C) Uang")</f>
        <v>C) Uang</v>
      </c>
      <c r="K46" s="6" t="str">
        <f>IFERROR(__xludf.DUMMYFUNCTION("GOOGLETRANSLATE(E46, ""en"", ""id"")"),"Pemenang Karapan Sapi biasanya menerima uang atau bentuk penghargaan lainnya sebagai hadiah.")</f>
        <v>Pemenang Karapan Sapi biasanya menerima uang atau bentuk penghargaan lainnya sebagai hadiah.</v>
      </c>
    </row>
    <row r="47">
      <c r="A47" s="5">
        <v>46.0</v>
      </c>
      <c r="B47" s="5" t="s">
        <v>404</v>
      </c>
      <c r="C47" s="5" t="s">
        <v>405</v>
      </c>
      <c r="D47" s="5" t="s">
        <v>406</v>
      </c>
      <c r="E47" s="5" t="s">
        <v>407</v>
      </c>
      <c r="G47" s="6" t="str">
        <f>IFERROR(__xludf.DUMMYFUNCTION("GOOGLETRANSLATE(A47, ""en"", ""id"")"),"46")</f>
        <v>46</v>
      </c>
      <c r="H47" s="6" t="str">
        <f>IFERROR(__xludf.DUMMYFUNCTION("GOOGLETRANSLATE(B47, ""en"", ""id"")"),"Bagaimana banteng dipersiapkan untuk lomba Karapan Sapi?")</f>
        <v>Bagaimana banteng dipersiapkan untuk lomba Karapan Sapi?</v>
      </c>
      <c r="I47" s="6" t="str">
        <f>IFERROR(__xludf.DUMMYFUNCTION("GOOGLETRANSLATE(C47, ""en"", ""id"")"),"A) Mereka dilatih dengan berjalan, B) Mereka dilatih dengan berlari, C) Mereka dicat, D) Mereka dipelihara di kandang")</f>
        <v>A) Mereka dilatih dengan berjalan, B) Mereka dilatih dengan berlari, C) Mereka dicat, D) Mereka dipelihara di kandang</v>
      </c>
      <c r="J47" s="6" t="str">
        <f>IFERROR(__xludf.DUMMYFUNCTION("GOOGLETRANSLATE(D47, ""en"", ""id"")"),"B) Mereka dilatih dengan berlari")</f>
        <v>B) Mereka dilatih dengan berlari</v>
      </c>
      <c r="K47" s="6" t="str">
        <f>IFERROR(__xludf.DUMMYFUNCTION("GOOGLETRANSLATE(E47, ""en"", ""id"")"),"Banteng dilatih dengan berlari dalam jarak pendek untuk membangun kekuatan dan kecepatannya dalam perlombaan.")</f>
        <v>Banteng dilatih dengan berlari dalam jarak pendek untuk membangun kekuatan dan kecepatannya dalam perlombaan.</v>
      </c>
    </row>
    <row r="48">
      <c r="A48" s="5">
        <v>47.0</v>
      </c>
      <c r="B48" s="5" t="s">
        <v>408</v>
      </c>
      <c r="C48" s="5" t="s">
        <v>409</v>
      </c>
      <c r="D48" s="5" t="s">
        <v>410</v>
      </c>
      <c r="E48" s="5" t="s">
        <v>411</v>
      </c>
      <c r="G48" s="6" t="str">
        <f>IFERROR(__xludf.DUMMYFUNCTION("GOOGLETRANSLATE(A48, ""en"", ""id"")"),"47")</f>
        <v>47</v>
      </c>
      <c r="H48" s="6" t="str">
        <f>IFERROR(__xludf.DUMMYFUNCTION("GOOGLETRANSLATE(B48, ""en"", ""id"")"),"Apa keistimewaan kereta luncur Karapan Sapi?")</f>
        <v>Apa keistimewaan kereta luncur Karapan Sapi?</v>
      </c>
      <c r="I48" s="6" t="str">
        <f>IFERROR(__xludf.DUMMYFUNCTION("GOOGLETRANSLATE(C48, ""en"", ""id"")"),"A) Memiliki roda, B) Terbuat dari logam, C) Bentuknya seperti perahu, D) Terbuat dari kayu")</f>
        <v>A) Memiliki roda, B) Terbuat dari logam, C) Bentuknya seperti perahu, D) Terbuat dari kayu</v>
      </c>
      <c r="J48" s="6" t="str">
        <f>IFERROR(__xludf.DUMMYFUNCTION("GOOGLETRANSLATE(D48, ""en"", ""id"")"),"D) Terbuat dari kayu")</f>
        <v>D) Terbuat dari kayu</v>
      </c>
      <c r="K48" s="6" t="str">
        <f>IFERROR(__xludf.DUMMYFUNCTION("GOOGLETRANSLATE(E48, ""en"", ""id"")"),"Kereta luncur yang digunakan dalam lomba Karapan Sapi secara tradisional terbuat dari kayu, dirancang untuk kecepatan dan kontrol.")</f>
        <v>Kereta luncur yang digunakan dalam lomba Karapan Sapi secara tradisional terbuat dari kayu, dirancang untuk kecepatan dan kontrol.</v>
      </c>
    </row>
    <row r="49">
      <c r="A49" s="5">
        <v>48.0</v>
      </c>
      <c r="B49" s="5" t="s">
        <v>412</v>
      </c>
      <c r="C49" s="5" t="s">
        <v>413</v>
      </c>
      <c r="D49" s="5" t="s">
        <v>414</v>
      </c>
      <c r="E49" s="5" t="s">
        <v>415</v>
      </c>
      <c r="G49" s="6" t="str">
        <f>IFERROR(__xludf.DUMMYFUNCTION("GOOGLETRANSLATE(A49, ""en"", ""id"")"),"48")</f>
        <v>48</v>
      </c>
      <c r="H49" s="6" t="str">
        <f>IFERROR(__xludf.DUMMYFUNCTION("GOOGLETRANSLATE(B49, ""en"", ""id"")"),"Apa tujuan utama dari perlombaan karapan sapi?")</f>
        <v>Apa tujuan utama dari perlombaan karapan sapi?</v>
      </c>
      <c r="I49" s="6" t="str">
        <f>IFERROR(__xludf.DUMMYFUNCTION("GOOGLETRANSLATE(C49, ""en"", ""id"")"),"A) Untuk menghibur orang banyak, B) Untuk memenangkan hadiah, C) Untuk menunjukkan kekuatan banteng, D) Untuk menunjukkan keterampilan bertani")</f>
        <v>A) Untuk menghibur orang banyak, B) Untuk memenangkan hadiah, C) Untuk menunjukkan kekuatan banteng, D) Untuk menunjukkan keterampilan bertani</v>
      </c>
      <c r="J49" s="6" t="str">
        <f>IFERROR(__xludf.DUMMYFUNCTION("GOOGLETRANSLATE(D49, ""en"", ""id"")"),"B) Untuk memenangkan hadiah")</f>
        <v>B) Untuk memenangkan hadiah</v>
      </c>
      <c r="K49" s="6" t="str">
        <f>IFERROR(__xludf.DUMMYFUNCTION("GOOGLETRANSLATE(E49, ""en"", ""id"")"),"Tujuan utama dari lomba Karapan Sapi adalah agar tim menjadi yang pertama dan memenangkan hadiah, biasanya uang.")</f>
        <v>Tujuan utama dari lomba Karapan Sapi adalah agar tim menjadi yang pertama dan memenangkan hadiah, biasanya uang.</v>
      </c>
    </row>
    <row r="50">
      <c r="A50" s="5">
        <v>49.0</v>
      </c>
      <c r="B50" s="5" t="s">
        <v>416</v>
      </c>
      <c r="C50" s="5" t="s">
        <v>417</v>
      </c>
      <c r="D50" s="5" t="s">
        <v>418</v>
      </c>
      <c r="E50" s="5" t="s">
        <v>419</v>
      </c>
      <c r="G50" s="6" t="str">
        <f>IFERROR(__xludf.DUMMYFUNCTION("GOOGLETRANSLATE(A50, ""en"", ""id"")"),"49")</f>
        <v>49</v>
      </c>
      <c r="H50" s="6" t="str">
        <f>IFERROR(__xludf.DUMMYFUNCTION("GOOGLETRANSLATE(B50, ""en"", ""id"")"),"Dalam Karapan Sapi, bagaimana banteng dikendalikan saat lomba?")</f>
        <v>Dalam Karapan Sapi, bagaimana banteng dikendalikan saat lomba?</v>
      </c>
      <c r="I50" s="6" t="str">
        <f>IFERROR(__xludf.DUMMYFUNCTION("GOOGLETRANSLATE(C50, ""en"", ""id"")"),"A) Dengan kendali dan tali kekang, B) Dengan perintah suara, C) Dengan cambuk, D) Dengan penghalang fisik")</f>
        <v>A) Dengan kendali dan tali kekang, B) Dengan perintah suara, C) Dengan cambuk, D) Dengan penghalang fisik</v>
      </c>
      <c r="J50" s="6" t="str">
        <f>IFERROR(__xludf.DUMMYFUNCTION("GOOGLETRANSLATE(D50, ""en"", ""id"")"),"A) Dengan kendali dan tali kekang")</f>
        <v>A) Dengan kendali dan tali kekang</v>
      </c>
      <c r="K50" s="6" t="str">
        <f>IFERROR(__xludf.DUMMYFUNCTION("GOOGLETRANSLATE(E50, ""en"", ""id"")"),"Banteng-banteng dikendalikan menggunakan tali kekang dan tali kekang untuk membimbing mereka sepanjang perlombaan.")</f>
        <v>Banteng-banteng dikendalikan menggunakan tali kekang dan tali kekang untuk membimbing mereka sepanjang perlombaan.</v>
      </c>
    </row>
    <row r="51">
      <c r="A51" s="5">
        <v>50.0</v>
      </c>
      <c r="B51" s="5" t="s">
        <v>420</v>
      </c>
      <c r="C51" s="5" t="s">
        <v>421</v>
      </c>
      <c r="D51" s="5" t="s">
        <v>422</v>
      </c>
      <c r="E51" s="5" t="s">
        <v>423</v>
      </c>
      <c r="G51" s="6" t="str">
        <f>IFERROR(__xludf.DUMMYFUNCTION("GOOGLETRANSLATE(A51, ""en"", ""id"")"),"50")</f>
        <v>50</v>
      </c>
      <c r="H51" s="6" t="str">
        <f>IFERROR(__xludf.DUMMYFUNCTION("GOOGLETRANSLATE(B51, ""en"", ""id"")"),"Apa peran ras Karapan Sapi dalam budaya Madura?")</f>
        <v>Apa peran ras Karapan Sapi dalam budaya Madura?</v>
      </c>
      <c r="I51" s="6" t="str">
        <f>IFERROR(__xludf.DUMMYFUNCTION("GOOGLETRANSLATE(C51, ""en"", ""id"")"),"A) Ritual keagamaan, B) Bentuk hiburan, C) Sarana komunikasi, D) Simbol status dan kebanggaan")</f>
        <v>A) Ritual keagamaan, B) Bentuk hiburan, C) Sarana komunikasi, D) Simbol status dan kebanggaan</v>
      </c>
      <c r="J51" s="6" t="str">
        <f>IFERROR(__xludf.DUMMYFUNCTION("GOOGLETRANSLATE(D51, ""en"", ""id"")"),"D) Simbol status dan kebanggaan")</f>
        <v>D) Simbol status dan kebanggaan</v>
      </c>
      <c r="K51" s="6" t="str">
        <f>IFERROR(__xludf.DUMMYFUNCTION("GOOGLETRANSLATE(E51, ""en"", ""id"")"),"Karapan Sapi berfungsi sebagai simbol status dan kebanggaan bagi masyarakat Madura, menunjukkan kekuatan dan warisan budaya mereka.")</f>
        <v>Karapan Sapi berfungsi sebagai simbol status dan kebanggaan bagi masyarakat Madura, menunjukkan kekuatan dan warisan budaya mereka.</v>
      </c>
    </row>
    <row r="52">
      <c r="A52" s="5">
        <v>51.0</v>
      </c>
      <c r="B52" s="5" t="s">
        <v>424</v>
      </c>
      <c r="C52" s="5" t="s">
        <v>425</v>
      </c>
      <c r="D52" s="5" t="s">
        <v>426</v>
      </c>
      <c r="E52" s="5" t="s">
        <v>427</v>
      </c>
      <c r="G52" s="6" t="str">
        <f>IFERROR(__xludf.DUMMYFUNCTION("GOOGLETRANSLATE(A52, ""en"", ""id"")"),"51")</f>
        <v>51</v>
      </c>
      <c r="H52" s="6" t="str">
        <f>IFERROR(__xludf.DUMMYFUNCTION("GOOGLETRANSLATE(B52, ""en"", ""id"")"),"Berapa panjang lintasan yang umum digunakan dalam Karapan Sapi?")</f>
        <v>Berapa panjang lintasan yang umum digunakan dalam Karapan Sapi?</v>
      </c>
      <c r="I52" s="6" t="str">
        <f>IFERROR(__xludf.DUMMYFUNCTION("GOOGLETRANSLATE(C52, ""en"", ""id"")"),"A) 50 meter, B) 100 meter, C) 200 meter, D) 500 meter")</f>
        <v>A) 50 meter, B) 100 meter, C) 200 meter, D) 500 meter</v>
      </c>
      <c r="J52" s="6" t="str">
        <f>IFERROR(__xludf.DUMMYFUNCTION("GOOGLETRANSLATE(D52, ""en"", ""id"")"),"B) 100 meter")</f>
        <v>B) 100 meter</v>
      </c>
      <c r="K52" s="6" t="str">
        <f>IFERROR(__xludf.DUMMYFUNCTION("GOOGLETRANSLATE(E52, ""en"", ""id"")"),"Panjang lintasan balap Karapan Sapi pada umumnya adalah 100 meter, yang memungkinkan kompetisi berlangsung cepat.")</f>
        <v>Panjang lintasan balap Karapan Sapi pada umumnya adalah 100 meter, yang memungkinkan kompetisi berlangsung cepat.</v>
      </c>
    </row>
    <row r="53">
      <c r="A53" s="5">
        <v>52.0</v>
      </c>
      <c r="B53" s="5" t="s">
        <v>428</v>
      </c>
      <c r="C53" s="5" t="s">
        <v>429</v>
      </c>
      <c r="D53" s="5" t="s">
        <v>430</v>
      </c>
      <c r="E53" s="5" t="s">
        <v>431</v>
      </c>
      <c r="G53" s="6" t="str">
        <f>IFERROR(__xludf.DUMMYFUNCTION("GOOGLETRANSLATE(A53, ""en"", ""id"")"),"52")</f>
        <v>52</v>
      </c>
      <c r="H53" s="6" t="str">
        <f>IFERROR(__xludf.DUMMYFUNCTION("GOOGLETRANSLATE(B53, ""en"", ""id"")"),"Karapan Sapi termasuk dalam festival apa?")</f>
        <v>Karapan Sapi termasuk dalam festival apa?</v>
      </c>
      <c r="I53" s="6" t="str">
        <f>IFERROR(__xludf.DUMMYFUNCTION("GOOGLETRANSLATE(C53, ""en"", ""id"")"),"A) Festival panen, B) Festival budaya, C) Festival keagamaan, D) Festival olahraga")</f>
        <v>A) Festival panen, B) Festival budaya, C) Festival keagamaan, D) Festival olahraga</v>
      </c>
      <c r="J53" s="6" t="str">
        <f>IFERROR(__xludf.DUMMYFUNCTION("GOOGLETRANSLATE(D53, ""en"", ""id"")"),"B) Festival budaya")</f>
        <v>B) Festival budaya</v>
      </c>
      <c r="K53" s="6" t="str">
        <f>IFERROR(__xludf.DUMMYFUNCTION("GOOGLETRANSLATE(E53, ""en"", ""id"")"),"Karapan Sapi sering menjadi bagian dari festival budaya yang merayakan tradisi dan warisan Madura.")</f>
        <v>Karapan Sapi sering menjadi bagian dari festival budaya yang merayakan tradisi dan warisan Madura.</v>
      </c>
    </row>
    <row r="54">
      <c r="A54" s="5">
        <v>53.0</v>
      </c>
      <c r="B54" s="5" t="s">
        <v>432</v>
      </c>
      <c r="C54" s="5" t="s">
        <v>433</v>
      </c>
      <c r="D54" s="5" t="s">
        <v>434</v>
      </c>
      <c r="E54" s="5" t="s">
        <v>435</v>
      </c>
      <c r="G54" s="6" t="str">
        <f>IFERROR(__xludf.DUMMYFUNCTION("GOOGLETRANSLATE(A54, ""en"", ""id"")"),"53")</f>
        <v>53</v>
      </c>
      <c r="H54" s="6" t="str">
        <f>IFERROR(__xludf.DUMMYFUNCTION("GOOGLETRANSLATE(B54, ""en"", ""id"")"),"Apa imbalan tradisional bagi pemilik banteng pemenang Karapan Sapi?")</f>
        <v>Apa imbalan tradisional bagi pemilik banteng pemenang Karapan Sapi?</v>
      </c>
      <c r="I54" s="6" t="str">
        <f>IFERROR(__xludf.DUMMYFUNCTION("GOOGLETRANSLATE(C54, ""en"", ""id"")"),"A) Mahkota, B) Hadiah uang, C) Banteng, D) Gelar")</f>
        <v>A) Mahkota, B) Hadiah uang, C) Banteng, D) Gelar</v>
      </c>
      <c r="J54" s="6" t="str">
        <f>IFERROR(__xludf.DUMMYFUNCTION("GOOGLETRANSLATE(D54, ""en"", ""id"")"),"B) Hadiah uang tunai")</f>
        <v>B) Hadiah uang tunai</v>
      </c>
      <c r="K54" s="6" t="str">
        <f>IFERROR(__xludf.DUMMYFUNCTION("GOOGLETRANSLATE(E54, ""en"", ""id"")"),"Pemilik banteng yang menang biasanya menerima hadiah uang sebagai bentuk pengakuan atas kemenangannya.")</f>
        <v>Pemilik banteng yang menang biasanya menerima hadiah uang sebagai bentuk pengakuan atas kemenangannya.</v>
      </c>
    </row>
    <row r="55">
      <c r="A55" s="5">
        <v>54.0</v>
      </c>
      <c r="B55" s="5" t="s">
        <v>436</v>
      </c>
      <c r="C55" s="5" t="s">
        <v>437</v>
      </c>
      <c r="D55" s="5" t="s">
        <v>438</v>
      </c>
      <c r="E55" s="5" t="s">
        <v>439</v>
      </c>
      <c r="G55" s="6" t="str">
        <f>IFERROR(__xludf.DUMMYFUNCTION("GOOGLETRANSLATE(A55, ""en"", ""id"")"),"54")</f>
        <v>54</v>
      </c>
      <c r="H55" s="6" t="str">
        <f>IFERROR(__xludf.DUMMYFUNCTION("GOOGLETRANSLATE(B55, ""en"", ""id"")"),"Bagaimana peserta mempersiapkan bantengnya untuk Karapan Sapi?")</f>
        <v>Bagaimana peserta mempersiapkan bantengnya untuk Karapan Sapi?</v>
      </c>
      <c r="I55" s="6" t="str">
        <f>IFERROR(__xludf.DUMMYFUNCTION("GOOGLETRANSLATE(C55, ""en"", ""id"")"),"A) Dengan memberi mereka makanan khusus, B) Dengan melatih mereka menarik kereta luncur, C) Dengan mengecat mereka, D) Dengan membiarkan mereka beristirahat")</f>
        <v>A) Dengan memberi mereka makanan khusus, B) Dengan melatih mereka menarik kereta luncur, C) Dengan mengecat mereka, D) Dengan membiarkan mereka beristirahat</v>
      </c>
      <c r="J55" s="6" t="str">
        <f>IFERROR(__xludf.DUMMYFUNCTION("GOOGLETRANSLATE(D55, ""en"", ""id"")"),"B) Dengan melatih mereka untuk menarik kereta luncur")</f>
        <v>B) Dengan melatih mereka untuk menarik kereta luncur</v>
      </c>
      <c r="K55" s="6" t="str">
        <f>IFERROR(__xludf.DUMMYFUNCTION("GOOGLETRANSLATE(E55, ""en"", ""id"")"),"Peserta melatih banteng mereka untuk menarik kereta luncur, membangun kekuatan dan kecepatan untuk perlombaan.")</f>
        <v>Peserta melatih banteng mereka untuk menarik kereta luncur, membangun kekuatan dan kecepatan untuk perlombaan.</v>
      </c>
    </row>
    <row r="56">
      <c r="A56" s="5">
        <v>55.0</v>
      </c>
      <c r="B56" s="5" t="s">
        <v>440</v>
      </c>
      <c r="C56" s="5" t="s">
        <v>441</v>
      </c>
      <c r="D56" s="5" t="s">
        <v>442</v>
      </c>
      <c r="E56" s="5" t="s">
        <v>443</v>
      </c>
      <c r="G56" s="6" t="str">
        <f>IFERROR(__xludf.DUMMYFUNCTION("GOOGLETRANSLATE(A56, ""en"", ""id"")"),"55")</f>
        <v>55</v>
      </c>
      <c r="H56" s="6" t="str">
        <f>IFERROR(__xludf.DUMMYFUNCTION("GOOGLETRANSLATE(B56, ""en"", ""id"")"),"Apa jadinya jika seekor banteng tidak berprestasi dalam lomba karapan sapi?")</f>
        <v>Apa jadinya jika seekor banteng tidak berprestasi dalam lomba karapan sapi?</v>
      </c>
      <c r="I56" s="6" t="str">
        <f>IFERROR(__xludf.DUMMYFUNCTION("GOOGLETRANSLATE(C56, ""en"", ""id"")"),"A) Banteng didiskualifikasi, B) Perlombaan dihentikan, C) Banteng diganti, D) Banteng didenda")</f>
        <v>A) Banteng didiskualifikasi, B) Perlombaan dihentikan, C) Banteng diganti, D) Banteng didenda</v>
      </c>
      <c r="J56" s="6" t="str">
        <f>IFERROR(__xludf.DUMMYFUNCTION("GOOGLETRANSLATE(D56, ""en"", ""id"")"),"A) Banteng tersebut didiskualifikasi")</f>
        <v>A) Banteng tersebut didiskualifikasi</v>
      </c>
      <c r="K56" s="6" t="str">
        <f>IFERROR(__xludf.DUMMYFUNCTION("GOOGLETRANSLATE(E56, ""en"", ""id"")"),"Jika seekor banteng tidak tampil baik selama perlombaan, ia akan didiskualifikasi dan tim tersebut mungkin tidak dapat menyelesaikan perlombaan.")</f>
        <v>Jika seekor banteng tidak tampil baik selama perlombaan, ia akan didiskualifikasi dan tim tersebut mungkin tidak dapat menyelesaikan perlombaan.</v>
      </c>
    </row>
    <row r="57">
      <c r="A57" s="5">
        <v>56.0</v>
      </c>
      <c r="B57" s="5" t="s">
        <v>444</v>
      </c>
      <c r="C57" s="5" t="s">
        <v>445</v>
      </c>
      <c r="D57" s="5" t="s">
        <v>446</v>
      </c>
      <c r="E57" s="5" t="s">
        <v>447</v>
      </c>
      <c r="G57" s="6" t="str">
        <f>IFERROR(__xludf.DUMMYFUNCTION("GOOGLETRANSLATE(A57, ""en"", ""id"")"),"56")</f>
        <v>56</v>
      </c>
      <c r="H57" s="6" t="str">
        <f>IFERROR(__xludf.DUMMYFUNCTION("GOOGLETRANSLATE(B57, ""en"", ""id"")"),"Apa pentingnya Karapan Sapi bagi perekonomian Madura?")</f>
        <v>Apa pentingnya Karapan Sapi bagi perekonomian Madura?</v>
      </c>
      <c r="I57" s="6" t="str">
        <f>IFERROR(__xludf.DUMMYFUNCTION("GOOGLETRANSLATE(C57, ""en"", ""id"")"),"A) Mempromosikan pertanian, B) Meningkatkan pariwisata, C) Meningkatkan penjualan ternak, D) Mendatangkan investasi asing")</f>
        <v>A) Mempromosikan pertanian, B) Meningkatkan pariwisata, C) Meningkatkan penjualan ternak, D) Mendatangkan investasi asing</v>
      </c>
      <c r="J57" s="6" t="str">
        <f>IFERROR(__xludf.DUMMYFUNCTION("GOOGLETRANSLATE(D57, ""en"", ""id"")"),"B) Meningkatkan pariwisata")</f>
        <v>B) Meningkatkan pariwisata</v>
      </c>
      <c r="K57" s="6" t="str">
        <f>IFERROR(__xludf.DUMMYFUNCTION("GOOGLETRANSLATE(E57, ""en"", ""id"")"),"Karapan Sapi berperan penting dalam mendongkrak pariwisata Madura dengan mendatangkan pengunjung ke berbagai perlombaan dan festival.")</f>
        <v>Karapan Sapi berperan penting dalam mendongkrak pariwisata Madura dengan mendatangkan pengunjung ke berbagai perlombaan dan festival.</v>
      </c>
    </row>
    <row r="58">
      <c r="A58" s="5">
        <v>57.0</v>
      </c>
      <c r="B58" s="5" t="s">
        <v>448</v>
      </c>
      <c r="C58" s="5" t="s">
        <v>449</v>
      </c>
      <c r="D58" s="5" t="s">
        <v>450</v>
      </c>
      <c r="E58" s="5" t="s">
        <v>451</v>
      </c>
      <c r="G58" s="6" t="str">
        <f>IFERROR(__xludf.DUMMYFUNCTION("GOOGLETRANSLATE(A58, ""en"", ""id"")"),"57")</f>
        <v>57</v>
      </c>
      <c r="H58" s="6" t="str">
        <f>IFERROR(__xludf.DUMMYFUNCTION("GOOGLETRANSLATE(B58, ""en"", ""id"")"),"Bagaimana cara menghias sapi secara tradisional untuk Karapan Sapi?")</f>
        <v>Bagaimana cara menghias sapi secara tradisional untuk Karapan Sapi?</v>
      </c>
      <c r="I58" s="6" t="str">
        <f>IFERROR(__xludf.DUMMYFUNCTION("GOOGLETRANSLATE(C58, ""en"", ""id"")"),"A) Dengan bunga, B) Dengan kain berwarna-warni, C) Dengan desain yang dilukis, D) Dengan permata")</f>
        <v>A) Dengan bunga, B) Dengan kain berwarna-warni, C) Dengan desain yang dilukis, D) Dengan permata</v>
      </c>
      <c r="J58" s="6" t="str">
        <f>IFERROR(__xludf.DUMMYFUNCTION("GOOGLETRANSLATE(D58, ""en"", ""id"")"),"B) Dengan kain berwarna-warni")</f>
        <v>B) Dengan kain berwarna-warni</v>
      </c>
      <c r="K58" s="6" t="str">
        <f>IFERROR(__xludf.DUMMYFUNCTION("GOOGLETRANSLATE(E58, ""en"", ""id"")"),"Banteng sering dihiasi dengan kain berwarna-warni untuk menambah daya tarik visual selama perlombaan.")</f>
        <v>Banteng sering dihiasi dengan kain berwarna-warni untuk menambah daya tarik visual selama perlombaan.</v>
      </c>
    </row>
    <row r="59">
      <c r="A59" s="5">
        <v>58.0</v>
      </c>
      <c r="B59" s="5" t="s">
        <v>452</v>
      </c>
      <c r="C59" s="5" t="s">
        <v>453</v>
      </c>
      <c r="D59" s="5" t="s">
        <v>454</v>
      </c>
      <c r="E59" s="5" t="s">
        <v>455</v>
      </c>
      <c r="G59" s="6" t="str">
        <f>IFERROR(__xludf.DUMMYFUNCTION("GOOGLETRANSLATE(A59, ""en"", ""id"")"),"58")</f>
        <v>58</v>
      </c>
      <c r="H59" s="6" t="str">
        <f>IFERROR(__xludf.DUMMYFUNCTION("GOOGLETRANSLATE(B59, ""en"", ""id"")"),"Apa jenis pelatihan utama yang dilakukan bagi banteng yang berpartisipasi dalam Karapan Sapi?")</f>
        <v>Apa jenis pelatihan utama yang dilakukan bagi banteng yang berpartisipasi dalam Karapan Sapi?</v>
      </c>
      <c r="I59" s="6" t="str">
        <f>IFERROR(__xludf.DUMMYFUNCTION("GOOGLETRANSLATE(C59, ""en"", ""id"")"),"A) Latihan kekuatan, B) Latihan kecepatan, C) Latihan kelincahan, D) Latihan ketahanan")</f>
        <v>A) Latihan kekuatan, B) Latihan kecepatan, C) Latihan kelincahan, D) Latihan ketahanan</v>
      </c>
      <c r="J59" s="6" t="str">
        <f>IFERROR(__xludf.DUMMYFUNCTION("GOOGLETRANSLATE(D59, ""en"", ""id"")"),"B) Latihan kecepatan")</f>
        <v>B) Latihan kecepatan</v>
      </c>
      <c r="K59" s="6" t="str">
        <f>IFERROR(__xludf.DUMMYFUNCTION("GOOGLETRANSLATE(E59, ""en"", ""id"")"),"Sapi jantan menjalani latihan kecepatan untuk memastikan mereka dapat berpacu dengan cepat dan efisien selama Karapan Sapi.")</f>
        <v>Sapi jantan menjalani latihan kecepatan untuk memastikan mereka dapat berpacu dengan cepat dan efisien selama Karapan Sapi.</v>
      </c>
    </row>
    <row r="60">
      <c r="A60" s="5">
        <v>59.0</v>
      </c>
      <c r="B60" s="5" t="s">
        <v>456</v>
      </c>
      <c r="C60" s="5" t="s">
        <v>457</v>
      </c>
      <c r="D60" s="5" t="s">
        <v>234</v>
      </c>
      <c r="E60" s="5" t="s">
        <v>458</v>
      </c>
      <c r="G60" s="6" t="str">
        <f>IFERROR(__xludf.DUMMYFUNCTION("GOOGLETRANSLATE(A60, ""en"", ""id"")"),"59")</f>
        <v>59</v>
      </c>
      <c r="H60" s="6" t="str">
        <f>IFERROR(__xludf.DUMMYFUNCTION("GOOGLETRANSLATE(B60, ""en"", ""id"")"),"Di provinsi manakah di Indonesia Karapan Sapi paling umum dipraktikkan?")</f>
        <v>Di provinsi manakah di Indonesia Karapan Sapi paling umum dipraktikkan?</v>
      </c>
      <c r="I60" s="6" t="str">
        <f>IFERROR(__xludf.DUMMYFUNCTION("GOOGLETRANSLATE(C60, ""en"", ""id"")"),"A) Bali, B) Madura, C) Sumatera, D) Jawa")</f>
        <v>A) Bali, B) Madura, C) Sumatera, D) Jawa</v>
      </c>
      <c r="J60" s="6" t="str">
        <f>IFERROR(__xludf.DUMMYFUNCTION("GOOGLETRANSLATE(D60, ""en"", ""id"")"),"B) Madura")</f>
        <v>B) Madura</v>
      </c>
      <c r="K60" s="6" t="str">
        <f>IFERROR(__xludf.DUMMYFUNCTION("GOOGLETRANSLATE(E60, ""en"", ""id"")"),"Karapan Sapi paling umum dipraktikkan di Madura, di mana ia merupakan bagian penting dari budaya.")</f>
        <v>Karapan Sapi paling umum dipraktikkan di Madura, di mana ia merupakan bagian penting dari budaya.</v>
      </c>
    </row>
    <row r="61">
      <c r="A61" s="5">
        <v>60.0</v>
      </c>
      <c r="B61" s="5" t="s">
        <v>459</v>
      </c>
      <c r="C61" s="5" t="s">
        <v>460</v>
      </c>
      <c r="D61" s="5" t="s">
        <v>461</v>
      </c>
      <c r="E61" s="5" t="s">
        <v>462</v>
      </c>
      <c r="G61" s="6" t="str">
        <f>IFERROR(__xludf.DUMMYFUNCTION("GOOGLETRANSLATE(A61, ""en"", ""id"")"),"60")</f>
        <v>60</v>
      </c>
      <c r="H61" s="6" t="str">
        <f>IFERROR(__xludf.DUMMYFUNCTION("GOOGLETRANSLATE(B61, ""en"", ""id"")"),"Apa tujuan utama lomba karapan sapi di Madura?")</f>
        <v>Apa tujuan utama lomba karapan sapi di Madura?</v>
      </c>
      <c r="I61" s="6" t="str">
        <f>IFERROR(__xludf.DUMMYFUNCTION("GOOGLETRANSLATE(C61, ""en"", ""id"")"),"A) Untuk merayakan panen, B) Untuk menguji kekuatan banteng, C) Untuk menghormati para dewa, D) Untuk menghibur keluarga kerajaan")</f>
        <v>A) Untuk merayakan panen, B) Untuk menguji kekuatan banteng, C) Untuk menghormati para dewa, D) Untuk menghibur keluarga kerajaan</v>
      </c>
      <c r="J61" s="6" t="str">
        <f>IFERROR(__xludf.DUMMYFUNCTION("GOOGLETRANSLATE(D61, ""en"", ""id"")"),"A) Untuk merayakan panen")</f>
        <v>A) Untuk merayakan panen</v>
      </c>
      <c r="K61" s="6" t="str">
        <f>IFERROR(__xludf.DUMMYFUNCTION("GOOGLETRANSLATE(E61, ""en"", ""id"")"),"Perlombaan Karapan Sapi secara tradisional telah menjadi bagian dari perayaan panen di Madura.")</f>
        <v>Perlombaan Karapan Sapi secara tradisional telah menjadi bagian dari perayaan panen di Madura.</v>
      </c>
    </row>
    <row r="62">
      <c r="A62" s="5">
        <v>61.0</v>
      </c>
      <c r="B62" s="8" t="s">
        <v>463</v>
      </c>
      <c r="C62" s="9" t="s">
        <v>464</v>
      </c>
      <c r="D62" s="8" t="s">
        <v>465</v>
      </c>
      <c r="E62" s="8" t="s">
        <v>466</v>
      </c>
      <c r="G62" s="6" t="str">
        <f>IFERROR(__xludf.DUMMYFUNCTION("GOOGLETRANSLATE(A62, ""en"", ""id"")"),"61")</f>
        <v>61</v>
      </c>
      <c r="H62" s="6" t="str">
        <f>IFERROR(__xludf.DUMMYFUNCTION("GOOGLETRANSLATE(B62, ""en"", ""id"")"),"Kabupaten pesisir manakah yang secara historis menjadi tuan rumah “pertemuan akbar” terakhir setelah kualifikasi desa di musim balap Madura?")</f>
        <v>Kabupaten pesisir manakah yang secara historis menjadi tuan rumah “pertemuan akbar” terakhir setelah kualifikasi desa di musim balap Madura?</v>
      </c>
      <c r="I62" s="6" t="str">
        <f>IFERROR(__xludf.DUMMYFUNCTION("GOOGLETRANSLATE(C62, ""en"", ""id"")"),"A) Bangkalan B) Sampang C) Pamekasan D) Sumenep")</f>
        <v>A) Bangkalan B) Sampang C) Pamekasan D) Sumenep</v>
      </c>
      <c r="J62" s="6" t="str">
        <f>IFERROR(__xludf.DUMMYFUNCTION("GOOGLETRANSLATE(D62, ""en"", ""id"")"),"C) Pamekasan")</f>
        <v>C) Pamekasan</v>
      </c>
      <c r="K62" s="6" t="str">
        <f>IFERROR(__xludf.DUMMYFUNCTION("GOOGLETRANSLATE(E62, ""en"", ""id"")"),"Catatan sejarah mencatat “Karapan Besar” di Pamekasan sebagai peristiwa puncak musim ini.")</f>
        <v>Catatan sejarah mencatat “Karapan Besar” di Pamekasan sebagai peristiwa puncak musim ini.</v>
      </c>
    </row>
    <row r="63">
      <c r="A63" s="5">
        <v>62.0</v>
      </c>
      <c r="B63" s="8" t="s">
        <v>467</v>
      </c>
      <c r="C63" s="9" t="s">
        <v>468</v>
      </c>
      <c r="D63" s="8" t="s">
        <v>469</v>
      </c>
      <c r="E63" s="8" t="s">
        <v>470</v>
      </c>
      <c r="G63" s="6" t="str">
        <f>IFERROR(__xludf.DUMMYFUNCTION("GOOGLETRANSLATE(A63, ""en"", ""id"")"),"62")</f>
        <v>62</v>
      </c>
      <c r="H63" s="6" t="str">
        <f>IFERROR(__xludf.DUMMYFUNCTION("GOOGLETRANSLATE(B63, ""en"", ""id"")"),"Dalam kronik lama, kelompok musik manakah yang secara tradisional memimpin prosesi balap?")</f>
        <v>Dalam kronik lama, kelompok musik manakah yang secara tradisional memimpin prosesi balap?</v>
      </c>
      <c r="I63" s="6" t="str">
        <f>IFERROR(__xludf.DUMMYFUNCTION("GOOGLETRANSLATE(C63, ""en"", ""id"")"),"A) Gamelan degung B) Saronen C) Angklung D) Kolintang")</f>
        <v>A) Gamelan degung B) Saronen C) Angklung D) Kolintang</v>
      </c>
      <c r="J63" s="6" t="str">
        <f>IFERROR(__xludf.DUMMYFUNCTION("GOOGLETRANSLATE(D63, ""en"", ""id"")"),"B) Saronen")</f>
        <v>B) Saronen</v>
      </c>
      <c r="K63" s="6" t="str">
        <f>IFERROR(__xludf.DUMMYFUNCTION("GOOGLETRANSLATE(E63, ""en"", ""id"")"),"Musik Saronen (double-reed) telah lama menandakan gengsi dan energi ritual.")</f>
        <v>Musik Saronen (double-reed) telah lama menandakan gengsi dan energi ritual.</v>
      </c>
    </row>
    <row r="64">
      <c r="A64" s="5">
        <v>63.0</v>
      </c>
      <c r="B64" s="8" t="s">
        <v>471</v>
      </c>
      <c r="C64" s="9" t="s">
        <v>472</v>
      </c>
      <c r="D64" s="8" t="s">
        <v>473</v>
      </c>
      <c r="E64" s="8" t="s">
        <v>474</v>
      </c>
      <c r="G64" s="6" t="str">
        <f>IFERROR(__xludf.DUMMYFUNCTION("GOOGLETRANSLATE(A64, ""en"", ""id"")"),"63")</f>
        <v>63</v>
      </c>
      <c r="H64" s="6" t="str">
        <f>IFERROR(__xludf.DUMMYFUNCTION("GOOGLETRANSLATE(B64, ""en"", ""id"")"),"Dukungan awal terhadap Karapan Sapi paling terkait dengan lapisan sosial lokal yang mana?")</f>
        <v>Dukungan awal terhadap Karapan Sapi paling terkait dengan lapisan sosial lokal yang mana?</v>
      </c>
      <c r="I64" s="6" t="str">
        <f>IFERROR(__xludf.DUMMYFUNCTION("GOOGLETRANSLATE(C64, ""en"", ""id"")"),"A) Serikat Nelayan B) Penjaga Kuil C) Elit Blater D) Petugas Pajak Beras")</f>
        <v>A) Serikat Nelayan B) Penjaga Kuil C) Elit Blater D) Petugas Pajak Beras</v>
      </c>
      <c r="J64" s="6" t="str">
        <f>IFERROR(__xludf.DUMMYFUNCTION("GOOGLETRANSLATE(D64, ""en"", ""id"")"),"C) Elit Blater")</f>
        <v>C) Elit Blater</v>
      </c>
      <c r="K64" s="6" t="str">
        <f>IFERROR(__xludf.DUMMYFUNCTION("GOOGLETRANSLATE(E64, ""en"", ""id"")"),"Para blater yang berkuasa membiayai banteng, pelatih, dan pesta.")</f>
        <v>Para blater yang berkuasa membiayai banteng, pelatih, dan pesta.</v>
      </c>
    </row>
    <row r="65">
      <c r="A65" s="5">
        <v>64.0</v>
      </c>
      <c r="B65" s="8" t="s">
        <v>475</v>
      </c>
      <c r="C65" s="9" t="s">
        <v>476</v>
      </c>
      <c r="D65" s="8" t="s">
        <v>477</v>
      </c>
      <c r="E65" s="8" t="s">
        <v>478</v>
      </c>
      <c r="G65" s="6" t="str">
        <f>IFERROR(__xludf.DUMMYFUNCTION("GOOGLETRANSLATE(A65, ""en"", ""id"")"),"64")</f>
        <v>64</v>
      </c>
      <c r="H65" s="6" t="str">
        <f>IFERROR(__xludf.DUMMYFUNCTION("GOOGLETRANSLATE(B65, ""en"", ""id"")"),"Secara historis, ritual pra-perlombaan apa yang melambangkan kerukunan antar umat beragama sebelum kompetisi?")</f>
        <v>Secara historis, ritual pra-perlombaan apa yang melambangkan kerukunan antar umat beragama sebelum kompetisi?</v>
      </c>
      <c r="I65" s="6" t="str">
        <f>IFERROR(__xludf.DUMMYFUNCTION("GOOGLETRANSLATE(C65, ""en"", ""id"")"),"A) Makan bersama warga desa B) Menggambar sumur bersama C) Sumpah di pintu gerbang masjid D) Prosesi mengelilingi makam leluhur")</f>
        <v>A) Makan bersama warga desa B) Menggambar sumur bersama C) Sumpah di pintu gerbang masjid D) Prosesi mengelilingi makam leluhur</v>
      </c>
      <c r="J65" s="6" t="str">
        <f>IFERROR(__xludf.DUMMYFUNCTION("GOOGLETRANSLATE(D65, ""en"", ""id"")"),"A) Makan bersama desa")</f>
        <v>A) Makan bersama desa</v>
      </c>
      <c r="K65" s="6" t="str">
        <f>IFERROR(__xludf.DUMMYFUNCTION("GOOGLETRANSLATE(E65, ""en"", ""id"")"),"Perayaan komunal (seperti slametan) meneguhkan solidaritas dan keberuntungan.")</f>
        <v>Perayaan komunal (seperti slametan) meneguhkan solidaritas dan keberuntungan.</v>
      </c>
    </row>
    <row r="66">
      <c r="A66" s="5">
        <v>65.0</v>
      </c>
      <c r="B66" s="8" t="s">
        <v>479</v>
      </c>
      <c r="C66" s="9" t="s">
        <v>480</v>
      </c>
      <c r="D66" s="8" t="s">
        <v>481</v>
      </c>
      <c r="E66" s="8" t="s">
        <v>482</v>
      </c>
      <c r="G66" s="6" t="str">
        <f>IFERROR(__xludf.DUMMYFUNCTION("GOOGLETRANSLATE(A66, ""en"", ""id"")"),"65")</f>
        <v>65</v>
      </c>
      <c r="H66" s="6" t="str">
        <f>IFERROR(__xludf.DUMMYFUNCTION("GOOGLETRANSLATE(B66, ""en"", ""id"")"),"Dalam narasi lama, logika kalender mana yang paling memengaruhi penjadwalan balapan?")</f>
        <v>Dalam narasi lama, logika kalender mana yang paling memengaruhi penjadwalan balapan?</v>
      </c>
      <c r="I66" s="6" t="str">
        <f>IFERROR(__xludf.DUMMYFUNCTION("GOOGLETRANSLATE(C66, ""en"", ""id"")"),"A) Bulan matahari B) Minggu pasar C) Bulan lunar Hijriah D) Siklus pasang surut")</f>
        <v>A) Bulan matahari B) Minggu pasar C) Bulan lunar Hijriah D) Siklus pasang surut</v>
      </c>
      <c r="J66" s="6" t="str">
        <f>IFERROR(__xludf.DUMMYFUNCTION("GOOGLETRANSLATE(D66, ""en"", ""id"")"),"C) Bulan Hijriah")</f>
        <v>C) Bulan Hijriah</v>
      </c>
      <c r="K66" s="6" t="str">
        <f>IFERROR(__xludf.DUMMYFUNCTION("GOOGLETRANSLATE(E66, ""en"", ""id"")"),"Banyak desa yang mengatur waktu perlombaan bertepatan dengan akhir pekan bulan purnama.")</f>
        <v>Banyak desa yang mengatur waktu perlombaan bertepatan dengan akhir pekan bulan purnama.</v>
      </c>
    </row>
    <row r="67">
      <c r="A67" s="5">
        <v>66.0</v>
      </c>
      <c r="B67" s="8" t="s">
        <v>483</v>
      </c>
      <c r="C67" s="9" t="s">
        <v>484</v>
      </c>
      <c r="D67" s="8" t="s">
        <v>485</v>
      </c>
      <c r="E67" s="8" t="s">
        <v>486</v>
      </c>
      <c r="G67" s="6" t="str">
        <f>IFERROR(__xludf.DUMMYFUNCTION("GOOGLETRANSLATE(A67, ""en"", ""id"")"),"66")</f>
        <v>66</v>
      </c>
      <c r="H67" s="6" t="str">
        <f>IFERROR(__xludf.DUMMYFUNCTION("GOOGLETRANSLATE(B67, ""en"", ""id"")"),"Pasangan simbolis dua ekor banteng secara historis melambangkan:")</f>
        <v>Pasangan simbolis dua ekor banteng secara historis melambangkan:</v>
      </c>
      <c r="I67" s="6" t="str">
        <f>IFERROR(__xludf.DUMMYFUNCTION("GOOGLETRANSLATE(C67, ""en"", ""id"")"),"A) Keseimbangan laut-darat B) Poros langit-bumi C) Ikatan kepemimpinan-kesetiaan D) Dualitas kekuasaan-kesuburan")</f>
        <v>A) Keseimbangan laut-darat B) Poros langit-bumi C) Ikatan kepemimpinan-kesetiaan D) Dualitas kekuasaan-kesuburan</v>
      </c>
      <c r="J67" s="6" t="str">
        <f>IFERROR(__xludf.DUMMYFUNCTION("GOOGLETRANSLATE(D67, ""en"", ""id"")"),"D) Dualitas kekuasaan-kesuburan")</f>
        <v>D) Dualitas kekuasaan-kesuburan</v>
      </c>
      <c r="K67" s="6" t="str">
        <f>IFERROR(__xludf.DUMMYFUNCTION("GOOGLETRANSLATE(E67, ""en"", ""id"")"),"Banteng melambangkan kekuatan dan kesuburan pertanian.")</f>
        <v>Banteng melambangkan kekuatan dan kesuburan pertanian.</v>
      </c>
    </row>
    <row r="68">
      <c r="A68" s="5">
        <v>67.0</v>
      </c>
      <c r="B68" s="8" t="s">
        <v>487</v>
      </c>
      <c r="C68" s="9" t="s">
        <v>488</v>
      </c>
      <c r="D68" s="8" t="s">
        <v>489</v>
      </c>
      <c r="E68" s="8" t="s">
        <v>490</v>
      </c>
      <c r="G68" s="6" t="str">
        <f>IFERROR(__xludf.DUMMYFUNCTION("GOOGLETRANSLATE(A68, ""en"", ""id"")"),"67")</f>
        <v>67</v>
      </c>
      <c r="H68" s="6" t="str">
        <f>IFERROR(__xludf.DUMMYFUNCTION("GOOGLETRANSLATE(B68, ""en"", ""id"")"),"Dalam deskripsi era kolonial, susunan lintasan mana yang lebih disukai untuk mengatur kerumunan?")</f>
        <v>Dalam deskripsi era kolonial, susunan lintasan mana yang lebih disukai untuk mengatur kerumunan?</v>
      </c>
      <c r="I68" s="6" t="str">
        <f>IFERROR(__xludf.DUMMYFUNCTION("GOOGLETRANSLATE(C68, ""en"", ""id"")"),"A) Elips B) Garis lurus sempit C) Tapal kuda D) Zigzag")</f>
        <v>A) Elips B) Garis lurus sempit C) Tapal kuda D) Zigzag</v>
      </c>
      <c r="J68" s="6" t="str">
        <f>IFERROR(__xludf.DUMMYFUNCTION("GOOGLETRANSLATE(D68, ""en"", ""id"")"),"B) Lurus sempit")</f>
        <v>B) Lurus sempit</v>
      </c>
      <c r="K68" s="6" t="str">
        <f>IFERROR(__xludf.DUMMYFUNCTION("GOOGLETRANSLATE(E68, ""en"", ""id"")"),"Koridor yang lurus dan sempit menjaga momentum tetap tinggi dan kerumunan bergerak menyamping.")</f>
        <v>Koridor yang lurus dan sempit menjaga momentum tetap tinggi dan kerumunan bergerak menyamping.</v>
      </c>
    </row>
    <row r="69">
      <c r="A69" s="5">
        <v>68.0</v>
      </c>
      <c r="B69" s="8" t="s">
        <v>491</v>
      </c>
      <c r="C69" s="9" t="s">
        <v>492</v>
      </c>
      <c r="D69" s="8" t="s">
        <v>493</v>
      </c>
      <c r="E69" s="8" t="s">
        <v>494</v>
      </c>
      <c r="G69" s="6" t="str">
        <f>IFERROR(__xludf.DUMMYFUNCTION("GOOGLETRANSLATE(A69, ""en"", ""id"")"),"68")</f>
        <v>68</v>
      </c>
      <c r="H69" s="6" t="str">
        <f>IFERROR(__xludf.DUMMYFUNCTION("GOOGLETRANSLATE(B69, ""en"", ""id"")"),"Objek ritual apa yang kadang-kadang diikatkan pada paku payung untuk perlindungan?")</f>
        <v>Objek ritual apa yang kadang-kadang diikatkan pada paku payung untuk perlindungan?</v>
      </c>
      <c r="I69" s="6" t="str">
        <f>IFERROR(__xludf.DUMMYFUNCTION("GOOGLETRANSLATE(C69, ""en"", ""id"")"),"A) Sabit mini B) Salib alang-alang C) Jimat Al-Quran D) Jimat kerang")</f>
        <v>A) Sabit mini B) Salib alang-alang C) Jimat Al-Quran D) Jimat kerang</v>
      </c>
      <c r="J69" s="6" t="str">
        <f>IFERROR(__xludf.DUMMYFUNCTION("GOOGLETRANSLATE(D69, ""en"", ""id"")"),"C) Jimat Al-Quran")</f>
        <v>C) Jimat Al-Quran</v>
      </c>
      <c r="K69" s="6" t="str">
        <f>IFERROR(__xludf.DUMMYFUNCTION("GOOGLETRANSLATE(E69, ""en"", ""id"")"),"Jimat dengan ayat-ayat dipercaya memberikan keselamatan dan kecepatan.")</f>
        <v>Jimat dengan ayat-ayat dipercaya memberikan keselamatan dan kecepatan.</v>
      </c>
    </row>
    <row r="70">
      <c r="A70" s="5">
        <v>69.0</v>
      </c>
      <c r="B70" s="8" t="s">
        <v>495</v>
      </c>
      <c r="C70" s="9" t="s">
        <v>496</v>
      </c>
      <c r="D70" s="8" t="s">
        <v>497</v>
      </c>
      <c r="E70" s="8" t="s">
        <v>498</v>
      </c>
      <c r="G70" s="6" t="str">
        <f>IFERROR(__xludf.DUMMYFUNCTION("GOOGLETRANSLATE(A70, ""en"", ""id"")"),"69")</f>
        <v>69</v>
      </c>
      <c r="H70" s="6" t="str">
        <f>IFERROR(__xludf.DUMMYFUNCTION("GOOGLETRANSLATE(B70, ""en"", ""id"")"),"Dalam sejarah lisan, seorang pelatih utama dihargai terutama karena:")</f>
        <v>Dalam sejarah lisan, seorang pelatih utama dihargai terutama karena:</v>
      </c>
      <c r="I70" s="6" t="str">
        <f>IFERROR(__xludf.DUMMYFUNCTION("GOOGLETRANSLATE(C70, ""en"", ""id"")"),"A) Pengetahuan herbal B) Desain kereta luncur C) Panggilan kecepatan D) Kalkulus diet")</f>
        <v>A) Pengetahuan herbal B) Desain kereta luncur C) Panggilan kecepatan D) Kalkulus diet</v>
      </c>
      <c r="J70" s="6" t="str">
        <f>IFERROR(__xludf.DUMMYFUNCTION("GOOGLETRANSLATE(D70, ""en"", ""id"")"),"A) Pengetahuan herbal")</f>
        <v>A) Pengetahuan herbal</v>
      </c>
      <c r="K70" s="6" t="str">
        <f>IFERROR(__xludf.DUMMYFUNCTION("GOOGLETRANSLATE(E70, ""en"", ""id"")"),"Pengetahuan tentang tonik dan balsem membentuk keunggulan kompetitif utama.")</f>
        <v>Pengetahuan tentang tonik dan balsem membentuk keunggulan kompetitif utama.</v>
      </c>
    </row>
    <row r="71">
      <c r="A71" s="5">
        <v>70.0</v>
      </c>
      <c r="B71" s="8" t="s">
        <v>499</v>
      </c>
      <c r="C71" s="9" t="s">
        <v>500</v>
      </c>
      <c r="D71" s="8" t="s">
        <v>501</v>
      </c>
      <c r="E71" s="8" t="s">
        <v>502</v>
      </c>
      <c r="G71" s="6" t="str">
        <f>IFERROR(__xludf.DUMMYFUNCTION("GOOGLETRANSLATE(A71, ""en"", ""id"")"),"70")</f>
        <v>70</v>
      </c>
      <c r="H71" s="6" t="str">
        <f>IFERROR(__xludf.DUMMYFUNCTION("GOOGLETRANSLATE(B71, ""en"", ""id"")"),"Praktik aliansi desa manakah yang secara historis mengintensifkan persaingan?")</f>
        <v>Praktik aliansi desa manakah yang secara historis mengintensifkan persaingan?</v>
      </c>
      <c r="I71" s="6" t="str">
        <f>IFERROR(__xludf.DUMMYFUNCTION("GOOGLETRANSLATE(C71, ""en"", ""id"")"),"A) Kandang pakan ternak bersama B) Tuan rumah yang berganti-ganti C) Sewa sapi jantan bersama D) Kelompok musik yang dibiayai bersama")</f>
        <v>A) Kandang pakan ternak bersama B) Tuan rumah yang berganti-ganti C) Sewa sapi jantan bersama D) Kelompok musik yang dibiayai bersama</v>
      </c>
      <c r="J71" s="6" t="str">
        <f>IFERROR(__xludf.DUMMYFUNCTION("GOOGLETRANSLATE(D71, ""en"", ""id"")"),"B) Host yang berputar")</f>
        <v>B) Host yang berputar</v>
      </c>
      <c r="K71" s="6" t="str">
        <f>IFERROR(__xludf.DUMMYFUNCTION("GOOGLETRANSLATE(E71, ""en"", ""id"")"),"Rotasi tuan rumah menyebarkan prestise dan mendorong pertaruhan antar desa.")</f>
        <v>Rotasi tuan rumah menyebarkan prestise dan mendorong pertaruhan antar desa.</v>
      </c>
    </row>
    <row r="72">
      <c r="A72" s="5">
        <v>71.0</v>
      </c>
      <c r="B72" s="8" t="s">
        <v>503</v>
      </c>
      <c r="C72" s="9" t="s">
        <v>504</v>
      </c>
      <c r="D72" s="8" t="s">
        <v>505</v>
      </c>
      <c r="E72" s="8" t="s">
        <v>506</v>
      </c>
      <c r="G72" s="6" t="str">
        <f>IFERROR(__xludf.DUMMYFUNCTION("GOOGLETRANSLATE(A72, ""en"", ""id"")"),"71")</f>
        <v>71</v>
      </c>
      <c r="H72" s="6" t="str">
        <f>IFERROR(__xludf.DUMMYFUNCTION("GOOGLETRANSLATE(B72, ""en"", ""id"")"),"Hadiah klasik pra-modern selain uang adalah:")</f>
        <v>Hadiah klasik pra-modern selain uang adalah:</v>
      </c>
      <c r="I72" s="6" t="str">
        <f>IFERROR(__xludf.DUMMYFUNCTION("GOOGLETRANSLATE(C72, ""en"", ""id"")"),"A) Akta tanah B) Selendang kehormatan C) Tanda kerajaan D) Gong perunggu")</f>
        <v>A) Akta tanah B) Selendang kehormatan C) Tanda kerajaan D) Gong perunggu</v>
      </c>
      <c r="J72" s="6" t="str">
        <f>IFERROR(__xludf.DUMMYFUNCTION("GOOGLETRANSLATE(D72, ""en"", ""id"")"),"D) Gong perunggu")</f>
        <v>D) Gong perunggu</v>
      </c>
      <c r="K72" s="6" t="str">
        <f>IFERROR(__xludf.DUMMYFUNCTION("GOOGLETRANSLATE(E72, ""en"", ""id"")"),"Gong melambangkan prestise abadi dan dapat dipamerkan di depan umum.")</f>
        <v>Gong melambangkan prestise abadi dan dapat dipamerkan di depan umum.</v>
      </c>
    </row>
    <row r="73">
      <c r="A73" s="5">
        <v>72.0</v>
      </c>
      <c r="B73" s="8" t="s">
        <v>507</v>
      </c>
      <c r="C73" s="9" t="s">
        <v>508</v>
      </c>
      <c r="D73" s="8" t="s">
        <v>509</v>
      </c>
      <c r="E73" s="8" t="s">
        <v>510</v>
      </c>
      <c r="G73" s="6" t="str">
        <f>IFERROR(__xludf.DUMMYFUNCTION("GOOGLETRANSLATE(A73, ""en"", ""id"")"),"72")</f>
        <v>72</v>
      </c>
      <c r="H73" s="6" t="str">
        <f>IFERROR(__xludf.DUMMYFUNCTION("GOOGLETRANSLATE(B73, ""en"", ""id"")"),"Pada zaman dahulu, hiasan tanduk umumnya melambangkan:")</f>
        <v>Pada zaman dahulu, hiasan tanduk umumnya melambangkan:</v>
      </c>
      <c r="I73" s="6" t="str">
        <f>IFERROR(__xludf.DUMMYFUNCTION("GOOGLETRANSLATE(C73, ""en"", ""id"")"),"A) Warna klan B) Pemujaan matahari C) Kepemilikan pasar D) Kekebalan pajak")</f>
        <v>A) Warna klan B) Pemujaan matahari C) Kepemilikan pasar D) Kekebalan pajak</v>
      </c>
      <c r="J73" s="6" t="str">
        <f>IFERROR(__xludf.DUMMYFUNCTION("GOOGLETRANSLATE(D73, ""en"", ""id"")"),"A) Warna klan")</f>
        <v>A) Warna klan</v>
      </c>
      <c r="K73" s="6" t="str">
        <f>IFERROR(__xludf.DUMMYFUNCTION("GOOGLETRANSLATE(E73, ""en"", ""id"")"),"Warna dan kain menandai perlindungan dan kebanggaan garis keturunan.")</f>
        <v>Warna dan kain menandai perlindungan dan kebanggaan garis keturunan.</v>
      </c>
    </row>
    <row r="74">
      <c r="A74" s="5">
        <v>73.0</v>
      </c>
      <c r="B74" s="8" t="s">
        <v>511</v>
      </c>
      <c r="C74" s="9" t="s">
        <v>512</v>
      </c>
      <c r="D74" s="8" t="s">
        <v>513</v>
      </c>
      <c r="E74" s="8" t="s">
        <v>514</v>
      </c>
      <c r="G74" s="6" t="str">
        <f>IFERROR(__xludf.DUMMYFUNCTION("GOOGLETRANSLATE(A74, ""en"", ""id"")"),"73")</f>
        <v>73</v>
      </c>
      <c r="H74" s="6" t="str">
        <f>IFERROR(__xludf.DUMMYFUNCTION("GOOGLETRANSLATE(B74, ""en"", ""id"")"),"Laporan awal mencatat perawatan permukaan apa yang akan mengeraskan lintasan sebelum hari balapan?")</f>
        <v>Laporan awal mencatat perawatan permukaan apa yang akan mengeraskan lintasan sebelum hari balapan?</v>
      </c>
      <c r="I74" s="6" t="str">
        <f>IFERROR(__xludf.DUMMYFUNCTION("GOOGLETRANSLATE(C74, ""en"", ""id"")"),"A) Boraks B) Penyiraman air garam C) Pencampuran abu D) Pemadatan sekam padi")</f>
        <v>A) Boraks B) Penyiraman air garam C) Pencampuran abu D) Pemadatan sekam padi</v>
      </c>
      <c r="J74" s="6" t="str">
        <f>IFERROR(__xludf.DUMMYFUNCTION("GOOGLETRANSLATE(D74, ""en"", ""id"")"),"D) Pemadatan sekam padi")</f>
        <v>D) Pemadatan sekam padi</v>
      </c>
      <c r="K74" s="6" t="str">
        <f>IFERROR(__xludf.DUMMYFUNCTION("GOOGLETRANSLATE(E74, ""en"", ""id"")"),"Pemadatan sekam dan tanah meningkatkan cengkeraman dan stabilitas lari cepat.")</f>
        <v>Pemadatan sekam dan tanah meningkatkan cengkeraman dan stabilitas lari cepat.</v>
      </c>
    </row>
    <row r="75">
      <c r="A75" s="5">
        <v>74.0</v>
      </c>
      <c r="B75" s="8" t="s">
        <v>515</v>
      </c>
      <c r="C75" s="9" t="s">
        <v>516</v>
      </c>
      <c r="D75" s="8" t="s">
        <v>517</v>
      </c>
      <c r="E75" s="8" t="s">
        <v>518</v>
      </c>
      <c r="G75" s="6" t="str">
        <f>IFERROR(__xludf.DUMMYFUNCTION("GOOGLETRANSLATE(A75, ""en"", ""id"")"),"74")</f>
        <v>74</v>
      </c>
      <c r="H75" s="6" t="str">
        <f>IFERROR(__xludf.DUMMYFUNCTION("GOOGLETRANSLATE(B75, ""en"", ""id"")"),"Dalam deskripsi akhir abad ke-19, peran apa yang memediasi pertikaian di festival?")</f>
        <v>Dalam deskripsi akhir abad ke-19, peran apa yang memediasi pertikaian di festival?</v>
      </c>
      <c r="I75" s="6" t="str">
        <f>IFERROR(__xludf.DUMMYFUNCTION("GOOGLETRANSLATE(C75, ""en"", ""id"")"),"A) Bidan desa B) Penjaga masjid C) Inspektur pasar D) Dewan kepala desa")</f>
        <v>A) Bidan desa B) Penjaga masjid C) Inspektur pasar D) Dewan kepala desa</v>
      </c>
      <c r="J75" s="6" t="str">
        <f>IFERROR(__xludf.DUMMYFUNCTION("GOOGLETRANSLATE(D75, ""en"", ""id"")"),"D) Dewan Kepala Desa")</f>
        <v>D) Dewan Kepala Desa</v>
      </c>
      <c r="K75" s="6" t="str">
        <f>IFERROR(__xludf.DUMMYFUNCTION("GOOGLETRANSLATE(E75, ""en"", ""id"")"),"Dewan lokal menengahi permulaan yang salah dan pertikaian kepemilikan.")</f>
        <v>Dewan lokal menengahi permulaan yang salah dan pertikaian kepemilikan.</v>
      </c>
    </row>
    <row r="76">
      <c r="A76" s="5">
        <v>75.0</v>
      </c>
      <c r="B76" s="8" t="s">
        <v>519</v>
      </c>
      <c r="C76" s="9" t="s">
        <v>520</v>
      </c>
      <c r="D76" s="8" t="s">
        <v>521</v>
      </c>
      <c r="E76" s="8" t="s">
        <v>522</v>
      </c>
      <c r="G76" s="6" t="str">
        <f>IFERROR(__xludf.DUMMYFUNCTION("GOOGLETRANSLATE(A76, ""en"", ""id"")"),"75")</f>
        <v>75</v>
      </c>
      <c r="H76" s="6" t="str">
        <f>IFERROR(__xludf.DUMMYFUNCTION("GOOGLETRANSLATE(B76, ""en"", ""id"")"),"Sebuah nyanyian olok-olok simbolis antara kubu yang bermusuhan secara historis ditujukan untuk:")</f>
        <v>Sebuah nyanyian olok-olok simbolis antara kubu yang bermusuhan secara historis ditujukan untuk:</v>
      </c>
      <c r="I76" s="6" t="str">
        <f>IFERROR(__xludf.DUMMYFUNCTION("GOOGLETRANSLATE(C76, ""en"", ""id"")"),"A) Memanggil roh B) Mengintimidasi lawan C) Memberkati orang tua D) Mengalihkan perhatian banteng")</f>
        <v>A) Memanggil roh B) Mengintimidasi lawan C) Memberkati orang tua D) Mengalihkan perhatian banteng</v>
      </c>
      <c r="J76" s="6" t="str">
        <f>IFERROR(__xludf.DUMMYFUNCTION("GOOGLETRANSLATE(D76, ""en"", ""id"")"),"B) Mengintimidasi lawan")</f>
        <v>B) Mengintimidasi lawan</v>
      </c>
      <c r="K76" s="6" t="str">
        <f>IFERROR(__xludf.DUMMYFUNCTION("GOOGLETRANSLATE(E76, ""en"", ""id"")"),"Ejekan puitis memperkuat budaya kehormatan dan semangat kompetitif.")</f>
        <v>Ejekan puitis memperkuat budaya kehormatan dan semangat kompetitif.</v>
      </c>
    </row>
    <row r="77">
      <c r="A77" s="5">
        <v>76.0</v>
      </c>
      <c r="B77" s="8" t="s">
        <v>523</v>
      </c>
      <c r="C77" s="9" t="s">
        <v>524</v>
      </c>
      <c r="D77" s="8" t="s">
        <v>525</v>
      </c>
      <c r="E77" s="8" t="s">
        <v>526</v>
      </c>
      <c r="G77" s="6" t="str">
        <f>IFERROR(__xludf.DUMMYFUNCTION("GOOGLETRANSLATE(A77, ""en"", ""id"")"),"76")</f>
        <v>76</v>
      </c>
      <c r="H77" s="6" t="str">
        <f>IFERROR(__xludf.DUMMYFUNCTION("GOOGLETRANSLATE(B77, ""en"", ""id"")"),"Dalam pengetahuan pengembangbiakan lama, pemilihan temperamen berpasangan ditujukan untuk:")</f>
        <v>Dalam pengetahuan pengembangbiakan lama, pemilihan temperamen berpasangan ditujukan untuk:</v>
      </c>
      <c r="I77" s="6" t="str">
        <f>IFERROR(__xludf.DUMMYFUNCTION("GOOGLETRANSLATE(C77, ""en"", ""id"")"),"A) Gaya berjalan identik B) Langkah komplementer C) Dominasi bergantian D) Lebar tanduk campuran")</f>
        <v>A) Gaya berjalan identik B) Langkah komplementer C) Dominasi bergantian D) Lebar tanduk campuran</v>
      </c>
      <c r="J77" s="6" t="str">
        <f>IFERROR(__xludf.DUMMYFUNCTION("GOOGLETRANSLATE(D77, ""en"", ""id"")"),"B) Langkah komplementer")</f>
        <v>B) Langkah komplementer</v>
      </c>
      <c r="K77" s="6" t="str">
        <f>IFERROR(__xludf.DUMMYFUNCTION("GOOGLETRANSLATE(E77, ""en"", ""id"")"),"Pelatih lebih mencari akselerasi yang tersinkronisasi daripada bentuk tubuh yang identik.")</f>
        <v>Pelatih lebih mencari akselerasi yang tersinkronisasi daripada bentuk tubuh yang identik.</v>
      </c>
    </row>
    <row r="78">
      <c r="A78" s="5">
        <v>77.0</v>
      </c>
      <c r="B78" s="8" t="s">
        <v>527</v>
      </c>
      <c r="C78" s="9" t="s">
        <v>528</v>
      </c>
      <c r="D78" s="8" t="s">
        <v>529</v>
      </c>
      <c r="E78" s="8" t="s">
        <v>530</v>
      </c>
      <c r="G78" s="6" t="str">
        <f>IFERROR(__xludf.DUMMYFUNCTION("GOOGLETRANSLATE(A78, ""en"", ""id"")"),"77")</f>
        <v>77</v>
      </c>
      <c r="H78" s="6" t="str">
        <f>IFERROR(__xludf.DUMMYFUNCTION("GOOGLETRANSLATE(B78, ""en"", ""id"")"),"Sebelum adanya sponsor modern, siapa yang biasanya menanggung biaya perjalanan?")</f>
        <v>Sebelum adanya sponsor modern, siapa yang biasanya menanggung biaya perjalanan?</v>
      </c>
      <c r="I78" s="6" t="str">
        <f>IFERROR(__xludf.DUMMYFUNCTION("GOOGLETRANSLATE(C78, ""en"", ""id"")"),"A) Juru tulis kota B) Ibu-ibu klan C) Pemilik tanah pelindung D) Serikat pemuda")</f>
        <v>A) Juru tulis kota B) Ibu-ibu klan C) Pemilik tanah pelindung D) Serikat pemuda</v>
      </c>
      <c r="J78" s="6" t="str">
        <f>IFERROR(__xludf.DUMMYFUNCTION("GOOGLETRANSLATE(D78, ""en"", ""id"")"),"C) Pemegang tanah patron")</f>
        <v>C) Pemegang tanah patron</v>
      </c>
      <c r="K78" s="6" t="str">
        <f>IFERROR(__xludf.DUMMYFUNCTION("GOOGLETRANSLATE(E78, ""en"", ""id"")"),"Pelanggan yang mendarat membiayai logistik untuk keuntungan bergengsi.")</f>
        <v>Pelanggan yang mendarat membiayai logistik untuk keuntungan bergengsi.</v>
      </c>
    </row>
    <row r="79">
      <c r="A79" s="5">
        <v>78.0</v>
      </c>
      <c r="B79" s="8" t="s">
        <v>531</v>
      </c>
      <c r="C79" s="9" t="s">
        <v>532</v>
      </c>
      <c r="D79" s="8" t="s">
        <v>533</v>
      </c>
      <c r="E79" s="8" t="s">
        <v>534</v>
      </c>
      <c r="G79" s="6" t="str">
        <f>IFERROR(__xludf.DUMMYFUNCTION("GOOGLETRANSLATE(A79, ""en"", ""id"")"),"78")</f>
        <v>78</v>
      </c>
      <c r="H79" s="6" t="str">
        <f>IFERROR(__xludf.DUMMYFUNCTION("GOOGLETRANSLATE(B79, ""en"", ""id"")"),"Sinyal permulaan historis yang paling sering diandalkan adalah:")</f>
        <v>Sinyal permulaan historis yang paling sering diandalkan adalah:</v>
      </c>
      <c r="I79" s="6" t="str">
        <f>IFERROR(__xludf.DUMMYFUNCTION("GOOGLETRANSLATE(C79, ""en"", ""id"")"),"A) Tabuhan drum B) Jatuhkan obor C) Sapu tangan D) Ledakan kerang")</f>
        <v>A) Tabuhan drum B) Jatuhkan obor C) Sapu tangan D) Ledakan kerang</v>
      </c>
      <c r="J79" s="6" t="str">
        <f>IFERROR(__xludf.DUMMYFUNCTION("GOOGLETRANSLATE(D79, ""en"", ""id"")"),"A) Tabuhan drum")</f>
        <v>A) Tabuhan drum</v>
      </c>
      <c r="K79" s="6" t="str">
        <f>IFERROR(__xludf.DUMMYFUNCTION("GOOGLETRANSLATE(E79, ""en"", ""id"")"),"Drum mengoordinasikan fokus di tengah kerumunan yang ramai dan padat.")</f>
        <v>Drum mengoordinasikan fokus di tengah kerumunan yang ramai dan padat.</v>
      </c>
    </row>
    <row r="80">
      <c r="A80" s="5">
        <v>79.0</v>
      </c>
      <c r="B80" s="8" t="s">
        <v>535</v>
      </c>
      <c r="C80" s="9" t="s">
        <v>536</v>
      </c>
      <c r="D80" s="8" t="s">
        <v>537</v>
      </c>
      <c r="E80" s="8" t="s">
        <v>538</v>
      </c>
      <c r="G80" s="6" t="str">
        <f>IFERROR(__xludf.DUMMYFUNCTION("GOOGLETRANSLATE(A80, ""en"", ""id"")"),"79")</f>
        <v>79</v>
      </c>
      <c r="H80" s="6" t="str">
        <f>IFERROR(__xludf.DUMMYFUNCTION("GOOGLETRANSLATE(B80, ""en"", ""id"")"),"Dalam tradisi, putaran kemenangan berfungsi terutama sebagai:")</f>
        <v>Dalam tradisi, putaran kemenangan berfungsi terutama sebagai:</v>
      </c>
      <c r="I80" s="6" t="str">
        <f>IFERROR(__xludf.DUMMYFUNCTION("GOOGLETRANSLATE(C80, ""en"", ""id"")"),"A) Ritual pemberkatan B) Klaim permainan yang adil C) Pameran sponsor D) Penenangan saingan")</f>
        <v>A) Ritual pemberkatan B) Klaim permainan yang adil C) Pameran sponsor D) Penenangan saingan</v>
      </c>
      <c r="J80" s="6" t="str">
        <f>IFERROR(__xludf.DUMMYFUNCTION("GOOGLETRANSLATE(D80, ""en"", ""id"")"),"C) Pameran sponsor")</f>
        <v>C) Pameran sponsor</v>
      </c>
      <c r="K80" s="6" t="str">
        <f>IFERROR(__xludf.DUMMYFUNCTION("GOOGLETRANSLATE(E80, ""en"", ""id"")"),"Pangkuan itu memamerkan banteng, tali kekang, dan panji-panji pelindung.")</f>
        <v>Pangkuan itu memamerkan banteng, tali kekang, dan panji-panji pelindung.</v>
      </c>
    </row>
    <row r="81">
      <c r="A81" s="5">
        <v>80.0</v>
      </c>
      <c r="B81" s="8" t="s">
        <v>539</v>
      </c>
      <c r="C81" s="9" t="s">
        <v>540</v>
      </c>
      <c r="D81" s="8" t="s">
        <v>541</v>
      </c>
      <c r="E81" s="8" t="s">
        <v>542</v>
      </c>
      <c r="G81" s="6" t="str">
        <f>IFERROR(__xludf.DUMMYFUNCTION("GOOGLETRANSLATE(A81, ""en"", ""id"")"),"80")</f>
        <v>80</v>
      </c>
      <c r="H81" s="6" t="str">
        <f>IFERROR(__xludf.DUMMYFUNCTION("GOOGLETRANSLATE(B81, ""en"", ""id"")"),"Di antara pemilik elit, pencatatan secara historis difokuskan pada:")</f>
        <v>Di antara pemilik elit, pencatatan secara historis difokuskan pada:</v>
      </c>
      <c r="I81" s="6" t="str">
        <f>IFERROR(__xludf.DUMMYFUNCTION("GOOGLETRANSLATE(C81, ""en"", ""id"")"),"A) Menit per 200 m B) Akselerasi split C) Rantai silsilah D) Konversi pakan")</f>
        <v>A) Menit per 200 m B) Akselerasi split C) Rantai silsilah D) Konversi pakan</v>
      </c>
      <c r="J81" s="6" t="str">
        <f>IFERROR(__xludf.DUMMYFUNCTION("GOOGLETRANSLATE(D81, ""en"", ""id"")"),"C) Rantai silsilah")</f>
        <v>C) Rantai silsilah</v>
      </c>
      <c r="K81" s="6" t="str">
        <f>IFERROR(__xludf.DUMMYFUNCTION("GOOGLETRANSLATE(E81, ""en"", ""id"")"),"Buku catatan silsilah memandu strategi pembiakan jangka panjang.")</f>
        <v>Buku catatan silsilah memandu strategi pembiakan jangka panjang.</v>
      </c>
    </row>
    <row r="82">
      <c r="A82" s="5">
        <v>81.0</v>
      </c>
      <c r="B82" s="8" t="s">
        <v>543</v>
      </c>
      <c r="C82" s="9" t="s">
        <v>544</v>
      </c>
      <c r="D82" s="8" t="s">
        <v>545</v>
      </c>
      <c r="E82" s="8" t="s">
        <v>546</v>
      </c>
      <c r="G82" s="6" t="str">
        <f>IFERROR(__xludf.DUMMYFUNCTION("GOOGLETRANSLATE(A82, ""en"", ""id"")"),"81")</f>
        <v>81</v>
      </c>
      <c r="H82" s="6" t="str">
        <f>IFERROR(__xludf.DUMMYFUNCTION("GOOGLETRANSLATE(B82, ""en"", ""id"")"),"Munculnya pelatih keliling pada awal abad ke-20 terutama mencerminkan:")</f>
        <v>Munculnya pelatih keliling pada awal abad ke-20 terutama mencerminkan:</v>
      </c>
      <c r="I82" s="6" t="str">
        <f>IFERROR(__xludf.DUMMYFUNCTION("GOOGLETRANSLATE(C82, ""en"", ""id"")"),"A) Hukum ketenagakerjaan B) Migrasi musiman C) Integrasi pasar D) Kalender sekolah")</f>
        <v>A) Hukum ketenagakerjaan B) Migrasi musiman C) Integrasi pasar D) Kalender sekolah</v>
      </c>
      <c r="J82" s="6" t="str">
        <f>IFERROR(__xludf.DUMMYFUNCTION("GOOGLETRANSLATE(D82, ""en"", ""id"")"),"C) Integrasi pasar")</f>
        <v>C) Integrasi pasar</v>
      </c>
      <c r="K82" s="6" t="str">
        <f>IFERROR(__xludf.DUMMYFUNCTION("GOOGLETRANSLATE(E82, ""en"", ""id"")"),"Sirkuit yang lebih luas membutuhkan keahlian perjalanan yang khusus.")</f>
        <v>Sirkuit yang lebih luas membutuhkan keahlian perjalanan yang khusus.</v>
      </c>
    </row>
    <row r="83">
      <c r="A83" s="5">
        <v>82.0</v>
      </c>
      <c r="B83" s="8" t="s">
        <v>547</v>
      </c>
      <c r="C83" s="9" t="s">
        <v>548</v>
      </c>
      <c r="D83" s="8" t="s">
        <v>549</v>
      </c>
      <c r="E83" s="8" t="s">
        <v>550</v>
      </c>
      <c r="G83" s="6" t="str">
        <f>IFERROR(__xludf.DUMMYFUNCTION("GOOGLETRANSLATE(A83, ""en"", ""id"")"),"82")</f>
        <v>82</v>
      </c>
      <c r="H83" s="6" t="str">
        <f>IFERROR(__xludf.DUMMYFUNCTION("GOOGLETRANSLATE(B83, ""en"", ""id"")"),"Secara historis, pekan festival menggabungkan Karapan Sapi dengan:")</f>
        <v>Secara historis, pekan festival menggabungkan Karapan Sapi dengan:</v>
      </c>
      <c r="I83" s="6" t="str">
        <f>IFERROR(__xludf.DUMMYFUNCTION("GOOGLETRANSLATE(C83, ""en"", ""id"")"),"A) Epos pewayangan B) Lelang hasil panen padi C) Regatta perahu D) Pasar sirih")</f>
        <v>A) Epos pewayangan B) Lelang hasil panen padi C) Regatta perahu D) Pasar sirih</v>
      </c>
      <c r="J83" s="6" t="str">
        <f>IFERROR(__xludf.DUMMYFUNCTION("GOOGLETRANSLATE(D83, ""en"", ""id"")"),"D) Pasar daun sirih")</f>
        <v>D) Pasar daun sirih</v>
      </c>
      <c r="K83" s="6" t="str">
        <f>IFERROR(__xludf.DUMMYFUNCTION("GOOGLETRANSLATE(E83, ""en"", ""id"")"),"Pameran dagang sirih bertepatan dengan puncak arus masuk pengunjung.")</f>
        <v>Pameran dagang sirih bertepatan dengan puncak arus masuk pengunjung.</v>
      </c>
    </row>
    <row r="84">
      <c r="A84" s="5">
        <v>83.0</v>
      </c>
      <c r="B84" s="8" t="s">
        <v>551</v>
      </c>
      <c r="C84" s="9" t="s">
        <v>552</v>
      </c>
      <c r="D84" s="8" t="s">
        <v>553</v>
      </c>
      <c r="E84" s="8" t="s">
        <v>554</v>
      </c>
      <c r="G84" s="6" t="str">
        <f>IFERROR(__xludf.DUMMYFUNCTION("GOOGLETRANSLATE(A84, ""en"", ""id"")"),"83")</f>
        <v>83</v>
      </c>
      <c r="H84" s="6" t="str">
        <f>IFERROR(__xludf.DUMMYFUNCTION("GOOGLETRANSLATE(B84, ""en"", ""id"")"),"Dalam hal prestise, posisi kedua masih dapat mengamankan:")</f>
        <v>Dalam hal prestise, posisi kedua masih dapat mengamankan:</v>
      </c>
      <c r="I84" s="6" t="str">
        <f>IFERROR(__xludf.DUMMYFUNCTION("GOOGLETRANSLATE(C84, ""en"", ""id"")"),"A) Keringanan pajak B) Penawaran pembibitan C) Kantor desa D) Wakaf masjid")</f>
        <v>A) Keringanan pajak B) Penawaran pembibitan C) Kantor desa D) Wakaf masjid</v>
      </c>
      <c r="J84" s="6" t="str">
        <f>IFERROR(__xludf.DUMMYFUNCTION("GOOGLETRANSLATE(D84, ""en"", ""id"")"),"B) Penawaran Pemuliaan")</f>
        <v>B) Penawaran Pemuliaan</v>
      </c>
      <c r="K84" s="6" t="str">
        <f>IFERROR(__xludf.DUMMYFUNCTION("GOOGLETRANSLATE(E84, ""en"", ""id"")"),"Yang hampir menang menarik permintaan pemasangan yang menguntungkan.")</f>
        <v>Yang hampir menang menarik permintaan pemasangan yang menguntungkan.</v>
      </c>
    </row>
    <row r="85">
      <c r="A85" s="5">
        <v>84.0</v>
      </c>
      <c r="B85" s="8" t="s">
        <v>555</v>
      </c>
      <c r="C85" s="9" t="s">
        <v>556</v>
      </c>
      <c r="D85" s="8" t="s">
        <v>557</v>
      </c>
      <c r="E85" s="8" t="s">
        <v>558</v>
      </c>
      <c r="G85" s="6" t="str">
        <f>IFERROR(__xludf.DUMMYFUNCTION("GOOGLETRANSLATE(A85, ""en"", ""id"")"),"84")</f>
        <v>84</v>
      </c>
      <c r="H85" s="6" t="str">
        <f>IFERROR(__xludf.DUMMYFUNCTION("GOOGLETRANSLATE(B85, ""en"", ""id"")"),"Sebuah tabu klasik sebelum lomba bagi para pawang adalah:")</f>
        <v>Sebuah tabu klasik sebelum lomba bagi para pawang adalah:</v>
      </c>
      <c r="I85" s="6" t="str">
        <f>IFERROR(__xludf.DUMMYFUNCTION("GOOGLETRANSLATE(C85, ""en"", ""id"")"),"A) Menyeberangi banteng B) Menghadap ke barat C) Memakan buah asam D) Mengenakan pakaian biru")</f>
        <v>A) Menyeberangi banteng B) Menghadap ke barat C) Memakan buah asam D) Mengenakan pakaian biru</v>
      </c>
      <c r="J85" s="6" t="str">
        <f>IFERROR(__xludf.DUMMYFUNCTION("GOOGLETRANSLATE(D85, ""en"", ""id"")"),"C) Makan buah asam")</f>
        <v>C) Makan buah asam</v>
      </c>
      <c r="K85" s="6" t="str">
        <f>IFERROR(__xludf.DUMMYFUNCTION("GOOGLETRANSLATE(E85, ""en"", ""id"")"),"“Keasaman” dianggap membawa nasib buruk bagi tim.")</f>
        <v>“Keasaman” dianggap membawa nasib buruk bagi tim.</v>
      </c>
    </row>
    <row r="86">
      <c r="A86" s="5">
        <v>85.0</v>
      </c>
      <c r="B86" s="8" t="s">
        <v>559</v>
      </c>
      <c r="C86" s="9" t="s">
        <v>560</v>
      </c>
      <c r="D86" s="8" t="s">
        <v>561</v>
      </c>
      <c r="E86" s="8" t="s">
        <v>562</v>
      </c>
      <c r="G86" s="6" t="str">
        <f>IFERROR(__xludf.DUMMYFUNCTION("GOOGLETRANSLATE(A86, ""en"", ""id"")"),"85")</f>
        <v>85</v>
      </c>
      <c r="H86" s="6" t="str">
        <f>IFERROR(__xludf.DUMMYFUNCTION("GOOGLETRANSLATE(B86, ""en"", ""id"")"),"Dalam cerita rakyat, pertanda mimpi tentang banteng sering ditafsirkan dengan:")</f>
        <v>Dalam cerita rakyat, pertanda mimpi tentang banteng sering ditafsirkan dengan:</v>
      </c>
      <c r="I86" s="6" t="str">
        <f>IFERROR(__xludf.DUMMYFUNCTION("GOOGLETRANSLATE(C86, ""en"", ""id"")"),"A) Nelayan tua B) Dukun C) Ahli kitab D) Pedagang")</f>
        <v>A) Nelayan tua B) Dukun C) Ahli kitab D) Pedagang</v>
      </c>
      <c r="J86" s="6" t="str">
        <f>IFERROR(__xludf.DUMMYFUNCTION("GOOGLETRANSLATE(D86, ""en"", ""id"")"),"B) Dukun")</f>
        <v>B) Dukun</v>
      </c>
      <c r="K86" s="6" t="str">
        <f>IFERROR(__xludf.DUMMYFUNCTION("GOOGLETRANSLATE(E86, ""en"", ""id"")"),"Spesialis spiritual menguraikan mimpi untuk pilihan taktis.")</f>
        <v>Spesialis spiritual menguraikan mimpi untuk pilihan taktis.</v>
      </c>
    </row>
    <row r="87">
      <c r="A87" s="5">
        <v>86.0</v>
      </c>
      <c r="B87" s="8" t="s">
        <v>563</v>
      </c>
      <c r="C87" s="9" t="s">
        <v>564</v>
      </c>
      <c r="D87" s="8" t="s">
        <v>565</v>
      </c>
      <c r="E87" s="8" t="s">
        <v>566</v>
      </c>
      <c r="G87" s="6" t="str">
        <f>IFERROR(__xludf.DUMMYFUNCTION("GOOGLETRANSLATE(A87, ""en"", ""id"")"),"86")</f>
        <v>86</v>
      </c>
      <c r="H87" s="6" t="str">
        <f>IFERROR(__xludf.DUMMYFUNCTION("GOOGLETRANSLATE(B87, ""en"", ""id"")"),"Sirkuit pelatihan historis yang sering digunakan:")</f>
        <v>Sirkuit pelatihan historis yang sering digunakan:</v>
      </c>
      <c r="I87" s="6" t="str">
        <f>IFERROR(__xludf.DUMMYFUNCTION("GOOGLETRANSLATE(C87, ""en"", ""id"")"),"A) Daerah dangkal pantai B) Dasar sungai kering C) Jalan pasar D) Halaman kuil")</f>
        <v>A) Daerah dangkal pantai B) Dasar sungai kering C) Jalan pasar D) Halaman kuil</v>
      </c>
      <c r="J87" s="6" t="str">
        <f>IFERROR(__xludf.DUMMYFUNCTION("GOOGLETRANSLATE(D87, ""en"", ""id"")"),"B) Dasar sungai kering")</f>
        <v>B) Dasar sungai kering</v>
      </c>
      <c r="K87" s="6" t="str">
        <f>IFERROR(__xludf.DUMMYFUNCTION("GOOGLETRANSLATE(E87, ""en"", ""id"")"),"Tempat tidur yang lurus dan kokoh meniru dinamika balapan dengan bahaya minimal.")</f>
        <v>Tempat tidur yang lurus dan kokoh meniru dinamika balapan dengan bahaya minimal.</v>
      </c>
    </row>
    <row r="88">
      <c r="A88" s="5">
        <v>87.0</v>
      </c>
      <c r="B88" s="8" t="s">
        <v>567</v>
      </c>
      <c r="C88" s="9" t="s">
        <v>568</v>
      </c>
      <c r="D88" s="8" t="s">
        <v>569</v>
      </c>
      <c r="E88" s="8" t="s">
        <v>570</v>
      </c>
      <c r="G88" s="6" t="str">
        <f>IFERROR(__xludf.DUMMYFUNCTION("GOOGLETRANSLATE(A88, ""en"", ""id"")"),"87")</f>
        <v>87</v>
      </c>
      <c r="H88" s="6" t="str">
        <f>IFERROR(__xludf.DUMMYFUNCTION("GOOGLETRANSLATE(B88, ""en"", ""id"")"),"Dalam perselisihan lama, bukti kepemilikan paling kredibel didasarkan pada:")</f>
        <v>Dalam perselisihan lama, bukti kepemilikan paling kredibel didasarkan pada:</v>
      </c>
      <c r="I88" s="6" t="str">
        <f>IFERROR(__xludf.DUMMYFUNCTION("GOOGLETRANSLATE(C88, ""en"", ""id"")"),"A) Takik tanduk B) Tanda telinga C) Tenun halter D) Pewarna bulu")</f>
        <v>A) Takik tanduk B) Tanda telinga C) Tenun halter D) Pewarna bulu</v>
      </c>
      <c r="J88" s="6" t="str">
        <f>IFERROR(__xludf.DUMMYFUNCTION("GOOGLETRANSLATE(D88, ""en"", ""id"")"),"B) Tanda telinga")</f>
        <v>B) Tanda telinga</v>
      </c>
      <c r="K88" s="6" t="str">
        <f>IFERROR(__xludf.DUMMYFUNCTION("GOOGLETRANSLATE(E88, ""en"", ""id"")"),"Tanda telinga yang khas berfungsi sebagai tanda identitas yang dapat diverifikasi.")</f>
        <v>Tanda telinga yang khas berfungsi sebagai tanda identitas yang dapat diverifikasi.</v>
      </c>
    </row>
    <row r="89">
      <c r="A89" s="5">
        <v>88.0</v>
      </c>
      <c r="B89" s="8" t="s">
        <v>571</v>
      </c>
      <c r="C89" s="9" t="s">
        <v>572</v>
      </c>
      <c r="D89" s="8" t="s">
        <v>573</v>
      </c>
      <c r="E89" s="8" t="s">
        <v>574</v>
      </c>
      <c r="G89" s="6" t="str">
        <f>IFERROR(__xludf.DUMMYFUNCTION("GOOGLETRANSLATE(A89, ""en"", ""id"")"),"88")</f>
        <v>88</v>
      </c>
      <c r="H89" s="6" t="str">
        <f>IFERROR(__xludf.DUMMYFUNCTION("GOOGLETRANSLATE(B89, ""en"", ""id"")"),"Kisah epik desa terkadang mengibaratkan kereta luncur seperti:")</f>
        <v>Kisah epik desa terkadang mengibaratkan kereta luncur seperti:</v>
      </c>
      <c r="I89" s="6" t="str">
        <f>IFERROR(__xludf.DUMMYFUNCTION("GOOGLETRANSLATE(C89, ""en"", ""id"")"),"A) Kereta perang B) Tandu kerajaan C) Nenek moyang bajak D) Haluan laut")</f>
        <v>A) Kereta perang B) Tandu kerajaan C) Nenek moyang bajak D) Haluan laut</v>
      </c>
      <c r="J89" s="6" t="str">
        <f>IFERROR(__xludf.DUMMYFUNCTION("GOOGLETRANSLATE(D89, ""en"", ""id"")"),"A) Kereta perang")</f>
        <v>A) Kereta perang</v>
      </c>
      <c r="K89" s="6" t="str">
        <f>IFERROR(__xludf.DUMMYFUNCTION("GOOGLETRANSLATE(E89, ""en"", ""id"")"),"Metafora mengangkat kompetisi menjadi kontes heroik.")</f>
        <v>Metafora mengangkat kompetisi menjadi kontes heroik.</v>
      </c>
    </row>
    <row r="90">
      <c r="A90" s="5">
        <v>89.0</v>
      </c>
      <c r="B90" s="8" t="s">
        <v>575</v>
      </c>
      <c r="C90" s="9" t="s">
        <v>576</v>
      </c>
      <c r="D90" s="8" t="s">
        <v>577</v>
      </c>
      <c r="E90" s="8" t="s">
        <v>578</v>
      </c>
      <c r="G90" s="6" t="str">
        <f>IFERROR(__xludf.DUMMYFUNCTION("GOOGLETRANSLATE(A90, ""en"", ""id"")"),"89")</f>
        <v>89</v>
      </c>
      <c r="H90" s="6" t="str">
        <f>IFERROR(__xludf.DUMMYFUNCTION("GOOGLETRANSLATE(B90, ""en"", ""id"")"),"Sebelum adanya hadiah modern, gelar kehormatan untuk banteng umumnya dirujuk sebagai berikut:")</f>
        <v>Sebelum adanya hadiah modern, gelar kehormatan untuk banteng umumnya dirujuk sebagai berikut:</v>
      </c>
      <c r="I90" s="6" t="str">
        <f>IFERROR(__xludf.DUMMYFUNCTION("GOOGLETRANSLATE(C90, ""en"", ""id"")"),"A) Angin B) Besi C) Petir D) Semua jawaban di atas")</f>
        <v>A) Angin B) Besi C) Petir D) Semua jawaban di atas</v>
      </c>
      <c r="J90" s="6" t="str">
        <f>IFERROR(__xludf.DUMMYFUNCTION("GOOGLETRANSLATE(D90, ""en"", ""id"")"),"D) Semua jawaban di atas")</f>
        <v>D) Semua jawaban di atas</v>
      </c>
      <c r="K90" s="6" t="str">
        <f>IFERROR(__xludf.DUMMYFUNCTION("GOOGLETRANSLATE(E90, ""en"", ""id"")"),"Nama-nama unsur melambangkan kecepatan, ketahanan, dan kekaguman.")</f>
        <v>Nama-nama unsur melambangkan kecepatan, ketahanan, dan kekaguman.</v>
      </c>
    </row>
    <row r="91">
      <c r="A91" s="5">
        <v>90.0</v>
      </c>
      <c r="B91" s="8" t="s">
        <v>579</v>
      </c>
      <c r="C91" s="9" t="s">
        <v>580</v>
      </c>
      <c r="D91" s="8" t="s">
        <v>581</v>
      </c>
      <c r="E91" s="8" t="s">
        <v>582</v>
      </c>
      <c r="G91" s="6" t="str">
        <f>IFERROR(__xludf.DUMMYFUNCTION("GOOGLETRANSLATE(A91, ""en"", ""id"")"),"90")</f>
        <v>90</v>
      </c>
      <c r="H91" s="6" t="str">
        <f>IFERROR(__xludf.DUMMYFUNCTION("GOOGLETRANSLATE(B91, ""en"", ""id"")"),"Secara historis, peran perempuan paling terlihat muncul sebagai:")</f>
        <v>Secara historis, peran perempuan paling terlihat muncul sebagai:</v>
      </c>
      <c r="I91" s="6" t="str">
        <f>IFERROR(__xludf.DUMMYFUNCTION("GOOGLETRANSLATE(C91, ""en"", ""id"")"),"A) Pengurus lintasan B) Joki utama C) Penyanyi ritual D) Penegak aturan")</f>
        <v>A) Pengurus lintasan B) Joki utama C) Penyanyi ritual D) Penegak aturan</v>
      </c>
      <c r="J91" s="6" t="str">
        <f>IFERROR(__xludf.DUMMYFUNCTION("GOOGLETRANSLATE(D91, ""en"", ""id"")"),"C) Penyanyi ritual")</f>
        <v>C) Penyanyi ritual</v>
      </c>
      <c r="K91" s="6" t="str">
        <f>IFERROR(__xludf.DUMMYFUNCTION("GOOGLETRANSLATE(E91, ""en"", ""id"")"),"Seni vokal dan kostum membantu mensakralkan prosesnya.")</f>
        <v>Seni vokal dan kostum membantu mensakralkan prosesnya.</v>
      </c>
    </row>
    <row r="92">
      <c r="A92" s="5">
        <v>91.0</v>
      </c>
      <c r="B92" s="8" t="s">
        <v>583</v>
      </c>
      <c r="C92" s="9" t="s">
        <v>584</v>
      </c>
      <c r="D92" s="8" t="s">
        <v>585</v>
      </c>
      <c r="E92" s="8" t="s">
        <v>586</v>
      </c>
      <c r="G92" s="6" t="str">
        <f>IFERROR(__xludf.DUMMYFUNCTION("GOOGLETRANSLATE(A92, ""en"", ""id"")"),"91")</f>
        <v>91</v>
      </c>
      <c r="H92" s="6" t="str">
        <f>IFERROR(__xludf.DUMMYFUNCTION("GOOGLETRANSLATE(B92, ""en"", ""id"")"),"Inovasi tali pengaman (untuk menstabilkan pengendara) menyebar terutama karena:")</f>
        <v>Inovasi tali pengaman (untuk menstabilkan pengendara) menyebar terutama karena:</v>
      </c>
      <c r="I92" s="6" t="str">
        <f>IFERROR(__xludf.DUMMYFUNCTION("GOOGLETRANSLATE(C92, ""en"", ""id"")"),"A) Bea Cukai Pelabuhan B) Klinik Misionaris C) Pandai Besi Pasar D) Serikat Pelatih")</f>
        <v>A) Bea Cukai Pelabuhan B) Klinik Misionaris C) Pandai Besi Pasar D) Serikat Pelatih</v>
      </c>
      <c r="J92" s="6" t="str">
        <f>IFERROR(__xludf.DUMMYFUNCTION("GOOGLETRANSLATE(D92, ""en"", ""id"")"),"D) Serikat pelatih")</f>
        <v>D) Serikat pelatih</v>
      </c>
      <c r="K92" s="6" t="str">
        <f>IFERROR(__xludf.DUMMYFUNCTION("GOOGLETRANSLATE(E92, ""en"", ""id"")"),"Jaringan serikat menyebarkan perubahan-perubahan berteknologi rendah dan berdampak besar.")</f>
        <v>Jaringan serikat menyebarkan perubahan-perubahan berteknologi rendah dan berdampak besar.</v>
      </c>
    </row>
    <row r="93">
      <c r="A93" s="5">
        <v>92.0</v>
      </c>
      <c r="B93" s="8" t="s">
        <v>587</v>
      </c>
      <c r="C93" s="9" t="s">
        <v>588</v>
      </c>
      <c r="D93" s="8" t="s">
        <v>589</v>
      </c>
      <c r="E93" s="8" t="s">
        <v>590</v>
      </c>
      <c r="G93" s="6" t="str">
        <f>IFERROR(__xludf.DUMMYFUNCTION("GOOGLETRANSLATE(A93, ""en"", ""id"")"),"92")</f>
        <v>92</v>
      </c>
      <c r="H93" s="6" t="str">
        <f>IFERROR(__xludf.DUMMYFUNCTION("GOOGLETRANSLATE(B93, ""en"", ""id"")"),"Dalam perjalanan keliling antar kabupaten, banteng sering kali melakukan perjalanan dengan cara:")</f>
        <v>Dalam perjalanan keliling antar kabupaten, banteng sering kali melakukan perjalanan dengan cara:</v>
      </c>
      <c r="I93" s="6" t="str">
        <f>IFERROR(__xludf.DUMMYFUNCTION("GOOGLETRANSLATE(C93, ""en"", ""id"")"),"A) Prahu laut B) Kereta tangan C) Tandu D) Kereta kuda")</f>
        <v>A) Prahu laut B) Kereta tangan C) Tandu D) Kereta kuda</v>
      </c>
      <c r="J93" s="6" t="str">
        <f>IFERROR(__xludf.DUMMYFUNCTION("GOOGLETRANSLATE(D93, ""en"", ""id"")"),"A) Prahu laut")</f>
        <v>A) Prahu laut</v>
      </c>
      <c r="K93" s="6" t="str">
        <f>IFERROR(__xludf.DUMMYFUNCTION("GOOGLETRANSLATE(E93, ""en"", ""id"")"),"Perahu pesisir memungkinkan pergerakan yang lebih aman daripada jalan pedalaman yang kasar.")</f>
        <v>Perahu pesisir memungkinkan pergerakan yang lebih aman daripada jalan pedalaman yang kasar.</v>
      </c>
    </row>
    <row r="94">
      <c r="A94" s="5">
        <v>93.0</v>
      </c>
      <c r="B94" s="8" t="s">
        <v>591</v>
      </c>
      <c r="C94" s="9" t="s">
        <v>592</v>
      </c>
      <c r="D94" s="8" t="s">
        <v>577</v>
      </c>
      <c r="E94" s="8" t="s">
        <v>593</v>
      </c>
      <c r="G94" s="6" t="str">
        <f>IFERROR(__xludf.DUMMYFUNCTION("GOOGLETRANSLATE(A94, ""en"", ""id"")"),"93")</f>
        <v>93</v>
      </c>
      <c r="H94" s="6" t="str">
        <f>IFERROR(__xludf.DUMMYFUNCTION("GOOGLETRANSLATE(B94, ""en"", ""id"")"),"Modernisasi awal adalah pengukuran yang cermat terhadap:")</f>
        <v>Modernisasi awal adalah pengukuran yang cermat terhadap:</v>
      </c>
      <c r="I94" s="6" t="str">
        <f>IFERROR(__xludf.DUMMYFUNCTION("GOOGLETRANSLATE(C94, ""en"", ""id"")"),"A) Sudut kuku B) Fleksi kuk C) Tinggi pita dada D) Semua jawaban di atas")</f>
        <v>A) Sudut kuku B) Fleksi kuk C) Tinggi pita dada D) Semua jawaban di atas</v>
      </c>
      <c r="J94" s="6" t="str">
        <f>IFERROR(__xludf.DUMMYFUNCTION("GOOGLETRANSLATE(D94, ""en"", ""id"")"),"D) Semua jawaban di atas")</f>
        <v>D) Semua jawaban di atas</v>
      </c>
      <c r="K94" s="6" t="str">
        <f>IFERROR(__xludf.DUMMYFUNCTION("GOOGLETRANSLATE(E94, ""en"", ""id"")"),"Geometri haluan yang bertahap menghasilkan peluncuran dan kendali yang lebih baik.")</f>
        <v>Geometri haluan yang bertahap menghasilkan peluncuran dan kendali yang lebih baik.</v>
      </c>
    </row>
    <row r="95">
      <c r="A95" s="5">
        <v>94.0</v>
      </c>
      <c r="B95" s="8" t="s">
        <v>594</v>
      </c>
      <c r="C95" s="9" t="s">
        <v>595</v>
      </c>
      <c r="D95" s="8" t="s">
        <v>596</v>
      </c>
      <c r="E95" s="8" t="s">
        <v>597</v>
      </c>
      <c r="G95" s="6" t="str">
        <f>IFERROR(__xludf.DUMMYFUNCTION("GOOGLETRANSLATE(A95, ""en"", ""id"")"),"94")</f>
        <v>94</v>
      </c>
      <c r="H95" s="6" t="str">
        <f>IFERROR(__xludf.DUMMYFUNCTION("GOOGLETRANSLATE(B95, ""en"", ""id"")"),"Para penatua menggunakan kontes perumpamaan selama perayaan untuk mengajar:")</f>
        <v>Para penatua menggunakan kontes perumpamaan selama perayaan untuk mengajar:</v>
      </c>
      <c r="I95" s="6" t="str">
        <f>IFERROR(__xludf.DUMMYFUNCTION("GOOGLETRANSLATE(C95, ""en"", ""id"")"),"A) Batasan klan B) Perlakuan adil C) Kuota penangkapan ikan D) Kode pajak")</f>
        <v>A) Batasan klan B) Perlakuan adil C) Kuota penangkapan ikan D) Kode pajak</v>
      </c>
      <c r="J95" s="6" t="str">
        <f>IFERROR(__xludf.DUMMYFUNCTION("GOOGLETRANSLATE(D95, ""en"", ""id"")"),"B) Perlakuan yang adil")</f>
        <v>B) Perlakuan yang adil</v>
      </c>
      <c r="K95" s="6" t="str">
        <f>IFERROR(__xludf.DUMMYFUNCTION("GOOGLETRANSLATE(E95, ""en"", ""id"")"),"Perumpamaan lisan memperkuat etika di samping tontonan.")</f>
        <v>Perumpamaan lisan memperkuat etika di samping tontonan.</v>
      </c>
    </row>
    <row r="96">
      <c r="A96" s="5">
        <v>95.0</v>
      </c>
      <c r="B96" s="8" t="s">
        <v>598</v>
      </c>
      <c r="C96" s="9" t="s">
        <v>599</v>
      </c>
      <c r="D96" s="8" t="s">
        <v>600</v>
      </c>
      <c r="E96" s="8" t="s">
        <v>601</v>
      </c>
      <c r="G96" s="6" t="str">
        <f>IFERROR(__xludf.DUMMYFUNCTION("GOOGLETRANSLATE(A96, ""en"", ""id"")"),"95")</f>
        <v>95</v>
      </c>
      <c r="H96" s="6" t="str">
        <f>IFERROR(__xludf.DUMMYFUNCTION("GOOGLETRANSLATE(B96, ""en"", ""id"")"),"Urutan prosesi secara tradisional menempatkan siapa di depan?")</f>
        <v>Urutan prosesi secara tradisional menempatkan siapa di depan?</v>
      </c>
      <c r="I96" s="6" t="str">
        <f>IFERROR(__xludf.DUMMYFUNCTION("GOOGLETRANSLATE(C96, ""en"", ""id"")"),"A) Penabuh drum B) Joki C) Banteng D) Kepala desa")</f>
        <v>A) Penabuh drum B) Joki C) Banteng D) Kepala desa</v>
      </c>
      <c r="J96" s="6" t="str">
        <f>IFERROR(__xludf.DUMMYFUNCTION("GOOGLETRANSLATE(D96, ""en"", ""id"")"),"A) Pemain drum")</f>
        <v>A) Pemain drum</v>
      </c>
      <c r="K96" s="6" t="str">
        <f>IFERROR(__xludf.DUMMYFUNCTION("GOOGLETRANSLATE(E96, ""en"", ""id"")"),"Suara membersihkan jalan, lalu banteng, lalu pejabat.")</f>
        <v>Suara membersihkan jalan, lalu banteng, lalu pejabat.</v>
      </c>
    </row>
    <row r="97">
      <c r="A97" s="5">
        <v>96.0</v>
      </c>
      <c r="B97" s="8" t="s">
        <v>602</v>
      </c>
      <c r="C97" s="9" t="s">
        <v>603</v>
      </c>
      <c r="D97" s="8" t="s">
        <v>604</v>
      </c>
      <c r="E97" s="8" t="s">
        <v>605</v>
      </c>
      <c r="G97" s="6" t="str">
        <f>IFERROR(__xludf.DUMMYFUNCTION("GOOGLETRANSLATE(A97, ""en"", ""id"")"),"96")</f>
        <v>96</v>
      </c>
      <c r="H97" s="6" t="str">
        <f>IFERROR(__xludf.DUMMYFUNCTION("GOOGLETRANSLATE(B97, ""en"", ""id"")"),"Petugas balapan bersejarah memberi sinyal start yang salah dengan:")</f>
        <v>Petugas balapan bersejarah memberi sinyal start yang salah dengan:</v>
      </c>
      <c r="I97" s="6" t="str">
        <f>IFERROR(__xludf.DUMMYFUNCTION("GOOGLETRANSLATE(C97, ""en"", ""id"")"),"A) Kain putih B) Dua kali pukulan drum C) Bendera terbalik D) Peluit tiga kali")</f>
        <v>A) Kain putih B) Dua kali pukulan drum C) Bendera terbalik D) Peluit tiga kali</v>
      </c>
      <c r="J97" s="6" t="str">
        <f>IFERROR(__xludf.DUMMYFUNCTION("GOOGLETRANSLATE(D97, ""en"", ""id"")"),"B) Dua kali pukulan drum")</f>
        <v>B) Dua kali pukulan drum</v>
      </c>
      <c r="K97" s="6" t="str">
        <f>IFERROR(__xludf.DUMMYFUNCTION("GOOGLETRANSLATE(E97, ""en"", ""id"")"),"Ketukan ganda secara universal berarti “pengaturan ulang”.")</f>
        <v>Ketukan ganda secara universal berarti “pengaturan ulang”.</v>
      </c>
    </row>
    <row r="98">
      <c r="A98" s="5">
        <v>97.0</v>
      </c>
      <c r="B98" s="8" t="s">
        <v>606</v>
      </c>
      <c r="C98" s="9" t="s">
        <v>607</v>
      </c>
      <c r="D98" s="8" t="s">
        <v>608</v>
      </c>
      <c r="E98" s="8" t="s">
        <v>609</v>
      </c>
      <c r="G98" s="6" t="str">
        <f>IFERROR(__xludf.DUMMYFUNCTION("GOOGLETRANSLATE(A98, ""en"", ""id"")"),"97")</f>
        <v>97</v>
      </c>
      <c r="H98" s="6" t="str">
        <f>IFERROR(__xludf.DUMMYFUNCTION("GOOGLETRANSLATE(B98, ""en"", ""id"")"),"Klaim pembiakan pra-modern divalidasi terutama oleh:")</f>
        <v>Klaim pembiakan pra-modern divalidasi terutama oleh:</v>
      </c>
      <c r="I98" s="6" t="str">
        <f>IFERROR(__xludf.DUMMYFUNCTION("GOOGLETRANSLATE(C98, ""en"", ""id"")"),"A) Kesaksian para tetua B) Cincin meterai C) Buku besar perdagangan D) Gulungan bait suci")</f>
        <v>A) Kesaksian para tetua B) Cincin meterai C) Buku besar perdagangan D) Gulungan bait suci</v>
      </c>
      <c r="J98" s="6" t="str">
        <f>IFERROR(__xludf.DUMMYFUNCTION("GOOGLETRANSLATE(D98, ""en"", ""id"")"),"A) Kesaksian para penatua")</f>
        <v>A) Kesaksian para penatua</v>
      </c>
      <c r="K98" s="6" t="str">
        <f>IFERROR(__xludf.DUMMYFUNCTION("GOOGLETRANSLATE(E98, ""en"", ""id"")"),"Memori saksi menggantikan catatan tertulis yang hilang.")</f>
        <v>Memori saksi menggantikan catatan tertulis yang hilang.</v>
      </c>
    </row>
    <row r="99">
      <c r="A99" s="5">
        <v>98.0</v>
      </c>
      <c r="B99" s="8" t="s">
        <v>610</v>
      </c>
      <c r="C99" s="9" t="s">
        <v>611</v>
      </c>
      <c r="D99" s="8" t="s">
        <v>612</v>
      </c>
      <c r="E99" s="8" t="s">
        <v>613</v>
      </c>
      <c r="G99" s="6" t="str">
        <f>IFERROR(__xludf.DUMMYFUNCTION("GOOGLETRANSLATE(A99, ""en"", ""id"")"),"98")</f>
        <v>98</v>
      </c>
      <c r="H99" s="6" t="str">
        <f>IFERROR(__xludf.DUMMYFUNCTION("GOOGLETRANSLATE(B99, ""en"", ""id"")"),"Sebuah tabu pelatihan memperingatkan agar tidak memasangkan banteng dengan:")</f>
        <v>Sebuah tabu pelatihan memperingatkan agar tidak memasangkan banteng dengan:</v>
      </c>
      <c r="I99" s="6" t="str">
        <f>IFERROR(__xludf.DUMMYFUNCTION("GOOGLETRANSLATE(C99, ""en"", ""id"")"),"A) Keriting tanduk yang sama B) Warna bulu yang berbeda C) Temperamen yang tidak cocok D) Tinggi bahu yang sama")</f>
        <v>A) Keriting tanduk yang sama B) Warna bulu yang berbeda C) Temperamen yang tidak cocok D) Tinggi bahu yang sama</v>
      </c>
      <c r="J99" s="6" t="str">
        <f>IFERROR(__xludf.DUMMYFUNCTION("GOOGLETRANSLATE(D99, ""en"", ""id"")"),"C) Temperamen yang tidak cocok")</f>
        <v>C) Temperamen yang tidak cocok</v>
      </c>
      <c r="K99" s="6" t="str">
        <f>IFERROR(__xludf.DUMMYFUNCTION("GOOGLETRANSLATE(E99, ""en"", ""id"")"),"Perselisihan suasana dikhawatirkan dapat merusak sinkronisasi.")</f>
        <v>Perselisihan suasana dikhawatirkan dapat merusak sinkronisasi.</v>
      </c>
    </row>
    <row r="100">
      <c r="A100" s="5">
        <v>99.0</v>
      </c>
      <c r="B100" s="8" t="s">
        <v>614</v>
      </c>
      <c r="C100" s="9" t="s">
        <v>615</v>
      </c>
      <c r="D100" s="8" t="s">
        <v>616</v>
      </c>
      <c r="E100" s="8" t="s">
        <v>617</v>
      </c>
      <c r="G100" s="6" t="str">
        <f>IFERROR(__xludf.DUMMYFUNCTION("GOOGLETRANSLATE(A100, ""en"", ""id"")"),"99")</f>
        <v>99</v>
      </c>
      <c r="H100" s="6" t="str">
        <f>IFERROR(__xludf.DUMMYFUNCTION("GOOGLETRANSLATE(B100, ""en"", ""id"")"),"Dalam cerita mitos, banteng tercepat memiliki garis keturunan yang berasal dari:")</f>
        <v>Dalam cerita mitos, banteng tercepat memiliki garis keturunan yang berasal dari:</v>
      </c>
      <c r="I100" s="6" t="str">
        <f>IFERROR(__xludf.DUMMYFUNCTION("GOOGLETRANSLATE(C100, ""en"", ""id"")"),"A) Roh laut B) Harimau gunung C) Angin muson D) Kebakaran gunung berapi")</f>
        <v>A) Roh laut B) Harimau gunung C) Angin muson D) Kebakaran gunung berapi</v>
      </c>
      <c r="J100" s="6" t="str">
        <f>IFERROR(__xludf.DUMMYFUNCTION("GOOGLETRANSLATE(D100, ""en"", ""id"")"),"C) Angin muson")</f>
        <v>C) Angin muson</v>
      </c>
      <c r="K100" s="6" t="str">
        <f>IFERROR(__xludf.DUMMYFUNCTION("GOOGLETRANSLATE(E100, ""en"", ""id"")"),"Citra angin menghubungkan kecepatan dengan vitalitas musiman.")</f>
        <v>Citra angin menghubungkan kecepatan dengan vitalitas musiman.</v>
      </c>
    </row>
    <row r="101">
      <c r="A101" s="5">
        <v>100.0</v>
      </c>
      <c r="B101" s="8" t="s">
        <v>618</v>
      </c>
      <c r="C101" s="9" t="s">
        <v>619</v>
      </c>
      <c r="D101" s="8" t="s">
        <v>620</v>
      </c>
      <c r="E101" s="8" t="s">
        <v>621</v>
      </c>
      <c r="G101" s="6" t="str">
        <f>IFERROR(__xludf.DUMMYFUNCTION("GOOGLETRANSLATE(A101, ""en"", ""id"")"),"100")</f>
        <v>100</v>
      </c>
      <c r="H101" s="6" t="str">
        <f>IFERROR(__xludf.DUMMYFUNCTION("GOOGLETRANSLATE(B101, ""en"", ""id"")"),"Piagam festival bersejarah umumnya memuat klausul tentang:")</f>
        <v>Piagam festival bersejarah umumnya memuat klausul tentang:</v>
      </c>
      <c r="I101" s="6" t="str">
        <f>IFERROR(__xludf.DUMMYFUNCTION("GOOGLETRANSLATE(C101, ""en"", ""id"")"),"A) Batasan harga B) Pagar pembatas C) Jeda suci untuk berdoa D) Jam malam")</f>
        <v>A) Batasan harga B) Pagar pembatas C) Jeda suci untuk berdoa D) Jam malam</v>
      </c>
      <c r="J101" s="6" t="str">
        <f>IFERROR(__xludf.DUMMYFUNCTION("GOOGLETRANSLATE(D101, ""en"", ""id"")"),"C) Jeda sakral untuk berdoa")</f>
        <v>C) Jeda sakral untuk berdoa</v>
      </c>
      <c r="K101" s="6" t="str">
        <f>IFERROR(__xludf.DUMMYFUNCTION("GOOGLETRANSLATE(E101, ""en"", ""id"")"),"Istirahat menyelaraskan kompetisi dengan irama ibadah.")</f>
        <v>Istirahat menyelaraskan kompetisi dengan irama ibadah.</v>
      </c>
    </row>
    <row r="102">
      <c r="A102" s="5">
        <v>101.0</v>
      </c>
      <c r="B102" s="8" t="s">
        <v>622</v>
      </c>
      <c r="C102" s="9" t="s">
        <v>623</v>
      </c>
      <c r="D102" s="8" t="s">
        <v>624</v>
      </c>
      <c r="E102" s="8" t="s">
        <v>625</v>
      </c>
      <c r="G102" s="6" t="str">
        <f>IFERROR(__xludf.DUMMYFUNCTION("GOOGLETRANSLATE(A102, ""en"", ""id"")"),"101")</f>
        <v>101</v>
      </c>
      <c r="H102" s="6" t="str">
        <f>IFERROR(__xludf.DUMMYFUNCTION("GOOGLETRANSLATE(B102, ""en"", ""id"")"),"Hadiah kemenangan klasik untuk masjid-masjid desa adalah:")</f>
        <v>Hadiah kemenangan klasik untuk masjid-masjid desa adalah:</v>
      </c>
      <c r="I102" s="6" t="str">
        <f>IFERROR(__xludf.DUMMYFUNCTION("GOOGLETRANSLATE(C102, ""en"", ""id"")"),"A) Minyak lampu B) Sajadah C) Lampu kuningan D) Balok kayu")</f>
        <v>A) Minyak lampu B) Sajadah C) Lampu kuningan D) Balok kayu</v>
      </c>
      <c r="J102" s="6" t="str">
        <f>IFERROR(__xludf.DUMMYFUNCTION("GOOGLETRANSLATE(D102, ""en"", ""id"")"),"C) Lampu kuningan")</f>
        <v>C) Lampu kuningan</v>
      </c>
      <c r="K102" s="6" t="str">
        <f>IFERROR(__xludf.DUMMYFUNCTION("GOOGLETRANSLATE(E102, ""en"", ""id"")"),"Lampu yang disumbangkan menandakan rasa terima kasih dan kebajikan publik.")</f>
        <v>Lampu yang disumbangkan menandakan rasa terima kasih dan kebajikan publik.</v>
      </c>
    </row>
    <row r="103">
      <c r="A103" s="5">
        <v>102.0</v>
      </c>
      <c r="B103" s="8" t="s">
        <v>626</v>
      </c>
      <c r="C103" s="9" t="s">
        <v>627</v>
      </c>
      <c r="D103" s="8" t="s">
        <v>628</v>
      </c>
      <c r="E103" s="8" t="s">
        <v>629</v>
      </c>
      <c r="G103" s="6" t="str">
        <f>IFERROR(__xludf.DUMMYFUNCTION("GOOGLETRANSLATE(A103, ""en"", ""id"")"),"102")</f>
        <v>102</v>
      </c>
      <c r="H103" s="6" t="str">
        <f>IFERROR(__xludf.DUMMYFUNCTION("GOOGLETRANSLATE(B103, ""en"", ""id"")"),"Etika persaingan tidak dianjurkan:")</f>
        <v>Etika persaingan tidak dianjurkan:</v>
      </c>
      <c r="I103" s="6" t="str">
        <f>IFERROR(__xludf.DUMMYFUNCTION("GOOGLETRANSLATE(C103, ""en"", ""id"")"),"A) Mengunjungi kandang B) Menghina banteng C) Meminjam drum D) Berbagi air")</f>
        <v>A) Mengunjungi kandang B) Menghina banteng C) Meminjam drum D) Berbagi air</v>
      </c>
      <c r="J103" s="6" t="str">
        <f>IFERROR(__xludf.DUMMYFUNCTION("GOOGLETRANSLATE(D103, ""en"", ""id"")"),"B) Menghina banteng")</f>
        <v>B) Menghina banteng</v>
      </c>
      <c r="K103" s="6" t="str">
        <f>IFERROR(__xludf.DUMMYFUNCTION("GOOGLETRANSLATE(E103, ""en"", ""id"")"),"Banteng diperlakukan dengan penuh hormat sebagai pembawa status.")</f>
        <v>Banteng diperlakukan dengan penuh hormat sebagai pembawa status.</v>
      </c>
    </row>
    <row r="104">
      <c r="A104" s="5">
        <v>103.0</v>
      </c>
      <c r="B104" s="8" t="s">
        <v>630</v>
      </c>
      <c r="C104" s="9" t="s">
        <v>631</v>
      </c>
      <c r="D104" s="8" t="s">
        <v>632</v>
      </c>
      <c r="E104" s="8" t="s">
        <v>633</v>
      </c>
      <c r="G104" s="6" t="str">
        <f>IFERROR(__xludf.DUMMYFUNCTION("GOOGLETRANSLATE(A104, ""en"", ""id"")"),"103")</f>
        <v>103</v>
      </c>
      <c r="H104" s="6" t="str">
        <f>IFERROR(__xludf.DUMMYFUNCTION("GOOGLETRANSLATE(B104, ""en"", ""id"")"),"Rekonsiliasi adat setelah perselisihan melibatkan:")</f>
        <v>Rekonsiliasi adat setelah perselisihan melibatkan:</v>
      </c>
      <c r="I104" s="6" t="str">
        <f>IFERROR(__xludf.DUMMYFUNCTION("GOOGLETRANSLATE(C104, ""en"", ""id"")"),"A) Doa bersama B) Tukar pakaian C) Makan bersama D) Permohonan maaf di depan umum")</f>
        <v>A) Doa bersama B) Tukar pakaian C) Makan bersama D) Permohonan maaf di depan umum</v>
      </c>
      <c r="J104" s="6" t="str">
        <f>IFERROR(__xludf.DUMMYFUNCTION("GOOGLETRANSLATE(D104, ""en"", ""id"")"),"C) Makan bersama")</f>
        <v>C) Makan bersama</v>
      </c>
      <c r="K104" s="6" t="str">
        <f>IFERROR(__xludf.DUMMYFUNCTION("GOOGLETRANSLATE(E104, ""en"", ""id"")"),"Makan bersama secara simbolis memulihkan keharmonisan.")</f>
        <v>Makan bersama secara simbolis memulihkan keharmonisan.</v>
      </c>
    </row>
    <row r="105">
      <c r="A105" s="5">
        <v>104.0</v>
      </c>
      <c r="B105" s="8" t="s">
        <v>634</v>
      </c>
      <c r="C105" s="9" t="s">
        <v>635</v>
      </c>
      <c r="D105" s="8" t="s">
        <v>636</v>
      </c>
      <c r="E105" s="8" t="s">
        <v>637</v>
      </c>
      <c r="G105" s="6" t="str">
        <f>IFERROR(__xludf.DUMMYFUNCTION("GOOGLETRANSLATE(A105, ""en"", ""id"")"),"104")</f>
        <v>104</v>
      </c>
      <c r="H105" s="6" t="str">
        <f>IFERROR(__xludf.DUMMYFUNCTION("GOOGLETRANSLATE(B105, ""en"", ""id"")"),"Cacat fisik yang tercatat pada masa awal kadang-kadang disesuaikan:")</f>
        <v>Cacat fisik yang tercatat pada masa awal kadang-kadang disesuaikan:</v>
      </c>
      <c r="I105" s="6" t="str">
        <f>IFERROR(__xludf.DUMMYFUNCTION("GOOGLETRANSLATE(C105, ""en"", ""id"")"),"A) Massa kereta luncur B) Jalur lintasan C) Jarak awal D) Waktu pemanasan")</f>
        <v>A) Massa kereta luncur B) Jalur lintasan C) Jarak awal D) Waktu pemanasan</v>
      </c>
      <c r="J105" s="6" t="str">
        <f>IFERROR(__xludf.DUMMYFUNCTION("GOOGLETRANSLATE(D105, ""en"", ""id"")"),"C) Jarak awal")</f>
        <v>C) Jarak awal</v>
      </c>
      <c r="K105" s="6" t="str">
        <f>IFERROR(__xludf.DUMMYFUNCTION("GOOGLETRANSLATE(E105, ""en"", ""id"")"),"Upaya penyeimbangan sedikit dilakukan untuk menyeimbangkan ketidaksesuaian.")</f>
        <v>Upaya penyeimbangan sedikit dilakukan untuk menyeimbangkan ketidaksesuaian.</v>
      </c>
    </row>
    <row r="106">
      <c r="A106" s="5">
        <v>105.0</v>
      </c>
      <c r="B106" s="8" t="s">
        <v>638</v>
      </c>
      <c r="C106" s="9" t="s">
        <v>639</v>
      </c>
      <c r="D106" s="8" t="s">
        <v>640</v>
      </c>
      <c r="E106" s="8" t="s">
        <v>641</v>
      </c>
      <c r="G106" s="6" t="str">
        <f>IFERROR(__xludf.DUMMYFUNCTION("GOOGLETRANSLATE(A106, ""en"", ""id"")"),"105")</f>
        <v>105</v>
      </c>
      <c r="H106" s="6" t="str">
        <f>IFERROR(__xludf.DUMMYFUNCTION("GOOGLETRANSLATE(B106, ""en"", ""id"")"),"Pada perlengkapan kuno, pelindung dada sering dilapisi dengan:")</f>
        <v>Pada perlengkapan kuno, pelindung dada sering dilapisi dengan:</v>
      </c>
      <c r="I106" s="6" t="str">
        <f>IFERROR(__xludf.DUMMYFUNCTION("GOOGLETRANSLATE(C106, ""en"", ""id"")"),"A) Rotan B) Kain Felt C) Kulit Kambing D) Kulit Kayu")</f>
        <v>A) Rotan B) Kain Felt C) Kulit Kambing D) Kulit Kayu</v>
      </c>
      <c r="J106" s="6" t="str">
        <f>IFERROR(__xludf.DUMMYFUNCTION("GOOGLETRANSLATE(D106, ""en"", ""id"")"),"C) Kulit kambing")</f>
        <v>C) Kulit kambing</v>
      </c>
      <c r="K106" s="6" t="str">
        <f>IFERROR(__xludf.DUMMYFUNCTION("GOOGLETRANSLATE(E106, ""en"", ""id"")"),"Kulit yang lembut mengurangi lecet saat terjadi ledakan.")</f>
        <v>Kulit yang lembut mengurangi lecet saat terjadi ledakan.</v>
      </c>
    </row>
    <row r="107">
      <c r="A107" s="5">
        <v>106.0</v>
      </c>
      <c r="B107" s="8" t="s">
        <v>642</v>
      </c>
      <c r="C107" s="9" t="s">
        <v>643</v>
      </c>
      <c r="D107" s="8" t="s">
        <v>577</v>
      </c>
      <c r="E107" s="8" t="s">
        <v>644</v>
      </c>
      <c r="G107" s="6" t="str">
        <f>IFERROR(__xludf.DUMMYFUNCTION("GOOGLETRANSLATE(A107, ""en"", ""id"")"),"106")</f>
        <v>106</v>
      </c>
      <c r="H107" s="6" t="str">
        <f>IFERROR(__xludf.DUMMYFUNCTION("GOOGLETRANSLATE(B107, ""en"", ""id"")"),"Protokol hujan bersejarah mengharuskan:")</f>
        <v>Protokol hujan bersejarah mengharuskan:</v>
      </c>
      <c r="I107" s="6" t="str">
        <f>IFERROR(__xludf.DUMMYFUNCTION("GOOGLETRANSLATE(C107, ""en"", ""id"")"),"A) Tanah lebih kasar B) Mulai lebih lambat C) Panas lebih pendek D) Semua jawaban di atas")</f>
        <v>A) Tanah lebih kasar B) Mulai lebih lambat C) Panas lebih pendek D) Semua jawaban di atas</v>
      </c>
      <c r="J107" s="6" t="str">
        <f>IFERROR(__xludf.DUMMYFUNCTION("GOOGLETRANSLATE(D107, ""en"", ""id"")"),"D) Semua jawaban di atas")</f>
        <v>D) Semua jawaban di atas</v>
      </c>
      <c r="K107" s="6" t="str">
        <f>IFERROR(__xludf.DUMMYFUNCTION("GOOGLETRANSLATE(E107, ""en"", ""id"")"),"Kondisi basah memaksa perubahan jadwal yang konservatif.")</f>
        <v>Kondisi basah memaksa perubahan jadwal yang konservatif.</v>
      </c>
    </row>
    <row r="108">
      <c r="A108" s="5">
        <v>107.0</v>
      </c>
      <c r="B108" s="8" t="s">
        <v>645</v>
      </c>
      <c r="C108" s="9" t="s">
        <v>646</v>
      </c>
      <c r="D108" s="8" t="s">
        <v>647</v>
      </c>
      <c r="E108" s="8" t="s">
        <v>648</v>
      </c>
      <c r="G108" s="6" t="str">
        <f>IFERROR(__xludf.DUMMYFUNCTION("GOOGLETRANSLATE(A108, ""en"", ""id"")"),"107")</f>
        <v>107</v>
      </c>
      <c r="H108" s="6" t="str">
        <f>IFERROR(__xludf.DUMMYFUNCTION("GOOGLETRANSLATE(B108, ""en"", ""id"")"),"Kehormatan garis keturunan memungkinkan banteng terkenal untuk:")</f>
        <v>Kehormatan garis keturunan memungkinkan banteng terkenal untuk:</v>
      </c>
      <c r="I108" s="6" t="str">
        <f>IFERROR(__xludf.DUMMYFUNCTION("GOOGLETRANSLATE(C108, ""en"", ""id"")"),"A) Memimpin doa B) Mengenakan rumbai emas C) Melewati kualifikasi D) Menerima penjaga desa")</f>
        <v>A) Memimpin doa B) Mengenakan rumbai emas C) Melewati kualifikasi D) Menerima penjaga desa</v>
      </c>
      <c r="J108" s="6" t="str">
        <f>IFERROR(__xludf.DUMMYFUNCTION("GOOGLETRANSLATE(D108, ""en"", ""id"")"),"B) Memakai rumbai emas")</f>
        <v>B) Memakai rumbai emas</v>
      </c>
      <c r="K108" s="6" t="str">
        <f>IFERROR(__xludf.DUMMYFUNCTION("GOOGLETRANSLATE(E108, ""en"", ""id"")"),"Rumbai secara visual mengkodekan status elit.")</f>
        <v>Rumbai secara visual mengkodekan status elit.</v>
      </c>
    </row>
    <row r="109">
      <c r="A109" s="5">
        <v>108.0</v>
      </c>
      <c r="B109" s="8" t="s">
        <v>649</v>
      </c>
      <c r="C109" s="9" t="s">
        <v>650</v>
      </c>
      <c r="D109" s="8" t="s">
        <v>651</v>
      </c>
      <c r="E109" s="8" t="s">
        <v>652</v>
      </c>
      <c r="G109" s="6" t="str">
        <f>IFERROR(__xludf.DUMMYFUNCTION("GOOGLETRANSLATE(A109, ""en"", ""id"")"),"108")</f>
        <v>108</v>
      </c>
      <c r="H109" s="6" t="str">
        <f>IFERROR(__xludf.DUMMYFUNCTION("GOOGLETRANSLATE(B109, ""en"", ""id"")"),"Diet pelatihan awal menekankan:")</f>
        <v>Diet pelatihan awal menekankan:</v>
      </c>
      <c r="I109" s="6" t="str">
        <f>IFERROR(__xludf.DUMMYFUNCTION("GOOGLETRANSLATE(C109, ""en"", ""id"")"),"A) Air gula aren B) Tumbuk rumput laut C) Beras fermentasi D) Daun singkong")</f>
        <v>A) Air gula aren B) Tumbuk rumput laut C) Beras fermentasi D) Daun singkong</v>
      </c>
      <c r="J109" s="6" t="str">
        <f>IFERROR(__xludf.DUMMYFUNCTION("GOOGLETRANSLATE(D109, ""en"", ""id"")"),"A) Air gula aren")</f>
        <v>A) Air gula aren</v>
      </c>
      <c r="K109" s="6" t="str">
        <f>IFERROR(__xludf.DUMMYFUNCTION("GOOGLETRANSLATE(E109, ""en"", ""id"")"),"Air manis dipercaya dapat meningkatkan energi dengan cepat.")</f>
        <v>Air manis dipercaya dapat meningkatkan energi dengan cepat.</v>
      </c>
    </row>
    <row r="110">
      <c r="A110" s="5">
        <v>109.0</v>
      </c>
      <c r="B110" s="8" t="s">
        <v>653</v>
      </c>
      <c r="C110" s="9" t="s">
        <v>654</v>
      </c>
      <c r="D110" s="8" t="s">
        <v>577</v>
      </c>
      <c r="E110" s="8" t="s">
        <v>655</v>
      </c>
      <c r="G110" s="6" t="str">
        <f>IFERROR(__xludf.DUMMYFUNCTION("GOOGLETRANSLATE(A110, ""en"", ""id"")"),"109")</f>
        <v>109</v>
      </c>
      <c r="H110" s="6" t="str">
        <f>IFERROR(__xludf.DUMMYFUNCTION("GOOGLETRANSLATE(B110, ""en"", ""id"")"),"Aroma keberuntungan tradisional yang dibakar di kios-kios antara lain:")</f>
        <v>Aroma keberuntungan tradisional yang dibakar di kios-kios antara lain:</v>
      </c>
      <c r="I110" s="6" t="str">
        <f>IFERROR(__xludf.DUMMYFUNCTION("GOOGLETRANSLATE(C110, ""en"", ""id"")"),"A) Kayu cendana B) Cengkeh C) Benzoin D) Semua jawaban di atas")</f>
        <v>A) Kayu cendana B) Cengkeh C) Benzoin D) Semua jawaban di atas</v>
      </c>
      <c r="J110" s="6" t="str">
        <f>IFERROR(__xludf.DUMMYFUNCTION("GOOGLETRANSLATE(D110, ""en"", ""id"")"),"D) Semua jawaban di atas")</f>
        <v>D) Semua jawaban di atas</v>
      </c>
      <c r="K110" s="6" t="str">
        <f>IFERROR(__xludf.DUMMYFUNCTION("GOOGLETRANSLATE(E110, ""en"", ""id"")"),"Aromatik menandai pemurnian dan niat baik.")</f>
        <v>Aromatik menandai pemurnian dan niat baik.</v>
      </c>
    </row>
    <row r="111">
      <c r="A111" s="5">
        <v>110.0</v>
      </c>
      <c r="B111" s="8" t="s">
        <v>656</v>
      </c>
      <c r="C111" s="9" t="s">
        <v>657</v>
      </c>
      <c r="D111" s="8" t="s">
        <v>658</v>
      </c>
      <c r="E111" s="8" t="s">
        <v>659</v>
      </c>
      <c r="G111" s="6" t="str">
        <f>IFERROR(__xludf.DUMMYFUNCTION("GOOGLETRANSLATE(A111, ""en"", ""id"")"),"110")</f>
        <v>110</v>
      </c>
      <c r="H111" s="6" t="str">
        <f>IFERROR(__xludf.DUMMYFUNCTION("GOOGLETRANSLATE(B111, ""en"", ""id"")"),"Dalam kisah moral, pemilik yang ceroboh dihukum dengan:")</f>
        <v>Dalam kisah moral, pemilik yang ceroboh dihukum dengan:</v>
      </c>
      <c r="I111" s="6" t="str">
        <f>IFERROR(__xludf.DUMMYFUNCTION("GOOGLETRANSLATE(C111, ""en"", ""id"")"),"A) Kereta luncur rusak B) Hukuman start C) Hujan tiba-tiba D) Penolakan banteng")</f>
        <v>A) Kereta luncur rusak B) Hukuman start C) Hujan tiba-tiba D) Penolakan banteng</v>
      </c>
      <c r="J111" s="6" t="str">
        <f>IFERROR(__xludf.DUMMYFUNCTION("GOOGLETRANSLATE(D111, ""en"", ""id"")"),"D) Penolakan banteng")</f>
        <v>D) Penolakan banteng</v>
      </c>
      <c r="K111" s="6" t="str">
        <f>IFERROR(__xludf.DUMMYFUNCTION("GOOGLETRANSLATE(E111, ""en"", ""id"")"),"Legenda memperingatkan bahwa kesombongan dapat mengganggu keharmonisan manusia dan hewan.")</f>
        <v>Legenda memperingatkan bahwa kesombongan dapat mengganggu keharmonisan manusia dan hewan.</v>
      </c>
    </row>
    <row r="112">
      <c r="A112" s="5">
        <v>111.0</v>
      </c>
      <c r="B112" s="8" t="s">
        <v>660</v>
      </c>
      <c r="C112" s="9" t="s">
        <v>661</v>
      </c>
      <c r="D112" s="8" t="s">
        <v>662</v>
      </c>
      <c r="E112" s="8" t="s">
        <v>663</v>
      </c>
      <c r="G112" s="6" t="str">
        <f>IFERROR(__xludf.DUMMYFUNCTION("GOOGLETRANSLATE(A112, ""en"", ""id"")"),"111")</f>
        <v>111</v>
      </c>
      <c r="H112" s="6" t="str">
        <f>IFERROR(__xludf.DUMMYFUNCTION("GOOGLETRANSLATE(B112, ""en"", ""id"")"),"Asisten starter secara historis memverifikasi:")</f>
        <v>Asisten starter secara historis memverifikasi:</v>
      </c>
      <c r="I112" s="6" t="str">
        <f>IFERROR(__xludf.DUMMYFUNCTION("GOOGLETRANSLATE(C112, ""en"", ""id"")"),"A) Legalitas amulet B) Integritas halter C) Kesiapan jalur D) Usia pemilik")</f>
        <v>A) Legalitas amulet B) Integritas halter C) Kesiapan jalur D) Usia pemilik</v>
      </c>
      <c r="J112" s="6" t="str">
        <f>IFERROR(__xludf.DUMMYFUNCTION("GOOGLETRANSLATE(D112, ""en"", ""id"")"),"B) Integritas halter")</f>
        <v>B) Integritas halter</v>
      </c>
      <c r="K112" s="6" t="str">
        <f>IFERROR(__xludf.DUMMYFUNCTION("GOOGLETRANSLATE(E112, ""en"", ""id"")"),"Pemeriksaan keselamatan mencegah protes dan cedera.")</f>
        <v>Pemeriksaan keselamatan mencegah protes dan cedera.</v>
      </c>
    </row>
    <row r="113">
      <c r="A113" s="5">
        <v>112.0</v>
      </c>
      <c r="B113" s="8" t="s">
        <v>664</v>
      </c>
      <c r="C113" s="9" t="s">
        <v>665</v>
      </c>
      <c r="D113" s="8" t="s">
        <v>666</v>
      </c>
      <c r="E113" s="8" t="s">
        <v>667</v>
      </c>
      <c r="G113" s="6" t="str">
        <f>IFERROR(__xludf.DUMMYFUNCTION("GOOGLETRANSLATE(A113, ""en"", ""id"")"),"112")</f>
        <v>112</v>
      </c>
      <c r="H113" s="6" t="str">
        <f>IFERROR(__xludf.DUMMYFUNCTION("GOOGLETRANSLATE(B113, ""en"", ""id"")"),"Pembawa acara festival biasanya mengumumkan:")</f>
        <v>Pembawa acara festival biasanya mengumumkan:</v>
      </c>
      <c r="I113" s="6" t="str">
        <f>IFERROR(__xludf.DUMMYFUNCTION("GOOGLETRANSLATE(C113, ""en"", ""id"")"),"A) Silsilah B) Perjodohan C) Harga pasar D) Penutupan jalan")</f>
        <v>A) Silsilah B) Perjodohan C) Harga pasar D) Penutupan jalan</v>
      </c>
      <c r="J113" s="6" t="str">
        <f>IFERROR(__xludf.DUMMYFUNCTION("GOOGLETRANSLATE(D113, ""en"", ""id"")"),"B) Pertandingan")</f>
        <v>B) Pertandingan</v>
      </c>
      <c r="K113" s="6" t="str">
        <f>IFERROR(__xludf.DUMMYFUNCTION("GOOGLETRANSLATE(E113, ""en"", ""id"")"),"Panggilan pertandingan publik memicu antisipasi penonton.")</f>
        <v>Panggilan pertandingan publik memicu antisipasi penonton.</v>
      </c>
    </row>
    <row r="114">
      <c r="A114" s="5">
        <v>113.0</v>
      </c>
      <c r="B114" s="8" t="s">
        <v>668</v>
      </c>
      <c r="C114" s="9" t="s">
        <v>669</v>
      </c>
      <c r="D114" s="8" t="s">
        <v>670</v>
      </c>
      <c r="E114" s="8" t="s">
        <v>671</v>
      </c>
      <c r="G114" s="6" t="str">
        <f>IFERROR(__xludf.DUMMYFUNCTION("GOOGLETRANSLATE(A114, ""en"", ""id"")"),"113")</f>
        <v>113</v>
      </c>
      <c r="H114" s="6" t="str">
        <f>IFERROR(__xludf.DUMMYFUNCTION("GOOGLETRANSLATE(B114, ""en"", ""id"")"),"Penanda lintasan bersejarah sering dibuat dari:")</f>
        <v>Penanda lintasan bersejarah sering dibuat dari:</v>
      </c>
      <c r="I114" s="6" t="str">
        <f>IFERROR(__xludf.DUMMYFUNCTION("GOOGLETRANSLATE(C114, ""en"", ""id"")"),"A) Pelepah kelapa B) Pasak terakota C) Tumpukan tempurung D) Batu berwarna")</f>
        <v>A) Pelepah kelapa B) Pasak terakota C) Tumpukan tempurung D) Batu berwarna</v>
      </c>
      <c r="J114" s="6" t="str">
        <f>IFERROR(__xludf.DUMMYFUNCTION("GOOGLETRANSLATE(D114, ""en"", ""id"")"),"A) Daun kelapa")</f>
        <v>A) Daun kelapa</v>
      </c>
      <c r="K114" s="6" t="str">
        <f>IFERROR(__xludf.DUMMYFUNCTION("GOOGLETRANSLATE(E114, ""en"", ""id"")"),"Daunnya banyak dan terlihat jelas.")</f>
        <v>Daunnya banyak dan terlihat jelas.</v>
      </c>
    </row>
    <row r="115">
      <c r="A115" s="5">
        <v>114.0</v>
      </c>
      <c r="B115" s="8" t="s">
        <v>672</v>
      </c>
      <c r="C115" s="9" t="s">
        <v>673</v>
      </c>
      <c r="D115" s="8" t="s">
        <v>577</v>
      </c>
      <c r="E115" s="8" t="s">
        <v>674</v>
      </c>
      <c r="G115" s="6" t="str">
        <f>IFERROR(__xludf.DUMMYFUNCTION("GOOGLETRANSLATE(A115, ""en"", ""id"")"),"114")</f>
        <v>114</v>
      </c>
      <c r="H115" s="6" t="str">
        <f>IFERROR(__xludf.DUMMYFUNCTION("GOOGLETRANSLATE(B115, ""en"", ""id"")"),"Di beberapa daerah, kerajinan kuk diukir dengan motif:")</f>
        <v>Di beberapa daerah, kerajinan kuk diukir dengan motif:</v>
      </c>
      <c r="I115" s="6" t="str">
        <f>IFERROR(__xludf.DUMMYFUNCTION("GOOGLETRANSLATE(C115, ""en"", ""id"")"),"A) Malai padi B) Gelombang C) Bulan sabit D) Semua jawaban di atas")</f>
        <v>A) Malai padi B) Gelombang C) Bulan sabit D) Semua jawaban di atas</v>
      </c>
      <c r="J115" s="6" t="str">
        <f>IFERROR(__xludf.DUMMYFUNCTION("GOOGLETRANSLATE(D115, ""en"", ""id"")"),"D) Semua jawaban di atas")</f>
        <v>D) Semua jawaban di atas</v>
      </c>
      <c r="K115" s="6" t="str">
        <f>IFERROR(__xludf.DUMMYFUNCTION("GOOGLETRANSLATE(E115, ""en"", ""id"")"),"Motifnya memadukan tema agraris, maritim, dan spiritual.")</f>
        <v>Motifnya memadukan tema agraris, maritim, dan spiritual.</v>
      </c>
    </row>
    <row r="116">
      <c r="A116" s="5">
        <v>115.0</v>
      </c>
      <c r="B116" s="8" t="s">
        <v>675</v>
      </c>
      <c r="C116" s="9" t="s">
        <v>676</v>
      </c>
      <c r="D116" s="8" t="s">
        <v>677</v>
      </c>
      <c r="E116" s="8" t="s">
        <v>678</v>
      </c>
      <c r="G116" s="6" t="str">
        <f>IFERROR(__xludf.DUMMYFUNCTION("GOOGLETRANSLATE(A116, ""en"", ""id"")"),"115")</f>
        <v>115</v>
      </c>
      <c r="H116" s="6" t="str">
        <f>IFERROR(__xludf.DUMMYFUNCTION("GOOGLETRANSLATE(B116, ""en"", ""id"")"),"Sumpah pelari sebelum semifinal menegaskan:")</f>
        <v>Sumpah pelari sebelum semifinal menegaskan:</v>
      </c>
      <c r="I116" s="6" t="str">
        <f>IFERROR(__xludf.DUMMYFUNCTION("GOOGLETRANSLATE(C116, ""en"", ""id"")"),"A) Kesetiaan desa B) Kepatuhan terhadap peraturan C) Kredit pelatih D) Donasi sedekah")</f>
        <v>A) Kesetiaan desa B) Kepatuhan terhadap peraturan C) Kredit pelatih D) Donasi sedekah</v>
      </c>
      <c r="J116" s="6" t="str">
        <f>IFERROR(__xludf.DUMMYFUNCTION("GOOGLETRANSLATE(D116, ""en"", ""id"")"),"B) Kepatuhan terhadap aturan")</f>
        <v>B) Kepatuhan terhadap aturan</v>
      </c>
      <c r="K116" s="6" t="str">
        <f>IFERROR(__xludf.DUMMYFUNCTION("GOOGLETRANSLATE(E116, ""en"", ""id"")"),"Sumpah melegitimasi hasil dan meredakan ketegangan.")</f>
        <v>Sumpah melegitimasi hasil dan meredakan ketegangan.</v>
      </c>
    </row>
    <row r="117">
      <c r="A117" s="5">
        <v>116.0</v>
      </c>
      <c r="B117" s="8" t="s">
        <v>679</v>
      </c>
      <c r="C117" s="9" t="s">
        <v>680</v>
      </c>
      <c r="D117" s="8" t="s">
        <v>681</v>
      </c>
      <c r="E117" s="8" t="s">
        <v>682</v>
      </c>
      <c r="G117" s="6" t="str">
        <f>IFERROR(__xludf.DUMMYFUNCTION("GOOGLETRANSLATE(A117, ""en"", ""id"")"),"116")</f>
        <v>116</v>
      </c>
      <c r="H117" s="6" t="str">
        <f>IFERROR(__xludf.DUMMYFUNCTION("GOOGLETRANSLATE(B117, ""en"", ""id"")"),"Kubu-kubu yang berseteru terkadang “membaca” jejak kuku untuk menyimpulkan:")</f>
        <v>Kubu-kubu yang berseteru terkadang “membaca” jejak kuku untuk menyimpulkan:</v>
      </c>
      <c r="I117" s="6" t="str">
        <f>IFERROR(__xludf.DUMMYFUNCTION("GOOGLETRANSLATE(C117, ""en"", ""id"")"),"A) Denyut nadi B) Simetri langkah C) Pola makan D) Temperamen")</f>
        <v>A) Denyut nadi B) Simetri langkah C) Pola makan D) Temperamen</v>
      </c>
      <c r="J117" s="6" t="str">
        <f>IFERROR(__xludf.DUMMYFUNCTION("GOOGLETRANSLATE(D117, ""en"", ""id"")"),"B) Simetri langkah")</f>
        <v>B) Simetri langkah</v>
      </c>
      <c r="K117" s="6" t="str">
        <f>IFERROR(__xludf.DUMMYFUNCTION("GOOGLETRANSLATE(E117, ""en"", ""id"")"),"Jarak yang sama menunjukkan koordinasi yang unggul.")</f>
        <v>Jarak yang sama menunjukkan koordinasi yang unggul.</v>
      </c>
    </row>
    <row r="118">
      <c r="A118" s="5">
        <v>117.0</v>
      </c>
      <c r="B118" s="8" t="s">
        <v>683</v>
      </c>
      <c r="C118" s="9" t="s">
        <v>684</v>
      </c>
      <c r="D118" s="8" t="s">
        <v>685</v>
      </c>
      <c r="E118" s="8" t="s">
        <v>686</v>
      </c>
      <c r="G118" s="6" t="str">
        <f>IFERROR(__xludf.DUMMYFUNCTION("GOOGLETRANSLATE(A118, ""en"", ""id"")"),"117")</f>
        <v>117</v>
      </c>
      <c r="H118" s="6" t="str">
        <f>IFERROR(__xludf.DUMMYFUNCTION("GOOGLETRANSLATE(B118, ""en"", ""id"")"),"Warna paku bersejarah terutama menandakan:")</f>
        <v>Warna paku bersejarah terutama menandakan:</v>
      </c>
      <c r="I118" s="6" t="str">
        <f>IFERROR(__xludf.DUMMYFUNCTION("GOOGLETRANSLATE(C118, ""en"", ""id"")"),"A) Siklus doa B) Peringkat pemilik C) Ikatan pasar D) Peringatan kekeringan")</f>
        <v>A) Siklus doa B) Peringkat pemilik C) Ikatan pasar D) Peringatan kekeringan</v>
      </c>
      <c r="J118" s="6" t="str">
        <f>IFERROR(__xludf.DUMMYFUNCTION("GOOGLETRANSLATE(D118, ""en"", ""id"")"),"B) Peringkat pemilik")</f>
        <v>B) Peringkat pemilik</v>
      </c>
      <c r="K118" s="6" t="str">
        <f>IFERROR(__xludf.DUMMYFUNCTION("GOOGLETRANSLATE(E118, ""en"", ""id"")"),"Kode visual langsung mengomunikasikan hierarki.")</f>
        <v>Kode visual langsung mengomunikasikan hierarki.</v>
      </c>
    </row>
    <row r="119">
      <c r="A119" s="5">
        <v>118.0</v>
      </c>
      <c r="B119" s="8" t="s">
        <v>687</v>
      </c>
      <c r="C119" s="9" t="s">
        <v>688</v>
      </c>
      <c r="D119" s="8" t="s">
        <v>689</v>
      </c>
      <c r="E119" s="8" t="s">
        <v>690</v>
      </c>
      <c r="G119" s="6" t="str">
        <f>IFERROR(__xludf.DUMMYFUNCTION("GOOGLETRANSLATE(A119, ""en"", ""id"")"),"118")</f>
        <v>118</v>
      </c>
      <c r="H119" s="6" t="str">
        <f>IFERROR(__xludf.DUMMYFUNCTION("GOOGLETRANSLATE(B119, ""en"", ""id"")"),"Dalam legenda, keajaiban dimulai ketika drum:")</f>
        <v>Dalam legenda, keajaiban dimulai ketika drum:</v>
      </c>
      <c r="I119" s="6" t="str">
        <f>IFERROR(__xludf.DUMMYFUNCTION("GOOGLETRANSLATE(C119, ""en"", ""id"")"),"A) Terdiam B) Tempo ganda C) Melanggar mid-roll D) Bergema tiga kali")</f>
        <v>A) Terdiam B) Tempo ganda C) Melanggar mid-roll D) Bergema tiga kali</v>
      </c>
      <c r="J119" s="6" t="str">
        <f>IFERROR(__xludf.DUMMYFUNCTION("GOOGLETRANSLATE(D119, ""en"", ""id"")"),"D) Digaungkan tiga kali")</f>
        <v>D) Digaungkan tiga kali</v>
      </c>
      <c r="K119" s="6" t="str">
        <f>IFERROR(__xludf.DUMMYFUNCTION("GOOGLETRANSLATE(E119, ""en"", ""id"")"),"Tiga gema melambangkan kebaikan hati Tuhan dalam cerita rakyat.")</f>
        <v>Tiga gema melambangkan kebaikan hati Tuhan dalam cerita rakyat.</v>
      </c>
    </row>
    <row r="120">
      <c r="A120" s="5">
        <v>119.0</v>
      </c>
      <c r="B120" s="8" t="s">
        <v>691</v>
      </c>
      <c r="C120" s="9" t="s">
        <v>692</v>
      </c>
      <c r="D120" s="8" t="s">
        <v>693</v>
      </c>
      <c r="E120" s="8" t="s">
        <v>694</v>
      </c>
      <c r="G120" s="6" t="str">
        <f>IFERROR(__xludf.DUMMYFUNCTION("GOOGLETRANSLATE(A120, ""en"", ""id"")"),"119")</f>
        <v>119</v>
      </c>
      <c r="H120" s="6" t="str">
        <f>IFERROR(__xludf.DUMMYFUNCTION("GOOGLETRANSLATE(B120, ""en"", ""id"")"),"Sebuah gerakan sportifitas klasik yang dilakukan oleh para pemenang adalah:")</f>
        <v>Sebuah gerakan sportifitas klasik yang dilakukan oleh para pemenang adalah:</v>
      </c>
      <c r="I120" s="6" t="str">
        <f>IFERROR(__xludf.DUMMYFUNCTION("GOOGLETRANSLATE(C120, ""en"", ""id"")"),"A) Hadiah pakan ternak B) Pinjamkan perawat kuda C) Tawarkan pandai besi D) Bagi hasil biaya festival")</f>
        <v>A) Hadiah pakan ternak B) Pinjamkan perawat kuda C) Tawarkan pandai besi D) Bagi hasil biaya festival</v>
      </c>
      <c r="J120" s="6" t="str">
        <f>IFERROR(__xludf.DUMMYFUNCTION("GOOGLETRANSLATE(D120, ""en"", ""id"")"),"A) Pemberian pakan")</f>
        <v>A) Pemberian pakan</v>
      </c>
      <c r="K120" s="6" t="str">
        <f>IFERROR(__xludf.DUMMYFUNCTION("GOOGLETRANSLATE(E120, ""en"", ""id"")"),"Hadiah makanan meringankan rasa sakit akibat kekalahan.")</f>
        <v>Hadiah makanan meringankan rasa sakit akibat kekalahan.</v>
      </c>
    </row>
    <row r="121">
      <c r="A121" s="5">
        <v>120.0</v>
      </c>
      <c r="B121" s="8" t="s">
        <v>695</v>
      </c>
      <c r="C121" s="9" t="s">
        <v>696</v>
      </c>
      <c r="D121" s="8" t="s">
        <v>697</v>
      </c>
      <c r="E121" s="8" t="s">
        <v>698</v>
      </c>
      <c r="G121" s="6" t="str">
        <f>IFERROR(__xludf.DUMMYFUNCTION("GOOGLETRANSLATE(A121, ""en"", ""id"")"),"120")</f>
        <v>120</v>
      </c>
      <c r="H121" s="6" t="str">
        <f>IFERROR(__xludf.DUMMYFUNCTION("GOOGLETRANSLATE(B121, ""en"", ""id"")"),"Inisiasi pemuda bersejarah ke dalam Karapan Sapi dimulai dengan:")</f>
        <v>Inisiasi pemuda bersejarah ke dalam Karapan Sapi dimulai dengan:</v>
      </c>
      <c r="I121" s="6" t="str">
        <f>IFERROR(__xludf.DUMMYFUNCTION("GOOGLETRANSLATE(C121, ""en"", ""id"")"),"A) Penabuh drum B) Pembersihan paku payung C) Pembawa spanduk D) Penyajian makanan")</f>
        <v>A) Penabuh drum B) Pembersihan paku payung C) Pembawa spanduk D) Penyajian makanan</v>
      </c>
      <c r="J121" s="6" t="str">
        <f>IFERROR(__xludf.DUMMYFUNCTION("GOOGLETRANSLATE(D121, ""en"", ""id"")"),"B) Pembersihan paku")</f>
        <v>B) Pembersihan paku</v>
      </c>
      <c r="K121" s="6" t="str">
        <f>IFERROR(__xludf.DUMMYFUNCTION("GOOGLETRANSLATE(E121, ""en"", ""id"")"),"Tugas perawatan mengajarkan rasa hormat sebelum kompetisi.")</f>
        <v>Tugas perawatan mengajarkan rasa hormat sebelum kompetisi.</v>
      </c>
    </row>
    <row r="122">
      <c r="A122" s="5">
        <v>121.0</v>
      </c>
      <c r="B122" s="8" t="s">
        <v>699</v>
      </c>
      <c r="C122" s="9" t="s">
        <v>700</v>
      </c>
      <c r="D122" s="8" t="s">
        <v>701</v>
      </c>
      <c r="E122" s="8" t="s">
        <v>702</v>
      </c>
      <c r="G122" s="6" t="str">
        <f>IFERROR(__xludf.DUMMYFUNCTION("GOOGLETRANSLATE(A122, ""en"", ""id"")"),"121")</f>
        <v>121</v>
      </c>
      <c r="H122" s="6" t="str">
        <f>IFERROR(__xludf.DUMMYFUNCTION("GOOGLETRANSLATE(B122, ""en"", ""id"")"),"Doa pembukaan kadang-kadang merujuk pada:")</f>
        <v>Doa pembukaan kadang-kadang merujuk pada:</v>
      </c>
      <c r="I122" s="6" t="str">
        <f>IFERROR(__xludf.DUMMYFUNCTION("GOOGLETRANSLATE(C122, ""en"", ""id"")"),"A) Penyeberangan laut B) Sapi leluhur C) Bulan panen D) Kemenangan perang")</f>
        <v>A) Penyeberangan laut B) Sapi leluhur C) Bulan panen D) Kemenangan perang</v>
      </c>
      <c r="J122" s="6" t="str">
        <f>IFERROR(__xludf.DUMMYFUNCTION("GOOGLETRANSLATE(D122, ""en"", ""id"")"),"C) Bulan panen")</f>
        <v>C) Bulan panen</v>
      </c>
      <c r="K122" s="6" t="str">
        <f>IFERROR(__xludf.DUMMYFUNCTION("GOOGLETRANSLATE(E122, ""en"", ""id"")"),"Citra bulan menghubungkan kecepatan dengan ritme pertanian.")</f>
        <v>Citra bulan menghubungkan kecepatan dengan ritme pertanian.</v>
      </c>
    </row>
    <row r="123">
      <c r="A123" s="5">
        <v>122.0</v>
      </c>
      <c r="B123" s="8" t="s">
        <v>703</v>
      </c>
      <c r="C123" s="9" t="s">
        <v>704</v>
      </c>
      <c r="D123" s="8" t="s">
        <v>705</v>
      </c>
      <c r="E123" s="8" t="s">
        <v>706</v>
      </c>
      <c r="G123" s="6" t="str">
        <f>IFERROR(__xludf.DUMMYFUNCTION("GOOGLETRANSLATE(A123, ""en"", ""id"")"),"122")</f>
        <v>122</v>
      </c>
      <c r="H123" s="6" t="str">
        <f>IFERROR(__xludf.DUMMYFUNCTION("GOOGLETRANSLATE(B123, ""en"", ""id"")"),"Di beberapa distrik, kualifikasi disebut:")</f>
        <v>Di beberapa distrik, kualifikasi disebut:</v>
      </c>
      <c r="I123" s="6" t="str">
        <f>IFERROR(__xludf.DUMMYFUNCTION("GOOGLETRANSLATE(C123, ""en"", ""id"")"),"A) Putaran kecil B) Panas Kenceng C) Uji coba rakit D) Pra-besar")</f>
        <v>A) Putaran kecil B) Panas Kenceng C) Uji coba rakit D) Pra-besar</v>
      </c>
      <c r="J123" s="6" t="str">
        <f>IFERROR(__xludf.DUMMYFUNCTION("GOOGLETRANSLATE(D123, ""en"", ""id"")"),"D) Pra-besar")</f>
        <v>D) Pra-besar</v>
      </c>
      <c r="K123" s="6" t="str">
        <f>IFERROR(__xludf.DUMMYFUNCTION("GOOGLETRANSLATE(E123, ""en"", ""id"")"),"“Sebelum yang besar” menunjuk pada tahap pra-final.")</f>
        <v>“Sebelum yang besar” menunjuk pada tahap pra-final.</v>
      </c>
    </row>
    <row r="124">
      <c r="A124" s="5">
        <v>123.0</v>
      </c>
      <c r="B124" s="8" t="s">
        <v>707</v>
      </c>
      <c r="C124" s="9" t="s">
        <v>708</v>
      </c>
      <c r="D124" s="8" t="s">
        <v>709</v>
      </c>
      <c r="E124" s="8" t="s">
        <v>710</v>
      </c>
      <c r="G124" s="6" t="str">
        <f>IFERROR(__xludf.DUMMYFUNCTION("GOOGLETRANSLATE(A124, ""en"", ""id"")"),"123")</f>
        <v>123</v>
      </c>
      <c r="H124" s="6" t="str">
        <f>IFERROR(__xludf.DUMMYFUNCTION("GOOGLETRANSLATE(B124, ""en"", ""id"")"),"Para tetua mengajarkan bahwa mendekorasi banteng secara berlebihan dapat:")</f>
        <v>Para tetua mengajarkan bahwa mendekorasi banteng secara berlebihan dapat:</v>
      </c>
      <c r="I124" s="6" t="str">
        <f>IFERROR(__xludf.DUMMYFUNCTION("GOOGLETRANSLATE(C124, ""en"", ""id"")"),"A) Mengundang rasa iri B) Start yang lambat C) Mengalihkan perhatian joki D) Roh-roh yang marah")</f>
        <v>A) Mengundang rasa iri B) Start yang lambat C) Mengalihkan perhatian joki D) Roh-roh yang marah</v>
      </c>
      <c r="J124" s="6" t="str">
        <f>IFERROR(__xludf.DUMMYFUNCTION("GOOGLETRANSLATE(D124, ""en"", ""id"")"),"A) Mengundang rasa iri")</f>
        <v>A) Mengundang rasa iri</v>
      </c>
      <c r="K124" s="6" t="str">
        <f>IFERROR(__xludf.DUMMYFUNCTION("GOOGLETRANSLATE(E124, ""en"", ""id"")"),"Kesederhanaan dianjurkan untuk menghindari gesekan sosial.")</f>
        <v>Kesederhanaan dianjurkan untuk menghindari gesekan sosial.</v>
      </c>
    </row>
    <row r="125">
      <c r="A125" s="5">
        <v>124.0</v>
      </c>
      <c r="B125" s="8" t="s">
        <v>711</v>
      </c>
      <c r="C125" s="9" t="s">
        <v>712</v>
      </c>
      <c r="D125" s="8" t="s">
        <v>713</v>
      </c>
      <c r="E125" s="8" t="s">
        <v>714</v>
      </c>
      <c r="G125" s="6" t="str">
        <f>IFERROR(__xludf.DUMMYFUNCTION("GOOGLETRANSLATE(A125, ""en"", ""id"")"),"124")</f>
        <v>124</v>
      </c>
      <c r="H125" s="6" t="str">
        <f>IFERROR(__xludf.DUMMYFUNCTION("GOOGLETRANSLATE(B125, ""en"", ""id"")"),"Tenda klinik bersejarah untuk hewan dikelola oleh:")</f>
        <v>Tenda klinik bersejarah untuk hewan dikelola oleh:</v>
      </c>
      <c r="I125" s="6" t="str">
        <f>IFERROR(__xludf.DUMMYFUNCTION("GOOGLETRANSLATE(C125, ""en"", ""id"")"),"A) Pelaut B) Pandai besi C) Herbalis D) Tukang kayu")</f>
        <v>A) Pelaut B) Pandai besi C) Herbalis D) Tukang kayu</v>
      </c>
      <c r="J125" s="6" t="str">
        <f>IFERROR(__xludf.DUMMYFUNCTION("GOOGLETRANSLATE(D125, ""en"", ""id"")"),"C) Herbalis")</f>
        <v>C) Herbalis</v>
      </c>
      <c r="K125" s="6" t="str">
        <f>IFERROR(__xludf.DUMMYFUNCTION("GOOGLETRANSLATE(E125, ""en"", ""id"")"),"Ahli herbal mengatasi ketegangan dan lecet pada kulit.")</f>
        <v>Ahli herbal mengatasi ketegangan dan lecet pada kulit.</v>
      </c>
    </row>
    <row r="126">
      <c r="A126" s="5">
        <v>125.0</v>
      </c>
      <c r="B126" s="8" t="s">
        <v>715</v>
      </c>
      <c r="C126" s="9" t="s">
        <v>716</v>
      </c>
      <c r="D126" s="8" t="s">
        <v>717</v>
      </c>
      <c r="E126" s="8" t="s">
        <v>718</v>
      </c>
      <c r="G126" s="6" t="str">
        <f>IFERROR(__xludf.DUMMYFUNCTION("GOOGLETRANSLATE(A126, ""en"", ""id"")"),"125")</f>
        <v>125</v>
      </c>
      <c r="H126" s="6" t="str">
        <f>IFERROR(__xludf.DUMMYFUNCTION("GOOGLETRANSLATE(B126, ""en"", ""id"")"),"Hukuman disiplin yang lazim diberikan untuk perilaku kasar adalah:")</f>
        <v>Hukuman disiplin yang lazim diberikan untuk perilaku kasar adalah:</v>
      </c>
      <c r="I126" s="6" t="str">
        <f>IFERROR(__xludf.DUMMYFUNCTION("GOOGLETRANSLATE(C126, ""en"", ""id"")"),"A) Kehilangan hadiah B) Permintaan maaf di depan umum C) Larangan satu tahun D) Pengalihan jalur")</f>
        <v>A) Kehilangan hadiah B) Permintaan maaf di depan umum C) Larangan satu tahun D) Pengalihan jalur</v>
      </c>
      <c r="J126" s="6" t="str">
        <f>IFERROR(__xludf.DUMMYFUNCTION("GOOGLETRANSLATE(D126, ""en"", ""id"")"),"D) Pengalihan jalur")</f>
        <v>D) Pengalihan jalur</v>
      </c>
      <c r="K126" s="6" t="str">
        <f>IFERROR(__xludf.DUMMYFUNCTION("GOOGLETRANSLATE(E126, ""en"", ""id"")"),"Perpindahan jalur menetralkan keuntungan tanpa mengakhiri karier.")</f>
        <v>Perpindahan jalur menetralkan keuntungan tanpa mengakhiri karier.</v>
      </c>
    </row>
    <row r="127">
      <c r="A127" s="5">
        <v>126.0</v>
      </c>
      <c r="B127" s="8" t="s">
        <v>719</v>
      </c>
      <c r="C127" s="9" t="s">
        <v>720</v>
      </c>
      <c r="D127" s="8" t="s">
        <v>721</v>
      </c>
      <c r="E127" s="8" t="s">
        <v>722</v>
      </c>
      <c r="G127" s="6" t="str">
        <f>IFERROR(__xludf.DUMMYFUNCTION("GOOGLETRANSLATE(A127, ""en"", ""id"")"),"126")</f>
        <v>126</v>
      </c>
      <c r="H127" s="6" t="str">
        <f>IFERROR(__xludf.DUMMYFUNCTION("GOOGLETRANSLATE(B127, ""en"", ""id"")"),"Pensiunnya banteng veteran ditandai dengan:")</f>
        <v>Pensiunnya banteng veteran ditandai dengan:</v>
      </c>
      <c r="I127" s="6" t="str">
        <f>IFERROR(__xludf.DUMMYFUNCTION("GOOGLETRANSLATE(C127, ""en"", ""id"")"),"A) Berenang di laut B) Berkah di masjid C) Melepas anting D) Karangan bunga kereta luncur")</f>
        <v>A) Berenang di laut B) Berkah di masjid C) Melepas anting D) Karangan bunga kereta luncur</v>
      </c>
      <c r="J127" s="6" t="str">
        <f>IFERROR(__xludf.DUMMYFUNCTION("GOOGLETRANSLATE(D127, ""en"", ""id"")"),"B) Berkah Masjid")</f>
        <v>B) Berkah Masjid</v>
      </c>
      <c r="K127" s="6" t="str">
        <f>IFERROR(__xludf.DUMMYFUNCTION("GOOGLETRANSLATE(E127, ""en"", ""id"")"),"Berkatilah pelayanan yang terhormat dan padang rumput yang aman.")</f>
        <v>Berkatilah pelayanan yang terhormat dan padang rumput yang aman.</v>
      </c>
    </row>
    <row r="128">
      <c r="A128" s="5">
        <v>127.0</v>
      </c>
      <c r="B128" s="8" t="s">
        <v>723</v>
      </c>
      <c r="C128" s="9" t="s">
        <v>724</v>
      </c>
      <c r="D128" s="8" t="s">
        <v>725</v>
      </c>
      <c r="E128" s="8" t="s">
        <v>726</v>
      </c>
      <c r="G128" s="6" t="str">
        <f>IFERROR(__xludf.DUMMYFUNCTION("GOOGLETRANSLATE(A128, ""en"", ""id"")"),"127")</f>
        <v>127</v>
      </c>
      <c r="H128" s="6" t="str">
        <f>IFERROR(__xludf.DUMMYFUNCTION("GOOGLETRANSLATE(B128, ""en"", ""id"")"),"Poster festival bersejarah pertama kali tersebar luas melalui:")</f>
        <v>Poster festival bersejarah pertama kali tersebar luas melalui:</v>
      </c>
      <c r="I128" s="6" t="str">
        <f>IFERROR(__xludf.DUMMYFUNCTION("GOOGLETRANSLATE(C128, ""en"", ""id"")"),"A) Buletin pelabuhan B) Penyair keliling C) Papan pengumuman masjid D) Tukang teriak pasar")</f>
        <v>A) Buletin pelabuhan B) Penyair keliling C) Papan pengumuman masjid D) Tukang teriak pasar</v>
      </c>
      <c r="J128" s="6" t="str">
        <f>IFERROR(__xludf.DUMMYFUNCTION("GOOGLETRANSLATE(D128, ""en"", ""id"")"),"C) Papan pengumuman masjid")</f>
        <v>C) Papan pengumuman masjid</v>
      </c>
      <c r="K128" s="6" t="str">
        <f>IFERROR(__xludf.DUMMYFUNCTION("GOOGLETRANSLATE(E128, ""en"", ""id"")"),"Pusat komunitas memastikan visibilitas yang luas.")</f>
        <v>Pusat komunitas memastikan visibilitas yang luas.</v>
      </c>
    </row>
    <row r="129">
      <c r="A129" s="5">
        <v>128.0</v>
      </c>
      <c r="B129" s="8" t="s">
        <v>727</v>
      </c>
      <c r="C129" s="9" t="s">
        <v>728</v>
      </c>
      <c r="D129" s="8" t="s">
        <v>729</v>
      </c>
      <c r="E129" s="8" t="s">
        <v>730</v>
      </c>
      <c r="G129" s="6" t="str">
        <f>IFERROR(__xludf.DUMMYFUNCTION("GOOGLETRANSLATE(A129, ""en"", ""id"")"),"128")</f>
        <v>128</v>
      </c>
      <c r="H129" s="6" t="str">
        <f>IFERROR(__xludf.DUMMYFUNCTION("GOOGLETRANSLATE(B129, ""en"", ""id"")"),"Konvensi penamaan sering menghindari kata-kata yang menyiratkan:")</f>
        <v>Konvensi penamaan sering menghindari kata-kata yang menyiratkan:</v>
      </c>
      <c r="I129" s="6" t="str">
        <f>IFERROR(__xludf.DUMMYFUNCTION("GOOGLETRANSLATE(C129, ""en"", ""id"")"),"A) Lambat B) Api C) Hutang D) Laut")</f>
        <v>A) Lambat B) Api C) Hutang D) Laut</v>
      </c>
      <c r="J129" s="6" t="str">
        <f>IFERROR(__xludf.DUMMYFUNCTION("GOOGLETRANSLATE(D129, ""en"", ""id"")"),"C) Hutang")</f>
        <v>C) Hutang</v>
      </c>
      <c r="K129" s="6" t="str">
        <f>IFERROR(__xludf.DUMMYFUNCTION("GOOGLETRANSLATE(E129, ""en"", ""id"")"),"Asosiasi utang dianggap tidak beruntung.")</f>
        <v>Asosiasi utang dianggap tidak beruntung.</v>
      </c>
    </row>
    <row r="130">
      <c r="A130" s="5">
        <v>129.0</v>
      </c>
      <c r="B130" s="8" t="s">
        <v>731</v>
      </c>
      <c r="C130" s="9" t="s">
        <v>732</v>
      </c>
      <c r="D130" s="8" t="s">
        <v>733</v>
      </c>
      <c r="E130" s="8" t="s">
        <v>734</v>
      </c>
      <c r="G130" s="6" t="str">
        <f>IFERROR(__xludf.DUMMYFUNCTION("GOOGLETRANSLATE(A130, ""en"", ""id"")"),"129")</f>
        <v>129</v>
      </c>
      <c r="H130" s="6" t="str">
        <f>IFERROR(__xludf.DUMMYFUNCTION("GOOGLETRANSLATE(B130, ""en"", ""id"")"),"Dalam cerita, kerendahan hati seorang joki diuji dengan:")</f>
        <v>Dalam cerita, kerendahan hati seorang joki diuji dengan:</v>
      </c>
      <c r="I130" s="6" t="str">
        <f>IFERROR(__xludf.DUMMYFUNCTION("GOOGLETRANSLATE(C130, ""en"", ""id"")"),"A) Membersihkan kios B) Melayani saingan C) Menyumbangkan kain D) Puasa")</f>
        <v>A) Membersihkan kios B) Melayani saingan C) Menyumbangkan kain D) Puasa</v>
      </c>
      <c r="J130" s="6" t="str">
        <f>IFERROR(__xludf.DUMMYFUNCTION("GOOGLETRANSLATE(D130, ""en"", ""id"")"),"D) Puasa")</f>
        <v>D) Puasa</v>
      </c>
      <c r="K130" s="6" t="str">
        <f>IFERROR(__xludf.DUMMYFUNCTION("GOOGLETRANSLATE(E130, ""en"", ""id"")"),"Puasa mencari kejelasan dan pengendalian diri sebelum ujian akhir.")</f>
        <v>Puasa mencari kejelasan dan pengendalian diri sebelum ujian akhir.</v>
      </c>
    </row>
    <row r="131">
      <c r="A131" s="5">
        <v>130.0</v>
      </c>
      <c r="B131" s="8" t="s">
        <v>735</v>
      </c>
      <c r="C131" s="9" t="s">
        <v>736</v>
      </c>
      <c r="D131" s="8" t="s">
        <v>737</v>
      </c>
      <c r="E131" s="8" t="s">
        <v>738</v>
      </c>
      <c r="G131" s="6" t="str">
        <f>IFERROR(__xludf.DUMMYFUNCTION("GOOGLETRANSLATE(A131, ""en"", ""id"")"),"130")</f>
        <v>130</v>
      </c>
      <c r="H131" s="6" t="str">
        <f>IFERROR(__xludf.DUMMYFUNCTION("GOOGLETRANSLATE(B131, ""en"", ""id"")"),"Tongkat penilaian lokal untuk panggilan akhir biasanya:")</f>
        <v>Tongkat penilaian lokal untuk panggilan akhir biasanya:</v>
      </c>
      <c r="I131" s="6" t="str">
        <f>IFERROR(__xludf.DUMMYFUNCTION("GOOGLETRANSLATE(C131, ""en"", ""id"")"),"A) Bambu belah B) Batang besi C) Dayung kayu D) Tongkat tempurung")</f>
        <v>A) Bambu belah B) Batang besi C) Dayung kayu D) Tongkat tempurung</v>
      </c>
      <c r="J131" s="6" t="str">
        <f>IFERROR(__xludf.DUMMYFUNCTION("GOOGLETRANSLATE(D131, ""en"", ""id"")"),"A) Bambu belah")</f>
        <v>A) Bambu belah</v>
      </c>
      <c r="K131" s="6" t="str">
        <f>IFERROR(__xludf.DUMMYFUNCTION("GOOGLETRANSLATE(E131, ""en"", ""id"")"),"Ringan, jernih, dan mudah dilihat oleh orang banyak.")</f>
        <v>Ringan, jernih, dan mudah dilihat oleh orang banyak.</v>
      </c>
    </row>
    <row r="132">
      <c r="A132" s="5">
        <v>131.0</v>
      </c>
      <c r="B132" s="8" t="s">
        <v>739</v>
      </c>
      <c r="C132" s="9" t="s">
        <v>740</v>
      </c>
      <c r="D132" s="8" t="s">
        <v>577</v>
      </c>
      <c r="E132" s="8" t="s">
        <v>741</v>
      </c>
      <c r="G132" s="6" t="str">
        <f>IFERROR(__xludf.DUMMYFUNCTION("GOOGLETRANSLATE(A132, ""en"", ""id"")"),"131")</f>
        <v>131</v>
      </c>
      <c r="H132" s="6" t="str">
        <f>IFERROR(__xludf.DUMMYFUNCTION("GOOGLETRANSLATE(B132, ""en"", ""id"")"),"Ciri khas seorang pelatih adalah penguasaan terhadap:")</f>
        <v>Ciri khas seorang pelatih adalah penguasaan terhadap:</v>
      </c>
      <c r="I132" s="6" t="str">
        <f>IFERROR(__xludf.DUMMYFUNCTION("GOOGLETRANSLATE(C132, ""en"", ""id"")"),"A) Latihan malam B) Lari cepat di pasir C) Isyarat start D) Semua jawaban di atas")</f>
        <v>A) Latihan malam B) Lari cepat di pasir C) Isyarat start D) Semua jawaban di atas</v>
      </c>
      <c r="J132" s="6" t="str">
        <f>IFERROR(__xludf.DUMMYFUNCTION("GOOGLETRANSLATE(D132, ""en"", ""id"")"),"D) Semua jawaban di atas")</f>
        <v>D) Semua jawaban di atas</v>
      </c>
      <c r="K132" s="6" t="str">
        <f>IFERROR(__xludf.DUMMYFUNCTION("GOOGLETRANSLATE(E132, ""en"", ""id"")"),"Mulai dari awal, permukaan, dan latihan yang memisahkan antara yang hebat dan yang bagus.")</f>
        <v>Mulai dari awal, permukaan, dan latihan yang memisahkan antara yang hebat dan yang bagus.</v>
      </c>
    </row>
    <row r="133">
      <c r="A133" s="5">
        <v>132.0</v>
      </c>
      <c r="B133" s="8" t="s">
        <v>742</v>
      </c>
      <c r="C133" s="9" t="s">
        <v>743</v>
      </c>
      <c r="D133" s="8" t="s">
        <v>744</v>
      </c>
      <c r="E133" s="8" t="s">
        <v>745</v>
      </c>
      <c r="G133" s="6" t="str">
        <f>IFERROR(__xludf.DUMMYFUNCTION("GOOGLETRANSLATE(A133, ""en"", ""id"")"),"132")</f>
        <v>132</v>
      </c>
      <c r="H133" s="6" t="str">
        <f>IFERROR(__xludf.DUMMYFUNCTION("GOOGLETRANSLATE(B133, ""en"", ""id"")"),"Transportasi bersejarah terletak pada jarak setiap:")</f>
        <v>Transportasi bersejarah terletak pada jarak setiap:</v>
      </c>
      <c r="I133" s="6" t="str">
        <f>IFERROR(__xludf.DUMMYFUNCTION("GOOGLETRANSLATE(C133, ""en"", ""id"")"),"A) 2 km B) 5 km C) 8 km D) 10 km")</f>
        <v>A) 2 km B) 5 km C) 8 km D) 10 km</v>
      </c>
      <c r="J133" s="6" t="str">
        <f>IFERROR(__xludf.DUMMYFUNCTION("GOOGLETRANSLATE(D133, ""en"", ""id"")"),"B) 5 km")</f>
        <v>B) 5 km</v>
      </c>
      <c r="K133" s="6" t="str">
        <f>IFERROR(__xludf.DUMMYFUNCTION("GOOGLETRANSLATE(E133, ""en"", ""id"")"),"Istirahat yang sering dapat meminimalisir cedera akibat stres.")</f>
        <v>Istirahat yang sering dapat meminimalisir cedera akibat stres.</v>
      </c>
    </row>
    <row r="134">
      <c r="A134" s="5">
        <v>133.0</v>
      </c>
      <c r="B134" s="8" t="s">
        <v>746</v>
      </c>
      <c r="C134" s="9" t="s">
        <v>747</v>
      </c>
      <c r="D134" s="8" t="s">
        <v>748</v>
      </c>
      <c r="E134" s="8" t="s">
        <v>749</v>
      </c>
      <c r="G134" s="6" t="str">
        <f>IFERROR(__xludf.DUMMYFUNCTION("GOOGLETRANSLATE(A134, ""en"", ""id"")"),"133")</f>
        <v>133</v>
      </c>
      <c r="H134" s="6" t="str">
        <f>IFERROR(__xludf.DUMMYFUNCTION("GOOGLETRANSLATE(B134, ""en"", ""id"")"),"Urutan festival sering kali dimulai dengan:")</f>
        <v>Urutan festival sering kali dimulai dengan:</v>
      </c>
      <c r="I134" s="6" t="str">
        <f>IFERROR(__xludf.DUMMYFUNCTION("GOOGLETRANSLATE(C134, ""en"", ""id"")"),"A) Panas pemuda B) Pertunjukan veteran C) Berkat D) Daftar sponsor")</f>
        <v>A) Panas pemuda B) Pertunjukan veteran C) Berkat D) Daftar sponsor</v>
      </c>
      <c r="J134" s="6" t="str">
        <f>IFERROR(__xludf.DUMMYFUNCTION("GOOGLETRANSLATE(D134, ""en"", ""id"")"),"C) Berkat")</f>
        <v>C) Berkat</v>
      </c>
      <c r="K134" s="6" t="str">
        <f>IFERROR(__xludf.DUMMYFUNCTION("GOOGLETRANSLATE(E134, ""en"", ""id"")"),"Perintah suci melegitimasi peristiwa tersebut.")</f>
        <v>Perintah suci melegitimasi peristiwa tersebut.</v>
      </c>
    </row>
    <row r="135">
      <c r="A135" s="5">
        <v>134.0</v>
      </c>
      <c r="B135" s="8" t="s">
        <v>750</v>
      </c>
      <c r="C135" s="9" t="s">
        <v>751</v>
      </c>
      <c r="D135" s="8" t="s">
        <v>752</v>
      </c>
      <c r="E135" s="8" t="s">
        <v>753</v>
      </c>
      <c r="G135" s="6" t="str">
        <f>IFERROR(__xludf.DUMMYFUNCTION("GOOGLETRANSLATE(A135, ""en"", ""id"")"),"134")</f>
        <v>134</v>
      </c>
      <c r="H135" s="6" t="str">
        <f>IFERROR(__xludf.DUMMYFUNCTION("GOOGLETRANSLATE(B135, ""en"", ""id"")"),"Sorak sorai paling keras biasanya menyambut:")</f>
        <v>Sorak sorai paling keras biasanya menyambut:</v>
      </c>
      <c r="I135" s="6" t="str">
        <f>IFERROR(__xludf.DUMMYFUNCTION("GOOGLETRANSLATE(C135, ""en"", ""id"")"),"A) Juara lokal B) Tim perjalanan terlama C) Joki termuda D) Pasangan tertampan")</f>
        <v>A) Juara lokal B) Tim perjalanan terlama C) Joki termuda D) Pasangan tertampan</v>
      </c>
      <c r="J135" s="6" t="str">
        <f>IFERROR(__xludf.DUMMYFUNCTION("GOOGLETRANSLATE(D135, ""en"", ""id"")"),"A) Juara lokal")</f>
        <v>A) Juara lokal</v>
      </c>
      <c r="K135" s="6" t="str">
        <f>IFERROR(__xludf.DUMMYFUNCTION("GOOGLETRANSLATE(E135, ""en"", ""id"")"),"Kebanggaan terhadap rumah mendorong puncak desibel.")</f>
        <v>Kebanggaan terhadap rumah mendorong puncak desibel.</v>
      </c>
    </row>
    <row r="136">
      <c r="A136" s="5">
        <v>135.0</v>
      </c>
      <c r="B136" s="8" t="s">
        <v>754</v>
      </c>
      <c r="C136" s="9" t="s">
        <v>755</v>
      </c>
      <c r="D136" s="8" t="s">
        <v>756</v>
      </c>
      <c r="E136" s="8" t="s">
        <v>757</v>
      </c>
      <c r="G136" s="6" t="str">
        <f>IFERROR(__xludf.DUMMYFUNCTION("GOOGLETRANSLATE(A136, ""en"", ""id"")"),"135")</f>
        <v>135</v>
      </c>
      <c r="H136" s="6" t="str">
        <f>IFERROR(__xludf.DUMMYFUNCTION("GOOGLETRANSLATE(B136, ""en"", ""id"")"),"Kekalahan yang sportif masih bisa menghasilkan:")</f>
        <v>Kekalahan yang sportif masih bisa menghasilkan:</v>
      </c>
      <c r="I136" s="6" t="str">
        <f>IFERROR(__xludf.DUMMYFUNCTION("GOOGLETRANSLATE(C136, ""en"", ""id"")"),"A) Pakan gratis B) Peningkatan kandang C) Pengawalan pulang D) Selempang sutra")</f>
        <v>A) Pakan gratis B) Peningkatan kandang C) Pengawalan pulang D) Selempang sutra</v>
      </c>
      <c r="J136" s="6" t="str">
        <f>IFERROR(__xludf.DUMMYFUNCTION("GOOGLETRANSLATE(D136, ""en"", ""id"")"),"D) Selempang sutra")</f>
        <v>D) Selempang sutra</v>
      </c>
      <c r="K136" s="6" t="str">
        <f>IFERROR(__xludf.DUMMYFUNCTION("GOOGLETRANSLATE(E136, ""en"", ""id"")"),"Sashes mengakui keberanian dan perilaku bersih.")</f>
        <v>Sashes mengakui keberanian dan perilaku bersih.</v>
      </c>
    </row>
    <row r="137">
      <c r="A137" s="5">
        <v>136.0</v>
      </c>
      <c r="B137" s="8" t="s">
        <v>758</v>
      </c>
      <c r="C137" s="9" t="s">
        <v>759</v>
      </c>
      <c r="D137" s="8" t="s">
        <v>760</v>
      </c>
      <c r="E137" s="8" t="s">
        <v>761</v>
      </c>
      <c r="G137" s="6" t="str">
        <f>IFERROR(__xludf.DUMMYFUNCTION("GOOGLETRANSLATE(A137, ""en"", ""id"")"),"136")</f>
        <v>136</v>
      </c>
      <c r="H137" s="6" t="str">
        <f>IFERROR(__xludf.DUMMYFUNCTION("GOOGLETRANSLATE(B137, ""en"", ""id"")"),"Pepatah pelatih awal menyamakan langkah dengan:")</f>
        <v>Pepatah pelatih awal menyamakan langkah dengan:</v>
      </c>
      <c r="I137" s="6" t="str">
        <f>IFERROR(__xludf.DUMMYFUNCTION("GOOGLETRANSLATE(C137, ""en"", ""id"")"),"A) Ritme alat tenun B) Tarikan pasang surut C) Irama drum D) Pusaran angin")</f>
        <v>A) Ritme alat tenun B) Tarikan pasang surut C) Irama drum D) Pusaran angin</v>
      </c>
      <c r="J137" s="6" t="str">
        <f>IFERROR(__xludf.DUMMYFUNCTION("GOOGLETRANSLATE(D137, ""en"", ""id"")"),"C) Irama drum")</f>
        <v>C) Irama drum</v>
      </c>
      <c r="K137" s="6" t="str">
        <f>IFERROR(__xludf.DUMMYFUNCTION("GOOGLETRANSLATE(E137, ""en"", ""id"")"),"Metafora irama berorientasi pada waktu di awal.")</f>
        <v>Metafora irama berorientasi pada waktu di awal.</v>
      </c>
    </row>
    <row r="138">
      <c r="A138" s="5">
        <v>137.0</v>
      </c>
      <c r="B138" s="8" t="s">
        <v>762</v>
      </c>
      <c r="C138" s="9" t="s">
        <v>763</v>
      </c>
      <c r="D138" s="8" t="s">
        <v>764</v>
      </c>
      <c r="E138" s="8" t="s">
        <v>765</v>
      </c>
      <c r="G138" s="6" t="str">
        <f>IFERROR(__xludf.DUMMYFUNCTION("GOOGLETRANSLATE(A138, ""en"", ""id"")"),"137")</f>
        <v>137</v>
      </c>
      <c r="H138" s="6" t="str">
        <f>IFERROR(__xludf.DUMMYFUNCTION("GOOGLETRANSLATE(B138, ""en"", ""id"")"),"Briefing keselamatan bersejarah mengingatkan khalayak untuk:")</f>
        <v>Briefing keselamatan bersejarah mengingatkan khalayak untuk:</v>
      </c>
      <c r="I138" s="6" t="str">
        <f>IFERROR(__xludf.DUMMYFUNCTION("GOOGLETRANSLATE(C138, ""en"", ""id"")"),"A) Hindari menyilangi tali B) Jaga drum tetap rendah C) Duduk di samping orang yang lebih tua D) Menghadap ke timur")</f>
        <v>A) Hindari menyilangi tali B) Jaga drum tetap rendah C) Duduk di samping orang yang lebih tua D) Menghadap ke timur</v>
      </c>
      <c r="J138" s="6" t="str">
        <f>IFERROR(__xludf.DUMMYFUNCTION("GOOGLETRANSLATE(D138, ""en"", ""id"")"),"A) Hindari menyeberangi tali")</f>
        <v>A) Hindari menyeberangi tali</v>
      </c>
      <c r="K138" s="6" t="str">
        <f>IFERROR(__xludf.DUMMYFUNCTION("GOOGLETRANSLATE(E138, ""en"", ""id"")"),"Garis tali menentukan zona menonton yang aman.")</f>
        <v>Garis tali menentukan zona menonton yang aman.</v>
      </c>
    </row>
    <row r="139">
      <c r="A139" s="5">
        <v>138.0</v>
      </c>
      <c r="B139" s="8" t="s">
        <v>766</v>
      </c>
      <c r="C139" s="9" t="s">
        <v>767</v>
      </c>
      <c r="D139" s="8" t="s">
        <v>768</v>
      </c>
      <c r="E139" s="8" t="s">
        <v>769</v>
      </c>
      <c r="G139" s="6" t="str">
        <f>IFERROR(__xludf.DUMMYFUNCTION("GOOGLETRANSLATE(A139, ""en"", ""id"")"),"138")</f>
        <v>138</v>
      </c>
      <c r="H139" s="6" t="str">
        <f>IFERROR(__xludf.DUMMYFUNCTION("GOOGLETRANSLATE(B139, ""en"", ""id"")"),"Pertanda yang ditakuti saat fajar adalah:")</f>
        <v>Pertanda yang ditakuti saat fajar adalah:</v>
      </c>
      <c r="I139" s="6" t="str">
        <f>IFERROR(__xludf.DUMMYFUNCTION("GOOGLETRANSLATE(C139, ""en"", ""id"")"),"A) Buluh patah B) Burung yang diam C) Angin selatan D) Kuk terbelah")</f>
        <v>A) Buluh patah B) Burung yang diam C) Angin selatan D) Kuk terbelah</v>
      </c>
      <c r="J139" s="6" t="str">
        <f>IFERROR(__xludf.DUMMYFUNCTION("GOOGLETRANSLATE(D139, ""en"", ""id"")"),"D) Kuk terpisah")</f>
        <v>D) Kuk terpisah</v>
      </c>
      <c r="K139" s="6" t="str">
        <f>IFERROR(__xludf.DUMMYFUNCTION("GOOGLETRANSLATE(E139, ""en"", ""id"")"),"Kegagalan peralatan meramalkan kemalangan.")</f>
        <v>Kegagalan peralatan meramalkan kemalangan.</v>
      </c>
    </row>
    <row r="140">
      <c r="A140" s="5">
        <v>139.0</v>
      </c>
      <c r="B140" s="8" t="s">
        <v>770</v>
      </c>
      <c r="C140" s="9" t="s">
        <v>771</v>
      </c>
      <c r="D140" s="8" t="s">
        <v>772</v>
      </c>
      <c r="E140" s="8" t="s">
        <v>773</v>
      </c>
      <c r="G140" s="6" t="str">
        <f>IFERROR(__xludf.DUMMYFUNCTION("GOOGLETRANSLATE(A140, ""en"", ""id"")"),"139")</f>
        <v>139</v>
      </c>
      <c r="H140" s="6" t="str">
        <f>IFERROR(__xludf.DUMMYFUNCTION("GOOGLETRANSLATE(B140, ""en"", ""id"")"),"Poster peraturan awal menekankan:")</f>
        <v>Poster peraturan awal menekankan:</v>
      </c>
      <c r="I140" s="6" t="str">
        <f>IFERROR(__xludf.DUMMYFUNCTION("GOOGLETRANSLATE(C140, ""en"", ""id"")"),"A) Spanduk sederhana B) Musik yang tenang C) Tidak ada paku kereta luncur D) Tidak ada kain merah")</f>
        <v>A) Spanduk sederhana B) Musik yang tenang C) Tidak ada paku kereta luncur D) Tidak ada kain merah</v>
      </c>
      <c r="J140" s="6" t="str">
        <f>IFERROR(__xludf.DUMMYFUNCTION("GOOGLETRANSLATE(D140, ""en"", ""id"")"),"C) Tidak ada paku kereta luncur")</f>
        <v>C) Tidak ada paku kereta luncur</v>
      </c>
      <c r="K140" s="6" t="str">
        <f>IFERROR(__xludf.DUMMYFUNCTION("GOOGLETRANSLATE(E140, ""en"", ""id"")"),"Keselamatan melarang modifikasi yang berbahaya.")</f>
        <v>Keselamatan melarang modifikasi yang berbahaya.</v>
      </c>
    </row>
    <row r="141">
      <c r="A141" s="5">
        <v>140.0</v>
      </c>
      <c r="B141" s="8" t="s">
        <v>774</v>
      </c>
      <c r="C141" s="9" t="s">
        <v>775</v>
      </c>
      <c r="D141" s="8" t="s">
        <v>776</v>
      </c>
      <c r="E141" s="8" t="s">
        <v>777</v>
      </c>
      <c r="G141" s="6" t="str">
        <f>IFERROR(__xludf.DUMMYFUNCTION("GOOGLETRANSLATE(A141, ""en"", ""id"")"),"140")</f>
        <v>140</v>
      </c>
      <c r="H141" s="6" t="str">
        <f>IFERROR(__xludf.DUMMYFUNCTION("GOOGLETRANSLATE(B141, ""en"", ""id"")"),"Gencatan senjata pasca-balapan mungkin mencakup:")</f>
        <v>Gencatan senjata pasca-balapan mungkin mencakup:</v>
      </c>
      <c r="I141" s="6" t="str">
        <f>IFERROR(__xludf.DUMMYFUNCTION("GOOGLETRANSLATE(C141, ""en"", ""id"")"),"A) Berbagi dupa B) Berbagi air C) Berbagi biji-bijian D) Berbagi kain")</f>
        <v>A) Berbagi dupa B) Berbagi air C) Berbagi biji-bijian D) Berbagi kain</v>
      </c>
      <c r="J141" s="6" t="str">
        <f>IFERROR(__xludf.DUMMYFUNCTION("GOOGLETRANSLATE(D141, ""en"", ""id"")"),"B) Air bersama")</f>
        <v>B) Air bersama</v>
      </c>
      <c r="K141" s="6" t="str">
        <f>IFERROR(__xludf.DUMMYFUNCTION("GOOGLETRANSLATE(E141, ""en"", ""id"")"),"Upacara air melambangkan kepala dingin dan kedamaian.")</f>
        <v>Upacara air melambangkan kepala dingin dan kedamaian.</v>
      </c>
    </row>
    <row r="142">
      <c r="A142" s="5">
        <v>141.0</v>
      </c>
      <c r="B142" s="8" t="s">
        <v>778</v>
      </c>
      <c r="C142" s="9" t="s">
        <v>779</v>
      </c>
      <c r="D142" s="8" t="s">
        <v>780</v>
      </c>
      <c r="E142" s="8" t="s">
        <v>781</v>
      </c>
      <c r="G142" s="6" t="str">
        <f>IFERROR(__xludf.DUMMYFUNCTION("GOOGLETRANSLATE(A142, ""en"", ""id"")"),"141")</f>
        <v>141</v>
      </c>
      <c r="H142" s="6" t="str">
        <f>IFERROR(__xludf.DUMMYFUNCTION("GOOGLETRANSLATE(B142, ""en"", ""id"")"),"Pengurus festival dihormati karena:")</f>
        <v>Pengurus festival dihormati karena:</v>
      </c>
      <c r="I142" s="6" t="str">
        <f>IFERROR(__xludf.DUMMYFUNCTION("GOOGLETRANSLATE(C142, ""en"", ""id"")"),"A) Hubungan kekerabatan netral B) Kekayaan C) Pemuda D) Sekolah luar negeri")</f>
        <v>A) Hubungan kekerabatan netral B) Kekayaan C) Pemuda D) Sekolah luar negeri</v>
      </c>
      <c r="J142" s="6" t="str">
        <f>IFERROR(__xludf.DUMMYFUNCTION("GOOGLETRANSLATE(D142, ""en"", ""id"")"),"A) Hubungan kekerabatan netral")</f>
        <v>A) Hubungan kekerabatan netral</v>
      </c>
      <c r="K142" s="6" t="str">
        <f>IFERROR(__xludf.DUMMYFUNCTION("GOOGLETRANSLATE(E142, ""en"", ""id"")"),"Ketidakberpihakan mencegah bias klan.")</f>
        <v>Ketidakberpihakan mencegah bias klan.</v>
      </c>
    </row>
    <row r="143">
      <c r="A143" s="5">
        <v>142.0</v>
      </c>
      <c r="B143" s="8" t="s">
        <v>782</v>
      </c>
      <c r="C143" s="9" t="s">
        <v>783</v>
      </c>
      <c r="D143" s="8" t="s">
        <v>577</v>
      </c>
      <c r="E143" s="8" t="s">
        <v>784</v>
      </c>
      <c r="G143" s="6" t="str">
        <f>IFERROR(__xludf.DUMMYFUNCTION("GOOGLETRANSLATE(A143, ""en"", ""id"")"),"142")</f>
        <v>142</v>
      </c>
      <c r="H143" s="6" t="str">
        <f>IFERROR(__xludf.DUMMYFUNCTION("GOOGLETRANSLATE(B143, ""en"", ""id"")"),"Kesaksian orang yang lebih tua dapat membatalkan hasil jika:")</f>
        <v>Kesaksian orang yang lebih tua dapat membatalkan hasil jika:</v>
      </c>
      <c r="I143" s="6" t="str">
        <f>IFERROR(__xludf.DUMMYFUNCTION("GOOGLETRANSLATE(C143, ""en"", ""id"")"),"A) Salah dengar isyarat start B) Terlihat pelanggaran jalur C) Terlihat halter slip D) Semua jawaban di atas")</f>
        <v>A) Salah dengar isyarat start B) Terlihat pelanggaran jalur C) Terlihat halter slip D) Semua jawaban di atas</v>
      </c>
      <c r="J143" s="6" t="str">
        <f>IFERROR(__xludf.DUMMYFUNCTION("GOOGLETRANSLATE(D143, ""en"", ""id"")"),"D) Semua jawaban di atas")</f>
        <v>D) Semua jawaban di atas</v>
      </c>
      <c r="K143" s="6" t="str">
        <f>IFERROR(__xludf.DUMMYFUNCTION("GOOGLETRANSLATE(E143, ""en"", ""id"")"),"Para tetua yang dipercaya berfungsi sebagai VAR yang hidup.")</f>
        <v>Para tetua yang dipercaya berfungsi sebagai VAR yang hidup.</v>
      </c>
    </row>
    <row r="144">
      <c r="A144" s="5">
        <v>143.0</v>
      </c>
      <c r="B144" s="8" t="s">
        <v>785</v>
      </c>
      <c r="C144" s="9" t="s">
        <v>786</v>
      </c>
      <c r="D144" s="8" t="s">
        <v>787</v>
      </c>
      <c r="E144" s="8" t="s">
        <v>788</v>
      </c>
      <c r="G144" s="6" t="str">
        <f>IFERROR(__xludf.DUMMYFUNCTION("GOOGLETRANSLATE(A144, ""en"", ""id"")"),"143")</f>
        <v>143</v>
      </c>
      <c r="H144" s="6" t="str">
        <f>IFERROR(__xludf.DUMMYFUNCTION("GOOGLETRANSLATE(B144, ""en"", ""id"")"),"Dalam cerita rakyat, penolakan seekor banteng di garis finis berarti:")</f>
        <v>Dalam cerita rakyat, penolakan seekor banteng di garis finis berarti:</v>
      </c>
      <c r="I144" s="6" t="str">
        <f>IFERROR(__xludf.DUMMYFUNCTION("GOOGLETRANSLATE(C144, ""en"", ""id"")"),"A) Kesombongan pemilik B) Hari yang salah C) Kutukan dari rival D) Bumi yang dingin")</f>
        <v>A) Kesombongan pemilik B) Hari yang salah C) Kutukan dari rival D) Bumi yang dingin</v>
      </c>
      <c r="J144" s="6" t="str">
        <f>IFERROR(__xludf.DUMMYFUNCTION("GOOGLETRANSLATE(D144, ""en"", ""id"")"),"A) Kesombongan pemilik")</f>
        <v>A) Kesombongan pemilik</v>
      </c>
      <c r="K144" s="6" t="str">
        <f>IFERROR(__xludf.DUMMYFUNCTION("GOOGLETRANSLATE(E144, ""en"", ""id"")"),"Kisah-kisah moralitas mengawasi kesombongan.")</f>
        <v>Kisah-kisah moralitas mengawasi kesombongan.</v>
      </c>
    </row>
    <row r="145">
      <c r="A145" s="5">
        <v>144.0</v>
      </c>
      <c r="B145" s="8" t="s">
        <v>789</v>
      </c>
      <c r="C145" s="9" t="s">
        <v>790</v>
      </c>
      <c r="D145" s="8" t="s">
        <v>791</v>
      </c>
      <c r="E145" s="8" t="s">
        <v>792</v>
      </c>
      <c r="G145" s="6" t="str">
        <f>IFERROR(__xludf.DUMMYFUNCTION("GOOGLETRANSLATE(A145, ""en"", ""id"")"),"144")</f>
        <v>144</v>
      </c>
      <c r="H145" s="6" t="str">
        <f>IFERROR(__xludf.DUMMYFUNCTION("GOOGLETRANSLATE(B145, ""en"", ""id"")"),"Penjadwalan hari pasar disukai:")</f>
        <v>Penjadwalan hari pasar disukai:</v>
      </c>
      <c r="I145" s="6" t="str">
        <f>IFERROR(__xludf.DUMMYFUNCTION("GOOGLETRANSLATE(C145, ""en"", ""id"")"),"A) Jumat B) Sabtu C) Minggu D) Senin")</f>
        <v>A) Jumat B) Sabtu C) Minggu D) Senin</v>
      </c>
      <c r="J145" s="6" t="str">
        <f>IFERROR(__xludf.DUMMYFUNCTION("GOOGLETRANSLATE(D145, ""en"", ""id"")"),"B) Sabtu")</f>
        <v>B) Sabtu</v>
      </c>
      <c r="K145" s="6" t="str">
        <f>IFERROR(__xludf.DUMMYFUNCTION("GOOGLETRANSLATE(E145, ""en"", ""id"")"),"Hari Sabtu dimaksimalkan kehadiran dari luar desa.")</f>
        <v>Hari Sabtu dimaksimalkan kehadiran dari luar desa.</v>
      </c>
    </row>
    <row r="146">
      <c r="A146" s="5">
        <v>145.0</v>
      </c>
      <c r="B146" s="8" t="s">
        <v>793</v>
      </c>
      <c r="C146" s="9" t="s">
        <v>794</v>
      </c>
      <c r="D146" s="8" t="s">
        <v>795</v>
      </c>
      <c r="E146" s="8" t="s">
        <v>796</v>
      </c>
      <c r="G146" s="6" t="str">
        <f>IFERROR(__xludf.DUMMYFUNCTION("GOOGLETRANSLATE(A146, ""en"", ""id"")"),"145")</f>
        <v>145</v>
      </c>
      <c r="H146" s="6" t="str">
        <f>IFERROR(__xludf.DUMMYFUNCTION("GOOGLETRANSLATE(B146, ""en"", ""id"")"),"Pengendalian massa pada masa awal mengambil inspirasi dari:")</f>
        <v>Pengendalian massa pada masa awal mengambil inspirasi dari:</v>
      </c>
      <c r="I146" s="6" t="str">
        <f>IFERROR(__xludf.DUMMYFUNCTION("GOOGLETRANSLATE(C146, ""en"", ""id"")"),"A) Tempat berlabuh perahu B) Antrean bea cukai pelabuhan C) Deretan masjid D) Kandang ternak pasar")</f>
        <v>A) Tempat berlabuh perahu B) Antrean bea cukai pelabuhan C) Deretan masjid D) Kandang ternak pasar</v>
      </c>
      <c r="J146" s="6" t="str">
        <f>IFERROR(__xludf.DUMMYFUNCTION("GOOGLETRANSLATE(D146, ""en"", ""id"")"),"D) Kandang ternak pasar")</f>
        <v>D) Kandang ternak pasar</v>
      </c>
      <c r="K146" s="6" t="str">
        <f>IFERROR(__xludf.DUMMYFUNCTION("GOOGLETRANSLATE(E146, ""en"", ""id"")"),"Garis pena yang familiar mudah disesuaikan dengan lintasan.")</f>
        <v>Garis pena yang familiar mudah disesuaikan dengan lintasan.</v>
      </c>
    </row>
    <row r="147">
      <c r="A147" s="5">
        <v>146.0</v>
      </c>
      <c r="B147" s="8" t="s">
        <v>797</v>
      </c>
      <c r="C147" s="9" t="s">
        <v>798</v>
      </c>
      <c r="D147" s="8" t="s">
        <v>799</v>
      </c>
      <c r="E147" s="8" t="s">
        <v>800</v>
      </c>
      <c r="G147" s="6" t="str">
        <f>IFERROR(__xludf.DUMMYFUNCTION("GOOGLETRANSLATE(A147, ""en"", ""id"")"),"146")</f>
        <v>146</v>
      </c>
      <c r="H147" s="6" t="str">
        <f>IFERROR(__xludf.DUMMYFUNCTION("GOOGLETRANSLATE(B147, ""en"", ""id"")"),"Rahasia pelatih sering kali mencakup:")</f>
        <v>Rahasia pelatih sering kali mencakup:</v>
      </c>
      <c r="I147" s="6" t="str">
        <f>IFERROR(__xludf.DUMMYFUNCTION("GOOGLETRANSLATE(C147, ""en"", ""id"")"),"A) Minyak cengkeh B) Kunyit C) Asam jawa D) Jeruk nipis")</f>
        <v>A) Minyak cengkeh B) Kunyit C) Asam jawa D) Jeruk nipis</v>
      </c>
      <c r="J147" s="6" t="str">
        <f>IFERROR(__xludf.DUMMYFUNCTION("GOOGLETRANSLATE(D147, ""en"", ""id"")"),"A) Minyak cengkeh")</f>
        <v>A) Minyak cengkeh</v>
      </c>
      <c r="K147" s="6" t="str">
        <f>IFERROR(__xludf.DUMMYFUNCTION("GOOGLETRANSLATE(E147, ""en"", ""id"")"),"Minyak penghangat dipercaya dapat mempersiapkan otot.")</f>
        <v>Minyak penghangat dipercaya dapat mempersiapkan otot.</v>
      </c>
    </row>
    <row r="148">
      <c r="A148" s="5">
        <v>147.0</v>
      </c>
      <c r="B148" s="8" t="s">
        <v>801</v>
      </c>
      <c r="C148" s="9" t="s">
        <v>802</v>
      </c>
      <c r="D148" s="8" t="s">
        <v>577</v>
      </c>
      <c r="E148" s="8" t="s">
        <v>803</v>
      </c>
      <c r="G148" s="6" t="str">
        <f>IFERROR(__xludf.DUMMYFUNCTION("GOOGLETRANSLATE(A148, ""en"", ""id"")"),"147")</f>
        <v>147</v>
      </c>
      <c r="H148" s="6" t="str">
        <f>IFERROR(__xludf.DUMMYFUNCTION("GOOGLETRANSLATE(B148, ""en"", ""id"")"),"Metafora perjodohan menggunakan Karapan Sapi untuk menggambarkan:")</f>
        <v>Metafora perjodohan menggunakan Karapan Sapi untuk menggambarkan:</v>
      </c>
      <c r="I148" s="6" t="str">
        <f>IFERROR(__xludf.DUMMYFUNCTION("GOOGLETRANSLATE(C148, ""en"", ""id"")"),"A) Kuk takdir B) Hati yang setara C) Pacaran cepat D) Semua jawaban di atas")</f>
        <v>A) Kuk takdir B) Hati yang setara C) Pacaran cepat D) Semua jawaban di atas</v>
      </c>
      <c r="J148" s="6" t="str">
        <f>IFERROR(__xludf.DUMMYFUNCTION("GOOGLETRANSLATE(D148, ""en"", ""id"")"),"D) Semua jawaban di atas")</f>
        <v>D) Semua jawaban di atas</v>
      </c>
      <c r="K148" s="6" t="str">
        <f>IFERROR(__xludf.DUMMYFUNCTION("GOOGLETRANSLATE(E148, ""en"", ""id"")"),"Citra balap mewarnai percakapan sosial sehari-hari.")</f>
        <v>Citra balap mewarnai percakapan sosial sehari-hari.</v>
      </c>
    </row>
    <row r="149">
      <c r="A149" s="5">
        <v>148.0</v>
      </c>
      <c r="B149" s="8" t="s">
        <v>804</v>
      </c>
      <c r="C149" s="9" t="s">
        <v>805</v>
      </c>
      <c r="D149" s="8" t="s">
        <v>806</v>
      </c>
      <c r="E149" s="8" t="s">
        <v>807</v>
      </c>
      <c r="G149" s="6" t="str">
        <f>IFERROR(__xludf.DUMMYFUNCTION("GOOGLETRANSLATE(A149, ""en"", ""id"")"),"148")</f>
        <v>148</v>
      </c>
      <c r="H149" s="6" t="str">
        <f>IFERROR(__xludf.DUMMYFUNCTION("GOOGLETRANSLATE(B149, ""en"", ""id"")"),"Doa penutup mengucapkan terima kasih kepada:")</f>
        <v>Doa penutup mengucapkan terima kasih kepada:</v>
      </c>
      <c r="I149" s="6" t="str">
        <f>IFERROR(__xludf.DUMMYFUNCTION("GOOGLETRANSLATE(C149, ""en"", ""id"")"),"A) Musisi B) Pedagang C) Tetua D) Pandai besi")</f>
        <v>A) Musisi B) Pedagang C) Tetua D) Pandai besi</v>
      </c>
      <c r="J149" s="6" t="str">
        <f>IFERROR(__xludf.DUMMYFUNCTION("GOOGLETRANSLATE(D149, ""en"", ""id"")"),"C) Para Tetua")</f>
        <v>C) Para Tetua</v>
      </c>
      <c r="K149" s="6" t="str">
        <f>IFERROR(__xludf.DUMMYFUNCTION("GOOGLETRANSLATE(E149, ""en"", ""id"")"),"Kebijaksanaan orang tua membingkai persaingan yang aman.")</f>
        <v>Kebijaksanaan orang tua membingkai persaingan yang aman.</v>
      </c>
    </row>
    <row r="150">
      <c r="A150" s="5">
        <v>149.0</v>
      </c>
      <c r="B150" s="8" t="s">
        <v>808</v>
      </c>
      <c r="C150" s="9" t="s">
        <v>809</v>
      </c>
      <c r="D150" s="8" t="s">
        <v>810</v>
      </c>
      <c r="E150" s="8" t="s">
        <v>811</v>
      </c>
      <c r="G150" s="6" t="str">
        <f>IFERROR(__xludf.DUMMYFUNCTION("GOOGLETRANSLATE(A150, ""en"", ""id"")"),"149")</f>
        <v>149</v>
      </c>
      <c r="H150" s="6" t="str">
        <f>IFERROR(__xludf.DUMMYFUNCTION("GOOGLETRANSLATE(B150, ""en"", ""id"")"),"Protokol ancaman badai memprioritaskan:")</f>
        <v>Protokol ancaman badai memprioritaskan:</v>
      </c>
      <c r="I150" s="6" t="str">
        <f>IFERROR(__xludf.DUMMYFUNCTION("GOOGLETRANSLATE(C150, ""en"", ""id"")"),"A) Semifinal dulu B) Final dulu C) Babak penyisihan pemuda dulu D) Babak penyisihan lokal dulu")</f>
        <v>A) Semifinal dulu B) Final dulu C) Babak penyisihan pemuda dulu D) Babak penyisihan lokal dulu</v>
      </c>
      <c r="J150" s="6" t="str">
        <f>IFERROR(__xludf.DUMMYFUNCTION("GOOGLETRANSLATE(D150, ""en"", ""id"")"),"B) Final dulu")</f>
        <v>B) Final dulu</v>
      </c>
      <c r="K150" s="6" t="str">
        <f>IFERROR(__xludf.DUMMYFUNCTION("GOOGLETRANSLATE(E150, ""en"", ""id"")"),"Memastikan hasil yang menentukan sebelum cuaca menghentikan permainan.")</f>
        <v>Memastikan hasil yang menentukan sebelum cuaca menghentikan permainan.</v>
      </c>
    </row>
    <row r="151">
      <c r="A151" s="5">
        <v>150.0</v>
      </c>
      <c r="B151" s="8" t="s">
        <v>812</v>
      </c>
      <c r="C151" s="9" t="s">
        <v>813</v>
      </c>
      <c r="D151" s="8" t="s">
        <v>814</v>
      </c>
      <c r="E151" s="8" t="s">
        <v>815</v>
      </c>
      <c r="G151" s="6" t="str">
        <f>IFERROR(__xludf.DUMMYFUNCTION("GOOGLETRANSLATE(A151, ""en"", ""id"")"),"150")</f>
        <v>150</v>
      </c>
      <c r="H151" s="6" t="str">
        <f>IFERROR(__xludf.DUMMYFUNCTION("GOOGLETRANSLATE(B151, ""en"", ""id"")"),"Kuk juara yang sudah pensiun mungkin bisa dipertahankan:")</f>
        <v>Kuk juara yang sudah pensiun mungkin bisa dipertahankan:</v>
      </c>
      <c r="I151" s="6" t="str">
        <f>IFERROR(__xludf.DUMMYFUNCTION("GOOGLETRANSLATE(C151, ""en"", ""id"")"),"A) Di pasar B) Di dermaga C) Di serambi aula sholat D) Di bengkel pandai besi")</f>
        <v>A) Di pasar B) Di dermaga C) Di serambi aula sholat D) Di bengkel pandai besi</v>
      </c>
      <c r="J151" s="6" t="str">
        <f>IFERROR(__xludf.DUMMYFUNCTION("GOOGLETRANSLATE(D151, ""en"", ""id"")"),"C) Di serambi aula sholat")</f>
        <v>C) Di serambi aula sholat</v>
      </c>
      <c r="K151" s="6" t="str">
        <f>IFERROR(__xludf.DUMMYFUNCTION("GOOGLETRANSLATE(E151, ""en"", ""id"")"),"Menunjukkan rasa terima kasih dan kebanggaan bersama.")</f>
        <v>Menunjukkan rasa terima kasih dan kebanggaan bersama.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37.63"/>
    <col customWidth="1" min="4" max="4" width="31.88"/>
    <col customWidth="1" min="5" max="5" width="37.63"/>
    <col customWidth="1" min="7" max="7" width="16.88"/>
    <col customWidth="1" min="8" max="9" width="37.63"/>
    <col customWidth="1" min="10" max="10" width="30.25"/>
    <col customWidth="1" min="11" max="11" width="3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</row>
    <row r="2">
      <c r="A2" s="5">
        <v>1.0</v>
      </c>
      <c r="B2" s="5" t="s">
        <v>816</v>
      </c>
      <c r="C2" s="5" t="s">
        <v>817</v>
      </c>
      <c r="D2" s="5" t="s">
        <v>818</v>
      </c>
      <c r="E2" s="5" t="s">
        <v>819</v>
      </c>
      <c r="G2" s="6" t="str">
        <f>IFERROR(__xludf.DUMMYFUNCTION("GOOGLETRANSLATE(A2, ""en"", ""id"")"),"1")</f>
        <v>1</v>
      </c>
      <c r="H2" s="6" t="str">
        <f>IFERROR(__xludf.DUMMYFUNCTION("GOOGLETRANSLATE(B2, ""en"", ""id"")"),"Apa asal usul olahraga Peresean?")</f>
        <v>Apa asal usul olahraga Peresean?</v>
      </c>
      <c r="I2" s="6" t="str">
        <f>IFERROR(__xludf.DUMMYFUNCTION("GOOGLETRANSLATE(C2, ""en"", ""id"")"),"A) Jawa, B) Bali, C) Lombok, D) Sumatera")</f>
        <v>A) Jawa, B) Bali, C) Lombok, D) Sumatera</v>
      </c>
      <c r="J2" s="6" t="str">
        <f>IFERROR(__xludf.DUMMYFUNCTION("GOOGLETRANSLATE(D2, ""en"", ""id"")"),"A) Jawa")</f>
        <v>A) Jawa</v>
      </c>
      <c r="K2" s="6" t="str">
        <f>IFERROR(__xludf.DUMMYFUNCTION("GOOGLETRANSLATE(E2, ""en"", ""id"")"),"Peresean berasal dari pulau Jawa, Indonesia, sebagai seni bela diri tradisional.")</f>
        <v>Peresean berasal dari pulau Jawa, Indonesia, sebagai seni bela diri tradisional.</v>
      </c>
    </row>
    <row r="3">
      <c r="A3" s="5">
        <v>2.0</v>
      </c>
      <c r="B3" s="5" t="s">
        <v>820</v>
      </c>
      <c r="C3" s="5" t="s">
        <v>821</v>
      </c>
      <c r="D3" s="5" t="s">
        <v>822</v>
      </c>
      <c r="E3" s="5" t="s">
        <v>823</v>
      </c>
      <c r="G3" s="6" t="str">
        <f>IFERROR(__xludf.DUMMYFUNCTION("GOOGLETRANSLATE(A3, ""en"", ""id"")"),"2")</f>
        <v>2</v>
      </c>
      <c r="H3" s="6" t="str">
        <f>IFERROR(__xludf.DUMMYFUNCTION("GOOGLETRANSLATE(B3, ""en"", ""id"")"),"Senjata apa yang digunakan dalam Peresean?")</f>
        <v>Senjata apa yang digunakan dalam Peresean?</v>
      </c>
      <c r="I3" s="6" t="str">
        <f>IFERROR(__xludf.DUMMYFUNCTION("GOOGLETRANSLATE(C3, ""en"", ""id"")"),"A) Tongkat bambu, B) Pedang kayu, C) Perisai kulit, D) Batang logam")</f>
        <v>A) Tongkat bambu, B) Pedang kayu, C) Perisai kulit, D) Batang logam</v>
      </c>
      <c r="J3" s="6" t="str">
        <f>IFERROR(__xludf.DUMMYFUNCTION("GOOGLETRANSLATE(D3, ""en"", ""id"")"),"A) Tongkat bambu")</f>
        <v>A) Tongkat bambu</v>
      </c>
      <c r="K3" s="6" t="str">
        <f>IFERROR(__xludf.DUMMYFUNCTION("GOOGLETRANSLATE(E3, ""en"", ""id"")"),"Dalam Peresean, para peserta bertarung menggunakan tongkat bambu.")</f>
        <v>Dalam Peresean, para peserta bertarung menggunakan tongkat bambu.</v>
      </c>
    </row>
    <row r="4">
      <c r="A4" s="5">
        <v>3.0</v>
      </c>
      <c r="B4" s="5" t="s">
        <v>824</v>
      </c>
      <c r="C4" s="5" t="s">
        <v>825</v>
      </c>
      <c r="D4" s="5" t="s">
        <v>826</v>
      </c>
      <c r="E4" s="5" t="s">
        <v>827</v>
      </c>
      <c r="G4" s="6" t="str">
        <f>IFERROR(__xludf.DUMMYFUNCTION("GOOGLETRANSLATE(A4, ""en"", ""id"")"),"3")</f>
        <v>3</v>
      </c>
      <c r="H4" s="6" t="str">
        <f>IFERROR(__xludf.DUMMYFUNCTION("GOOGLETRANSLATE(B4, ""en"", ""id"")"),"Apa tujuan utama Peresean?")</f>
        <v>Apa tujuan utama Peresean?</v>
      </c>
      <c r="I4" s="6" t="str">
        <f>IFERROR(__xludf.DUMMYFUNCTION("GOOGLETRANSLATE(C4, ""en"", ""id"")"),"A) Latihan tempur, B) Hiburan, C) Ritual keagamaan, D) Tugas pertanian")</f>
        <v>A) Latihan tempur, B) Hiburan, C) Ritual keagamaan, D) Tugas pertanian</v>
      </c>
      <c r="J4" s="6" t="str">
        <f>IFERROR(__xludf.DUMMYFUNCTION("GOOGLETRANSLATE(D4, ""en"", ""id"")"),"B) Hiburan")</f>
        <v>B) Hiburan</v>
      </c>
      <c r="K4" s="6" t="str">
        <f>IFERROR(__xludf.DUMMYFUNCTION("GOOGLETRANSLATE(E4, ""en"", ""id"")"),"Peresean pada awalnya merupakan bentuk hiburan dan pertunjukan kekuatan dan ketangkasan.")</f>
        <v>Peresean pada awalnya merupakan bentuk hiburan dan pertunjukan kekuatan dan ketangkasan.</v>
      </c>
    </row>
    <row r="5">
      <c r="A5" s="5">
        <v>4.0</v>
      </c>
      <c r="B5" s="5" t="s">
        <v>828</v>
      </c>
      <c r="C5" s="5" t="s">
        <v>829</v>
      </c>
      <c r="D5" s="5" t="s">
        <v>830</v>
      </c>
      <c r="E5" s="5" t="s">
        <v>831</v>
      </c>
      <c r="G5" s="6" t="str">
        <f>IFERROR(__xludf.DUMMYFUNCTION("GOOGLETRANSLATE(A5, ""en"", ""id"")"),"4")</f>
        <v>4</v>
      </c>
      <c r="H5" s="6" t="str">
        <f>IFERROR(__xludf.DUMMYFUNCTION("GOOGLETRANSLATE(B5, ""en"", ""id"")"),"Daerah manakah di Indonesia yang terkenal dengan kelestarian budaya Peresean?")</f>
        <v>Daerah manakah di Indonesia yang terkenal dengan kelestarian budaya Peresean?</v>
      </c>
      <c r="I5" s="6" t="str">
        <f>IFERROR(__xludf.DUMMYFUNCTION("GOOGLETRANSLATE(C5, ""en"", ""id"")"),"A) Bali, B) Lombok, C) Jawa, D) Sumatera")</f>
        <v>A) Bali, B) Lombok, C) Jawa, D) Sumatera</v>
      </c>
      <c r="J5" s="6" t="str">
        <f>IFERROR(__xludf.DUMMYFUNCTION("GOOGLETRANSLATE(D5, ""en"", ""id"")"),"B) Lombok")</f>
        <v>B) Lombok</v>
      </c>
      <c r="K5" s="6" t="str">
        <f>IFERROR(__xludf.DUMMYFUNCTION("GOOGLETRANSLATE(E5, ""en"", ""id"")"),"Peresean paling terkenal dilestarikan di Lombok, di mana ia merupakan acara tradisional.")</f>
        <v>Peresean paling terkenal dilestarikan di Lombok, di mana ia merupakan acara tradisional.</v>
      </c>
    </row>
    <row r="6">
      <c r="A6" s="5">
        <v>5.0</v>
      </c>
      <c r="B6" s="5" t="s">
        <v>832</v>
      </c>
      <c r="C6" s="5" t="s">
        <v>833</v>
      </c>
      <c r="D6" s="5" t="s">
        <v>834</v>
      </c>
      <c r="E6" s="5" t="s">
        <v>835</v>
      </c>
      <c r="G6" s="6" t="str">
        <f>IFERROR(__xludf.DUMMYFUNCTION("GOOGLETRANSLATE(A6, ""en"", ""id"")"),"5")</f>
        <v>5</v>
      </c>
      <c r="H6" s="6" t="str">
        <f>IFERROR(__xludf.DUMMYFUNCTION("GOOGLETRANSLATE(B6, ""en"", ""id"")"),"Apa yang dikenakan para peserta Peresean?")</f>
        <v>Apa yang dikenakan para peserta Peresean?</v>
      </c>
      <c r="I6" s="6" t="str">
        <f>IFERROR(__xludf.DUMMYFUNCTION("GOOGLETRANSLATE(C6, ""en"", ""id"")"),"A) Baju zirah tradisional, B) Pakaian kasual, C) Sarung, D) Seragam khusus")</f>
        <v>A) Baju zirah tradisional, B) Pakaian kasual, C) Sarung, D) Seragam khusus</v>
      </c>
      <c r="J6" s="6" t="str">
        <f>IFERROR(__xludf.DUMMYFUNCTION("GOOGLETRANSLATE(D6, ""en"", ""id"")"),"C) Sarung")</f>
        <v>C) Sarung</v>
      </c>
      <c r="K6" s="6" t="str">
        <f>IFERROR(__xludf.DUMMYFUNCTION("GOOGLETRANSLATE(E6, ""en"", ""id"")"),"Peserta biasanya mengenakan sarung tradisional saat bertanding dalam Peresean.")</f>
        <v>Peserta biasanya mengenakan sarung tradisional saat bertanding dalam Peresean.</v>
      </c>
    </row>
    <row r="7">
      <c r="A7" s="5">
        <v>6.0</v>
      </c>
      <c r="B7" s="5" t="s">
        <v>836</v>
      </c>
      <c r="C7" s="5" t="s">
        <v>837</v>
      </c>
      <c r="D7" s="5" t="s">
        <v>838</v>
      </c>
      <c r="E7" s="5" t="s">
        <v>839</v>
      </c>
      <c r="G7" s="6" t="str">
        <f>IFERROR(__xludf.DUMMYFUNCTION("GOOGLETRANSLATE(A7, ""en"", ""id"")"),"6")</f>
        <v>6</v>
      </c>
      <c r="H7" s="6" t="str">
        <f>IFERROR(__xludf.DUMMYFUNCTION("GOOGLETRANSLATE(B7, ""en"", ""id"")"),"Apa tujuan utama saat pertandingan Peresean?")</f>
        <v>Apa tujuan utama saat pertandingan Peresean?</v>
      </c>
      <c r="I7" s="6" t="str">
        <f>IFERROR(__xludf.DUMMYFUNCTION("GOOGLETRANSLATE(C7, ""en"", ""id"")"),"A) Untuk menghancurkan senjata lawan, B) Untuk menjatuhkan lawan, C) Untuk mencetak poin terbanyak, D) Untuk menangkap lawan")</f>
        <v>A) Untuk menghancurkan senjata lawan, B) Untuk menjatuhkan lawan, C) Untuk mencetak poin terbanyak, D) Untuk menangkap lawan</v>
      </c>
      <c r="J7" s="6" t="str">
        <f>IFERROR(__xludf.DUMMYFUNCTION("GOOGLETRANSLATE(D7, ""en"", ""id"")"),"B) Untuk menjatuhkan lawan")</f>
        <v>B) Untuk menjatuhkan lawan</v>
      </c>
      <c r="K7" s="6" t="str">
        <f>IFERROR(__xludf.DUMMYFUNCTION("GOOGLETRANSLATE(E7, ""en"", ""id"")"),"Tujuan utama dalam Peresean adalah menjatuhkan lawan menggunakan tongkat bambu.")</f>
        <v>Tujuan utama dalam Peresean adalah menjatuhkan lawan menggunakan tongkat bambu.</v>
      </c>
    </row>
    <row r="8">
      <c r="A8" s="5">
        <v>7.0</v>
      </c>
      <c r="B8" s="5" t="s">
        <v>840</v>
      </c>
      <c r="C8" s="5" t="s">
        <v>841</v>
      </c>
      <c r="D8" s="5" t="s">
        <v>842</v>
      </c>
      <c r="E8" s="5" t="s">
        <v>843</v>
      </c>
      <c r="G8" s="6" t="str">
        <f>IFERROR(__xludf.DUMMYFUNCTION("GOOGLETRANSLATE(A8, ""en"", ""id"")"),"7")</f>
        <v>7</v>
      </c>
      <c r="H8" s="6" t="str">
        <f>IFERROR(__xludf.DUMMYFUNCTION("GOOGLETRANSLATE(B8, ""en"", ""id"")"),"Peristiwa apa saja yang erat kaitannya dengan lomba Peresean?")</f>
        <v>Peristiwa apa saja yang erat kaitannya dengan lomba Peresean?</v>
      </c>
      <c r="I8" s="6" t="str">
        <f>IFERROR(__xludf.DUMMYFUNCTION("GOOGLETRANSLATE(C8, ""en"", ""id"")"),"A) Hari raya pertanian, B) Hari raya keagamaan, C) Hari raya desa, D) Hari libur nasional")</f>
        <v>A) Hari raya pertanian, B) Hari raya keagamaan, C) Hari raya desa, D) Hari libur nasional</v>
      </c>
      <c r="J8" s="6" t="str">
        <f>IFERROR(__xludf.DUMMYFUNCTION("GOOGLETRANSLATE(D8, ""en"", ""id"")"),"C) Perayaan desa")</f>
        <v>C) Perayaan desa</v>
      </c>
      <c r="K8" s="6" t="str">
        <f>IFERROR(__xludf.DUMMYFUNCTION("GOOGLETRANSLATE(E8, ""en"", ""id"")"),"Peresean sering diadakan selama perayaan desa sebagai bagian dari tradisi setempat.")</f>
        <v>Peresean sering diadakan selama perayaan desa sebagai bagian dari tradisi setempat.</v>
      </c>
    </row>
    <row r="9">
      <c r="A9" s="5">
        <v>8.0</v>
      </c>
      <c r="B9" s="5" t="s">
        <v>844</v>
      </c>
      <c r="C9" s="5" t="s">
        <v>845</v>
      </c>
      <c r="D9" s="5" t="s">
        <v>846</v>
      </c>
      <c r="E9" s="5" t="s">
        <v>847</v>
      </c>
      <c r="G9" s="6" t="str">
        <f>IFERROR(__xludf.DUMMYFUNCTION("GOOGLETRANSLATE(A9, ""en"", ""id"")"),"8")</f>
        <v>8</v>
      </c>
      <c r="H9" s="6" t="str">
        <f>IFERROR(__xludf.DUMMYFUNCTION("GOOGLETRANSLATE(B9, ""en"", ""id"")"),"Berapa jumlah pemain yang biasanya ikut dalam pertandingan Peresean?")</f>
        <v>Berapa jumlah pemain yang biasanya ikut dalam pertandingan Peresean?</v>
      </c>
      <c r="I9" s="6" t="str">
        <f>IFERROR(__xludf.DUMMYFUNCTION("GOOGLETRANSLATE(C9, ""en"", ""id"")"),"A) 2, B) 4, C) 6, D) 8")</f>
        <v>A) 2, B) 4, C) 6, D) 8</v>
      </c>
      <c r="J9" s="6" t="str">
        <f>IFERROR(__xludf.DUMMYFUNCTION("GOOGLETRANSLATE(D9, ""en"", ""id"")"),"A) 2")</f>
        <v>A) 2</v>
      </c>
      <c r="K9" s="6" t="str">
        <f>IFERROR(__xludf.DUMMYFUNCTION("GOOGLETRANSLATE(E9, ""en"", ""id"")"),"Peresean biasanya merupakan duel antara dua pemain, masing-masing dengan tongkat bambu.")</f>
        <v>Peresean biasanya merupakan duel antara dua pemain, masing-masing dengan tongkat bambu.</v>
      </c>
    </row>
    <row r="10">
      <c r="A10" s="5">
        <v>9.0</v>
      </c>
      <c r="B10" s="5" t="s">
        <v>848</v>
      </c>
      <c r="C10" s="5" t="s">
        <v>849</v>
      </c>
      <c r="D10" s="5" t="s">
        <v>850</v>
      </c>
      <c r="E10" s="5" t="s">
        <v>851</v>
      </c>
      <c r="G10" s="6" t="str">
        <f>IFERROR(__xludf.DUMMYFUNCTION("GOOGLETRANSLATE(A10, ""en"", ""id"")"),"9")</f>
        <v>9</v>
      </c>
      <c r="H10" s="6" t="str">
        <f>IFERROR(__xludf.DUMMYFUNCTION("GOOGLETRANSLATE(B10, ""en"", ""id"")"),"Apa hadiah tradisional untuk memenangkan pertandingan Peresean?")</f>
        <v>Apa hadiah tradisional untuk memenangkan pertandingan Peresean?</v>
      </c>
      <c r="I10" s="6" t="str">
        <f>IFERROR(__xludf.DUMMYFUNCTION("GOOGLETRANSLATE(C10, ""en"", ""id"")"),"A) Piala, B) Uang, C) Mahkota, D) Kehormatan dan rasa hormat")</f>
        <v>A) Piala, B) Uang, C) Mahkota, D) Kehormatan dan rasa hormat</v>
      </c>
      <c r="J10" s="6" t="str">
        <f>IFERROR(__xludf.DUMMYFUNCTION("GOOGLETRANSLATE(D10, ""en"", ""id"")"),"D) Kehormatan dan rasa hormat")</f>
        <v>D) Kehormatan dan rasa hormat</v>
      </c>
      <c r="K10" s="6" t="str">
        <f>IFERROR(__xludf.DUMMYFUNCTION("GOOGLETRANSLATE(E10, ""en"", ""id"")"),"Hadiah utama bagi pemenangan pertandingan Peresean adalah kehormatan dan rasa hormat masyarakat.")</f>
        <v>Hadiah utama bagi pemenangan pertandingan Peresean adalah kehormatan dan rasa hormat masyarakat.</v>
      </c>
    </row>
    <row r="11">
      <c r="A11" s="5">
        <v>10.0</v>
      </c>
      <c r="B11" s="5" t="s">
        <v>852</v>
      </c>
      <c r="C11" s="5" t="s">
        <v>853</v>
      </c>
      <c r="D11" s="5" t="s">
        <v>854</v>
      </c>
      <c r="E11" s="5" t="s">
        <v>855</v>
      </c>
      <c r="G11" s="6" t="str">
        <f>IFERROR(__xludf.DUMMYFUNCTION("GOOGLETRANSLATE(A11, ""en"", ""id"")"),"10")</f>
        <v>10</v>
      </c>
      <c r="H11" s="6" t="str">
        <f>IFERROR(__xludf.DUMMYFUNCTION("GOOGLETRANSLATE(B11, ""en"", ""id"")"),"Dalam konteks budaya apa Peresean pertama kali muncul?")</f>
        <v>Dalam konteks budaya apa Peresean pertama kali muncul?</v>
      </c>
      <c r="I11" s="6" t="str">
        <f>IFERROR(__xludf.DUMMYFUNCTION("GOOGLETRANSLATE(C11, ""en"", ""id"")"),"A) Istana kerajaan, B) Kehidupan sehari-hari petani, C) Pelatihan militer, D) Ritual keagamaan")</f>
        <v>A) Istana kerajaan, B) Kehidupan sehari-hari petani, C) Pelatihan militer, D) Ritual keagamaan</v>
      </c>
      <c r="J11" s="6" t="str">
        <f>IFERROR(__xludf.DUMMYFUNCTION("GOOGLETRANSLATE(D11, ""en"", ""id"")"),"C) Pelatihan militer")</f>
        <v>C) Pelatihan militer</v>
      </c>
      <c r="K11" s="6" t="str">
        <f>IFERROR(__xludf.DUMMYFUNCTION("GOOGLETRANSLATE(E11, ""en"", ""id"")"),"Peresean diyakini berasal dari bentuk latihan tempur bagi para prajurit.")</f>
        <v>Peresean diyakini berasal dari bentuk latihan tempur bagi para prajurit.</v>
      </c>
    </row>
    <row r="12">
      <c r="A12" s="5">
        <v>11.0</v>
      </c>
      <c r="B12" s="5" t="s">
        <v>856</v>
      </c>
      <c r="C12" s="5" t="s">
        <v>857</v>
      </c>
      <c r="D12" s="5" t="s">
        <v>858</v>
      </c>
      <c r="E12" s="5" t="s">
        <v>859</v>
      </c>
      <c r="G12" s="6" t="str">
        <f>IFERROR(__xludf.DUMMYFUNCTION("GOOGLETRANSLATE(A12, ""en"", ""id"")"),"11")</f>
        <v>11</v>
      </c>
      <c r="H12" s="6" t="str">
        <f>IFERROR(__xludf.DUMMYFUNCTION("GOOGLETRANSLATE(B12, ""en"", ""id"")"),"Apa bentuk Peresean yang paling umum saat ini?")</f>
        <v>Apa bentuk Peresean yang paling umum saat ini?</v>
      </c>
      <c r="I12" s="6" t="str">
        <f>IFERROR(__xludf.DUMMYFUNCTION("GOOGLETRANSLATE(C12, ""en"", ""id"")"),"A) Ritualistik, B) Olahraga kompetitif, C) Hiburan, D) Pelatihan")</f>
        <v>A) Ritualistik, B) Olahraga kompetitif, C) Hiburan, D) Pelatihan</v>
      </c>
      <c r="J12" s="6" t="str">
        <f>IFERROR(__xludf.DUMMYFUNCTION("GOOGLETRANSLATE(D12, ""en"", ""id"")"),"B) Olahraga kompetitif")</f>
        <v>B) Olahraga kompetitif</v>
      </c>
      <c r="K12" s="6" t="str">
        <f>IFERROR(__xludf.DUMMYFUNCTION("GOOGLETRANSLATE(E12, ""en"", ""id"")"),"Saat ini, Peresean terutama dipraktikkan sebagai olahraga kompetitif.")</f>
        <v>Saat ini, Peresean terutama dipraktikkan sebagai olahraga kompetitif.</v>
      </c>
    </row>
    <row r="13">
      <c r="A13" s="5">
        <v>12.0</v>
      </c>
      <c r="B13" s="5" t="s">
        <v>860</v>
      </c>
      <c r="C13" s="5" t="s">
        <v>861</v>
      </c>
      <c r="D13" s="5" t="s">
        <v>862</v>
      </c>
      <c r="E13" s="5" t="s">
        <v>863</v>
      </c>
      <c r="G13" s="6" t="str">
        <f>IFERROR(__xludf.DUMMYFUNCTION("GOOGLETRANSLATE(A13, ""en"", ""id"")"),"12")</f>
        <v>12</v>
      </c>
      <c r="H13" s="6" t="str">
        <f>IFERROR(__xludf.DUMMYFUNCTION("GOOGLETRANSLATE(B13, ""en"", ""id"")"),"Acara adat apa yang sering dipadankan dengan Peresean di Lombok?")</f>
        <v>Acara adat apa yang sering dipadankan dengan Peresean di Lombok?</v>
      </c>
      <c r="I13" s="6" t="str">
        <f>IFERROR(__xludf.DUMMYFUNCTION("GOOGLETRANSLATE(C13, ""en"", ""id"")"),"A) Penanaman padi, B) Festival air, C) Tarian seremonial, D) Persembahan keagamaan")</f>
        <v>A) Penanaman padi, B) Festival air, C) Tarian seremonial, D) Persembahan keagamaan</v>
      </c>
      <c r="J13" s="6" t="str">
        <f>IFERROR(__xludf.DUMMYFUNCTION("GOOGLETRANSLATE(D13, ""en"", ""id"")"),"C) Tarian upacara")</f>
        <v>C) Tarian upacara</v>
      </c>
      <c r="K13" s="6" t="str">
        <f>IFERROR(__xludf.DUMMYFUNCTION("GOOGLETRANSLATE(E13, ""en"", ""id"")"),"Pertandingan peresean sering diiringi dengan tarian upacara pada saat festival di Lombok.")</f>
        <v>Pertandingan peresean sering diiringi dengan tarian upacara pada saat festival di Lombok.</v>
      </c>
    </row>
    <row r="14">
      <c r="A14" s="5">
        <v>13.0</v>
      </c>
      <c r="B14" s="5" t="s">
        <v>864</v>
      </c>
      <c r="C14" s="5" t="s">
        <v>865</v>
      </c>
      <c r="D14" s="5" t="s">
        <v>866</v>
      </c>
      <c r="E14" s="5" t="s">
        <v>867</v>
      </c>
      <c r="G14" s="6" t="str">
        <f>IFERROR(__xludf.DUMMYFUNCTION("GOOGLETRANSLATE(A14, ""en"", ""id"")"),"13")</f>
        <v>13</v>
      </c>
      <c r="H14" s="6" t="str">
        <f>IFERROR(__xludf.DUMMYFUNCTION("GOOGLETRANSLATE(B14, ""en"", ""id"")"),"Apa peran wasit dalam Peresean?")</f>
        <v>Apa peran wasit dalam Peresean?</v>
      </c>
      <c r="I14" s="6" t="str">
        <f>IFERROR(__xludf.DUMMYFUNCTION("GOOGLETRANSLATE(C14, ""en"", ""id"")"),"A) Untuk mengumumkan pemenang, B) Untuk mengendalikan pertarungan, C) Untuk menilai senjata, D) Untuk menyemangati peserta")</f>
        <v>A) Untuk mengumumkan pemenang, B) Untuk mengendalikan pertarungan, C) Untuk menilai senjata, D) Untuk menyemangati peserta</v>
      </c>
      <c r="J14" s="6" t="str">
        <f>IFERROR(__xludf.DUMMYFUNCTION("GOOGLETRANSLATE(D14, ""en"", ""id"")"),"B) Untuk mengendalikan pertempuran")</f>
        <v>B) Untuk mengendalikan pertempuran</v>
      </c>
      <c r="K14" s="6" t="str">
        <f>IFERROR(__xludf.DUMMYFUNCTION("GOOGLETRANSLATE(E14, ""en"", ""id"")"),"Wasit dalam Peresean memastikan permainan adil dan mengontrol jalannya pertarungan.")</f>
        <v>Wasit dalam Peresean memastikan permainan adil dan mengontrol jalannya pertarungan.</v>
      </c>
    </row>
    <row r="15">
      <c r="A15" s="5">
        <v>14.0</v>
      </c>
      <c r="B15" s="5" t="s">
        <v>868</v>
      </c>
      <c r="C15" s="5" t="s">
        <v>869</v>
      </c>
      <c r="D15" s="5" t="s">
        <v>870</v>
      </c>
      <c r="E15" s="5" t="s">
        <v>871</v>
      </c>
      <c r="G15" s="6" t="str">
        <f>IFERROR(__xludf.DUMMYFUNCTION("GOOGLETRANSLATE(A15, ""en"", ""id"")"),"14")</f>
        <v>14</v>
      </c>
      <c r="H15" s="6" t="str">
        <f>IFERROR(__xludf.DUMMYFUNCTION("GOOGLETRANSLATE(B15, ""en"", ""id"")"),"Apa kesalahpahaman umum tentang Peresean?")</f>
        <v>Apa kesalahpahaman umum tentang Peresean?</v>
      </c>
      <c r="I15" s="6" t="str">
        <f>IFERROR(__xludf.DUMMYFUNCTION("GOOGLETRANSLATE(C15, ""en"", ""id"")"),"A) Ini adalah olahraga berdarah, B) Ini adalah bentuk tinju, C) Ini hanya untuk pria, D) Ini ilegal")</f>
        <v>A) Ini adalah olahraga berdarah, B) Ini adalah bentuk tinju, C) Ini hanya untuk pria, D) Ini ilegal</v>
      </c>
      <c r="J15" s="6" t="str">
        <f>IFERROR(__xludf.DUMMYFUNCTION("GOOGLETRANSLATE(D15, ""en"", ""id"")"),"A) Ini adalah olahraga berdarah")</f>
        <v>A) Ini adalah olahraga berdarah</v>
      </c>
      <c r="K15" s="6" t="str">
        <f>IFERROR(__xludf.DUMMYFUNCTION("GOOGLETRANSLATE(E15, ""en"", ""id"")"),"Meskipun Peresean bisa terasa intens, olahraga ini biasanya bukan olahraga berdarah dan mengikuti aturan yang ketat.")</f>
        <v>Meskipun Peresean bisa terasa intens, olahraga ini biasanya bukan olahraga berdarah dan mengikuti aturan yang ketat.</v>
      </c>
    </row>
    <row r="16">
      <c r="A16" s="5">
        <v>15.0</v>
      </c>
      <c r="B16" s="5" t="s">
        <v>872</v>
      </c>
      <c r="C16" s="5" t="s">
        <v>873</v>
      </c>
      <c r="D16" s="5" t="s">
        <v>874</v>
      </c>
      <c r="E16" s="5" t="s">
        <v>875</v>
      </c>
      <c r="G16" s="6" t="str">
        <f>IFERROR(__xludf.DUMMYFUNCTION("GOOGLETRANSLATE(A16, ""en"", ""id"")"),"15")</f>
        <v>15</v>
      </c>
      <c r="H16" s="6" t="str">
        <f>IFERROR(__xludf.DUMMYFUNCTION("GOOGLETRANSLATE(B16, ""en"", ""id"")"),"Pulau manakah yang dikenal sebagai jantung budaya Peresean?")</f>
        <v>Pulau manakah yang dikenal sebagai jantung budaya Peresean?</v>
      </c>
      <c r="I16" s="6" t="str">
        <f>IFERROR(__xludf.DUMMYFUNCTION("GOOGLETRANSLATE(C16, ""en"", ""id"")"),"A) Sumatera, B) Jawa, C) Bali, D) Lombok")</f>
        <v>A) Sumatera, B) Jawa, C) Bali, D) Lombok</v>
      </c>
      <c r="J16" s="6" t="str">
        <f>IFERROR(__xludf.DUMMYFUNCTION("GOOGLETRANSLATE(D16, ""en"", ""id"")"),"D) Lombok")</f>
        <v>D) Lombok</v>
      </c>
      <c r="K16" s="6" t="str">
        <f>IFERROR(__xludf.DUMMYFUNCTION("GOOGLETRANSLATE(E16, ""en"", ""id"")"),"Lombok dikenal sebagai jantung budaya Peresean, tempat seni ini dilestarikan dan dipraktikkan.")</f>
        <v>Lombok dikenal sebagai jantung budaya Peresean, tempat seni ini dilestarikan dan dipraktikkan.</v>
      </c>
    </row>
    <row r="17">
      <c r="A17" s="5">
        <v>16.0</v>
      </c>
      <c r="B17" s="5" t="s">
        <v>876</v>
      </c>
      <c r="C17" s="5" t="s">
        <v>877</v>
      </c>
      <c r="D17" s="5" t="s">
        <v>878</v>
      </c>
      <c r="E17" s="5" t="s">
        <v>879</v>
      </c>
      <c r="G17" s="6" t="str">
        <f>IFERROR(__xludf.DUMMYFUNCTION("GOOGLETRANSLATE(A17, ""en"", ""id"")"),"16")</f>
        <v>16</v>
      </c>
      <c r="H17" s="6" t="str">
        <f>IFERROR(__xludf.DUMMYFUNCTION("GOOGLETRANSLATE(B17, ""en"", ""id"")"),"Dalam Peresean, apa yang dilambangkan oleh tongkat bambu?")</f>
        <v>Dalam Peresean, apa yang dilambangkan oleh tongkat bambu?</v>
      </c>
      <c r="I17" s="6" t="str">
        <f>IFERROR(__xludf.DUMMYFUNCTION("GOOGLETRANSLATE(C17, ""en"", ""id"")"),"A) Kekuatan, B) Kehormatan, C) Keberanian, D) Perlindungan")</f>
        <v>A) Kekuatan, B) Kehormatan, C) Keberanian, D) Perlindungan</v>
      </c>
      <c r="J17" s="6" t="str">
        <f>IFERROR(__xludf.DUMMYFUNCTION("GOOGLETRANSLATE(D17, ""en"", ""id"")"),"A) Kekuatan")</f>
        <v>A) Kekuatan</v>
      </c>
      <c r="K17" s="6" t="str">
        <f>IFERROR(__xludf.DUMMYFUNCTION("GOOGLETRANSLATE(E17, ""en"", ""id"")"),"Tongkat bambu merupakan simbol kekuatan dalam Peresean, memperlihatkan keterampilan para pejuang.")</f>
        <v>Tongkat bambu merupakan simbol kekuatan dalam Peresean, memperlihatkan keterampilan para pejuang.</v>
      </c>
    </row>
    <row r="18">
      <c r="A18" s="5">
        <v>17.0</v>
      </c>
      <c r="B18" s="5" t="s">
        <v>880</v>
      </c>
      <c r="C18" s="5" t="s">
        <v>881</v>
      </c>
      <c r="D18" s="5" t="s">
        <v>882</v>
      </c>
      <c r="E18" s="5" t="s">
        <v>883</v>
      </c>
      <c r="G18" s="6" t="str">
        <f>IFERROR(__xludf.DUMMYFUNCTION("GOOGLETRANSLATE(A18, ""en"", ""id"")"),"17")</f>
        <v>17</v>
      </c>
      <c r="H18" s="6" t="str">
        <f>IFERROR(__xludf.DUMMYFUNCTION("GOOGLETRANSLATE(B18, ""en"", ""id"")"),"Bagaimana cara menentukan pemenang pertandingan Peresean?")</f>
        <v>Bagaimana cara menentukan pemenang pertandingan Peresean?</v>
      </c>
      <c r="I18" s="6" t="str">
        <f>IFERROR(__xludf.DUMMYFUNCTION("GOOGLETRANSLATE(C18, ""en"", ""id"")"),"A) Berdasarkan poin, B) Berdasarkan KO, C) Berdasarkan submission, D) Berdasarkan batas waktu")</f>
        <v>A) Berdasarkan poin, B) Berdasarkan KO, C) Berdasarkan submission, D) Berdasarkan batas waktu</v>
      </c>
      <c r="J18" s="6" t="str">
        <f>IFERROR(__xludf.DUMMYFUNCTION("GOOGLETRANSLATE(D18, ""en"", ""id"")"),"B) Dengan KO")</f>
        <v>B) Dengan KO</v>
      </c>
      <c r="K18" s="6" t="str">
        <f>IFERROR(__xludf.DUMMYFUNCTION("GOOGLETRANSLATE(E18, ""en"", ""id"")"),"Pemenang pertandingan Peresean ditentukan bila salah satu peserta terjatuh atau tidak berdaya.")</f>
        <v>Pemenang pertandingan Peresean ditentukan bila salah satu peserta terjatuh atau tidak berdaya.</v>
      </c>
    </row>
    <row r="19">
      <c r="A19" s="5">
        <v>18.0</v>
      </c>
      <c r="B19" s="5" t="s">
        <v>884</v>
      </c>
      <c r="C19" s="5" t="s">
        <v>885</v>
      </c>
      <c r="D19" s="5" t="s">
        <v>886</v>
      </c>
      <c r="E19" s="5" t="s">
        <v>887</v>
      </c>
      <c r="G19" s="6" t="str">
        <f>IFERROR(__xludf.DUMMYFUNCTION("GOOGLETRANSLATE(A19, ""en"", ""id"")"),"18")</f>
        <v>18</v>
      </c>
      <c r="H19" s="6" t="str">
        <f>IFERROR(__xludf.DUMMYFUNCTION("GOOGLETRANSLATE(B19, ""en"", ""id"")"),"Jenis acara apa yang biasanya menampilkan Peresean?")</f>
        <v>Jenis acara apa yang biasanya menampilkan Peresean?</v>
      </c>
      <c r="I19" s="6" t="str">
        <f>IFERROR(__xludf.DUMMYFUNCTION("GOOGLETRANSLATE(C19, ""en"", ""id"")"),"A) Pernikahan, B) Acara olahraga nasional, C) Festival lokal, D) Turnamen internasional")</f>
        <v>A) Pernikahan, B) Acara olahraga nasional, C) Festival lokal, D) Turnamen internasional</v>
      </c>
      <c r="J19" s="6" t="str">
        <f>IFERROR(__xludf.DUMMYFUNCTION("GOOGLETRANSLATE(D19, ""en"", ""id"")"),"C) Festival lokal")</f>
        <v>C) Festival lokal</v>
      </c>
      <c r="K19" s="6" t="str">
        <f>IFERROR(__xludf.DUMMYFUNCTION("GOOGLETRANSLATE(E19, ""en"", ""id"")"),"Peresean sering ditampilkan selama festival dan perayaan lokal di desa-desa Indonesia.")</f>
        <v>Peresean sering ditampilkan selama festival dan perayaan lokal di desa-desa Indonesia.</v>
      </c>
    </row>
    <row r="20">
      <c r="A20" s="5">
        <v>19.0</v>
      </c>
      <c r="B20" s="5" t="s">
        <v>888</v>
      </c>
      <c r="C20" s="5" t="s">
        <v>889</v>
      </c>
      <c r="D20" s="5" t="s">
        <v>890</v>
      </c>
      <c r="E20" s="5" t="s">
        <v>891</v>
      </c>
      <c r="G20" s="6" t="str">
        <f>IFERROR(__xludf.DUMMYFUNCTION("GOOGLETRANSLATE(A20, ""en"", ""id"")"),"19")</f>
        <v>19</v>
      </c>
      <c r="H20" s="6" t="str">
        <f>IFERROR(__xludf.DUMMYFUNCTION("GOOGLETRANSLATE(B20, ""en"", ""id"")"),"Apa yang menyebabkan popularitas Peresean beberapa tahun terakhir?")</f>
        <v>Apa yang menyebabkan popularitas Peresean beberapa tahun terakhir?</v>
      </c>
      <c r="I20" s="6" t="str">
        <f>IFERROR(__xludf.DUMMYFUNCTION("GOOGLETRANSLATE(C20, ""en"", ""id"")"),"A) Turnamen internasional, B) Liputan media, C) Sponsor pemerintah daerah, D) Globalisasi olahraga")</f>
        <v>A) Turnamen internasional, B) Liputan media, C) Sponsor pemerintah daerah, D) Globalisasi olahraga</v>
      </c>
      <c r="J20" s="6" t="str">
        <f>IFERROR(__xludf.DUMMYFUNCTION("GOOGLETRANSLATE(D20, ""en"", ""id"")"),"B) Liputan media")</f>
        <v>B) Liputan media</v>
      </c>
      <c r="K20" s="6" t="str">
        <f>IFERROR(__xludf.DUMMYFUNCTION("GOOGLETRANSLATE(E20, ""en"", ""id"")"),"Liputan media telah membantu meningkatkan profil Peresean dan menarik lebih banyak perhatian di seluruh dunia.")</f>
        <v>Liputan media telah membantu meningkatkan profil Peresean dan menarik lebih banyak perhatian di seluruh dunia.</v>
      </c>
    </row>
    <row r="21">
      <c r="A21" s="5">
        <v>20.0</v>
      </c>
      <c r="B21" s="5" t="s">
        <v>892</v>
      </c>
      <c r="C21" s="5" t="s">
        <v>893</v>
      </c>
      <c r="D21" s="5" t="s">
        <v>894</v>
      </c>
      <c r="E21" s="5" t="s">
        <v>895</v>
      </c>
      <c r="G21" s="6" t="str">
        <f>IFERROR(__xludf.DUMMYFUNCTION("GOOGLETRANSLATE(A21, ""en"", ""id"")"),"20")</f>
        <v>20</v>
      </c>
      <c r="H21" s="6" t="str">
        <f>IFERROR(__xludf.DUMMYFUNCTION("GOOGLETRANSLATE(B21, ""en"", ""id"")"),"Manakah dari berikut ini merupakan nilai budaya utama yang ditekankan dalam Peresean?")</f>
        <v>Manakah dari berikut ini merupakan nilai budaya utama yang ditekankan dalam Peresean?</v>
      </c>
      <c r="I21" s="6" t="str">
        <f>IFERROR(__xludf.DUMMYFUNCTION("GOOGLETRANSLATE(C21, ""en"", ""id"")"),"A) Menghormati lawan, B) Agresi, C) Kemenangan dengan segala cara, D) Kerja sama tim")</f>
        <v>A) Menghormati lawan, B) Agresi, C) Kemenangan dengan segala cara, D) Kerja sama tim</v>
      </c>
      <c r="J21" s="6" t="str">
        <f>IFERROR(__xludf.DUMMYFUNCTION("GOOGLETRANSLATE(D21, ""en"", ""id"")"),"A) Menghormati lawan")</f>
        <v>A) Menghormati lawan</v>
      </c>
      <c r="K21" s="6" t="str">
        <f>IFERROR(__xludf.DUMMYFUNCTION("GOOGLETRANSLATE(E21, ""en"", ""id"")"),"Peresean sangat menekankan pentingnya menghormati lawan dan menumbuhkan jiwa sportivitas.")</f>
        <v>Peresean sangat menekankan pentingnya menghormati lawan dan menumbuhkan jiwa sportivitas.</v>
      </c>
    </row>
    <row r="22">
      <c r="A22" s="5">
        <v>21.0</v>
      </c>
      <c r="B22" s="5" t="s">
        <v>896</v>
      </c>
      <c r="C22" s="5" t="s">
        <v>897</v>
      </c>
      <c r="D22" s="5" t="s">
        <v>898</v>
      </c>
      <c r="E22" s="5" t="s">
        <v>899</v>
      </c>
      <c r="G22" s="6" t="str">
        <f>IFERROR(__xludf.DUMMYFUNCTION("GOOGLETRANSLATE(A22, ""en"", ""id"")"),"21")</f>
        <v>21</v>
      </c>
      <c r="H22" s="6" t="str">
        <f>IFERROR(__xludf.DUMMYFUNCTION("GOOGLETRANSLATE(B22, ""en"", ""id"")"),"Pada tahun berapa Peresean memperoleh pengakuan lebih luas sebagai olahraga tradisional?")</f>
        <v>Pada tahun berapa Peresean memperoleh pengakuan lebih luas sebagai olahraga tradisional?</v>
      </c>
      <c r="I22" s="6" t="str">
        <f>IFERROR(__xludf.DUMMYFUNCTION("GOOGLETRANSLATE(C22, ""en"", ""id"")"),"A) Tahun 1960, B) Tahun 1970, C) Tahun 1980, D) Tahun 1990")</f>
        <v>A) Tahun 1960, B) Tahun 1970, C) Tahun 1980, D) Tahun 1990</v>
      </c>
      <c r="J22" s="6" t="str">
        <f>IFERROR(__xludf.DUMMYFUNCTION("GOOGLETRANSLATE(D22, ""en"", ""id"")"),"C) Tahun 1980")</f>
        <v>C) Tahun 1980</v>
      </c>
      <c r="K22" s="6" t="str">
        <f>IFERROR(__xludf.DUMMYFUNCTION("GOOGLETRANSLATE(E22, ""en"", ""id"")"),"Peresean memperoleh pengakuan yang lebih luas pada tahun 1980-an seiring dengan upaya yang dilakukan untuk melestarikan dan mempromosikan olahraga tradisional.")</f>
        <v>Peresean memperoleh pengakuan yang lebih luas pada tahun 1980-an seiring dengan upaya yang dilakukan untuk melestarikan dan mempromosikan olahraga tradisional.</v>
      </c>
    </row>
    <row r="23">
      <c r="A23" s="5">
        <v>22.0</v>
      </c>
      <c r="B23" s="5" t="s">
        <v>900</v>
      </c>
      <c r="C23" s="5" t="s">
        <v>901</v>
      </c>
      <c r="D23" s="5" t="s">
        <v>902</v>
      </c>
      <c r="E23" s="5" t="s">
        <v>903</v>
      </c>
      <c r="G23" s="6" t="str">
        <f>IFERROR(__xludf.DUMMYFUNCTION("GOOGLETRANSLATE(A23, ""en"", ""id"")"),"22")</f>
        <v>22</v>
      </c>
      <c r="H23" s="6" t="str">
        <f>IFERROR(__xludf.DUMMYFUNCTION("GOOGLETRANSLATE(B23, ""en"", ""id"")"),"Apa saja yang sering dirayakan bersamaan dengan pertandingan Peresean?")</f>
        <v>Apa saja yang sering dirayakan bersamaan dengan pertandingan Peresean?</v>
      </c>
      <c r="I23" s="6" t="str">
        <f>IFERROR(__xludf.DUMMYFUNCTION("GOOGLETRANSLATE(C23, ""en"", ""id"")"),"A) Musim panen, B) Kemenangan militer, C) Kelahiran seorang raja, D) Perubahan musim")</f>
        <v>A) Musim panen, B) Kemenangan militer, C) Kelahiran seorang raja, D) Perubahan musim</v>
      </c>
      <c r="J23" s="6" t="str">
        <f>IFERROR(__xludf.DUMMYFUNCTION("GOOGLETRANSLATE(D23, ""en"", ""id"")"),"A) Musim panen")</f>
        <v>A) Musim panen</v>
      </c>
      <c r="K23" s="6" t="str">
        <f>IFERROR(__xludf.DUMMYFUNCTION("GOOGLETRANSLATE(E23, ""en"", ""id"")"),"Pertandingan peresean sering diadakan selama musim panen sebagai bagian dari festival pertanian.")</f>
        <v>Pertandingan peresean sering diadakan selama musim panen sebagai bagian dari festival pertanian.</v>
      </c>
    </row>
    <row r="24">
      <c r="A24" s="5">
        <v>23.0</v>
      </c>
      <c r="B24" s="5" t="s">
        <v>904</v>
      </c>
      <c r="C24" s="5" t="s">
        <v>905</v>
      </c>
      <c r="D24" s="5" t="s">
        <v>906</v>
      </c>
      <c r="E24" s="5" t="s">
        <v>907</v>
      </c>
      <c r="G24" s="6" t="str">
        <f>IFERROR(__xludf.DUMMYFUNCTION("GOOGLETRANSLATE(A24, ""en"", ""id"")"),"23")</f>
        <v>23</v>
      </c>
      <c r="H24" s="6" t="str">
        <f>IFERROR(__xludf.DUMMYFUNCTION("GOOGLETRANSLATE(B24, ""en"", ""id"")"),"Apa peran penonton dalam pertandingan Peresean?")</f>
        <v>Apa peran penonton dalam pertandingan Peresean?</v>
      </c>
      <c r="I24" s="6" t="str">
        <f>IFERROR(__xludf.DUMMYFUNCTION("GOOGLETRANSLATE(C24, ""en"", ""id"")"),"A) Tidak ada peran, B) Menyemangati para pesaing, C) Menjadi wasit pertandingan, D) Menilai hasilnya")</f>
        <v>A) Tidak ada peran, B) Menyemangati para pesaing, C) Menjadi wasit pertandingan, D) Menilai hasilnya</v>
      </c>
      <c r="J24" s="6" t="str">
        <f>IFERROR(__xludf.DUMMYFUNCTION("GOOGLETRANSLATE(D24, ""en"", ""id"")"),"B) Memberi semangat pada para pesaing")</f>
        <v>B) Memberi semangat pada para pesaing</v>
      </c>
      <c r="K24" s="6" t="str">
        <f>IFERROR(__xludf.DUMMYFUNCTION("GOOGLETRANSLATE(E24, ""en"", ""id"")"),"Penonton berperan dalam menyemangati dan mendukung para peserta saat pertandingan Peresean.")</f>
        <v>Penonton berperan dalam menyemangati dan mendukung para peserta saat pertandingan Peresean.</v>
      </c>
    </row>
    <row r="25">
      <c r="A25" s="5">
        <v>24.0</v>
      </c>
      <c r="B25" s="5" t="s">
        <v>908</v>
      </c>
      <c r="C25" s="5" t="s">
        <v>909</v>
      </c>
      <c r="D25" s="5" t="s">
        <v>910</v>
      </c>
      <c r="E25" s="5" t="s">
        <v>911</v>
      </c>
      <c r="G25" s="6" t="str">
        <f>IFERROR(__xludf.DUMMYFUNCTION("GOOGLETRANSLATE(A25, ""en"", ""id"")"),"24")</f>
        <v>24</v>
      </c>
      <c r="H25" s="6" t="str">
        <f>IFERROR(__xludf.DUMMYFUNCTION("GOOGLETRANSLATE(B25, ""en"", ""id"")"),"Pada era manakah Peresean paling umum dipraktikkan sebagai seni bela diri?")</f>
        <v>Pada era manakah Peresean paling umum dipraktikkan sebagai seni bela diri?</v>
      </c>
      <c r="I25" s="6" t="str">
        <f>IFERROR(__xludf.DUMMYFUNCTION("GOOGLETRANSLATE(C25, ""en"", ""id"")"),"A) Zaman kuno, B) Zaman kolonial, C) Zaman modern, D) Pasca kemerdekaan")</f>
        <v>A) Zaman kuno, B) Zaman kolonial, C) Zaman modern, D) Pasca kemerdekaan</v>
      </c>
      <c r="J25" s="6" t="str">
        <f>IFERROR(__xludf.DUMMYFUNCTION("GOOGLETRANSLATE(D25, ""en"", ""id"")"),"B) Masa kolonial")</f>
        <v>B) Masa kolonial</v>
      </c>
      <c r="K25" s="6" t="str">
        <f>IFERROR(__xludf.DUMMYFUNCTION("GOOGLETRANSLATE(E25, ""en"", ""id"")"),"Pada masa penjajahan, Peresean dipraktikkan sebagai bentuk seni bela diri dan latihan tempur.")</f>
        <v>Pada masa penjajahan, Peresean dipraktikkan sebagai bentuk seni bela diri dan latihan tempur.</v>
      </c>
    </row>
    <row r="26">
      <c r="A26" s="5">
        <v>25.0</v>
      </c>
      <c r="B26" s="5" t="s">
        <v>912</v>
      </c>
      <c r="C26" s="5" t="s">
        <v>913</v>
      </c>
      <c r="D26" s="5" t="s">
        <v>914</v>
      </c>
      <c r="E26" s="5" t="s">
        <v>915</v>
      </c>
      <c r="G26" s="6" t="str">
        <f>IFERROR(__xludf.DUMMYFUNCTION("GOOGLETRANSLATE(A26, ""en"", ""id"")"),"25")</f>
        <v>25</v>
      </c>
      <c r="H26" s="6" t="str">
        <f>IFERROR(__xludf.DUMMYFUNCTION("GOOGLETRANSLATE(B26, ""en"", ""id"")"),"Bagaimana sikap adat yang dianut dalam Peresean?")</f>
        <v>Bagaimana sikap adat yang dianut dalam Peresean?</v>
      </c>
      <c r="I26" s="6" t="str">
        <f>IFERROR(__xludf.DUMMYFUNCTION("GOOGLETRANSLATE(C26, ""en"", ""id"")"),"A) Sikap bertarung, B) Sikap bertahan, C) Sikap menyerang")</f>
        <v>A) Sikap bertarung, B) Sikap bertahan, C) Sikap menyerang</v>
      </c>
      <c r="J26" s="6" t="str">
        <f>IFERROR(__xludf.DUMMYFUNCTION("GOOGLETRANSLATE(D26, ""en"", ""id"")"),"B) Sikap berjaga")</f>
        <v>B) Sikap berjaga</v>
      </c>
      <c r="K26" s="6" t="str">
        <f>IFERROR(__xludf.DUMMYFUNCTION("GOOGLETRANSLATE(E26, ""en"", ""id"")"),"Sikap berjaga merupakan sikap yang umum dilakukan oleh para petarung Peresean untuk melindungi diri.")</f>
        <v>Sikap berjaga merupakan sikap yang umum dilakukan oleh para petarung Peresean untuk melindungi diri.</v>
      </c>
    </row>
    <row r="27">
      <c r="A27" s="5">
        <v>26.0</v>
      </c>
      <c r="B27" s="5" t="s">
        <v>916</v>
      </c>
      <c r="C27" s="5" t="s">
        <v>917</v>
      </c>
      <c r="D27" s="5" t="s">
        <v>918</v>
      </c>
      <c r="E27" s="5" t="s">
        <v>919</v>
      </c>
      <c r="G27" s="6" t="str">
        <f>IFERROR(__xludf.DUMMYFUNCTION("GOOGLETRANSLATE(A27, ""en"", ""id"")"),"26")</f>
        <v>26</v>
      </c>
      <c r="H27" s="6" t="str">
        <f>IFERROR(__xludf.DUMMYFUNCTION("GOOGLETRANSLATE(B27, ""en"", ""id"")"),"Apa yang menentukan intensitas pertandingan Peresean?")</f>
        <v>Apa yang menentukan intensitas pertandingan Peresean?</v>
      </c>
      <c r="I27" s="6" t="str">
        <f>IFERROR(__xludf.DUMMYFUNCTION("GOOGLETRANSLATE(C27, ""en"", ""id"")"),"A) Jumlah ronde, B) Berat peserta, C) Keterampilan petarung, D) Lokasi")</f>
        <v>A) Jumlah ronde, B) Berat peserta, C) Keterampilan petarung, D) Lokasi</v>
      </c>
      <c r="J27" s="6" t="str">
        <f>IFERROR(__xludf.DUMMYFUNCTION("GOOGLETRANSLATE(D27, ""en"", ""id"")"),"C) Keterampilan para petarung")</f>
        <v>C) Keterampilan para petarung</v>
      </c>
      <c r="K27" s="6" t="str">
        <f>IFERROR(__xludf.DUMMYFUNCTION("GOOGLETRANSLATE(E27, ""en"", ""id"")"),"Intensitas pertandingan Peresean bergantung pada keterampilan dan teknik petarung dalam menggunakan tongkat bambu.")</f>
        <v>Intensitas pertandingan Peresean bergantung pada keterampilan dan teknik petarung dalam menggunakan tongkat bambu.</v>
      </c>
    </row>
    <row r="28">
      <c r="A28" s="5">
        <v>27.0</v>
      </c>
      <c r="B28" s="5" t="s">
        <v>920</v>
      </c>
      <c r="C28" s="5" t="s">
        <v>921</v>
      </c>
      <c r="D28" s="5" t="s">
        <v>922</v>
      </c>
      <c r="E28" s="5" t="s">
        <v>923</v>
      </c>
      <c r="G28" s="6" t="str">
        <f>IFERROR(__xludf.DUMMYFUNCTION("GOOGLETRANSLATE(A28, ""en"", ""id"")"),"27")</f>
        <v>27</v>
      </c>
      <c r="H28" s="6" t="str">
        <f>IFERROR(__xludf.DUMMYFUNCTION("GOOGLETRANSLATE(B28, ""en"", ""id"")"),"Manakah dari pernyataan berikut yang paling menggambarkan status Peresean saat ini?")</f>
        <v>Manakah dari pernyataan berikut yang paling menggambarkan status Peresean saat ini?</v>
      </c>
      <c r="I28" s="6" t="str">
        <f>IFERROR(__xludf.DUMMYFUNCTION("GOOGLETRANSLATE(C28, ""en"", ""id"")"),"A) Tradisi yang sekarat, B) Olahraga nasional, C) Praktik budaya yang terancam punah, D) Olahraga internasional yang populer")</f>
        <v>A) Tradisi yang sekarat, B) Olahraga nasional, C) Praktik budaya yang terancam punah, D) Olahraga internasional yang populer</v>
      </c>
      <c r="J28" s="6" t="str">
        <f>IFERROR(__xludf.DUMMYFUNCTION("GOOGLETRANSLATE(D28, ""en"", ""id"")"),"B) Olahraga nasional")</f>
        <v>B) Olahraga nasional</v>
      </c>
      <c r="K28" s="6" t="str">
        <f>IFERROR(__xludf.DUMMYFUNCTION("GOOGLETRANSLATE(E28, ""en"", ""id"")"),"Peresean sekarang diakui sebagai olahraga nasional dan dirayakan di berbagai wilayah Indonesia.")</f>
        <v>Peresean sekarang diakui sebagai olahraga nasional dan dirayakan di berbagai wilayah Indonesia.</v>
      </c>
    </row>
    <row r="29">
      <c r="A29" s="5">
        <v>28.0</v>
      </c>
      <c r="B29" s="5" t="s">
        <v>924</v>
      </c>
      <c r="C29" s="5" t="s">
        <v>925</v>
      </c>
      <c r="D29" s="5" t="s">
        <v>926</v>
      </c>
      <c r="E29" s="5" t="s">
        <v>927</v>
      </c>
      <c r="G29" s="6" t="str">
        <f>IFERROR(__xludf.DUMMYFUNCTION("GOOGLETRANSLATE(A29, ""en"", ""id"")"),"28")</f>
        <v>28</v>
      </c>
      <c r="H29" s="6" t="str">
        <f>IFERROR(__xludf.DUMMYFUNCTION("GOOGLETRANSLATE(B29, ""en"", ""id"")"),"Peresean diyakini berasal dari abad keberapa?")</f>
        <v>Peresean diyakini berasal dari abad keberapa?</v>
      </c>
      <c r="I29" s="6" t="str">
        <f>IFERROR(__xludf.DUMMYFUNCTION("GOOGLETRANSLATE(C29, ""en"", ""id"")"),"A) Abad ke-13, B) Abad ke-14, C) Abad ke-15, D) Abad ke-16")</f>
        <v>A) Abad ke-13, B) Abad ke-14, C) Abad ke-15, D) Abad ke-16</v>
      </c>
      <c r="J29" s="6" t="str">
        <f>IFERROR(__xludf.DUMMYFUNCTION("GOOGLETRANSLATE(D29, ""en"", ""id"")"),"B) Abad ke-14")</f>
        <v>B) Abad ke-14</v>
      </c>
      <c r="K29" s="6" t="str">
        <f>IFERROR(__xludf.DUMMYFUNCTION("GOOGLETRANSLATE(E29, ""en"", ""id"")"),"Peresean diyakini berasal dari abad ke-14 pada masa pemerintahan Kerajaan Majapahit.")</f>
        <v>Peresean diyakini berasal dari abad ke-14 pada masa pemerintahan Kerajaan Majapahit.</v>
      </c>
    </row>
    <row r="30">
      <c r="A30" s="5">
        <v>29.0</v>
      </c>
      <c r="B30" s="5" t="s">
        <v>928</v>
      </c>
      <c r="C30" s="5" t="s">
        <v>929</v>
      </c>
      <c r="D30" s="5" t="s">
        <v>930</v>
      </c>
      <c r="E30" s="5" t="s">
        <v>931</v>
      </c>
      <c r="G30" s="6" t="str">
        <f>IFERROR(__xludf.DUMMYFUNCTION("GOOGLETRANSLATE(A30, ""en"", ""id"")"),"29")</f>
        <v>29</v>
      </c>
      <c r="H30" s="6" t="str">
        <f>IFERROR(__xludf.DUMMYFUNCTION("GOOGLETRANSLATE(B30, ""en"", ""id"")"),"Apa makna budaya Peresean di Lombok?")</f>
        <v>Apa makna budaya Peresean di Lombok?</v>
      </c>
      <c r="I30" s="6" t="str">
        <f>IFERROR(__xludf.DUMMYFUNCTION("GOOGLETRANSLATE(C30, ""en"", ""id"")"),"A) Suatu bentuk pertarungan, B) Suatu pertunjukan kekuatan fisik, C) Suatu simbol persatuan masyarakat, D) Suatu ritual spiritual")</f>
        <v>A) Suatu bentuk pertarungan, B) Suatu pertunjukan kekuatan fisik, C) Suatu simbol persatuan masyarakat, D) Suatu ritual spiritual</v>
      </c>
      <c r="J30" s="6" t="str">
        <f>IFERROR(__xludf.DUMMYFUNCTION("GOOGLETRANSLATE(D30, ""en"", ""id"")"),"C) Simbol persatuan masyarakat")</f>
        <v>C) Simbol persatuan masyarakat</v>
      </c>
      <c r="K30" s="6" t="str">
        <f>IFERROR(__xludf.DUMMYFUNCTION("GOOGLETRANSLATE(E30, ""en"", ""id"")"),"Di Lombok, Peresean merupakan simbol persatuan masyarakat dan bentuk perayaan tradisional.")</f>
        <v>Di Lombok, Peresean merupakan simbol persatuan masyarakat dan bentuk perayaan tradisional.</v>
      </c>
    </row>
    <row r="31">
      <c r="A31" s="5">
        <v>30.0</v>
      </c>
      <c r="B31" s="5" t="s">
        <v>932</v>
      </c>
      <c r="C31" s="5" t="s">
        <v>933</v>
      </c>
      <c r="D31" s="5" t="s">
        <v>874</v>
      </c>
      <c r="E31" s="5" t="s">
        <v>934</v>
      </c>
      <c r="G31" s="6" t="str">
        <f>IFERROR(__xludf.DUMMYFUNCTION("GOOGLETRANSLATE(A31, ""en"", ""id"")"),"30")</f>
        <v>30</v>
      </c>
      <c r="H31" s="6" t="str">
        <f>IFERROR(__xludf.DUMMYFUNCTION("GOOGLETRANSLATE(B31, ""en"", ""id"")"),"Pulau Indonesia manakah yang paling erat kaitannya dengan asal usul Peresean?")</f>
        <v>Pulau Indonesia manakah yang paling erat kaitannya dengan asal usul Peresean?</v>
      </c>
      <c r="I31" s="6" t="str">
        <f>IFERROR(__xludf.DUMMYFUNCTION("GOOGLETRANSLATE(C31, ""en"", ""id"")"),"A) Bali, B) Jawa, C) Sumatera, D) Lombok")</f>
        <v>A) Bali, B) Jawa, C) Sumatera, D) Lombok</v>
      </c>
      <c r="J31" s="6" t="str">
        <f>IFERROR(__xludf.DUMMYFUNCTION("GOOGLETRANSLATE(D31, ""en"", ""id"")"),"D) Lombok")</f>
        <v>D) Lombok</v>
      </c>
      <c r="K31" s="6" t="str">
        <f>IFERROR(__xludf.DUMMYFUNCTION("GOOGLETRANSLATE(E31, ""en"", ""id"")"),"Lombok dianggap sebagai tempat lahirnya Peresean, tempat di mana seni ini paling populer dan dipraktikkan secara luas.")</f>
        <v>Lombok dianggap sebagai tempat lahirnya Peresean, tempat di mana seni ini paling populer dan dipraktikkan secara luas.</v>
      </c>
    </row>
    <row r="32">
      <c r="A32" s="5">
        <v>31.0</v>
      </c>
      <c r="B32" s="5" t="s">
        <v>935</v>
      </c>
      <c r="C32" s="5" t="s">
        <v>936</v>
      </c>
      <c r="D32" s="5" t="s">
        <v>882</v>
      </c>
      <c r="E32" s="5" t="s">
        <v>937</v>
      </c>
      <c r="G32" s="6" t="str">
        <f>IFERROR(__xludf.DUMMYFUNCTION("GOOGLETRANSLATE(A32, ""en"", ""id"")"),"31")</f>
        <v>31</v>
      </c>
      <c r="H32" s="6" t="str">
        <f>IFERROR(__xludf.DUMMYFUNCTION("GOOGLETRANSLATE(B32, ""en"", ""id"")"),"Dalam Peresean, bagaimana biasanya pemenangnya ditentukan?")</f>
        <v>Dalam Peresean, bagaimana biasanya pemenangnya ditentukan?</v>
      </c>
      <c r="I32" s="6" t="str">
        <f>IFERROR(__xludf.DUMMYFUNCTION("GOOGLETRANSLATE(C32, ""en"", ""id"")"),"A) Dengan submission, B) Dengan knock out, C) Dengan poin, D) Dengan vote penonton")</f>
        <v>A) Dengan submission, B) Dengan knock out, C) Dengan poin, D) Dengan vote penonton</v>
      </c>
      <c r="J32" s="6" t="str">
        <f>IFERROR(__xludf.DUMMYFUNCTION("GOOGLETRANSLATE(D32, ""en"", ""id"")"),"B) Dengan KO")</f>
        <v>B) Dengan KO</v>
      </c>
      <c r="K32" s="6" t="str">
        <f>IFERROR(__xludf.DUMMYFUNCTION("GOOGLETRANSLATE(E32, ""en"", ""id"")"),"Pemenang pertandingan Peresean ditentukan bila salah satu lawan terjatuh atau tak berdaya.")</f>
        <v>Pemenang pertandingan Peresean ditentukan bila salah satu lawan terjatuh atau tak berdaya.</v>
      </c>
    </row>
    <row r="33">
      <c r="A33" s="5">
        <v>32.0</v>
      </c>
      <c r="B33" s="5" t="s">
        <v>938</v>
      </c>
      <c r="C33" s="5" t="s">
        <v>939</v>
      </c>
      <c r="D33" s="5" t="s">
        <v>940</v>
      </c>
      <c r="E33" s="5" t="s">
        <v>941</v>
      </c>
      <c r="G33" s="6" t="str">
        <f>IFERROR(__xludf.DUMMYFUNCTION("GOOGLETRANSLATE(A33, ""en"", ""id"")"),"32")</f>
        <v>32</v>
      </c>
      <c r="H33" s="6" t="str">
        <f>IFERROR(__xludf.DUMMYFUNCTION("GOOGLETRANSLATE(B33, ""en"", ""id"")"),"Jenis tongkat apa yang secara tradisional digunakan dalam Peresean?")</f>
        <v>Jenis tongkat apa yang secara tradisional digunakan dalam Peresean?</v>
      </c>
      <c r="I33" s="6" t="str">
        <f>IFERROR(__xludf.DUMMYFUNCTION("GOOGLETRANSLATE(C33, ""en"", ""id"")"),"A) Bambu, B) Kayu, C) Logam, D) Plastik")</f>
        <v>A) Bambu, B) Kayu, C) Logam, D) Plastik</v>
      </c>
      <c r="J33" s="6" t="str">
        <f>IFERROR(__xludf.DUMMYFUNCTION("GOOGLETRANSLATE(D33, ""en"", ""id"")"),"A) Bambu")</f>
        <v>A) Bambu</v>
      </c>
      <c r="K33" s="6" t="str">
        <f>IFERROR(__xludf.DUMMYFUNCTION("GOOGLETRANSLATE(E33, ""en"", ""id"")"),"Tongkat bambu secara tradisional digunakan dalam Peresean, melambangkan kekuatan dan kelincahan.")</f>
        <v>Tongkat bambu secara tradisional digunakan dalam Peresean, melambangkan kekuatan dan kelincahan.</v>
      </c>
    </row>
    <row r="34">
      <c r="A34" s="5">
        <v>33.0</v>
      </c>
      <c r="B34" s="5" t="s">
        <v>942</v>
      </c>
      <c r="C34" s="5" t="s">
        <v>943</v>
      </c>
      <c r="D34" s="5" t="s">
        <v>944</v>
      </c>
      <c r="E34" s="5" t="s">
        <v>945</v>
      </c>
      <c r="G34" s="6" t="str">
        <f>IFERROR(__xludf.DUMMYFUNCTION("GOOGLETRANSLATE(A34, ""en"", ""id"")"),"33")</f>
        <v>33</v>
      </c>
      <c r="H34" s="6" t="str">
        <f>IFERROR(__xludf.DUMMYFUNCTION("GOOGLETRANSLATE(B34, ""en"", ""id"")"),"Sikap apa yang umum digunakan dalam Peresean?")</f>
        <v>Sikap apa yang umum digunakan dalam Peresean?</v>
      </c>
      <c r="I34" s="6" t="str">
        <f>IFERROR(__xludf.DUMMYFUNCTION("GOOGLETRANSLATE(C34, ""en"", ""id"")"),"A) Sikap menyerang, B) Sikap bertahan, C) Sikap bertahan, D) Sikap netral")</f>
        <v>A) Sikap menyerang, B) Sikap bertahan, C) Sikap bertahan, D) Sikap netral</v>
      </c>
      <c r="J34" s="6" t="str">
        <f>IFERROR(__xludf.DUMMYFUNCTION("GOOGLETRANSLATE(D34, ""en"", ""id"")"),"C) Sikap berjaga")</f>
        <v>C) Sikap berjaga</v>
      </c>
      <c r="K34" s="6" t="str">
        <f>IFERROR(__xludf.DUMMYFUNCTION("GOOGLETRANSLATE(E34, ""en"", ""id"")"),"Sikap bertahan lazim digunakan dalam Peresean untuk melindungi petarung dari serangan sekaligus mempertahankan posisi bertahan.")</f>
        <v>Sikap bertahan lazim digunakan dalam Peresean untuk melindungi petarung dari serangan sekaligus mempertahankan posisi bertahan.</v>
      </c>
    </row>
    <row r="35">
      <c r="A35" s="5">
        <v>34.0</v>
      </c>
      <c r="B35" s="5" t="s">
        <v>946</v>
      </c>
      <c r="C35" s="5" t="s">
        <v>947</v>
      </c>
      <c r="D35" s="5" t="s">
        <v>948</v>
      </c>
      <c r="E35" s="5" t="s">
        <v>949</v>
      </c>
      <c r="G35" s="6" t="str">
        <f>IFERROR(__xludf.DUMMYFUNCTION("GOOGLETRANSLATE(A35, ""en"", ""id"")"),"34")</f>
        <v>34</v>
      </c>
      <c r="H35" s="6" t="str">
        <f>IFERROR(__xludf.DUMMYFUNCTION("GOOGLETRANSLATE(B35, ""en"", ""id"")"),"Manakah dari berikut ini yang merupakan acara adat di mana Peresean ditampilkan?")</f>
        <v>Manakah dari berikut ini yang merupakan acara adat di mana Peresean ditampilkan?</v>
      </c>
      <c r="I35" s="6" t="str">
        <f>IFERROR(__xludf.DUMMYFUNCTION("GOOGLETRANSLATE(C35, ""en"", ""id"")"),"A) Hari Kemerdekaan Nasional, B) Festival panen lokal, C) Upacara pernikahan, D) Pameran budaya")</f>
        <v>A) Hari Kemerdekaan Nasional, B) Festival panen lokal, C) Upacara pernikahan, D) Pameran budaya</v>
      </c>
      <c r="J35" s="6" t="str">
        <f>IFERROR(__xludf.DUMMYFUNCTION("GOOGLETRANSLATE(D35, ""en"", ""id"")"),"B) Festival panen lokal")</f>
        <v>B) Festival panen lokal</v>
      </c>
      <c r="K35" s="6" t="str">
        <f>IFERROR(__xludf.DUMMYFUNCTION("GOOGLETRANSLATE(E35, ""en"", ""id"")"),"Peresean kerap ditampilkan selama festival panen setempat, merayakan budaya pertanian Lombok.")</f>
        <v>Peresean kerap ditampilkan selama festival panen setempat, merayakan budaya pertanian Lombok.</v>
      </c>
    </row>
    <row r="36">
      <c r="A36" s="5">
        <v>35.0</v>
      </c>
      <c r="B36" s="5" t="s">
        <v>950</v>
      </c>
      <c r="C36" s="5" t="s">
        <v>951</v>
      </c>
      <c r="D36" s="5" t="s">
        <v>952</v>
      </c>
      <c r="E36" s="5" t="s">
        <v>953</v>
      </c>
      <c r="G36" s="6" t="str">
        <f>IFERROR(__xludf.DUMMYFUNCTION("GOOGLETRANSLATE(A36, ""en"", ""id"")"),"35")</f>
        <v>35</v>
      </c>
      <c r="H36" s="6" t="str">
        <f>IFERROR(__xludf.DUMMYFUNCTION("GOOGLETRANSLATE(B36, ""en"", ""id"")"),"Aspek manakah berikut ini yang membuat Peresean berbeda dari seni beladiri lainnya?")</f>
        <v>Aspek manakah berikut ini yang membuat Peresean berbeda dari seni beladiri lainnya?</v>
      </c>
      <c r="I36" s="6" t="str">
        <f>IFERROR(__xludf.DUMMYFUNCTION("GOOGLETRANSLATE(C36, ""en"", ""id"")"),"A) Penggunaan senjata, B) Fokus pada pertahanan, C) Adat istiadat daerah tertentu, D) Unsur ritualistik")</f>
        <v>A) Penggunaan senjata, B) Fokus pada pertahanan, C) Adat istiadat daerah tertentu, D) Unsur ritualistik</v>
      </c>
      <c r="J36" s="6" t="str">
        <f>IFERROR(__xludf.DUMMYFUNCTION("GOOGLETRANSLATE(D36, ""en"", ""id"")"),"C) Adat istiadat daerah tertentu")</f>
        <v>C) Adat istiadat daerah tertentu</v>
      </c>
      <c r="K36" s="6" t="str">
        <f>IFERROR(__xludf.DUMMYFUNCTION("GOOGLETRANSLATE(E36, ""en"", ""id"")"),"Peresean berbeda karena adat istiadat daerahnya yang spesifik, berakar kuat pada identitas budaya Lombok.")</f>
        <v>Peresean berbeda karena adat istiadat daerahnya yang spesifik, berakar kuat pada identitas budaya Lombok.</v>
      </c>
    </row>
    <row r="37">
      <c r="A37" s="5">
        <v>36.0</v>
      </c>
      <c r="B37" s="5" t="s">
        <v>954</v>
      </c>
      <c r="C37" s="5" t="s">
        <v>955</v>
      </c>
      <c r="D37" s="5" t="s">
        <v>956</v>
      </c>
      <c r="E37" s="5" t="s">
        <v>957</v>
      </c>
      <c r="G37" s="6" t="str">
        <f>IFERROR(__xludf.DUMMYFUNCTION("GOOGLETRANSLATE(A37, ""en"", ""id"")"),"36")</f>
        <v>36</v>
      </c>
      <c r="H37" s="6" t="str">
        <f>IFERROR(__xludf.DUMMYFUNCTION("GOOGLETRANSLATE(B37, ""en"", ""id"")"),"Apa salah satu manfaat fisik utama dari berlatih Peresean?")</f>
        <v>Apa salah satu manfaat fisik utama dari berlatih Peresean?</v>
      </c>
      <c r="I37" s="6" t="str">
        <f>IFERROR(__xludf.DUMMYFUNCTION("GOOGLETRANSLATE(C37, ""en"", ""id"")"),"A) Fleksibilitas, B) Daya Tahan, C) Kekuatan, D) Kelincahan")</f>
        <v>A) Fleksibilitas, B) Daya Tahan, C) Kekuatan, D) Kelincahan</v>
      </c>
      <c r="J37" s="6" t="str">
        <f>IFERROR(__xludf.DUMMYFUNCTION("GOOGLETRANSLATE(D37, ""en"", ""id"")"),"C) Kekuatan")</f>
        <v>C) Kekuatan</v>
      </c>
      <c r="K37" s="6" t="str">
        <f>IFERROR(__xludf.DUMMYFUNCTION("GOOGLETRANSLATE(E37, ""en"", ""id"")"),"Berlatih Peresean membantu membangun kekuatan, terutama di lengan dan tubuh bagian atas, melalui penggunaan tongkat bambu.")</f>
        <v>Berlatih Peresean membantu membangun kekuatan, terutama di lengan dan tubuh bagian atas, melalui penggunaan tongkat bambu.</v>
      </c>
    </row>
    <row r="38">
      <c r="A38" s="5">
        <v>37.0</v>
      </c>
      <c r="B38" s="5" t="s">
        <v>958</v>
      </c>
      <c r="C38" s="5" t="s">
        <v>959</v>
      </c>
      <c r="D38" s="5" t="s">
        <v>960</v>
      </c>
      <c r="E38" s="5" t="s">
        <v>961</v>
      </c>
      <c r="G38" s="6" t="str">
        <f>IFERROR(__xludf.DUMMYFUNCTION("GOOGLETRANSLATE(A38, ""en"", ""id"")"),"37")</f>
        <v>37</v>
      </c>
      <c r="H38" s="6" t="str">
        <f>IFERROR(__xludf.DUMMYFUNCTION("GOOGLETRANSLATE(B38, ""en"", ""id"")"),"Pakaian adat apa yang biasa dikenakan saat pertandingan Peresean?")</f>
        <v>Pakaian adat apa yang biasa dikenakan saat pertandingan Peresean?</v>
      </c>
      <c r="I38" s="6" t="str">
        <f>IFERROR(__xludf.DUMMYFUNCTION("GOOGLETRANSLATE(C38, ""en"", ""id"")"),"A) Sarung, B) Baju Zirah, C) Pakaian Nasional, D) Seragam Tempur")</f>
        <v>A) Sarung, B) Baju Zirah, C) Pakaian Nasional, D) Seragam Tempur</v>
      </c>
      <c r="J38" s="6" t="str">
        <f>IFERROR(__xludf.DUMMYFUNCTION("GOOGLETRANSLATE(D38, ""en"", ""id"")"),"A) Sarung")</f>
        <v>A) Sarung</v>
      </c>
      <c r="K38" s="6" t="str">
        <f>IFERROR(__xludf.DUMMYFUNCTION("GOOGLETRANSLATE(E38, ""en"", ""id"")"),"Peserta Peresean secara tradisional mengenakan sarung, sejenis kain yang dililitkan di pinggang.")</f>
        <v>Peserta Peresean secara tradisional mengenakan sarung, sejenis kain yang dililitkan di pinggang.</v>
      </c>
    </row>
    <row r="39">
      <c r="A39" s="5">
        <v>38.0</v>
      </c>
      <c r="B39" s="5" t="s">
        <v>962</v>
      </c>
      <c r="C39" s="5" t="s">
        <v>817</v>
      </c>
      <c r="D39" s="5" t="s">
        <v>963</v>
      </c>
      <c r="E39" s="5" t="s">
        <v>964</v>
      </c>
      <c r="G39" s="6" t="str">
        <f>IFERROR(__xludf.DUMMYFUNCTION("GOOGLETRANSLATE(A39, ""en"", ""id"")"),"38")</f>
        <v>38</v>
      </c>
      <c r="H39" s="6" t="str">
        <f>IFERROR(__xludf.DUMMYFUNCTION("GOOGLETRANSLATE(B39, ""en"", ""id"")"),"Di daerah mana di Indonesia Peresean dianggap sebagai olahraga tradisional?")</f>
        <v>Di daerah mana di Indonesia Peresean dianggap sebagai olahraga tradisional?</v>
      </c>
      <c r="I39" s="6" t="str">
        <f>IFERROR(__xludf.DUMMYFUNCTION("GOOGLETRANSLATE(C39, ""en"", ""id"")"),"A) Jawa, B) Bali, C) Lombok, D) Sumatera")</f>
        <v>A) Jawa, B) Bali, C) Lombok, D) Sumatera</v>
      </c>
      <c r="J39" s="6" t="str">
        <f>IFERROR(__xludf.DUMMYFUNCTION("GOOGLETRANSLATE(D39, ""en"", ""id"")"),"C) Lombok")</f>
        <v>C) Lombok</v>
      </c>
      <c r="K39" s="6" t="str">
        <f>IFERROR(__xludf.DUMMYFUNCTION("GOOGLETRANSLATE(E39, ""en"", ""id"")"),"Peresean dianggap sebagai olahraga tradisional di Lombok, yang dipraktikkan dan dilestarikan di masyarakat setempat.")</f>
        <v>Peresean dianggap sebagai olahraga tradisional di Lombok, yang dipraktikkan dan dilestarikan di masyarakat setempat.</v>
      </c>
    </row>
    <row r="40">
      <c r="A40" s="5">
        <v>39.0</v>
      </c>
      <c r="B40" s="5" t="s">
        <v>965</v>
      </c>
      <c r="C40" s="5" t="s">
        <v>966</v>
      </c>
      <c r="D40" s="5" t="s">
        <v>967</v>
      </c>
      <c r="E40" s="5" t="s">
        <v>968</v>
      </c>
      <c r="G40" s="6" t="str">
        <f>IFERROR(__xludf.DUMMYFUNCTION("GOOGLETRANSLATE(A40, ""en"", ""id"")"),"39")</f>
        <v>39</v>
      </c>
      <c r="H40" s="6" t="str">
        <f>IFERROR(__xludf.DUMMYFUNCTION("GOOGLETRANSLATE(B40, ""en"", ""id"")"),"Apa peran wasit dalam pertandingan Peresean?")</f>
        <v>Apa peran wasit dalam pertandingan Peresean?</v>
      </c>
      <c r="I40" s="6" t="str">
        <f>IFERROR(__xludf.DUMMYFUNCTION("GOOGLETRANSLATE(C40, ""en"", ""id"")"),"A) Untuk menilai pemenang, B) Untuk mengendalikan kecepatan pertandingan, C) Untuk menegakkan aturan dan keselamatan, D) Untuk menyemangati peserta")</f>
        <v>A) Untuk menilai pemenang, B) Untuk mengendalikan kecepatan pertandingan, C) Untuk menegakkan aturan dan keselamatan, D) Untuk menyemangati peserta</v>
      </c>
      <c r="J40" s="6" t="str">
        <f>IFERROR(__xludf.DUMMYFUNCTION("GOOGLETRANSLATE(D40, ""en"", ""id"")"),"C) Untuk menegakkan peraturan dan keselamatan")</f>
        <v>C) Untuk menegakkan peraturan dan keselamatan</v>
      </c>
      <c r="K40" s="6" t="str">
        <f>IFERROR(__xludf.DUMMYFUNCTION("GOOGLETRANSLATE(E40, ""en"", ""id"")"),"Peran wasit adalah untuk memastikan peraturan dipatuhi dan keselamatan terjaga selama pertandingan.")</f>
        <v>Peran wasit adalah untuk memastikan peraturan dipatuhi dan keselamatan terjaga selama pertandingan.</v>
      </c>
    </row>
    <row r="41">
      <c r="A41" s="5">
        <v>40.0</v>
      </c>
      <c r="B41" s="5" t="s">
        <v>969</v>
      </c>
      <c r="C41" s="5" t="s">
        <v>970</v>
      </c>
      <c r="D41" s="5" t="s">
        <v>971</v>
      </c>
      <c r="E41" s="5" t="s">
        <v>972</v>
      </c>
      <c r="G41" s="6" t="str">
        <f>IFERROR(__xludf.DUMMYFUNCTION("GOOGLETRANSLATE(A41, ""en"", ""id"")"),"40")</f>
        <v>40</v>
      </c>
      <c r="H41" s="6" t="str">
        <f>IFERROR(__xludf.DUMMYFUNCTION("GOOGLETRANSLATE(B41, ""en"", ""id"")"),"Manakah dari berikut ini yang sering digunakan untuk menandai dimulainya pertandingan Peresean?")</f>
        <v>Manakah dari berikut ini yang sering digunakan untuk menandai dimulainya pertandingan Peresean?</v>
      </c>
      <c r="I41" s="6" t="str">
        <f>IFERROR(__xludf.DUMMYFUNCTION("GOOGLETRANSLATE(C41, ""en"", ""id"")"),"A) Doa, B) Nyanyian upacara, C) Ketukan drum, D) Upacara bendera")</f>
        <v>A) Doa, B) Nyanyian upacara, C) Ketukan drum, D) Upacara bendera</v>
      </c>
      <c r="J41" s="6" t="str">
        <f>IFERROR(__xludf.DUMMYFUNCTION("GOOGLETRANSLATE(D41, ""en"", ""id"")"),"C) Ketukan drum")</f>
        <v>C) Ketukan drum</v>
      </c>
      <c r="K41" s="6" t="str">
        <f>IFERROR(__xludf.DUMMYFUNCTION("GOOGLETRANSLATE(E41, ""en"", ""id"")"),"Ketukan genderang upacara sering kali menandai dimulainya pertandingan Peresean dan menentukan irama kompetisi.")</f>
        <v>Ketukan genderang upacara sering kali menandai dimulainya pertandingan Peresean dan menentukan irama kompetisi.</v>
      </c>
    </row>
    <row r="42">
      <c r="A42" s="5">
        <v>41.0</v>
      </c>
      <c r="B42" s="5" t="s">
        <v>973</v>
      </c>
      <c r="C42" s="5" t="s">
        <v>974</v>
      </c>
      <c r="D42" s="5" t="s">
        <v>975</v>
      </c>
      <c r="E42" s="5" t="s">
        <v>976</v>
      </c>
      <c r="G42" s="6" t="str">
        <f>IFERROR(__xludf.DUMMYFUNCTION("GOOGLETRANSLATE(A42, ""en"", ""id"")"),"41")</f>
        <v>41</v>
      </c>
      <c r="H42" s="6" t="str">
        <f>IFERROR(__xludf.DUMMYFUNCTION("GOOGLETRANSLATE(B42, ""en"", ""id"")"),"Apa arti penting tongkat bambu yang digunakan dalam Peresean?")</f>
        <v>Apa arti penting tongkat bambu yang digunakan dalam Peresean?</v>
      </c>
      <c r="I42" s="6" t="str">
        <f>IFERROR(__xludf.DUMMYFUNCTION("GOOGLETRANSLATE(C42, ""en"", ""id"")"),"A) Mewakili kekuatan para pejuang, B) Merupakan benda suci, C) Merupakan benda upacara, D) Merupakan alat latihan")</f>
        <v>A) Mewakili kekuatan para pejuang, B) Merupakan benda suci, C) Merupakan benda upacara, D) Merupakan alat latihan</v>
      </c>
      <c r="J42" s="6" t="str">
        <f>IFERROR(__xludf.DUMMYFUNCTION("GOOGLETRANSLATE(D42, ""en"", ""id"")"),"A) Mereka mewakili kekuatan para pejuang")</f>
        <v>A) Mereka mewakili kekuatan para pejuang</v>
      </c>
      <c r="K42" s="6" t="str">
        <f>IFERROR(__xludf.DUMMYFUNCTION("GOOGLETRANSLATE(E42, ""en"", ""id"")"),"Tongkat bambu yang digunakan dalam Peresean melambangkan kekuatan fisik dan ketahanan yang dibutuhkan para pejuang.")</f>
        <v>Tongkat bambu yang digunakan dalam Peresean melambangkan kekuatan fisik dan ketahanan yang dibutuhkan para pejuang.</v>
      </c>
    </row>
    <row r="43">
      <c r="A43" s="5">
        <v>42.0</v>
      </c>
      <c r="B43" s="5" t="s">
        <v>977</v>
      </c>
      <c r="C43" s="5" t="s">
        <v>978</v>
      </c>
      <c r="D43" s="5" t="s">
        <v>979</v>
      </c>
      <c r="E43" s="5" t="s">
        <v>980</v>
      </c>
      <c r="G43" s="6" t="str">
        <f>IFERROR(__xludf.DUMMYFUNCTION("GOOGLETRANSLATE(A43, ""en"", ""id"")"),"42")</f>
        <v>42</v>
      </c>
      <c r="H43" s="6" t="str">
        <f>IFERROR(__xludf.DUMMYFUNCTION("GOOGLETRANSLATE(B43, ""en"", ""id"")"),"Apa hasil yang paling umum untuk pertandingan Peresean?")</f>
        <v>Apa hasil yang paling umum untuk pertandingan Peresean?</v>
      </c>
      <c r="I43" s="6" t="str">
        <f>IFERROR(__xludf.DUMMYFUNCTION("GOOGLETRANSLATE(C43, ""en"", ""id"")"),"A) Seri, B) Satu petarung KO, C) Satu petarung menyerah, D) Tidak ada pemenang yang jelas")</f>
        <v>A) Seri, B) Satu petarung KO, C) Satu petarung menyerah, D) Tidak ada pemenang yang jelas</v>
      </c>
      <c r="J43" s="6" t="str">
        <f>IFERROR(__xludf.DUMMYFUNCTION("GOOGLETRANSLATE(D43, ""en"", ""id"")"),"B) Satu petarung tersingkir")</f>
        <v>B) Satu petarung tersingkir</v>
      </c>
      <c r="K43" s="6" t="str">
        <f>IFERROR(__xludf.DUMMYFUNCTION("GOOGLETRANSLATE(E43, ""en"", ""id"")"),"Dalam kebanyakan kasus, pertarungan Peresean berakhir dengan salah satu petarung tersingkir atau tak berdaya.")</f>
        <v>Dalam kebanyakan kasus, pertarungan Peresean berakhir dengan salah satu petarung tersingkir atau tak berdaya.</v>
      </c>
    </row>
    <row r="44">
      <c r="A44" s="5">
        <v>43.0</v>
      </c>
      <c r="B44" s="5" t="s">
        <v>981</v>
      </c>
      <c r="C44" s="5" t="s">
        <v>982</v>
      </c>
      <c r="D44" s="5" t="s">
        <v>983</v>
      </c>
      <c r="E44" s="5" t="s">
        <v>984</v>
      </c>
      <c r="G44" s="6" t="str">
        <f>IFERROR(__xludf.DUMMYFUNCTION("GOOGLETRANSLATE(A44, ""en"", ""id"")"),"43")</f>
        <v>43</v>
      </c>
      <c r="H44" s="6" t="str">
        <f>IFERROR(__xludf.DUMMYFUNCTION("GOOGLETRANSLATE(B44, ""en"", ""id"")"),"Apa peran tradisional Peresean dalam budaya lokal Lombok?")</f>
        <v>Apa peran tradisional Peresean dalam budaya lokal Lombok?</v>
      </c>
      <c r="I44" s="6" t="str">
        <f>IFERROR(__xludf.DUMMYFUNCTION("GOOGLETRANSLATE(C44, ""en"", ""id"")"),"A) Suatu bentuk latihan militer, B) Suatu cara untuk menyelesaikan perselisihan, C) Suatu perayaan atas kekuatan fisik, D) Suatu ritual bagi para pemuda")</f>
        <v>A) Suatu bentuk latihan militer, B) Suatu cara untuk menyelesaikan perselisihan, C) Suatu perayaan atas kekuatan fisik, D) Suatu ritual bagi para pemuda</v>
      </c>
      <c r="J44" s="6" t="str">
        <f>IFERROR(__xludf.DUMMYFUNCTION("GOOGLETRANSLATE(D44, ""en"", ""id"")"),"C) Sebuah perayaan kehebatan fisik")</f>
        <v>C) Sebuah perayaan kehebatan fisik</v>
      </c>
      <c r="K44" s="6" t="str">
        <f>IFERROR(__xludf.DUMMYFUNCTION("GOOGLETRANSLATE(E44, ""en"", ""id"")"),"Peresean secara tradisional merayakan kekuatan fisik dan berfungsi sebagai bentuk hiburan bagi masyarakat.")</f>
        <v>Peresean secara tradisional merayakan kekuatan fisik dan berfungsi sebagai bentuk hiburan bagi masyarakat.</v>
      </c>
    </row>
    <row r="45">
      <c r="A45" s="5">
        <v>44.0</v>
      </c>
      <c r="B45" s="5" t="s">
        <v>985</v>
      </c>
      <c r="C45" s="5" t="s">
        <v>986</v>
      </c>
      <c r="D45" s="5" t="s">
        <v>987</v>
      </c>
      <c r="E45" s="5" t="s">
        <v>988</v>
      </c>
      <c r="G45" s="6" t="str">
        <f>IFERROR(__xludf.DUMMYFUNCTION("GOOGLETRANSLATE(A45, ""en"", ""id"")"),"44")</f>
        <v>44</v>
      </c>
      <c r="H45" s="6" t="str">
        <f>IFERROR(__xludf.DUMMYFUNCTION("GOOGLETRANSLATE(B45, ""en"", ""id"")"),"Bagaimana peserta Peresean melindungi diri saat bertanding?")</f>
        <v>Bagaimana peserta Peresean melindungi diri saat bertanding?</v>
      </c>
      <c r="I45" s="6" t="str">
        <f>IFERROR(__xludf.DUMMYFUNCTION("GOOGLETRANSLATE(C45, ""en"", ""id"")"),"A) Dengan memakai alat pelindung, B) Dengan menggunakan perisai, C) Dengan menjaga jarak, D) Dengan menggunakan refleks cepat")</f>
        <v>A) Dengan memakai alat pelindung, B) Dengan menggunakan perisai, C) Dengan menjaga jarak, D) Dengan menggunakan refleks cepat</v>
      </c>
      <c r="J45" s="6" t="str">
        <f>IFERROR(__xludf.DUMMYFUNCTION("GOOGLETRANSLATE(D45, ""en"", ""id"")"),"D) Dengan menggunakan refleks yang cepat")</f>
        <v>D) Dengan menggunakan refleks yang cepat</v>
      </c>
      <c r="K45" s="6" t="str">
        <f>IFERROR(__xludf.DUMMYFUNCTION("GOOGLETRANSLATE(E45, ""en"", ""id"")"),"Peserta mengandalkan refleks cepat untuk menghindari serangan, karena mereka tidak mengenakan perlengkapan pelindung yang signifikan.")</f>
        <v>Peserta mengandalkan refleks cepat untuk menghindari serangan, karena mereka tidak mengenakan perlengkapan pelindung yang signifikan.</v>
      </c>
    </row>
    <row r="46">
      <c r="A46" s="5">
        <v>45.0</v>
      </c>
      <c r="B46" s="5" t="s">
        <v>989</v>
      </c>
      <c r="C46" s="5" t="s">
        <v>990</v>
      </c>
      <c r="D46" s="5" t="s">
        <v>991</v>
      </c>
      <c r="E46" s="5" t="s">
        <v>992</v>
      </c>
      <c r="G46" s="6" t="str">
        <f>IFERROR(__xludf.DUMMYFUNCTION("GOOGLETRANSLATE(A46, ""en"", ""id"")"),"45")</f>
        <v>45</v>
      </c>
      <c r="H46" s="6" t="str">
        <f>IFERROR(__xludf.DUMMYFUNCTION("GOOGLETRANSLATE(B46, ""en"", ""id"")"),"Jenis acara apa yang biasanya diadakan setelah pertandingan Peresean di Lombok?")</f>
        <v>Jenis acara apa yang biasanya diadakan setelah pertandingan Peresean di Lombok?</v>
      </c>
      <c r="I46" s="6" t="str">
        <f>IFERROR(__xludf.DUMMYFUNCTION("GOOGLETRANSLATE(C46, ""en"", ""id"")"),"A) Pesta, B) Upacara keagamaan, C) Pertemuan masyarakat, D) Pertunjukan tari")</f>
        <v>A) Pesta, B) Upacara keagamaan, C) Pertemuan masyarakat, D) Pertunjukan tari</v>
      </c>
      <c r="J46" s="6" t="str">
        <f>IFERROR(__xludf.DUMMYFUNCTION("GOOGLETRANSLATE(D46, ""en"", ""id"")"),"A) Pesta")</f>
        <v>A) Pesta</v>
      </c>
      <c r="K46" s="6" t="str">
        <f>IFERROR(__xludf.DUMMYFUNCTION("GOOGLETRANSLATE(E46, ""en"", ""id"")"),"Setelah pertandingan Peresean, biasanya dirayakan dengan pesta rakyat, yang bertujuan untuk menyatukan masyarakat.")</f>
        <v>Setelah pertandingan Peresean, biasanya dirayakan dengan pesta rakyat, yang bertujuan untuk menyatukan masyarakat.</v>
      </c>
    </row>
    <row r="47">
      <c r="A47" s="5">
        <v>46.0</v>
      </c>
      <c r="B47" s="5" t="s">
        <v>993</v>
      </c>
      <c r="C47" s="5" t="s">
        <v>994</v>
      </c>
      <c r="D47" s="5" t="s">
        <v>995</v>
      </c>
      <c r="E47" s="5" t="s">
        <v>996</v>
      </c>
      <c r="G47" s="6" t="str">
        <f>IFERROR(__xludf.DUMMYFUNCTION("GOOGLETRANSLATE(A47, ""en"", ""id"")"),"46")</f>
        <v>46</v>
      </c>
      <c r="H47" s="6" t="str">
        <f>IFERROR(__xludf.DUMMYFUNCTION("GOOGLETRANSLATE(B47, ""en"", ""id"")"),"Pengaruh seni beladiri manakah yang terlihat pada teknik Peresean?")</f>
        <v>Pengaruh seni beladiri manakah yang terlihat pada teknik Peresean?</v>
      </c>
      <c r="I47" s="6" t="str">
        <f>IFERROR(__xludf.DUMMYFUNCTION("GOOGLETRANSLATE(C47, ""en"", ""id"")"),"A) Judo, B) Karate, C) Silat, D) Taekwondo")</f>
        <v>A) Judo, B) Karate, C) Silat, D) Taekwondo</v>
      </c>
      <c r="J47" s="6" t="str">
        <f>IFERROR(__xludf.DUMMYFUNCTION("GOOGLETRANSLATE(D47, ""en"", ""id"")"),"C) Silat")</f>
        <v>C) Silat</v>
      </c>
      <c r="K47" s="6" t="str">
        <f>IFERROR(__xludf.DUMMYFUNCTION("GOOGLETRANSLATE(E47, ""en"", ""id"")"),"Peresean memiliki beberapa teknik yang sama dengan Silat, seni bela diri tradisional yang populer di Asia Tenggara.")</f>
        <v>Peresean memiliki beberapa teknik yang sama dengan Silat, seni bela diri tradisional yang populer di Asia Tenggara.</v>
      </c>
    </row>
    <row r="48">
      <c r="A48" s="5">
        <v>47.0</v>
      </c>
      <c r="B48" s="5" t="s">
        <v>997</v>
      </c>
      <c r="C48" s="5" t="s">
        <v>998</v>
      </c>
      <c r="D48" s="5" t="s">
        <v>999</v>
      </c>
      <c r="E48" s="5" t="s">
        <v>1000</v>
      </c>
      <c r="G48" s="6" t="str">
        <f>IFERROR(__xludf.DUMMYFUNCTION("GOOGLETRANSLATE(A48, ""en"", ""id"")"),"47")</f>
        <v>47</v>
      </c>
      <c r="H48" s="6" t="str">
        <f>IFERROR(__xludf.DUMMYFUNCTION("GOOGLETRANSLATE(B48, ""en"", ""id"")"),"Kapan Peresean menjadi lebih terorganisasi secara formal sebagai olahraga kompetitif?")</f>
        <v>Kapan Peresean menjadi lebih terorganisasi secara formal sebagai olahraga kompetitif?</v>
      </c>
      <c r="I48" s="6" t="str">
        <f>IFERROR(__xludf.DUMMYFUNCTION("GOOGLETRANSLATE(C48, ""en"", ""id"")"),"A) Tahun 1950-an, B) Tahun 1970-an, C) Tahun 1980-an, D) Tahun 1990-an")</f>
        <v>A) Tahun 1950-an, B) Tahun 1970-an, C) Tahun 1980-an, D) Tahun 1990-an</v>
      </c>
      <c r="J48" s="6" t="str">
        <f>IFERROR(__xludf.DUMMYFUNCTION("GOOGLETRANSLATE(D48, ""en"", ""id"")"),"C) tahun 1980-an")</f>
        <v>C) tahun 1980-an</v>
      </c>
      <c r="K48" s="6" t="str">
        <f>IFERROR(__xludf.DUMMYFUNCTION("GOOGLETRANSLATE(E48, ""en"", ""id"")"),"Peresean mulai diorganisasikan secara formal sebagai olahraga kompetitif pada tahun 1980-an, dengan kompetisi yang lebih terstruktur.")</f>
        <v>Peresean mulai diorganisasikan secara formal sebagai olahraga kompetitif pada tahun 1980-an, dengan kompetisi yang lebih terstruktur.</v>
      </c>
    </row>
    <row r="49">
      <c r="A49" s="5">
        <v>48.0</v>
      </c>
      <c r="B49" s="5" t="s">
        <v>1001</v>
      </c>
      <c r="C49" s="5" t="s">
        <v>1002</v>
      </c>
      <c r="D49" s="5" t="s">
        <v>1003</v>
      </c>
      <c r="E49" s="5" t="s">
        <v>1004</v>
      </c>
      <c r="G49" s="6" t="str">
        <f>IFERROR(__xludf.DUMMYFUNCTION("GOOGLETRANSLATE(A49, ""en"", ""id"")"),"48")</f>
        <v>48</v>
      </c>
      <c r="H49" s="6" t="str">
        <f>IFERROR(__xludf.DUMMYFUNCTION("GOOGLETRANSLATE(B49, ""en"", ""id"")"),"Apa peran penonton dalam pertandingan Peresean?")</f>
        <v>Apa peran penonton dalam pertandingan Peresean?</v>
      </c>
      <c r="I49" s="6" t="str">
        <f>IFERROR(__xludf.DUMMYFUNCTION("GOOGLETRANSLATE(C49, ""en"", ""id"")"),"A) Untuk menyemangati para petarung, B) Untuk menilai pertandingan, C) Untuk berpartisipasi sebagai wasit, D) Untuk mengalihkan perhatian para petarung")</f>
        <v>A) Untuk menyemangati para petarung, B) Untuk menilai pertandingan, C) Untuk berpartisipasi sebagai wasit, D) Untuk mengalihkan perhatian para petarung</v>
      </c>
      <c r="J49" s="6" t="str">
        <f>IFERROR(__xludf.DUMMYFUNCTION("GOOGLETRANSLATE(D49, ""en"", ""id"")"),"A) Untuk menyemangati para pesaing")</f>
        <v>A) Untuk menyemangati para pesaing</v>
      </c>
      <c r="K49" s="6" t="str">
        <f>IFERROR(__xludf.DUMMYFUNCTION("GOOGLETRANSLATE(E49, ""en"", ""id"")"),"Penonton memainkan peran penting dengan menyemangati para petarung, menambah energi pertandingan.")</f>
        <v>Penonton memainkan peran penting dengan menyemangati para petarung, menambah energi pertandingan.</v>
      </c>
    </row>
    <row r="50">
      <c r="A50" s="5">
        <v>49.0</v>
      </c>
      <c r="B50" s="5" t="s">
        <v>1005</v>
      </c>
      <c r="C50" s="5" t="s">
        <v>1006</v>
      </c>
      <c r="D50" s="5" t="s">
        <v>1007</v>
      </c>
      <c r="E50" s="5" t="s">
        <v>1008</v>
      </c>
      <c r="G50" s="6" t="str">
        <f>IFERROR(__xludf.DUMMYFUNCTION("GOOGLETRANSLATE(A50, ""en"", ""id"")"),"49")</f>
        <v>49</v>
      </c>
      <c r="H50" s="6" t="str">
        <f>IFERROR(__xludf.DUMMYFUNCTION("GOOGLETRANSLATE(B50, ""en"", ""id"")"),"Apa arti penting kemenangan di Peresean?")</f>
        <v>Apa arti penting kemenangan di Peresean?</v>
      </c>
      <c r="I50" s="6" t="str">
        <f>IFERROR(__xludf.DUMMYFUNCTION("GOOGLETRANSLATE(C50, ""en"", ""id"")"),"A) Sebuah pertunjukan keterampilan pribadi, B) Sebuah pertunjukan dominasi fisik, C) Sebuah simbol kebanggaan komunitas, D) Sebuah simbol pencapaian pribadi")</f>
        <v>A) Sebuah pertunjukan keterampilan pribadi, B) Sebuah pertunjukan dominasi fisik, C) Sebuah simbol kebanggaan komunitas, D) Sebuah simbol pencapaian pribadi</v>
      </c>
      <c r="J50" s="6" t="str">
        <f>IFERROR(__xludf.DUMMYFUNCTION("GOOGLETRANSLATE(D50, ""en"", ""id"")"),"C) Simbol kebanggaan masyarakat")</f>
        <v>C) Simbol kebanggaan masyarakat</v>
      </c>
      <c r="K50" s="6" t="str">
        <f>IFERROR(__xludf.DUMMYFUNCTION("GOOGLETRANSLATE(E50, ""en"", ""id"")"),"Kemenangan di Peresean sering dilihat sebagai simbol kebanggaan dan kekuatan masyarakat.")</f>
        <v>Kemenangan di Peresean sering dilihat sebagai simbol kebanggaan dan kekuatan masyarakat.</v>
      </c>
    </row>
    <row r="51">
      <c r="A51" s="5">
        <v>50.0</v>
      </c>
      <c r="B51" s="5" t="s">
        <v>1009</v>
      </c>
      <c r="C51" s="5" t="s">
        <v>1010</v>
      </c>
      <c r="D51" s="5" t="s">
        <v>1011</v>
      </c>
      <c r="E51" s="5" t="s">
        <v>1012</v>
      </c>
      <c r="G51" s="6" t="str">
        <f>IFERROR(__xludf.DUMMYFUNCTION("GOOGLETRANSLATE(A51, ""en"", ""id"")"),"50")</f>
        <v>50</v>
      </c>
      <c r="H51" s="6" t="str">
        <f>IFERROR(__xludf.DUMMYFUNCTION("GOOGLETRANSLATE(B51, ""en"", ""id"")"),"Apa peran Peresean dalam kehidupan desa adat di Lombok?")</f>
        <v>Apa peran Peresean dalam kehidupan desa adat di Lombok?</v>
      </c>
      <c r="I51" s="6" t="str">
        <f>IFERROR(__xludf.DUMMYFUNCTION("GOOGLETRANSLATE(C51, ""en"", ""id"")"),"A) Itu adalah alat untuk resolusi konflik, B) Itu digunakan untuk melatih prajurit, C) Itu adalah bentuk hiburan, D) Itu adalah ritual peralihan")</f>
        <v>A) Itu adalah alat untuk resolusi konflik, B) Itu digunakan untuk melatih prajurit, C) Itu adalah bentuk hiburan, D) Itu adalah ritual peralihan</v>
      </c>
      <c r="J51" s="6" t="str">
        <f>IFERROR(__xludf.DUMMYFUNCTION("GOOGLETRANSLATE(D51, ""en"", ""id"")"),"A) Itu adalah alat untuk resolusi konflik")</f>
        <v>A) Itu adalah alat untuk resolusi konflik</v>
      </c>
      <c r="K51" s="6" t="str">
        <f>IFERROR(__xludf.DUMMYFUNCTION("GOOGLETRANSLATE(E51, ""en"", ""id"")"),"Secara historis, Peresean digunakan untuk menyelesaikan konflik antar penduduk desa dengan cara fisik yang terkendali.")</f>
        <v>Secara historis, Peresean digunakan untuk menyelesaikan konflik antar penduduk desa dengan cara fisik yang terkendali.</v>
      </c>
    </row>
    <row r="52">
      <c r="A52" s="5">
        <v>51.0</v>
      </c>
      <c r="B52" s="5" t="s">
        <v>1013</v>
      </c>
      <c r="C52" s="5" t="s">
        <v>1014</v>
      </c>
      <c r="D52" s="5" t="s">
        <v>1015</v>
      </c>
      <c r="E52" s="5" t="s">
        <v>1016</v>
      </c>
      <c r="G52" s="6" t="str">
        <f>IFERROR(__xludf.DUMMYFUNCTION("GOOGLETRANSLATE(A52, ""en"", ""id"")"),"51")</f>
        <v>51</v>
      </c>
      <c r="H52" s="6" t="str">
        <f>IFERROR(__xludf.DUMMYFUNCTION("GOOGLETRANSLATE(B52, ""en"", ""id"")"),"Dalam peristiwa seperti apa Peresean berasal sebagai bentuk seni bela diri?")</f>
        <v>Dalam peristiwa seperti apa Peresean berasal sebagai bentuk seni bela diri?</v>
      </c>
      <c r="I52" s="6" t="str">
        <f>IFERROR(__xludf.DUMMYFUNCTION("GOOGLETRANSLATE(C52, ""en"", ""id"")"),"A) Perayaan pertanian, B) Latihan militer, C) Ritual keagamaan, D) Upacara kerajaan")</f>
        <v>A) Perayaan pertanian, B) Latihan militer, C) Ritual keagamaan, D) Upacara kerajaan</v>
      </c>
      <c r="J52" s="6" t="str">
        <f>IFERROR(__xludf.DUMMYFUNCTION("GOOGLETRANSLATE(D52, ""en"", ""id"")"),"B) Pelatihan militer")</f>
        <v>B) Pelatihan militer</v>
      </c>
      <c r="K52" s="6" t="str">
        <f>IFERROR(__xludf.DUMMYFUNCTION("GOOGLETRANSLATE(E52, ""en"", ""id"")"),"Peresean berasal dari bentuk latihan militer bagi para prajurit di Lombok.")</f>
        <v>Peresean berasal dari bentuk latihan militer bagi para prajurit di Lombok.</v>
      </c>
    </row>
    <row r="53">
      <c r="A53" s="5">
        <v>52.0</v>
      </c>
      <c r="B53" s="5" t="s">
        <v>1017</v>
      </c>
      <c r="C53" s="5" t="s">
        <v>1018</v>
      </c>
      <c r="D53" s="5" t="s">
        <v>1019</v>
      </c>
      <c r="E53" s="5" t="s">
        <v>1020</v>
      </c>
      <c r="G53" s="6" t="str">
        <f>IFERROR(__xludf.DUMMYFUNCTION("GOOGLETRANSLATE(A53, ""en"", ""id"")"),"52")</f>
        <v>52</v>
      </c>
      <c r="H53" s="6" t="str">
        <f>IFERROR(__xludf.DUMMYFUNCTION("GOOGLETRANSLATE(B53, ""en"", ""id"")"),"Siapa saja yang secara tradisional menjadi peserta dalam pertandingan Peresean?")</f>
        <v>Siapa saja yang secara tradisional menjadi peserta dalam pertandingan Peresean?</v>
      </c>
      <c r="I53" s="6" t="str">
        <f>IFERROR(__xludf.DUMMYFUNCTION("GOOGLETRANSLATE(C53, ""en"", ""id"")"),"A) Bangsawan dan bangsawan, B) Pemuda desa, C) Orang tua, D) Pengunjung asing")</f>
        <v>A) Bangsawan dan bangsawan, B) Pemuda desa, C) Orang tua, D) Pengunjung asing</v>
      </c>
      <c r="J53" s="6" t="str">
        <f>IFERROR(__xludf.DUMMYFUNCTION("GOOGLETRANSLATE(D53, ""en"", ""id"")"),"B) Pemuda desa")</f>
        <v>B) Pemuda desa</v>
      </c>
      <c r="K53" s="6" t="str">
        <f>IFERROR(__xludf.DUMMYFUNCTION("GOOGLETRANSLATE(E53, ""en"", ""id"")"),"Dalam pertandingan adat Peresean, para pemuda desa turut serta menunjukkan kekuatan dan keterampilannya.")</f>
        <v>Dalam pertandingan adat Peresean, para pemuda desa turut serta menunjukkan kekuatan dan keterampilannya.</v>
      </c>
    </row>
    <row r="54">
      <c r="A54" s="5">
        <v>53.0</v>
      </c>
      <c r="B54" s="5" t="s">
        <v>1021</v>
      </c>
      <c r="C54" s="5" t="s">
        <v>1022</v>
      </c>
      <c r="D54" s="5" t="s">
        <v>1023</v>
      </c>
      <c r="E54" s="5" t="s">
        <v>1024</v>
      </c>
      <c r="G54" s="6" t="str">
        <f>IFERROR(__xludf.DUMMYFUNCTION("GOOGLETRANSLATE(A54, ""en"", ""id"")"),"53")</f>
        <v>53</v>
      </c>
      <c r="H54" s="6" t="str">
        <f>IFERROR(__xludf.DUMMYFUNCTION("GOOGLETRANSLATE(B54, ""en"", ""id"")"),"Apa peranan tongkat yang digunakan dalam Peresean dalam pertandingan?")</f>
        <v>Apa peranan tongkat yang digunakan dalam Peresean dalam pertandingan?</v>
      </c>
      <c r="I54" s="6" t="str">
        <f>IFERROR(__xludf.DUMMYFUNCTION("GOOGLETRANSLATE(C54, ""en"", ""id"")"),"A) Hanya digunakan untuk menyerang, B) Mewakili kekuatan spiritual, C) Merupakan alat untuk bertahan dan menyerang, D) Hanya untuk keperluan seremonial")</f>
        <v>A) Hanya digunakan untuk menyerang, B) Mewakili kekuatan spiritual, C) Merupakan alat untuk bertahan dan menyerang, D) Hanya untuk keperluan seremonial</v>
      </c>
      <c r="J54" s="6" t="str">
        <f>IFERROR(__xludf.DUMMYFUNCTION("GOOGLETRANSLATE(D54, ""en"", ""id"")"),"C) Merupakan alat untuk bertahan dan menyerang")</f>
        <v>C) Merupakan alat untuk bertahan dan menyerang</v>
      </c>
      <c r="K54" s="6" t="str">
        <f>IFERROR(__xludf.DUMMYFUNCTION("GOOGLETRANSLATE(E54, ""en"", ""id"")"),"Tongkat bambu digunakan untuk bertahan dan menyerang, membutuhkan keterampilan dalam penanganannya selama pertandingan.")</f>
        <v>Tongkat bambu digunakan untuk bertahan dan menyerang, membutuhkan keterampilan dalam penanganannya selama pertandingan.</v>
      </c>
    </row>
    <row r="55">
      <c r="A55" s="5">
        <v>54.0</v>
      </c>
      <c r="B55" s="5" t="s">
        <v>1025</v>
      </c>
      <c r="C55" s="5" t="s">
        <v>1026</v>
      </c>
      <c r="D55" s="5" t="s">
        <v>1027</v>
      </c>
      <c r="E55" s="5" t="s">
        <v>1028</v>
      </c>
      <c r="G55" s="6" t="str">
        <f>IFERROR(__xludf.DUMMYFUNCTION("GOOGLETRANSLATE(A55, ""en"", ""id"")"),"54")</f>
        <v>54</v>
      </c>
      <c r="H55" s="6" t="str">
        <f>IFERROR(__xludf.DUMMYFUNCTION("GOOGLETRANSLATE(B55, ""en"", ""id"")"),"Apa saja adat istiadat setelah pertandingan Peresean?")</f>
        <v>Apa saja adat istiadat setelah pertandingan Peresean?</v>
      </c>
      <c r="I55" s="6" t="str">
        <f>IFERROR(__xludf.DUMMYFUNCTION("GOOGLETRANSLATE(C55, ""en"", ""id"")"),"A) Doa untuk perdamaian, B) Ritual penyembuhan, C) Pesta atau perayaan, D) Penghormatan resmi kepada leluhur")</f>
        <v>A) Doa untuk perdamaian, B) Ritual penyembuhan, C) Pesta atau perayaan, D) Penghormatan resmi kepada leluhur</v>
      </c>
      <c r="J55" s="6" t="str">
        <f>IFERROR(__xludf.DUMMYFUNCTION("GOOGLETRANSLATE(D55, ""en"", ""id"")"),"C) Pesta atau perayaan")</f>
        <v>C) Pesta atau perayaan</v>
      </c>
      <c r="K55" s="6" t="str">
        <f>IFERROR(__xludf.DUMMYFUNCTION("GOOGLETRANSLATE(E55, ""en"", ""id"")"),"Setelah pertandingan Peresean, pesta atau perayaan sering diadakan untuk menghormati para peserta dan menyatukan masyarakat.")</f>
        <v>Setelah pertandingan Peresean, pesta atau perayaan sering diadakan untuk menghormati para peserta dan menyatukan masyarakat.</v>
      </c>
    </row>
    <row r="56">
      <c r="A56" s="5">
        <v>55.0</v>
      </c>
      <c r="B56" s="5" t="s">
        <v>1029</v>
      </c>
      <c r="C56" s="5" t="s">
        <v>1030</v>
      </c>
      <c r="D56" s="5" t="s">
        <v>1031</v>
      </c>
      <c r="E56" s="5" t="s">
        <v>1032</v>
      </c>
      <c r="G56" s="6" t="str">
        <f>IFERROR(__xludf.DUMMYFUNCTION("GOOGLETRANSLATE(A56, ""en"", ""id"")"),"55")</f>
        <v>55</v>
      </c>
      <c r="H56" s="6" t="str">
        <f>IFERROR(__xludf.DUMMYFUNCTION("GOOGLETRANSLATE(B56, ""en"", ""id"")"),"Bagaimana intensitas pertandingan Peresean umumnya diukur?")</f>
        <v>Bagaimana intensitas pertandingan Peresean umumnya diukur?</v>
      </c>
      <c r="I56" s="6" t="str">
        <f>IFERROR(__xludf.DUMMYFUNCTION("GOOGLETRANSLATE(C56, ""en"", ""id"")"),"A) Berdasarkan tepuk tangan penonton, B) Berdasarkan kecepatan pertarungan, C) Berdasarkan jumlah pukulan, D) Berdasarkan keterampilan dan kekuatan petarung")</f>
        <v>A) Berdasarkan tepuk tangan penonton, B) Berdasarkan kecepatan pertarungan, C) Berdasarkan jumlah pukulan, D) Berdasarkan keterampilan dan kekuatan petarung</v>
      </c>
      <c r="J56" s="6" t="str">
        <f>IFERROR(__xludf.DUMMYFUNCTION("GOOGLETRANSLATE(D56, ""en"", ""id"")"),"D) Berdasarkan keterampilan dan kekuatan para pejuang")</f>
        <v>D) Berdasarkan keterampilan dan kekuatan para pejuang</v>
      </c>
      <c r="K56" s="6" t="str">
        <f>IFERROR(__xludf.DUMMYFUNCTION("GOOGLETRANSLATE(E56, ""en"", ""id"")"),"Intensitas pertandingan Peresean diukur dari keterampilan dan kekuatan fisik para petarung dalam menghunus tongkat bambu.")</f>
        <v>Intensitas pertandingan Peresean diukur dari keterampilan dan kekuatan fisik para petarung dalam menghunus tongkat bambu.</v>
      </c>
    </row>
    <row r="57">
      <c r="A57" s="5">
        <v>56.0</v>
      </c>
      <c r="B57" s="5" t="s">
        <v>1033</v>
      </c>
      <c r="C57" s="5" t="s">
        <v>1034</v>
      </c>
      <c r="D57" s="5" t="s">
        <v>1035</v>
      </c>
      <c r="E57" s="5" t="s">
        <v>1036</v>
      </c>
      <c r="G57" s="6" t="str">
        <f>IFERROR(__xludf.DUMMYFUNCTION("GOOGLETRANSLATE(A57, ""en"", ""id"")"),"56")</f>
        <v>56</v>
      </c>
      <c r="H57" s="6" t="str">
        <f>IFERROR(__xludf.DUMMYFUNCTION("GOOGLETRANSLATE(B57, ""en"", ""id"")"),"Apa tujuan utama pertandingan Peresean?")</f>
        <v>Apa tujuan utama pertandingan Peresean?</v>
      </c>
      <c r="I57" s="6" t="str">
        <f>IFERROR(__xludf.DUMMYFUNCTION("GOOGLETRANSLATE(C57, ""en"", ""id"")"),"A) Untuk menunjukkan kelincahan, B) Untuk menunjukkan daya tahan, C) Untuk menundukkan atau menjatuhkan lawan, D) Untuk menghibur penonton")</f>
        <v>A) Untuk menunjukkan kelincahan, B) Untuk menunjukkan daya tahan, C) Untuk menundukkan atau menjatuhkan lawan, D) Untuk menghibur penonton</v>
      </c>
      <c r="J57" s="6" t="str">
        <f>IFERROR(__xludf.DUMMYFUNCTION("GOOGLETRANSLATE(D57, ""en"", ""id"")"),"C) Untuk menundukkan atau menjatuhkan lawan")</f>
        <v>C) Untuk menundukkan atau menjatuhkan lawan</v>
      </c>
      <c r="K57" s="6" t="str">
        <f>IFERROR(__xludf.DUMMYFUNCTION("GOOGLETRANSLATE(E57, ""en"", ""id"")"),"Tujuan utama dalam Peresean adalah menjatuhkan atau menundukkan lawan menggunakan tongkat bambu.")</f>
        <v>Tujuan utama dalam Peresean adalah menjatuhkan atau menundukkan lawan menggunakan tongkat bambu.</v>
      </c>
    </row>
    <row r="58">
      <c r="A58" s="5">
        <v>57.0</v>
      </c>
      <c r="B58" s="5" t="s">
        <v>1037</v>
      </c>
      <c r="C58" s="5" t="s">
        <v>1038</v>
      </c>
      <c r="D58" s="5" t="s">
        <v>874</v>
      </c>
      <c r="E58" s="5" t="s">
        <v>1039</v>
      </c>
      <c r="G58" s="6" t="str">
        <f>IFERROR(__xludf.DUMMYFUNCTION("GOOGLETRANSLATE(A58, ""en"", ""id"")"),"57")</f>
        <v>57</v>
      </c>
      <c r="H58" s="6" t="str">
        <f>IFERROR(__xludf.DUMMYFUNCTION("GOOGLETRANSLATE(B58, ""en"", ""id"")"),"Di daerah mana di Indonesia Peresean paling populer?")</f>
        <v>Di daerah mana di Indonesia Peresean paling populer?</v>
      </c>
      <c r="I58" s="6" t="str">
        <f>IFERROR(__xludf.DUMMYFUNCTION("GOOGLETRANSLATE(C58, ""en"", ""id"")"),"A) Jawa, B) Bali, C) Sumatera, D) Lombok")</f>
        <v>A) Jawa, B) Bali, C) Sumatera, D) Lombok</v>
      </c>
      <c r="J58" s="6" t="str">
        <f>IFERROR(__xludf.DUMMYFUNCTION("GOOGLETRANSLATE(D58, ""en"", ""id"")"),"D) Lombok")</f>
        <v>D) Lombok</v>
      </c>
      <c r="K58" s="6" t="str">
        <f>IFERROR(__xludf.DUMMYFUNCTION("GOOGLETRANSLATE(E58, ""en"", ""id"")"),"Peresean paling populer di Lombok, di mana ia merupakan olahraga budaya dan tradisional utama.")</f>
        <v>Peresean paling populer di Lombok, di mana ia merupakan olahraga budaya dan tradisional utama.</v>
      </c>
    </row>
    <row r="59">
      <c r="A59" s="5">
        <v>58.0</v>
      </c>
      <c r="B59" s="5" t="s">
        <v>1040</v>
      </c>
      <c r="C59" s="5" t="s">
        <v>1041</v>
      </c>
      <c r="D59" s="5" t="s">
        <v>1042</v>
      </c>
      <c r="E59" s="5" t="s">
        <v>1043</v>
      </c>
      <c r="G59" s="6" t="str">
        <f>IFERROR(__xludf.DUMMYFUNCTION("GOOGLETRANSLATE(A59, ""en"", ""id"")"),"58")</f>
        <v>58</v>
      </c>
      <c r="H59" s="6" t="str">
        <f>IFERROR(__xludf.DUMMYFUNCTION("GOOGLETRANSLATE(B59, ""en"", ""id"")"),"Manakah dari berikut ini yang merupakan karakteristik penting dari batang bambu yang digunakan dalam Peresean?")</f>
        <v>Manakah dari berikut ini yang merupakan karakteristik penting dari batang bambu yang digunakan dalam Peresean?</v>
      </c>
      <c r="I59" s="6" t="str">
        <f>IFERROR(__xludf.DUMMYFUNCTION("GOOGLETRANSLATE(C59, ""en"", ""id"")"),"A) Harus tidak mudah pecah, B) Ringan dan fleksibel, C) Dihiasi dengan desain, D) Harus memiliki panjang tertentu")</f>
        <v>A) Harus tidak mudah pecah, B) Ringan dan fleksibel, C) Dihiasi dengan desain, D) Harus memiliki panjang tertentu</v>
      </c>
      <c r="J59" s="6" t="str">
        <f>IFERROR(__xludf.DUMMYFUNCTION("GOOGLETRANSLATE(D59, ""en"", ""id"")"),"B) Ringan dan fleksibel")</f>
        <v>B) Ringan dan fleksibel</v>
      </c>
      <c r="K59" s="6" t="str">
        <f>IFERROR(__xludf.DUMMYFUNCTION("GOOGLETRANSLATE(E59, ""en"", ""id"")"),"Tongkat bambu yang digunakan dalam Peresean ringan dan fleksibel, memungkinkan manuver yang cepat dan terampil.")</f>
        <v>Tongkat bambu yang digunakan dalam Peresean ringan dan fleksibel, memungkinkan manuver yang cepat dan terampil.</v>
      </c>
    </row>
    <row r="60">
      <c r="A60" s="5">
        <v>59.0</v>
      </c>
      <c r="B60" s="5" t="s">
        <v>1044</v>
      </c>
      <c r="C60" s="5" t="s">
        <v>1045</v>
      </c>
      <c r="D60" s="5" t="s">
        <v>1046</v>
      </c>
      <c r="E60" s="5" t="s">
        <v>1047</v>
      </c>
      <c r="G60" s="6" t="str">
        <f>IFERROR(__xludf.DUMMYFUNCTION("GOOGLETRANSLATE(A60, ""en"", ""id"")"),"59")</f>
        <v>59</v>
      </c>
      <c r="H60" s="6" t="str">
        <f>IFERROR(__xludf.DUMMYFUNCTION("GOOGLETRANSLATE(B60, ""en"", ""id"")"),"Bagaimana Peresean berfungsi dalam masyarakat pada zaman dahulu?")</f>
        <v>Bagaimana Peresean berfungsi dalam masyarakat pada zaman dahulu?</v>
      </c>
      <c r="I60" s="6" t="str">
        <f>IFERROR(__xludf.DUMMYFUNCTION("GOOGLETRANSLATE(C60, ""en"", ""id"")"),"A) Sebagai bentuk penegakan hukum, B) Sebagai metode penyelesaian perselisihan, C) Sebagai permainan kompetitif bagi bangsawan, D) Sebagai bentuk ibadah keagamaan")</f>
        <v>A) Sebagai bentuk penegakan hukum, B) Sebagai metode penyelesaian perselisihan, C) Sebagai permainan kompetitif bagi bangsawan, D) Sebagai bentuk ibadah keagamaan</v>
      </c>
      <c r="J60" s="6" t="str">
        <f>IFERROR(__xludf.DUMMYFUNCTION("GOOGLETRANSLATE(D60, ""en"", ""id"")"),"B) Sebagai metode penyelesaian perselisihan")</f>
        <v>B) Sebagai metode penyelesaian perselisihan</v>
      </c>
      <c r="K60" s="6" t="str">
        <f>IFERROR(__xludf.DUMMYFUNCTION("GOOGLETRANSLATE(E60, ""en"", ""id"")"),"Pada zaman dahulu, Peresean sering digunakan untuk menyelesaikan perselisihan antar warga masyarakat.")</f>
        <v>Pada zaman dahulu, Peresean sering digunakan untuk menyelesaikan perselisihan antar warga masyarakat.</v>
      </c>
    </row>
    <row r="61">
      <c r="A61" s="5">
        <v>60.0</v>
      </c>
      <c r="B61" s="5" t="s">
        <v>1048</v>
      </c>
      <c r="C61" s="5" t="s">
        <v>1049</v>
      </c>
      <c r="D61" s="5" t="s">
        <v>1050</v>
      </c>
      <c r="E61" s="5" t="s">
        <v>1051</v>
      </c>
      <c r="G61" s="6" t="str">
        <f>IFERROR(__xludf.DUMMYFUNCTION("GOOGLETRANSLATE(A61, ""en"", ""id"")"),"60")</f>
        <v>60</v>
      </c>
      <c r="H61" s="6" t="str">
        <f>IFERROR(__xludf.DUMMYFUNCTION("GOOGLETRANSLATE(B61, ""en"", ""id"")"),"Apa nama perayaan daerah yang biasanya menampilkan Peresean?")</f>
        <v>Apa nama perayaan daerah yang biasanya menampilkan Peresean?</v>
      </c>
      <c r="I61" s="6" t="str">
        <f>IFERROR(__xludf.DUMMYFUNCTION("GOOGLETRANSLATE(C61, ""en"", ""id"")"),"A) Festival Mekepung, B) Festival Bau Nyale, C) Festival Galungan, D) Festival Sekaten")</f>
        <v>A) Festival Mekepung, B) Festival Bau Nyale, C) Festival Galungan, D) Festival Sekaten</v>
      </c>
      <c r="J61" s="6" t="str">
        <f>IFERROR(__xludf.DUMMYFUNCTION("GOOGLETRANSLATE(D61, ""en"", ""id"")"),"B) Festival Bau Nyale")</f>
        <v>B) Festival Bau Nyale</v>
      </c>
      <c r="K61" s="6" t="str">
        <f>IFERROR(__xludf.DUMMYFUNCTION("GOOGLETRANSLATE(E61, ""en"", ""id"")"),"Festival Bau Nyale di Lombok merupakan acara besar di mana pertandingan Peresean sering diadakan sebagai bagian dari perayaannya.")</f>
        <v>Festival Bau Nyale di Lombok merupakan acara besar di mana pertandingan Peresean sering diadakan sebagai bagian dari perayaannya.</v>
      </c>
    </row>
    <row r="62">
      <c r="A62" s="5">
        <v>61.0</v>
      </c>
      <c r="B62" s="8" t="s">
        <v>1052</v>
      </c>
      <c r="C62" s="8" t="s">
        <v>1053</v>
      </c>
      <c r="D62" s="8" t="s">
        <v>1054</v>
      </c>
      <c r="E62" s="8" t="s">
        <v>1055</v>
      </c>
      <c r="G62" s="6" t="str">
        <f>IFERROR(__xludf.DUMMYFUNCTION("GOOGLETRANSLATE(A62, ""en"", ""id"")"),"61")</f>
        <v>61</v>
      </c>
      <c r="H62" s="6" t="str">
        <f>IFERROR(__xludf.DUMMYFUNCTION("GOOGLETRANSLATE(B62, ""en"", ""id"")"),"Pejuang Peresean secara tradisional disebut apa?")</f>
        <v>Pejuang Peresean secara tradisional disebut apa?</v>
      </c>
      <c r="I62" s="6" t="str">
        <f>IFERROR(__xludf.DUMMYFUNCTION("GOOGLETRANSLATE(C62, ""en"", ""id"")"),"A) Pepadu B) Pendekar C) Ksatria D) Pahlawan")</f>
        <v>A) Pepadu B) Pendekar C) Ksatria D) Pahlawan</v>
      </c>
      <c r="J62" s="6" t="str">
        <f>IFERROR(__xludf.DUMMYFUNCTION("GOOGLETRANSLATE(D62, ""en"", ""id"")"),"A) Pepadu")</f>
        <v>A) Pepadu</v>
      </c>
      <c r="K62" s="6" t="str">
        <f>IFERROR(__xludf.DUMMYFUNCTION("GOOGLETRANSLATE(E62, ""en"", ""id"")"),"Pepadu adalah istilah Lombok untuk pejuang Peresean, yang menekankan keberanian dan kesiapan menghadapi tantangan.")</f>
        <v>Pepadu adalah istilah Lombok untuk pejuang Peresean, yang menekankan keberanian dan kesiapan menghadapi tantangan.</v>
      </c>
    </row>
    <row r="63">
      <c r="A63" s="5">
        <v>62.0</v>
      </c>
      <c r="B63" s="8" t="s">
        <v>1056</v>
      </c>
      <c r="C63" s="8" t="s">
        <v>1057</v>
      </c>
      <c r="D63" s="8" t="s">
        <v>1058</v>
      </c>
      <c r="E63" s="8" t="s">
        <v>1059</v>
      </c>
      <c r="G63" s="6" t="str">
        <f>IFERROR(__xludf.DUMMYFUNCTION("GOOGLETRANSLATE(A63, ""en"", ""id"")"),"62")</f>
        <v>62</v>
      </c>
      <c r="H63" s="6" t="str">
        <f>IFERROR(__xludf.DUMMYFUNCTION("GOOGLETRANSLATE(B63, ""en"", ""id"")"),"Apa nama perisai yang digunakan dalam Peresean?")</f>
        <v>Apa nama perisai yang digunakan dalam Peresean?</v>
      </c>
      <c r="I63" s="6" t="str">
        <f>IFERROR(__xludf.DUMMYFUNCTION("GOOGLETRANSLATE(C63, ""en"", ""id"")"),"A) Perisai B) Ende C) Tameng D) Gada")</f>
        <v>A) Perisai B) Ende C) Tameng D) Gada</v>
      </c>
      <c r="J63" s="6" t="str">
        <f>IFERROR(__xludf.DUMMYFUNCTION("GOOGLETRANSLATE(D63, ""en"", ""id"")"),"B) Ende")</f>
        <v>B) Ende</v>
      </c>
      <c r="K63" s="6" t="str">
        <f>IFERROR(__xludf.DUMMYFUNCTION("GOOGLETRANSLATE(E63, ""en"", ""id"")"),"Ende adalah perisai kulit berbentuk persegi panjang, yang secara tradisional terbuat dari kulit kerbau, dipasangkan dengan tongkat bambu.")</f>
        <v>Ende adalah perisai kulit berbentuk persegi panjang, yang secara tradisional terbuat dari kulit kerbau, dipasangkan dengan tongkat bambu.</v>
      </c>
    </row>
    <row r="64">
      <c r="A64" s="5">
        <v>63.0</v>
      </c>
      <c r="B64" s="8" t="s">
        <v>1060</v>
      </c>
      <c r="C64" s="8" t="s">
        <v>1061</v>
      </c>
      <c r="D64" s="8" t="s">
        <v>1062</v>
      </c>
      <c r="E64" s="8" t="s">
        <v>1063</v>
      </c>
      <c r="G64" s="6" t="str">
        <f>IFERROR(__xludf.DUMMYFUNCTION("GOOGLETRANSLATE(A64, ""en"", ""id"")"),"63")</f>
        <v>63</v>
      </c>
      <c r="H64" s="6" t="str">
        <f>IFERROR(__xludf.DUMMYFUNCTION("GOOGLETRANSLATE(B64, ""en"", ""id"")"),"Tongkat Peresean tradisional ini secara lokal disebut:")</f>
        <v>Tongkat Peresean tradisional ini secara lokal disebut:</v>
      </c>
      <c r="I64" s="6" t="str">
        <f>IFERROR(__xludf.DUMMYFUNCTION("GOOGLETRANSLATE(C64, ""en"", ""id"")"),"A) Penjalin B) Lidi C) Rotan D) Batang")</f>
        <v>A) Penjalin B) Lidi C) Rotan D) Batang</v>
      </c>
      <c r="J64" s="6" t="str">
        <f>IFERROR(__xludf.DUMMYFUNCTION("GOOGLETRANSLATE(D64, ""en"", ""id"")"),"A) Penjalin")</f>
        <v>A) Penjalin</v>
      </c>
      <c r="K64" s="6" t="str">
        <f>IFERROR(__xludf.DUMMYFUNCTION("GOOGLETRANSLATE(E64, ""en"", ""id"")"),"Tongkat bambu yang digunakan dalam Peresean disebut penjalin, dibuat agar tahan lama dan cepat.")</f>
        <v>Tongkat bambu yang digunakan dalam Peresean disebut penjalin, dibuat agar tahan lama dan cepat.</v>
      </c>
    </row>
    <row r="65">
      <c r="A65" s="5">
        <v>64.0</v>
      </c>
      <c r="B65" s="8" t="s">
        <v>1064</v>
      </c>
      <c r="C65" s="8" t="s">
        <v>1065</v>
      </c>
      <c r="D65" s="8" t="s">
        <v>1066</v>
      </c>
      <c r="E65" s="8" t="s">
        <v>1067</v>
      </c>
      <c r="G65" s="6" t="str">
        <f>IFERROR(__xludf.DUMMYFUNCTION("GOOGLETRANSLATE(A65, ""en"", ""id"")"),"64")</f>
        <v>64</v>
      </c>
      <c r="H65" s="6" t="str">
        <f>IFERROR(__xludf.DUMMYFUNCTION("GOOGLETRANSLATE(B65, ""en"", ""id"")"),"Peresean dikaitkan dengan pengaruh kerajaan kuno manakah?")</f>
        <v>Peresean dikaitkan dengan pengaruh kerajaan kuno manakah?</v>
      </c>
      <c r="I65" s="6" t="str">
        <f>IFERROR(__xludf.DUMMYFUNCTION("GOOGLETRANSLATE(C65, ""en"", ""id"")"),"A) Majapahit B) Sriwijaya C) Mataram D) Kediri")</f>
        <v>A) Majapahit B) Sriwijaya C) Mataram D) Kediri</v>
      </c>
      <c r="J65" s="6" t="str">
        <f>IFERROR(__xludf.DUMMYFUNCTION("GOOGLETRANSLATE(D65, ""en"", ""id"")"),"A. Majapahit")</f>
        <v>A. Majapahit</v>
      </c>
      <c r="K65" s="6" t="str">
        <f>IFERROR(__xludf.DUMMYFUNCTION("GOOGLETRANSLATE(E65, ""en"", ""id"")"),"Para sejarawan meyakini Peresean berkembang selama era Majapahit, memadukan latihan militer dengan praktik ritual.")</f>
        <v>Para sejarawan meyakini Peresean berkembang selama era Majapahit, memadukan latihan militer dengan praktik ritual.</v>
      </c>
    </row>
    <row r="66">
      <c r="A66" s="5">
        <v>65.0</v>
      </c>
      <c r="B66" s="8" t="s">
        <v>1068</v>
      </c>
      <c r="C66" s="8" t="s">
        <v>1069</v>
      </c>
      <c r="D66" s="8" t="s">
        <v>1070</v>
      </c>
      <c r="E66" s="8" t="s">
        <v>1071</v>
      </c>
      <c r="G66" s="6" t="str">
        <f>IFERROR(__xludf.DUMMYFUNCTION("GOOGLETRANSLATE(A66, ""en"", ""id"")"),"65")</f>
        <v>65</v>
      </c>
      <c r="H66" s="6" t="str">
        <f>IFERROR(__xludf.DUMMYFUNCTION("GOOGLETRANSLATE(B66, ""en"", ""id"")"),"Peresean pada awalnya melambangkan aspek kejantanan yang mana di Lombok?")</f>
        <v>Peresean pada awalnya melambangkan aspek kejantanan yang mana di Lombok?</v>
      </c>
      <c r="I66" s="6" t="str">
        <f>IFERROR(__xludf.DUMMYFUNCTION("GOOGLETRANSLATE(C66, ""en"", ""id"")"),"A) Kekuatan ekonomi B) Kesuburan dan vitalitas C) Kemurnian spiritual D) Dinas militer")</f>
        <v>A) Kekuatan ekonomi B) Kesuburan dan vitalitas C) Kemurnian spiritual D) Dinas militer</v>
      </c>
      <c r="J66" s="6" t="str">
        <f>IFERROR(__xludf.DUMMYFUNCTION("GOOGLETRANSLATE(D66, ""en"", ""id"")"),"B) Kesuburan dan kejantanan")</f>
        <v>B) Kesuburan dan kejantanan</v>
      </c>
      <c r="K66" s="6" t="str">
        <f>IFERROR(__xludf.DUMMYFUNCTION("GOOGLETRANSLATE(E66, ""en"", ""id"")"),"Peresean dikaitkan dengan ritual kesuburan, dipercaya dapat mendatangkan hujan dan kemakmuran pertanian.")</f>
        <v>Peresean dikaitkan dengan ritual kesuburan, dipercaya dapat mendatangkan hujan dan kemakmuran pertanian.</v>
      </c>
    </row>
    <row r="67">
      <c r="A67" s="5">
        <v>66.0</v>
      </c>
      <c r="B67" s="8" t="s">
        <v>1072</v>
      </c>
      <c r="C67" s="8" t="s">
        <v>1073</v>
      </c>
      <c r="D67" s="8" t="s">
        <v>577</v>
      </c>
      <c r="E67" s="8" t="s">
        <v>1074</v>
      </c>
      <c r="G67" s="6" t="str">
        <f>IFERROR(__xludf.DUMMYFUNCTION("GOOGLETRANSLATE(A67, ""en"", ""id"")"),"66")</f>
        <v>66</v>
      </c>
      <c r="H67" s="6" t="str">
        <f>IFERROR(__xludf.DUMMYFUNCTION("GOOGLETRANSLATE(B67, ""en"", ""id"")"),"Sebelum pertarungan Peresean, para peserta biasanya menjalani:")</f>
        <v>Sebelum pertarungan Peresean, para peserta biasanya menjalani:</v>
      </c>
      <c r="I67" s="6" t="str">
        <f>IFERROR(__xludf.DUMMYFUNCTION("GOOGLETRANSLATE(C67, ""en"", ""id"")"),"A) Meditasi B) Persembahan kepada leluhur C) Pemberkatan senjata D) Semua jawaban di atas")</f>
        <v>A) Meditasi B) Persembahan kepada leluhur C) Pemberkatan senjata D) Semua jawaban di atas</v>
      </c>
      <c r="J67" s="6" t="str">
        <f>IFERROR(__xludf.DUMMYFUNCTION("GOOGLETRANSLATE(D67, ""en"", ""id"")"),"D) Semua jawaban di atas")</f>
        <v>D) Semua jawaban di atas</v>
      </c>
      <c r="K67" s="6" t="str">
        <f>IFERROR(__xludf.DUMMYFUNCTION("GOOGLETRANSLATE(E67, ""en"", ""id"")"),"Ritual meliputi doa, persembahan, dan berkat untuk memastikan keselamatan dan keadilan.")</f>
        <v>Ritual meliputi doa, persembahan, dan berkat untuk memastikan keselamatan dan keadilan.</v>
      </c>
    </row>
    <row r="68">
      <c r="A68" s="5">
        <v>67.0</v>
      </c>
      <c r="B68" s="8" t="s">
        <v>1075</v>
      </c>
      <c r="C68" s="8" t="s">
        <v>1076</v>
      </c>
      <c r="D68" s="8" t="s">
        <v>1077</v>
      </c>
      <c r="E68" s="8" t="s">
        <v>1078</v>
      </c>
      <c r="G68" s="6" t="str">
        <f>IFERROR(__xludf.DUMMYFUNCTION("GOOGLETRANSLATE(A68, ""en"", ""id"")"),"67")</f>
        <v>67</v>
      </c>
      <c r="H68" s="6" t="str">
        <f>IFERROR(__xludf.DUMMYFUNCTION("GOOGLETRANSLATE(B68, ""en"", ""id"")"),"Apa arti darah yang keluar saat pertarungan Peresean secara tradisional?")</f>
        <v>Apa arti darah yang keluar saat pertarungan Peresean secara tradisional?</v>
      </c>
      <c r="I68" s="6" t="str">
        <f>IFERROR(__xludf.DUMMYFUNCTION("GOOGLETRANSLATE(C68, ""en"", ""id"")"),"A) Pertanda buruk B) Pemurnian C) Kelemahan prajurit D) Kutukan")</f>
        <v>A) Pertanda buruk B) Pemurnian C) Kelemahan prajurit D) Kutukan</v>
      </c>
      <c r="J68" s="6" t="str">
        <f>IFERROR(__xludf.DUMMYFUNCTION("GOOGLETRANSLATE(D68, ""en"", ""id"")"),"B) Pemurnian")</f>
        <v>B) Pemurnian</v>
      </c>
      <c r="K68" s="6" t="str">
        <f>IFERROR(__xludf.DUMMYFUNCTION("GOOGLETRANSLATE(E68, ""en"", ""id"")"),"Pertumpahan darah dipandang sebagai tindakan pembersihan, dipercaya dapat menyuburkan tanah dan mengundang hujan.")</f>
        <v>Pertumpahan darah dipandang sebagai tindakan pembersihan, dipercaya dapat menyuburkan tanah dan mengundang hujan.</v>
      </c>
    </row>
    <row r="69">
      <c r="A69" s="5">
        <v>68.0</v>
      </c>
      <c r="B69" s="8" t="s">
        <v>1079</v>
      </c>
      <c r="C69" s="8" t="s">
        <v>1080</v>
      </c>
      <c r="D69" s="8" t="s">
        <v>1081</v>
      </c>
      <c r="E69" s="8" t="s">
        <v>1082</v>
      </c>
      <c r="G69" s="6" t="str">
        <f>IFERROR(__xludf.DUMMYFUNCTION("GOOGLETRANSLATE(A69, ""en"", ""id"")"),"68")</f>
        <v>68</v>
      </c>
      <c r="H69" s="6" t="str">
        <f>IFERROR(__xludf.DUMMYFUNCTION("GOOGLETRANSLATE(B69, ""en"", ""id"")"),"Wasit Peresean dikenal secara lokal sebagai:")</f>
        <v>Wasit Peresean dikenal secara lokal sebagai:</v>
      </c>
      <c r="I69" s="6" t="str">
        <f>IFERROR(__xludf.DUMMYFUNCTION("GOOGLETRANSLATE(C69, ""en"", ""id"")"),"A) Wasit B) Pakemban C) Sesepuh D) Raden")</f>
        <v>A) Wasit B) Pakemban C) Sesepuh D) Raden</v>
      </c>
      <c r="J69" s="6" t="str">
        <f>IFERROR(__xludf.DUMMYFUNCTION("GOOGLETRANSLATE(D69, ""en"", ""id"")"),"B) Pakemban")</f>
        <v>B) Pakemban</v>
      </c>
      <c r="K69" s="6" t="str">
        <f>IFERROR(__xludf.DUMMYFUNCTION("GOOGLETRANSLATE(E69, ""en"", ""id"")"),"Pakemban menjaga disiplin, memastikan keadilan, dan memutuskan kapan harus menghentikan perkelahian.")</f>
        <v>Pakemban menjaga disiplin, memastikan keadilan, dan memutuskan kapan harus menghentikan perkelahian.</v>
      </c>
    </row>
    <row r="70">
      <c r="A70" s="5">
        <v>69.0</v>
      </c>
      <c r="B70" s="8" t="s">
        <v>1083</v>
      </c>
      <c r="C70" s="8" t="s">
        <v>1084</v>
      </c>
      <c r="D70" s="8" t="s">
        <v>1085</v>
      </c>
      <c r="E70" s="8" t="s">
        <v>1086</v>
      </c>
      <c r="G70" s="6" t="str">
        <f>IFERROR(__xludf.DUMMYFUNCTION("GOOGLETRANSLATE(A70, ""en"", ""id"")"),"69")</f>
        <v>69</v>
      </c>
      <c r="H70" s="6" t="str">
        <f>IFERROR(__xludf.DUMMYFUNCTION("GOOGLETRANSLATE(B70, ""en"", ""id"")"),"Alat musik apa yang biasanya mengiringi Peresean?")</f>
        <v>Alat musik apa yang biasanya mengiringi Peresean?</v>
      </c>
      <c r="I70" s="6" t="str">
        <f>IFERROR(__xludf.DUMMYFUNCTION("GOOGLETRANSLATE(C70, ""en"", ""id"")"),"A) Gamelan gong B) Kendang Kendang C) Seruling (Seruling) D) Rebana")</f>
        <v>A) Gamelan gong B) Kendang Kendang C) Seruling (Seruling) D) Rebana</v>
      </c>
      <c r="J70" s="6" t="str">
        <f>IFERROR(__xludf.DUMMYFUNCTION("GOOGLETRANSLATE(D70, ""en"", ""id"")"),"B) Kendang drum")</f>
        <v>B) Kendang drum</v>
      </c>
      <c r="K70" s="6" t="str">
        <f>IFERROR(__xludf.DUMMYFUNCTION("GOOGLETRANSLATE(E70, ""en"", ""id"")"),"Para penabuh drum mengatur irama Peresean, meningkatkan nuansa ritualistik dan dramatisnya.")</f>
        <v>Para penabuh drum mengatur irama Peresean, meningkatkan nuansa ritualistik dan dramatisnya.</v>
      </c>
    </row>
    <row r="71">
      <c r="A71" s="5">
        <v>70.0</v>
      </c>
      <c r="B71" s="8" t="s">
        <v>1087</v>
      </c>
      <c r="C71" s="8" t="s">
        <v>1088</v>
      </c>
      <c r="D71" s="8" t="s">
        <v>1089</v>
      </c>
      <c r="E71" s="8" t="s">
        <v>1090</v>
      </c>
      <c r="G71" s="6" t="str">
        <f>IFERROR(__xludf.DUMMYFUNCTION("GOOGLETRANSLATE(A71, ""en"", ""id"")"),"70")</f>
        <v>70</v>
      </c>
      <c r="H71" s="6" t="str">
        <f>IFERROR(__xludf.DUMMYFUNCTION("GOOGLETRANSLATE(B71, ""en"", ""id"")"),"Pertarungan Peresean dulunya digunakan sebagai ritual untuk:")</f>
        <v>Pertarungan Peresean dulunya digunakan sebagai ritual untuk:</v>
      </c>
      <c r="I71" s="6" t="str">
        <f>IFERROR(__xludf.DUMMYFUNCTION("GOOGLETRANSLATE(C71, ""en"", ""id"")"),"A) Menguji kesetiaan kepada raja B) Memanggil hujan C) Memilih pemimpin desa D) Menghormati para prajurit")</f>
        <v>A) Menguji kesetiaan kepada raja B) Memanggil hujan C) Memilih pemimpin desa D) Menghormati para prajurit</v>
      </c>
      <c r="J71" s="6" t="str">
        <f>IFERROR(__xludf.DUMMYFUNCTION("GOOGLETRANSLATE(D71, ""en"", ""id"")"),"B) Memanggil hujan")</f>
        <v>B) Memanggil hujan</v>
      </c>
      <c r="K71" s="6" t="str">
        <f>IFERROR(__xludf.DUMMYFUNCTION("GOOGLETRANSLATE(E71, ""en"", ""id"")"),"Pertandingan dipercaya dapat mengundang hujan, menghubungkan pertempuran dengan kesuburan pertanian.")</f>
        <v>Pertandingan dipercaya dapat mengundang hujan, menghubungkan pertempuran dengan kesuburan pertanian.</v>
      </c>
    </row>
    <row r="72">
      <c r="A72" s="5">
        <v>71.0</v>
      </c>
      <c r="B72" s="8" t="s">
        <v>1091</v>
      </c>
      <c r="C72" s="8" t="s">
        <v>1092</v>
      </c>
      <c r="D72" s="8" t="s">
        <v>1093</v>
      </c>
      <c r="E72" s="8" t="s">
        <v>1094</v>
      </c>
      <c r="G72" s="6" t="str">
        <f>IFERROR(__xludf.DUMMYFUNCTION("GOOGLETRANSLATE(A72, ""en"", ""id"")"),"71")</f>
        <v>71</v>
      </c>
      <c r="H72" s="6" t="str">
        <f>IFERROR(__xludf.DUMMYFUNCTION("GOOGLETRANSLATE(B72, ""en"", ""id"")"),"Di Lombok, Peresean pernah menjadi metode untuk:")</f>
        <v>Di Lombok, Peresean pernah menjadi metode untuk:</v>
      </c>
      <c r="I72" s="6" t="str">
        <f>IFERROR(__xludf.DUMMYFUNCTION("GOOGLETRANSLATE(C72, ""en"", ""id"")"),"A) Melatih nelayan B) Menyelesaikan perselisihan C) Memilih calon pengantin D) Memulai perjanjian dagang")</f>
        <v>A) Melatih nelayan B) Menyelesaikan perselisihan C) Memilih calon pengantin D) Memulai perjanjian dagang</v>
      </c>
      <c r="J72" s="6" t="str">
        <f>IFERROR(__xludf.DUMMYFUNCTION("GOOGLETRANSLATE(D72, ""en"", ""id"")"),"B) Menyelesaikan perselisihan")</f>
        <v>B) Menyelesaikan perselisihan</v>
      </c>
      <c r="K72" s="6" t="str">
        <f>IFERROR(__xludf.DUMMYFUNCTION("GOOGLETRANSLATE(E72, ""en"", ""id"")"),"Daripada terjadi pertengkaran berkepanjangan, perselisihan diselesaikan melalui perkelahian Peresean yang terkendali.")</f>
        <v>Daripada terjadi pertengkaran berkepanjangan, perselisihan diselesaikan melalui perkelahian Peresean yang terkendali.</v>
      </c>
    </row>
    <row r="73">
      <c r="A73" s="5">
        <v>72.0</v>
      </c>
      <c r="B73" s="8" t="s">
        <v>1095</v>
      </c>
      <c r="C73" s="8" t="s">
        <v>1096</v>
      </c>
      <c r="D73" s="8" t="s">
        <v>1097</v>
      </c>
      <c r="E73" s="8" t="s">
        <v>1098</v>
      </c>
      <c r="G73" s="6" t="str">
        <f>IFERROR(__xludf.DUMMYFUNCTION("GOOGLETRANSLATE(A73, ""en"", ""id"")"),"72")</f>
        <v>72</v>
      </c>
      <c r="H73" s="6" t="str">
        <f>IFERROR(__xludf.DUMMYFUNCTION("GOOGLETRANSLATE(B73, ""en"", ""id"")"),"Secara tradisional, siapa yang menyelenggarakan pertandingan Peresean di desa-desa?")</f>
        <v>Secara tradisional, siapa yang menyelenggarakan pertandingan Peresean di desa-desa?</v>
      </c>
      <c r="I73" s="6" t="str">
        <f>IFERROR(__xludf.DUMMYFUNCTION("GOOGLETRANSLATE(C73, ""en"", ""id"")"),"A) Kepala desa B) Pendeta agama C) Perwira militer D) Pedagang kaya")</f>
        <v>A) Kepala desa B) Pendeta agama C) Perwira militer D) Pedagang kaya</v>
      </c>
      <c r="J73" s="6" t="str">
        <f>IFERROR(__xludf.DUMMYFUNCTION("GOOGLETRANSLATE(D73, ""en"", ""id"")"),"A) Kepala desa")</f>
        <v>A) Kepala desa</v>
      </c>
      <c r="K73" s="6" t="str">
        <f>IFERROR(__xludf.DUMMYFUNCTION("GOOGLETRANSLATE(E73, ""en"", ""id"")"),"Para pemimpin desa mengatur pertandingan selama perayaan, memberi mereka legitimasi dan ketertiban.")</f>
        <v>Para pemimpin desa mengatur pertandingan selama perayaan, memberi mereka legitimasi dan ketertiban.</v>
      </c>
    </row>
    <row r="74">
      <c r="A74" s="5">
        <v>73.0</v>
      </c>
      <c r="B74" s="8" t="s">
        <v>1099</v>
      </c>
      <c r="C74" s="8" t="s">
        <v>1100</v>
      </c>
      <c r="D74" s="8" t="s">
        <v>577</v>
      </c>
      <c r="E74" s="8" t="s">
        <v>1101</v>
      </c>
      <c r="G74" s="6" t="str">
        <f>IFERROR(__xludf.DUMMYFUNCTION("GOOGLETRANSLATE(A74, ""en"", ""id"")"),"73")</f>
        <v>73</v>
      </c>
      <c r="H74" s="6" t="str">
        <f>IFERROR(__xludf.DUMMYFUNCTION("GOOGLETRANSLATE(B74, ""en"", ""id"")"),"Apa peran penonton dalam Peresean modern?")</f>
        <v>Apa peran penonton dalam Peresean modern?</v>
      </c>
      <c r="I74" s="6" t="str">
        <f>IFERROR(__xludf.DUMMYFUNCTION("GOOGLETRANSLATE(C74, ""en"", ""id"")"),"A) Pengamat pasif B) Pendorong aktif C) Sponsor dan kritikus D) Semua jawaban di atas")</f>
        <v>A) Pengamat pasif B) Pendorong aktif C) Sponsor dan kritikus D) Semua jawaban di atas</v>
      </c>
      <c r="J74" s="6" t="str">
        <f>IFERROR(__xludf.DUMMYFUNCTION("GOOGLETRANSLATE(D74, ""en"", ""id"")"),"D) Semua jawaban di atas")</f>
        <v>D) Semua jawaban di atas</v>
      </c>
      <c r="K74" s="6" t="str">
        <f>IFERROR(__xludf.DUMMYFUNCTION("GOOGLETRANSLATE(E74, ""en"", ""id"")"),"Penonton bersorak, menyemangati petarung, dan terkadang mendanai hadiah, yang menjadikan hal-hal tersebut bagian tak terpisahkan dari olahraga tersebut.")</f>
        <v>Penonton bersorak, menyemangati petarung, dan terkadang mendanai hadiah, yang menjadikan hal-hal tersebut bagian tak terpisahkan dari olahraga tersebut.</v>
      </c>
    </row>
    <row r="75">
      <c r="A75" s="5">
        <v>74.0</v>
      </c>
      <c r="B75" s="8" t="s">
        <v>1102</v>
      </c>
      <c r="C75" s="8" t="s">
        <v>1103</v>
      </c>
      <c r="D75" s="8" t="s">
        <v>577</v>
      </c>
      <c r="E75" s="8" t="s">
        <v>1104</v>
      </c>
      <c r="G75" s="6" t="str">
        <f>IFERROR(__xludf.DUMMYFUNCTION("GOOGLETRANSLATE(A75, ""en"", ""id"")"),"74")</f>
        <v>74</v>
      </c>
      <c r="H75" s="6" t="str">
        <f>IFERROR(__xludf.DUMMYFUNCTION("GOOGLETRANSLATE(B75, ""en"", ""id"")"),"Mengapa Pepadu bertarung tanpa baju zirah yang berat?")</f>
        <v>Mengapa Pepadu bertarung tanpa baju zirah yang berat?</v>
      </c>
      <c r="I75" s="6" t="str">
        <f>IFERROR(__xludf.DUMMYFUNCTION("GOOGLETRANSLATE(C75, ""en"", ""id"")"),"A) Untuk membuktikan keberanian B) Untuk kelincahan C) Karena tradisi D) Semua jawaban di atas")</f>
        <v>A) Untuk membuktikan keberanian B) Untuk kelincahan C) Karena tradisi D) Semua jawaban di atas</v>
      </c>
      <c r="J75" s="6" t="str">
        <f>IFERROR(__xludf.DUMMYFUNCTION("GOOGLETRANSLATE(D75, ""en"", ""id"")"),"D) Semua jawaban di atas")</f>
        <v>D) Semua jawaban di atas</v>
      </c>
      <c r="K75" s="6" t="str">
        <f>IFERROR(__xludf.DUMMYFUNCTION("GOOGLETRANSLATE(E75, ""en"", ""id"")"),"Peresean melambangkan keberanian, keterampilan, dan tradisi budaya, bukan sekadar ketergantungan pada perlindungan.")</f>
        <v>Peresean melambangkan keberanian, keterampilan, dan tradisi budaya, bukan sekadar ketergantungan pada perlindungan.</v>
      </c>
    </row>
    <row r="76">
      <c r="A76" s="5">
        <v>75.0</v>
      </c>
      <c r="B76" s="8" t="s">
        <v>1105</v>
      </c>
      <c r="C76" s="8" t="s">
        <v>1106</v>
      </c>
      <c r="D76" s="8" t="s">
        <v>1107</v>
      </c>
      <c r="E76" s="8" t="s">
        <v>1108</v>
      </c>
      <c r="G76" s="6" t="str">
        <f>IFERROR(__xludf.DUMMYFUNCTION("GOOGLETRANSLATE(A76, ""en"", ""id"")"),"75")</f>
        <v>75</v>
      </c>
      <c r="H76" s="6" t="str">
        <f>IFERROR(__xludf.DUMMYFUNCTION("GOOGLETRANSLATE(B76, ""en"", ""id"")"),"Siapa yang secara tradisional menjadi juri pertandingan Peresean selain wasit?")</f>
        <v>Siapa yang secara tradisional menjadi juri pertandingan Peresean selain wasit?</v>
      </c>
      <c r="I76" s="6" t="str">
        <f>IFERROR(__xludf.DUMMYFUNCTION("GOOGLETRANSLATE(C76, ""en"", ""id"")"),"A) Para Tetua B) Raja C) Anak-anak D) Wanita")</f>
        <v>A) Para Tetua B) Raja C) Anak-anak D) Wanita</v>
      </c>
      <c r="J76" s="6" t="str">
        <f>IFERROR(__xludf.DUMMYFUNCTION("GOOGLETRANSLATE(D76, ""en"", ""id"")"),"A) Para Tetua")</f>
        <v>A) Para Tetua</v>
      </c>
      <c r="K76" s="6" t="str">
        <f>IFERROR(__xludf.DUMMYFUNCTION("GOOGLETRANSLATE(E76, ""en"", ""id"")"),"Para tetua masyarakat secara tradisional memvalidasi hasil, menghubungkan perkelahian dengan kearifan budaya.")</f>
        <v>Para tetua masyarakat secara tradisional memvalidasi hasil, menghubungkan perkelahian dengan kearifan budaya.</v>
      </c>
    </row>
    <row r="77">
      <c r="A77" s="5">
        <v>76.0</v>
      </c>
      <c r="B77" s="8" t="s">
        <v>1109</v>
      </c>
      <c r="C77" s="8" t="s">
        <v>1110</v>
      </c>
      <c r="D77" s="8" t="s">
        <v>1111</v>
      </c>
      <c r="E77" s="8" t="s">
        <v>1112</v>
      </c>
      <c r="G77" s="6" t="str">
        <f>IFERROR(__xludf.DUMMYFUNCTION("GOOGLETRANSLATE(A77, ""en"", ""id"")"),"76")</f>
        <v>76</v>
      </c>
      <c r="H77" s="6" t="str">
        <f>IFERROR(__xludf.DUMMYFUNCTION("GOOGLETRANSLATE(B77, ""en"", ""id"")"),"Keterampilan apa yang paling penting untuk pertahanan di Peresean?")</f>
        <v>Keterampilan apa yang paling penting untuk pertahanan di Peresean?</v>
      </c>
      <c r="I77" s="6" t="str">
        <f>IFERROR(__xludf.DUMMYFUNCTION("GOOGLETRANSLATE(C77, ""en"", ""id"")"),"A) Refleks cepat B) Perisai kuat C) Baju zirah berat D) Jangkauan jauh")</f>
        <v>A) Refleks cepat B) Perisai kuat C) Baju zirah berat D) Jangkauan jauh</v>
      </c>
      <c r="J77" s="6" t="str">
        <f>IFERROR(__xludf.DUMMYFUNCTION("GOOGLETRANSLATE(D77, ""en"", ""id"")"),"A) Refleks cepat")</f>
        <v>A) Refleks cepat</v>
      </c>
      <c r="K77" s="6" t="str">
        <f>IFERROR(__xludf.DUMMYFUNCTION("GOOGLETRANSLATE(E77, ""en"", ""id"")"),"Tanpa baju besi, Pepadu mengandalkan refleks dan manuver perisai untuk menghindari cedera.")</f>
        <v>Tanpa baju besi, Pepadu mengandalkan refleks dan manuver perisai untuk menghindari cedera.</v>
      </c>
    </row>
    <row r="78">
      <c r="A78" s="5">
        <v>77.0</v>
      </c>
      <c r="B78" s="8" t="s">
        <v>1113</v>
      </c>
      <c r="C78" s="8" t="s">
        <v>1114</v>
      </c>
      <c r="D78" s="8" t="s">
        <v>1115</v>
      </c>
      <c r="E78" s="8" t="s">
        <v>1116</v>
      </c>
      <c r="G78" s="6" t="str">
        <f>IFERROR(__xludf.DUMMYFUNCTION("GOOGLETRANSLATE(A78, ""en"", ""id"")"),"77")</f>
        <v>77</v>
      </c>
      <c r="H78" s="6" t="str">
        <f>IFERROR(__xludf.DUMMYFUNCTION("GOOGLETRANSLATE(B78, ""en"", ""id"")"),"Strategi apa yang dianggap tidak terhormat dalam Peresean?")</f>
        <v>Strategi apa yang dianggap tidak terhormat dalam Peresean?</v>
      </c>
      <c r="I78" s="6" t="str">
        <f>IFERROR(__xludf.DUMMYFUNCTION("GOOGLETRANSLATE(C78, ""en"", ""id"")"),"A) Menghindar B) Menyerang dari belakang C) Serangan balik D) Mundur")</f>
        <v>A) Menghindar B) Menyerang dari belakang C) Serangan balik D) Mundur</v>
      </c>
      <c r="J78" s="6" t="str">
        <f>IFERROR(__xludf.DUMMYFUNCTION("GOOGLETRANSLATE(D78, ""en"", ""id"")"),"B) Menyerang dari belakang")</f>
        <v>B) Menyerang dari belakang</v>
      </c>
      <c r="K78" s="6" t="str">
        <f>IFERROR(__xludf.DUMMYFUNCTION("GOOGLETRANSLATE(E78, ""en"", ""id"")"),"Kehormatan mendiktekan pertarungan tatap muka; serangan mendadak dikutuk.")</f>
        <v>Kehormatan mendiktekan pertarungan tatap muka; serangan mendadak dikutuk.</v>
      </c>
    </row>
    <row r="79">
      <c r="A79" s="5">
        <v>78.0</v>
      </c>
      <c r="B79" s="8" t="s">
        <v>1117</v>
      </c>
      <c r="C79" s="8" t="s">
        <v>1118</v>
      </c>
      <c r="D79" s="8" t="s">
        <v>1119</v>
      </c>
      <c r="E79" s="8" t="s">
        <v>1120</v>
      </c>
      <c r="G79" s="6" t="str">
        <f>IFERROR(__xludf.DUMMYFUNCTION("GOOGLETRANSLATE(A79, ""en"", ""id"")"),"78")</f>
        <v>78</v>
      </c>
      <c r="H79" s="6" t="str">
        <f>IFERROR(__xludf.DUMMYFUNCTION("GOOGLETRANSLATE(B79, ""en"", ""id"")"),"Bagaimana keseimbangan dijaga selama Peresean?")</f>
        <v>Bagaimana keseimbangan dijaga selama Peresean?</v>
      </c>
      <c r="I79" s="6" t="str">
        <f>IFERROR(__xludf.DUMMYFUNCTION("GOOGLETRANSLATE(C79, ""en"", ""id"")"),"A) Posisi kaki lebar B) Berputar terus menerus C) Serangan melompat D) Sering berjongkok")</f>
        <v>A) Posisi kaki lebar B) Berputar terus menerus C) Serangan melompat D) Sering berjongkok</v>
      </c>
      <c r="J79" s="6" t="str">
        <f>IFERROR(__xludf.DUMMYFUNCTION("GOOGLETRANSLATE(D79, ""en"", ""id"")"),"A) Posisi kaki lebar")</f>
        <v>A) Posisi kaki lebar</v>
      </c>
      <c r="K79" s="6" t="str">
        <f>IFERROR(__xludf.DUMMYFUNCTION("GOOGLETRANSLATE(E79, ""en"", ""id"")"),"Sikap bertahan memastikan kestabilan selama pukulan bambu.")</f>
        <v>Sikap bertahan memastikan kestabilan selama pukulan bambu.</v>
      </c>
    </row>
    <row r="80">
      <c r="A80" s="5">
        <v>79.0</v>
      </c>
      <c r="B80" s="8" t="s">
        <v>1121</v>
      </c>
      <c r="C80" s="8" t="s">
        <v>1122</v>
      </c>
      <c r="D80" s="8" t="s">
        <v>1123</v>
      </c>
      <c r="E80" s="8" t="s">
        <v>1124</v>
      </c>
      <c r="G80" s="6" t="str">
        <f>IFERROR(__xludf.DUMMYFUNCTION("GOOGLETRANSLATE(A80, ""en"", ""id"")"),"79")</f>
        <v>79</v>
      </c>
      <c r="H80" s="6" t="str">
        <f>IFERROR(__xludf.DUMMYFUNCTION("GOOGLETRANSLATE(B80, ""en"", ""id"")"),"Apa yang paling menentukan reputasi seorang Pepadu?")</f>
        <v>Apa yang paling menentukan reputasi seorang Pepadu?</v>
      </c>
      <c r="I80" s="6" t="str">
        <f>IFERROR(__xludf.DUMMYFUNCTION("GOOGLETRANSLATE(C80, ""en"", ""id"")"),"A) Jumlah kemenangan B) Keanggunan dalam pertempuran C) Kekayaan D) Usia")</f>
        <v>A) Jumlah kemenangan B) Keanggunan dalam pertempuran C) Kekayaan D) Usia</v>
      </c>
      <c r="J80" s="6" t="str">
        <f>IFERROR(__xludf.DUMMYFUNCTION("GOOGLETRANSLATE(D80, ""en"", ""id"")"),"B) Keanggunan dalam pertempuran")</f>
        <v>B) Keanggunan dalam pertempuran</v>
      </c>
      <c r="K80" s="6" t="str">
        <f>IFERROR(__xludf.DUMMYFUNCTION("GOOGLETRANSLATE(E80, ""en"", ""id"")"),"Rasa hormat diperoleh bukan hanya melalui kemenangan, tetapi juga melalui menunjukkan keterampilan dan kehormatan yang terkendali.")</f>
        <v>Rasa hormat diperoleh bukan hanya melalui kemenangan, tetapi juga melalui menunjukkan keterampilan dan kehormatan yang terkendali.</v>
      </c>
    </row>
    <row r="81">
      <c r="A81" s="5">
        <v>80.0</v>
      </c>
      <c r="B81" s="8" t="s">
        <v>1125</v>
      </c>
      <c r="C81" s="8" t="s">
        <v>1126</v>
      </c>
      <c r="D81" s="8" t="s">
        <v>1127</v>
      </c>
      <c r="E81" s="8" t="s">
        <v>1128</v>
      </c>
      <c r="G81" s="6" t="str">
        <f>IFERROR(__xludf.DUMMYFUNCTION("GOOGLETRANSLATE(A81, ""en"", ""id"")"),"80")</f>
        <v>80</v>
      </c>
      <c r="H81" s="6" t="str">
        <f>IFERROR(__xludf.DUMMYFUNCTION("GOOGLETRANSLATE(B81, ""en"", ""id"")"),"Jurus manakah yang dianggap sebagai tanda penguasaan dalam Peresean?")</f>
        <v>Jurus manakah yang dianggap sebagai tanda penguasaan dalam Peresean?</v>
      </c>
      <c r="I81" s="6" t="str">
        <f>IFERROR(__xludf.DUMMYFUNCTION("GOOGLETRANSLATE(C81, ""en"", ""id"")"),"A) Menghindari beberapa serangan B) Mematahkan tongkat lawan C) Menjatuhkan perisai D) Mendaratkan tiga serangan berturut-turut")</f>
        <v>A) Menghindari beberapa serangan B) Mematahkan tongkat lawan C) Menjatuhkan perisai D) Mendaratkan tiga serangan berturut-turut</v>
      </c>
      <c r="J81" s="6" t="str">
        <f>IFERROR(__xludf.DUMMYFUNCTION("GOOGLETRANSLATE(D81, ""en"", ""id"")"),"C) Merobohkan perisai")</f>
        <v>C) Merobohkan perisai</v>
      </c>
      <c r="K81" s="6" t="str">
        <f>IFERROR(__xludf.DUMMYFUNCTION("GOOGLETRANSLATE(E81, ""en"", ""id"")"),"Melucuti perisai mencerminkan teknik dan kontrol yang unggul.")</f>
        <v>Melucuti perisai mencerminkan teknik dan kontrol yang unggul.</v>
      </c>
    </row>
    <row r="82">
      <c r="A82" s="5">
        <v>81.0</v>
      </c>
      <c r="B82" s="8" t="s">
        <v>1129</v>
      </c>
      <c r="C82" s="8" t="s">
        <v>1130</v>
      </c>
      <c r="D82" s="8" t="s">
        <v>1131</v>
      </c>
      <c r="E82" s="8" t="s">
        <v>1132</v>
      </c>
      <c r="G82" s="6" t="str">
        <f>IFERROR(__xludf.DUMMYFUNCTION("GOOGLETRANSLATE(A82, ""en"", ""id"")"),"81")</f>
        <v>81</v>
      </c>
      <c r="H82" s="6" t="str">
        <f>IFERROR(__xludf.DUMMYFUNCTION("GOOGLETRANSLATE(B82, ""en"", ""id"")"),"Kelompok etnis manakah di Lombok yang paling terkait dengan Peresean?")</f>
        <v>Kelompok etnis manakah di Lombok yang paling terkait dengan Peresean?</v>
      </c>
      <c r="I82" s="6" t="str">
        <f>IFERROR(__xludf.DUMMYFUNCTION("GOOGLETRANSLATE(C82, ""en"", ""id"")"),"A) Sasak B) Bali C) Jawa D) Bugis")</f>
        <v>A) Sasak B) Bali C) Jawa D) Bugis</v>
      </c>
      <c r="J82" s="6" t="str">
        <f>IFERROR(__xludf.DUMMYFUNCTION("GOOGLETRANSLATE(D82, ""en"", ""id"")"),"A) Suku Sasak")</f>
        <v>A) Suku Sasak</v>
      </c>
      <c r="K82" s="6" t="str">
        <f>IFERROR(__xludf.DUMMYFUNCTION("GOOGLETRANSLATE(E82, ""en"", ""id"")"),"Peresean berakar pada budaya dan adat istiadat masyarakat Sasak.")</f>
        <v>Peresean berakar pada budaya dan adat istiadat masyarakat Sasak.</v>
      </c>
    </row>
    <row r="83">
      <c r="A83" s="5">
        <v>82.0</v>
      </c>
      <c r="B83" s="8" t="s">
        <v>1133</v>
      </c>
      <c r="C83" s="8" t="s">
        <v>1134</v>
      </c>
      <c r="D83" s="8" t="s">
        <v>1135</v>
      </c>
      <c r="E83" s="8" t="s">
        <v>1136</v>
      </c>
      <c r="G83" s="6" t="str">
        <f>IFERROR(__xludf.DUMMYFUNCTION("GOOGLETRANSLATE(A83, ""en"", ""id"")"),"82")</f>
        <v>82</v>
      </c>
      <c r="H83" s="6" t="str">
        <f>IFERROR(__xludf.DUMMYFUNCTION("GOOGLETRANSLATE(B83, ""en"", ""id"")"),"Apa nama tradisional arena pertarungan Peresean?")</f>
        <v>Apa nama tradisional arena pertarungan Peresean?</v>
      </c>
      <c r="I83" s="6" t="str">
        <f>IFERROR(__xludf.DUMMYFUNCTION("GOOGLETRANSLATE(C83, ""en"", ""id"")"),"A) Alun-alun B) Lapangan C) Ampiteater D) Arena pepadu")</f>
        <v>A) Alun-alun B) Lapangan C) Ampiteater D) Arena pepadu</v>
      </c>
      <c r="J83" s="6" t="str">
        <f>IFERROR(__xludf.DUMMYFUNCTION("GOOGLETRANSLATE(D83, ""en"", ""id"")"),"B) Lapangan")</f>
        <v>B) Lapangan</v>
      </c>
      <c r="K83" s="6" t="str">
        <f>IFERROR(__xludf.DUMMYFUNCTION("GOOGLETRANSLATE(E83, ""en"", ""id"")"),"Pertandingan biasanya diadakan di lapangan terbuka (lapangan), yang dapat diakses oleh semua penduduk desa.")</f>
        <v>Pertandingan biasanya diadakan di lapangan terbuka (lapangan), yang dapat diakses oleh semua penduduk desa.</v>
      </c>
    </row>
    <row r="84">
      <c r="A84" s="5">
        <v>83.0</v>
      </c>
      <c r="B84" s="8" t="s">
        <v>1137</v>
      </c>
      <c r="C84" s="8" t="s">
        <v>1138</v>
      </c>
      <c r="D84" s="8" t="s">
        <v>1139</v>
      </c>
      <c r="E84" s="8" t="s">
        <v>1140</v>
      </c>
      <c r="G84" s="6" t="str">
        <f>IFERROR(__xludf.DUMMYFUNCTION("GOOGLETRANSLATE(A84, ""en"", ""id"")"),"83")</f>
        <v>83</v>
      </c>
      <c r="H84" s="6" t="str">
        <f>IFERROR(__xludf.DUMMYFUNCTION("GOOGLETRANSLATE(B84, ""en"", ""id"")"),"Hari raya Indonesia manakah yang sering menghadirkan Peresean?")</f>
        <v>Hari raya Indonesia manakah yang sering menghadirkan Peresean?</v>
      </c>
      <c r="I84" s="6" t="str">
        <f>IFERROR(__xludf.DUMMYFUNCTION("GOOGLETRANSLATE(C84, ""en"", ""id"")"),"A) Nyepi B) Hari Kemerdekaan C) Festival Bau Nyale D) Idul Fitri")</f>
        <v>A) Nyepi B) Hari Kemerdekaan C) Festival Bau Nyale D) Idul Fitri</v>
      </c>
      <c r="J84" s="6" t="str">
        <f>IFERROR(__xludf.DUMMYFUNCTION("GOOGLETRANSLATE(D84, ""en"", ""id"")"),"C) Festival Bau Nyale")</f>
        <v>C) Festival Bau Nyale</v>
      </c>
      <c r="K84" s="6" t="str">
        <f>IFERROR(__xludf.DUMMYFUNCTION("GOOGLETRANSLATE(E84, ""en"", ""id"")"),"Selama festival cacing laut tahunan ini, Peresean menjadi atraksi utama.")</f>
        <v>Selama festival cacing laut tahunan ini, Peresean menjadi atraksi utama.</v>
      </c>
    </row>
    <row r="85">
      <c r="A85" s="5">
        <v>84.0</v>
      </c>
      <c r="B85" s="8" t="s">
        <v>1141</v>
      </c>
      <c r="C85" s="8" t="s">
        <v>1142</v>
      </c>
      <c r="D85" s="8" t="s">
        <v>577</v>
      </c>
      <c r="E85" s="8" t="s">
        <v>1143</v>
      </c>
      <c r="G85" s="6" t="str">
        <f>IFERROR(__xludf.DUMMYFUNCTION("GOOGLETRANSLATE(A85, ""en"", ""id"")"),"84")</f>
        <v>84</v>
      </c>
      <c r="H85" s="6" t="str">
        <f>IFERROR(__xludf.DUMMYFUNCTION("GOOGLETRANSLATE(B85, ""en"", ""id"")"),"Apa yang menghubungkan Peresean dengan siklus pertanian?")</f>
        <v>Apa yang menghubungkan Peresean dengan siklus pertanian?</v>
      </c>
      <c r="I85" s="6" t="str">
        <f>IFERROR(__xludf.DUMMYFUNCTION("GOOGLETRANSLATE(C85, ""en"", ""id"")"),"A) Ritual pasca panen B) Perayaan sebelum tanam C) Upacara pemanggilan hujan D) Semua jawaban di atas")</f>
        <v>A) Ritual pasca panen B) Perayaan sebelum tanam C) Upacara pemanggilan hujan D) Semua jawaban di atas</v>
      </c>
      <c r="J85" s="6" t="str">
        <f>IFERROR(__xludf.DUMMYFUNCTION("GOOGLETRANSLATE(D85, ""en"", ""id"")"),"D) Semua jawaban di atas")</f>
        <v>D) Semua jawaban di atas</v>
      </c>
      <c r="K85" s="6" t="str">
        <f>IFERROR(__xludf.DUMMYFUNCTION("GOOGLETRANSLATE(E85, ""en"", ""id"")"),"Peresean dikaitkan dengan pertanian, menandai ritual penanaman, panen, dan hujan.")</f>
        <v>Peresean dikaitkan dengan pertanian, menandai ritual penanaman, panen, dan hujan.</v>
      </c>
    </row>
    <row r="86">
      <c r="A86" s="5">
        <v>85.0</v>
      </c>
      <c r="B86" s="8" t="s">
        <v>1144</v>
      </c>
      <c r="C86" s="8" t="s">
        <v>1145</v>
      </c>
      <c r="D86" s="8" t="s">
        <v>1146</v>
      </c>
      <c r="E86" s="8" t="s">
        <v>1147</v>
      </c>
      <c r="G86" s="6" t="str">
        <f>IFERROR(__xludf.DUMMYFUNCTION("GOOGLETRANSLATE(A86, ""en"", ""id"")"),"85")</f>
        <v>85</v>
      </c>
      <c r="H86" s="6" t="str">
        <f>IFERROR(__xludf.DUMMYFUNCTION("GOOGLETRANSLATE(B86, ""en"", ""id"")"),"Daerah Lombok manakah yang khususnya terkenal sebagai tuan rumah Peresean?")</f>
        <v>Daerah Lombok manakah yang khususnya terkenal sebagai tuan rumah Peresean?</v>
      </c>
      <c r="I86" s="6" t="str">
        <f>IFERROR(__xludf.DUMMYFUNCTION("GOOGLETRANSLATE(C86, ""en"", ""id"")"),"A) Mataram B) Senggigi C) Praya D) Lombok Tengah")</f>
        <v>A) Mataram B) Senggigi C) Praya D) Lombok Tengah</v>
      </c>
      <c r="J86" s="6" t="str">
        <f>IFERROR(__xludf.DUMMYFUNCTION("GOOGLETRANSLATE(D86, ""en"", ""id"")"),"D) Lombok Tengah")</f>
        <v>D) Lombok Tengah</v>
      </c>
      <c r="K86" s="6" t="str">
        <f>IFERROR(__xludf.DUMMYFUNCTION("GOOGLETRANSLATE(E86, ""en"", ""id"")"),"Desa-desa di Lombok Tengah sering menyelenggarakan kompetisi Peresean yang terkenal.")</f>
        <v>Desa-desa di Lombok Tengah sering menyelenggarakan kompetisi Peresean yang terkenal.</v>
      </c>
    </row>
    <row r="87">
      <c r="A87" s="5">
        <v>86.0</v>
      </c>
      <c r="B87" s="8" t="s">
        <v>1148</v>
      </c>
      <c r="C87" s="8" t="s">
        <v>1149</v>
      </c>
      <c r="D87" s="8" t="s">
        <v>577</v>
      </c>
      <c r="E87" s="8" t="s">
        <v>1150</v>
      </c>
      <c r="G87" s="6" t="str">
        <f>IFERROR(__xludf.DUMMYFUNCTION("GOOGLETRANSLATE(A87, ""en"", ""id"")"),"86")</f>
        <v>86</v>
      </c>
      <c r="H87" s="6" t="str">
        <f>IFERROR(__xludf.DUMMYFUNCTION("GOOGLETRANSLATE(B87, ""en"", ""id"")"),"Mengapa Peresean dikaitkan dengan curah hujan?")</f>
        <v>Mengapa Peresean dikaitkan dengan curah hujan?</v>
      </c>
      <c r="I87" s="6" t="str">
        <f>IFERROR(__xludf.DUMMYFUNCTION("GOOGLETRANSLATE(C87, ""en"", ""id"")"),"A) Darah dianggap sebagai tanah yang subur B) Genderang menirukan guntur C) Waktu ritual bertepatan dengan musim hujan D) Semua jawaban di atas")</f>
        <v>A) Darah dianggap sebagai tanah yang subur B) Genderang menirukan guntur C) Waktu ritual bertepatan dengan musim hujan D) Semua jawaban di atas</v>
      </c>
      <c r="J87" s="6" t="str">
        <f>IFERROR(__xludf.DUMMYFUNCTION("GOOGLETRANSLATE(D87, ""en"", ""id"")"),"D) Semua jawaban di atas")</f>
        <v>D) Semua jawaban di atas</v>
      </c>
      <c r="K87" s="6" t="str">
        <f>IFERROR(__xludf.DUMMYFUNCTION("GOOGLETRANSLATE(E87, ""en"", ""id"")"),"Pertumpahan darah, genderang, dan pengaturan musim menciptakan daya tarik simbolis bagi dewa hujan.")</f>
        <v>Pertumpahan darah, genderang, dan pengaturan musim menciptakan daya tarik simbolis bagi dewa hujan.</v>
      </c>
    </row>
    <row r="88">
      <c r="A88" s="5">
        <v>87.0</v>
      </c>
      <c r="B88" s="8" t="s">
        <v>1151</v>
      </c>
      <c r="C88" s="8" t="s">
        <v>1152</v>
      </c>
      <c r="D88" s="8" t="s">
        <v>1153</v>
      </c>
      <c r="E88" s="8" t="s">
        <v>1154</v>
      </c>
      <c r="G88" s="6" t="str">
        <f>IFERROR(__xludf.DUMMYFUNCTION("GOOGLETRANSLATE(A88, ""en"", ""id"")"),"87")</f>
        <v>87</v>
      </c>
      <c r="H88" s="6" t="str">
        <f>IFERROR(__xludf.DUMMYFUNCTION("GOOGLETRANSLATE(B88, ""en"", ""id"")"),"Pelajaran moral apa yang ditekankan Peresean?")</f>
        <v>Pelajaran moral apa yang ditekankan Peresean?</v>
      </c>
      <c r="I88" s="6" t="str">
        <f>IFERROR(__xludf.DUMMYFUNCTION("GOOGLETRANSLATE(C88, ""en"", ""id"")"),"A) Keserakahan membawa kekalahan B) Rasa hormat melebihi kemenangan C) Diam melebihi kesombongan D) Usia melebihi masa muda")</f>
        <v>A) Keserakahan membawa kekalahan B) Rasa hormat melebihi kemenangan C) Diam melebihi kesombongan D) Usia melebihi masa muda</v>
      </c>
      <c r="J88" s="6" t="str">
        <f>IFERROR(__xludf.DUMMYFUNCTION("GOOGLETRANSLATE(D88, ""en"", ""id"")"),"B) Rasa hormat atas kemenangan")</f>
        <v>B) Rasa hormat atas kemenangan</v>
      </c>
      <c r="K88" s="6" t="str">
        <f>IFERROR(__xludf.DUMMYFUNCTION("GOOGLETRANSLATE(E88, ""en"", ""id"")"),"Para petarung harus menundukkan kepala dan berjabat tangan, menekankan rasa hormat terlepas apapun hasilnya.")</f>
        <v>Para petarung harus menundukkan kepala dan berjabat tangan, menekankan rasa hormat terlepas apapun hasilnya.</v>
      </c>
    </row>
    <row r="89">
      <c r="A89" s="5">
        <v>88.0</v>
      </c>
      <c r="B89" s="8" t="s">
        <v>1155</v>
      </c>
      <c r="C89" s="8" t="s">
        <v>1156</v>
      </c>
      <c r="D89" s="8" t="s">
        <v>1157</v>
      </c>
      <c r="E89" s="8" t="s">
        <v>1158</v>
      </c>
      <c r="G89" s="6" t="str">
        <f>IFERROR(__xludf.DUMMYFUNCTION("GOOGLETRANSLATE(A89, ""en"", ""id"")"),"88")</f>
        <v>88</v>
      </c>
      <c r="H89" s="6" t="str">
        <f>IFERROR(__xludf.DUMMYFUNCTION("GOOGLETRANSLATE(B89, ""en"", ""id"")"),"Apa yang dilambangkan oleh perisai (ende)?")</f>
        <v>Apa yang dilambangkan oleh perisai (ende)?</v>
      </c>
      <c r="I89" s="6" t="str">
        <f>IFERROR(__xludf.DUMMYFUNCTION("GOOGLETRANSLATE(C89, ""en"", ""id"")"),"A) Perlindungan keluarga B) Persatuan masyarakat C) Keseimbangan hidup D) Kesuburan")</f>
        <v>A) Perlindungan keluarga B) Persatuan masyarakat C) Keseimbangan hidup D) Kesuburan</v>
      </c>
      <c r="J89" s="6" t="str">
        <f>IFERROR(__xludf.DUMMYFUNCTION("GOOGLETRANSLATE(D89, ""en"", ""id"")"),"C) Keseimbangan hidup")</f>
        <v>C) Keseimbangan hidup</v>
      </c>
      <c r="K89" s="6" t="str">
        <f>IFERROR(__xludf.DUMMYFUNCTION("GOOGLETRANSLATE(E89, ""en"", ""id"")"),"Ende melambangkan pertahanan dan keharmonisan, menyeimbangkan serangan bambu yang agresif.")</f>
        <v>Ende melambangkan pertahanan dan keharmonisan, menyeimbangkan serangan bambu yang agresif.</v>
      </c>
    </row>
    <row r="90">
      <c r="A90" s="5">
        <v>89.0</v>
      </c>
      <c r="B90" s="8" t="s">
        <v>1159</v>
      </c>
      <c r="C90" s="8" t="s">
        <v>1160</v>
      </c>
      <c r="D90" s="8" t="s">
        <v>1161</v>
      </c>
      <c r="E90" s="8" t="s">
        <v>1162</v>
      </c>
      <c r="G90" s="6" t="str">
        <f>IFERROR(__xludf.DUMMYFUNCTION("GOOGLETRANSLATE(A90, ""en"", ""id"")"),"89")</f>
        <v>89</v>
      </c>
      <c r="H90" s="6" t="str">
        <f>IFERROR(__xludf.DUMMYFUNCTION("GOOGLETRANSLATE(B90, ""en"", ""id"")"),"Dalam kepercayaan spiritual, mengapa pengambilan darah dapat diterima?")</f>
        <v>Dalam kepercayaan spiritual, mengapa pengambilan darah dapat diterima?</v>
      </c>
      <c r="I90" s="6" t="str">
        <f>IFERROR(__xludf.DUMMYFUNCTION("GOOGLETRANSLATE(C90, ""en"", ""id"")"),"A) Membuktikan keberanian B) Merupakan persembahan untuk alam C) Mencegah kepengecutan D) Menguji ketahanan")</f>
        <v>A) Membuktikan keberanian B) Merupakan persembahan untuk alam C) Mencegah kepengecutan D) Menguji ketahanan</v>
      </c>
      <c r="J90" s="6" t="str">
        <f>IFERROR(__xludf.DUMMYFUNCTION("GOOGLETRANSLATE(D90, ""en"", ""id"")"),"B) Ini adalah persembahan untuk alam")</f>
        <v>B) Ini adalah persembahan untuk alam</v>
      </c>
      <c r="K90" s="6" t="str">
        <f>IFERROR(__xludf.DUMMYFUNCTION("GOOGLETRANSLATE(E90, ""en"", ""id"")"),"Darah dipandang sebagai persembahan simbolis yang memperkuat ikatan dengan bumi.")</f>
        <v>Darah dipandang sebagai persembahan simbolis yang memperkuat ikatan dengan bumi.</v>
      </c>
    </row>
    <row r="91">
      <c r="A91" s="5">
        <v>90.0</v>
      </c>
      <c r="B91" s="8" t="s">
        <v>1163</v>
      </c>
      <c r="C91" s="8" t="s">
        <v>1164</v>
      </c>
      <c r="D91" s="8" t="s">
        <v>577</v>
      </c>
      <c r="E91" s="8" t="s">
        <v>1165</v>
      </c>
      <c r="G91" s="6" t="str">
        <f>IFERROR(__xludf.DUMMYFUNCTION("GOOGLETRANSLATE(A91, ""en"", ""id"")"),"90")</f>
        <v>90</v>
      </c>
      <c r="H91" s="6" t="str">
        <f>IFERROR(__xludf.DUMMYFUNCTION("GOOGLETRANSLATE(B91, ""en"", ""id"")"),"Mengapa pengunduran diri saat pertandingan tidak disukai?")</f>
        <v>Mengapa pengunduran diri saat pertandingan tidak disukai?</v>
      </c>
      <c r="I91" s="6" t="str">
        <f>IFERROR(__xludf.DUMMYFUNCTION("GOOGLETRANSLATE(C91, ""en"", ""id"")"),"A) Menunjukkan rasa tidak hormat kepada penonton B) Memutus kesinambungan ritual C) Menandakan kelemahan D) Semua jawaban di atas")</f>
        <v>A) Menunjukkan rasa tidak hormat kepada penonton B) Memutus kesinambungan ritual C) Menandakan kelemahan D) Semua jawaban di atas</v>
      </c>
      <c r="J91" s="6" t="str">
        <f>IFERROR(__xludf.DUMMYFUNCTION("GOOGLETRANSLATE(D91, ""en"", ""id"")"),"D) Semua jawaban di atas")</f>
        <v>D) Semua jawaban di atas</v>
      </c>
      <c r="K91" s="6" t="str">
        <f>IFERROR(__xludf.DUMMYFUNCTION("GOOGLETRANSLATE(E91, ""en"", ""id"")"),"Mundur berarti mempermalukan Pepadu, penonton, dan integritas ritual.")</f>
        <v>Mundur berarti mempermalukan Pepadu, penonton, dan integritas ritual.</v>
      </c>
    </row>
    <row r="92">
      <c r="A92" s="5">
        <v>91.0</v>
      </c>
      <c r="B92" s="8" t="s">
        <v>1166</v>
      </c>
      <c r="C92" s="8" t="s">
        <v>1167</v>
      </c>
      <c r="D92" s="8" t="s">
        <v>577</v>
      </c>
      <c r="E92" s="8" t="s">
        <v>1168</v>
      </c>
      <c r="G92" s="6" t="str">
        <f>IFERROR(__xludf.DUMMYFUNCTION("GOOGLETRANSLATE(A92, ""en"", ""id"")"),"91")</f>
        <v>91</v>
      </c>
      <c r="H92" s="6" t="str">
        <f>IFERROR(__xludf.DUMMYFUNCTION("GOOGLETRANSLATE(B92, ""en"", ""id"")"),"Turnamen Peresean modern sering kali meliputi:")</f>
        <v>Turnamen Peresean modern sering kali meliputi:</v>
      </c>
      <c r="I92" s="6" t="str">
        <f>IFERROR(__xludf.DUMMYFUNCTION("GOOGLETRANSLATE(C92, ""en"", ""id"")"),"A) Staf medis B) Helm pelindung C) Komentar turis D) Semua jawaban di atas")</f>
        <v>A) Staf medis B) Helm pelindung C) Komentar turis D) Semua jawaban di atas</v>
      </c>
      <c r="J92" s="6" t="str">
        <f>IFERROR(__xludf.DUMMYFUNCTION("GOOGLETRANSLATE(D92, ""en"", ""id"")"),"D) Semua jawaban di atas")</f>
        <v>D) Semua jawaban di atas</v>
      </c>
      <c r="K92" s="6" t="str">
        <f>IFERROR(__xludf.DUMMYFUNCTION("GOOGLETRANSLATE(E92, ""en"", ""id"")"),"Keselamatan, pariwisata, dan profesionalisme telah membentuk Peresean kontemporer.")</f>
        <v>Keselamatan, pariwisata, dan profesionalisme telah membentuk Peresean kontemporer.</v>
      </c>
    </row>
    <row r="93">
      <c r="A93" s="5">
        <v>92.0</v>
      </c>
      <c r="B93" s="8" t="s">
        <v>1169</v>
      </c>
      <c r="C93" s="8" t="s">
        <v>1170</v>
      </c>
      <c r="D93" s="8" t="s">
        <v>577</v>
      </c>
      <c r="E93" s="8" t="s">
        <v>1171</v>
      </c>
      <c r="G93" s="6" t="str">
        <f>IFERROR(__xludf.DUMMYFUNCTION("GOOGLETRANSLATE(A93, ""en"", ""id"")"),"92")</f>
        <v>92</v>
      </c>
      <c r="H93" s="6" t="str">
        <f>IFERROR(__xludf.DUMMYFUNCTION("GOOGLETRANSLATE(B93, ""en"", ""id"")"),"Mengapa Peresean memiliki nilai pariwisata?")</f>
        <v>Mengapa Peresean memiliki nilai pariwisata?</v>
      </c>
      <c r="I93" s="6" t="str">
        <f>IFERROR(__xludf.DUMMYFUNCTION("GOOGLETRANSLATE(C93, ""en"", ""id"")"),"A) Intensitas visualnya B) Keunikan budayanya C) Aksesibilitas yang mudah D) Semua jawaban di atas")</f>
        <v>A) Intensitas visualnya B) Keunikan budayanya C) Aksesibilitas yang mudah D) Semua jawaban di atas</v>
      </c>
      <c r="J93" s="6" t="str">
        <f>IFERROR(__xludf.DUMMYFUNCTION("GOOGLETRANSLATE(D93, ""en"", ""id"")"),"D) Semua jawaban di atas")</f>
        <v>D) Semua jawaban di atas</v>
      </c>
      <c r="K93" s="6" t="str">
        <f>IFERROR(__xludf.DUMMYFUNCTION("GOOGLETRANSLATE(E93, ""en"", ""id"")"),"Peresean menarik pengunjung karena tontonannya, akar budayanya, dan ketersediaannya dalam festival.")</f>
        <v>Peresean menarik pengunjung karena tontonannya, akar budayanya, dan ketersediaannya dalam festival.</v>
      </c>
    </row>
    <row r="94">
      <c r="A94" s="5">
        <v>93.0</v>
      </c>
      <c r="B94" s="8" t="s">
        <v>1172</v>
      </c>
      <c r="C94" s="8" t="s">
        <v>1173</v>
      </c>
      <c r="D94" s="8" t="s">
        <v>1174</v>
      </c>
      <c r="E94" s="8" t="s">
        <v>1175</v>
      </c>
      <c r="G94" s="6" t="str">
        <f>IFERROR(__xludf.DUMMYFUNCTION("GOOGLETRANSLATE(A94, ""en"", ""id"")"),"93")</f>
        <v>93</v>
      </c>
      <c r="H94" s="6" t="str">
        <f>IFERROR(__xludf.DUMMYFUNCTION("GOOGLETRANSLATE(B94, ""en"", ""id"")"),"Dewan kebudayaan Indonesia mana yang mempromosikan Peresean?")</f>
        <v>Dewan kebudayaan Indonesia mana yang mempromosikan Peresean?</v>
      </c>
      <c r="I94" s="6" t="str">
        <f>IFERROR(__xludf.DUMMYFUNCTION("GOOGLETRANSLATE(C94, ""en"", ""id"")"),"A) Kemenparekraf (Kementerian Pariwisata) B) KONI (Komite Olahraga) C) Balai Budaya D) DPRD Lombok")</f>
        <v>A) Kemenparekraf (Kementerian Pariwisata) B) KONI (Komite Olahraga) C) Balai Budaya D) DPRD Lombok</v>
      </c>
      <c r="J94" s="6" t="str">
        <f>IFERROR(__xludf.DUMMYFUNCTION("GOOGLETRANSLATE(D94, ""en"", ""id"")"),"A) Kemenparekraf (Kementerian Pariwisata)")</f>
        <v>A) Kemenparekraf (Kementerian Pariwisata)</v>
      </c>
      <c r="K94" s="6" t="str">
        <f>IFERROR(__xludf.DUMMYFUNCTION("GOOGLETRANSLATE(E94, ""en"", ""id"")"),"Kementerian Pariwisata menyoroti Peresean untuk mengangkat budaya lokal.")</f>
        <v>Kementerian Pariwisata menyoroti Peresean untuk mengangkat budaya lokal.</v>
      </c>
    </row>
    <row r="95">
      <c r="A95" s="5">
        <v>94.0</v>
      </c>
      <c r="B95" s="8" t="s">
        <v>1176</v>
      </c>
      <c r="C95" s="8" t="s">
        <v>1177</v>
      </c>
      <c r="D95" s="8" t="s">
        <v>577</v>
      </c>
      <c r="E95" s="8" t="s">
        <v>1178</v>
      </c>
      <c r="G95" s="6" t="str">
        <f>IFERROR(__xludf.DUMMYFUNCTION("GOOGLETRANSLATE(A95, ""en"", ""id"")"),"94")</f>
        <v>94</v>
      </c>
      <c r="H95" s="6" t="str">
        <f>IFERROR(__xludf.DUMMYFUNCTION("GOOGLETRANSLATE(B95, ""en"", ""id"")"),"Dalam Peresean yang disiarkan televisi, modifikasi apa yang umum?")</f>
        <v>Dalam Peresean yang disiarkan televisi, modifikasi apa yang umum?</v>
      </c>
      <c r="I95" s="6" t="str">
        <f>IFERROR(__xludf.DUMMYFUNCTION("GOOGLETRANSLATE(C95, ""en"", ""id"")"),"A) Pertarungan yang lebih pendek B) Narasi aturan C) Komentar yang ramah turis D) Semua jawaban di atas")</f>
        <v>A) Pertarungan yang lebih pendek B) Narasi aturan C) Komentar yang ramah turis D) Semua jawaban di atas</v>
      </c>
      <c r="J95" s="6" t="str">
        <f>IFERROR(__xludf.DUMMYFUNCTION("GOOGLETRANSLATE(D95, ""en"", ""id"")"),"D) Semua jawaban di atas")</f>
        <v>D) Semua jawaban di atas</v>
      </c>
      <c r="K95" s="6" t="str">
        <f>IFERROR(__xludf.DUMMYFUNCTION("GOOGLETRANSLATE(E95, ""en"", ""id"")"),"Versi yang disiarkan di televisi menyesuaikan durasi, menambahkan komentar, dan menyederhanakannya untuk pemirsa yang lebih luas.")</f>
        <v>Versi yang disiarkan di televisi menyesuaikan durasi, menambahkan komentar, dan menyederhanakannya untuk pemirsa yang lebih luas.</v>
      </c>
    </row>
    <row r="96">
      <c r="A96" s="5">
        <v>95.0</v>
      </c>
      <c r="B96" s="8" t="s">
        <v>1179</v>
      </c>
      <c r="C96" s="8" t="s">
        <v>1180</v>
      </c>
      <c r="D96" s="8" t="s">
        <v>1181</v>
      </c>
      <c r="E96" s="8" t="s">
        <v>1182</v>
      </c>
      <c r="G96" s="6" t="str">
        <f>IFERROR(__xludf.DUMMYFUNCTION("GOOGLETRANSLATE(A96, ""en"", ""id"")"),"95")</f>
        <v>95</v>
      </c>
      <c r="H96" s="6" t="str">
        <f>IFERROR(__xludf.DUMMYFUNCTION("GOOGLETRANSLATE(B96, ""en"", ""id"")"),"Seni beladiri dunia manakah yang sering dibandingkan dengan Peresean?")</f>
        <v>Seni beladiri dunia manakah yang sering dibandingkan dengan Peresean?</v>
      </c>
      <c r="I96" s="6" t="str">
        <f>IFERROR(__xludf.DUMMYFUNCTION("GOOGLETRANSLATE(C96, ""en"", ""id"")"),"A) Kendo B) Capoeira C) Eskrima D) Karate")</f>
        <v>A) Kendo B) Capoeira C) Eskrima D) Karate</v>
      </c>
      <c r="J96" s="6" t="str">
        <f>IFERROR(__xludf.DUMMYFUNCTION("GOOGLETRANSLATE(D96, ""en"", ""id"")"),"C) Eskrima")</f>
        <v>C) Eskrima</v>
      </c>
      <c r="K96" s="6" t="str">
        <f>IFERROR(__xludf.DUMMYFUNCTION("GOOGLETRANSLATE(E96, ""en"", ""id"")"),"Seperti Eskrima Filipina, Peresean menampilkan pertarungan tongkat yang berakar pada tradisi budaya.")</f>
        <v>Seperti Eskrima Filipina, Peresean menampilkan pertarungan tongkat yang berakar pada tradisi budaya.</v>
      </c>
    </row>
    <row r="97">
      <c r="A97" s="5">
        <v>96.0</v>
      </c>
      <c r="B97" s="8" t="s">
        <v>1183</v>
      </c>
      <c r="C97" s="8" t="s">
        <v>1184</v>
      </c>
      <c r="D97" s="8" t="s">
        <v>1185</v>
      </c>
      <c r="E97" s="8" t="s">
        <v>1186</v>
      </c>
      <c r="G97" s="6" t="str">
        <f>IFERROR(__xludf.DUMMYFUNCTION("GOOGLETRANSLATE(A97, ""en"", ""id"")"),"96")</f>
        <v>96</v>
      </c>
      <c r="H97" s="6" t="str">
        <f>IFERROR(__xludf.DUMMYFUNCTION("GOOGLETRANSLATE(B97, ""en"", ""id"")"),"Berbeda dengan tinju, Peresean menekankan:")</f>
        <v>Berbeda dengan tinju, Peresean menekankan:</v>
      </c>
      <c r="I97" s="6" t="str">
        <f>IFERROR(__xludf.DUMMYFUNCTION("GOOGLETRANSLATE(C97, ""en"", ""id"")"),"A) Hanya Knockout B) Penggunaan Perisai C) Beberapa petarung D) Arena bercincin")</f>
        <v>A) Hanya Knockout B) Penggunaan Perisai C) Beberapa petarung D) Arena bercincin</v>
      </c>
      <c r="J97" s="6" t="str">
        <f>IFERROR(__xludf.DUMMYFUNCTION("GOOGLETRANSLATE(D97, ""en"", ""id"")"),"B) Penggunaan perisai")</f>
        <v>B) Penggunaan perisai</v>
      </c>
      <c r="K97" s="6" t="str">
        <f>IFERROR(__xludf.DUMMYFUNCTION("GOOGLETRANSLATE(E97, ""en"", ""id"")"),"Pasangan perisai dan bambu membedakan tinju Peresean dengan tinju Barat.")</f>
        <v>Pasangan perisai dan bambu membedakan tinju Peresean dengan tinju Barat.</v>
      </c>
    </row>
    <row r="98">
      <c r="A98" s="5">
        <v>97.0</v>
      </c>
      <c r="B98" s="8" t="s">
        <v>1187</v>
      </c>
      <c r="C98" s="8" t="s">
        <v>1188</v>
      </c>
      <c r="D98" s="8" t="s">
        <v>1189</v>
      </c>
      <c r="E98" s="8" t="s">
        <v>1190</v>
      </c>
      <c r="G98" s="6" t="str">
        <f>IFERROR(__xludf.DUMMYFUNCTION("GOOGLETRANSLATE(A98, ""en"", ""id"")"),"97")</f>
        <v>97</v>
      </c>
      <c r="H98" s="6" t="str">
        <f>IFERROR(__xludf.DUMMYFUNCTION("GOOGLETRANSLATE(B98, ""en"", ""id"")"),"Apa yang membuat Peresean unik dibandingkan dengan Silat?")</f>
        <v>Apa yang membuat Peresean unik dibandingkan dengan Silat?</v>
      </c>
      <c r="I98" s="6" t="str">
        <f>IFERROR(__xludf.DUMMYFUNCTION("GOOGLETRANSLATE(C98, ""en"", ""id"")"),"A) Pertarungan dengan senjata B) Musik ritual C) Kode kehormatan D) Gerakan seperti tarian")</f>
        <v>A) Pertarungan dengan senjata B) Musik ritual C) Kode kehormatan D) Gerakan seperti tarian</v>
      </c>
      <c r="J98" s="6" t="str">
        <f>IFERROR(__xludf.DUMMYFUNCTION("GOOGLETRANSLATE(D98, ""en"", ""id"")"),"A) Pertarungan berbasis senjata")</f>
        <v>A) Pertarungan berbasis senjata</v>
      </c>
      <c r="K98" s="6" t="str">
        <f>IFERROR(__xludf.DUMMYFUNCTION("GOOGLETRANSLATE(E98, ""en"", ""id"")"),"Silat sering kali menggunakan senjata tak bersenjata atau senjata bervariasi, sedangkan Peresean berfokus secara ketat pada tongkat-perisai.")</f>
        <v>Silat sering kali menggunakan senjata tak bersenjata atau senjata bervariasi, sedangkan Peresean berfokus secara ketat pada tongkat-perisai.</v>
      </c>
    </row>
    <row r="99">
      <c r="A99" s="5">
        <v>98.0</v>
      </c>
      <c r="B99" s="8" t="s">
        <v>1191</v>
      </c>
      <c r="C99" s="8" t="s">
        <v>1192</v>
      </c>
      <c r="D99" s="8" t="s">
        <v>1193</v>
      </c>
      <c r="E99" s="8" t="s">
        <v>1194</v>
      </c>
      <c r="G99" s="6" t="str">
        <f>IFERROR(__xludf.DUMMYFUNCTION("GOOGLETRANSLATE(A99, ""en"", ""id"")"),"98")</f>
        <v>98</v>
      </c>
      <c r="H99" s="6" t="str">
        <f>IFERROR(__xludf.DUMMYFUNCTION("GOOGLETRANSLATE(B99, ""en"", ""id"")"),"Peresean vs. Kalaripayattu (India): kesamaannya adalah—")</f>
        <v>Peresean vs. Kalaripayattu (India): kesamaannya adalah—</v>
      </c>
      <c r="I99" s="6" t="str">
        <f>IFERROR(__xludf.DUMMYFUNCTION("GOOGLETRANSLATE(C99, ""en"", ""id"")"),"A) Penggunaan bambu panjang B) Hubungan festival masyarakat C) Ritual hujan D) Pejuang perempuan")</f>
        <v>A) Penggunaan bambu panjang B) Hubungan festival masyarakat C) Ritual hujan D) Pejuang perempuan</v>
      </c>
      <c r="J99" s="6" t="str">
        <f>IFERROR(__xludf.DUMMYFUNCTION("GOOGLETRANSLATE(D99, ""en"", ""id"")"),"B) Tautan festival komunitas")</f>
        <v>B) Tautan festival komunitas</v>
      </c>
      <c r="K99" s="6" t="str">
        <f>IFERROR(__xludf.DUMMYFUNCTION("GOOGLETRANSLATE(E99, ""en"", ""id"")"),"Kedua seni bela diri ini berkembang sebagai tontonan yang berpusat pada komunitas, bukan hanya pertarungan.")</f>
        <v>Kedua seni bela diri ini berkembang sebagai tontonan yang berpusat pada komunitas, bukan hanya pertarungan.</v>
      </c>
    </row>
    <row r="100">
      <c r="A100" s="5">
        <v>99.0</v>
      </c>
      <c r="B100" s="8" t="s">
        <v>1195</v>
      </c>
      <c r="C100" s="8" t="s">
        <v>1196</v>
      </c>
      <c r="D100" s="8" t="s">
        <v>577</v>
      </c>
      <c r="E100" s="8" t="s">
        <v>1197</v>
      </c>
      <c r="G100" s="6" t="str">
        <f>IFERROR(__xludf.DUMMYFUNCTION("GOOGLETRANSLATE(A100, ""en"", ""id"")"),"99")</f>
        <v>99</v>
      </c>
      <c r="H100" s="6" t="str">
        <f>IFERROR(__xludf.DUMMYFUNCTION("GOOGLETRANSLATE(B100, ""en"", ""id"")"),"Peresean berbeda dari permainan gladiator karena:")</f>
        <v>Peresean berbeda dari permainan gladiator karena:</v>
      </c>
      <c r="I100" s="6" t="str">
        <f>IFERROR(__xludf.DUMMYFUNCTION("GOOGLETRANSLATE(C100, ""en"", ""id"")"),"A) Menghindari kematian B) Melibatkan musik C) Bersifat ritualistik D) Semua jawaban di atas")</f>
        <v>A) Menghindari kematian B) Melibatkan musik C) Bersifat ritualistik D) Semua jawaban di atas</v>
      </c>
      <c r="J100" s="6" t="str">
        <f>IFERROR(__xludf.DUMMYFUNCTION("GOOGLETRANSLATE(D100, ""en"", ""id"")"),"D) Semua jawaban di atas")</f>
        <v>D) Semua jawaban di atas</v>
      </c>
      <c r="K100" s="6" t="str">
        <f>IFERROR(__xludf.DUMMYFUNCTION("GOOGLETRANSLATE(E100, ""en"", ""id"")"),"Berbeda dengan olahraga berdarah di Roma, Peresean melestarikan kehidupan, semangat, dan makna budaya.")</f>
        <v>Berbeda dengan olahraga berdarah di Roma, Peresean melestarikan kehidupan, semangat, dan makna budaya.</v>
      </c>
    </row>
    <row r="101">
      <c r="A101" s="5">
        <v>100.0</v>
      </c>
      <c r="B101" s="8" t="s">
        <v>1198</v>
      </c>
      <c r="C101" s="8" t="s">
        <v>1199</v>
      </c>
      <c r="D101" s="8" t="s">
        <v>577</v>
      </c>
      <c r="E101" s="8" t="s">
        <v>1200</v>
      </c>
      <c r="G101" s="6" t="str">
        <f>IFERROR(__xludf.DUMMYFUNCTION("GOOGLETRANSLATE(A101, ""en"", ""id"")"),"100")</f>
        <v>100</v>
      </c>
      <c r="H101" s="6" t="str">
        <f>IFERROR(__xludf.DUMMYFUNCTION("GOOGLETRANSLATE(B101, ""en"", ""id"")"),"Apa peran pariwisata sebagai risiko bagi Peresean?")</f>
        <v>Apa peran pariwisata sebagai risiko bagi Peresean?</v>
      </c>
      <c r="I101" s="6" t="str">
        <f>IFERROR(__xludf.DUMMYFUNCTION("GOOGLETRANSLATE(C101, ""en"", ""id"")"),"A) Pengenceran komersial B) Hilangnya akar ritual C) Standarisasi berlebihan D) Semua jawaban di atas")</f>
        <v>A) Pengenceran komersial B) Hilangnya akar ritual C) Standarisasi berlebihan D) Semua jawaban di atas</v>
      </c>
      <c r="J101" s="6" t="str">
        <f>IFERROR(__xludf.DUMMYFUNCTION("GOOGLETRANSLATE(D101, ""en"", ""id"")"),"D) Semua jawaban di atas")</f>
        <v>D) Semua jawaban di atas</v>
      </c>
      <c r="K101" s="6" t="str">
        <f>IFERROR(__xludf.DUMMYFUNCTION("GOOGLETRANSLATE(E101, ""en"", ""id"")"),"Pariwisata berisiko mengubah Peresean dari sekadar ritual menjadi pertunjukan tontonan semata.")</f>
        <v>Pariwisata berisiko mengubah Peresean dari sekadar ritual menjadi pertunjukan tontonan semata.</v>
      </c>
    </row>
    <row r="102">
      <c r="A102" s="5">
        <v>101.0</v>
      </c>
      <c r="B102" s="8" t="s">
        <v>1201</v>
      </c>
      <c r="C102" s="8" t="s">
        <v>1202</v>
      </c>
      <c r="D102" s="8" t="s">
        <v>577</v>
      </c>
      <c r="E102" s="8" t="s">
        <v>1203</v>
      </c>
      <c r="G102" s="6" t="str">
        <f>IFERROR(__xludf.DUMMYFUNCTION("GOOGLETRANSLATE(A102, ""en"", ""id"")"),"101")</f>
        <v>101</v>
      </c>
      <c r="H102" s="6" t="str">
        <f>IFERROR(__xludf.DUMMYFUNCTION("GOOGLETRANSLATE(B102, ""en"", ""id"")"),"Anak laki-laki muda di Lombok belajar Peresean dengan cara:")</f>
        <v>Anak laki-laki muda di Lombok belajar Peresean dengan cara:</v>
      </c>
      <c r="I102" s="6" t="str">
        <f>IFERROR(__xludf.DUMMYFUNCTION("GOOGLETRANSLATE(C102, ""en"", ""id"")"),"A) Mengamati orang tua B) Sesi pelatihan desa C) Pertandingan bermain informal D) Semua jawaban di atas")</f>
        <v>A) Mengamati orang tua B) Sesi pelatihan desa C) Pertandingan bermain informal D) Semua jawaban di atas</v>
      </c>
      <c r="J102" s="6" t="str">
        <f>IFERROR(__xludf.DUMMYFUNCTION("GOOGLETRANSLATE(D102, ""en"", ""id"")"),"D) Semua jawaban di atas")</f>
        <v>D) Semua jawaban di atas</v>
      </c>
      <c r="K102" s="6" t="str">
        <f>IFERROR(__xludf.DUMMYFUNCTION("GOOGLETRANSLATE(E102, ""en"", ""id"")"),"Pembelajaran datang dari meniru, pertarungan formal, dan perdebatan yang menyenangkan.")</f>
        <v>Pembelajaran datang dari meniru, pertarungan formal, dan perdebatan yang menyenangkan.</v>
      </c>
    </row>
    <row r="103">
      <c r="A103" s="5">
        <v>102.0</v>
      </c>
      <c r="B103" s="8" t="s">
        <v>1204</v>
      </c>
      <c r="C103" s="8" t="s">
        <v>1205</v>
      </c>
      <c r="D103" s="8" t="s">
        <v>577</v>
      </c>
      <c r="E103" s="8" t="s">
        <v>1206</v>
      </c>
      <c r="G103" s="6" t="str">
        <f>IFERROR(__xludf.DUMMYFUNCTION("GOOGLETRANSLATE(A103, ""en"", ""id"")"),"102")</f>
        <v>102</v>
      </c>
      <c r="H103" s="6" t="str">
        <f>IFERROR(__xludf.DUMMYFUNCTION("GOOGLETRANSLATE(B103, ""en"", ""id"")"),"Sekolah modern menggunakan Peresean untuk mengajar:")</f>
        <v>Sekolah modern menggunakan Peresean untuk mengajar:</v>
      </c>
      <c r="I103" s="6" t="str">
        <f>IFERROR(__xludf.DUMMYFUNCTION("GOOGLETRANSLATE(C103, ""en"", ""id"")"),"A) Sportivitas B) Kebugaran jasmani C) Warisan budaya D) Semua jawaban di atas")</f>
        <v>A) Sportivitas B) Kebugaran jasmani C) Warisan budaya D) Semua jawaban di atas</v>
      </c>
      <c r="J103" s="6" t="str">
        <f>IFERROR(__xludf.DUMMYFUNCTION("GOOGLETRANSLATE(D103, ""en"", ""id"")"),"D) Semua jawaban di atas")</f>
        <v>D) Semua jawaban di atas</v>
      </c>
      <c r="K103" s="6" t="str">
        <f>IFERROR(__xludf.DUMMYFUNCTION("GOOGLETRANSLATE(E103, ""en"", ""id"")"),"Sekolah menggabungkan Peresean untuk melestarikan tradisi dan menanamkan nilai-nilai.")</f>
        <v>Sekolah menggabungkan Peresean untuk melestarikan tradisi dan menanamkan nilai-nilai.</v>
      </c>
    </row>
    <row r="104">
      <c r="A104" s="5">
        <v>103.0</v>
      </c>
      <c r="B104" s="8" t="s">
        <v>1207</v>
      </c>
      <c r="C104" s="8" t="s">
        <v>1208</v>
      </c>
      <c r="D104" s="8" t="s">
        <v>1209</v>
      </c>
      <c r="E104" s="8" t="s">
        <v>1210</v>
      </c>
      <c r="G104" s="6" t="str">
        <f>IFERROR(__xludf.DUMMYFUNCTION("GOOGLETRANSLATE(A104, ""en"", ""id"")"),"103")</f>
        <v>103</v>
      </c>
      <c r="H104" s="6" t="str">
        <f>IFERROR(__xludf.DUMMYFUNCTION("GOOGLETRANSLATE(B104, ""en"", ""id"")"),"Pelatihan Pepadu menekankan yang mana terlebih dahulu?")</f>
        <v>Pelatihan Pepadu menekankan yang mana terlebih dahulu?</v>
      </c>
      <c r="I104" s="6" t="str">
        <f>IFERROR(__xludf.DUMMYFUNCTION("GOOGLETRANSLATE(C104, ""en"", ""id"")"),"A) Disiplin B) Kekuatan C) Pertahanan perisai D) Pengetahuan ritual")</f>
        <v>A) Disiplin B) Kekuatan C) Pertahanan perisai D) Pengetahuan ritual</v>
      </c>
      <c r="J104" s="6" t="str">
        <f>IFERROR(__xludf.DUMMYFUNCTION("GOOGLETRANSLATE(D104, ""en"", ""id"")"),"A) Disiplin")</f>
        <v>A) Disiplin</v>
      </c>
      <c r="K104" s="6" t="str">
        <f>IFERROR(__xludf.DUMMYFUNCTION("GOOGLETRANSLATE(E104, ""en"", ""id"")"),"Disiplin mendasari keterampilan, rasa hormat, dan keselarasan ritual dalam Peresean.")</f>
        <v>Disiplin mendasari keterampilan, rasa hormat, dan keselarasan ritual dalam Peresean.</v>
      </c>
    </row>
    <row r="105">
      <c r="A105" s="5">
        <v>104.0</v>
      </c>
      <c r="B105" s="8" t="s">
        <v>1211</v>
      </c>
      <c r="C105" s="8" t="s">
        <v>1212</v>
      </c>
      <c r="D105" s="8" t="s">
        <v>1213</v>
      </c>
      <c r="E105" s="8" t="s">
        <v>1214</v>
      </c>
      <c r="G105" s="6" t="str">
        <f>IFERROR(__xludf.DUMMYFUNCTION("GOOGLETRANSLATE(A105, ""en"", ""id"")"),"104")</f>
        <v>104</v>
      </c>
      <c r="H105" s="6" t="str">
        <f>IFERROR(__xludf.DUMMYFUNCTION("GOOGLETRANSLATE(B105, ""en"", ""id"")"),"Transmisi pengetahuan Peresean biasanya melalui:")</f>
        <v>Transmisi pengetahuan Peresean biasanya melalui:</v>
      </c>
      <c r="I105" s="6" t="str">
        <f>IFERROR(__xludf.DUMMYFUNCTION("GOOGLETRANSLATE(C105, ""en"", ""id"")"),"A) Buku petunjuk tertulis B) Tradisi lisan C) Teks keagamaan D) Arsip kolonial")</f>
        <v>A) Buku petunjuk tertulis B) Tradisi lisan C) Teks keagamaan D) Arsip kolonial</v>
      </c>
      <c r="J105" s="6" t="str">
        <f>IFERROR(__xludf.DUMMYFUNCTION("GOOGLETRANSLATE(D105, ""en"", ""id"")"),"B) Tradisi lisan")</f>
        <v>B) Tradisi lisan</v>
      </c>
      <c r="K105" s="6" t="str">
        <f>IFERROR(__xludf.DUMMYFUNCTION("GOOGLETRANSLATE(E105, ""en"", ""id"")"),"Keterampilan peresean diwariskan secara lisan, sehingga keaslian budayanya tetap terjaga.")</f>
        <v>Keterampilan peresean diwariskan secara lisan, sehingga keaslian budayanya tetap terjaga.</v>
      </c>
    </row>
    <row r="106">
      <c r="A106" s="5">
        <v>105.0</v>
      </c>
      <c r="B106" s="8" t="s">
        <v>1215</v>
      </c>
      <c r="C106" s="8" t="s">
        <v>1216</v>
      </c>
      <c r="D106" s="8" t="s">
        <v>577</v>
      </c>
      <c r="E106" s="8" t="s">
        <v>1217</v>
      </c>
      <c r="G106" s="6" t="str">
        <f>IFERROR(__xludf.DUMMYFUNCTION("GOOGLETRANSLATE(A106, ""en"", ""id"")"),"105")</f>
        <v>105</v>
      </c>
      <c r="H106" s="6" t="str">
        <f>IFERROR(__xludf.DUMMYFUNCTION("GOOGLETRANSLATE(B106, ""en"", ""id"")"),"Faktor apakah yang menjamin kelangsungan Peresean?")</f>
        <v>Faktor apakah yang menjamin kelangsungan Peresean?</v>
      </c>
      <c r="I106" s="6" t="str">
        <f>IFERROR(__xludf.DUMMYFUNCTION("GOOGLETRANSLATE(C106, ""en"", ""id"")"),"A) Pendapatan pariwisata B) Kebanggaan lokal C) Pengakuan negara D) Semua jawaban di atas")</f>
        <v>A) Pendapatan pariwisata B) Kebanggaan lokal C) Pengakuan negara D) Semua jawaban di atas</v>
      </c>
      <c r="J106" s="6" t="str">
        <f>IFERROR(__xludf.DUMMYFUNCTION("GOOGLETRANSLATE(D106, ""en"", ""id"")"),"D) Semua jawaban di atas")</f>
        <v>D) Semua jawaban di atas</v>
      </c>
      <c r="K106" s="6" t="str">
        <f>IFERROR(__xludf.DUMMYFUNCTION("GOOGLETRANSLATE(E106, ""en"", ""id"")"),"Kebanggaan, dukungan negara, dan pariwisata bersama-sama melestarikan Peresean.")</f>
        <v>Kebanggaan, dukungan negara, dan pariwisata bersama-sama melestarikan Peresean.</v>
      </c>
    </row>
    <row r="107">
      <c r="A107" s="5">
        <v>106.0</v>
      </c>
      <c r="B107" s="8" t="s">
        <v>1218</v>
      </c>
      <c r="C107" s="8" t="s">
        <v>1219</v>
      </c>
      <c r="D107" s="8" t="s">
        <v>577</v>
      </c>
      <c r="E107" s="8" t="s">
        <v>1220</v>
      </c>
      <c r="G107" s="6" t="str">
        <f>IFERROR(__xludf.DUMMYFUNCTION("GOOGLETRANSLATE(A107, ""en"", ""id"")"),"106")</f>
        <v>106</v>
      </c>
      <c r="H107" s="6" t="str">
        <f>IFERROR(__xludf.DUMMYFUNCTION("GOOGLETRANSLATE(B107, ""en"", ""id"")"),"Mengapa Peresean dipandang sebagai penyeimbang agresi dengan harmoni?")</f>
        <v>Mengapa Peresean dipandang sebagai penyeimbang agresi dengan harmoni?</v>
      </c>
      <c r="I107" s="6" t="str">
        <f>IFERROR(__xludf.DUMMYFUNCTION("GOOGLETRANSLATE(C107, ""en"", ""id"")"),"A) Simbolisme tongkat vs. perisai B) Ritual vs. pertempuran C) Darah vs. penyembuhan D) Semua jawaban di atas")</f>
        <v>A) Simbolisme tongkat vs. perisai B) Ritual vs. pertempuran C) Darah vs. penyembuhan D) Semua jawaban di atas</v>
      </c>
      <c r="J107" s="6" t="str">
        <f>IFERROR(__xludf.DUMMYFUNCTION("GOOGLETRANSLATE(D107, ""en"", ""id"")"),"D) Semua jawaban di atas")</f>
        <v>D) Semua jawaban di atas</v>
      </c>
      <c r="K107" s="6" t="str">
        <f>IFERROR(__xludf.DUMMYFUNCTION("GOOGLETRANSLATE(E107, ""en"", ""id"")"),"Peresean memadukan hal yang bertolak belakang: menyerang dan bertahan, ritual dan kekerasan, menyakiti dan menyembuhkan.")</f>
        <v>Peresean memadukan hal yang bertolak belakang: menyerang dan bertahan, ritual dan kekerasan, menyakiti dan menyembuhkan.</v>
      </c>
    </row>
    <row r="108">
      <c r="A108" s="5">
        <v>107.0</v>
      </c>
      <c r="B108" s="8" t="s">
        <v>1221</v>
      </c>
      <c r="C108" s="8" t="s">
        <v>1222</v>
      </c>
      <c r="D108" s="8" t="s">
        <v>1223</v>
      </c>
      <c r="E108" s="8" t="s">
        <v>1224</v>
      </c>
      <c r="G108" s="6" t="str">
        <f>IFERROR(__xludf.DUMMYFUNCTION("GOOGLETRANSLATE(A108, ""en"", ""id"")"),"107")</f>
        <v>107</v>
      </c>
      <c r="H108" s="6" t="str">
        <f>IFERROR(__xludf.DUMMYFUNCTION("GOOGLETRANSLATE(B108, ""en"", ""id"")"),"Peribahasa manakah yang sering dikaitkan dengan Peresean?")</f>
        <v>Peribahasa manakah yang sering dikaitkan dengan Peresean?</v>
      </c>
      <c r="I108" s="6" t="str">
        <f>IFERROR(__xludf.DUMMYFUNCTION("GOOGLETRANSLATE(C108, ""en"", ""id"")"),"A) “Hujan mengikuti keberanian.” B) “Kekuatan adalah rasa hormat.” C) “Darah menyuburkan tanah.” D) “Tidak ada perisai, tidak ada kehormatan.”")</f>
        <v>A) “Hujan mengikuti keberanian.” B) “Kekuatan adalah rasa hormat.” C) “Darah menyuburkan tanah.” D) “Tidak ada perisai, tidak ada kehormatan.”</v>
      </c>
      <c r="J108" s="6" t="str">
        <f>IFERROR(__xludf.DUMMYFUNCTION("GOOGLETRANSLATE(D108, ""en"", ""id"")"),"C) “Darah memberi makan tanah.”")</f>
        <v>C) “Darah memberi makan tanah.”</v>
      </c>
      <c r="K108" s="6" t="str">
        <f>IFERROR(__xludf.DUMMYFUNCTION("GOOGLETRANSLATE(E108, ""en"", ""id"")"),"Mencerminkan kesuburannya dan ritual memohon hujan.")</f>
        <v>Mencerminkan kesuburannya dan ritual memohon hujan.</v>
      </c>
    </row>
    <row r="109">
      <c r="A109" s="5">
        <v>108.0</v>
      </c>
      <c r="B109" s="8" t="s">
        <v>1225</v>
      </c>
      <c r="C109" s="8" t="s">
        <v>1226</v>
      </c>
      <c r="D109" s="8" t="s">
        <v>1227</v>
      </c>
      <c r="E109" s="8" t="s">
        <v>1228</v>
      </c>
      <c r="G109" s="6" t="str">
        <f>IFERROR(__xludf.DUMMYFUNCTION("GOOGLETRANSLATE(A109, ""en"", ""id"")"),"108")</f>
        <v>108</v>
      </c>
      <c r="H109" s="6" t="str">
        <f>IFERROR(__xludf.DUMMYFUNCTION("GOOGLETRANSLATE(B109, ""en"", ""id"")"),"Apa lambang kemenangan tanpa cedera?")</f>
        <v>Apa lambang kemenangan tanpa cedera?</v>
      </c>
      <c r="I109" s="6" t="str">
        <f>IFERROR(__xludf.DUMMYFUNCTION("GOOGLETRANSLATE(C109, ""en"", ""id"")"),"A) Pengendalian diri yang terampil B) Berkah ilahi C) Lawan yang lemah D) Keberuntungan")</f>
        <v>A) Pengendalian diri yang terampil B) Berkah ilahi C) Lawan yang lemah D) Keberuntungan</v>
      </c>
      <c r="J109" s="6" t="str">
        <f>IFERROR(__xludf.DUMMYFUNCTION("GOOGLETRANSLATE(D109, ""en"", ""id"")"),"A) Pengendalian yang terampil")</f>
        <v>A) Pengendalian yang terampil</v>
      </c>
      <c r="K109" s="6" t="str">
        <f>IFERROR(__xludf.DUMMYFUNCTION("GOOGLETRANSLATE(E109, ""en"", ""id"")"),"Menang dengan bersih menunjukkan penguasaan tanpa kerugian yang berlebihan.")</f>
        <v>Menang dengan bersih menunjukkan penguasaan tanpa kerugian yang berlebihan.</v>
      </c>
    </row>
    <row r="110">
      <c r="A110" s="5">
        <v>109.0</v>
      </c>
      <c r="B110" s="8" t="s">
        <v>1229</v>
      </c>
      <c r="C110" s="8" t="s">
        <v>1230</v>
      </c>
      <c r="D110" s="8" t="s">
        <v>577</v>
      </c>
      <c r="E110" s="8" t="s">
        <v>1231</v>
      </c>
      <c r="G110" s="6" t="str">
        <f>IFERROR(__xludf.DUMMYFUNCTION("GOOGLETRANSLATE(A110, ""en"", ""id"")"),"109")</f>
        <v>109</v>
      </c>
      <c r="H110" s="6" t="str">
        <f>IFERROR(__xludf.DUMMYFUNCTION("GOOGLETRANSLATE(B110, ""en"", ""id"")"),"Aspek manakah yang menunjukkan Peresean bukan sekedar olahraga?")</f>
        <v>Aspek manakah yang menunjukkan Peresean bukan sekedar olahraga?</v>
      </c>
      <c r="I110" s="6" t="str">
        <f>IFERROR(__xludf.DUMMYFUNCTION("GOOGLETRANSLATE(C110, ""en"", ""id"")"),"A) Musik ritual B) Hubungan kesuburan C) Peran dalam perselisihan D) Semua jawaban di atas")</f>
        <v>A) Musik ritual B) Hubungan kesuburan C) Peran dalam perselisihan D) Semua jawaban di atas</v>
      </c>
      <c r="J110" s="6" t="str">
        <f>IFERROR(__xludf.DUMMYFUNCTION("GOOGLETRANSLATE(D110, ""en"", ""id"")"),"D) Semua jawaban di atas")</f>
        <v>D) Semua jawaban di atas</v>
      </c>
      <c r="K110" s="6" t="str">
        <f>IFERROR(__xludf.DUMMYFUNCTION("GOOGLETRANSLATE(E110, ""en"", ""id"")"),"Ini lebih merupakan ritual dan kehidupan bermasyarakat daripada sekadar pertempuran.")</f>
        <v>Ini lebih merupakan ritual dan kehidupan bermasyarakat daripada sekadar pertempuran.</v>
      </c>
    </row>
    <row r="111">
      <c r="A111" s="5">
        <v>110.0</v>
      </c>
      <c r="B111" s="8" t="s">
        <v>1232</v>
      </c>
      <c r="C111" s="8" t="s">
        <v>1233</v>
      </c>
      <c r="D111" s="8" t="s">
        <v>577</v>
      </c>
      <c r="E111" s="8" t="s">
        <v>1234</v>
      </c>
      <c r="G111" s="6" t="str">
        <f>IFERROR(__xludf.DUMMYFUNCTION("GOOGLETRANSLATE(A111, ""en"", ""id"")"),"110")</f>
        <v>110</v>
      </c>
      <c r="H111" s="6" t="str">
        <f>IFERROR(__xludf.DUMMYFUNCTION("GOOGLETRANSLATE(B111, ""en"", ""id"")"),"Mengapa Peresean dianggap sebagai ""warisan hidup""?")</f>
        <v>Mengapa Peresean dianggap sebagai "warisan hidup"?</v>
      </c>
      <c r="I111" s="6" t="str">
        <f>IFERROR(__xludf.DUMMYFUNCTION("GOOGLETRANSLATE(C111, ""en"", ""id"")"),"A) Terus berkembang B) Dilestarikan lintas generasi C) Beradaptasi dengan pariwisata D) Semua jawaban di atas")</f>
        <v>A) Terus berkembang B) Dilestarikan lintas generasi C) Beradaptasi dengan pariwisata D) Semua jawaban di atas</v>
      </c>
      <c r="J111" s="6" t="str">
        <f>IFERROR(__xludf.DUMMYFUNCTION("GOOGLETRANSLATE(D111, ""en"", ""id"")"),"D) Semua jawaban di atas")</f>
        <v>D) Semua jawaban di atas</v>
      </c>
      <c r="K111" s="6" t="str">
        <f>IFERROR(__xludf.DUMMYFUNCTION("GOOGLETRANSLATE(E111, ""en"", ""id"")"),"Ia tetap hidup, beradaptasi sambil mempertahankan akar yang dalam.")</f>
        <v>Ia tetap hidup, beradaptasi sambil mempertahankan akar yang dalam.</v>
      </c>
    </row>
    <row r="112">
      <c r="A112" s="5">
        <v>111.0</v>
      </c>
      <c r="B112" s="8" t="s">
        <v>1235</v>
      </c>
      <c r="C112" s="8" t="s">
        <v>1236</v>
      </c>
      <c r="D112" s="8" t="s">
        <v>577</v>
      </c>
      <c r="E112" s="8" t="s">
        <v>1237</v>
      </c>
      <c r="G112" s="6" t="str">
        <f>IFERROR(__xludf.DUMMYFUNCTION("GOOGLETRANSLATE(A112, ""en"", ""id"")"),"111")</f>
        <v>111</v>
      </c>
      <c r="H112" s="6" t="str">
        <f>IFERROR(__xludf.DUMMYFUNCTION("GOOGLETRANSLATE(B112, ""en"", ""id"")"),"Bahaya apa yang timbul dari komersialisasi Peresean modern?")</f>
        <v>Bahaya apa yang timbul dari komersialisasi Peresean modern?</v>
      </c>
      <c r="I112" s="6" t="str">
        <f>IFERROR(__xludf.DUMMYFUNCTION("GOOGLETRANSLATE(C112, ""en"", ""id"")"),"A) Pejuang yang mencari ketenaran daripada rasa hormat B) Ritual yang dipersingkat C) Prioritas pada tontonan D) Semua jawaban di atas")</f>
        <v>A) Pejuang yang mencari ketenaran daripada rasa hormat B) Ritual yang dipersingkat C) Prioritas pada tontonan D) Semua jawaban di atas</v>
      </c>
      <c r="J112" s="6" t="str">
        <f>IFERROR(__xludf.DUMMYFUNCTION("GOOGLETRANSLATE(D112, ""en"", ""id"")"),"D) Semua jawaban di atas")</f>
        <v>D) Semua jawaban di atas</v>
      </c>
      <c r="K112" s="6" t="str">
        <f>IFERROR(__xludf.DUMMYFUNCTION("GOOGLETRANSLATE(E112, ""en"", ""id"")"),"Komersialisasi berisiko mengikis nilai-nilai rasa hormat, ritual, dan tradisi.")</f>
        <v>Komersialisasi berisiko mengikis nilai-nilai rasa hormat, ritual, dan tradisi.</v>
      </c>
    </row>
    <row r="113">
      <c r="A113" s="5">
        <v>112.0</v>
      </c>
      <c r="B113" s="8" t="s">
        <v>1238</v>
      </c>
      <c r="C113" s="8" t="s">
        <v>1239</v>
      </c>
      <c r="D113" s="8" t="s">
        <v>577</v>
      </c>
      <c r="E113" s="8" t="s">
        <v>1240</v>
      </c>
      <c r="G113" s="6" t="str">
        <f>IFERROR(__xludf.DUMMYFUNCTION("GOOGLETRANSLATE(A113, ""en"", ""id"")"),"112")</f>
        <v>112</v>
      </c>
      <c r="H113" s="6" t="str">
        <f>IFERROR(__xludf.DUMMYFUNCTION("GOOGLETRANSLATE(B113, ""en"", ""id"")"),"LSM mempromosikan Peresean saat ini sebagai:")</f>
        <v>LSM mempromosikan Peresean saat ini sebagai:</v>
      </c>
      <c r="I113" s="6" t="str">
        <f>IFERROR(__xludf.DUMMYFUNCTION("GOOGLETRANSLATE(C113, ""en"", ""id"")"),"A) Identitas budaya B) Keterlibatan pemuda C) Alat pariwisata D) Semua jawaban di atas")</f>
        <v>A) Identitas budaya B) Keterlibatan pemuda C) Alat pariwisata D) Semua jawaban di atas</v>
      </c>
      <c r="J113" s="6" t="str">
        <f>IFERROR(__xludf.DUMMYFUNCTION("GOOGLETRANSLATE(D113, ""en"", ""id"")"),"D) Semua jawaban di atas")</f>
        <v>D) Semua jawaban di atas</v>
      </c>
      <c r="K113" s="6" t="str">
        <f>IFERROR(__xludf.DUMMYFUNCTION("GOOGLETRANSLATE(E113, ""en"", ""id"")"),"Hal ini dibingkai sebagai identitas, kebanggaan kaum muda, dan daya tarik wisata.")</f>
        <v>Hal ini dibingkai sebagai identitas, kebanggaan kaum muda, dan daya tarik wisata.</v>
      </c>
    </row>
    <row r="114">
      <c r="A114" s="5">
        <v>113.0</v>
      </c>
      <c r="B114" s="8" t="s">
        <v>1241</v>
      </c>
      <c r="C114" s="8" t="s">
        <v>1242</v>
      </c>
      <c r="D114" s="8" t="s">
        <v>577</v>
      </c>
      <c r="E114" s="8" t="s">
        <v>1243</v>
      </c>
      <c r="G114" s="6" t="str">
        <f>IFERROR(__xludf.DUMMYFUNCTION("GOOGLETRANSLATE(A114, ""en"", ""id"")"),"113")</f>
        <v>113</v>
      </c>
      <c r="H114" s="6" t="str">
        <f>IFERROR(__xludf.DUMMYFUNCTION("GOOGLETRANSLATE(B114, ""en"", ""id"")"),"Pengawasan medis dalam Peresean modern disebabkan oleh:")</f>
        <v>Pengawasan medis dalam Peresean modern disebabkan oleh:</v>
      </c>
      <c r="I114" s="6" t="str">
        <f>IFERROR(__xludf.DUMMYFUNCTION("GOOGLETRANSLATE(C114, ""en"", ""id"")"),"A) Meningkatnya cedera B) Standar internasional C) Peraturan negara D) Semua jawaban di atas")</f>
        <v>A) Meningkatnya cedera B) Standar internasional C) Peraturan negara D) Semua jawaban di atas</v>
      </c>
      <c r="J114" s="6" t="str">
        <f>IFERROR(__xludf.DUMMYFUNCTION("GOOGLETRANSLATE(D114, ""en"", ""id"")"),"D) Semua jawaban di atas")</f>
        <v>D) Semua jawaban di atas</v>
      </c>
      <c r="K114" s="6" t="str">
        <f>IFERROR(__xludf.DUMMYFUNCTION("GOOGLETRANSLATE(E114, ""en"", ""id"")"),"Perkelahian yang dulunya tidak terkendali kini melibatkan pengawasan medis.")</f>
        <v>Perkelahian yang dulunya tidak terkendali kini melibatkan pengawasan medis.</v>
      </c>
    </row>
    <row r="115">
      <c r="A115" s="5">
        <v>114.0</v>
      </c>
      <c r="B115" s="8" t="s">
        <v>1244</v>
      </c>
      <c r="C115" s="8" t="s">
        <v>1245</v>
      </c>
      <c r="D115" s="8" t="s">
        <v>1246</v>
      </c>
      <c r="E115" s="8" t="s">
        <v>1247</v>
      </c>
      <c r="G115" s="6" t="str">
        <f>IFERROR(__xludf.DUMMYFUNCTION("GOOGLETRANSLATE(A115, ""en"", ""id"")"),"114")</f>
        <v>114</v>
      </c>
      <c r="H115" s="6" t="str">
        <f>IFERROR(__xludf.DUMMYFUNCTION("GOOGLETRANSLATE(B115, ""en"", ""id"")"),"Mana yang paling berisiko jika Peresean terlalu dimodernisasi?")</f>
        <v>Mana yang paling berisiko jika Peresean terlalu dimodernisasi?</v>
      </c>
      <c r="I115" s="6" t="str">
        <f>IFERROR(__xludf.DUMMYFUNCTION("GOOGLETRANSLATE(C115, ""en"", ""id"")"),"A) Makna ritual B) Kesehatan petarung C) Minat penonton D) Kelayakan ekonomi")</f>
        <v>A) Makna ritual B) Kesehatan petarung C) Minat penonton D) Kelayakan ekonomi</v>
      </c>
      <c r="J115" s="6" t="str">
        <f>IFERROR(__xludf.DUMMYFUNCTION("GOOGLETRANSLATE(D115, ""en"", ""id"")"),"A) Makna ritual")</f>
        <v>A) Makna ritual</v>
      </c>
      <c r="K115" s="6" t="str">
        <f>IFERROR(__xludf.DUMMYFUNCTION("GOOGLETRANSLATE(E115, ""en"", ""id"")"),"Ritual menelanjangi berisiko menjadikan Peresean hanya sekadar “hiburan pertarungan tongkat.”")</f>
        <v>Ritual menelanjangi berisiko menjadikan Peresean hanya sekadar “hiburan pertarungan tongkat.”</v>
      </c>
    </row>
    <row r="116">
      <c r="A116" s="5">
        <v>115.0</v>
      </c>
      <c r="B116" s="8" t="s">
        <v>1248</v>
      </c>
      <c r="C116" s="8" t="s">
        <v>1249</v>
      </c>
      <c r="D116" s="8" t="s">
        <v>577</v>
      </c>
      <c r="E116" s="8" t="s">
        <v>1250</v>
      </c>
      <c r="G116" s="6" t="str">
        <f>IFERROR(__xludf.DUMMYFUNCTION("GOOGLETRANSLATE(A116, ""en"", ""id"")"),"115")</f>
        <v>115</v>
      </c>
      <c r="H116" s="6" t="str">
        <f>IFERROR(__xludf.DUMMYFUNCTION("GOOGLETRANSLATE(B116, ""en"", ""id"")"),"Pengakuan global terhadap Peresean sedang diupayakan melalui:")</f>
        <v>Pengakuan global terhadap Peresean sedang diupayakan melalui:</v>
      </c>
      <c r="I116" s="6" t="str">
        <f>IFERROR(__xludf.DUMMYFUNCTION("GOOGLETRANSLATE(C116, ""en"", ""id"")"),"A) Daftar warisan UNESCO B) Pertukaran budaya ASEAN C) Dokumentasi akademis D) Semua jawaban di atas")</f>
        <v>A) Daftar warisan UNESCO B) Pertukaran budaya ASEAN C) Dokumentasi akademis D) Semua jawaban di atas</v>
      </c>
      <c r="J116" s="6" t="str">
        <f>IFERROR(__xludf.DUMMYFUNCTION("GOOGLETRANSLATE(D116, ""en"", ""id"")"),"D) Semua jawaban di atas")</f>
        <v>D) Semua jawaban di atas</v>
      </c>
      <c r="K116" s="6" t="str">
        <f>IFERROR(__xludf.DUMMYFUNCTION("GOOGLETRANSLATE(E116, ""en"", ""id"")"),"Nominasi UNESCO, pembagian ASEAN, dan karya ilmiah mendorong Peresean mendunia.")</f>
        <v>Nominasi UNESCO, pembagian ASEAN, dan karya ilmiah mendorong Peresean mendunia.</v>
      </c>
    </row>
    <row r="117">
      <c r="A117" s="5">
        <v>116.0</v>
      </c>
      <c r="B117" s="8" t="s">
        <v>1251</v>
      </c>
      <c r="C117" s="8" t="s">
        <v>1252</v>
      </c>
      <c r="D117" s="8" t="s">
        <v>577</v>
      </c>
      <c r="E117" s="8" t="s">
        <v>1253</v>
      </c>
      <c r="G117" s="6" t="str">
        <f>IFERROR(__xludf.DUMMYFUNCTION("GOOGLETRANSLATE(A117, ""en"", ""id"")"),"116")</f>
        <v>116</v>
      </c>
      <c r="H117" s="6" t="str">
        <f>IFERROR(__xludf.DUMMYFUNCTION("GOOGLETRANSLATE(B117, ""en"", ""id"")"),"Mengapa petarung dipuji meski kalah?")</f>
        <v>Mengapa petarung dipuji meski kalah?</v>
      </c>
      <c r="I117" s="6" t="str">
        <f>IFERROR(__xludf.DUMMYFUNCTION("GOOGLETRANSLATE(C117, ""en"", ""id"")"),"A) Mereka menghibur B) Mereka menjunjung tinggi kehormatan C) Mereka menunjukkan keberanian D) Semua jawaban di atas")</f>
        <v>A) Mereka menghibur B) Mereka menjunjung tinggi kehormatan C) Mereka menunjukkan keberanian D) Semua jawaban di atas</v>
      </c>
      <c r="J117" s="6" t="str">
        <f>IFERROR(__xludf.DUMMYFUNCTION("GOOGLETRANSLATE(D117, ""en"", ""id"")"),"D) Semua jawaban di atas")</f>
        <v>D) Semua jawaban di atas</v>
      </c>
      <c r="K117" s="6" t="str">
        <f>IFERROR(__xludf.DUMMYFUNCTION("GOOGLETRANSLATE(E117, ""en"", ""id"")"),"Dalam Peresean, keberanian sama pentingnya dengan kemenangan.")</f>
        <v>Dalam Peresean, keberanian sama pentingnya dengan kemenangan.</v>
      </c>
    </row>
    <row r="118">
      <c r="A118" s="5">
        <v>117.0</v>
      </c>
      <c r="B118" s="8" t="s">
        <v>1254</v>
      </c>
      <c r="C118" s="8" t="s">
        <v>1255</v>
      </c>
      <c r="D118" s="8" t="s">
        <v>577</v>
      </c>
      <c r="E118" s="8" t="s">
        <v>1256</v>
      </c>
      <c r="G118" s="6" t="str">
        <f>IFERROR(__xludf.DUMMYFUNCTION("GOOGLETRANSLATE(A118, ""en"", ""id"")"),"117")</f>
        <v>117</v>
      </c>
      <c r="H118" s="6" t="str">
        <f>IFERROR(__xludf.DUMMYFUNCTION("GOOGLETRANSLATE(B118, ""en"", ""id"")"),"Mengapa Peresean dilarang sementara waktu di beberapa tempat?")</f>
        <v>Mengapa Peresean dilarang sementara waktu di beberapa tempat?</v>
      </c>
      <c r="I118" s="6" t="str">
        <f>IFERROR(__xludf.DUMMYFUNCTION("GOOGLETRANSLATE(C118, ""en"", ""id"")"),"A) Kekhawatiran akan kekerasan B) Kerusuhan politik C) Keberatan agama D) Semua jawaban di atas")</f>
        <v>A) Kekhawatiran akan kekerasan B) Kerusuhan politik C) Keberatan agama D) Semua jawaban di atas</v>
      </c>
      <c r="J118" s="6" t="str">
        <f>IFERROR(__xludf.DUMMYFUNCTION("GOOGLETRANSLATE(D118, ""en"", ""id"")"),"D) Semua jawaban di atas")</f>
        <v>D) Semua jawaban di atas</v>
      </c>
      <c r="K118" s="6" t="str">
        <f>IFERROR(__xludf.DUMMYFUNCTION("GOOGLETRANSLATE(E118, ""en"", ""id"")"),"Pihak berwenang terkadang membatasinya karena alasan keamanan atau ketegangan politik.")</f>
        <v>Pihak berwenang terkadang membatasinya karena alasan keamanan atau ketegangan politik.</v>
      </c>
    </row>
    <row r="119">
      <c r="A119" s="5">
        <v>118.0</v>
      </c>
      <c r="B119" s="8" t="s">
        <v>1257</v>
      </c>
      <c r="C119" s="8" t="s">
        <v>1258</v>
      </c>
      <c r="D119" s="8" t="s">
        <v>577</v>
      </c>
      <c r="E119" s="8" t="s">
        <v>1259</v>
      </c>
      <c r="G119" s="6" t="str">
        <f>IFERROR(__xludf.DUMMYFUNCTION("GOOGLETRANSLATE(A119, ""en"", ""id"")"),"118")</f>
        <v>118</v>
      </c>
      <c r="H119" s="6" t="str">
        <f>IFERROR(__xludf.DUMMYFUNCTION("GOOGLETRANSLATE(B119, ""en"", ""id"")"),"Mengapa wanita jarang menjadi Pepadu?")</f>
        <v>Mengapa wanita jarang menjadi Pepadu?</v>
      </c>
      <c r="I119" s="6" t="str">
        <f>IFERROR(__xludf.DUMMYFUNCTION("GOOGLETRANSLATE(C119, ""en"", ""id"")"),"A) Norma patriarki B) Pembatasan ritual C) Tuntutan fisik D) Semua jawaban di atas")</f>
        <v>A) Norma patriarki B) Pembatasan ritual C) Tuntutan fisik D) Semua jawaban di atas</v>
      </c>
      <c r="J119" s="6" t="str">
        <f>IFERROR(__xludf.DUMMYFUNCTION("GOOGLETRANSLATE(D119, ""en"", ""id"")"),"D) Semua jawaban di atas")</f>
        <v>D) Semua jawaban di atas</v>
      </c>
      <c r="K119" s="6" t="str">
        <f>IFERROR(__xludf.DUMMYFUNCTION("GOOGLETRANSLATE(E119, ""en"", ""id"")"),"Meski hanya sedikit wanita yang mencoba, Peresean tradisional dikodekan sebagai seni laki-laki.")</f>
        <v>Meski hanya sedikit wanita yang mencoba, Peresean tradisional dikodekan sebagai seni laki-laki.</v>
      </c>
    </row>
    <row r="120">
      <c r="A120" s="5">
        <v>119.0</v>
      </c>
      <c r="B120" s="8" t="s">
        <v>1260</v>
      </c>
      <c r="C120" s="8" t="s">
        <v>1261</v>
      </c>
      <c r="D120" s="8" t="s">
        <v>577</v>
      </c>
      <c r="E120" s="8" t="s">
        <v>1262</v>
      </c>
      <c r="G120" s="6" t="str">
        <f>IFERROR(__xludf.DUMMYFUNCTION("GOOGLETRANSLATE(A120, ""en"", ""id"")"),"119")</f>
        <v>119</v>
      </c>
      <c r="H120" s="6" t="str">
        <f>IFERROR(__xludf.DUMMYFUNCTION("GOOGLETRANSLATE(B120, ""en"", ""id"")"),"Namun peran perempuan dalam Peresean sangatlah penting karena:")</f>
        <v>Namun peran perempuan dalam Peresean sangatlah penting karena:</v>
      </c>
      <c r="I120" s="6" t="str">
        <f>IFERROR(__xludf.DUMMYFUNCTION("GOOGLETRANSLATE(C120, ""en"", ""id"")"),"A) Penyanyi/penari B) Pemandu sorak C) Penyelenggara D) Semua jawaban di atas")</f>
        <v>A) Penyanyi/penari B) Pemandu sorak C) Penyelenggara D) Semua jawaban di atas</v>
      </c>
      <c r="J120" s="6" t="str">
        <f>IFERROR(__xludf.DUMMYFUNCTION("GOOGLETRANSLATE(D120, ""en"", ""id"")"),"D) Semua jawaban di atas")</f>
        <v>D) Semua jawaban di atas</v>
      </c>
      <c r="K120" s="6" t="str">
        <f>IFERROR(__xludf.DUMMYFUNCTION("GOOGLETRANSLATE(E120, ""en"", ""id"")"),"Wanita menjalankan ritual dan peran perayaan meski bukan pejuang.")</f>
        <v>Wanita menjalankan ritual dan peran perayaan meski bukan pejuang.</v>
      </c>
    </row>
    <row r="121">
      <c r="A121" s="5">
        <v>120.0</v>
      </c>
      <c r="B121" s="8" t="s">
        <v>1263</v>
      </c>
      <c r="C121" s="8" t="s">
        <v>1264</v>
      </c>
      <c r="D121" s="8" t="s">
        <v>577</v>
      </c>
      <c r="E121" s="8" t="s">
        <v>1265</v>
      </c>
      <c r="G121" s="6" t="str">
        <f>IFERROR(__xludf.DUMMYFUNCTION("GOOGLETRANSLATE(A121, ""en"", ""id"")"),"120")</f>
        <v>120</v>
      </c>
      <c r="H121" s="6" t="str">
        <f>IFERROR(__xludf.DUMMYFUNCTION("GOOGLETRANSLATE(B121, ""en"", ""id"")"),"Nilai apakah yang diwariskan secara turun-temurun melalui Peresean?")</f>
        <v>Nilai apakah yang diwariskan secara turun-temurun melalui Peresean?</v>
      </c>
      <c r="I121" s="6" t="str">
        <f>IFERROR(__xludf.DUMMYFUNCTION("GOOGLETRANSLATE(C121, ""en"", ""id"")"),"A) Keberanian B) Persatuan C) Disiplin D) Semua jawaban di atas")</f>
        <v>A) Keberanian B) Persatuan C) Disiplin D) Semua jawaban di atas</v>
      </c>
      <c r="J121" s="6" t="str">
        <f>IFERROR(__xludf.DUMMYFUNCTION("GOOGLETRANSLATE(D121, ""en"", ""id"")"),"D) Semua jawaban di atas")</f>
        <v>D) Semua jawaban di atas</v>
      </c>
      <c r="K121" s="6" t="str">
        <f>IFERROR(__xludf.DUMMYFUNCTION("GOOGLETRANSLATE(E121, ""en"", ""id"")"),"Mengajarkan keberanian, persatuan, dan disiplin pada pemuda Lombok.")</f>
        <v>Mengajarkan keberanian, persatuan, dan disiplin pada pemuda Lombok.</v>
      </c>
    </row>
    <row r="122">
      <c r="A122" s="5">
        <v>121.0</v>
      </c>
      <c r="B122" s="8" t="s">
        <v>1266</v>
      </c>
      <c r="C122" s="8" t="s">
        <v>1267</v>
      </c>
      <c r="D122" s="8" t="s">
        <v>1268</v>
      </c>
      <c r="E122" s="8" t="s">
        <v>1269</v>
      </c>
      <c r="G122" s="6" t="str">
        <f>IFERROR(__xludf.DUMMYFUNCTION("GOOGLETRANSLATE(A122, ""en"", ""id"")"),"121")</f>
        <v>121</v>
      </c>
      <c r="H122" s="6" t="str">
        <f>IFERROR(__xludf.DUMMYFUNCTION("GOOGLETRANSLATE(B122, ""en"", ""id"")"),"Bagian Lombok manakah yang dianggap sebagai tempat lahirnya Peresean?")</f>
        <v>Bagian Lombok manakah yang dianggap sebagai tempat lahirnya Peresean?</v>
      </c>
      <c r="I122" s="6" t="str">
        <f>IFERROR(__xludf.DUMMYFUNCTION("GOOGLETRANSLATE(C122, ""en"", ""id"")"),"A) Lombok Timur B) Lombok Tengah C) Lombok Barat D) Lombok Utara")</f>
        <v>A) Lombok Timur B) Lombok Tengah C) Lombok Barat D) Lombok Utara</v>
      </c>
      <c r="J122" s="6" t="str">
        <f>IFERROR(__xludf.DUMMYFUNCTION("GOOGLETRANSLATE(D122, ""en"", ""id"")"),"B) Lombok Tengah")</f>
        <v>B) Lombok Tengah</v>
      </c>
      <c r="K122" s="6" t="str">
        <f>IFERROR(__xludf.DUMMYFUNCTION("GOOGLETRANSLATE(E122, ""en"", ""id"")"),"Dikenal karena tradisi Pepadu awal.")</f>
        <v>Dikenal karena tradisi Pepadu awal.</v>
      </c>
    </row>
    <row r="123">
      <c r="A123" s="5">
        <v>122.0</v>
      </c>
      <c r="B123" s="8" t="s">
        <v>1270</v>
      </c>
      <c r="C123" s="8" t="s">
        <v>1271</v>
      </c>
      <c r="D123" s="8" t="s">
        <v>1272</v>
      </c>
      <c r="E123" s="8" t="s">
        <v>1273</v>
      </c>
      <c r="G123" s="6" t="str">
        <f>IFERROR(__xludf.DUMMYFUNCTION("GOOGLETRANSLATE(A123, ""en"", ""id"")"),"122")</f>
        <v>122</v>
      </c>
      <c r="H123" s="6" t="str">
        <f>IFERROR(__xludf.DUMMYFUNCTION("GOOGLETRANSLATE(B123, ""en"", ""id"")"),"Perisai (ende) dalam Peresean biasanya terbuat dari:")</f>
        <v>Perisai (ende) dalam Peresean biasanya terbuat dari:</v>
      </c>
      <c r="I123" s="6" t="str">
        <f>IFERROR(__xludf.DUMMYFUNCTION("GOOGLETRANSLATE(C123, ""en"", ""id"")"),"A) Kulit kambing B) Kulit kerbau C) Kulit sapi D) Anyaman bambu")</f>
        <v>A) Kulit kambing B) Kulit kerbau C) Kulit sapi D) Anyaman bambu</v>
      </c>
      <c r="J123" s="6" t="str">
        <f>IFERROR(__xludf.DUMMYFUNCTION("GOOGLETRANSLATE(D123, ""en"", ""id"")"),"B) Kulit kerbau")</f>
        <v>B) Kulit kerbau</v>
      </c>
      <c r="K123" s="6" t="str">
        <f>IFERROR(__xludf.DUMMYFUNCTION("GOOGLETRANSLATE(E123, ""en"", ""id"")"),"Kuat, tahan lama, pilihan tradisional.")</f>
        <v>Kuat, tahan lama, pilihan tradisional.</v>
      </c>
    </row>
    <row r="124">
      <c r="A124" s="5">
        <v>123.0</v>
      </c>
      <c r="B124" s="8" t="s">
        <v>1274</v>
      </c>
      <c r="C124" s="8" t="s">
        <v>1275</v>
      </c>
      <c r="D124" s="8" t="s">
        <v>1276</v>
      </c>
      <c r="E124" s="8" t="s">
        <v>1277</v>
      </c>
      <c r="G124" s="6" t="str">
        <f>IFERROR(__xludf.DUMMYFUNCTION("GOOGLETRANSLATE(A124, ""en"", ""id"")"),"123")</f>
        <v>123</v>
      </c>
      <c r="H124" s="6" t="str">
        <f>IFERROR(__xludf.DUMMYFUNCTION("GOOGLETRANSLATE(B124, ""en"", ""id"")"),"Suara apakah yang menandakan dimulainya pertandingan Peresean?")</f>
        <v>Suara apakah yang menandakan dimulainya pertandingan Peresean?</v>
      </c>
      <c r="I124" s="6" t="str">
        <f>IFERROR(__xludf.DUMMYFUNCTION("GOOGLETRANSLATE(C124, ""en"", ""id"")"),"A) Gong B) Tabuhan Drum C) Peluit D) Kidung")</f>
        <v>A) Gong B) Tabuhan Drum C) Peluit D) Kidung</v>
      </c>
      <c r="J124" s="6" t="str">
        <f>IFERROR(__xludf.DUMMYFUNCTION("GOOGLETRANSLATE(D124, ""en"", ""id"")"),"B) Ketukan drum")</f>
        <v>B) Ketukan drum</v>
      </c>
      <c r="K124" s="6" t="str">
        <f>IFERROR(__xludf.DUMMYFUNCTION("GOOGLETRANSLATE(E124, ""en"", ""id"")"),"Gendang Kendang mengawali ritme pertarungan.")</f>
        <v>Gendang Kendang mengawali ritme pertarungan.</v>
      </c>
    </row>
    <row r="125">
      <c r="A125" s="5">
        <v>124.0</v>
      </c>
      <c r="B125" s="8" t="s">
        <v>1278</v>
      </c>
      <c r="C125" s="8" t="s">
        <v>1279</v>
      </c>
      <c r="D125" s="8" t="s">
        <v>1280</v>
      </c>
      <c r="E125" s="8" t="s">
        <v>1281</v>
      </c>
      <c r="G125" s="6" t="str">
        <f>IFERROR(__xludf.DUMMYFUNCTION("GOOGLETRANSLATE(A125, ""en"", ""id"")"),"124")</f>
        <v>124</v>
      </c>
      <c r="H125" s="6" t="str">
        <f>IFERROR(__xludf.DUMMYFUNCTION("GOOGLETRANSLATE(B125, ""en"", ""id"")"),"Berapa lama putaran Peresean biasanya berlangsung?")</f>
        <v>Berapa lama putaran Peresean biasanya berlangsung?</v>
      </c>
      <c r="I125" s="6" t="str">
        <f>IFERROR(__xludf.DUMMYFUNCTION("GOOGLETRANSLATE(C125, ""en"", ""id"")"),"A) Beberapa menit B) 15 menit C) 30 menit D) Sampai kelelahan")</f>
        <v>A) Beberapa menit B) 15 menit C) 30 menit D) Sampai kelelahan</v>
      </c>
      <c r="J125" s="6" t="str">
        <f>IFERROR(__xludf.DUMMYFUNCTION("GOOGLETRANSLATE(D125, ""en"", ""id"")"),"A) Beberapa menit")</f>
        <v>A) Beberapa menit</v>
      </c>
      <c r="K125" s="6" t="str">
        <f>IFERROR(__xludf.DUMMYFUNCTION("GOOGLETRANSLATE(E125, ""en"", ""id"")"),"Pertempuran yang singkat dan intens.")</f>
        <v>Pertempuran yang singkat dan intens.</v>
      </c>
    </row>
    <row r="126">
      <c r="A126" s="5">
        <v>125.0</v>
      </c>
      <c r="B126" s="8" t="s">
        <v>1282</v>
      </c>
      <c r="C126" s="8" t="s">
        <v>1283</v>
      </c>
      <c r="D126" s="8" t="s">
        <v>1284</v>
      </c>
      <c r="E126" s="8" t="s">
        <v>1285</v>
      </c>
      <c r="G126" s="6" t="str">
        <f>IFERROR(__xludf.DUMMYFUNCTION("GOOGLETRANSLATE(A126, ""en"", ""id"")"),"125")</f>
        <v>125</v>
      </c>
      <c r="H126" s="6" t="str">
        <f>IFERROR(__xludf.DUMMYFUNCTION("GOOGLETRANSLATE(B126, ""en"", ""id"")"),"Siapa yang memutuskan kapan pertarungan Peresean berakhir?")</f>
        <v>Siapa yang memutuskan kapan pertarungan Peresean berakhir?</v>
      </c>
      <c r="I126" s="6" t="str">
        <f>IFERROR(__xludf.DUMMYFUNCTION("GOOGLETRANSLATE(C126, ""en"", ""id"")"),"A) Penonton B) Wasit (Pakemban) C) Pejuang itu sendiri D) Kepala desa")</f>
        <v>A) Penonton B) Wasit (Pakemban) C) Pejuang itu sendiri D) Kepala desa</v>
      </c>
      <c r="J126" s="6" t="str">
        <f>IFERROR(__xludf.DUMMYFUNCTION("GOOGLETRANSLATE(D126, ""en"", ""id"")"),"B) Wasit (Pakemban)")</f>
        <v>B) Wasit (Pakemban)</v>
      </c>
      <c r="K126" s="6" t="str">
        <f>IFERROR(__xludf.DUMMYFUNCTION("GOOGLETRANSLATE(E126, ""en"", ""id"")"),"Menjaga keadilan dan keamanan.")</f>
        <v>Menjaga keadilan dan keamanan.</v>
      </c>
    </row>
    <row r="127">
      <c r="A127" s="5">
        <v>126.0</v>
      </c>
      <c r="B127" s="8" t="s">
        <v>1286</v>
      </c>
      <c r="C127" s="8" t="s">
        <v>1287</v>
      </c>
      <c r="D127" s="8" t="s">
        <v>577</v>
      </c>
      <c r="E127" s="8" t="s">
        <v>1288</v>
      </c>
      <c r="G127" s="6" t="str">
        <f>IFERROR(__xludf.DUMMYFUNCTION("GOOGLETRANSLATE(A127, ""en"", ""id"")"),"126")</f>
        <v>126</v>
      </c>
      <c r="H127" s="6" t="str">
        <f>IFERROR(__xludf.DUMMYFUNCTION("GOOGLETRANSLATE(B127, ""en"", ""id"")"),"Perlengkapan keselamatan modern apa yang terkadang diperkenalkan?")</f>
        <v>Perlengkapan keselamatan modern apa yang terkadang diperkenalkan?</v>
      </c>
      <c r="I127" s="6" t="str">
        <f>IFERROR(__xludf.DUMMYFUNCTION("GOOGLETRANSLATE(C127, ""en"", ""id"")"),"A) Helm B) Sarung Tangan C) Bantalan D) Semua jawaban di atas")</f>
        <v>A) Helm B) Sarung Tangan C) Bantalan D) Semua jawaban di atas</v>
      </c>
      <c r="J127" s="6" t="str">
        <f>IFERROR(__xludf.DUMMYFUNCTION("GOOGLETRANSLATE(D127, ""en"", ""id"")"),"D) Semua jawaban di atas")</f>
        <v>D) Semua jawaban di atas</v>
      </c>
      <c r="K127" s="6" t="str">
        <f>IFERROR(__xludf.DUMMYFUNCTION("GOOGLETRANSLATE(E127, ""en"", ""id"")"),"Ditambahkan untuk turnamen dengan turis.")</f>
        <v>Ditambahkan untuk turnamen dengan turis.</v>
      </c>
    </row>
    <row r="128">
      <c r="A128" s="5">
        <v>127.0</v>
      </c>
      <c r="B128" s="8" t="s">
        <v>1289</v>
      </c>
      <c r="C128" s="8" t="s">
        <v>1290</v>
      </c>
      <c r="D128" s="8" t="s">
        <v>1291</v>
      </c>
      <c r="E128" s="8" t="s">
        <v>1292</v>
      </c>
      <c r="G128" s="6" t="str">
        <f>IFERROR(__xludf.DUMMYFUNCTION("GOOGLETRANSLATE(A128, ""en"", ""id"")"),"127")</f>
        <v>127</v>
      </c>
      <c r="H128" s="6" t="str">
        <f>IFERROR(__xludf.DUMMYFUNCTION("GOOGLETRANSLATE(B128, ""en"", ""id"")"),"Seni budaya apa saja yang sering mengiringi Peresean?")</f>
        <v>Seni budaya apa saja yang sering mengiringi Peresean?</v>
      </c>
      <c r="I128" s="6" t="str">
        <f>IFERROR(__xludf.DUMMYFUNCTION("GOOGLETRANSLATE(C128, ""en"", ""id"")"),"A) Musik gamelan B) Tari sasak C) Teater boneka D) Wayang kulit")</f>
        <v>A) Musik gamelan B) Tari sasak C) Teater boneka D) Wayang kulit</v>
      </c>
      <c r="J128" s="6" t="str">
        <f>IFERROR(__xludf.DUMMYFUNCTION("GOOGLETRANSLATE(D128, ""en"", ""id"")"),"B) Tari Sasak")</f>
        <v>B) Tari Sasak</v>
      </c>
      <c r="K128" s="6" t="str">
        <f>IFERROR(__xludf.DUMMYFUNCTION("GOOGLETRANSLATE(E128, ""en"", ""id"")"),"Meningkatkan ritual dan pesta.")</f>
        <v>Meningkatkan ritual dan pesta.</v>
      </c>
    </row>
    <row r="129">
      <c r="A129" s="5">
        <v>128.0</v>
      </c>
      <c r="B129" s="8" t="s">
        <v>1293</v>
      </c>
      <c r="C129" s="8" t="s">
        <v>1294</v>
      </c>
      <c r="D129" s="8" t="s">
        <v>1295</v>
      </c>
      <c r="E129" s="8" t="s">
        <v>1296</v>
      </c>
      <c r="G129" s="6" t="str">
        <f>IFERROR(__xludf.DUMMYFUNCTION("GOOGLETRANSLATE(A129, ""en"", ""id"")"),"128")</f>
        <v>128</v>
      </c>
      <c r="H129" s="6" t="str">
        <f>IFERROR(__xludf.DUMMYFUNCTION("GOOGLETRANSLATE(B129, ""en"", ""id"")"),"Pertandingan Peresean secara historis bertepatan dengan:")</f>
        <v>Pertandingan Peresean secara historis bertepatan dengan:</v>
      </c>
      <c r="I129" s="6" t="str">
        <f>IFERROR(__xludf.DUMMYFUNCTION("GOOGLETRANSLATE(C129, ""en"", ""id"")"),"A) Perayaan panen B) Persiapan perang C) Penobatan raja D) Festival kuil")</f>
        <v>A) Perayaan panen B) Persiapan perang C) Penobatan raja D) Festival kuil</v>
      </c>
      <c r="J129" s="6" t="str">
        <f>IFERROR(__xludf.DUMMYFUNCTION("GOOGLETRANSLATE(D129, ""en"", ""id"")"),"A) Perayaan panen")</f>
        <v>A) Perayaan panen</v>
      </c>
      <c r="K129" s="6" t="str">
        <f>IFERROR(__xludf.DUMMYFUNCTION("GOOGLETRANSLATE(E129, ""en"", ""id"")"),"Untuk berterima kasih dan memberkati tanaman.")</f>
        <v>Untuk berterima kasih dan memberkati tanaman.</v>
      </c>
    </row>
    <row r="130">
      <c r="A130" s="5">
        <v>129.0</v>
      </c>
      <c r="B130" s="8" t="s">
        <v>1297</v>
      </c>
      <c r="C130" s="8" t="s">
        <v>1298</v>
      </c>
      <c r="D130" s="8" t="s">
        <v>1299</v>
      </c>
      <c r="E130" s="8" t="s">
        <v>1300</v>
      </c>
      <c r="G130" s="6" t="str">
        <f>IFERROR(__xludf.DUMMYFUNCTION("GOOGLETRANSLATE(A130, ""en"", ""id"")"),"129")</f>
        <v>129</v>
      </c>
      <c r="H130" s="6" t="str">
        <f>IFERROR(__xludf.DUMMYFUNCTION("GOOGLETRANSLATE(B130, ""en"", ""id"")"),"Kata manakah yang paling menggambarkan semangat Peresean?")</f>
        <v>Kata manakah yang paling menggambarkan semangat Peresean?</v>
      </c>
      <c r="I130" s="6" t="str">
        <f>IFERROR(__xludf.DUMMYFUNCTION("GOOGLETRANSLATE(C130, ""en"", ""id"")"),"A) Kemenangan B) Kehormatan C) Kekayaan D) Ketakutan")</f>
        <v>A) Kemenangan B) Kehormatan C) Kekayaan D) Ketakutan</v>
      </c>
      <c r="J130" s="6" t="str">
        <f>IFERROR(__xludf.DUMMYFUNCTION("GOOGLETRANSLATE(D130, ""en"", ""id"")"),"B) Kehormatan")</f>
        <v>B) Kehormatan</v>
      </c>
      <c r="K130" s="6" t="str">
        <f>IFERROR(__xludf.DUMMYFUNCTION("GOOGLETRANSLATE(E130, ""en"", ""id"")"),"Nilai inti pertempuran Pepadu.")</f>
        <v>Nilai inti pertempuran Pepadu.</v>
      </c>
    </row>
    <row r="131">
      <c r="A131" s="5">
        <v>130.0</v>
      </c>
      <c r="B131" s="8" t="s">
        <v>1301</v>
      </c>
      <c r="C131" s="8" t="s">
        <v>1302</v>
      </c>
      <c r="D131" s="8" t="s">
        <v>1303</v>
      </c>
      <c r="E131" s="8" t="s">
        <v>1304</v>
      </c>
      <c r="G131" s="6" t="str">
        <f>IFERROR(__xludf.DUMMYFUNCTION("GOOGLETRANSLATE(A131, ""en"", ""id"")"),"130")</f>
        <v>130</v>
      </c>
      <c r="H131" s="6" t="str">
        <f>IFERROR(__xludf.DUMMYFUNCTION("GOOGLETRANSLATE(B131, ""en"", ""id"")"),"Tradisi bela diri Indonesia manakah yang berakar dari Peresean?")</f>
        <v>Tradisi bela diri Indonesia manakah yang berakar dari Peresean?</v>
      </c>
      <c r="I131" s="6" t="str">
        <f>IFERROR(__xludf.DUMMYFUNCTION("GOOGLETRANSLATE(C131, ""en"", ""id"")"),"A) Silat B) Pencak C) Tarung Derajat D) Ritual Dayak")</f>
        <v>A) Silat B) Pencak C) Tarung Derajat D) Ritual Dayak</v>
      </c>
      <c r="J131" s="6" t="str">
        <f>IFERROR(__xludf.DUMMYFUNCTION("GOOGLETRANSLATE(D131, ""en"", ""id"")"),"A) Silat")</f>
        <v>A) Silat</v>
      </c>
      <c r="K131" s="6" t="str">
        <f>IFERROR(__xludf.DUMMYFUNCTION("GOOGLETRANSLATE(E131, ""en"", ""id"")"),"Warisan bersama dalam pertempuran dan ritual.")</f>
        <v>Warisan bersama dalam pertempuran dan ritual.</v>
      </c>
    </row>
    <row r="132">
      <c r="A132" s="5">
        <v>131.0</v>
      </c>
      <c r="B132" s="8" t="s">
        <v>1305</v>
      </c>
      <c r="C132" s="8" t="s">
        <v>1306</v>
      </c>
      <c r="D132" s="8" t="s">
        <v>1307</v>
      </c>
      <c r="E132" s="8" t="s">
        <v>1308</v>
      </c>
      <c r="G132" s="6" t="str">
        <f>IFERROR(__xludf.DUMMYFUNCTION("GOOGLETRANSLATE(A132, ""en"", ""id"")"),"131")</f>
        <v>131</v>
      </c>
      <c r="H132" s="6" t="str">
        <f>IFERROR(__xludf.DUMMYFUNCTION("GOOGLETRANSLATE(B132, ""en"", ""id"")"),"Pada masa awal, pertumpahan darah Peresean dikaitkan dengan:")</f>
        <v>Pada masa awal, pertumpahan darah Peresean dikaitkan dengan:</v>
      </c>
      <c r="I132" s="6" t="str">
        <f>IFERROR(__xludf.DUMMYFUNCTION("GOOGLETRANSLATE(C132, ""en"", ""id"")"),"A) Kesuburan tanah B) Kesetiaan politik C) Kepatuhan agama D) Hiburan saja")</f>
        <v>A) Kesuburan tanah B) Kesetiaan politik C) Kepatuhan agama D) Hiburan saja</v>
      </c>
      <c r="J132" s="6" t="str">
        <f>IFERROR(__xludf.DUMMYFUNCTION("GOOGLETRANSLATE(D132, ""en"", ""id"")"),"A) Kesuburan tanah")</f>
        <v>A) Kesuburan tanah</v>
      </c>
      <c r="K132" s="6" t="str">
        <f>IFERROR(__xludf.DUMMYFUNCTION("GOOGLETRANSLATE(E132, ""en"", ""id"")"),"Dipercaya dapat menyuburkan tanah.")</f>
        <v>Dipercaya dapat menyuburkan tanah.</v>
      </c>
    </row>
    <row r="133">
      <c r="A133" s="5">
        <v>132.0</v>
      </c>
      <c r="B133" s="8" t="s">
        <v>1309</v>
      </c>
      <c r="C133" s="8" t="s">
        <v>1310</v>
      </c>
      <c r="D133" s="8" t="s">
        <v>1311</v>
      </c>
      <c r="E133" s="8" t="s">
        <v>1312</v>
      </c>
      <c r="G133" s="6" t="str">
        <f>IFERROR(__xludf.DUMMYFUNCTION("GOOGLETRANSLATE(A133, ""en"", ""id"")"),"132")</f>
        <v>132</v>
      </c>
      <c r="H133" s="6" t="str">
        <f>IFERROR(__xludf.DUMMYFUNCTION("GOOGLETRANSLATE(B133, ""en"", ""id"")"),"Saat ini, Peresean paling sering dipentaskan untuk:")</f>
        <v>Saat ini, Peresean paling sering dipentaskan untuk:</v>
      </c>
      <c r="I133" s="6" t="str">
        <f>IFERROR(__xludf.DUMMYFUNCTION("GOOGLETRANSLATE(C133, ""en"", ""id"")"),"A) Pariwisata B) Sengketa pengadilan C) Militer D) Pernikahan")</f>
        <v>A) Pariwisata B) Sengketa pengadilan C) Militer D) Pernikahan</v>
      </c>
      <c r="J133" s="6" t="str">
        <f>IFERROR(__xludf.DUMMYFUNCTION("GOOGLETRANSLATE(D133, ""en"", ""id"")"),"A) Pariwisata")</f>
        <v>A) Pariwisata</v>
      </c>
      <c r="K133" s="6" t="str">
        <f>IFERROR(__xludf.DUMMYFUNCTION("GOOGLETRANSLATE(E133, ""en"", ""id"")"),"Daya tarik utama dalam festival Lombok.")</f>
        <v>Daya tarik utama dalam festival Lombok.</v>
      </c>
    </row>
    <row r="134">
      <c r="A134" s="5">
        <v>133.0</v>
      </c>
      <c r="B134" s="8" t="s">
        <v>1313</v>
      </c>
      <c r="C134" s="8" t="s">
        <v>1314</v>
      </c>
      <c r="D134" s="8" t="s">
        <v>1315</v>
      </c>
      <c r="E134" s="8" t="s">
        <v>1316</v>
      </c>
      <c r="G134" s="6" t="str">
        <f>IFERROR(__xludf.DUMMYFUNCTION("GOOGLETRANSLATE(A134, ""en"", ""id"")"),"133")</f>
        <v>133</v>
      </c>
      <c r="H134" s="6" t="str">
        <f>IFERROR(__xludf.DUMMYFUNCTION("GOOGLETRANSLATE(B134, ""en"", ""id"")"),"Seorang Pepadu yang menolak pertempuran dipandang sebagai:")</f>
        <v>Seorang Pepadu yang menolak pertempuran dipandang sebagai:</v>
      </c>
      <c r="I134" s="6" t="str">
        <f>IFERROR(__xludf.DUMMYFUNCTION("GOOGLETRANSLATE(C134, ""en"", ""id"")"),"A) Bijaksana B) Tidak terhormat C) Religius D) Netral")</f>
        <v>A) Bijaksana B) Tidak terhormat C) Religius D) Netral</v>
      </c>
      <c r="J134" s="6" t="str">
        <f>IFERROR(__xludf.DUMMYFUNCTION("GOOGLETRANSLATE(D134, ""en"", ""id"")"),"B) Tidak terhormat")</f>
        <v>B) Tidak terhormat</v>
      </c>
      <c r="K134" s="6" t="str">
        <f>IFERROR(__xludf.DUMMYFUNCTION("GOOGLETRANSLATE(E134, ""en"", ""id"")"),"Kepengecutan menentang kode Peresean.")</f>
        <v>Kepengecutan menentang kode Peresean.</v>
      </c>
    </row>
    <row r="135">
      <c r="A135" s="5">
        <v>134.0</v>
      </c>
      <c r="B135" s="8" t="s">
        <v>1317</v>
      </c>
      <c r="C135" s="8" t="s">
        <v>1318</v>
      </c>
      <c r="D135" s="8" t="s">
        <v>577</v>
      </c>
      <c r="E135" s="8" t="s">
        <v>1319</v>
      </c>
      <c r="G135" s="6" t="str">
        <f>IFERROR(__xludf.DUMMYFUNCTION("GOOGLETRANSLATE(A135, ""en"", ""id"")"),"134")</f>
        <v>134</v>
      </c>
      <c r="H135" s="6" t="str">
        <f>IFERROR(__xludf.DUMMYFUNCTION("GOOGLETRANSLATE(B135, ""en"", ""id"")"),"Badan pemerintah mana yang membantu melestarikan Peresean?")</f>
        <v>Badan pemerintah mana yang membantu melestarikan Peresean?</v>
      </c>
      <c r="I135" s="6" t="str">
        <f>IFERROR(__xludf.DUMMYFUNCTION("GOOGLETRANSLATE(C135, ""en"", ""id"")"),"A) Kementerian Pariwisata B) Kementerian Pendidikan C) KONI (Konferensi Olahraga) D) Semua jawaban di atas")</f>
        <v>A) Kementerian Pariwisata B) Kementerian Pendidikan C) KONI (Konferensi Olahraga) D) Semua jawaban di atas</v>
      </c>
      <c r="J135" s="6" t="str">
        <f>IFERROR(__xludf.DUMMYFUNCTION("GOOGLETRANSLATE(D135, ""en"", ""id"")"),"D) Semua jawaban di atas")</f>
        <v>D) Semua jawaban di atas</v>
      </c>
      <c r="K135" s="6" t="str">
        <f>IFERROR(__xludf.DUMMYFUNCTION("GOOGLETRANSLATE(E135, ""en"", ""id"")"),"Promosi di seluruh dewan budaya &amp; olahraga.")</f>
        <v>Promosi di seluruh dewan budaya &amp; olahraga.</v>
      </c>
    </row>
    <row r="136">
      <c r="A136" s="5">
        <v>135.0</v>
      </c>
      <c r="B136" s="8" t="s">
        <v>1320</v>
      </c>
      <c r="C136" s="8" t="s">
        <v>1321</v>
      </c>
      <c r="D136" s="8" t="s">
        <v>1322</v>
      </c>
      <c r="E136" s="8" t="s">
        <v>1323</v>
      </c>
      <c r="G136" s="6" t="str">
        <f>IFERROR(__xludf.DUMMYFUNCTION("GOOGLETRANSLATE(A136, ""en"", ""id"")"),"135")</f>
        <v>135</v>
      </c>
      <c r="H136" s="6" t="str">
        <f>IFERROR(__xludf.DUMMYFUNCTION("GOOGLETRANSLATE(B136, ""en"", ""id"")"),"Pertarungan Peresean biasanya berakhir ketika:")</f>
        <v>Pertarungan Peresean biasanya berakhir ketika:</v>
      </c>
      <c r="I136" s="6" t="str">
        <f>IFERROR(__xludf.DUMMYFUNCTION("GOOGLETRANSLATE(C136, ""en"", ""id"")"),"A) Satu pingsan B) Satu terjatuh C) Waktu berakhir D) Keduanya setuju")</f>
        <v>A) Satu pingsan B) Satu terjatuh C) Waktu berakhir D) Keduanya setuju</v>
      </c>
      <c r="J136" s="6" t="str">
        <f>IFERROR(__xludf.DUMMYFUNCTION("GOOGLETRANSLATE(D136, ""en"", ""id"")"),"B) Yang satu terjatuh")</f>
        <v>B) Yang satu terjatuh</v>
      </c>
      <c r="K136" s="6" t="str">
        <f>IFERROR(__xludf.DUMMYFUNCTION("GOOGLETRANSLATE(E136, ""en"", ""id"")"),"Knockdown menandakan kekalahan.")</f>
        <v>Knockdown menandakan kekalahan.</v>
      </c>
    </row>
    <row r="137">
      <c r="A137" s="5">
        <v>136.0</v>
      </c>
      <c r="B137" s="8" t="s">
        <v>1324</v>
      </c>
      <c r="C137" s="8" t="s">
        <v>1325</v>
      </c>
      <c r="D137" s="8" t="s">
        <v>577</v>
      </c>
      <c r="E137" s="8" t="s">
        <v>1326</v>
      </c>
      <c r="G137" s="6" t="str">
        <f>IFERROR(__xludf.DUMMYFUNCTION("GOOGLETRANSLATE(A137, ""en"", ""id"")"),"136")</f>
        <v>136</v>
      </c>
      <c r="H137" s="6" t="str">
        <f>IFERROR(__xludf.DUMMYFUNCTION("GOOGLETRANSLATE(B137, ""en"", ""id"")"),"Mengapa Peresean dianggap sebagai “tradisi yang hidup”?")</f>
        <v>Mengapa Peresean dianggap sebagai “tradisi yang hidup”?</v>
      </c>
      <c r="I137" s="6" t="str">
        <f>IFERROR(__xludf.DUMMYFUNCTION("GOOGLETRANSLATE(C137, ""en"", ""id"")"),"A) Masih dipraktikkan secara aktif B) Terikat pada ritual C) Disesuaikan dengan zaman modern D) Semua jawaban di atas")</f>
        <v>A) Masih dipraktikkan secara aktif B) Terikat pada ritual C) Disesuaikan dengan zaman modern D) Semua jawaban di atas</v>
      </c>
      <c r="J137" s="6" t="str">
        <f>IFERROR(__xludf.DUMMYFUNCTION("GOOGLETRANSLATE(D137, ""en"", ""id"")"),"D) Semua jawaban di atas")</f>
        <v>D) Semua jawaban di atas</v>
      </c>
      <c r="K137" s="6" t="str">
        <f>IFERROR(__xludf.DUMMYFUNCTION("GOOGLETRANSLATE(E137, ""en"", ""id"")"),"Terus berkembang namun tetap berakar.")</f>
        <v>Terus berkembang namun tetap berakar.</v>
      </c>
    </row>
    <row r="138">
      <c r="A138" s="5">
        <v>137.0</v>
      </c>
      <c r="B138" s="8" t="s">
        <v>1327</v>
      </c>
      <c r="C138" s="8" t="s">
        <v>1328</v>
      </c>
      <c r="D138" s="8" t="s">
        <v>1329</v>
      </c>
      <c r="E138" s="8" t="s">
        <v>1330</v>
      </c>
      <c r="G138" s="6" t="str">
        <f>IFERROR(__xludf.DUMMYFUNCTION("GOOGLETRANSLATE(A138, ""en"", ""id"")"),"137")</f>
        <v>137</v>
      </c>
      <c r="H138" s="6" t="str">
        <f>IFERROR(__xludf.DUMMYFUNCTION("GOOGLETRANSLATE(B138, ""en"", ""id"")"),"Mengapa Peresean dibandingkan dengan Eskrima Filipina?")</f>
        <v>Mengapa Peresean dibandingkan dengan Eskrima Filipina?</v>
      </c>
      <c r="I138" s="6" t="str">
        <f>IFERROR(__xludf.DUMMYFUNCTION("GOOGLETRANSLATE(C138, ""en"", ""id"")"),"A) Senjata tongkat B) Ritual tari C) Musik D) Pariwisata")</f>
        <v>A) Senjata tongkat B) Ritual tari C) Musik D) Pariwisata</v>
      </c>
      <c r="J138" s="6" t="str">
        <f>IFERROR(__xludf.DUMMYFUNCTION("GOOGLETRANSLATE(D138, ""en"", ""id"")"),"A) Senjata tongkat")</f>
        <v>A) Senjata tongkat</v>
      </c>
      <c r="K138" s="6" t="str">
        <f>IFERROR(__xludf.DUMMYFUNCTION("GOOGLETRANSLATE(E138, ""en"", ""id"")"),"Keduanya berkisar pada pertarungan tongkat.")</f>
        <v>Keduanya berkisar pada pertarungan tongkat.</v>
      </c>
    </row>
    <row r="139">
      <c r="A139" s="5">
        <v>138.0</v>
      </c>
      <c r="B139" s="8" t="s">
        <v>1331</v>
      </c>
      <c r="C139" s="8" t="s">
        <v>1332</v>
      </c>
      <c r="D139" s="8" t="s">
        <v>1333</v>
      </c>
      <c r="E139" s="8" t="s">
        <v>1334</v>
      </c>
      <c r="G139" s="6" t="str">
        <f>IFERROR(__xludf.DUMMYFUNCTION("GOOGLETRANSLATE(A139, ""en"", ""id"")"),"138")</f>
        <v>138</v>
      </c>
      <c r="H139" s="6" t="str">
        <f>IFERROR(__xludf.DUMMYFUNCTION("GOOGLETRANSLATE(B139, ""en"", ""id"")"),"Kelompok manakah yang memimpin nyanyian saat Peresean?")</f>
        <v>Kelompok manakah yang memimpin nyanyian saat Peresean?</v>
      </c>
      <c r="I139" s="6" t="str">
        <f>IFERROR(__xludf.DUMMYFUNCTION("GOOGLETRANSLATE(C139, ""en"", ""id"")"),"A) Wanita B) Penabuh drum C) Tetua desa D) Anak-anak")</f>
        <v>A) Wanita B) Penabuh drum C) Tetua desa D) Anak-anak</v>
      </c>
      <c r="J139" s="6" t="str">
        <f>IFERROR(__xludf.DUMMYFUNCTION("GOOGLETRANSLATE(D139, ""en"", ""id"")"),"C) Tetua desa")</f>
        <v>C) Tetua desa</v>
      </c>
      <c r="K139" s="6" t="str">
        <f>IFERROR(__xludf.DUMMYFUNCTION("GOOGLETRANSLATE(E139, ""en"", ""id"")"),"Pimpin nyanyian, berkati pertandingan.")</f>
        <v>Pimpin nyanyian, berkati pertandingan.</v>
      </c>
    </row>
    <row r="140">
      <c r="A140" s="5">
        <v>139.0</v>
      </c>
      <c r="B140" s="8" t="s">
        <v>1335</v>
      </c>
      <c r="C140" s="8" t="s">
        <v>1336</v>
      </c>
      <c r="D140" s="8" t="s">
        <v>577</v>
      </c>
      <c r="E140" s="8" t="s">
        <v>1337</v>
      </c>
      <c r="G140" s="6" t="str">
        <f>IFERROR(__xludf.DUMMYFUNCTION("GOOGLETRANSLATE(A140, ""en"", ""id"")"),"139")</f>
        <v>139</v>
      </c>
      <c r="H140" s="6" t="str">
        <f>IFERROR(__xludf.DUMMYFUNCTION("GOOGLETRANSLATE(B140, ""en"", ""id"")"),"Mengapa pertarungannya dilakukan dengan bertelanjang dada?")</f>
        <v>Mengapa pertarungannya dilakukan dengan bertelanjang dada?</v>
      </c>
      <c r="I140" s="6" t="str">
        <f>IFERROR(__xludf.DUMMYFUNCTION("GOOGLETRANSLATE(C140, ""en"", ""id"")"),"A) Kebebasan bergerak B) Simbol keberanian C) Maskulinitas tradisional D) Semua jawaban di atas")</f>
        <v>A) Kebebasan bergerak B) Simbol keberanian C) Maskulinitas tradisional D) Semua jawaban di atas</v>
      </c>
      <c r="J140" s="6" t="str">
        <f>IFERROR(__xludf.DUMMYFUNCTION("GOOGLETRANSLATE(D140, ""en"", ""id"")"),"D) Semua jawaban di atas")</f>
        <v>D) Semua jawaban di atas</v>
      </c>
      <c r="K140" s="6" t="str">
        <f>IFERROR(__xludf.DUMMYFUNCTION("GOOGLETRANSLATE(E140, ""en"", ""id"")"),"Alasan praktis + simbolis.")</f>
        <v>Alasan praktis + simbolis.</v>
      </c>
    </row>
    <row r="141">
      <c r="A141" s="5">
        <v>140.0</v>
      </c>
      <c r="B141" s="8" t="s">
        <v>1338</v>
      </c>
      <c r="C141" s="8" t="s">
        <v>1339</v>
      </c>
      <c r="D141" s="8" t="s">
        <v>1340</v>
      </c>
      <c r="E141" s="8" t="s">
        <v>1341</v>
      </c>
      <c r="G141" s="6" t="str">
        <f>IFERROR(__xludf.DUMMYFUNCTION("GOOGLETRANSLATE(A141, ""en"", ""id"")"),"140")</f>
        <v>140</v>
      </c>
      <c r="H141" s="6" t="str">
        <f>IFERROR(__xludf.DUMMYFUNCTION("GOOGLETRANSLATE(B141, ""en"", ""id"")"),"Festival manakah yang paling sering dipadukan dengan Peresean?")</f>
        <v>Festival manakah yang paling sering dipadukan dengan Peresean?</v>
      </c>
      <c r="I141" s="6" t="str">
        <f>IFERROR(__xludf.DUMMYFUNCTION("GOOGLETRANSLATE(C141, ""en"", ""id"")"),"A) Bau Nyale B) Galungan C) Nyepi D) Hari Kemerdekaan")</f>
        <v>A) Bau Nyale B) Galungan C) Nyepi D) Hari Kemerdekaan</v>
      </c>
      <c r="J141" s="6" t="str">
        <f>IFERROR(__xludf.DUMMYFUNCTION("GOOGLETRANSLATE(D141, ""en"", ""id"")"),"A) Bau Nyale")</f>
        <v>A) Bau Nyale</v>
      </c>
      <c r="K141" s="6" t="str">
        <f>IFERROR(__xludf.DUMMYFUNCTION("GOOGLETRANSLATE(E141, ""en"", ""id"")"),"Festival cacing laut dengan atraksi Peresean.")</f>
        <v>Festival cacing laut dengan atraksi Peresean.</v>
      </c>
    </row>
    <row r="142">
      <c r="A142" s="5">
        <v>141.0</v>
      </c>
      <c r="B142" s="8" t="s">
        <v>1342</v>
      </c>
      <c r="C142" s="8" t="s">
        <v>1343</v>
      </c>
      <c r="D142" s="8" t="s">
        <v>1344</v>
      </c>
      <c r="E142" s="8" t="s">
        <v>1345</v>
      </c>
      <c r="G142" s="6" t="str">
        <f>IFERROR(__xludf.DUMMYFUNCTION("GOOGLETRANSLATE(A142, ""en"", ""id"")"),"141")</f>
        <v>141</v>
      </c>
      <c r="H142" s="6" t="str">
        <f>IFERROR(__xludf.DUMMYFUNCTION("GOOGLETRANSLATE(B142, ""en"", ""id"")"),"Wisatawan sering salah memahami Peresean sebagai:")</f>
        <v>Wisatawan sering salah memahami Peresean sebagai:</v>
      </c>
      <c r="I142" s="6" t="str">
        <f>IFERROR(__xludf.DUMMYFUNCTION("GOOGLETRANSLATE(C142, ""en"", ""id"")"),"A) Olahraga berdarah B) Tari C) Tinju modern D) Ritual keagamaan")</f>
        <v>A) Olahraga berdarah B) Tari C) Tinju modern D) Ritual keagamaan</v>
      </c>
      <c r="J142" s="6" t="str">
        <f>IFERROR(__xludf.DUMMYFUNCTION("GOOGLETRANSLATE(D142, ""en"", ""id"")"),"A) Olahraga berdarah")</f>
        <v>A) Olahraga berdarah</v>
      </c>
      <c r="K142" s="6" t="str">
        <f>IFERROR(__xludf.DUMMYFUNCTION("GOOGLETRANSLATE(E142, ""en"", ""id"")"),"Meski diritualkan, tidak dimaksudkan untuk menjadi kejam.")</f>
        <v>Meski diritualkan, tidak dimaksudkan untuk menjadi kejam.</v>
      </c>
    </row>
    <row r="143">
      <c r="A143" s="5">
        <v>142.0</v>
      </c>
      <c r="B143" s="8" t="s">
        <v>1346</v>
      </c>
      <c r="C143" s="8" t="s">
        <v>1347</v>
      </c>
      <c r="D143" s="8" t="s">
        <v>1348</v>
      </c>
      <c r="E143" s="8" t="s">
        <v>1349</v>
      </c>
      <c r="G143" s="6" t="str">
        <f>IFERROR(__xludf.DUMMYFUNCTION("GOOGLETRANSLATE(A143, ""en"", ""id"")"),"142")</f>
        <v>142</v>
      </c>
      <c r="H143" s="6" t="str">
        <f>IFERROR(__xludf.DUMMYFUNCTION("GOOGLETRANSLATE(B143, ""en"", ""id"")"),"Simbol apa yang mewakili keberanian dalam Peresean?")</f>
        <v>Simbol apa yang mewakili keberanian dalam Peresean?</v>
      </c>
      <c r="I143" s="6" t="str">
        <f>IFERROR(__xludf.DUMMYFUNCTION("GOOGLETRANSLATE(C143, ""en"", ""id"")"),"A) Stick (penjalin) B) Shield (ende) C) Drum D) Arena")</f>
        <v>A) Stick (penjalin) B) Shield (ende) C) Drum D) Arena</v>
      </c>
      <c r="J143" s="6" t="str">
        <f>IFERROR(__xludf.DUMMYFUNCTION("GOOGLETRANSLATE(D143, ""en"", ""id"")"),"A) Stick (penjalin)")</f>
        <v>A) Stick (penjalin)</v>
      </c>
      <c r="K143" s="6" t="str">
        <f>IFERROR(__xludf.DUMMYFUNCTION("GOOGLETRANSLATE(E143, ""en"", ""id"")"),"Melambangkan keberanian dan kekuatan.")</f>
        <v>Melambangkan keberanian dan kekuatan.</v>
      </c>
    </row>
    <row r="144">
      <c r="A144" s="5">
        <v>143.0</v>
      </c>
      <c r="B144" s="8" t="s">
        <v>1350</v>
      </c>
      <c r="C144" s="8" t="s">
        <v>1351</v>
      </c>
      <c r="D144" s="8" t="s">
        <v>577</v>
      </c>
      <c r="E144" s="8" t="s">
        <v>1352</v>
      </c>
      <c r="G144" s="6" t="str">
        <f>IFERROR(__xludf.DUMMYFUNCTION("GOOGLETRANSLATE(A144, ""en"", ""id"")"),"143")</f>
        <v>143</v>
      </c>
      <c r="H144" s="6" t="str">
        <f>IFERROR(__xludf.DUMMYFUNCTION("GOOGLETRANSLATE(B144, ""en"", ""id"")"),"Keterampilan apa yang dilatih para petarung selain bertarung?")</f>
        <v>Keterampilan apa yang dilatih para petarung selain bertarung?</v>
      </c>
      <c r="I144" s="6" t="str">
        <f>IFERROR(__xludf.DUMMYFUNCTION("GOOGLETRANSLATE(C144, ""en"", ""id"")"),"A) Ritme dengan drum B) Keseimbangan dan kelincahan C) Ritual masyarakat D) Semua jawaban di atas")</f>
        <v>A) Ritme dengan drum B) Keseimbangan dan kelincahan C) Ritual masyarakat D) Semua jawaban di atas</v>
      </c>
      <c r="J144" s="6" t="str">
        <f>IFERROR(__xludf.DUMMYFUNCTION("GOOGLETRANSLATE(D144, ""en"", ""id"")"),"D) Semua jawaban di atas")</f>
        <v>D) Semua jawaban di atas</v>
      </c>
      <c r="K144" s="6" t="str">
        <f>IFERROR(__xludf.DUMMYFUNCTION("GOOGLETRANSLATE(E144, ""en"", ""id"")"),"Tradisi pelatihan holistik.")</f>
        <v>Tradisi pelatihan holistik.</v>
      </c>
    </row>
    <row r="145">
      <c r="A145" s="5">
        <v>144.0</v>
      </c>
      <c r="B145" s="8" t="s">
        <v>1353</v>
      </c>
      <c r="C145" s="8" t="s">
        <v>1354</v>
      </c>
      <c r="D145" s="8" t="s">
        <v>577</v>
      </c>
      <c r="E145" s="8" t="s">
        <v>1355</v>
      </c>
      <c r="G145" s="6" t="str">
        <f>IFERROR(__xludf.DUMMYFUNCTION("GOOGLETRANSLATE(A145, ""en"", ""id"")"),"144")</f>
        <v>144</v>
      </c>
      <c r="H145" s="6" t="str">
        <f>IFERROR(__xludf.DUMMYFUNCTION("GOOGLETRANSLATE(B145, ""en"", ""id"")"),"Mengapa pejuang Peresean disebut pahlawan budaya?")</f>
        <v>Mengapa pejuang Peresean disebut pahlawan budaya?</v>
      </c>
      <c r="I145" s="6" t="str">
        <f>IFERROR(__xludf.DUMMYFUNCTION("GOOGLETRANSLATE(C145, ""en"", ""id"")"),"A) Melestarikan warisan B) Menunjukkan keberanian C) Menginspirasi kaum muda D) Semua jawaban di atas")</f>
        <v>A) Melestarikan warisan B) Menunjukkan keberanian C) Menginspirasi kaum muda D) Semua jawaban di atas</v>
      </c>
      <c r="J145" s="6" t="str">
        <f>IFERROR(__xludf.DUMMYFUNCTION("GOOGLETRANSLATE(D145, ""en"", ""id"")"),"D) Semua jawaban di atas")</f>
        <v>D) Semua jawaban di atas</v>
      </c>
      <c r="K145" s="6" t="str">
        <f>IFERROR(__xludf.DUMMYFUNCTION("GOOGLETRANSLATE(E145, ""en"", ""id"")"),"Mewujudkan budaya dan keberanian.")</f>
        <v>Mewujudkan budaya dan keberanian.</v>
      </c>
    </row>
    <row r="146">
      <c r="A146" s="5">
        <v>145.0</v>
      </c>
      <c r="B146" s="8" t="s">
        <v>1356</v>
      </c>
      <c r="C146" s="8" t="s">
        <v>1357</v>
      </c>
      <c r="D146" s="8" t="s">
        <v>999</v>
      </c>
      <c r="E146" s="8" t="s">
        <v>1358</v>
      </c>
      <c r="G146" s="6" t="str">
        <f>IFERROR(__xludf.DUMMYFUNCTION("GOOGLETRANSLATE(A146, ""en"", ""id"")"),"145")</f>
        <v>145</v>
      </c>
      <c r="H146" s="6" t="str">
        <f>IFERROR(__xludf.DUMMYFUNCTION("GOOGLETRANSLATE(B146, ""en"", ""id"")"),"Kapan kompetisi Peresean formal dimulai?")</f>
        <v>Kapan kompetisi Peresean formal dimulai?</v>
      </c>
      <c r="I146" s="6" t="str">
        <f>IFERROR(__xludf.DUMMYFUNCTION("GOOGLETRANSLATE(C146, ""en"", ""id"")"),"A) Tahun 1950-an B) Tahun 1970-an C) Tahun 1980-an D) Tahun 2000-an")</f>
        <v>A) Tahun 1950-an B) Tahun 1970-an C) Tahun 1980-an D) Tahun 2000-an</v>
      </c>
      <c r="J146" s="6" t="str">
        <f>IFERROR(__xludf.DUMMYFUNCTION("GOOGLETRANSLATE(D146, ""en"", ""id"")"),"C) tahun 1980-an")</f>
        <v>C) tahun 1980-an</v>
      </c>
      <c r="K146" s="6" t="str">
        <f>IFERROR(__xludf.DUMMYFUNCTION("GOOGLETRANSLATE(E146, ""en"", ""id"")"),"Diselenggarakan sebagai olahraga kompetitif yang terstruktur.")</f>
        <v>Diselenggarakan sebagai olahraga kompetitif yang terstruktur.</v>
      </c>
    </row>
    <row r="147">
      <c r="A147" s="5">
        <v>146.0</v>
      </c>
      <c r="B147" s="8" t="s">
        <v>1359</v>
      </c>
      <c r="C147" s="8" t="s">
        <v>1360</v>
      </c>
      <c r="D147" s="8" t="s">
        <v>577</v>
      </c>
      <c r="E147" s="8" t="s">
        <v>1361</v>
      </c>
      <c r="G147" s="6" t="str">
        <f>IFERROR(__xludf.DUMMYFUNCTION("GOOGLETRANSLATE(A147, ""en"", ""id"")"),"146")</f>
        <v>146</v>
      </c>
      <c r="H147" s="6" t="str">
        <f>IFERROR(__xludf.DUMMYFUNCTION("GOOGLETRANSLATE(B147, ""en"", ""id"")"),"Risiko apa yang mengancam keaslian Peresean saat ini?")</f>
        <v>Risiko apa yang mengancam keaslian Peresean saat ini?</v>
      </c>
      <c r="I147" s="6" t="str">
        <f>IFERROR(__xludf.DUMMYFUNCTION("GOOGLETRANSLATE(C147, ""en"", ""id"")"),"A) Komersialisasi yang berlebihan B) Penurunan ritual C) Modifikasi pariwisata D) Semua jawaban di atas")</f>
        <v>A) Komersialisasi yang berlebihan B) Penurunan ritual C) Modifikasi pariwisata D) Semua jawaban di atas</v>
      </c>
      <c r="J147" s="6" t="str">
        <f>IFERROR(__xludf.DUMMYFUNCTION("GOOGLETRANSLATE(D147, ""en"", ""id"")"),"D) Semua jawaban di atas")</f>
        <v>D) Semua jawaban di atas</v>
      </c>
      <c r="K147" s="6" t="str">
        <f>IFERROR(__xludf.DUMMYFUNCTION("GOOGLETRANSLATE(E147, ""en"", ""id"")"),"Keaslian ditantang oleh modernisasi.")</f>
        <v>Keaslian ditantang oleh modernisasi.</v>
      </c>
    </row>
    <row r="148">
      <c r="A148" s="5">
        <v>147.0</v>
      </c>
      <c r="B148" s="8" t="s">
        <v>1362</v>
      </c>
      <c r="C148" s="8" t="s">
        <v>1363</v>
      </c>
      <c r="D148" s="8" t="s">
        <v>577</v>
      </c>
      <c r="E148" s="8" t="s">
        <v>1364</v>
      </c>
      <c r="G148" s="6" t="str">
        <f>IFERROR(__xludf.DUMMYFUNCTION("GOOGLETRANSLATE(A148, ""en"", ""id"")"),"147")</f>
        <v>147</v>
      </c>
      <c r="H148" s="6" t="str">
        <f>IFERROR(__xludf.DUMMYFUNCTION("GOOGLETRANSLATE(B148, ""en"", ""id"")"),"Mengapa para tetua mendorong anak muda untuk bergabung dengan Peresean?")</f>
        <v>Mengapa para tetua mendorong anak muda untuk bergabung dengan Peresean?</v>
      </c>
      <c r="I148" s="6" t="str">
        <f>IFERROR(__xludf.DUMMYFUNCTION("GOOGLETRANSLATE(C148, ""en"", ""id"")"),"A) Membangun disiplin B) Menjaga identitas C) Menunjukkan keberanian D) Semua jawaban di atas")</f>
        <v>A) Membangun disiplin B) Menjaga identitas C) Menunjukkan keberanian D) Semua jawaban di atas</v>
      </c>
      <c r="J148" s="6" t="str">
        <f>IFERROR(__xludf.DUMMYFUNCTION("GOOGLETRANSLATE(D148, ""en"", ""id"")"),"D) Semua jawaban di atas")</f>
        <v>D) Semua jawaban di atas</v>
      </c>
      <c r="K148" s="6" t="str">
        <f>IFERROR(__xludf.DUMMYFUNCTION("GOOGLETRANSLATE(E148, ""en"", ""id"")"),"Bagian dari pendidikan budaya.")</f>
        <v>Bagian dari pendidikan budaya.</v>
      </c>
    </row>
    <row r="149">
      <c r="A149" s="5">
        <v>148.0</v>
      </c>
      <c r="B149" s="8" t="s">
        <v>1365</v>
      </c>
      <c r="C149" s="8" t="s">
        <v>1366</v>
      </c>
      <c r="D149" s="8" t="s">
        <v>577</v>
      </c>
      <c r="E149" s="8" t="s">
        <v>1367</v>
      </c>
      <c r="G149" s="6" t="str">
        <f>IFERROR(__xludf.DUMMYFUNCTION("GOOGLETRANSLATE(A149, ""en"", ""id"")"),"148")</f>
        <v>148</v>
      </c>
      <c r="H149" s="6" t="str">
        <f>IFERROR(__xludf.DUMMYFUNCTION("GOOGLETRANSLATE(B149, ""en"", ""id"")"),"Peresean mencerminkan keseimbangan antara:")</f>
        <v>Peresean mencerminkan keseimbangan antara:</v>
      </c>
      <c r="I149" s="6" t="str">
        <f>IFERROR(__xludf.DUMMYFUNCTION("GOOGLETRANSLATE(C149, ""en"", ""id"")"),"A) Serangan dan pertahanan B) Ritual dan pertarungan C) Individu dan komunitas D) Semua jawaban di atas")</f>
        <v>A) Serangan dan pertahanan B) Ritual dan pertarungan C) Individu dan komunitas D) Semua jawaban di atas</v>
      </c>
      <c r="J149" s="6" t="str">
        <f>IFERROR(__xludf.DUMMYFUNCTION("GOOGLETRANSLATE(D149, ""en"", ""id"")"),"D) Semua jawaban di atas")</f>
        <v>D) Semua jawaban di atas</v>
      </c>
      <c r="K149" s="6" t="str">
        <f>IFERROR(__xludf.DUMMYFUNCTION("GOOGLETRANSLATE(E149, ""en"", ""id"")"),"Harmoni adalah inti filosofinya.")</f>
        <v>Harmoni adalah inti filosofinya.</v>
      </c>
    </row>
    <row r="150">
      <c r="A150" s="5">
        <v>149.0</v>
      </c>
      <c r="B150" s="8" t="s">
        <v>1368</v>
      </c>
      <c r="C150" s="8" t="s">
        <v>1369</v>
      </c>
      <c r="D150" s="8" t="s">
        <v>577</v>
      </c>
      <c r="E150" s="8" t="s">
        <v>1370</v>
      </c>
      <c r="G150" s="6" t="str">
        <f>IFERROR(__xludf.DUMMYFUNCTION("GOOGLETRANSLATE(A150, ""en"", ""id"")"),"149")</f>
        <v>149</v>
      </c>
      <c r="H150" s="6" t="str">
        <f>IFERROR(__xludf.DUMMYFUNCTION("GOOGLETRANSLATE(B150, ""en"", ""id"")"),"Badan mana yang melobi pengakuan UNESCO terhadap Peresean?")</f>
        <v>Badan mana yang melobi pengakuan UNESCO terhadap Peresean?</v>
      </c>
      <c r="I150" s="6" t="str">
        <f>IFERROR(__xludf.DUMMYFUNCTION("GOOGLETRANSLATE(C150, ""en"", ""id"")"),"A) Dewan Kebudayaan Lombok B) Kementerian Kebudayaan C) LSM Lokal D) Semua jawaban di atas")</f>
        <v>A) Dewan Kebudayaan Lombok B) Kementerian Kebudayaan C) LSM Lokal D) Semua jawaban di atas</v>
      </c>
      <c r="J150" s="6" t="str">
        <f>IFERROR(__xludf.DUMMYFUNCTION("GOOGLETRANSLATE(D150, ""en"", ""id"")"),"D) Semua jawaban di atas")</f>
        <v>D) Semua jawaban di atas</v>
      </c>
      <c r="K150" s="6" t="str">
        <f>IFERROR(__xludf.DUMMYFUNCTION("GOOGLETRANSLATE(E150, ""en"", ""id"")"),"Dorongan kolaboratif untuk pencantuman warisan.")</f>
        <v>Dorongan kolaboratif untuk pencantuman warisan.</v>
      </c>
    </row>
    <row r="151">
      <c r="A151" s="5">
        <v>150.0</v>
      </c>
      <c r="B151" s="8" t="s">
        <v>1371</v>
      </c>
      <c r="C151" s="8" t="s">
        <v>1372</v>
      </c>
      <c r="D151" s="8" t="s">
        <v>1299</v>
      </c>
      <c r="E151" s="8" t="s">
        <v>1373</v>
      </c>
      <c r="G151" s="6" t="str">
        <f>IFERROR(__xludf.DUMMYFUNCTION("GOOGLETRANSLATE(A151, ""en"", ""id"")"),"150")</f>
        <v>150</v>
      </c>
      <c r="H151" s="6" t="str">
        <f>IFERROR(__xludf.DUMMYFUNCTION("GOOGLETRANSLATE(B151, ""en"", ""id"")"),"Apa hadiah utama yang tersisa dari kemenangan Peresean?")</f>
        <v>Apa hadiah utama yang tersisa dari kemenangan Peresean?</v>
      </c>
      <c r="I151" s="6" t="str">
        <f>IFERROR(__xludf.DUMMYFUNCTION("GOOGLETRANSLATE(C151, ""en"", ""id"")"),"A) Uang B) Penghargaan C) Piala D) Mahkota")</f>
        <v>A) Uang B) Penghargaan C) Piala D) Mahkota</v>
      </c>
      <c r="J151" s="6" t="str">
        <f>IFERROR(__xludf.DUMMYFUNCTION("GOOGLETRANSLATE(D151, ""en"", ""id"")"),"B) Kehormatan")</f>
        <v>B) Kehormatan</v>
      </c>
      <c r="K151" s="6" t="str">
        <f>IFERROR(__xludf.DUMMYFUNCTION("GOOGLETRANSLATE(E151, ""en"", ""id"")"),"Rasa hormat dari masyarakat lebih penting daripada hadiah materi.")</f>
        <v>Rasa hormat dari masyarakat lebih penting daripada hadiah materi.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47.0"/>
    <col customWidth="1" min="3" max="3" width="37.63"/>
    <col customWidth="1" min="4" max="4" width="27.13"/>
    <col customWidth="1" min="5" max="5" width="37.63"/>
    <col customWidth="1" min="7" max="7" width="16.88"/>
    <col customWidth="1" min="8" max="9" width="37.63"/>
    <col customWidth="1" min="10" max="10" width="31.38"/>
    <col customWidth="1" min="11" max="11" width="3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</row>
    <row r="2">
      <c r="A2" s="5">
        <v>1.0</v>
      </c>
      <c r="B2" s="5" t="s">
        <v>1374</v>
      </c>
      <c r="C2" s="5" t="s">
        <v>1375</v>
      </c>
      <c r="D2" s="5" t="s">
        <v>1376</v>
      </c>
      <c r="E2" s="5" t="s">
        <v>1377</v>
      </c>
      <c r="G2" s="6" t="str">
        <f>IFERROR(__xludf.DUMMYFUNCTION("GOOGLETRANSLATE(A2, ""en"", ""id"")"),"1")</f>
        <v>1</v>
      </c>
      <c r="H2" s="6" t="str">
        <f>IFERROR(__xludf.DUMMYFUNCTION("GOOGLETRANSLATE(B2, ""en"", ""id"")"),"Apa negara asal sepak takraw?")</f>
        <v>Apa negara asal sepak takraw?</v>
      </c>
      <c r="I2" s="6" t="str">
        <f>IFERROR(__xludf.DUMMYFUNCTION("GOOGLETRANSLATE(C2, ""en"", ""id"")"),"A) Thailand, B) Malaysia, C) Indonesia, D) Filipina")</f>
        <v>A) Thailand, B) Malaysia, C) Indonesia, D) Filipina</v>
      </c>
      <c r="J2" s="6" t="str">
        <f>IFERROR(__xludf.DUMMYFUNCTION("GOOGLETRANSLATE(D2, ""en"", ""id"")"),"C) Indonesia")</f>
        <v>C) Indonesia</v>
      </c>
      <c r="K2" s="6" t="str">
        <f>IFERROR(__xludf.DUMMYFUNCTION("GOOGLETRANSLATE(E2, ""en"", ""id"")"),"Sepak Takraw diyakini berasal dari Indonesia.")</f>
        <v>Sepak Takraw diyakini berasal dari Indonesia.</v>
      </c>
    </row>
    <row r="3">
      <c r="A3" s="5">
        <v>2.0</v>
      </c>
      <c r="B3" s="5" t="s">
        <v>1378</v>
      </c>
      <c r="C3" s="5" t="s">
        <v>1379</v>
      </c>
      <c r="D3" s="5" t="s">
        <v>818</v>
      </c>
      <c r="E3" s="5" t="s">
        <v>1380</v>
      </c>
      <c r="G3" s="6" t="str">
        <f>IFERROR(__xludf.DUMMYFUNCTION("GOOGLETRANSLATE(A3, ""en"", ""id"")"),"2")</f>
        <v>2</v>
      </c>
      <c r="H3" s="6" t="str">
        <f>IFERROR(__xludf.DUMMYFUNCTION("GOOGLETRANSLATE(B3, ""en"", ""id"")"),"Daerah Indonesia manakah yang paling terkait dengan asal usul Sepak Takraw?")</f>
        <v>Daerah Indonesia manakah yang paling terkait dengan asal usul Sepak Takraw?</v>
      </c>
      <c r="I3" s="6" t="str">
        <f>IFERROR(__xludf.DUMMYFUNCTION("GOOGLETRANSLATE(C3, ""en"", ""id"")"),"A) Jawa, B) Bali, C) Sumatera, D) Kalimantan")</f>
        <v>A) Jawa, B) Bali, C) Sumatera, D) Kalimantan</v>
      </c>
      <c r="J3" s="6" t="str">
        <f>IFERROR(__xludf.DUMMYFUNCTION("GOOGLETRANSLATE(D3, ""en"", ""id"")"),"A) Jawa")</f>
        <v>A) Jawa</v>
      </c>
      <c r="K3" s="6" t="str">
        <f>IFERROR(__xludf.DUMMYFUNCTION("GOOGLETRANSLATE(E3, ""en"", ""id"")"),"Sepak Takraw diyakini pertama kali dimainkan di Jawa, Indonesia.")</f>
        <v>Sepak Takraw diyakini pertama kali dimainkan di Jawa, Indonesia.</v>
      </c>
    </row>
    <row r="4">
      <c r="A4" s="5">
        <v>3.0</v>
      </c>
      <c r="B4" s="5" t="s">
        <v>1381</v>
      </c>
      <c r="C4" s="5" t="s">
        <v>1382</v>
      </c>
      <c r="D4" s="5" t="s">
        <v>1383</v>
      </c>
      <c r="E4" s="5" t="s">
        <v>1384</v>
      </c>
      <c r="G4" s="6" t="str">
        <f>IFERROR(__xludf.DUMMYFUNCTION("GOOGLETRANSLATE(A4, ""en"", ""id"")"),"3")</f>
        <v>3</v>
      </c>
      <c r="H4" s="6" t="str">
        <f>IFERROR(__xludf.DUMMYFUNCTION("GOOGLETRANSLATE(B4, ""en"", ""id"")"),"Kapan Sepak Takraw diperkenalkan ke komunitas olahraga internasional?")</f>
        <v>Kapan Sepak Takraw diperkenalkan ke komunitas olahraga internasional?</v>
      </c>
      <c r="I4" s="6" t="str">
        <f>IFERROR(__xludf.DUMMYFUNCTION("GOOGLETRANSLATE(C4, ""en"", ""id"")"),"A) Tahun 1965, B) Tahun 1975, C) Tahun 1985, D) Tahun 1995")</f>
        <v>A) Tahun 1965, B) Tahun 1975, C) Tahun 1985, D) Tahun 1995</v>
      </c>
      <c r="J4" s="6" t="str">
        <f>IFERROR(__xludf.DUMMYFUNCTION("GOOGLETRANSLATE(D4, ""en"", ""id"")"),"A) Tahun 1965")</f>
        <v>A) Tahun 1965</v>
      </c>
      <c r="K4" s="6" t="str">
        <f>IFERROR(__xludf.DUMMYFUNCTION("GOOGLETRANSLATE(E4, ""en"", ""id"")"),"Sepak Takraw diperkenalkan ke masyarakat olahraga internasional selama Pesta Olahraga Asia Tenggara 1965.")</f>
        <v>Sepak Takraw diperkenalkan ke masyarakat olahraga internasional selama Pesta Olahraga Asia Tenggara 1965.</v>
      </c>
    </row>
    <row r="5">
      <c r="A5" s="5">
        <v>4.0</v>
      </c>
      <c r="B5" s="5" t="s">
        <v>1385</v>
      </c>
      <c r="C5" s="5" t="s">
        <v>1386</v>
      </c>
      <c r="D5" s="5" t="s">
        <v>1387</v>
      </c>
      <c r="E5" s="5" t="s">
        <v>1388</v>
      </c>
      <c r="G5" s="6" t="str">
        <f>IFERROR(__xludf.DUMMYFUNCTION("GOOGLETRANSLATE(A5, ""en"", ""id"")"),"4")</f>
        <v>4</v>
      </c>
      <c r="H5" s="6" t="str">
        <f>IFERROR(__xludf.DUMMYFUNCTION("GOOGLETRANSLATE(B5, ""en"", ""id"")"),"Apa nama kompetisi Sepak Takraw internasional pertama?")</f>
        <v>Apa nama kompetisi Sepak Takraw internasional pertama?</v>
      </c>
      <c r="I5" s="6" t="str">
        <f>IFERROR(__xludf.DUMMYFUNCTION("GOOGLETRANSLATE(C5, ""en"", ""id"")"),"A) Kejuaraan Sepak Takraw Asia, B) Piala Dunia Sepak Takraw, C) Asian Games Tenggara, D) Kejuaraan Dunia Sepak Takraw")</f>
        <v>A) Kejuaraan Sepak Takraw Asia, B) Piala Dunia Sepak Takraw, C) Asian Games Tenggara, D) Kejuaraan Dunia Sepak Takraw</v>
      </c>
      <c r="J5" s="6" t="str">
        <f>IFERROR(__xludf.DUMMYFUNCTION("GOOGLETRANSLATE(D5, ""en"", ""id"")"),"C) Pesta Olahraga Asia Tenggara")</f>
        <v>C) Pesta Olahraga Asia Tenggara</v>
      </c>
      <c r="K5" s="6" t="str">
        <f>IFERROR(__xludf.DUMMYFUNCTION("GOOGLETRANSLATE(E5, ""en"", ""id"")"),"Pesta Olahraga Asia Tenggara merupakan kompetisi internasional pertama yang mempertandingkan Sepak Takraw.")</f>
        <v>Pesta Olahraga Asia Tenggara merupakan kompetisi internasional pertama yang mempertandingkan Sepak Takraw.</v>
      </c>
    </row>
    <row r="6">
      <c r="A6" s="5">
        <v>5.0</v>
      </c>
      <c r="B6" s="5" t="s">
        <v>1389</v>
      </c>
      <c r="C6" s="5" t="s">
        <v>1390</v>
      </c>
      <c r="D6" s="5" t="s">
        <v>1391</v>
      </c>
      <c r="E6" s="5" t="s">
        <v>1392</v>
      </c>
      <c r="G6" s="6" t="str">
        <f>IFERROR(__xludf.DUMMYFUNCTION("GOOGLETRANSLATE(A6, ""en"", ""id"")"),"5")</f>
        <v>5</v>
      </c>
      <c r="H6" s="6" t="str">
        <f>IFERROR(__xludf.DUMMYFUNCTION("GOOGLETRANSLATE(B6, ""en"", ""id"")"),"Apa nama tradisional Sepak Takraw di Indonesia?")</f>
        <v>Apa nama tradisional Sepak Takraw di Indonesia?</v>
      </c>
      <c r="I6" s="6" t="str">
        <f>IFERROR(__xludf.DUMMYFUNCTION("GOOGLETRANSLATE(C6, ""en"", ""id"")"),"A) Sepaktakraw, B) Sepak Bola, C) Sepak Raga, D) Sepak Rotan")</f>
        <v>A) Sepaktakraw, B) Sepak Bola, C) Sepak Raga, D) Sepak Rotan</v>
      </c>
      <c r="J6" s="6" t="str">
        <f>IFERROR(__xludf.DUMMYFUNCTION("GOOGLETRANSLATE(D6, ""en"", ""id"")"),"C) Sepak Raga")</f>
        <v>C) Sepak Raga</v>
      </c>
      <c r="K6" s="6" t="str">
        <f>IFERROR(__xludf.DUMMYFUNCTION("GOOGLETRANSLATE(E6, ""en"", ""id"")"),"Di Indonesia, Sepak Takraw secara tradisional dikenal dengan nama 'Sepak Raga'.")</f>
        <v>Di Indonesia, Sepak Takraw secara tradisional dikenal dengan nama 'Sepak Raga'.</v>
      </c>
    </row>
    <row r="7">
      <c r="A7" s="5">
        <v>6.0</v>
      </c>
      <c r="B7" s="5" t="s">
        <v>1393</v>
      </c>
      <c r="C7" s="5" t="s">
        <v>1394</v>
      </c>
      <c r="D7" s="5" t="s">
        <v>1395</v>
      </c>
      <c r="E7" s="5" t="s">
        <v>1396</v>
      </c>
      <c r="G7" s="6" t="str">
        <f>IFERROR(__xludf.DUMMYFUNCTION("GOOGLETRANSLATE(A7, ""en"", ""id"")"),"6")</f>
        <v>6</v>
      </c>
      <c r="H7" s="6" t="str">
        <f>IFERROR(__xludf.DUMMYFUNCTION("GOOGLETRANSLATE(B7, ""en"", ""id"")"),"Bahan apa saja yang awalnya digunakan untuk membuat bola sepak takraw?")</f>
        <v>Bahan apa saja yang awalnya digunakan untuk membuat bola sepak takraw?</v>
      </c>
      <c r="I7" s="6" t="str">
        <f>IFERROR(__xludf.DUMMYFUNCTION("GOOGLETRANSLATE(C7, ""en"", ""id"")"),"A) Plastik, B) Rotan, C) Karet, D) Kulit")</f>
        <v>A) Plastik, B) Rotan, C) Karet, D) Kulit</v>
      </c>
      <c r="J7" s="6" t="str">
        <f>IFERROR(__xludf.DUMMYFUNCTION("GOOGLETRANSLATE(D7, ""en"", ""id"")"),"B) Rotan")</f>
        <v>B) Rotan</v>
      </c>
      <c r="K7" s="6" t="str">
        <f>IFERROR(__xludf.DUMMYFUNCTION("GOOGLETRANSLATE(E7, ""en"", ""id"")"),"Bola Sepak Takraw tradisional terbuat dari rotan, bahan yang fleksibel dan tahan lama.")</f>
        <v>Bola Sepak Takraw tradisional terbuat dari rotan, bahan yang fleksibel dan tahan lama.</v>
      </c>
    </row>
    <row r="8">
      <c r="A8" s="5">
        <v>7.0</v>
      </c>
      <c r="B8" s="5" t="s">
        <v>1397</v>
      </c>
      <c r="C8" s="5" t="s">
        <v>1398</v>
      </c>
      <c r="D8" s="5" t="s">
        <v>1399</v>
      </c>
      <c r="E8" s="5" t="s">
        <v>1400</v>
      </c>
      <c r="G8" s="6" t="str">
        <f>IFERROR(__xludf.DUMMYFUNCTION("GOOGLETRANSLATE(A8, ""en"", ""id"")"),"7")</f>
        <v>7</v>
      </c>
      <c r="H8" s="6" t="str">
        <f>IFERROR(__xludf.DUMMYFUNCTION("GOOGLETRANSLATE(B8, ""en"", ""id"")"),"Kapan Sepak Takraw resmi diikutsertakan dalam Asian Games?")</f>
        <v>Kapan Sepak Takraw resmi diikutsertakan dalam Asian Games?</v>
      </c>
      <c r="I8" s="6" t="str">
        <f>IFERROR(__xludf.DUMMYFUNCTION("GOOGLETRANSLATE(C8, ""en"", ""id"")"),"A) Tahun 1962, B) Tahun 1970, C) Tahun 1982, D) Tahun 1990")</f>
        <v>A) Tahun 1962, B) Tahun 1970, C) Tahun 1982, D) Tahun 1990</v>
      </c>
      <c r="J8" s="6" t="str">
        <f>IFERROR(__xludf.DUMMYFUNCTION("GOOGLETRANSLATE(D8, ""en"", ""id"")"),"C) Tahun 1982")</f>
        <v>C) Tahun 1982</v>
      </c>
      <c r="K8" s="6" t="str">
        <f>IFERROR(__xludf.DUMMYFUNCTION("GOOGLETRANSLATE(E8, ""en"", ""id"")"),"Sepak Takraw secara resmi diikutsertakan dalam Asian Games pada tahun 1982.")</f>
        <v>Sepak Takraw secara resmi diikutsertakan dalam Asian Games pada tahun 1982.</v>
      </c>
    </row>
    <row r="9">
      <c r="A9" s="5">
        <v>8.0</v>
      </c>
      <c r="B9" s="5" t="s">
        <v>1401</v>
      </c>
      <c r="C9" s="5" t="s">
        <v>1402</v>
      </c>
      <c r="D9" s="5" t="s">
        <v>1403</v>
      </c>
      <c r="E9" s="5" t="s">
        <v>1404</v>
      </c>
      <c r="G9" s="6" t="str">
        <f>IFERROR(__xludf.DUMMYFUNCTION("GOOGLETRANSLATE(A9, ""en"", ""id"")"),"8")</f>
        <v>8</v>
      </c>
      <c r="H9" s="6" t="str">
        <f>IFERROR(__xludf.DUMMYFUNCTION("GOOGLETRANSLATE(B9, ""en"", ""id"")"),"Organisasi mana yang mengatur aturan Sepak Takraw internasional?")</f>
        <v>Organisasi mana yang mengatur aturan Sepak Takraw internasional?</v>
      </c>
      <c r="I9" s="6" t="str">
        <f>IFERROR(__xludf.DUMMYFUNCTION("GOOGLETRANSLATE(C9, ""en"", ""id"")"),"A) Organisasi Olahraga Dunia, B) Federasi Sepak Takraw Internasional, C) Komite Olimpiade Internasional, D) Asosiasi Sepak Takraw")</f>
        <v>A) Organisasi Olahraga Dunia, B) Federasi Sepak Takraw Internasional, C) Komite Olimpiade Internasional, D) Asosiasi Sepak Takraw</v>
      </c>
      <c r="J9" s="6" t="str">
        <f>IFERROR(__xludf.DUMMYFUNCTION("GOOGLETRANSLATE(D9, ""en"", ""id"")"),"B) Federasi Sepak Takraw Internasional")</f>
        <v>B) Federasi Sepak Takraw Internasional</v>
      </c>
      <c r="K9" s="6" t="str">
        <f>IFERROR(__xludf.DUMMYFUNCTION("GOOGLETRANSLATE(E9, ""en"", ""id"")"),"Federasi Sepak Takraw Internasional (ISTAF) mengatur peraturan olahraga global.")</f>
        <v>Federasi Sepak Takraw Internasional (ISTAF) mengatur peraturan olahraga global.</v>
      </c>
    </row>
    <row r="10">
      <c r="A10" s="5">
        <v>9.0</v>
      </c>
      <c r="B10" s="5" t="s">
        <v>1405</v>
      </c>
      <c r="C10" s="5" t="s">
        <v>1406</v>
      </c>
      <c r="D10" s="5" t="s">
        <v>1407</v>
      </c>
      <c r="E10" s="5" t="s">
        <v>1408</v>
      </c>
      <c r="G10" s="6" t="str">
        <f>IFERROR(__xludf.DUMMYFUNCTION("GOOGLETRANSLATE(A10, ""en"", ""id"")"),"9")</f>
        <v>9</v>
      </c>
      <c r="H10" s="6" t="str">
        <f>IFERROR(__xludf.DUMMYFUNCTION("GOOGLETRANSLATE(B10, ""en"", ""id"")"),"Apa tujuan awal Sepak Takraw di Asia Tenggara?")</f>
        <v>Apa tujuan awal Sepak Takraw di Asia Tenggara?</v>
      </c>
      <c r="I10" s="6" t="str">
        <f>IFERROR(__xludf.DUMMYFUNCTION("GOOGLETRANSLATE(C10, ""en"", ""id"")"),"A) Untuk meningkatkan kebugaran fisik, B) Suatu bentuk permainan ritual, C) Alat pelatihan militer, D) Permainan pertemuan sosial")</f>
        <v>A) Untuk meningkatkan kebugaran fisik, B) Suatu bentuk permainan ritual, C) Alat pelatihan militer, D) Permainan pertemuan sosial</v>
      </c>
      <c r="J10" s="6" t="str">
        <f>IFERROR(__xludf.DUMMYFUNCTION("GOOGLETRANSLATE(D10, ""en"", ""id"")"),"B) Suatu bentuk permainan ritualistik")</f>
        <v>B) Suatu bentuk permainan ritualistik</v>
      </c>
      <c r="K10" s="6" t="str">
        <f>IFERROR(__xludf.DUMMYFUNCTION("GOOGLETRANSLATE(E10, ""en"", ""id"")"),"Sepak Takraw awalnya dimainkan sebagai permainan ritual dan rekreasi di Asia Tenggara.")</f>
        <v>Sepak Takraw awalnya dimainkan sebagai permainan ritual dan rekreasi di Asia Tenggara.</v>
      </c>
    </row>
    <row r="11">
      <c r="A11" s="5">
        <v>10.0</v>
      </c>
      <c r="B11" s="5" t="s">
        <v>1409</v>
      </c>
      <c r="C11" s="5" t="s">
        <v>1375</v>
      </c>
      <c r="D11" s="5" t="s">
        <v>1410</v>
      </c>
      <c r="E11" s="5" t="s">
        <v>1411</v>
      </c>
      <c r="G11" s="6" t="str">
        <f>IFERROR(__xludf.DUMMYFUNCTION("GOOGLETRANSLATE(A11, ""en"", ""id"")"),"10")</f>
        <v>10</v>
      </c>
      <c r="H11" s="6" t="str">
        <f>IFERROR(__xludf.DUMMYFUNCTION("GOOGLETRANSLATE(B11, ""en"", ""id"")"),"Negara manakah yang dikenal sebagai negara pertama yang mencatat adanya kompetisi Sepak Takraw?")</f>
        <v>Negara manakah yang dikenal sebagai negara pertama yang mencatat adanya kompetisi Sepak Takraw?</v>
      </c>
      <c r="I11" s="6" t="str">
        <f>IFERROR(__xludf.DUMMYFUNCTION("GOOGLETRANSLATE(C11, ""en"", ""id"")"),"A) Thailand, B) Malaysia, C) Indonesia, D) Filipina")</f>
        <v>A) Thailand, B) Malaysia, C) Indonesia, D) Filipina</v>
      </c>
      <c r="J11" s="6" t="str">
        <f>IFERROR(__xludf.DUMMYFUNCTION("GOOGLETRANSLATE(D11, ""en"", ""id"")"),"B) Malaysia")</f>
        <v>B) Malaysia</v>
      </c>
      <c r="K11" s="6" t="str">
        <f>IFERROR(__xludf.DUMMYFUNCTION("GOOGLETRANSLATE(E11, ""en"", ""id"")"),"Malaysia dikenal sebagai tuan rumah kompetisi Sepak Takraw pertama yang tercatat pada awal abad ke-20.")</f>
        <v>Malaysia dikenal sebagai tuan rumah kompetisi Sepak Takraw pertama yang tercatat pada awal abad ke-20.</v>
      </c>
    </row>
    <row r="12">
      <c r="A12" s="5">
        <v>11.0</v>
      </c>
      <c r="B12" s="5" t="s">
        <v>1412</v>
      </c>
      <c r="C12" s="5" t="s">
        <v>1413</v>
      </c>
      <c r="D12" s="5" t="s">
        <v>1414</v>
      </c>
      <c r="E12" s="5" t="s">
        <v>1415</v>
      </c>
      <c r="G12" s="6" t="str">
        <f>IFERROR(__xludf.DUMMYFUNCTION("GOOGLETRANSLATE(A12, ""en"", ""id"")"),"11")</f>
        <v>11</v>
      </c>
      <c r="H12" s="6" t="str">
        <f>IFERROR(__xludf.DUMMYFUNCTION("GOOGLETRANSLATE(B12, ""en"", ""id"")"),"Negara Asia Tenggara manakah yang menjadi tuan rumah Kejuaraan Dunia Sepak Takraw?")</f>
        <v>Negara Asia Tenggara manakah yang menjadi tuan rumah Kejuaraan Dunia Sepak Takraw?</v>
      </c>
      <c r="I12" s="6" t="str">
        <f>IFERROR(__xludf.DUMMYFUNCTION("GOOGLETRANSLATE(C12, ""en"", ""id"")"),"A) Thailand, B) Indonesia, C) Malaysia, D) Filipina")</f>
        <v>A) Thailand, B) Indonesia, C) Malaysia, D) Filipina</v>
      </c>
      <c r="J12" s="6" t="str">
        <f>IFERROR(__xludf.DUMMYFUNCTION("GOOGLETRANSLATE(D12, ""en"", ""id"")"),"A) Thailand")</f>
        <v>A) Thailand</v>
      </c>
      <c r="K12" s="6" t="str">
        <f>IFERROR(__xludf.DUMMYFUNCTION("GOOGLETRANSLATE(E12, ""en"", ""id"")"),"Thailand dikenal sebagai tuan rumah Kejuaraan Dunia Sepak Takraw.")</f>
        <v>Thailand dikenal sebagai tuan rumah Kejuaraan Dunia Sepak Takraw.</v>
      </c>
    </row>
    <row r="13">
      <c r="A13" s="5">
        <v>12.0</v>
      </c>
      <c r="B13" s="5" t="s">
        <v>1416</v>
      </c>
      <c r="C13" s="5" t="s">
        <v>1417</v>
      </c>
      <c r="D13" s="5" t="s">
        <v>1418</v>
      </c>
      <c r="E13" s="5" t="s">
        <v>1419</v>
      </c>
      <c r="G13" s="6" t="str">
        <f>IFERROR(__xludf.DUMMYFUNCTION("GOOGLETRANSLATE(A13, ""en"", ""id"")"),"12")</f>
        <v>12</v>
      </c>
      <c r="H13" s="6" t="str">
        <f>IFERROR(__xludf.DUMMYFUNCTION("GOOGLETRANSLATE(B13, ""en"", ""id"")"),"Pada abad keberapa sepak takraw mulai dikenal luas di Asia Tenggara?")</f>
        <v>Pada abad keberapa sepak takraw mulai dikenal luas di Asia Tenggara?</v>
      </c>
      <c r="I13" s="6" t="str">
        <f>IFERROR(__xludf.DUMMYFUNCTION("GOOGLETRANSLATE(C13, ""en"", ""id"")"),"A) Abad ke-18, B) Abad ke-19, C) Abad ke-20, D) Abad ke-21")</f>
        <v>A) Abad ke-18, B) Abad ke-19, C) Abad ke-20, D) Abad ke-21</v>
      </c>
      <c r="J13" s="6" t="str">
        <f>IFERROR(__xludf.DUMMYFUNCTION("GOOGLETRANSLATE(D13, ""en"", ""id"")"),"B) Abad ke-19")</f>
        <v>B) Abad ke-19</v>
      </c>
      <c r="K13" s="6" t="str">
        <f>IFERROR(__xludf.DUMMYFUNCTION("GOOGLETRANSLATE(E13, ""en"", ""id"")"),"Sepak Takraw mulai dikenal luas sebagai olahraga di Asia Tenggara pada abad ke-19.")</f>
        <v>Sepak Takraw mulai dikenal luas sebagai olahraga di Asia Tenggara pada abad ke-19.</v>
      </c>
    </row>
    <row r="14">
      <c r="A14" s="5">
        <v>13.0</v>
      </c>
      <c r="B14" s="5" t="s">
        <v>1420</v>
      </c>
      <c r="C14" s="5" t="s">
        <v>1421</v>
      </c>
      <c r="D14" s="5" t="s">
        <v>1422</v>
      </c>
      <c r="E14" s="5" t="s">
        <v>1423</v>
      </c>
      <c r="G14" s="6" t="str">
        <f>IFERROR(__xludf.DUMMYFUNCTION("GOOGLETRANSLATE(A14, ""en"", ""id"")"),"13")</f>
        <v>13</v>
      </c>
      <c r="H14" s="6" t="str">
        <f>IFERROR(__xludf.DUMMYFUNCTION("GOOGLETRANSLATE(B14, ""en"", ""id"")"),"Daerah mana yang khususnya dikenal sebagai tempat awal perkembangan sepak takraw di Indonesia?")</f>
        <v>Daerah mana yang khususnya dikenal sebagai tempat awal perkembangan sepak takraw di Indonesia?</v>
      </c>
      <c r="I14" s="6" t="str">
        <f>IFERROR(__xludf.DUMMYFUNCTION("GOOGLETRANSLATE(C14, ""en"", ""id"")"),"A) Jawa Timur, B) Sumatera, C) Bali, D) Kalimantan")</f>
        <v>A) Jawa Timur, B) Sumatera, C) Bali, D) Kalimantan</v>
      </c>
      <c r="J14" s="6" t="str">
        <f>IFERROR(__xludf.DUMMYFUNCTION("GOOGLETRANSLATE(D14, ""en"", ""id"")"),"A) Jawa Timur")</f>
        <v>A) Jawa Timur</v>
      </c>
      <c r="K14" s="6" t="str">
        <f>IFERROR(__xludf.DUMMYFUNCTION("GOOGLETRANSLATE(E14, ""en"", ""id"")"),"Jawa Timur dikenal sebagai salah satu daerah awal berkembangnya Sepak Takraw di Indonesia.")</f>
        <v>Jawa Timur dikenal sebagai salah satu daerah awal berkembangnya Sepak Takraw di Indonesia.</v>
      </c>
    </row>
    <row r="15">
      <c r="A15" s="5">
        <v>14.0</v>
      </c>
      <c r="B15" s="5" t="s">
        <v>1424</v>
      </c>
      <c r="C15" s="5" t="s">
        <v>1425</v>
      </c>
      <c r="D15" s="5" t="s">
        <v>1426</v>
      </c>
      <c r="E15" s="5" t="s">
        <v>1427</v>
      </c>
      <c r="G15" s="6" t="str">
        <f>IFERROR(__xludf.DUMMYFUNCTION("GOOGLETRANSLATE(A15, ""en"", ""id"")"),"14")</f>
        <v>14</v>
      </c>
      <c r="H15" s="6" t="str">
        <f>IFERROR(__xludf.DUMMYFUNCTION("GOOGLETRANSLATE(B15, ""en"", ""id"")"),"Apa nama induk organisasi sepak takraw di Indonesia?")</f>
        <v>Apa nama induk organisasi sepak takraw di Indonesia?</v>
      </c>
      <c r="I15" s="6" t="str">
        <f>IFERROR(__xludf.DUMMYFUNCTION("GOOGLETRANSLATE(C15, ""en"", ""id"")"),"A) Persatuan Sepak Takraw Indonesia, B) Federasi Sepak Takraw Indonesia, C) Sepak Takraw Indonesia, D) Federasi Olahraga Indonesia")</f>
        <v>A) Persatuan Sepak Takraw Indonesia, B) Federasi Sepak Takraw Indonesia, C) Sepak Takraw Indonesia, D) Federasi Olahraga Indonesia</v>
      </c>
      <c r="J15" s="6" t="str">
        <f>IFERROR(__xludf.DUMMYFUNCTION("GOOGLETRANSLATE(D15, ""en"", ""id"")"),"A) Persatuan Sepak Takraw Indonesia")</f>
        <v>A) Persatuan Sepak Takraw Indonesia</v>
      </c>
      <c r="K15" s="6" t="str">
        <f>IFERROR(__xludf.DUMMYFUNCTION("GOOGLETRANSLATE(E15, ""en"", ""id"")"),"Persatuan Sepak Takraw Indonesia mengatur olahraga di Indonesia.")</f>
        <v>Persatuan Sepak Takraw Indonesia mengatur olahraga di Indonesia.</v>
      </c>
    </row>
    <row r="16">
      <c r="A16" s="5">
        <v>15.0</v>
      </c>
      <c r="B16" s="5" t="s">
        <v>1428</v>
      </c>
      <c r="C16" s="5" t="s">
        <v>1429</v>
      </c>
      <c r="D16" s="5" t="s">
        <v>1430</v>
      </c>
      <c r="E16" s="5" t="s">
        <v>1431</v>
      </c>
      <c r="G16" s="6" t="str">
        <f>IFERROR(__xludf.DUMMYFUNCTION("GOOGLETRANSLATE(A16, ""en"", ""id"")"),"15")</f>
        <v>15</v>
      </c>
      <c r="H16" s="6" t="str">
        <f>IFERROR(__xludf.DUMMYFUNCTION("GOOGLETRANSLATE(B16, ""en"", ""id"")"),"Berapa ukuran standar bola sepak takraw yang digunakan dalam kompetisi profesional?")</f>
        <v>Berapa ukuran standar bola sepak takraw yang digunakan dalam kompetisi profesional?</v>
      </c>
      <c r="I16" s="6" t="str">
        <f>IFERROR(__xludf.DUMMYFUNCTION("GOOGLETRANSLATE(C16, ""en"", ""id"")"),"A) 18-20 cm, B) 15-17 cm, C) 22-24 cm, D) 25-27 cm")</f>
        <v>A) 18-20 cm, B) 15-17 cm, C) 22-24 cm, D) 25-27 cm</v>
      </c>
      <c r="J16" s="6" t="str">
        <f>IFERROR(__xludf.DUMMYFUNCTION("GOOGLETRANSLATE(D16, ""en"", ""id"")"),"A) 18-20 cm")</f>
        <v>A) 18-20 cm</v>
      </c>
      <c r="K16" s="6" t="str">
        <f>IFERROR(__xludf.DUMMYFUNCTION("GOOGLETRANSLATE(E16, ""en"", ""id"")"),"Ukuran standar bola sepak takraw dalam kompetisi profesional adalah antara 18 hingga 20 cm.")</f>
        <v>Ukuran standar bola sepak takraw dalam kompetisi profesional adalah antara 18 hingga 20 cm.</v>
      </c>
    </row>
    <row r="17">
      <c r="A17" s="5">
        <v>16.0</v>
      </c>
      <c r="B17" s="5" t="s">
        <v>1432</v>
      </c>
      <c r="C17" s="5" t="s">
        <v>1433</v>
      </c>
      <c r="D17" s="5" t="s">
        <v>1434</v>
      </c>
      <c r="E17" s="5" t="s">
        <v>1435</v>
      </c>
      <c r="G17" s="6" t="str">
        <f>IFERROR(__xludf.DUMMYFUNCTION("GOOGLETRANSLATE(A17, ""en"", ""id"")"),"16")</f>
        <v>16</v>
      </c>
      <c r="H17" s="6" t="str">
        <f>IFERROR(__xludf.DUMMYFUNCTION("GOOGLETRANSLATE(B17, ""en"", ""id"")"),"Pemain sepak takraw Indonesia ternama manakah yang memenangkan medali emas di Pesta Olahraga Asia Tenggara 1997?")</f>
        <v>Pemain sepak takraw Indonesia ternama manakah yang memenangkan medali emas di Pesta Olahraga Asia Tenggara 1997?</v>
      </c>
      <c r="I17" s="6" t="str">
        <f>IFERROR(__xludf.DUMMYFUNCTION("GOOGLETRANSLATE(C17, ""en"", ""id"")"),"A) Ardy Sutedjo, B) Yanto Basna, C) Zulkifli Nasution, D) Muhammad Iqbal")</f>
        <v>A) Ardy Sutedjo, B) Yanto Basna, C) Zulkifli Nasution, D) Muhammad Iqbal</v>
      </c>
      <c r="J17" s="6" t="str">
        <f>IFERROR(__xludf.DUMMYFUNCTION("GOOGLETRANSLATE(D17, ""en"", ""id"")"),"A) Ardy Sutedjo")</f>
        <v>A) Ardy Sutedjo</v>
      </c>
      <c r="K17" s="6" t="str">
        <f>IFERROR(__xludf.DUMMYFUNCTION("GOOGLETRANSLATE(E17, ""en"", ""id"")"),"Ardy Sutedjo adalah pemain terkenal Indonesia yang memenangkan medali emas di Pesta Olahraga Asia Tenggara 1997.")</f>
        <v>Ardy Sutedjo adalah pemain terkenal Indonesia yang memenangkan medali emas di Pesta Olahraga Asia Tenggara 1997.</v>
      </c>
    </row>
    <row r="18">
      <c r="A18" s="5">
        <v>17.0</v>
      </c>
      <c r="B18" s="5" t="s">
        <v>1436</v>
      </c>
      <c r="C18" s="5" t="s">
        <v>1437</v>
      </c>
      <c r="D18" s="5" t="s">
        <v>1438</v>
      </c>
      <c r="E18" s="5" t="s">
        <v>1439</v>
      </c>
      <c r="G18" s="6" t="str">
        <f>IFERROR(__xludf.DUMMYFUNCTION("GOOGLETRANSLATE(A18, ""en"", ""id"")"),"17")</f>
        <v>17</v>
      </c>
      <c r="H18" s="6" t="str">
        <f>IFERROR(__xludf.DUMMYFUNCTION("GOOGLETRANSLATE(B18, ""en"", ""id"")"),"Peristiwa besar Indonesia manakah yang menandai pertama kalinya Sepak Takraw diperkenalkan?")</f>
        <v>Peristiwa besar Indonesia manakah yang menandai pertama kalinya Sepak Takraw diperkenalkan?</v>
      </c>
      <c r="I18" s="6" t="str">
        <f>IFERROR(__xludf.DUMMYFUNCTION("GOOGLETRANSLATE(C18, ""en"", ""id"")"),"A) Pesta Kesenian Bali, B) Pekan Olahraga Internasional Jakarta, C) Pesta Olahraga Nasional 1963, D) Pesta Olahraga Indonesia")</f>
        <v>A) Pesta Kesenian Bali, B) Pekan Olahraga Internasional Jakarta, C) Pesta Olahraga Nasional 1963, D) Pesta Olahraga Indonesia</v>
      </c>
      <c r="J18" s="6" t="str">
        <f>IFERROR(__xludf.DUMMYFUNCTION("GOOGLETRANSLATE(D18, ""en"", ""id"")"),"C) Pesta Olahraga Nasional 1963")</f>
        <v>C) Pesta Olahraga Nasional 1963</v>
      </c>
      <c r="K18" s="6" t="str">
        <f>IFERROR(__xludf.DUMMYFUNCTION("GOOGLETRANSLATE(E18, ""en"", ""id"")"),"Peristiwa besar pertama di mana Sepak Takraw diperkenalkan di Indonesia adalah Pesta Olahraga Nasional 1963.")</f>
        <v>Peristiwa besar pertama di mana Sepak Takraw diperkenalkan di Indonesia adalah Pesta Olahraga Nasional 1963.</v>
      </c>
    </row>
    <row r="19">
      <c r="A19" s="5">
        <v>18.0</v>
      </c>
      <c r="B19" s="5" t="s">
        <v>1440</v>
      </c>
      <c r="C19" s="5" t="s">
        <v>1441</v>
      </c>
      <c r="D19" s="5" t="s">
        <v>1442</v>
      </c>
      <c r="E19" s="5" t="s">
        <v>1443</v>
      </c>
      <c r="G19" s="6" t="str">
        <f>IFERROR(__xludf.DUMMYFUNCTION("GOOGLETRANSLATE(A19, ""en"", ""id"")"),"18")</f>
        <v>18</v>
      </c>
      <c r="H19" s="6" t="str">
        <f>IFERROR(__xludf.DUMMYFUNCTION("GOOGLETRANSLATE(B19, ""en"", ""id"")"),"Pengaruh sejarah apa yang terlihat dalam perkembangan Sepak Takraw di Asia Tenggara?")</f>
        <v>Pengaruh sejarah apa yang terlihat dalam perkembangan Sepak Takraw di Asia Tenggara?</v>
      </c>
      <c r="I19" s="6" t="str">
        <f>IFERROR(__xludf.DUMMYFUNCTION("GOOGLETRANSLATE(C19, ""en"", ""id"")"),"A) Cina, B) Belanda, C) India, D) Portugis")</f>
        <v>A) Cina, B) Belanda, C) India, D) Portugis</v>
      </c>
      <c r="J19" s="6" t="str">
        <f>IFERROR(__xludf.DUMMYFUNCTION("GOOGLETRANSLATE(D19, ""en"", ""id"")"),"C) India")</f>
        <v>C) India</v>
      </c>
      <c r="K19" s="6" t="str">
        <f>IFERROR(__xludf.DUMMYFUNCTION("GOOGLETRANSLATE(E19, ""en"", ""id"")"),"Perkembangan Sepak Takraw di Asia Tenggara dipengaruhi oleh permainan India kuno 'Cheena,' mirip dengan Sepak Takraw.")</f>
        <v>Perkembangan Sepak Takraw di Asia Tenggara dipengaruhi oleh permainan India kuno 'Cheena,' mirip dengan Sepak Takraw.</v>
      </c>
    </row>
    <row r="20">
      <c r="A20" s="5">
        <v>19.0</v>
      </c>
      <c r="B20" s="5" t="s">
        <v>1444</v>
      </c>
      <c r="C20" s="5" t="s">
        <v>1445</v>
      </c>
      <c r="D20" s="5" t="s">
        <v>1446</v>
      </c>
      <c r="E20" s="5" t="s">
        <v>1447</v>
      </c>
      <c r="G20" s="6" t="str">
        <f>IFERROR(__xludf.DUMMYFUNCTION("GOOGLETRANSLATE(A20, ""en"", ""id"")"),"19")</f>
        <v>19</v>
      </c>
      <c r="H20" s="6" t="str">
        <f>IFERROR(__xludf.DUMMYFUNCTION("GOOGLETRANSLATE(B20, ""en"", ""id"")"),"Provinsi Indonesia manakah yang terkenal menghasilkan banyak pemain sepak takraw tingkat nasional?")</f>
        <v>Provinsi Indonesia manakah yang terkenal menghasilkan banyak pemain sepak takraw tingkat nasional?</v>
      </c>
      <c r="I20" s="6" t="str">
        <f>IFERROR(__xludf.DUMMYFUNCTION("GOOGLETRANSLATE(C20, ""en"", ""id"")"),"A) Bali, B) Aceh, C) Jawa Barat, D) Jawa Timur")</f>
        <v>A) Bali, B) Aceh, C) Jawa Barat, D) Jawa Timur</v>
      </c>
      <c r="J20" s="6" t="str">
        <f>IFERROR(__xludf.DUMMYFUNCTION("GOOGLETRANSLATE(D20, ""en"", ""id"")"),"D) Jawa Timur")</f>
        <v>D) Jawa Timur</v>
      </c>
      <c r="K20" s="6" t="str">
        <f>IFERROR(__xludf.DUMMYFUNCTION("GOOGLETRANSLATE(E20, ""en"", ""id"")"),"Jawa Timur dikenal sebagai penghasil sejumlah pemain sepak takraw berkelas nasional di Indonesia.")</f>
        <v>Jawa Timur dikenal sebagai penghasil sejumlah pemain sepak takraw berkelas nasional di Indonesia.</v>
      </c>
    </row>
    <row r="21">
      <c r="A21" s="5">
        <v>20.0</v>
      </c>
      <c r="B21" s="5" t="s">
        <v>1448</v>
      </c>
      <c r="C21" s="5" t="s">
        <v>1449</v>
      </c>
      <c r="D21" s="5" t="s">
        <v>1450</v>
      </c>
      <c r="E21" s="5" t="s">
        <v>1451</v>
      </c>
      <c r="G21" s="6" t="str">
        <f>IFERROR(__xludf.DUMMYFUNCTION("GOOGLETRANSLATE(A21, ""en"", ""id"")"),"20")</f>
        <v>20</v>
      </c>
      <c r="H21" s="6" t="str">
        <f>IFERROR(__xludf.DUMMYFUNCTION("GOOGLETRANSLATE(B21, ""en"", ""id"")"),"Apa julukan tradisional untuk Sepak Takraw di Indonesia?")</f>
        <v>Apa julukan tradisional untuk Sepak Takraw di Indonesia?</v>
      </c>
      <c r="I21" s="6" t="str">
        <f>IFERROR(__xludf.DUMMYFUNCTION("GOOGLETRANSLATE(C21, ""en"", ""id"")"),"A) Raga Bola, B) Bola Rotan, C) Sepak Bola, D) Sepak Raga")</f>
        <v>A) Raga Bola, B) Bola Rotan, C) Sepak Bola, D) Sepak Raga</v>
      </c>
      <c r="J21" s="6" t="str">
        <f>IFERROR(__xludf.DUMMYFUNCTION("GOOGLETRANSLATE(D21, ""en"", ""id"")"),"D) Sepak Raga")</f>
        <v>D) Sepak Raga</v>
      </c>
      <c r="K21" s="6" t="str">
        <f>IFERROR(__xludf.DUMMYFUNCTION("GOOGLETRANSLATE(E21, ""en"", ""id"")"),"Di Indonesia, Sepak Takraw secara tradisional disebut 'Sepak Raga.'")</f>
        <v>Di Indonesia, Sepak Takraw secara tradisional disebut 'Sepak Raga.'</v>
      </c>
    </row>
    <row r="22">
      <c r="A22" s="5">
        <v>21.0</v>
      </c>
      <c r="B22" s="5" t="s">
        <v>1452</v>
      </c>
      <c r="C22" s="5" t="s">
        <v>1453</v>
      </c>
      <c r="D22" s="5" t="s">
        <v>1454</v>
      </c>
      <c r="E22" s="5" t="s">
        <v>1455</v>
      </c>
      <c r="G22" s="6" t="str">
        <f>IFERROR(__xludf.DUMMYFUNCTION("GOOGLETRANSLATE(A22, ""en"", ""id"")"),"21")</f>
        <v>21</v>
      </c>
      <c r="H22" s="6" t="str">
        <f>IFERROR(__xludf.DUMMYFUNCTION("GOOGLETRANSLATE(B22, ""en"", ""id"")"),"Peristiwa bersejarah apa di Indonesia yang turut mendongkrak popularitas Sepak Takraw?")</f>
        <v>Peristiwa bersejarah apa di Indonesia yang turut mendongkrak popularitas Sepak Takraw?</v>
      </c>
      <c r="I22" s="6" t="str">
        <f>IFERROR(__xludf.DUMMYFUNCTION("GOOGLETRANSLATE(C22, ""en"", ""id"")"),"A) Pesta Olahraga Nasional 1963, B) Perayaan Hari Kemerdekaan, C) Pembentukan ISTAF, D) Pesta Olahraga 1976")</f>
        <v>A) Pesta Olahraga Nasional 1963, B) Perayaan Hari Kemerdekaan, C) Pembentukan ISTAF, D) Pesta Olahraga 1976</v>
      </c>
      <c r="J22" s="6" t="str">
        <f>IFERROR(__xludf.DUMMYFUNCTION("GOOGLETRANSLATE(D22, ""en"", ""id"")"),"A) Pesta Olahraga Nasional 1963")</f>
        <v>A) Pesta Olahraga Nasional 1963</v>
      </c>
      <c r="K22" s="6" t="str">
        <f>IFERROR(__xludf.DUMMYFUNCTION("GOOGLETRANSLATE(E22, ""en"", ""id"")"),"Pesta Olahraga Nasional 1963 menandai momen penting dalam mendongkrak popularitas Sepak Takraw di Indonesia.")</f>
        <v>Pesta Olahraga Nasional 1963 menandai momen penting dalam mendongkrak popularitas Sepak Takraw di Indonesia.</v>
      </c>
    </row>
    <row r="23">
      <c r="A23" s="5">
        <v>22.0</v>
      </c>
      <c r="B23" s="5" t="s">
        <v>1456</v>
      </c>
      <c r="C23" s="5" t="s">
        <v>1457</v>
      </c>
      <c r="D23" s="5" t="s">
        <v>1410</v>
      </c>
      <c r="E23" s="5" t="s">
        <v>1458</v>
      </c>
      <c r="G23" s="6" t="str">
        <f>IFERROR(__xludf.DUMMYFUNCTION("GOOGLETRANSLATE(A23, ""en"", ""id"")"),"22")</f>
        <v>22</v>
      </c>
      <c r="H23" s="6" t="str">
        <f>IFERROR(__xludf.DUMMYFUNCTION("GOOGLETRANSLATE(B23, ""en"", ""id"")"),"Negara Asia Tenggara manakah lagi yang dianggap berjasa mengembangkan Sepak Takraw bersama Indonesia?")</f>
        <v>Negara Asia Tenggara manakah lagi yang dianggap berjasa mengembangkan Sepak Takraw bersama Indonesia?</v>
      </c>
      <c r="I23" s="6" t="str">
        <f>IFERROR(__xludf.DUMMYFUNCTION("GOOGLETRANSLATE(C23, ""en"", ""id"")"),"A) Thailand, B) Malaysia, C) Singapura, D) Filipina")</f>
        <v>A) Thailand, B) Malaysia, C) Singapura, D) Filipina</v>
      </c>
      <c r="J23" s="6" t="str">
        <f>IFERROR(__xludf.DUMMYFUNCTION("GOOGLETRANSLATE(D23, ""en"", ""id"")"),"B) Malaysia")</f>
        <v>B) Malaysia</v>
      </c>
      <c r="K23" s="6" t="str">
        <f>IFERROR(__xludf.DUMMYFUNCTION("GOOGLETRANSLATE(E23, ""en"", ""id"")"),"Malaysia adalah negara Asia Tenggara lainnya yang berjasa membantu mengembangkan Sepak Takraw bersama Indonesia.")</f>
        <v>Malaysia adalah negara Asia Tenggara lainnya yang berjasa membantu mengembangkan Sepak Takraw bersama Indonesia.</v>
      </c>
    </row>
    <row r="24">
      <c r="A24" s="5">
        <v>23.0</v>
      </c>
      <c r="B24" s="5" t="s">
        <v>1459</v>
      </c>
      <c r="C24" s="5" t="s">
        <v>1460</v>
      </c>
      <c r="D24" s="5" t="s">
        <v>1461</v>
      </c>
      <c r="E24" s="5" t="s">
        <v>1462</v>
      </c>
      <c r="G24" s="6" t="str">
        <f>IFERROR(__xludf.DUMMYFUNCTION("GOOGLETRANSLATE(A24, ""en"", ""id"")"),"23")</f>
        <v>23</v>
      </c>
      <c r="H24" s="6" t="str">
        <f>IFERROR(__xludf.DUMMYFUNCTION("GOOGLETRANSLATE(B24, ""en"", ""id"")"),"Siapa pemain internasional pertama yang memenangkan gelar Kejuaraan Dunia Sepak Takraw?")</f>
        <v>Siapa pemain internasional pertama yang memenangkan gelar Kejuaraan Dunia Sepak Takraw?</v>
      </c>
      <c r="I24" s="6" t="str">
        <f>IFERROR(__xludf.DUMMYFUNCTION("GOOGLETRANSLATE(C24, ""en"", ""id"")"),"A) Khairul Anuar, B) Ahmad Fathi, C) Muhammad Iqbal, D) Rijal Akhmad")</f>
        <v>A) Khairul Anuar, B) Ahmad Fathi, C) Muhammad Iqbal, D) Rijal Akhmad</v>
      </c>
      <c r="J24" s="6" t="str">
        <f>IFERROR(__xludf.DUMMYFUNCTION("GOOGLETRANSLATE(D24, ""en"", ""id"")"),"A) Khairul Anuar")</f>
        <v>A) Khairul Anuar</v>
      </c>
      <c r="K24" s="6" t="str">
        <f>IFERROR(__xludf.DUMMYFUNCTION("GOOGLETRANSLATE(E24, ""en"", ""id"")"),"Khairul Anuar dari Malaysia adalah pemain internasional pertama yang memenangkan gelar Kejuaraan Dunia Sepak Takraw.")</f>
        <v>Khairul Anuar dari Malaysia adalah pemain internasional pertama yang memenangkan gelar Kejuaraan Dunia Sepak Takraw.</v>
      </c>
    </row>
    <row r="25">
      <c r="A25" s="5">
        <v>24.0</v>
      </c>
      <c r="B25" s="5" t="s">
        <v>1463</v>
      </c>
      <c r="C25" s="5" t="s">
        <v>1464</v>
      </c>
      <c r="D25" s="5" t="s">
        <v>1465</v>
      </c>
      <c r="E25" s="5" t="s">
        <v>1466</v>
      </c>
      <c r="G25" s="6" t="str">
        <f>IFERROR(__xludf.DUMMYFUNCTION("GOOGLETRANSLATE(A25, ""en"", ""id"")"),"24")</f>
        <v>24</v>
      </c>
      <c r="H25" s="6" t="str">
        <f>IFERROR(__xludf.DUMMYFUNCTION("GOOGLETRANSLATE(B25, ""en"", ""id"")"),"Olahraga tradisional Indonesia apa yang mirip dengan Sepak Takraw?")</f>
        <v>Olahraga tradisional Indonesia apa yang mirip dengan Sepak Takraw?</v>
      </c>
      <c r="I25" s="6" t="str">
        <f>IFERROR(__xludf.DUMMYFUNCTION("GOOGLETRANSLATE(C25, ""en"", ""id"")"),"A) Sepak Raga, B) Silambam, C) Pencak Silat, D) Kuntau")</f>
        <v>A) Sepak Raga, B) Silambam, C) Pencak Silat, D) Kuntau</v>
      </c>
      <c r="J25" s="6" t="str">
        <f>IFERROR(__xludf.DUMMYFUNCTION("GOOGLETRANSLATE(D25, ""en"", ""id"")"),"A) Sepak Raga")</f>
        <v>A) Sepak Raga</v>
      </c>
      <c r="K25" s="6" t="str">
        <f>IFERROR(__xludf.DUMMYFUNCTION("GOOGLETRANSLATE(E25, ""en"", ""id"")"),"Sepak Raga, permainan tradisional Indonesia, sering dianggap sebagai pendahulu Sepak Takraw.")</f>
        <v>Sepak Raga, permainan tradisional Indonesia, sering dianggap sebagai pendahulu Sepak Takraw.</v>
      </c>
    </row>
    <row r="26">
      <c r="A26" s="5">
        <v>25.0</v>
      </c>
      <c r="B26" s="5" t="s">
        <v>1467</v>
      </c>
      <c r="C26" s="5" t="s">
        <v>1413</v>
      </c>
      <c r="D26" s="5" t="s">
        <v>1468</v>
      </c>
      <c r="E26" s="5" t="s">
        <v>1469</v>
      </c>
      <c r="G26" s="6" t="str">
        <f>IFERROR(__xludf.DUMMYFUNCTION("GOOGLETRANSLATE(A26, ""en"", ""id"")"),"25")</f>
        <v>25</v>
      </c>
      <c r="H26" s="6" t="str">
        <f>IFERROR(__xludf.DUMMYFUNCTION("GOOGLETRANSLATE(B26, ""en"", ""id"")"),"Negara Asia Tenggara manakah yang memperkenalkan Sepak Takraw ke komunitas olahraga global?")</f>
        <v>Negara Asia Tenggara manakah yang memperkenalkan Sepak Takraw ke komunitas olahraga global?</v>
      </c>
      <c r="I26" s="6" t="str">
        <f>IFERROR(__xludf.DUMMYFUNCTION("GOOGLETRANSLATE(C26, ""en"", ""id"")"),"A) Thailand, B) Indonesia, C) Malaysia, D) Filipina")</f>
        <v>A) Thailand, B) Indonesia, C) Malaysia, D) Filipina</v>
      </c>
      <c r="J26" s="6" t="str">
        <f>IFERROR(__xludf.DUMMYFUNCTION("GOOGLETRANSLATE(D26, ""en"", ""id"")"),"B) Indonesia")</f>
        <v>B) Indonesia</v>
      </c>
      <c r="K26" s="6" t="str">
        <f>IFERROR(__xludf.DUMMYFUNCTION("GOOGLETRANSLATE(E26, ""en"", ""id"")"),"Indonesia adalah salah satu negara pertama yang memperkenalkan Sepak Takraw ke komunitas olahraga global.")</f>
        <v>Indonesia adalah salah satu negara pertama yang memperkenalkan Sepak Takraw ke komunitas olahraga global.</v>
      </c>
    </row>
    <row r="27">
      <c r="A27" s="5">
        <v>26.0</v>
      </c>
      <c r="B27" s="5" t="s">
        <v>1470</v>
      </c>
      <c r="C27" s="5" t="s">
        <v>1471</v>
      </c>
      <c r="D27" s="5" t="s">
        <v>98</v>
      </c>
      <c r="E27" s="5" t="s">
        <v>1472</v>
      </c>
      <c r="G27" s="6" t="str">
        <f>IFERROR(__xludf.DUMMYFUNCTION("GOOGLETRANSLATE(A27, ""en"", ""id"")"),"26")</f>
        <v>26</v>
      </c>
      <c r="H27" s="6" t="str">
        <f>IFERROR(__xludf.DUMMYFUNCTION("GOOGLETRANSLATE(B27, ""en"", ""id"")"),"Pada tahun berapa Indonesia menjadi tuan rumah Kejuaraan Dunia Sepak Takraw pertama?")</f>
        <v>Pada tahun berapa Indonesia menjadi tuan rumah Kejuaraan Dunia Sepak Takraw pertama?</v>
      </c>
      <c r="I27" s="6" t="str">
        <f>IFERROR(__xludf.DUMMYFUNCTION("GOOGLETRANSLATE(C27, ""en"", ""id"")"),"A) Tahun 1985, B) Tahun 1992, C) Tahun 1998, D) Tahun 2002")</f>
        <v>A) Tahun 1985, B) Tahun 1992, C) Tahun 1998, D) Tahun 2002</v>
      </c>
      <c r="J27" s="6" t="str">
        <f>IFERROR(__xludf.DUMMYFUNCTION("GOOGLETRANSLATE(D27, ""en"", ""id"")"),"A) Tahun 1985")</f>
        <v>A) Tahun 1985</v>
      </c>
      <c r="K27" s="6" t="str">
        <f>IFERROR(__xludf.DUMMYFUNCTION("GOOGLETRANSLATE(E27, ""en"", ""id"")"),"Indonesia menjadi tuan rumah Kejuaraan Dunia Sepak Takraw pertama pada tahun 1985.")</f>
        <v>Indonesia menjadi tuan rumah Kejuaraan Dunia Sepak Takraw pertama pada tahun 1985.</v>
      </c>
    </row>
    <row r="28">
      <c r="A28" s="5">
        <v>27.0</v>
      </c>
      <c r="B28" s="5" t="s">
        <v>1473</v>
      </c>
      <c r="C28" s="5" t="s">
        <v>1474</v>
      </c>
      <c r="D28" s="5" t="s">
        <v>1475</v>
      </c>
      <c r="E28" s="5" t="s">
        <v>1476</v>
      </c>
      <c r="G28" s="6" t="str">
        <f>IFERROR(__xludf.DUMMYFUNCTION("GOOGLETRANSLATE(A28, ""en"", ""id"")"),"27")</f>
        <v>27</v>
      </c>
      <c r="H28" s="6" t="str">
        <f>IFERROR(__xludf.DUMMYFUNCTION("GOOGLETRANSLATE(B28, ""en"", ""id"")"),"Pesta Olahraga Asia Tenggara mana yang pertama kali menampilkan Sepak Takraw?")</f>
        <v>Pesta Olahraga Asia Tenggara mana yang pertama kali menampilkan Sepak Takraw?</v>
      </c>
      <c r="I28" s="6" t="str">
        <f>IFERROR(__xludf.DUMMYFUNCTION("GOOGLETRANSLATE(C28, ""en"", ""id"")"),"A) Tahun 1959, B) Tahun 1965, C) Tahun 1973, D) Tahun 1980")</f>
        <v>A) Tahun 1959, B) Tahun 1965, C) Tahun 1973, D) Tahun 1980</v>
      </c>
      <c r="J28" s="6" t="str">
        <f>IFERROR(__xludf.DUMMYFUNCTION("GOOGLETRANSLATE(D28, ""en"", ""id"")"),"B) Tahun 1965")</f>
        <v>B) Tahun 1965</v>
      </c>
      <c r="K28" s="6" t="str">
        <f>IFERROR(__xludf.DUMMYFUNCTION("GOOGLETRANSLATE(E28, ""en"", ""id"")"),"Sepak Takraw pertama kali ditampilkan di Pesta Olahraga Asia Tenggara tahun 1965.")</f>
        <v>Sepak Takraw pertama kali ditampilkan di Pesta Olahraga Asia Tenggara tahun 1965.</v>
      </c>
    </row>
    <row r="29">
      <c r="A29" s="5">
        <v>28.0</v>
      </c>
      <c r="B29" s="5" t="s">
        <v>1477</v>
      </c>
      <c r="C29" s="5" t="s">
        <v>1478</v>
      </c>
      <c r="D29" s="5" t="s">
        <v>1479</v>
      </c>
      <c r="E29" s="5" t="s">
        <v>1480</v>
      </c>
      <c r="G29" s="6" t="str">
        <f>IFERROR(__xludf.DUMMYFUNCTION("GOOGLETRANSLATE(A29, ""en"", ""id"")"),"28")</f>
        <v>28</v>
      </c>
      <c r="H29" s="6" t="str">
        <f>IFERROR(__xludf.DUMMYFUNCTION("GOOGLETRANSLATE(B29, ""en"", ""id"")"),"Organisasi mana yang mengatur peraturan dan regulasi internasional Sepak Takraw?")</f>
        <v>Organisasi mana yang mengatur peraturan dan regulasi internasional Sepak Takraw?</v>
      </c>
      <c r="I29" s="6" t="str">
        <f>IFERROR(__xludf.DUMMYFUNCTION("GOOGLETRANSLATE(C29, ""en"", ""id"")"),"A) FIFA, B) ISTAF, C) IOC, D) FIBA")</f>
        <v>A) FIFA, B) ISTAF, C) IOC, D) FIBA</v>
      </c>
      <c r="J29" s="6" t="str">
        <f>IFERROR(__xludf.DUMMYFUNCTION("GOOGLETRANSLATE(D29, ""en"", ""id"")"),"B) ISTAF")</f>
        <v>B) ISTAF</v>
      </c>
      <c r="K29" s="6" t="str">
        <f>IFERROR(__xludf.DUMMYFUNCTION("GOOGLETRANSLATE(E29, ""en"", ""id"")"),"Federasi Sepak Takraw Internasional (ISTAF) mengatur peraturan dan regulasi internasional olahraga ini.")</f>
        <v>Federasi Sepak Takraw Internasional (ISTAF) mengatur peraturan dan regulasi internasional olahraga ini.</v>
      </c>
    </row>
    <row r="30">
      <c r="A30" s="5">
        <v>29.0</v>
      </c>
      <c r="B30" s="5" t="s">
        <v>1481</v>
      </c>
      <c r="C30" s="5" t="s">
        <v>1482</v>
      </c>
      <c r="D30" s="5" t="s">
        <v>1483</v>
      </c>
      <c r="E30" s="5" t="s">
        <v>1484</v>
      </c>
      <c r="G30" s="6" t="str">
        <f>IFERROR(__xludf.DUMMYFUNCTION("GOOGLETRANSLATE(A30, ""en"", ""id"")"),"29")</f>
        <v>29</v>
      </c>
      <c r="H30" s="6" t="str">
        <f>IFERROR(__xludf.DUMMYFUNCTION("GOOGLETRANSLATE(B30, ""en"", ""id"")"),"Apa nama bola tradisional yang digunakan dalam Sepak Takraw?")</f>
        <v>Apa nama bola tradisional yang digunakan dalam Sepak Takraw?</v>
      </c>
      <c r="I30" s="6" t="str">
        <f>IFERROR(__xludf.DUMMYFUNCTION("GOOGLETRANSLATE(C30, ""en"", ""id"")"),"A) Bola Karet, B) Bola Rotan, C) Bola Plastik, D) Bola Kulit")</f>
        <v>A) Bola Karet, B) Bola Rotan, C) Bola Plastik, D) Bola Kulit</v>
      </c>
      <c r="J30" s="6" t="str">
        <f>IFERROR(__xludf.DUMMYFUNCTION("GOOGLETRANSLATE(D30, ""en"", ""id"")"),"B) Bola Rotan")</f>
        <v>B) Bola Rotan</v>
      </c>
      <c r="K30" s="6" t="str">
        <f>IFERROR(__xludf.DUMMYFUNCTION("GOOGLETRANSLATE(E30, ""en"", ""id"")"),"Bola Sepak Takraw tradisional terbuat dari rotan, bahan yang fleksibel dan tahan lama.")</f>
        <v>Bola Sepak Takraw tradisional terbuat dari rotan, bahan yang fleksibel dan tahan lama.</v>
      </c>
    </row>
    <row r="31">
      <c r="A31" s="5">
        <v>30.0</v>
      </c>
      <c r="B31" s="5" t="s">
        <v>1485</v>
      </c>
      <c r="C31" s="5" t="s">
        <v>1486</v>
      </c>
      <c r="D31" s="5" t="s">
        <v>1487</v>
      </c>
      <c r="E31" s="5" t="s">
        <v>1488</v>
      </c>
      <c r="G31" s="6" t="str">
        <f>IFERROR(__xludf.DUMMYFUNCTION("GOOGLETRANSLATE(A31, ""en"", ""id"")"),"30")</f>
        <v>30</v>
      </c>
      <c r="H31" s="6" t="str">
        <f>IFERROR(__xludf.DUMMYFUNCTION("GOOGLETRANSLATE(B31, ""en"", ""id"")"),"Daerah Indonesia manakah yang paling dikenal dengan perkembangan Sepak Takraw?")</f>
        <v>Daerah Indonesia manakah yang paling dikenal dengan perkembangan Sepak Takraw?</v>
      </c>
      <c r="I31" s="6" t="str">
        <f>IFERROR(__xludf.DUMMYFUNCTION("GOOGLETRANSLATE(C31, ""en"", ""id"")"),"A) Sumatera, B) Bali, C) Jakarta, D) Jawa")</f>
        <v>A) Sumatera, B) Bali, C) Jakarta, D) Jawa</v>
      </c>
      <c r="J31" s="6" t="str">
        <f>IFERROR(__xludf.DUMMYFUNCTION("GOOGLETRANSLATE(D31, ""en"", ""id"")"),"D) Jawa")</f>
        <v>D) Jawa</v>
      </c>
      <c r="K31" s="6" t="str">
        <f>IFERROR(__xludf.DUMMYFUNCTION("GOOGLETRANSLATE(E31, ""en"", ""id"")"),"Jawa merupakan wilayah di Indonesia yang paling erat kaitannya dengan perkembangan Sepak Takraw.")</f>
        <v>Jawa merupakan wilayah di Indonesia yang paling erat kaitannya dengan perkembangan Sepak Takraw.</v>
      </c>
    </row>
    <row r="32">
      <c r="A32" s="5">
        <v>31.0</v>
      </c>
      <c r="B32" s="5" t="s">
        <v>1489</v>
      </c>
      <c r="C32" s="5" t="s">
        <v>1490</v>
      </c>
      <c r="D32" s="5" t="s">
        <v>1491</v>
      </c>
      <c r="E32" s="5" t="s">
        <v>1492</v>
      </c>
      <c r="G32" s="6" t="str">
        <f>IFERROR(__xludf.DUMMYFUNCTION("GOOGLETRANSLATE(A32, ""en"", ""id"")"),"31")</f>
        <v>31</v>
      </c>
      <c r="H32" s="6" t="str">
        <f>IFERROR(__xludf.DUMMYFUNCTION("GOOGLETRANSLATE(B32, ""en"", ""id"")"),"Tahun berapa Federasi Sepak Takraw Internasional (ISTAF) dibentuk?")</f>
        <v>Tahun berapa Federasi Sepak Takraw Internasional (ISTAF) dibentuk?</v>
      </c>
      <c r="I32" s="6" t="str">
        <f>IFERROR(__xludf.DUMMYFUNCTION("GOOGLETRANSLATE(C32, ""en"", ""id"")"),"A) Tahun 1963, B) Tahun 1972, C) Tahun 1987, D) Tahun 1993")</f>
        <v>A) Tahun 1963, B) Tahun 1972, C) Tahun 1987, D) Tahun 1993</v>
      </c>
      <c r="J32" s="6" t="str">
        <f>IFERROR(__xludf.DUMMYFUNCTION("GOOGLETRANSLATE(D32, ""en"", ""id"")"),"C) Tahun 1987")</f>
        <v>C) Tahun 1987</v>
      </c>
      <c r="K32" s="6" t="str">
        <f>IFERROR(__xludf.DUMMYFUNCTION("GOOGLETRANSLATE(E32, ""en"", ""id"")"),"Federasi Sepak Takraw Internasional (ISTAF) didirikan pada tahun 1987.")</f>
        <v>Federasi Sepak Takraw Internasional (ISTAF) didirikan pada tahun 1987.</v>
      </c>
    </row>
    <row r="33">
      <c r="A33" s="5">
        <v>32.0</v>
      </c>
      <c r="B33" s="5" t="s">
        <v>1493</v>
      </c>
      <c r="C33" s="5" t="s">
        <v>1494</v>
      </c>
      <c r="D33" s="5" t="s">
        <v>1495</v>
      </c>
      <c r="E33" s="5" t="s">
        <v>1496</v>
      </c>
      <c r="G33" s="6" t="str">
        <f>IFERROR(__xludf.DUMMYFUNCTION("GOOGLETRANSLATE(A33, ""en"", ""id"")"),"32")</f>
        <v>32</v>
      </c>
      <c r="H33" s="6" t="str">
        <f>IFERROR(__xludf.DUMMYFUNCTION("GOOGLETRANSLATE(B33, ""en"", ""id"")"),"Apa bahan utama yang digunakan untuk membuat bola sepak takraw modern?")</f>
        <v>Apa bahan utama yang digunakan untuk membuat bola sepak takraw modern?</v>
      </c>
      <c r="I33" s="6" t="str">
        <f>IFERROR(__xludf.DUMMYFUNCTION("GOOGLETRANSLATE(C33, ""en"", ""id"")"),"A) Rotan, B) Plastik, C) Karet, D) Kulit")</f>
        <v>A) Rotan, B) Plastik, C) Karet, D) Kulit</v>
      </c>
      <c r="J33" s="6" t="str">
        <f>IFERROR(__xludf.DUMMYFUNCTION("GOOGLETRANSLATE(D33, ""en"", ""id"")"),"B) Plastik")</f>
        <v>B) Plastik</v>
      </c>
      <c r="K33" s="6" t="str">
        <f>IFERROR(__xludf.DUMMYFUNCTION("GOOGLETRANSLATE(E33, ""en"", ""id"")"),"Bola Sepak Takraw modern biasanya terbuat dari plastik tahan lama.")</f>
        <v>Bola Sepak Takraw modern biasanya terbuat dari plastik tahan lama.</v>
      </c>
    </row>
    <row r="34">
      <c r="A34" s="5">
        <v>33.0</v>
      </c>
      <c r="B34" s="5" t="s">
        <v>1497</v>
      </c>
      <c r="C34" s="5" t="s">
        <v>1498</v>
      </c>
      <c r="D34" s="5" t="s">
        <v>1499</v>
      </c>
      <c r="E34" s="5" t="s">
        <v>1500</v>
      </c>
      <c r="G34" s="6" t="str">
        <f>IFERROR(__xludf.DUMMYFUNCTION("GOOGLETRANSLATE(A34, ""en"", ""id"")"),"33")</f>
        <v>33</v>
      </c>
      <c r="H34" s="6" t="str">
        <f>IFERROR(__xludf.DUMMYFUNCTION("GOOGLETRANSLATE(B34, ""en"", ""id"")"),"Pada tahun berapa sepak takraw pertama kali menjadi bagian dari Asian Games?")</f>
        <v>Pada tahun berapa sepak takraw pertama kali menjadi bagian dari Asian Games?</v>
      </c>
      <c r="I34" s="6" t="str">
        <f>IFERROR(__xludf.DUMMYFUNCTION("GOOGLETRANSLATE(C34, ""en"", ""id"")"),"A) Tahun 1978, B) Tahun 1982, C) Tahun 1986, D) Tahun 1990")</f>
        <v>A) Tahun 1978, B) Tahun 1982, C) Tahun 1986, D) Tahun 1990</v>
      </c>
      <c r="J34" s="6" t="str">
        <f>IFERROR(__xludf.DUMMYFUNCTION("GOOGLETRANSLATE(D34, ""en"", ""id"")"),"B) Tahun 1982")</f>
        <v>B) Tahun 1982</v>
      </c>
      <c r="K34" s="6" t="str">
        <f>IFERROR(__xludf.DUMMYFUNCTION("GOOGLETRANSLATE(E34, ""en"", ""id"")"),"Sepak Takraw diikutsertakan dalam Asian Games 1982.")</f>
        <v>Sepak Takraw diikutsertakan dalam Asian Games 1982.</v>
      </c>
    </row>
    <row r="35">
      <c r="A35" s="5">
        <v>34.0</v>
      </c>
      <c r="B35" s="5" t="s">
        <v>1501</v>
      </c>
      <c r="C35" s="5" t="s">
        <v>1502</v>
      </c>
      <c r="D35" s="5" t="s">
        <v>1503</v>
      </c>
      <c r="E35" s="5" t="s">
        <v>1504</v>
      </c>
      <c r="G35" s="6" t="str">
        <f>IFERROR(__xludf.DUMMYFUNCTION("GOOGLETRANSLATE(A35, ""en"", ""id"")"),"34")</f>
        <v>34</v>
      </c>
      <c r="H35" s="6" t="str">
        <f>IFERROR(__xludf.DUMMYFUNCTION("GOOGLETRANSLATE(B35, ""en"", ""id"")"),"Pemain Indonesia manakah yang memenangkan medali emas pertama untuk Sepak Takraw di Pesta Olahraga Asia Tenggara?")</f>
        <v>Pemain Indonesia manakah yang memenangkan medali emas pertama untuk Sepak Takraw di Pesta Olahraga Asia Tenggara?</v>
      </c>
      <c r="I35" s="6" t="str">
        <f>IFERROR(__xludf.DUMMYFUNCTION("GOOGLETRANSLATE(C35, ""en"", ""id"")"),"A) Rijal Akhmad, B) Zulkifli Nasution, C) Muhammad Iqbal, D) Ardy Sutedjo")</f>
        <v>A) Rijal Akhmad, B) Zulkifli Nasution, C) Muhammad Iqbal, D) Ardy Sutedjo</v>
      </c>
      <c r="J35" s="6" t="str">
        <f>IFERROR(__xludf.DUMMYFUNCTION("GOOGLETRANSLATE(D35, ""en"", ""id"")"),"D) Ardy Sutedjo")</f>
        <v>D) Ardy Sutedjo</v>
      </c>
      <c r="K35" s="6" t="str">
        <f>IFERROR(__xludf.DUMMYFUNCTION("GOOGLETRANSLATE(E35, ""en"", ""id"")"),"Ardy Sutedjo adalah pemain Indonesia pertama yang memenangkan medali emas Sepak Takraw di Pesta Olahraga Asia Tenggara.")</f>
        <v>Ardy Sutedjo adalah pemain Indonesia pertama yang memenangkan medali emas Sepak Takraw di Pesta Olahraga Asia Tenggara.</v>
      </c>
    </row>
    <row r="36">
      <c r="A36" s="5">
        <v>35.0</v>
      </c>
      <c r="B36" s="5" t="s">
        <v>1505</v>
      </c>
      <c r="C36" s="5" t="s">
        <v>1506</v>
      </c>
      <c r="D36" s="5" t="s">
        <v>1507</v>
      </c>
      <c r="E36" s="5" t="s">
        <v>1508</v>
      </c>
      <c r="G36" s="6" t="str">
        <f>IFERROR(__xludf.DUMMYFUNCTION("GOOGLETRANSLATE(A36, ""en"", ""id"")"),"35")</f>
        <v>35</v>
      </c>
      <c r="H36" s="6" t="str">
        <f>IFERROR(__xludf.DUMMYFUNCTION("GOOGLETRANSLATE(B36, ""en"", ""id"")"),"Apa turnamen paling penting untuk Sepak Takraw di seluruh dunia?")</f>
        <v>Apa turnamen paling penting untuk Sepak Takraw di seluruh dunia?</v>
      </c>
      <c r="I36" s="6" t="str">
        <f>IFERROR(__xludf.DUMMYFUNCTION("GOOGLETRANSLATE(C36, ""en"", ""id"")"),"A) Piala Dunia Sepak Takraw, B) Asian Games, C) Kejuaraan Dunia Sepak Takraw, D) Asian Games Tenggara")</f>
        <v>A) Piala Dunia Sepak Takraw, B) Asian Games, C) Kejuaraan Dunia Sepak Takraw, D) Asian Games Tenggara</v>
      </c>
      <c r="J36" s="6" t="str">
        <f>IFERROR(__xludf.DUMMYFUNCTION("GOOGLETRANSLATE(D36, ""en"", ""id"")"),"C) Kejuaraan Dunia Sepak Takraw")</f>
        <v>C) Kejuaraan Dunia Sepak Takraw</v>
      </c>
      <c r="K36" s="6" t="str">
        <f>IFERROR(__xludf.DUMMYFUNCTION("GOOGLETRANSLATE(E36, ""en"", ""id"")"),"Kejuaraan Dunia Sepak Takraw adalah turnamen internasional paling penting untuk olahraga ini.")</f>
        <v>Kejuaraan Dunia Sepak Takraw adalah turnamen internasional paling penting untuk olahraga ini.</v>
      </c>
    </row>
    <row r="37">
      <c r="A37" s="5">
        <v>36.0</v>
      </c>
      <c r="B37" s="5" t="s">
        <v>1509</v>
      </c>
      <c r="C37" s="5" t="s">
        <v>1510</v>
      </c>
      <c r="D37" s="5" t="s">
        <v>1468</v>
      </c>
      <c r="E37" s="5" t="s">
        <v>1511</v>
      </c>
      <c r="G37" s="6" t="str">
        <f>IFERROR(__xludf.DUMMYFUNCTION("GOOGLETRANSLATE(A37, ""en"", ""id"")"),"36")</f>
        <v>36</v>
      </c>
      <c r="H37" s="6" t="str">
        <f>IFERROR(__xludf.DUMMYFUNCTION("GOOGLETRANSLATE(B37, ""en"", ""id"")"),"Negara mana yang memperkenalkan olahraga Sepak Takraw ke Thailand?")</f>
        <v>Negara mana yang memperkenalkan olahraga Sepak Takraw ke Thailand?</v>
      </c>
      <c r="I37" s="6" t="str">
        <f>IFERROR(__xludf.DUMMYFUNCTION("GOOGLETRANSLATE(C37, ""en"", ""id"")"),"A) Malaysia, B) Indonesia, C) Singapura, D) Myanmar")</f>
        <v>A) Malaysia, B) Indonesia, C) Singapura, D) Myanmar</v>
      </c>
      <c r="J37" s="6" t="str">
        <f>IFERROR(__xludf.DUMMYFUNCTION("GOOGLETRANSLATE(D37, ""en"", ""id"")"),"B) Indonesia")</f>
        <v>B) Indonesia</v>
      </c>
      <c r="K37" s="6" t="str">
        <f>IFERROR(__xludf.DUMMYFUNCTION("GOOGLETRANSLATE(E37, ""en"", ""id"")"),"Sepak Takraw diperkenalkan ke Thailand dari Indonesia, tempat olahraga ini sudah populer.")</f>
        <v>Sepak Takraw diperkenalkan ke Thailand dari Indonesia, tempat olahraga ini sudah populer.</v>
      </c>
    </row>
    <row r="38">
      <c r="A38" s="5">
        <v>37.0</v>
      </c>
      <c r="B38" s="5" t="s">
        <v>1512</v>
      </c>
      <c r="C38" s="5" t="s">
        <v>845</v>
      </c>
      <c r="D38" s="5" t="s">
        <v>1513</v>
      </c>
      <c r="E38" s="5" t="s">
        <v>1514</v>
      </c>
      <c r="G38" s="6" t="str">
        <f>IFERROR(__xludf.DUMMYFUNCTION("GOOGLETRANSLATE(A38, ""en"", ""id"")"),"37")</f>
        <v>37</v>
      </c>
      <c r="H38" s="6" t="str">
        <f>IFERROR(__xludf.DUMMYFUNCTION("GOOGLETRANSLATE(B38, ""en"", ""id"")"),"Berapa jumlah maksimum pemain yang diizinkan di lapangan Sepak Takraw?")</f>
        <v>Berapa jumlah maksimum pemain yang diizinkan di lapangan Sepak Takraw?</v>
      </c>
      <c r="I38" s="6" t="str">
        <f>IFERROR(__xludf.DUMMYFUNCTION("GOOGLETRANSLATE(C38, ""en"", ""id"")"),"A) 2, B) 4, C) 6, D) 8")</f>
        <v>A) 2, B) 4, C) 6, D) 8</v>
      </c>
      <c r="J38" s="6" t="str">
        <f>IFERROR(__xludf.DUMMYFUNCTION("GOOGLETRANSLATE(D38, ""en"", ""id"")"),"C) 6")</f>
        <v>C) 6</v>
      </c>
      <c r="K38" s="6" t="str">
        <f>IFERROR(__xludf.DUMMYFUNCTION("GOOGLETRANSLATE(E38, ""en"", ""id"")"),"Lapangan Sepak Takraw standar dapat menampung hingga 6 pemain, dengan setiap tim memiliki 3 pemain.")</f>
        <v>Lapangan Sepak Takraw standar dapat menampung hingga 6 pemain, dengan setiap tim memiliki 3 pemain.</v>
      </c>
    </row>
    <row r="39">
      <c r="A39" s="5">
        <v>38.0</v>
      </c>
      <c r="B39" s="5" t="s">
        <v>1515</v>
      </c>
      <c r="C39" s="5" t="s">
        <v>1516</v>
      </c>
      <c r="D39" s="5" t="s">
        <v>1517</v>
      </c>
      <c r="E39" s="5" t="s">
        <v>1518</v>
      </c>
      <c r="G39" s="6" t="str">
        <f>IFERROR(__xludf.DUMMYFUNCTION("GOOGLETRANSLATE(A39, ""en"", ""id"")"),"38")</f>
        <v>38</v>
      </c>
      <c r="H39" s="6" t="str">
        <f>IFERROR(__xludf.DUMMYFUNCTION("GOOGLETRANSLATE(B39, ""en"", ""id"")"),"Apa tujuan utama Sepak Takraw?")</f>
        <v>Apa tujuan utama Sepak Takraw?</v>
      </c>
      <c r="I39" s="6" t="str">
        <f>IFERROR(__xludf.DUMMYFUNCTION("GOOGLETRANSLATE(C39, ""en"", ""id"")"),"A) Untuk mencetak poin dengan memukul bola melewati jaring, B) Untuk menendang bola melewati ring, C) Untuk melakukan servis bola di udara, D) Untuk memukul bola ke dalam gawang")</f>
        <v>A) Untuk mencetak poin dengan memukul bola melewati jaring, B) Untuk menendang bola melewati ring, C) Untuk melakukan servis bola di udara, D) Untuk memukul bola ke dalam gawang</v>
      </c>
      <c r="J39" s="6" t="str">
        <f>IFERROR(__xludf.DUMMYFUNCTION("GOOGLETRANSLATE(D39, ""en"", ""id"")"),"A) Untuk mencetak poin dengan memukul bola melewati net")</f>
        <v>A) Untuk mencetak poin dengan memukul bola melewati net</v>
      </c>
      <c r="K39" s="6" t="str">
        <f>IFERROR(__xludf.DUMMYFUNCTION("GOOGLETRANSLATE(E39, ""en"", ""id"")"),"Tujuan utama Sepak Takraw adalah mencetak poin dengan memukul bola rotan melewati net, hanya menggunakan kaki, kepala, lutut, dan dada.")</f>
        <v>Tujuan utama Sepak Takraw adalah mencetak poin dengan memukul bola rotan melewati net, hanya menggunakan kaki, kepala, lutut, dan dada.</v>
      </c>
    </row>
    <row r="40">
      <c r="A40" s="5">
        <v>39.0</v>
      </c>
      <c r="B40" s="5" t="s">
        <v>1519</v>
      </c>
      <c r="C40" s="5" t="s">
        <v>1520</v>
      </c>
      <c r="D40" s="5" t="s">
        <v>1521</v>
      </c>
      <c r="E40" s="5" t="s">
        <v>1522</v>
      </c>
      <c r="G40" s="6" t="str">
        <f>IFERROR(__xludf.DUMMYFUNCTION("GOOGLETRANSLATE(A40, ""en"", ""id"")"),"39")</f>
        <v>39</v>
      </c>
      <c r="H40" s="6" t="str">
        <f>IFERROR(__xludf.DUMMYFUNCTION("GOOGLETRANSLATE(B40, ""en"", ""id"")"),"Siapa yang memenangkan Kejuaraan Dunia Sepak Takraw pertama pada tahun 1990?")</f>
        <v>Siapa yang memenangkan Kejuaraan Dunia Sepak Takraw pertama pada tahun 1990?</v>
      </c>
      <c r="I40" s="6" t="str">
        <f>IFERROR(__xludf.DUMMYFUNCTION("GOOGLETRANSLATE(C40, ""en"", ""id"")"),"A) Malaysia, B) Indonesia, C) Thailand, D) Filipina")</f>
        <v>A) Malaysia, B) Indonesia, C) Thailand, D) Filipina</v>
      </c>
      <c r="J40" s="6" t="str">
        <f>IFERROR(__xludf.DUMMYFUNCTION("GOOGLETRANSLATE(D40, ""en"", ""id"")"),"A) Malaysia")</f>
        <v>A) Malaysia</v>
      </c>
      <c r="K40" s="6" t="str">
        <f>IFERROR(__xludf.DUMMYFUNCTION("GOOGLETRANSLATE(E40, ""en"", ""id"")"),"Malaysia memenangkan Kejuaraan Dunia Sepak Takraw pertama pada tahun 1990.")</f>
        <v>Malaysia memenangkan Kejuaraan Dunia Sepak Takraw pertama pada tahun 1990.</v>
      </c>
    </row>
    <row r="41">
      <c r="A41" s="5">
        <v>40.0</v>
      </c>
      <c r="B41" s="5" t="s">
        <v>1523</v>
      </c>
      <c r="C41" s="5" t="s">
        <v>1524</v>
      </c>
      <c r="D41" s="5" t="s">
        <v>1525</v>
      </c>
      <c r="E41" s="5" t="s">
        <v>1526</v>
      </c>
      <c r="G41" s="6" t="str">
        <f>IFERROR(__xludf.DUMMYFUNCTION("GOOGLETRANSLATE(A41, ""en"", ""id"")"),"40")</f>
        <v>40</v>
      </c>
      <c r="H41" s="6" t="str">
        <f>IFERROR(__xludf.DUMMYFUNCTION("GOOGLETRANSLATE(B41, ""en"", ""id"")"),"Dalam Sepak Takraw, bagian tubuh manakah yang terutama digunakan untuk memukul bola?")</f>
        <v>Dalam Sepak Takraw, bagian tubuh manakah yang terutama digunakan untuk memukul bola?</v>
      </c>
      <c r="I41" s="6" t="str">
        <f>IFERROR(__xludf.DUMMYFUNCTION("GOOGLETRANSLATE(C41, ""en"", ""id"")"),"A) Tangan, B) Kaki, C) Kepala, D) Dada")</f>
        <v>A) Tangan, B) Kaki, C) Kepala, D) Dada</v>
      </c>
      <c r="J41" s="6" t="str">
        <f>IFERROR(__xludf.DUMMYFUNCTION("GOOGLETRANSLATE(D41, ""en"", ""id"")"),"B) Kaki")</f>
        <v>B) Kaki</v>
      </c>
      <c r="K41" s="6" t="str">
        <f>IFERROR(__xludf.DUMMYFUNCTION("GOOGLETRANSLATE(E41, ""en"", ""id"")"),"Dalam Sepak Takraw, pemain menggunakan kaki, kepala, lutut, dan dada untuk memukul bola.")</f>
        <v>Dalam Sepak Takraw, pemain menggunakan kaki, kepala, lutut, dan dada untuk memukul bola.</v>
      </c>
    </row>
    <row r="42">
      <c r="A42" s="5">
        <v>41.0</v>
      </c>
      <c r="B42" s="5" t="s">
        <v>1527</v>
      </c>
      <c r="C42" s="5" t="s">
        <v>1375</v>
      </c>
      <c r="D42" s="5" t="s">
        <v>1414</v>
      </c>
      <c r="E42" s="5" t="s">
        <v>1528</v>
      </c>
      <c r="G42" s="6" t="str">
        <f>IFERROR(__xludf.DUMMYFUNCTION("GOOGLETRANSLATE(A42, ""en"", ""id"")"),"41")</f>
        <v>41</v>
      </c>
      <c r="H42" s="6" t="str">
        <f>IFERROR(__xludf.DUMMYFUNCTION("GOOGLETRANSLATE(B42, ""en"", ""id"")"),"Negara Asia Tenggara manakah yang memiliki gelar Kejuaraan Dunia Sepak Takraw terbanyak?")</f>
        <v>Negara Asia Tenggara manakah yang memiliki gelar Kejuaraan Dunia Sepak Takraw terbanyak?</v>
      </c>
      <c r="I42" s="6" t="str">
        <f>IFERROR(__xludf.DUMMYFUNCTION("GOOGLETRANSLATE(C42, ""en"", ""id"")"),"A) Thailand, B) Malaysia, C) Indonesia, D) Filipina")</f>
        <v>A) Thailand, B) Malaysia, C) Indonesia, D) Filipina</v>
      </c>
      <c r="J42" s="6" t="str">
        <f>IFERROR(__xludf.DUMMYFUNCTION("GOOGLETRANSLATE(D42, ""en"", ""id"")"),"A) Thailand")</f>
        <v>A) Thailand</v>
      </c>
      <c r="K42" s="6" t="str">
        <f>IFERROR(__xludf.DUMMYFUNCTION("GOOGLETRANSLATE(E42, ""en"", ""id"")"),"Thailand memiliki gelar Kejuaraan Dunia Sepak Takraw terbanyak.")</f>
        <v>Thailand memiliki gelar Kejuaraan Dunia Sepak Takraw terbanyak.</v>
      </c>
    </row>
    <row r="43">
      <c r="A43" s="5">
        <v>42.0</v>
      </c>
      <c r="B43" s="5" t="s">
        <v>1529</v>
      </c>
      <c r="C43" s="5" t="s">
        <v>1530</v>
      </c>
      <c r="D43" s="5" t="s">
        <v>1531</v>
      </c>
      <c r="E43" s="5" t="s">
        <v>1532</v>
      </c>
      <c r="G43" s="6" t="str">
        <f>IFERROR(__xludf.DUMMYFUNCTION("GOOGLETRANSLATE(A43, ""en"", ""id"")"),"42")</f>
        <v>42</v>
      </c>
      <c r="H43" s="6" t="str">
        <f>IFERROR(__xludf.DUMMYFUNCTION("GOOGLETRANSLATE(B43, ""en"", ""id"")"),"Tahun berapa Sepak Takraw secara resmi diakui oleh Komite Olimpiade Internasional?")</f>
        <v>Tahun berapa Sepak Takraw secara resmi diakui oleh Komite Olimpiade Internasional?</v>
      </c>
      <c r="I43" s="6" t="str">
        <f>IFERROR(__xludf.DUMMYFUNCTION("GOOGLETRANSLATE(C43, ""en"", ""id"")"),"A) Tahun 1995, B) Tahun 2000, C) Tahun 2005, D) Tahun 2010")</f>
        <v>A) Tahun 1995, B) Tahun 2000, C) Tahun 2005, D) Tahun 2010</v>
      </c>
      <c r="J43" s="6" t="str">
        <f>IFERROR(__xludf.DUMMYFUNCTION("GOOGLETRANSLATE(D43, ""en"", ""id"")"),"C) Tahun 2005")</f>
        <v>C) Tahun 2005</v>
      </c>
      <c r="K43" s="6" t="str">
        <f>IFERROR(__xludf.DUMMYFUNCTION("GOOGLETRANSLATE(E43, ""en"", ""id"")"),"Sepak Takraw secara resmi diakui oleh Komite Olimpiade Internasional pada tahun 2005.")</f>
        <v>Sepak Takraw secara resmi diakui oleh Komite Olimpiade Internasional pada tahun 2005.</v>
      </c>
    </row>
    <row r="44">
      <c r="A44" s="5">
        <v>43.0</v>
      </c>
      <c r="B44" s="5" t="s">
        <v>1533</v>
      </c>
      <c r="C44" s="5" t="s">
        <v>1534</v>
      </c>
      <c r="D44" s="5" t="s">
        <v>1535</v>
      </c>
      <c r="E44" s="5" t="s">
        <v>1536</v>
      </c>
      <c r="G44" s="6" t="str">
        <f>IFERROR(__xludf.DUMMYFUNCTION("GOOGLETRANSLATE(A44, ""en"", ""id"")"),"43")</f>
        <v>43</v>
      </c>
      <c r="H44" s="6" t="str">
        <f>IFERROR(__xludf.DUMMYFUNCTION("GOOGLETRANSLATE(B44, ""en"", ""id"")"),"Perayaan tradisional Indonesia manakah yang pertama kali menyertakan Sepak Takraw sebagai bagian dari perayaannya?")</f>
        <v>Perayaan tradisional Indonesia manakah yang pertama kali menyertakan Sepak Takraw sebagai bagian dari perayaannya?</v>
      </c>
      <c r="I44" s="6" t="str">
        <f>IFERROR(__xludf.DUMMYFUNCTION("GOOGLETRANSLATE(C44, ""en"", ""id"")"),"A) Festival Kesenian Bali, B) Festival Olahraga Internasional Jakarta, C) Festival Budaya Bali, D) Perayaan Hari Kemerdekaan")</f>
        <v>A) Festival Kesenian Bali, B) Festival Olahraga Internasional Jakarta, C) Festival Budaya Bali, D) Perayaan Hari Kemerdekaan</v>
      </c>
      <c r="J44" s="6" t="str">
        <f>IFERROR(__xludf.DUMMYFUNCTION("GOOGLETRANSLATE(D44, ""en"", ""id"")"),"B) Festival Olahraga Internasional Jakarta")</f>
        <v>B) Festival Olahraga Internasional Jakarta</v>
      </c>
      <c r="K44" s="6" t="str">
        <f>IFERROR(__xludf.DUMMYFUNCTION("GOOGLETRANSLATE(E44, ""en"", ""id"")"),"Festival Olahraga Internasional Jakarta merupakan salah satu festival pertama yang menampilkan Sepak Takraw sebagai bagian dari kegiatannya.")</f>
        <v>Festival Olahraga Internasional Jakarta merupakan salah satu festival pertama yang menampilkan Sepak Takraw sebagai bagian dari kegiatannya.</v>
      </c>
    </row>
    <row r="45">
      <c r="A45" s="5">
        <v>44.0</v>
      </c>
      <c r="B45" s="5" t="s">
        <v>1537</v>
      </c>
      <c r="C45" s="5" t="s">
        <v>1538</v>
      </c>
      <c r="D45" s="5" t="s">
        <v>1410</v>
      </c>
      <c r="E45" s="5" t="s">
        <v>1539</v>
      </c>
      <c r="G45" s="6" t="str">
        <f>IFERROR(__xludf.DUMMYFUNCTION("GOOGLETRANSLATE(A45, ""en"", ""id"")"),"44")</f>
        <v>44</v>
      </c>
      <c r="H45" s="6" t="str">
        <f>IFERROR(__xludf.DUMMYFUNCTION("GOOGLETRANSLATE(B45, ""en"", ""id"")"),"Negara manakah yang terkenal dengan terbentuknya klub Sepak Takraw pertama?")</f>
        <v>Negara manakah yang terkenal dengan terbentuknya klub Sepak Takraw pertama?</v>
      </c>
      <c r="I45" s="6" t="str">
        <f>IFERROR(__xludf.DUMMYFUNCTION("GOOGLETRANSLATE(C45, ""en"", ""id"")"),"A) Thailand, B) Malaysia, C) Indonesia, D) Singapura")</f>
        <v>A) Thailand, B) Malaysia, C) Indonesia, D) Singapura</v>
      </c>
      <c r="J45" s="6" t="str">
        <f>IFERROR(__xludf.DUMMYFUNCTION("GOOGLETRANSLATE(D45, ""en"", ""id"")"),"B) Malaysia")</f>
        <v>B) Malaysia</v>
      </c>
      <c r="K45" s="6" t="str">
        <f>IFERROR(__xludf.DUMMYFUNCTION("GOOGLETRANSLATE(E45, ""en"", ""id"")"),"Malaysia dikenal sebagai negara pertama yang mendirikan klub Sepak Takraw.")</f>
        <v>Malaysia dikenal sebagai negara pertama yang mendirikan klub Sepak Takraw.</v>
      </c>
    </row>
    <row r="46">
      <c r="A46" s="5">
        <v>45.0</v>
      </c>
      <c r="B46" s="5" t="s">
        <v>1540</v>
      </c>
      <c r="C46" s="5" t="s">
        <v>1541</v>
      </c>
      <c r="D46" s="5" t="s">
        <v>1542</v>
      </c>
      <c r="E46" s="5" t="s">
        <v>1543</v>
      </c>
      <c r="G46" s="6" t="str">
        <f>IFERROR(__xludf.DUMMYFUNCTION("GOOGLETRANSLATE(A46, ""en"", ""id"")"),"45")</f>
        <v>45</v>
      </c>
      <c r="H46" s="6" t="str">
        <f>IFERROR(__xludf.DUMMYFUNCTION("GOOGLETRANSLATE(B46, ""en"", ""id"")"),"Apa istilah yang digunakan untuk pemain yang melakukan servis bola dalam sepak takraw?")</f>
        <v>Apa istilah yang digunakan untuk pemain yang melakukan servis bola dalam sepak takraw?</v>
      </c>
      <c r="I46" s="6" t="str">
        <f>IFERROR(__xludf.DUMMYFUNCTION("GOOGLETRANSLATE(C46, ""en"", ""id"")"),"A) Spiker, B) Setter, C) Server, D) Attacker")</f>
        <v>A) Spiker, B) Setter, C) Server, D) Attacker</v>
      </c>
      <c r="J46" s="6" t="str">
        <f>IFERROR(__xludf.DUMMYFUNCTION("GOOGLETRANSLATE(D46, ""en"", ""id"")"),"C) Pelayan")</f>
        <v>C) Pelayan</v>
      </c>
      <c r="K46" s="6" t="str">
        <f>IFERROR(__xludf.DUMMYFUNCTION("GOOGLETRANSLATE(E46, ""en"", ""id"")"),"Pemain yang melakukan servis bola dalam sepak takraw disebut server.")</f>
        <v>Pemain yang melakukan servis bola dalam sepak takraw disebut server.</v>
      </c>
    </row>
    <row r="47">
      <c r="A47" s="5">
        <v>46.0</v>
      </c>
      <c r="B47" s="5" t="s">
        <v>1544</v>
      </c>
      <c r="C47" s="5" t="s">
        <v>1545</v>
      </c>
      <c r="D47" s="5" t="s">
        <v>1546</v>
      </c>
      <c r="E47" s="5" t="s">
        <v>1547</v>
      </c>
      <c r="G47" s="6" t="str">
        <f>IFERROR(__xludf.DUMMYFUNCTION("GOOGLETRANSLATE(A47, ""en"", ""id"")"),"46")</f>
        <v>46</v>
      </c>
      <c r="H47" s="6" t="str">
        <f>IFERROR(__xludf.DUMMYFUNCTION("GOOGLETRANSLATE(B47, ""en"", ""id"")"),"Negara manakah yang menjadi tempat lahirnya Sepak Takraw versi modern?")</f>
        <v>Negara manakah yang menjadi tempat lahirnya Sepak Takraw versi modern?</v>
      </c>
      <c r="I47" s="6" t="str">
        <f>IFERROR(__xludf.DUMMYFUNCTION("GOOGLETRANSLATE(C47, ""en"", ""id"")"),"A) Indonesia, B) Malaysia, C) Thailand, D) Filipina")</f>
        <v>A) Indonesia, B) Malaysia, C) Thailand, D) Filipina</v>
      </c>
      <c r="J47" s="6" t="str">
        <f>IFERROR(__xludf.DUMMYFUNCTION("GOOGLETRANSLATE(D47, ""en"", ""id"")"),"C) Thailand")</f>
        <v>C) Thailand</v>
      </c>
      <c r="K47" s="6" t="str">
        <f>IFERROR(__xludf.DUMMYFUNCTION("GOOGLETRANSLATE(E47, ""en"", ""id"")"),"Sepak Takraw modern, seperti yang dimainkan saat ini, berasal dari Thailand.")</f>
        <v>Sepak Takraw modern, seperti yang dimainkan saat ini, berasal dari Thailand.</v>
      </c>
    </row>
    <row r="48">
      <c r="A48" s="5">
        <v>47.0</v>
      </c>
      <c r="B48" s="5" t="s">
        <v>1548</v>
      </c>
      <c r="C48" s="5" t="s">
        <v>1549</v>
      </c>
      <c r="D48" s="5" t="s">
        <v>1550</v>
      </c>
      <c r="E48" s="5" t="s">
        <v>1551</v>
      </c>
      <c r="G48" s="6" t="str">
        <f>IFERROR(__xludf.DUMMYFUNCTION("GOOGLETRANSLATE(A48, ""en"", ""id"")"),"47")</f>
        <v>47</v>
      </c>
      <c r="H48" s="6" t="str">
        <f>IFERROR(__xludf.DUMMYFUNCTION("GOOGLETRANSLATE(B48, ""en"", ""id"")"),"Apa badan pengurus resmi Sepak Takraw di Indonesia?")</f>
        <v>Apa badan pengurus resmi Sepak Takraw di Indonesia?</v>
      </c>
      <c r="I48" s="6" t="str">
        <f>IFERROR(__xludf.DUMMYFUNCTION("GOOGLETRANSLATE(C48, ""en"", ""id"")"),"A) Federasi Sepak Takraw Seluruh Indonesia, B) Persatuan Sepak Raga Seluruh Indonesia, C) Federasi Olahraga Indonesia, D) Komite Olimpiade Indonesia")</f>
        <v>A) Federasi Sepak Takraw Seluruh Indonesia, B) Persatuan Sepak Raga Seluruh Indonesia, C) Federasi Olahraga Indonesia, D) Komite Olimpiade Indonesia</v>
      </c>
      <c r="J48" s="6" t="str">
        <f>IFERROR(__xludf.DUMMYFUNCTION("GOOGLETRANSLATE(D48, ""en"", ""id"")"),"A) Federasi Sepak Takraw Indonesia")</f>
        <v>A) Federasi Sepak Takraw Indonesia</v>
      </c>
      <c r="K48" s="6" t="str">
        <f>IFERROR(__xludf.DUMMYFUNCTION("GOOGLETRANSLATE(E48, ""en"", ""id"")"),"Federasi Sepak Takraw Indonesia mengatur olahraga Sepak Takraw di Indonesia.")</f>
        <v>Federasi Sepak Takraw Indonesia mengatur olahraga Sepak Takraw di Indonesia.</v>
      </c>
    </row>
    <row r="49">
      <c r="A49" s="5">
        <v>48.0</v>
      </c>
      <c r="B49" s="5" t="s">
        <v>1552</v>
      </c>
      <c r="C49" s="5" t="s">
        <v>1553</v>
      </c>
      <c r="D49" s="5" t="s">
        <v>1465</v>
      </c>
      <c r="E49" s="5" t="s">
        <v>1554</v>
      </c>
      <c r="G49" s="6" t="str">
        <f>IFERROR(__xludf.DUMMYFUNCTION("GOOGLETRANSLATE(A49, ""en"", ""id"")"),"48")</f>
        <v>48</v>
      </c>
      <c r="H49" s="6" t="str">
        <f>IFERROR(__xludf.DUMMYFUNCTION("GOOGLETRANSLATE(B49, ""en"", ""id"")"),"Permainan Asia Tenggara kuno manakah yang diyakini telah mengilhami terciptanya Sepak Takraw?")</f>
        <v>Permainan Asia Tenggara kuno manakah yang diyakini telah mengilhami terciptanya Sepak Takraw?</v>
      </c>
      <c r="I49" s="6" t="str">
        <f>IFERROR(__xludf.DUMMYFUNCTION("GOOGLETRANSLATE(C49, ""en"", ""id"")"),"A) Sepak Raga, B) Sepaktakraw, C) Pencak Silat, D) Mukna")</f>
        <v>A) Sepak Raga, B) Sepaktakraw, C) Pencak Silat, D) Mukna</v>
      </c>
      <c r="J49" s="6" t="str">
        <f>IFERROR(__xludf.DUMMYFUNCTION("GOOGLETRANSLATE(D49, ""en"", ""id"")"),"A) Sepak Raga")</f>
        <v>A) Sepak Raga</v>
      </c>
      <c r="K49" s="6" t="str">
        <f>IFERROR(__xludf.DUMMYFUNCTION("GOOGLETRANSLATE(E49, ""en"", ""id"")"),"Sepak Raga, permainan kuno yang dimainkan dengan bola rotan, dianggap sebagai cikal bakal Sepak Takraw.")</f>
        <v>Sepak Raga, permainan kuno yang dimainkan dengan bola rotan, dianggap sebagai cikal bakal Sepak Takraw.</v>
      </c>
    </row>
    <row r="50">
      <c r="A50" s="5">
        <v>49.0</v>
      </c>
      <c r="B50" s="5" t="s">
        <v>1555</v>
      </c>
      <c r="C50" s="5" t="s">
        <v>1375</v>
      </c>
      <c r="D50" s="5" t="s">
        <v>1410</v>
      </c>
      <c r="E50" s="5" t="s">
        <v>1556</v>
      </c>
      <c r="G50" s="6" t="str">
        <f>IFERROR(__xludf.DUMMYFUNCTION("GOOGLETRANSLATE(A50, ""en"", ""id"")"),"49")</f>
        <v>49</v>
      </c>
      <c r="H50" s="6" t="str">
        <f>IFERROR(__xludf.DUMMYFUNCTION("GOOGLETRANSLATE(B50, ""en"", ""id"")"),"Negara manakah yang memenangkan Kejuaraan Dunia Sepak Takraw pertama pada tahun 1990?")</f>
        <v>Negara manakah yang memenangkan Kejuaraan Dunia Sepak Takraw pertama pada tahun 1990?</v>
      </c>
      <c r="I50" s="6" t="str">
        <f>IFERROR(__xludf.DUMMYFUNCTION("GOOGLETRANSLATE(C50, ""en"", ""id"")"),"A) Thailand, B) Malaysia, C) Indonesia, D) Filipina")</f>
        <v>A) Thailand, B) Malaysia, C) Indonesia, D) Filipina</v>
      </c>
      <c r="J50" s="6" t="str">
        <f>IFERROR(__xludf.DUMMYFUNCTION("GOOGLETRANSLATE(D50, ""en"", ""id"")"),"B) Malaysia")</f>
        <v>B) Malaysia</v>
      </c>
      <c r="K50" s="6" t="str">
        <f>IFERROR(__xludf.DUMMYFUNCTION("GOOGLETRANSLATE(E50, ""en"", ""id"")"),"Malaysia memenangkan Kejuaraan Dunia Sepak Takraw pertama pada tahun 1990, menandai dominasinya dalam olahraga tersebut.")</f>
        <v>Malaysia memenangkan Kejuaraan Dunia Sepak Takraw pertama pada tahun 1990, menandai dominasinya dalam olahraga tersebut.</v>
      </c>
    </row>
    <row r="51">
      <c r="A51" s="5">
        <v>50.0</v>
      </c>
      <c r="B51" s="5" t="s">
        <v>1557</v>
      </c>
      <c r="C51" s="5" t="s">
        <v>998</v>
      </c>
      <c r="D51" s="5" t="s">
        <v>999</v>
      </c>
      <c r="E51" s="5" t="s">
        <v>1558</v>
      </c>
      <c r="G51" s="6" t="str">
        <f>IFERROR(__xludf.DUMMYFUNCTION("GOOGLETRANSLATE(A51, ""en"", ""id"")"),"50")</f>
        <v>50</v>
      </c>
      <c r="H51" s="6" t="str">
        <f>IFERROR(__xludf.DUMMYFUNCTION("GOOGLETRANSLATE(B51, ""en"", ""id"")"),"Pada dekade manakah Sepak Takraw memperoleh popularitas internasional di luar Asia Tenggara?")</f>
        <v>Pada dekade manakah Sepak Takraw memperoleh popularitas internasional di luar Asia Tenggara?</v>
      </c>
      <c r="I51" s="6" t="str">
        <f>IFERROR(__xludf.DUMMYFUNCTION("GOOGLETRANSLATE(C51, ""en"", ""id"")"),"A) Tahun 1950-an, B) Tahun 1970-an, C) Tahun 1980-an, D) Tahun 1990-an")</f>
        <v>A) Tahun 1950-an, B) Tahun 1970-an, C) Tahun 1980-an, D) Tahun 1990-an</v>
      </c>
      <c r="J51" s="6" t="str">
        <f>IFERROR(__xludf.DUMMYFUNCTION("GOOGLETRANSLATE(D51, ""en"", ""id"")"),"C) tahun 1980-an")</f>
        <v>C) tahun 1980-an</v>
      </c>
      <c r="K51" s="6" t="str">
        <f>IFERROR(__xludf.DUMMYFUNCTION("GOOGLETRANSLATE(E51, ""en"", ""id"")"),"Tahun 1980-an menyaksikan Sepak Takraw tumbuh popularitasnya secara internasional, terutama setelah terbentuknya ISTAF.")</f>
        <v>Tahun 1980-an menyaksikan Sepak Takraw tumbuh popularitasnya secara internasional, terutama setelah terbentuknya ISTAF.</v>
      </c>
    </row>
    <row r="52">
      <c r="A52" s="5">
        <v>51.0</v>
      </c>
      <c r="B52" s="5" t="s">
        <v>1559</v>
      </c>
      <c r="C52" s="5" t="s">
        <v>1560</v>
      </c>
      <c r="D52" s="5" t="s">
        <v>1561</v>
      </c>
      <c r="E52" s="5" t="s">
        <v>1562</v>
      </c>
      <c r="G52" s="6" t="str">
        <f>IFERROR(__xludf.DUMMYFUNCTION("GOOGLETRANSLATE(A52, ""en"", ""id"")"),"51")</f>
        <v>51</v>
      </c>
      <c r="H52" s="6" t="str">
        <f>IFERROR(__xludf.DUMMYFUNCTION("GOOGLETRANSLATE(B52, ""en"", ""id"")"),"Kapan Piala Dunia Sepak Takraw resmi pertama kali diadakan?")</f>
        <v>Kapan Piala Dunia Sepak Takraw resmi pertama kali diadakan?</v>
      </c>
      <c r="I52" s="6" t="str">
        <f>IFERROR(__xludf.DUMMYFUNCTION("GOOGLETRANSLATE(C52, ""en"", ""id"")"),"A) Tahun 1987, B) Tahun 1990, C) Tahun 1992, D) Tahun 1995")</f>
        <v>A) Tahun 1987, B) Tahun 1990, C) Tahun 1992, D) Tahun 1995</v>
      </c>
      <c r="J52" s="6" t="str">
        <f>IFERROR(__xludf.DUMMYFUNCTION("GOOGLETRANSLATE(D52, ""en"", ""id"")"),"B) Tahun 1990")</f>
        <v>B) Tahun 1990</v>
      </c>
      <c r="K52" s="6" t="str">
        <f>IFERROR(__xludf.DUMMYFUNCTION("GOOGLETRANSLATE(E52, ""en"", ""id"")"),"Piala Dunia Sepak Takraw resmi pertama diadakan pada tahun 1990, dengan tim dari berbagai negara berpartisipasi.")</f>
        <v>Piala Dunia Sepak Takraw resmi pertama diadakan pada tahun 1990, dengan tim dari berbagai negara berpartisipasi.</v>
      </c>
    </row>
    <row r="53">
      <c r="A53" s="5">
        <v>52.0</v>
      </c>
      <c r="B53" s="5" t="s">
        <v>1563</v>
      </c>
      <c r="C53" s="5" t="s">
        <v>1564</v>
      </c>
      <c r="D53" s="5" t="s">
        <v>1395</v>
      </c>
      <c r="E53" s="5" t="s">
        <v>1565</v>
      </c>
      <c r="G53" s="6" t="str">
        <f>IFERROR(__xludf.DUMMYFUNCTION("GOOGLETRANSLATE(A53, ""en"", ""id"")"),"52")</f>
        <v>52</v>
      </c>
      <c r="H53" s="6" t="str">
        <f>IFERROR(__xludf.DUMMYFUNCTION("GOOGLETRANSLATE(B53, ""en"", ""id"")"),"Bahan tradisional apa yang awalnya digunakan untuk membuat bola Sepak Takraw?")</f>
        <v>Bahan tradisional apa yang awalnya digunakan untuk membuat bola Sepak Takraw?</v>
      </c>
      <c r="I53" s="6" t="str">
        <f>IFERROR(__xludf.DUMMYFUNCTION("GOOGLETRANSLATE(C53, ""en"", ""id"")"),"A) Bambu, B) Rotan, C) Karet, D) Plastik")</f>
        <v>A) Bambu, B) Rotan, C) Karet, D) Plastik</v>
      </c>
      <c r="J53" s="6" t="str">
        <f>IFERROR(__xludf.DUMMYFUNCTION("GOOGLETRANSLATE(D53, ""en"", ""id"")"),"B) Rotan")</f>
        <v>B) Rotan</v>
      </c>
      <c r="K53" s="6" t="str">
        <f>IFERROR(__xludf.DUMMYFUNCTION("GOOGLETRANSLATE(E53, ""en"", ""id"")"),"Bola Sepak Takraw tradisional terbuat dari rotan, yang dikenal karena kekuatan dan kelenturannya.")</f>
        <v>Bola Sepak Takraw tradisional terbuat dari rotan, yang dikenal karena kekuatan dan kelenturannya.</v>
      </c>
    </row>
    <row r="54">
      <c r="A54" s="5">
        <v>53.0</v>
      </c>
      <c r="B54" s="5" t="s">
        <v>1566</v>
      </c>
      <c r="C54" s="5" t="s">
        <v>1567</v>
      </c>
      <c r="D54" s="5" t="s">
        <v>1568</v>
      </c>
      <c r="E54" s="5" t="s">
        <v>1569</v>
      </c>
      <c r="G54" s="6" t="str">
        <f>IFERROR(__xludf.DUMMYFUNCTION("GOOGLETRANSLATE(A54, ""en"", ""id"")"),"53")</f>
        <v>53</v>
      </c>
      <c r="H54" s="6" t="str">
        <f>IFERROR(__xludf.DUMMYFUNCTION("GOOGLETRANSLATE(B54, ""en"", ""id"")"),"Negara mana yang memperkenalkan Sepak Takraw di Asian Games 1998?")</f>
        <v>Negara mana yang memperkenalkan Sepak Takraw di Asian Games 1998?</v>
      </c>
      <c r="I54" s="6" t="str">
        <f>IFERROR(__xludf.DUMMYFUNCTION("GOOGLETRANSLATE(C54, ""en"", ""id"")"),"A) Indonesia, B) Thailand, C) Malaysia, D) Filipina")</f>
        <v>A) Indonesia, B) Thailand, C) Malaysia, D) Filipina</v>
      </c>
      <c r="J54" s="6" t="str">
        <f>IFERROR(__xludf.DUMMYFUNCTION("GOOGLETRANSLATE(D54, ""en"", ""id"")"),"B) Thailand")</f>
        <v>B) Thailand</v>
      </c>
      <c r="K54" s="6" t="str">
        <f>IFERROR(__xludf.DUMMYFUNCTION("GOOGLETRANSLATE(E54, ""en"", ""id"")"),"Thailand memainkan peran kunci dalam memperkenalkan Sepak Takraw sebagai olahraga resmi di Asian Games 1998.")</f>
        <v>Thailand memainkan peran kunci dalam memperkenalkan Sepak Takraw sebagai olahraga resmi di Asian Games 1998.</v>
      </c>
    </row>
    <row r="55">
      <c r="A55" s="5">
        <v>54.0</v>
      </c>
      <c r="B55" s="5" t="s">
        <v>1570</v>
      </c>
      <c r="C55" s="5" t="s">
        <v>1478</v>
      </c>
      <c r="D55" s="5" t="s">
        <v>1479</v>
      </c>
      <c r="E55" s="5" t="s">
        <v>1571</v>
      </c>
      <c r="G55" s="6" t="str">
        <f>IFERROR(__xludf.DUMMYFUNCTION("GOOGLETRANSLATE(A55, ""en"", ""id"")"),"54")</f>
        <v>54</v>
      </c>
      <c r="H55" s="6" t="str">
        <f>IFERROR(__xludf.DUMMYFUNCTION("GOOGLETRANSLATE(B55, ""en"", ""id"")"),"Organisasi internasional mana yang mengawasi aturan dan pengembangan Sepak Takraw?")</f>
        <v>Organisasi internasional mana yang mengawasi aturan dan pengembangan Sepak Takraw?</v>
      </c>
      <c r="I55" s="6" t="str">
        <f>IFERROR(__xludf.DUMMYFUNCTION("GOOGLETRANSLATE(C55, ""en"", ""id"")"),"A) FIFA, B) ISTAF, C) IOC, D) FIBA")</f>
        <v>A) FIFA, B) ISTAF, C) IOC, D) FIBA</v>
      </c>
      <c r="J55" s="6" t="str">
        <f>IFERROR(__xludf.DUMMYFUNCTION("GOOGLETRANSLATE(D55, ""en"", ""id"")"),"B) ISTAF")</f>
        <v>B) ISTAF</v>
      </c>
      <c r="K55" s="6" t="str">
        <f>IFERROR(__xludf.DUMMYFUNCTION("GOOGLETRANSLATE(E55, ""en"", ""id"")"),"Federasi Sepak Takraw Internasional (ISTAF) mengatur peraturan global dan pengembangan olahraga ini.")</f>
        <v>Federasi Sepak Takraw Internasional (ISTAF) mengatur peraturan global dan pengembangan olahraga ini.</v>
      </c>
    </row>
    <row r="56">
      <c r="A56" s="5">
        <v>55.0</v>
      </c>
      <c r="B56" s="5" t="s">
        <v>1572</v>
      </c>
      <c r="C56" s="5" t="s">
        <v>1545</v>
      </c>
      <c r="D56" s="5" t="s">
        <v>1546</v>
      </c>
      <c r="E56" s="5" t="s">
        <v>1573</v>
      </c>
      <c r="G56" s="6" t="str">
        <f>IFERROR(__xludf.DUMMYFUNCTION("GOOGLETRANSLATE(A56, ""en"", ""id"")"),"55")</f>
        <v>55</v>
      </c>
      <c r="H56" s="6" t="str">
        <f>IFERROR(__xludf.DUMMYFUNCTION("GOOGLETRANSLATE(B56, ""en"", ""id"")"),"Negara manakah yang dianggap sebagai tempat lahirnya Sepak Takraw versi modern?")</f>
        <v>Negara manakah yang dianggap sebagai tempat lahirnya Sepak Takraw versi modern?</v>
      </c>
      <c r="I56" s="6" t="str">
        <f>IFERROR(__xludf.DUMMYFUNCTION("GOOGLETRANSLATE(C56, ""en"", ""id"")"),"A) Indonesia, B) Malaysia, C) Thailand, D) Filipina")</f>
        <v>A) Indonesia, B) Malaysia, C) Thailand, D) Filipina</v>
      </c>
      <c r="J56" s="6" t="str">
        <f>IFERROR(__xludf.DUMMYFUNCTION("GOOGLETRANSLATE(D56, ""en"", ""id"")"),"C) Thailand")</f>
        <v>C) Thailand</v>
      </c>
      <c r="K56" s="6" t="str">
        <f>IFERROR(__xludf.DUMMYFUNCTION("GOOGLETRANSLATE(E56, ""en"", ""id"")"),"Thailand dikenal dengan bentuk Sepak Takraw modern yang telah berkembang seiring waktu.")</f>
        <v>Thailand dikenal dengan bentuk Sepak Takraw modern yang telah berkembang seiring waktu.</v>
      </c>
    </row>
    <row r="57">
      <c r="A57" s="5">
        <v>56.0</v>
      </c>
      <c r="B57" s="5" t="s">
        <v>1574</v>
      </c>
      <c r="C57" s="5" t="s">
        <v>1575</v>
      </c>
      <c r="D57" s="5" t="s">
        <v>1546</v>
      </c>
      <c r="E57" s="5" t="s">
        <v>1576</v>
      </c>
      <c r="G57" s="6" t="str">
        <f>IFERROR(__xludf.DUMMYFUNCTION("GOOGLETRANSLATE(A57, ""en"", ""id"")"),"56")</f>
        <v>56</v>
      </c>
      <c r="H57" s="6" t="str">
        <f>IFERROR(__xludf.DUMMYFUNCTION("GOOGLETRANSLATE(B57, ""en"", ""id"")"),"Negara Asia Tenggara manakah yang telah memenangkan medali emas Pesta Olahraga Asia Tenggara terbanyak dalam Sepak Takraw?")</f>
        <v>Negara Asia Tenggara manakah yang telah memenangkan medali emas Pesta Olahraga Asia Tenggara terbanyak dalam Sepak Takraw?</v>
      </c>
      <c r="I57" s="6" t="str">
        <f>IFERROR(__xludf.DUMMYFUNCTION("GOOGLETRANSLATE(C57, ""en"", ""id"")"),"A) Indonesia, B) Malaysia, C) Thailand, D) Vietnam")</f>
        <v>A) Indonesia, B) Malaysia, C) Thailand, D) Vietnam</v>
      </c>
      <c r="J57" s="6" t="str">
        <f>IFERROR(__xludf.DUMMYFUNCTION("GOOGLETRANSLATE(D57, ""en"", ""id"")"),"C) Thailand")</f>
        <v>C) Thailand</v>
      </c>
      <c r="K57" s="6" t="str">
        <f>IFERROR(__xludf.DUMMYFUNCTION("GOOGLETRANSLATE(E57, ""en"", ""id"")"),"Thailand telah memenangkan medali emas terbanyak dalam Sepak Takraw di Pesta Olahraga Asia Tenggara.")</f>
        <v>Thailand telah memenangkan medali emas terbanyak dalam Sepak Takraw di Pesta Olahraga Asia Tenggara.</v>
      </c>
    </row>
    <row r="58">
      <c r="A58" s="5">
        <v>57.0</v>
      </c>
      <c r="B58" s="5" t="s">
        <v>1577</v>
      </c>
      <c r="C58" s="5" t="s">
        <v>1578</v>
      </c>
      <c r="D58" s="5" t="s">
        <v>1579</v>
      </c>
      <c r="E58" s="5" t="s">
        <v>1580</v>
      </c>
      <c r="G58" s="6" t="str">
        <f>IFERROR(__xludf.DUMMYFUNCTION("GOOGLETRANSLATE(A58, ""en"", ""id"")"),"57")</f>
        <v>57</v>
      </c>
      <c r="H58" s="6" t="str">
        <f>IFERROR(__xludf.DUMMYFUNCTION("GOOGLETRANSLATE(B58, ""en"", ""id"")"),"Apa nama resmi lapangan sepak takraw dalam kompetisi internasional?")</f>
        <v>Apa nama resmi lapangan sepak takraw dalam kompetisi internasional?</v>
      </c>
      <c r="I58" s="6" t="str">
        <f>IFERROR(__xludf.DUMMYFUNCTION("GOOGLETRANSLATE(C58, ""en"", ""id"")"),"A) Arena Sepak Takraw, B) Lapangan Takraw, C) Lapangan Regu, D) Lapangan Sepak")</f>
        <v>A) Arena Sepak Takraw, B) Lapangan Takraw, C) Lapangan Regu, D) Lapangan Sepak</v>
      </c>
      <c r="J58" s="6" t="str">
        <f>IFERROR(__xludf.DUMMYFUNCTION("GOOGLETRANSLATE(D58, ""en"", ""id"")"),"C) Pengadilan Regu")</f>
        <v>C) Pengadilan Regu</v>
      </c>
      <c r="K58" s="6" t="str">
        <f>IFERROR(__xludf.DUMMYFUNCTION("GOOGLETRANSLATE(E58, ""en"", ""id"")"),"Lapangan resmi yang digunakan dalam kompetisi Sepak Takraw internasional disebut Lapangan Regu.")</f>
        <v>Lapangan resmi yang digunakan dalam kompetisi Sepak Takraw internasional disebut Lapangan Regu.</v>
      </c>
    </row>
    <row r="59">
      <c r="A59" s="5">
        <v>58.0</v>
      </c>
      <c r="B59" s="5" t="s">
        <v>1581</v>
      </c>
      <c r="C59" s="5" t="s">
        <v>1582</v>
      </c>
      <c r="D59" s="5" t="s">
        <v>1583</v>
      </c>
      <c r="E59" s="5" t="s">
        <v>1584</v>
      </c>
      <c r="G59" s="6" t="str">
        <f>IFERROR(__xludf.DUMMYFUNCTION("GOOGLETRANSLATE(A59, ""en"", ""id"")"),"58")</f>
        <v>58</v>
      </c>
      <c r="H59" s="6" t="str">
        <f>IFERROR(__xludf.DUMMYFUNCTION("GOOGLETRANSLATE(B59, ""en"", ""id"")"),"Siapa atlet Indonesia pertama yang memenangkan medali emas Kejuaraan Dunia Sepak Takraw?")</f>
        <v>Siapa atlet Indonesia pertama yang memenangkan medali emas Kejuaraan Dunia Sepak Takraw?</v>
      </c>
      <c r="I59" s="6" t="str">
        <f>IFERROR(__xludf.DUMMYFUNCTION("GOOGLETRANSLATE(C59, ""en"", ""id"")"),"A) Iwan Setiawan, B) Ardy Sutedjo, C) Zulkifli Nasution, D) Muhammad Iqbal")</f>
        <v>A) Iwan Setiawan, B) Ardy Sutedjo, C) Zulkifli Nasution, D) Muhammad Iqbal</v>
      </c>
      <c r="J59" s="6" t="str">
        <f>IFERROR(__xludf.DUMMYFUNCTION("GOOGLETRANSLATE(D59, ""en"", ""id"")"),"B) Ardy Sutedjo")</f>
        <v>B) Ardy Sutedjo</v>
      </c>
      <c r="K59" s="6" t="str">
        <f>IFERROR(__xludf.DUMMYFUNCTION("GOOGLETRANSLATE(E59, ""en"", ""id"")"),"Ardy Sutedjo adalah orang Indonesia pertama yang memenangkan medali emas di Kejuaraan Dunia Sepak Takraw.")</f>
        <v>Ardy Sutedjo adalah orang Indonesia pertama yang memenangkan medali emas di Kejuaraan Dunia Sepak Takraw.</v>
      </c>
    </row>
    <row r="60">
      <c r="A60" s="5">
        <v>59.0</v>
      </c>
      <c r="B60" s="5" t="s">
        <v>1585</v>
      </c>
      <c r="C60" s="5" t="s">
        <v>1586</v>
      </c>
      <c r="D60" s="5" t="s">
        <v>1383</v>
      </c>
      <c r="E60" s="5" t="s">
        <v>1587</v>
      </c>
      <c r="G60" s="6" t="str">
        <f>IFERROR(__xludf.DUMMYFUNCTION("GOOGLETRANSLATE(A60, ""en"", ""id"")"),"59")</f>
        <v>59</v>
      </c>
      <c r="H60" s="6" t="str">
        <f>IFERROR(__xludf.DUMMYFUNCTION("GOOGLETRANSLATE(B60, ""en"", ""id"")"),"Pada tahun berapa Sepak Takraw pertama kali muncul di Pesta Olahraga Asia Tenggara?")</f>
        <v>Pada tahun berapa Sepak Takraw pertama kali muncul di Pesta Olahraga Asia Tenggara?</v>
      </c>
      <c r="I60" s="6" t="str">
        <f>IFERROR(__xludf.DUMMYFUNCTION("GOOGLETRANSLATE(C60, ""en"", ""id"")"),"A) Tahun 1965, B) Tahun 1970, C) Tahun 1975, D) Tahun 1980")</f>
        <v>A) Tahun 1965, B) Tahun 1970, C) Tahun 1975, D) Tahun 1980</v>
      </c>
      <c r="J60" s="6" t="str">
        <f>IFERROR(__xludf.DUMMYFUNCTION("GOOGLETRANSLATE(D60, ""en"", ""id"")"),"A) Tahun 1965")</f>
        <v>A) Tahun 1965</v>
      </c>
      <c r="K60" s="6" t="str">
        <f>IFERROR(__xludf.DUMMYFUNCTION("GOOGLETRANSLATE(E60, ""en"", ""id"")"),"Sepak Takraw pertama kali diperkenalkan pada Pesta Olahraga Asia Tenggara 1965, yang menandai pentingnya sepak takraw di tingkat regional.")</f>
        <v>Sepak Takraw pertama kali diperkenalkan pada Pesta Olahraga Asia Tenggara 1965, yang menandai pentingnya sepak takraw di tingkat regional.</v>
      </c>
    </row>
    <row r="61">
      <c r="A61" s="5">
        <v>60.0</v>
      </c>
      <c r="B61" s="5" t="s">
        <v>1588</v>
      </c>
      <c r="C61" s="5" t="s">
        <v>1589</v>
      </c>
      <c r="D61" s="5" t="s">
        <v>1590</v>
      </c>
      <c r="E61" s="5" t="s">
        <v>1591</v>
      </c>
      <c r="G61" s="6" t="str">
        <f>IFERROR(__xludf.DUMMYFUNCTION("GOOGLETRANSLATE(A61, ""en"", ""id"")"),"60")</f>
        <v>60</v>
      </c>
      <c r="H61" s="6" t="str">
        <f>IFERROR(__xludf.DUMMYFUNCTION("GOOGLETRANSLATE(B61, ""en"", ""id"")"),"Berapa jumlah maksimal pemain tiap regu dalam sepak takraw?")</f>
        <v>Berapa jumlah maksimal pemain tiap regu dalam sepak takraw?</v>
      </c>
      <c r="I61" s="6" t="str">
        <f>IFERROR(__xludf.DUMMYFUNCTION("GOOGLETRANSLATE(C61, ""en"", ""id"")"),"A) 3, B) 4, C) 5, D) 6")</f>
        <v>A) 3, B) 4, C) 5, D) 6</v>
      </c>
      <c r="J61" s="6" t="str">
        <f>IFERROR(__xludf.DUMMYFUNCTION("GOOGLETRANSLATE(D61, ""en"", ""id"")"),"A) 3")</f>
        <v>A) 3</v>
      </c>
      <c r="K61" s="6" t="str">
        <f>IFERROR(__xludf.DUMMYFUNCTION("GOOGLETRANSLATE(E61, ""en"", ""id"")"),"Setiap tim dalam Sepak Takraw terdiri dari 3 pemain: satu server, satu penyerang, dan satu bertahan.")</f>
        <v>Setiap tim dalam Sepak Takraw terdiri dari 3 pemain: satu server, satu penyerang, dan satu bertahan.</v>
      </c>
    </row>
    <row r="62">
      <c r="A62" s="5">
        <v>61.0</v>
      </c>
      <c r="B62" s="10" t="s">
        <v>1592</v>
      </c>
      <c r="C62" s="10" t="s">
        <v>1593</v>
      </c>
      <c r="D62" s="10" t="s">
        <v>1594</v>
      </c>
      <c r="E62" s="10" t="s">
        <v>1595</v>
      </c>
      <c r="G62" s="6" t="str">
        <f>IFERROR(__xludf.DUMMYFUNCTION("GOOGLETRANSLATE(A62, ""en"", ""id"")"),"61")</f>
        <v>61</v>
      </c>
      <c r="H62" s="6" t="str">
        <f>IFERROR(__xludf.DUMMYFUNCTION("GOOGLETRANSLATE(B62, ""en"", ""id"")"),"Naskah Melayu kuno manakah yang pertama kali menyebutkan permainan yang menyerupai Sepak Takraw?")</f>
        <v>Naskah Melayu kuno manakah yang pertama kali menyebutkan permainan yang menyerupai Sepak Takraw?</v>
      </c>
      <c r="I62" s="6" t="str">
        <f>IFERROR(__xludf.DUMMYFUNCTION("GOOGLETRANSLATE(C62, ""en"", ""id"")"),"A) Hikayat Hang Tuah B) Tambo Minangkabau C) Nagarakretagama D) Hikayat Abdullah")</f>
        <v>A) Hikayat Hang Tuah B) Tambo Minangkabau C) Nagarakretagama D) Hikayat Abdullah</v>
      </c>
      <c r="J62" s="6" t="str">
        <f>IFERROR(__xludf.DUMMYFUNCTION("GOOGLETRANSLATE(D62, ""en"", ""id"")"),"A) Hikayat Hang Tuah")</f>
        <v>A) Hikayat Hang Tuah</v>
      </c>
      <c r="K62" s="6" t="str">
        <f>IFERROR(__xludf.DUMMYFUNCTION("GOOGLETRANSLATE(E62, ""en"", ""id"")"),"Hikayat Hang Tuah, teks Melayu abad ke-15, merujuk pada bentuk awal Sepak Raga.")</f>
        <v>Hikayat Hang Tuah, teks Melayu abad ke-15, merujuk pada bentuk awal Sepak Raga.</v>
      </c>
    </row>
    <row r="63">
      <c r="A63" s="5">
        <v>62.0</v>
      </c>
      <c r="B63" s="10" t="s">
        <v>1596</v>
      </c>
      <c r="C63" s="10" t="s">
        <v>1597</v>
      </c>
      <c r="D63" s="10" t="s">
        <v>1598</v>
      </c>
      <c r="E63" s="10" t="s">
        <v>1599</v>
      </c>
      <c r="G63" s="6" t="str">
        <f>IFERROR(__xludf.DUMMYFUNCTION("GOOGLETRANSLATE(A63, ""en"", ""id"")"),"62")</f>
        <v>62</v>
      </c>
      <c r="H63" s="6" t="str">
        <f>IFERROR(__xludf.DUMMYFUNCTION("GOOGLETRANSLATE(B63, ""en"", ""id"")"),"Simbolisme budaya apa yang melekat pada Sepak Takraw dalam ritual Indonesia?")</f>
        <v>Simbolisme budaya apa yang melekat pada Sepak Takraw dalam ritual Indonesia?</v>
      </c>
      <c r="I63" s="6" t="str">
        <f>IFERROR(__xludf.DUMMYFUNCTION("GOOGLETRANSLATE(C63, ""en"", ""id"")"),"A) Persatuan dan kerja sama tim B) Kesuburan dan panen C) Kesiapan perkawinan D) Supremasi kerajaan")</f>
        <v>A) Persatuan dan kerja sama tim B) Kesuburan dan panen C) Kesiapan perkawinan D) Supremasi kerajaan</v>
      </c>
      <c r="J63" s="6" t="str">
        <f>IFERROR(__xludf.DUMMYFUNCTION("GOOGLETRANSLATE(D63, ""en"", ""id"")"),"B) Kesuburan dan panen")</f>
        <v>B) Kesuburan dan panen</v>
      </c>
      <c r="K63" s="6" t="str">
        <f>IFERROR(__xludf.DUMMYFUNCTION("GOOGLETRANSLATE(E63, ""en"", ""id"")"),"Di beberapa desa di Indonesia, Sepak Raga dikaitkan dengan ritual kesuburan dan perayaan panen.")</f>
        <v>Di beberapa desa di Indonesia, Sepak Raga dikaitkan dengan ritual kesuburan dan perayaan panen.</v>
      </c>
    </row>
    <row r="64">
      <c r="A64" s="5">
        <v>63.0</v>
      </c>
      <c r="B64" s="10" t="s">
        <v>1600</v>
      </c>
      <c r="C64" s="10" t="s">
        <v>1601</v>
      </c>
      <c r="D64" s="10" t="s">
        <v>1066</v>
      </c>
      <c r="E64" s="10" t="s">
        <v>1602</v>
      </c>
      <c r="G64" s="6" t="str">
        <f>IFERROR(__xludf.DUMMYFUNCTION("GOOGLETRANSLATE(A64, ""en"", ""id"")"),"63")</f>
        <v>63</v>
      </c>
      <c r="H64" s="6" t="str">
        <f>IFERROR(__xludf.DUMMYFUNCTION("GOOGLETRANSLATE(B64, ""en"", ""id"")"),"Kerajaan Indonesia mana saja yang diketahui menyelenggarakan pertandingan Sepak Raga?")</f>
        <v>Kerajaan Indonesia mana saja yang diketahui menyelenggarakan pertandingan Sepak Raga?</v>
      </c>
      <c r="I64" s="6" t="str">
        <f>IFERROR(__xludf.DUMMYFUNCTION("GOOGLETRANSLATE(C64, ""en"", ""id"")"),"A) Majapahit B) Sriwijaya C) Mataram D) Sunda")</f>
        <v>A) Majapahit B) Sriwijaya C) Mataram D) Sunda</v>
      </c>
      <c r="J64" s="6" t="str">
        <f>IFERROR(__xludf.DUMMYFUNCTION("GOOGLETRANSLATE(D64, ""en"", ""id"")"),"A. Majapahit")</f>
        <v>A. Majapahit</v>
      </c>
      <c r="K64" s="6" t="str">
        <f>IFERROR(__xludf.DUMMYFUNCTION("GOOGLETRANSLATE(E64, ""en"", ""id"")"),"Kerajaan Majapahit (abad ke-13–16) sering menyelenggarakan Sepak Raga sebagai bagian dari hiburan kerajaan.")</f>
        <v>Kerajaan Majapahit (abad ke-13–16) sering menyelenggarakan Sepak Raga sebagai bagian dari hiburan kerajaan.</v>
      </c>
    </row>
    <row r="65">
      <c r="A65" s="5">
        <v>64.0</v>
      </c>
      <c r="B65" s="10" t="s">
        <v>1603</v>
      </c>
      <c r="C65" s="10" t="s">
        <v>1604</v>
      </c>
      <c r="D65" s="10" t="s">
        <v>1605</v>
      </c>
      <c r="E65" s="10" t="s">
        <v>1606</v>
      </c>
      <c r="G65" s="6" t="str">
        <f>IFERROR(__xludf.DUMMYFUNCTION("GOOGLETRANSLATE(A65, ""en"", ""id"")"),"64")</f>
        <v>64</v>
      </c>
      <c r="H65" s="6" t="str">
        <f>IFERROR(__xludf.DUMMYFUNCTION("GOOGLETRANSLATE(B65, ""en"", ""id"")"),"Dalam adat Jawa, Sepak Raga sering dimainkan pada acara adat apa?")</f>
        <v>Dalam adat Jawa, Sepak Raga sering dimainkan pada acara adat apa?</v>
      </c>
      <c r="I65" s="6" t="str">
        <f>IFERROR(__xludf.DUMMYFUNCTION("GOOGLETRANSLATE(C65, ""en"", ""id"")"),"A) Pertunjukan Wayang Kulit B) Upacara bersih desa C) Perayaan pernikahan D) Festival penanaman padi")</f>
        <v>A) Pertunjukan Wayang Kulit B) Upacara bersih desa C) Perayaan pernikahan D) Festival penanaman padi</v>
      </c>
      <c r="J65" s="6" t="str">
        <f>IFERROR(__xludf.DUMMYFUNCTION("GOOGLETRANSLATE(D65, ""en"", ""id"")"),"C) Perayaan pernikahan")</f>
        <v>C) Perayaan pernikahan</v>
      </c>
      <c r="K65" s="6" t="str">
        <f>IFERROR(__xludf.DUMMYFUNCTION("GOOGLETRANSLATE(E65, ""en"", ""id"")"),"Sepak Raga digunakan untuk membawa kemeriahan dan mempererat tali silaturahmi saat upacara pernikahan.")</f>
        <v>Sepak Raga digunakan untuk membawa kemeriahan dan mempererat tali silaturahmi saat upacara pernikahan.</v>
      </c>
    </row>
    <row r="66">
      <c r="A66" s="5">
        <v>65.0</v>
      </c>
      <c r="B66" s="10" t="s">
        <v>1607</v>
      </c>
      <c r="C66" s="10" t="s">
        <v>1608</v>
      </c>
      <c r="D66" s="10" t="s">
        <v>1609</v>
      </c>
      <c r="E66" s="10" t="s">
        <v>1610</v>
      </c>
      <c r="G66" s="6" t="str">
        <f>IFERROR(__xludf.DUMMYFUNCTION("GOOGLETRANSLATE(A66, ""en"", ""id"")"),"65")</f>
        <v>65</v>
      </c>
      <c r="H66" s="6" t="str">
        <f>IFERROR(__xludf.DUMMYFUNCTION("GOOGLETRANSLATE(B66, ""en"", ""id"")"),"Kelompok etnis Indonesia manakah yang paling erat kaitannya dengan praktik Sepak Raga awal?")</f>
        <v>Kelompok etnis Indonesia manakah yang paling erat kaitannya dengan praktik Sepak Raga awal?</v>
      </c>
      <c r="I66" s="6" t="str">
        <f>IFERROR(__xludf.DUMMYFUNCTION("GOOGLETRANSLATE(C66, ""en"", ""id"")"),"A) Bugis B) Bali C) Jawa D) Batak")</f>
        <v>A) Bugis B) Bali C) Jawa D) Batak</v>
      </c>
      <c r="J66" s="6" t="str">
        <f>IFERROR(__xludf.DUMMYFUNCTION("GOOGLETRANSLATE(D66, ""en"", ""id"")"),"A) Bugis")</f>
        <v>A) Bugis</v>
      </c>
      <c r="K66" s="6" t="str">
        <f>IFERROR(__xludf.DUMMYFUNCTION("GOOGLETRANSLATE(E66, ""en"", ""id"")"),"Orang Bugis di Sulawesi Selatan adalah praktisi terkemuka Sepak Raga berabad-abad yang lalu.")</f>
        <v>Orang Bugis di Sulawesi Selatan adalah praktisi terkemuka Sepak Raga berabad-abad yang lalu.</v>
      </c>
    </row>
    <row r="67">
      <c r="A67" s="5">
        <v>66.0</v>
      </c>
      <c r="B67" s="10" t="s">
        <v>1611</v>
      </c>
      <c r="C67" s="10" t="s">
        <v>1612</v>
      </c>
      <c r="D67" s="10" t="s">
        <v>1613</v>
      </c>
      <c r="E67" s="10" t="s">
        <v>1614</v>
      </c>
      <c r="G67" s="6" t="str">
        <f>IFERROR(__xludf.DUMMYFUNCTION("GOOGLETRANSLATE(A67, ""en"", ""id"")"),"66")</f>
        <v>66</v>
      </c>
      <c r="H67" s="6" t="str">
        <f>IFERROR(__xludf.DUMMYFUNCTION("GOOGLETRANSLATE(B67, ""en"", ""id"")"),"Gaya pertunjukan melingkar Sepak Raga mencerminkan pengaruh dari bentuk seni apa?")</f>
        <v>Gaya pertunjukan melingkar Sepak Raga mencerminkan pengaruh dari bentuk seni apa?</v>
      </c>
      <c r="I67" s="6" t="str">
        <f>IFERROR(__xludf.DUMMYFUNCTION("GOOGLETRANSLATE(C67, ""en"", ""id"")"),"A) Pencak Silat B) Tari Gamelan C) Wayang Golek D) Capoeira")</f>
        <v>A) Pencak Silat B) Tari Gamelan C) Wayang Golek D) Capoeira</v>
      </c>
      <c r="J67" s="6" t="str">
        <f>IFERROR(__xludf.DUMMYFUNCTION("GOOGLETRANSLATE(D67, ""en"", ""id"")"),"A) Pencak Silat")</f>
        <v>A) Pencak Silat</v>
      </c>
      <c r="K67" s="6" t="str">
        <f>IFERROR(__xludf.DUMMYFUNCTION("GOOGLETRANSLATE(E67, ""en"", ""id"")"),"Operan melingkar Sepak Raga meniru gerak kaki seni bela diri yang terlihat di Pencak Silat.")</f>
        <v>Operan melingkar Sepak Raga meniru gerak kaki seni bela diri yang terlihat di Pencak Silat.</v>
      </c>
    </row>
    <row r="68">
      <c r="A68" s="5">
        <v>67.0</v>
      </c>
      <c r="B68" s="10" t="s">
        <v>1615</v>
      </c>
      <c r="C68" s="10" t="s">
        <v>1616</v>
      </c>
      <c r="D68" s="10" t="s">
        <v>1617</v>
      </c>
      <c r="E68" s="10" t="s">
        <v>1618</v>
      </c>
      <c r="G68" s="6" t="str">
        <f>IFERROR(__xludf.DUMMYFUNCTION("GOOGLETRANSLATE(A68, ""en"", ""id"")"),"67")</f>
        <v>67</v>
      </c>
      <c r="H68" s="6" t="str">
        <f>IFERROR(__xludf.DUMMYFUNCTION("GOOGLETRANSLATE(B68, ""en"", ""id"")"),"Pahlawan cerita rakyat Indonesia manakah yang terkadang digambarkan sedang bermain Sepak Raga?")</f>
        <v>Pahlawan cerita rakyat Indonesia manakah yang terkadang digambarkan sedang bermain Sepak Raga?</v>
      </c>
      <c r="I68" s="6" t="str">
        <f>IFERROR(__xludf.DUMMYFUNCTION("GOOGLETRANSLATE(C68, ""en"", ""id"")"),"A) Gatotkaca B) Hang Tuah C) Malin Kundang D) Panji")</f>
        <v>A) Gatotkaca B) Hang Tuah C) Malin Kundang D) Panji</v>
      </c>
      <c r="J68" s="6" t="str">
        <f>IFERROR(__xludf.DUMMYFUNCTION("GOOGLETRANSLATE(D68, ""en"", ""id"")"),"B) Hang Tuah")</f>
        <v>B) Hang Tuah</v>
      </c>
      <c r="K68" s="6" t="str">
        <f>IFERROR(__xludf.DUMMYFUNCTION("GOOGLETRANSLATE(E68, ""en"", ""id"")"),"Meskipun berasal dari Malaysia, Hang Tuah juga dirayakan dalam cerita rakyat Indonesia dan dikaitkan dengan kisah Sepak Raga.")</f>
        <v>Meskipun berasal dari Malaysia, Hang Tuah juga dirayakan dalam cerita rakyat Indonesia dan dikaitkan dengan kisah Sepak Raga.</v>
      </c>
    </row>
    <row r="69">
      <c r="A69" s="5">
        <v>68.0</v>
      </c>
      <c r="B69" s="10" t="s">
        <v>1619</v>
      </c>
      <c r="C69" s="10" t="s">
        <v>1620</v>
      </c>
      <c r="D69" s="10" t="s">
        <v>1621</v>
      </c>
      <c r="E69" s="10" t="s">
        <v>1622</v>
      </c>
      <c r="G69" s="6" t="str">
        <f>IFERROR(__xludf.DUMMYFUNCTION("GOOGLETRANSLATE(A69, ""en"", ""id"")"),"68")</f>
        <v>68</v>
      </c>
      <c r="H69" s="6" t="str">
        <f>IFERROR(__xludf.DUMMYFUNCTION("GOOGLETRANSLATE(B69, ""en"", ""id"")"),"Bahan alami apa selain rotan yang secara historis digunakan di pulau-pulau terpencil di Indonesia untuk membuat bola sepak?")</f>
        <v>Bahan alami apa selain rotan yang secara historis digunakan di pulau-pulau terpencil di Indonesia untuk membuat bola sepak?</v>
      </c>
      <c r="I69" s="6" t="str">
        <f>IFERROR(__xludf.DUMMYFUNCTION("GOOGLETRANSLATE(C69, ""en"", ""id"")"),"A) Pelepah kelapa B) Potongan bambu C) Daun palem D) Batang pisang")</f>
        <v>A) Pelepah kelapa B) Potongan bambu C) Daun palem D) Batang pisang</v>
      </c>
      <c r="J69" s="6" t="str">
        <f>IFERROR(__xludf.DUMMYFUNCTION("GOOGLETRANSLATE(D69, ""en"", ""id"")"),"C) Daun palem")</f>
        <v>C) Daun palem</v>
      </c>
      <c r="K69" s="6" t="str">
        <f>IFERROR(__xludf.DUMMYFUNCTION("GOOGLETRANSLATE(E69, ""en"", ""id"")"),"Daun palem kadang-kadang dijalin menjadi bola-bola darurat jika rotan tidak tersedia.")</f>
        <v>Daun palem kadang-kadang dijalin menjadi bola-bola darurat jika rotan tidak tersedia.</v>
      </c>
    </row>
    <row r="70">
      <c r="A70" s="5">
        <v>69.0</v>
      </c>
      <c r="B70" s="10" t="s">
        <v>1623</v>
      </c>
      <c r="C70" s="10" t="s">
        <v>1624</v>
      </c>
      <c r="D70" s="10" t="s">
        <v>1625</v>
      </c>
      <c r="E70" s="10" t="s">
        <v>1626</v>
      </c>
      <c r="G70" s="6" t="str">
        <f>IFERROR(__xludf.DUMMYFUNCTION("GOOGLETRANSLATE(A70, ""en"", ""id"")"),"69")</f>
        <v>69</v>
      </c>
      <c r="H70" s="6" t="str">
        <f>IFERROR(__xludf.DUMMYFUNCTION("GOOGLETRANSLATE(B70, ""en"", ""id"")"),"Kota pelabuhan bersejarah Indonesia manakah yang membantu menyebarkan Sepak Raga secara internasional?")</f>
        <v>Kota pelabuhan bersejarah Indonesia manakah yang membantu menyebarkan Sepak Raga secara internasional?</v>
      </c>
      <c r="I70" s="6" t="str">
        <f>IFERROR(__xludf.DUMMYFUNCTION("GOOGLETRANSLATE(C70, ""en"", ""id"")"),"A) Makassar B) Batavia C) Surabaya D) Medan")</f>
        <v>A) Makassar B) Batavia C) Surabaya D) Medan</v>
      </c>
      <c r="J70" s="6" t="str">
        <f>IFERROR(__xludf.DUMMYFUNCTION("GOOGLETRANSLATE(D70, ""en"", ""id"")"),"A) Makassar")</f>
        <v>A) Makassar</v>
      </c>
      <c r="K70" s="6" t="str">
        <f>IFERROR(__xludf.DUMMYFUNCTION("GOOGLETRANSLATE(E70, ""en"", ""id"")"),"Sebagai pusat maritim, para pedagang Makassar menyebarkan Sepak Raga ke seluruh Asia Tenggara.")</f>
        <v>Sebagai pusat maritim, para pedagang Makassar menyebarkan Sepak Raga ke seluruh Asia Tenggara.</v>
      </c>
    </row>
    <row r="71">
      <c r="A71" s="5">
        <v>70.0</v>
      </c>
      <c r="B71" s="10" t="s">
        <v>1627</v>
      </c>
      <c r="C71" s="10" t="s">
        <v>1628</v>
      </c>
      <c r="D71" s="10" t="s">
        <v>1629</v>
      </c>
      <c r="E71" s="10" t="s">
        <v>1630</v>
      </c>
      <c r="G71" s="6" t="str">
        <f>IFERROR(__xludf.DUMMYFUNCTION("GOOGLETRANSLATE(A71, ""en"", ""id"")"),"70")</f>
        <v>70</v>
      </c>
      <c r="H71" s="6" t="str">
        <f>IFERROR(__xludf.DUMMYFUNCTION("GOOGLETRANSLATE(B71, ""en"", ""id"")"),"Keterkaitan sepak takraw dengan pesantren di Jawa menekankan nilai apa?")</f>
        <v>Keterkaitan sepak takraw dengan pesantren di Jawa menekankan nilai apa?</v>
      </c>
      <c r="I71" s="6" t="str">
        <f>IFERROR(__xludf.DUMMYFUNCTION("GOOGLETRANSLATE(C71, ""en"", ""id"")"),"A) Kepatuhan B) Persaudaraan C) Disiplin D) Spiritualitas")</f>
        <v>A) Kepatuhan B) Persaudaraan C) Disiplin D) Spiritualitas</v>
      </c>
      <c r="J71" s="6" t="str">
        <f>IFERROR(__xludf.DUMMYFUNCTION("GOOGLETRANSLATE(D71, ""en"", ""id"")"),"B) Persaudaraan")</f>
        <v>B) Persaudaraan</v>
      </c>
      <c r="K71" s="6" t="str">
        <f>IFERROR(__xludf.DUMMYFUNCTION("GOOGLETRANSLATE(E71, ""en"", ""id"")"),"Pesantren mengedepankan Sepak Raga sebagai permainan beregu yang membina persaudaraan masyarakat.")</f>
        <v>Pesantren mengedepankan Sepak Raga sebagai permainan beregu yang membina persaudaraan masyarakat.</v>
      </c>
    </row>
    <row r="72">
      <c r="A72" s="5">
        <v>71.0</v>
      </c>
      <c r="B72" s="10" t="s">
        <v>1631</v>
      </c>
      <c r="C72" s="10" t="s">
        <v>1632</v>
      </c>
      <c r="D72" s="10" t="s">
        <v>1633</v>
      </c>
      <c r="E72" s="10" t="s">
        <v>1634</v>
      </c>
      <c r="G72" s="6" t="str">
        <f>IFERROR(__xludf.DUMMYFUNCTION("GOOGLETRANSLATE(A72, ""en"", ""id"")"),"71")</f>
        <v>71</v>
      </c>
      <c r="H72" s="6" t="str">
        <f>IFERROR(__xludf.DUMMYFUNCTION("GOOGLETRANSLATE(B72, ""en"", ""id"")"),"Pada masa penjajahan Belanda, Sepak Raga terkadang tidak disukai karena:")</f>
        <v>Pada masa penjajahan Belanda, Sepak Raga terkadang tidak disukai karena:</v>
      </c>
      <c r="I72" s="6" t="str">
        <f>IFERROR(__xludf.DUMMYFUNCTION("GOOGLETRANSLATE(C72, ""en"", ""id"")"),"A) Hal ini menyebabkan cedera B) Hal ini mengganggu sekolah Kristen C) Hal ini mengalihkan perhatian dari olahraga kolonial D) Hal ini terkait dengan nasionalisme")</f>
        <v>A) Hal ini menyebabkan cedera B) Hal ini mengganggu sekolah Kristen C) Hal ini mengalihkan perhatian dari olahraga kolonial D) Hal ini terkait dengan nasionalisme</v>
      </c>
      <c r="J72" s="6" t="str">
        <f>IFERROR(__xludf.DUMMYFUNCTION("GOOGLETRANSLATE(D72, ""en"", ""id"")"),"D) Hal ini terkait dengan nasionalisme")</f>
        <v>D) Hal ini terkait dengan nasionalisme</v>
      </c>
      <c r="K72" s="6" t="str">
        <f>IFERROR(__xludf.DUMMYFUNCTION("GOOGLETRANSLATE(E72, ""en"", ""id"")"),"Penguasa kolonial memandang Sepak Raga sebagai simbol kebanggaan penduduk asli.")</f>
        <v>Penguasa kolonial memandang Sepak Raga sebagai simbol kebanggaan penduduk asli.</v>
      </c>
    </row>
    <row r="73">
      <c r="A73" s="5">
        <v>72.0</v>
      </c>
      <c r="B73" s="10" t="s">
        <v>1635</v>
      </c>
      <c r="C73" s="10" t="s">
        <v>1636</v>
      </c>
      <c r="D73" s="10" t="s">
        <v>1637</v>
      </c>
      <c r="E73" s="10" t="s">
        <v>1638</v>
      </c>
      <c r="G73" s="6" t="str">
        <f>IFERROR(__xludf.DUMMYFUNCTION("GOOGLETRANSLATE(A73, ""en"", ""id"")"),"72")</f>
        <v>72</v>
      </c>
      <c r="H73" s="6" t="str">
        <f>IFERROR(__xludf.DUMMYFUNCTION("GOOGLETRANSLATE(B73, ""en"", ""id"")"),"Olahraga Eropa apa yang memengaruhi evolusi Sepak Takraw berbasis net?")</f>
        <v>Olahraga Eropa apa yang memengaruhi evolusi Sepak Takraw berbasis net?</v>
      </c>
      <c r="I73" s="6" t="str">
        <f>IFERROR(__xludf.DUMMYFUNCTION("GOOGLETRANSLATE(C73, ""en"", ""id"")"),"A) Bola Voli B) Bulu Tangkis C) Tenis D) Sepak Bola")</f>
        <v>A) Bola Voli B) Bulu Tangkis C) Tenis D) Sepak Bola</v>
      </c>
      <c r="J73" s="6" t="str">
        <f>IFERROR(__xludf.DUMMYFUNCTION("GOOGLETRANSLATE(D73, ""en"", ""id"")"),"B) Bulutangkis")</f>
        <v>B) Bulutangkis</v>
      </c>
      <c r="K73" s="6" t="str">
        <f>IFERROR(__xludf.DUMMYFUNCTION("GOOGLETRANSLATE(E73, ""en"", ""id"")"),"Ide penggunaan net terinspirasi oleh bulu tangkis, yang populer di Asia Tenggara.")</f>
        <v>Ide penggunaan net terinspirasi oleh bulu tangkis, yang populer di Asia Tenggara.</v>
      </c>
    </row>
    <row r="74">
      <c r="A74" s="5">
        <v>73.0</v>
      </c>
      <c r="B74" s="10" t="s">
        <v>1639</v>
      </c>
      <c r="C74" s="10" t="s">
        <v>1640</v>
      </c>
      <c r="D74" s="10" t="s">
        <v>1641</v>
      </c>
      <c r="E74" s="10" t="s">
        <v>1642</v>
      </c>
      <c r="G74" s="6" t="str">
        <f>IFERROR(__xludf.DUMMYFUNCTION("GOOGLETRANSLATE(A74, ""en"", ""id"")"),"73")</f>
        <v>73</v>
      </c>
      <c r="H74" s="6" t="str">
        <f>IFERROR(__xludf.DUMMYFUNCTION("GOOGLETRANSLATE(B74, ""en"", ""id"")"),"Kota Indonesia manakah yang menjadi tuan rumah kompetisi Sepak Takraw nasional pertama pasca kemerdekaan?")</f>
        <v>Kota Indonesia manakah yang menjadi tuan rumah kompetisi Sepak Takraw nasional pertama pasca kemerdekaan?</v>
      </c>
      <c r="I74" s="6" t="str">
        <f>IFERROR(__xludf.DUMMYFUNCTION("GOOGLETRANSLATE(C74, ""en"", ""id"")"),"A) Jakarta B) Bandung C) Surabaya D) Yogyakarta")</f>
        <v>A) Jakarta B) Bandung C) Surabaya D) Yogyakarta</v>
      </c>
      <c r="J74" s="6" t="str">
        <f>IFERROR(__xludf.DUMMYFUNCTION("GOOGLETRANSLATE(D74, ""en"", ""id"")"),"B) Bandung")</f>
        <v>B) Bandung</v>
      </c>
      <c r="K74" s="6" t="str">
        <f>IFERROR(__xludf.DUMMYFUNCTION("GOOGLETRANSLATE(E74, ""en"", ""id"")"),"Bandung menjadi tuan rumah utama turnamen Sepak Takraw terorganisir awal pada tahun 1950-an.")</f>
        <v>Bandung menjadi tuan rumah utama turnamen Sepak Takraw terorganisir awal pada tahun 1950-an.</v>
      </c>
    </row>
    <row r="75">
      <c r="A75" s="5">
        <v>74.0</v>
      </c>
      <c r="B75" s="10" t="s">
        <v>1643</v>
      </c>
      <c r="C75" s="10" t="s">
        <v>1644</v>
      </c>
      <c r="D75" s="10" t="s">
        <v>1645</v>
      </c>
      <c r="E75" s="10" t="s">
        <v>1646</v>
      </c>
      <c r="G75" s="6" t="str">
        <f>IFERROR(__xludf.DUMMYFUNCTION("GOOGLETRANSLATE(A75, ""en"", ""id"")"),"74")</f>
        <v>74</v>
      </c>
      <c r="H75" s="6" t="str">
        <f>IFERROR(__xludf.DUMMYFUNCTION("GOOGLETRANSLATE(B75, ""en"", ""id"")"),"Catatan kolonial manakah dari tahun 1800-an yang menggambarkan pertandingan Sepak Raga di Batavia?")</f>
        <v>Catatan kolonial manakah dari tahun 1800-an yang menggambarkan pertandingan Sepak Raga di Batavia?</v>
      </c>
      <c r="I75" s="6" t="str">
        <f>IFERROR(__xludf.DUMMYFUNCTION("GOOGLETRANSLATE(C75, ""en"", ""id"")"),"A) Lembaran Negara Hindia Belanda B) Arsip VOC C) Java Post D) Almanak Kolonial")</f>
        <v>A) Lembaran Negara Hindia Belanda B) Arsip VOC C) Java Post D) Almanak Kolonial</v>
      </c>
      <c r="J75" s="6" t="str">
        <f>IFERROR(__xludf.DUMMYFUNCTION("GOOGLETRANSLATE(D75, ""en"", ""id"")"),"B) Arsip VOC")</f>
        <v>B) Arsip VOC</v>
      </c>
      <c r="K75" s="6" t="str">
        <f>IFERROR(__xludf.DUMMYFUNCTION("GOOGLETRANSLATE(E75, ""en"", ""id"")"),"Catatan VOC mencatat Sepak Raga dimainkan di kampung-kampung Batavia.")</f>
        <v>Catatan VOC mencatat Sepak Raga dimainkan di kampung-kampung Batavia.</v>
      </c>
    </row>
    <row r="76">
      <c r="A76" s="5">
        <v>75.0</v>
      </c>
      <c r="B76" s="10" t="s">
        <v>1647</v>
      </c>
      <c r="C76" s="10" t="s">
        <v>1648</v>
      </c>
      <c r="D76" s="10" t="s">
        <v>1649</v>
      </c>
      <c r="E76" s="10" t="s">
        <v>1650</v>
      </c>
      <c r="G76" s="6" t="str">
        <f>IFERROR(__xludf.DUMMYFUNCTION("GOOGLETRANSLATE(A76, ""en"", ""id"")"),"75")</f>
        <v>75</v>
      </c>
      <c r="H76" s="6" t="str">
        <f>IFERROR(__xludf.DUMMYFUNCTION("GOOGLETRANSLATE(B76, ""en"", ""id"")"),"Adaptasi Sepak Takraw ke sekolah-sekolah pada abad ke-20 melambangkan:")</f>
        <v>Adaptasi Sepak Takraw ke sekolah-sekolah pada abad ke-20 melambangkan:</v>
      </c>
      <c r="I76" s="6" t="str">
        <f>IFERROR(__xludf.DUMMYFUNCTION("GOOGLETRANSLATE(C76, ""en"", ""id"")"),"A) Identitas nasional B) Loyalitas kolonial C) Propaganda militer D) Tradisi pertanian")</f>
        <v>A) Identitas nasional B) Loyalitas kolonial C) Propaganda militer D) Tradisi pertanian</v>
      </c>
      <c r="J76" s="6" t="str">
        <f>IFERROR(__xludf.DUMMYFUNCTION("GOOGLETRANSLATE(D76, ""en"", ""id"")"),"A) Identitas nasional")</f>
        <v>A) Identitas nasional</v>
      </c>
      <c r="K76" s="6" t="str">
        <f>IFERROR(__xludf.DUMMYFUNCTION("GOOGLETRANSLATE(E76, ""en"", ""id"")"),"Mengajarkan Sepak Takraw di sekolah membantu mengukuhkannya sebagai olahraga budaya Indonesia.")</f>
        <v>Mengajarkan Sepak Takraw di sekolah membantu mengukuhkannya sebagai olahraga budaya Indonesia.</v>
      </c>
    </row>
    <row r="77">
      <c r="A77" s="5">
        <v>76.0</v>
      </c>
      <c r="B77" s="10" t="s">
        <v>1651</v>
      </c>
      <c r="C77" s="10" t="s">
        <v>1652</v>
      </c>
      <c r="D77" s="10" t="s">
        <v>1653</v>
      </c>
      <c r="E77" s="10" t="s">
        <v>1654</v>
      </c>
      <c r="G77" s="6" t="str">
        <f>IFERROR(__xludf.DUMMYFUNCTION("GOOGLETRANSLATE(A77, ""en"", ""id"")"),"76")</f>
        <v>76</v>
      </c>
      <c r="H77" s="6" t="str">
        <f>IFERROR(__xludf.DUMMYFUNCTION("GOOGLETRANSLATE(B77, ""en"", ""id"")"),"Organisasi olahraga Indonesia manakah yang pertama kali secara resmi mengakui Sepak Takraw setelah kemerdekaan?")</f>
        <v>Organisasi olahraga Indonesia manakah yang pertama kali secara resmi mengakui Sepak Takraw setelah kemerdekaan?</v>
      </c>
      <c r="I77" s="6" t="str">
        <f>IFERROR(__xludf.DUMMYFUNCTION("GOOGLETRANSLATE(C77, ""en"", ""id"")"),"A) KONI B) PSSI C) PBSI D) PERBASI")</f>
        <v>A) KONI B) PSSI C) PBSI D) PERBASI</v>
      </c>
      <c r="J77" s="6" t="str">
        <f>IFERROR(__xludf.DUMMYFUNCTION("GOOGLETRANSLATE(D77, ""en"", ""id"")"),"A) KONI")</f>
        <v>A) KONI</v>
      </c>
      <c r="K77" s="6" t="str">
        <f>IFERROR(__xludf.DUMMYFUNCTION("GOOGLETRANSLATE(E77, ""en"", ""id"")"),"KONI (Komite Olahraga Nasional Indonesia) mengakui Sepak Takraw sebagai olahraga nasional pada tahun 1960an.")</f>
        <v>KONI (Komite Olahraga Nasional Indonesia) mengakui Sepak Takraw sebagai olahraga nasional pada tahun 1960an.</v>
      </c>
    </row>
    <row r="78">
      <c r="A78" s="5">
        <v>77.0</v>
      </c>
      <c r="B78" s="10" t="s">
        <v>1655</v>
      </c>
      <c r="C78" s="10" t="s">
        <v>1656</v>
      </c>
      <c r="D78" s="10" t="s">
        <v>1657</v>
      </c>
      <c r="E78" s="10" t="s">
        <v>1658</v>
      </c>
      <c r="G78" s="6" t="str">
        <f>IFERROR(__xludf.DUMMYFUNCTION("GOOGLETRANSLATE(A78, ""en"", ""id"")"),"77")</f>
        <v>77</v>
      </c>
      <c r="H78" s="6" t="str">
        <f>IFERROR(__xludf.DUMMYFUNCTION("GOOGLETRANSLATE(B78, ""en"", ""id"")"),"Badan regional Asia Tenggara manakah yang mempromosikan Sepak Takraw secara internasional pada tahun 1970-an?")</f>
        <v>Badan regional Asia Tenggara manakah yang mempromosikan Sepak Takraw secara internasional pada tahun 1970-an?</v>
      </c>
      <c r="I78" s="6" t="str">
        <f>IFERROR(__xludf.DUMMYFUNCTION("GOOGLETRANSLATE(C78, ""en"", ""id"")"),"A) ASEAN B) SAARC C) Federasi SEAP D) Federasi Olahraga Asia")</f>
        <v>A) ASEAN B) SAARC C) Federasi SEAP D) Federasi Olahraga Asia</v>
      </c>
      <c r="J78" s="6" t="str">
        <f>IFERROR(__xludf.DUMMYFUNCTION("GOOGLETRANSLATE(D78, ""en"", ""id"")"),"A) ASEAN")</f>
        <v>A) ASEAN</v>
      </c>
      <c r="K78" s="6" t="str">
        <f>IFERROR(__xludf.DUMMYFUNCTION("GOOGLETRANSLATE(E78, ""en"", ""id"")"),"Pertukaran budaya ASEAN membantu memperkenalkan Sepak Takraw ke negara-negara di luar daerah asalnya.")</f>
        <v>Pertukaran budaya ASEAN membantu memperkenalkan Sepak Takraw ke negara-negara di luar daerah asalnya.</v>
      </c>
    </row>
    <row r="79">
      <c r="A79" s="5">
        <v>78.0</v>
      </c>
      <c r="B79" s="10" t="s">
        <v>1659</v>
      </c>
      <c r="C79" s="10" t="s">
        <v>1660</v>
      </c>
      <c r="D79" s="10" t="s">
        <v>1661</v>
      </c>
      <c r="E79" s="10" t="s">
        <v>1662</v>
      </c>
      <c r="G79" s="6" t="str">
        <f>IFERROR(__xludf.DUMMYFUNCTION("GOOGLETRANSLATE(A79, ""en"", ""id"")"),"78")</f>
        <v>78</v>
      </c>
      <c r="H79" s="6" t="str">
        <f>IFERROR(__xludf.DUMMYFUNCTION("GOOGLETRANSLATE(B79, ""en"", ""id"")"),"Menteri Olahraga Indonesia manakah yang mendorong dimasukkannya Sepak Takraw di Asian Games?")</f>
        <v>Menteri Olahraga Indonesia manakah yang mendorong dimasukkannya Sepak Takraw di Asian Games?</v>
      </c>
      <c r="I79" s="6" t="str">
        <f>IFERROR(__xludf.DUMMYFUNCTION("GOOGLETRANSLATE(C79, ""en"", ""id"")"),"A) Maladi B) Abdul Kadir C) Soekarno D) Surono Reksodimedjo")</f>
        <v>A) Maladi B) Abdul Kadir C) Soekarno D) Surono Reksodimedjo</v>
      </c>
      <c r="J79" s="6" t="str">
        <f>IFERROR(__xludf.DUMMYFUNCTION("GOOGLETRANSLATE(D79, ""en"", ""id"")"),"D) Surono Reksodimedjo")</f>
        <v>D) Surono Reksodimedjo</v>
      </c>
      <c r="K79" s="6" t="str">
        <f>IFERROR(__xludf.DUMMYFUNCTION("GOOGLETRANSLATE(E79, ""en"", ""id"")"),"Advokasi Menteri Surono pada tahun 1970-an membantu Sepak Takraw mendapatkan pengakuan di tingkat benua.")</f>
        <v>Advokasi Menteri Surono pada tahun 1970-an membantu Sepak Takraw mendapatkan pengakuan di tingkat benua.</v>
      </c>
    </row>
    <row r="80">
      <c r="A80" s="5">
        <v>79.0</v>
      </c>
      <c r="B80" s="10" t="s">
        <v>1663</v>
      </c>
      <c r="C80" s="10" t="s">
        <v>1664</v>
      </c>
      <c r="D80" s="10" t="s">
        <v>1665</v>
      </c>
      <c r="E80" s="10" t="s">
        <v>1666</v>
      </c>
      <c r="G80" s="6" t="str">
        <f>IFERROR(__xludf.DUMMYFUNCTION("GOOGLETRANSLATE(A80, ""en"", ""id"")"),"79")</f>
        <v>79</v>
      </c>
      <c r="H80" s="6" t="str">
        <f>IFERROR(__xludf.DUMMYFUNCTION("GOOGLETRANSLATE(B80, ""en"", ""id"")"),"Di Indonesia, Sepak Takraw memperoleh banyak pengikut setelah disiarkan di:")</f>
        <v>Di Indonesia, Sepak Takraw memperoleh banyak pengikut setelah disiarkan di:</v>
      </c>
      <c r="I80" s="6" t="str">
        <f>IFERROR(__xludf.DUMMYFUNCTION("GOOGLETRANSLATE(C80, ""en"", ""id"")"),"A) TVRI B) RRI C) MetroTV D) Trans7")</f>
        <v>A) TVRI B) RRI C) MetroTV D) Trans7</v>
      </c>
      <c r="J80" s="6" t="str">
        <f>IFERROR(__xludf.DUMMYFUNCTION("GOOGLETRANSLATE(D80, ""en"", ""id"")"),"A) TVRI")</f>
        <v>A) TVRI</v>
      </c>
      <c r="K80" s="6" t="str">
        <f>IFERROR(__xludf.DUMMYFUNCTION("GOOGLETRANSLATE(E80, ""en"", ""id"")"),"Liputan nasional TVRI pada tahun 1970-an membuat Sepak Takraw populer di seluruh Indonesia.")</f>
        <v>Liputan nasional TVRI pada tahun 1970-an membuat Sepak Takraw populer di seluruh Indonesia.</v>
      </c>
    </row>
    <row r="81">
      <c r="A81" s="5">
        <v>80.0</v>
      </c>
      <c r="B81" s="10" t="s">
        <v>1667</v>
      </c>
      <c r="C81" s="10" t="s">
        <v>1668</v>
      </c>
      <c r="D81" s="10" t="s">
        <v>1669</v>
      </c>
      <c r="E81" s="10" t="s">
        <v>1670</v>
      </c>
      <c r="G81" s="6" t="str">
        <f>IFERROR(__xludf.DUMMYFUNCTION("GOOGLETRANSLATE(A81, ""en"", ""id"")"),"80")</f>
        <v>80</v>
      </c>
      <c r="H81" s="6" t="str">
        <f>IFERROR(__xludf.DUMMYFUNCTION("GOOGLETRANSLATE(B81, ""en"", ""id"")"),"Kota mana di Indonesia yang menjadi rumah bagi pusat pelatihan Sepak Takraw nasional?")</f>
        <v>Kota mana di Indonesia yang menjadi rumah bagi pusat pelatihan Sepak Takraw nasional?</v>
      </c>
      <c r="I81" s="6" t="str">
        <f>IFERROR(__xludf.DUMMYFUNCTION("GOOGLETRANSLATE(C81, ""en"", ""id"")"),"A)Jakarta B)Surabaya C)Palembang D)Makassar")</f>
        <v>A)Jakarta B)Surabaya C)Palembang D)Makassar</v>
      </c>
      <c r="J81" s="6" t="str">
        <f>IFERROR(__xludf.DUMMYFUNCTION("GOOGLETRANSLATE(D81, ""en"", ""id"")"),"C) Palembang")</f>
        <v>C) Palembang</v>
      </c>
      <c r="K81" s="6" t="str">
        <f>IFERROR(__xludf.DUMMYFUNCTION("GOOGLETRANSLATE(E81, ""en"", ""id"")"),"Palembang menjadi tuan rumah fasilitas pelatihan sepak takraw resmi Indonesia untuk pemain elit.")</f>
        <v>Palembang menjadi tuan rumah fasilitas pelatihan sepak takraw resmi Indonesia untuk pemain elit.</v>
      </c>
    </row>
    <row r="82">
      <c r="A82" s="5">
        <v>81.0</v>
      </c>
      <c r="B82" s="10" t="s">
        <v>1671</v>
      </c>
      <c r="C82" s="10" t="s">
        <v>1672</v>
      </c>
      <c r="D82" s="10" t="s">
        <v>1673</v>
      </c>
      <c r="E82" s="10" t="s">
        <v>1674</v>
      </c>
      <c r="G82" s="6" t="str">
        <f>IFERROR(__xludf.DUMMYFUNCTION("GOOGLETRANSLATE(A82, ""en"", ""id"")"),"81")</f>
        <v>81</v>
      </c>
      <c r="H82" s="6" t="str">
        <f>IFERROR(__xludf.DUMMYFUNCTION("GOOGLETRANSLATE(B82, ""en"", ""id"")"),"Kebangkitan Sepak Takraw di Malaysia dan Indonesia selama abad ke-20 mencerminkan:")</f>
        <v>Kebangkitan Sepak Takraw di Malaysia dan Indonesia selama abad ke-20 mencerminkan:</v>
      </c>
      <c r="I82" s="6" t="str">
        <f>IFERROR(__xludf.DUMMYFUNCTION("GOOGLETRANSLATE(C82, ""en"", ""id"")"),"A) Persaingan olahraga kolonial B) Pelestarian budaya C) Praktik keagamaan D) Tradisi pertanian")</f>
        <v>A) Persaingan olahraga kolonial B) Pelestarian budaya C) Praktik keagamaan D) Tradisi pertanian</v>
      </c>
      <c r="J82" s="6" t="str">
        <f>IFERROR(__xludf.DUMMYFUNCTION("GOOGLETRANSLATE(D82, ""en"", ""id"")"),"B) Pelestarian budaya")</f>
        <v>B) Pelestarian budaya</v>
      </c>
      <c r="K82" s="6" t="str">
        <f>IFERROR(__xludf.DUMMYFUNCTION("GOOGLETRANSLATE(E82, ""en"", ""id"")"),"Kedua negara memandang olahraga tersebut sebagai sarana melestarikan budaya asli.")</f>
        <v>Kedua negara memandang olahraga tersebut sebagai sarana melestarikan budaya asli.</v>
      </c>
    </row>
    <row r="83">
      <c r="A83" s="5">
        <v>82.0</v>
      </c>
      <c r="B83" s="10" t="s">
        <v>1675</v>
      </c>
      <c r="C83" s="10" t="s">
        <v>1676</v>
      </c>
      <c r="D83" s="10" t="s">
        <v>1677</v>
      </c>
      <c r="E83" s="10" t="s">
        <v>1678</v>
      </c>
      <c r="G83" s="6" t="str">
        <f>IFERROR(__xludf.DUMMYFUNCTION("GOOGLETRANSLATE(A83, ""en"", ""id"")"),"82")</f>
        <v>82</v>
      </c>
      <c r="H83" s="6" t="str">
        <f>IFERROR(__xludf.DUMMYFUNCTION("GOOGLETRANSLATE(B83, ""en"", ""id"")"),"Universitas Indonesia manakah yang mendirikan salah satu klub Sepak Takraw pertama?")</f>
        <v>Universitas Indonesia manakah yang mendirikan salah satu klub Sepak Takraw pertama?</v>
      </c>
      <c r="I83" s="6" t="str">
        <f>IFERROR(__xludf.DUMMYFUNCTION("GOOGLETRANSLATE(C83, ""en"", ""id"")"),"A) Universitas Indonesia B) Universitas Gadjah Mada C) Universitas Airlangga D) Universitas Hasanuddin")</f>
        <v>A) Universitas Indonesia B) Universitas Gadjah Mada C) Universitas Airlangga D) Universitas Hasanuddin</v>
      </c>
      <c r="J83" s="6" t="str">
        <f>IFERROR(__xludf.DUMMYFUNCTION("GOOGLETRANSLATE(D83, ""en"", ""id"")"),"B) Universitas Gadjah Mada")</f>
        <v>B) Universitas Gadjah Mada</v>
      </c>
      <c r="K83" s="6" t="str">
        <f>IFERROR(__xludf.DUMMYFUNCTION("GOOGLETRANSLATE(E83, ""en"", ""id"")"),"UGM Yogyakarta mempelopori Sepak Takraw di tingkat universitas.")</f>
        <v>UGM Yogyakarta mempelopori Sepak Takraw di tingkat universitas.</v>
      </c>
    </row>
    <row r="84">
      <c r="A84" s="5">
        <v>83.0</v>
      </c>
      <c r="B84" s="10" t="s">
        <v>1679</v>
      </c>
      <c r="C84" s="10" t="s">
        <v>1680</v>
      </c>
      <c r="D84" s="10" t="s">
        <v>1681</v>
      </c>
      <c r="E84" s="10" t="s">
        <v>1682</v>
      </c>
      <c r="G84" s="6" t="str">
        <f>IFERROR(__xludf.DUMMYFUNCTION("GOOGLETRANSLATE(A84, ""en"", ""id"")"),"83")</f>
        <v>83</v>
      </c>
      <c r="H84" s="6" t="str">
        <f>IFERROR(__xludf.DUMMYFUNCTION("GOOGLETRANSLATE(B84, ""en"", ""id"")"),"Provinsi Indonesia manakah yang pertama kali memperkenalkan kompetisi Sepak Takraw wanita?")</f>
        <v>Provinsi Indonesia manakah yang pertama kali memperkenalkan kompetisi Sepak Takraw wanita?</v>
      </c>
      <c r="I84" s="6" t="str">
        <f>IFERROR(__xludf.DUMMYFUNCTION("GOOGLETRANSLATE(C84, ""en"", ""id"")"),"A) Aceh B) Jawa Barat C) Bali D) Sulawesi Selatan")</f>
        <v>A) Aceh B) Jawa Barat C) Bali D) Sulawesi Selatan</v>
      </c>
      <c r="J84" s="6" t="str">
        <f>IFERROR(__xludf.DUMMYFUNCTION("GOOGLETRANSLATE(D84, ""en"", ""id"")"),"D) Sulawesi Selatan")</f>
        <v>D) Sulawesi Selatan</v>
      </c>
      <c r="K84" s="6" t="str">
        <f>IFERROR(__xludf.DUMMYFUNCTION("GOOGLETRANSLATE(E84, ""en"", ""id"")"),"Sulawesi Selatan menyelenggarakan pertandingan wanita pertama, memperluas partisipasi gender.")</f>
        <v>Sulawesi Selatan menyelenggarakan pertandingan wanita pertama, memperluas partisipasi gender.</v>
      </c>
    </row>
    <row r="85">
      <c r="A85" s="5">
        <v>84.0</v>
      </c>
      <c r="B85" s="10" t="s">
        <v>1683</v>
      </c>
      <c r="C85" s="10" t="s">
        <v>1684</v>
      </c>
      <c r="D85" s="10" t="s">
        <v>1685</v>
      </c>
      <c r="E85" s="10" t="s">
        <v>1686</v>
      </c>
      <c r="G85" s="6" t="str">
        <f>IFERROR(__xludf.DUMMYFUNCTION("GOOGLETRANSLATE(A85, ""en"", ""id"")"),"84")</f>
        <v>84</v>
      </c>
      <c r="H85" s="6" t="str">
        <f>IFERROR(__xludf.DUMMYFUNCTION("GOOGLETRANSLATE(B85, ""en"", ""id"")"),"Pada dekade manakah Sepak Takraw menjangkau penonton Eropa?")</f>
        <v>Pada dekade manakah Sepak Takraw menjangkau penonton Eropa?</v>
      </c>
      <c r="I85" s="6" t="str">
        <f>IFERROR(__xludf.DUMMYFUNCTION("GOOGLETRANSLATE(C85, ""en"", ""id"")"),"A) Tahun 1950-an B) Tahun 1960-an C) Tahun 1970-an D) Tahun 1980-an")</f>
        <v>A) Tahun 1950-an B) Tahun 1960-an C) Tahun 1970-an D) Tahun 1980-an</v>
      </c>
      <c r="J85" s="6" t="str">
        <f>IFERROR(__xludf.DUMMYFUNCTION("GOOGLETRANSLATE(D85, ""en"", ""id"")"),"D) tahun 1980-an")</f>
        <v>D) tahun 1980-an</v>
      </c>
      <c r="K85" s="6" t="str">
        <f>IFERROR(__xludf.DUMMYFUNCTION("GOOGLETRANSLATE(E85, ""en"", ""id"")"),"Demonstrasi oleh tim Asia Tenggara pada tahun 1980-an memperkenalkan olahraga ini ke Eropa.")</f>
        <v>Demonstrasi oleh tim Asia Tenggara pada tahun 1980-an memperkenalkan olahraga ini ke Eropa.</v>
      </c>
    </row>
    <row r="86">
      <c r="A86" s="5">
        <v>85.0</v>
      </c>
      <c r="B86" s="10" t="s">
        <v>1687</v>
      </c>
      <c r="C86" s="10" t="s">
        <v>1688</v>
      </c>
      <c r="D86" s="10" t="s">
        <v>1689</v>
      </c>
      <c r="E86" s="10" t="s">
        <v>1690</v>
      </c>
      <c r="G86" s="6" t="str">
        <f>IFERROR(__xludf.DUMMYFUNCTION("GOOGLETRANSLATE(A86, ""en"", ""id"")"),"85")</f>
        <v>85</v>
      </c>
      <c r="H86" s="6" t="str">
        <f>IFERROR(__xludf.DUMMYFUNCTION("GOOGLETRANSLATE(B86, ""en"", ""id"")"),"Negara mana di luar Asia Tenggara yang pertama kali membentuk federasi Sepak Takraw nasional?")</f>
        <v>Negara mana di luar Asia Tenggara yang pertama kali membentuk federasi Sepak Takraw nasional?</v>
      </c>
      <c r="I86" s="6" t="str">
        <f>IFERROR(__xludf.DUMMYFUNCTION("GOOGLETRANSLATE(C86, ""en"", ""id"")"),"A) Jepang B) Korea Selatan C) India D) Kanada")</f>
        <v>A) Jepang B) Korea Selatan C) India D) Kanada</v>
      </c>
      <c r="J86" s="6" t="str">
        <f>IFERROR(__xludf.DUMMYFUNCTION("GOOGLETRANSLATE(D86, ""en"", ""id"")"),"A) Jepang")</f>
        <v>A) Jepang</v>
      </c>
      <c r="K86" s="6" t="str">
        <f>IFERROR(__xludf.DUMMYFUNCTION("GOOGLETRANSLATE(E86, ""en"", ""id"")"),"Jepang mendirikan federasinya pada tahun 1980-an, memimpin ekspansi Asia di luar Asia Tenggara.")</f>
        <v>Jepang mendirikan federasinya pada tahun 1980-an, memimpin ekspansi Asia di luar Asia Tenggara.</v>
      </c>
    </row>
    <row r="87">
      <c r="A87" s="5">
        <v>86.0</v>
      </c>
      <c r="B87" s="10" t="s">
        <v>1691</v>
      </c>
      <c r="C87" s="10" t="s">
        <v>1692</v>
      </c>
      <c r="D87" s="10" t="s">
        <v>1693</v>
      </c>
      <c r="E87" s="10" t="s">
        <v>1694</v>
      </c>
      <c r="G87" s="6" t="str">
        <f>IFERROR(__xludf.DUMMYFUNCTION("GOOGLETRANSLATE(A87, ""en"", ""id"")"),"86")</f>
        <v>86</v>
      </c>
      <c r="H87" s="6" t="str">
        <f>IFERROR(__xludf.DUMMYFUNCTION("GOOGLETRANSLATE(B87, ""en"", ""id"")"),"Maskapai penerbangan Indonesia manakah yang pernah mensponsori tur promosi Sepak Takraw?")</f>
        <v>Maskapai penerbangan Indonesia manakah yang pernah mensponsori tur promosi Sepak Takraw?</v>
      </c>
      <c r="I87" s="6" t="str">
        <f>IFERROR(__xludf.DUMMYFUNCTION("GOOGLETRANSLATE(C87, ""en"", ""id"")"),"A) Garuda Indonesia B) Lion Air C) Merpati D) Batik Air")</f>
        <v>A) Garuda Indonesia B) Lion Air C) Merpati D) Batik Air</v>
      </c>
      <c r="J87" s="6" t="str">
        <f>IFERROR(__xludf.DUMMYFUNCTION("GOOGLETRANSLATE(D87, ""en"", ""id"")"),"A) Garuda Indonesia")</f>
        <v>A) Garuda Indonesia</v>
      </c>
      <c r="K87" s="6" t="str">
        <f>IFERROR(__xludf.DUMMYFUNCTION("GOOGLETRANSLATE(E87, ""en"", ""id"")"),"Garuda Indonesia mensponsori tur pada tahun 1980-an, meningkatkan visibilitas internasional.")</f>
        <v>Garuda Indonesia mensponsori tur pada tahun 1980-an, meningkatkan visibilitas internasional.</v>
      </c>
    </row>
    <row r="88">
      <c r="A88" s="5">
        <v>87.0</v>
      </c>
      <c r="B88" s="10" t="s">
        <v>1695</v>
      </c>
      <c r="C88" s="10" t="s">
        <v>1696</v>
      </c>
      <c r="D88" s="10" t="s">
        <v>1697</v>
      </c>
      <c r="E88" s="10" t="s">
        <v>1698</v>
      </c>
      <c r="G88" s="6" t="str">
        <f>IFERROR(__xludf.DUMMYFUNCTION("GOOGLETRANSLATE(A88, ""en"", ""id"")"),"87")</f>
        <v>87</v>
      </c>
      <c r="H88" s="6" t="str">
        <f>IFERROR(__xludf.DUMMYFUNCTION("GOOGLETRANSLATE(B88, ""en"", ""id"")"),"Kejuaraan Sepak Takraw Dunia pertama di luar Asia Tenggara diselenggarakan di:")</f>
        <v>Kejuaraan Sepak Takraw Dunia pertama di luar Asia Tenggara diselenggarakan di:</v>
      </c>
      <c r="I88" s="6" t="str">
        <f>IFERROR(__xludf.DUMMYFUNCTION("GOOGLETRANSLATE(C88, ""en"", ""id"")"),"A) Jepang B) India C) Korea Selatan D) Tiongkok")</f>
        <v>A) Jepang B) India C) Korea Selatan D) Tiongkok</v>
      </c>
      <c r="J88" s="6" t="str">
        <f>IFERROR(__xludf.DUMMYFUNCTION("GOOGLETRANSLATE(D88, ""en"", ""id"")"),"C) Korea Selatan")</f>
        <v>C) Korea Selatan</v>
      </c>
      <c r="K88" s="6" t="str">
        <f>IFERROR(__xludf.DUMMYFUNCTION("GOOGLETRANSLATE(E88, ""en"", ""id"")"),"Seoul menjadi tuan rumah Kejuaraan Dunia, menandai tonggak sejarah dalam ekspansi global.")</f>
        <v>Seoul menjadi tuan rumah Kejuaraan Dunia, menandai tonggak sejarah dalam ekspansi global.</v>
      </c>
    </row>
    <row r="89">
      <c r="A89" s="5">
        <v>88.0</v>
      </c>
      <c r="B89" s="10" t="s">
        <v>1699</v>
      </c>
      <c r="C89" s="10" t="s">
        <v>1700</v>
      </c>
      <c r="D89" s="10" t="s">
        <v>1701</v>
      </c>
      <c r="E89" s="10" t="s">
        <v>1702</v>
      </c>
      <c r="G89" s="6" t="str">
        <f>IFERROR(__xludf.DUMMYFUNCTION("GOOGLETRANSLATE(A89, ""en"", ""id"")"),"88")</f>
        <v>88</v>
      </c>
      <c r="H89" s="6" t="str">
        <f>IFERROR(__xludf.DUMMYFUNCTION("GOOGLETRANSLATE(B89, ""en"", ""id"")"),"Presiden Indonesia mana yang menghadiri pameran Sepak Takraw selama perayaan Hari Kemerdekaan?")</f>
        <v>Presiden Indonesia mana yang menghadiri pameran Sepak Takraw selama perayaan Hari Kemerdekaan?</v>
      </c>
      <c r="I89" s="6" t="str">
        <f>IFERROR(__xludf.DUMMYFUNCTION("GOOGLETRANSLATE(C89, ""en"", ""id"")"),"A) Sukarno B) Soeharto C) Habibie D) Megawati")</f>
        <v>A) Sukarno B) Soeharto C) Habibie D) Megawati</v>
      </c>
      <c r="J89" s="6" t="str">
        <f>IFERROR(__xludf.DUMMYFUNCTION("GOOGLETRANSLATE(D89, ""en"", ""id"")"),"B) Suharto")</f>
        <v>B) Suharto</v>
      </c>
      <c r="K89" s="6" t="str">
        <f>IFERROR(__xludf.DUMMYFUNCTION("GOOGLETRANSLATE(E89, ""en"", ""id"")"),"Presiden Soeharto mendukung Sepak Takraw sebagai simbol identitas nasional.")</f>
        <v>Presiden Soeharto mendukung Sepak Takraw sebagai simbol identitas nasional.</v>
      </c>
    </row>
    <row r="90">
      <c r="A90" s="5">
        <v>89.0</v>
      </c>
      <c r="B90" s="10" t="s">
        <v>1703</v>
      </c>
      <c r="C90" s="10" t="s">
        <v>1704</v>
      </c>
      <c r="D90" s="10" t="s">
        <v>1705</v>
      </c>
      <c r="E90" s="10" t="s">
        <v>1706</v>
      </c>
      <c r="G90" s="6" t="str">
        <f>IFERROR(__xludf.DUMMYFUNCTION("GOOGLETRANSLATE(A90, ""en"", ""id"")"),"89")</f>
        <v>89</v>
      </c>
      <c r="H90" s="6" t="str">
        <f>IFERROR(__xludf.DUMMYFUNCTION("GOOGLETRANSLATE(B90, ""en"", ""id"")"),"Pameran olahraga global mana yang pertama kali menampilkan demonstrasi Sepak Takraw?")</f>
        <v>Pameran olahraga global mana yang pertama kali menampilkan demonstrasi Sepak Takraw?</v>
      </c>
      <c r="I90" s="6" t="str">
        <f>IFERROR(__xludf.DUMMYFUNCTION("GOOGLETRANSLATE(C90, ""en"", ""id"")"),"A) Ekspo '70 Osaka B) Ekspo '86 Vancouver C) Ekspo '92 Seville D) Ekspo 2000 Hannover")</f>
        <v>A) Ekspo '70 Osaka B) Ekspo '86 Vancouver C) Ekspo '92 Seville D) Ekspo 2000 Hannover</v>
      </c>
      <c r="J90" s="6" t="str">
        <f>IFERROR(__xludf.DUMMYFUNCTION("GOOGLETRANSLATE(D90, ""en"", ""id"")"),"A) Expo ’70 Osaka")</f>
        <v>A) Expo ’70 Osaka</v>
      </c>
      <c r="K90" s="6" t="str">
        <f>IFERROR(__xludf.DUMMYFUNCTION("GOOGLETRANSLATE(E90, ""en"", ""id"")"),"Demonstrasi di Jepang memperkenalkan Sepak Takraw kepada khalayak internasional.")</f>
        <v>Demonstrasi di Jepang memperkenalkan Sepak Takraw kepada khalayak internasional.</v>
      </c>
    </row>
    <row r="91">
      <c r="A91" s="5">
        <v>90.0</v>
      </c>
      <c r="B91" s="10" t="s">
        <v>1707</v>
      </c>
      <c r="C91" s="10" t="s">
        <v>1708</v>
      </c>
      <c r="D91" s="10" t="s">
        <v>1709</v>
      </c>
      <c r="E91" s="10" t="s">
        <v>1710</v>
      </c>
      <c r="G91" s="6" t="str">
        <f>IFERROR(__xludf.DUMMYFUNCTION("GOOGLETRANSLATE(A91, ""en"", ""id"")"),"90")</f>
        <v>90</v>
      </c>
      <c r="H91" s="6" t="str">
        <f>IFERROR(__xludf.DUMMYFUNCTION("GOOGLETRANSLATE(B91, ""en"", ""id"")"),"Provinsi Indonesia manakah yang mendirikan akademi Sepak Takraw untuk bakat muda?")</f>
        <v>Provinsi Indonesia manakah yang mendirikan akademi Sepak Takraw untuk bakat muda?</v>
      </c>
      <c r="I91" s="6" t="str">
        <f>IFERROR(__xludf.DUMMYFUNCTION("GOOGLETRANSLATE(C91, ""en"", ""id"")"),"A) Jawa Timur B) Sumatera Barat C) Sulawesi Selatan D) Lampung")</f>
        <v>A) Jawa Timur B) Sumatera Barat C) Sulawesi Selatan D) Lampung</v>
      </c>
      <c r="J91" s="6" t="str">
        <f>IFERROR(__xludf.DUMMYFUNCTION("GOOGLETRANSLATE(D91, ""en"", ""id"")"),"C) Sulawesi Selatan")</f>
        <v>C) Sulawesi Selatan</v>
      </c>
      <c r="K91" s="6" t="str">
        <f>IFERROR(__xludf.DUMMYFUNCTION("GOOGLETRANSLATE(E91, ""en"", ""id"")"),"Sulawesi Selatan tetap menjadi pusat utama pengembangan sepak takraw di tingkat akar rumput.")</f>
        <v>Sulawesi Selatan tetap menjadi pusat utama pengembangan sepak takraw di tingkat akar rumput.</v>
      </c>
    </row>
    <row r="92">
      <c r="A92" s="5">
        <v>91.0</v>
      </c>
      <c r="B92" s="10" t="s">
        <v>1711</v>
      </c>
      <c r="C92" s="10" t="s">
        <v>1712</v>
      </c>
      <c r="D92" s="10" t="s">
        <v>1713</v>
      </c>
      <c r="E92" s="10" t="s">
        <v>1714</v>
      </c>
      <c r="G92" s="6" t="str">
        <f>IFERROR(__xludf.DUMMYFUNCTION("GOOGLETRANSLATE(A92, ""en"", ""id"")"),"91")</f>
        <v>91</v>
      </c>
      <c r="H92" s="6" t="str">
        <f>IFERROR(__xludf.DUMMYFUNCTION("GOOGLETRANSLATE(B92, ""en"", ""id"")"),"Tahun berapakah format “regu” diperkenalkan di Indonesia?")</f>
        <v>Tahun berapakah format “regu” diperkenalkan di Indonesia?</v>
      </c>
      <c r="I92" s="6" t="str">
        <f>IFERROR(__xludf.DUMMYFUNCTION("GOOGLETRANSLATE(C92, ""en"", ""id"")"),"A) Tahun 1960 B) Tahun 1965 C) Tahun 1970 D) Tahun 1975")</f>
        <v>A) Tahun 1960 B) Tahun 1965 C) Tahun 1970 D) Tahun 1975</v>
      </c>
      <c r="J92" s="6" t="str">
        <f>IFERROR(__xludf.DUMMYFUNCTION("GOOGLETRANSLATE(D92, ""en"", ""id"")"),"C) Tahun 1970")</f>
        <v>C) Tahun 1970</v>
      </c>
      <c r="K92" s="6" t="str">
        <f>IFERROR(__xludf.DUMMYFUNCTION("GOOGLETRANSLATE(E92, ""en"", ""id"")"),"Indonesia secara resmi mengadopsi format reguler 3 pemain pada tahun 1970-an.")</f>
        <v>Indonesia secara resmi mengadopsi format reguler 3 pemain pada tahun 1970-an.</v>
      </c>
    </row>
    <row r="93">
      <c r="A93" s="5">
        <v>92.0</v>
      </c>
      <c r="B93" s="10" t="s">
        <v>1715</v>
      </c>
      <c r="C93" s="10" t="s">
        <v>1716</v>
      </c>
      <c r="D93" s="10" t="s">
        <v>1717</v>
      </c>
      <c r="E93" s="10" t="s">
        <v>1718</v>
      </c>
      <c r="G93" s="6" t="str">
        <f>IFERROR(__xludf.DUMMYFUNCTION("GOOGLETRANSLATE(A93, ""en"", ""id"")"),"92")</f>
        <v>92</v>
      </c>
      <c r="H93" s="6" t="str">
        <f>IFERROR(__xludf.DUMMYFUNCTION("GOOGLETRANSLATE(B93, ""en"", ""id"")"),"Berapa tinggi maksimal net pada sepak takraw putra?")</f>
        <v>Berapa tinggi maksimal net pada sepak takraw putra?</v>
      </c>
      <c r="I93" s="6" t="str">
        <f>IFERROR(__xludf.DUMMYFUNCTION("GOOGLETRANSLATE(C93, ""en"", ""id"")"),"A) 1,42 m B) 1,52 m C) 1,62 m D) 1,72 m")</f>
        <v>A) 1,42 m B) 1,52 m C) 1,62 m D) 1,72 m</v>
      </c>
      <c r="J93" s="6" t="str">
        <f>IFERROR(__xludf.DUMMYFUNCTION("GOOGLETRANSLATE(D93, ""en"", ""id"")"),"B) 1,52 m")</f>
        <v>B) 1,52 m</v>
      </c>
      <c r="K93" s="6" t="str">
        <f>IFERROR(__xludf.DUMMYFUNCTION("GOOGLETRANSLATE(E93, ""en"", ""id"")"),"Standar ISTAF menetapkan tinggi net pria sebesar 1,52 meter.")</f>
        <v>Standar ISTAF menetapkan tinggi net pria sebesar 1,52 meter.</v>
      </c>
    </row>
    <row r="94">
      <c r="A94" s="5">
        <v>93.0</v>
      </c>
      <c r="B94" s="10" t="s">
        <v>1719</v>
      </c>
      <c r="C94" s="10" t="s">
        <v>1720</v>
      </c>
      <c r="D94" s="10" t="s">
        <v>1721</v>
      </c>
      <c r="E94" s="10" t="s">
        <v>1722</v>
      </c>
      <c r="G94" s="6" t="str">
        <f>IFERROR(__xludf.DUMMYFUNCTION("GOOGLETRANSLATE(A94, ""en"", ""id"")"),"93")</f>
        <v>93</v>
      </c>
      <c r="H94" s="6" t="str">
        <f>IFERROR(__xludf.DUMMYFUNCTION("GOOGLETRANSLATE(B94, ""en"", ""id"")"),"Berapa jumlah set standar dalam pertandingan sepak takraw internasional?")</f>
        <v>Berapa jumlah set standar dalam pertandingan sepak takraw internasional?</v>
      </c>
      <c r="I94" s="6" t="str">
        <f>IFERROR(__xludf.DUMMYFUNCTION("GOOGLETRANSLATE(C94, ""en"", ""id"")"),"A) Terbaik dari 1 B) Terbaik dari 3 C) Terbaik dari 5 D) Terbaik dari 7")</f>
        <v>A) Terbaik dari 1 B) Terbaik dari 3 C) Terbaik dari 5 D) Terbaik dari 7</v>
      </c>
      <c r="J94" s="6" t="str">
        <f>IFERROR(__xludf.DUMMYFUNCTION("GOOGLETRANSLATE(D94, ""en"", ""id"")"),"B) Terbaik dari 3")</f>
        <v>B) Terbaik dari 3</v>
      </c>
      <c r="K94" s="6" t="str">
        <f>IFERROR(__xludf.DUMMYFUNCTION("GOOGLETRANSLATE(E94, ""en"", ""id"")"),"Pertandingan internasional dimainkan dalam format tiga set terbaik.")</f>
        <v>Pertandingan internasional dimainkan dalam format tiga set terbaik.</v>
      </c>
    </row>
    <row r="95">
      <c r="A95" s="5">
        <v>94.0</v>
      </c>
      <c r="B95" s="10" t="s">
        <v>1723</v>
      </c>
      <c r="C95" s="10" t="s">
        <v>1724</v>
      </c>
      <c r="D95" s="10" t="s">
        <v>1725</v>
      </c>
      <c r="E95" s="10" t="s">
        <v>1726</v>
      </c>
      <c r="G95" s="6" t="str">
        <f>IFERROR(__xludf.DUMMYFUNCTION("GOOGLETRANSLATE(A95, ""en"", ""id"")"),"94")</f>
        <v>94</v>
      </c>
      <c r="H95" s="6" t="str">
        <f>IFERROR(__xludf.DUMMYFUNCTION("GOOGLETRANSLATE(B95, ""en"", ""id"")"),"Unsur permainan tradisional Indonesia manakah yang dipertahankan dalam aturan Sepak Takraw modern?")</f>
        <v>Unsur permainan tradisional Indonesia manakah yang dipertahankan dalam aturan Sepak Takraw modern?</v>
      </c>
      <c r="I95" s="6" t="str">
        <f>IFERROR(__xludf.DUMMYFUNCTION("GOOGLETRANSLATE(C95, ""en"", ""id"")"),"A) Permainan melingkar B) Pembukaan ritual C) Aturan hanya tendangan D) Penggunaan bola kayu")</f>
        <v>A) Permainan melingkar B) Pembukaan ritual C) Aturan hanya tendangan D) Penggunaan bola kayu</v>
      </c>
      <c r="J95" s="6" t="str">
        <f>IFERROR(__xludf.DUMMYFUNCTION("GOOGLETRANSLATE(D95, ""en"", ""id"")"),"C) Aturan hanya tendangan")</f>
        <v>C) Aturan hanya tendangan</v>
      </c>
      <c r="K95" s="6" t="str">
        <f>IFERROR(__xludf.DUMMYFUNCTION("GOOGLETRANSLATE(E95, ""en"", ""id"")"),"Pemain masih tidak dapat menggunakan tangan, mempertahankan esensi tradisionalnya.")</f>
        <v>Pemain masih tidak dapat menggunakan tangan, mempertahankan esensi tradisionalnya.</v>
      </c>
    </row>
    <row r="96">
      <c r="A96" s="5">
        <v>95.0</v>
      </c>
      <c r="B96" s="10" t="s">
        <v>1727</v>
      </c>
      <c r="C96" s="10" t="s">
        <v>1728</v>
      </c>
      <c r="D96" s="10" t="s">
        <v>1729</v>
      </c>
      <c r="E96" s="10" t="s">
        <v>1730</v>
      </c>
      <c r="G96" s="6" t="str">
        <f>IFERROR(__xludf.DUMMYFUNCTION("GOOGLETRANSLATE(A96, ""en"", ""id"")"),"95")</f>
        <v>95</v>
      </c>
      <c r="H96" s="6" t="str">
        <f>IFERROR(__xludf.DUMMYFUNCTION("GOOGLETRANSLATE(B96, ""en"", ""id"")"),"Dalam Sepak Takraw profesional, berapa kali sentuhan diperbolehkan per sisi?")</f>
        <v>Dalam Sepak Takraw profesional, berapa kali sentuhan diperbolehkan per sisi?</v>
      </c>
      <c r="I96" s="6" t="str">
        <f>IFERROR(__xludf.DUMMYFUNCTION("GOOGLETRANSLATE(C96, ""en"", ""id"")"),"A) 2 B) 3 C) 4 D) 5")</f>
        <v>A) 2 B) 3 C) 4 D) 5</v>
      </c>
      <c r="J96" s="6" t="str">
        <f>IFERROR(__xludf.DUMMYFUNCTION("GOOGLETRANSLATE(D96, ""en"", ""id"")"),"B) 3")</f>
        <v>B) 3</v>
      </c>
      <c r="K96" s="6" t="str">
        <f>IFERROR(__xludf.DUMMYFUNCTION("GOOGLETRANSLATE(E96, ""en"", ""id"")"),"Tim diperbolehkan melakukan maksimal 3 sentuhan sebelum mengembalikan bola.")</f>
        <v>Tim diperbolehkan melakukan maksimal 3 sentuhan sebelum mengembalikan bola.</v>
      </c>
    </row>
    <row r="97">
      <c r="A97" s="5">
        <v>96.0</v>
      </c>
      <c r="B97" s="10" t="s">
        <v>1731</v>
      </c>
      <c r="C97" s="10" t="s">
        <v>1732</v>
      </c>
      <c r="D97" s="10" t="s">
        <v>1733</v>
      </c>
      <c r="E97" s="10" t="s">
        <v>1734</v>
      </c>
      <c r="G97" s="6" t="str">
        <f>IFERROR(__xludf.DUMMYFUNCTION("GOOGLETRANSLATE(A97, ""en"", ""id"")"),"96")</f>
        <v>96</v>
      </c>
      <c r="H97" s="6" t="str">
        <f>IFERROR(__xludf.DUMMYFUNCTION("GOOGLETRANSLATE(B97, ""en"", ""id"")"),"Bagian tubuh manakah yang paling jarang digunakan dalam pertandingan sepak takraw?")</f>
        <v>Bagian tubuh manakah yang paling jarang digunakan dalam pertandingan sepak takraw?</v>
      </c>
      <c r="I97" s="6" t="str">
        <f>IFERROR(__xludf.DUMMYFUNCTION("GOOGLETRANSLATE(C97, ""en"", ""id"")"),"A) Kepala B) Dada C) Lutut D) Siku")</f>
        <v>A) Kepala B) Dada C) Lutut D) Siku</v>
      </c>
      <c r="J97" s="6" t="str">
        <f>IFERROR(__xludf.DUMMYFUNCTION("GOOGLETRANSLATE(D97, ""en"", ""id"")"),"D) Siku")</f>
        <v>D) Siku</v>
      </c>
      <c r="K97" s="6" t="str">
        <f>IFERROR(__xludf.DUMMYFUNCTION("GOOGLETRANSLATE(E97, ""en"", ""id"")"),"Siku tidak diizinkan; kaki mendominasi permainan kompetitif.")</f>
        <v>Siku tidak diizinkan; kaki mendominasi permainan kompetitif.</v>
      </c>
    </row>
    <row r="98">
      <c r="A98" s="5">
        <v>97.0</v>
      </c>
      <c r="B98" s="10" t="s">
        <v>1735</v>
      </c>
      <c r="C98" s="10" t="s">
        <v>1736</v>
      </c>
      <c r="D98" s="10" t="s">
        <v>1737</v>
      </c>
      <c r="E98" s="10" t="s">
        <v>1738</v>
      </c>
      <c r="G98" s="6" t="str">
        <f>IFERROR(__xludf.DUMMYFUNCTION("GOOGLETRANSLATE(A98, ""en"", ""id"")"),"97")</f>
        <v>97</v>
      </c>
      <c r="H98" s="6" t="str">
        <f>IFERROR(__xludf.DUMMYFUNCTION("GOOGLETRANSLATE(B98, ""en"", ""id"")"),"Tendangan smash Indonesia juga dikenal sebagai:")</f>
        <v>Tendangan smash Indonesia juga dikenal sebagai:</v>
      </c>
      <c r="I98" s="6" t="str">
        <f>IFERROR(__xludf.DUMMYFUNCTION("GOOGLETRANSLATE(C98, ""en"", ""id"")"),"A) Smes B) Sepak Sila C) Gunting D) Tekong")</f>
        <v>A) Smes B) Sepak Sila C) Gunting D) Tekong</v>
      </c>
      <c r="J98" s="6" t="str">
        <f>IFERROR(__xludf.DUMMYFUNCTION("GOOGLETRANSLATE(D98, ""en"", ""id"")"),"C) Gunting")</f>
        <v>C) Gunting</v>
      </c>
      <c r="K98" s="6" t="str">
        <f>IFERROR(__xludf.DUMMYFUNCTION("GOOGLETRANSLATE(E98, ""en"", ""id"")"),"“Gunting” (tendangan gunting) merupakan gerakan menyerang yang menjadi ciri khasnya.")</f>
        <v>“Gunting” (tendangan gunting) merupakan gerakan menyerang yang menjadi ciri khasnya.</v>
      </c>
    </row>
    <row r="99">
      <c r="A99" s="5">
        <v>98.0</v>
      </c>
      <c r="B99" s="10" t="s">
        <v>1739</v>
      </c>
      <c r="C99" s="10" t="s">
        <v>1740</v>
      </c>
      <c r="D99" s="10" t="s">
        <v>1741</v>
      </c>
      <c r="E99" s="10" t="s">
        <v>1742</v>
      </c>
      <c r="G99" s="6" t="str">
        <f>IFERROR(__xludf.DUMMYFUNCTION("GOOGLETRANSLATE(A99, ""en"", ""id"")"),"98")</f>
        <v>98</v>
      </c>
      <c r="H99" s="6" t="str">
        <f>IFERROR(__xludf.DUMMYFUNCTION("GOOGLETRANSLATE(B99, ""en"", ""id"")"),"Keterampilan teknis apa yang ditekankan dalam pelatihan Sepak Takraw Indonesia?")</f>
        <v>Keterampilan teknis apa yang ditekankan dalam pelatihan Sepak Takraw Indonesia?</v>
      </c>
      <c r="I99" s="6" t="str">
        <f>IFERROR(__xludf.DUMMYFUNCTION("GOOGLETRANSLATE(C99, ""en"", ""id"")"),"A) Heading B) Rolling serve C) Bicycle kick D) Heel kick")</f>
        <v>A) Heading B) Rolling serve C) Bicycle kick D) Heel kick</v>
      </c>
      <c r="J99" s="6" t="str">
        <f>IFERROR(__xludf.DUMMYFUNCTION("GOOGLETRANSLATE(D99, ""en"", ""id"")"),"B) Servis bergulir")</f>
        <v>B) Servis bergulir</v>
      </c>
      <c r="K99" s="6" t="str">
        <f>IFERROR(__xludf.DUMMYFUNCTION("GOOGLETRANSLATE(E99, ""en"", ""id"")"),"Servis bergulir merupakan elemen penting yang diajarkan dalam pelatihan Indonesia.")</f>
        <v>Servis bergulir merupakan elemen penting yang diajarkan dalam pelatihan Indonesia.</v>
      </c>
    </row>
    <row r="100">
      <c r="A100" s="5">
        <v>99.0</v>
      </c>
      <c r="B100" s="10" t="s">
        <v>1743</v>
      </c>
      <c r="C100" s="10" t="s">
        <v>1744</v>
      </c>
      <c r="D100" s="10" t="s">
        <v>1745</v>
      </c>
      <c r="E100" s="10" t="s">
        <v>1746</v>
      </c>
      <c r="G100" s="6" t="str">
        <f>IFERROR(__xludf.DUMMYFUNCTION("GOOGLETRANSLATE(A100, ""en"", ""id"")"),"99")</f>
        <v>99</v>
      </c>
      <c r="H100" s="6" t="str">
        <f>IFERROR(__xludf.DUMMYFUNCTION("GOOGLETRANSLATE(B100, ""en"", ""id"")"),"Sistem penilaian mana yang menggantikan aturan “titik layanan” yang lama?")</f>
        <v>Sistem penilaian mana yang menggantikan aturan “titik layanan” yang lama?</v>
      </c>
      <c r="I100" s="6" t="str">
        <f>IFERROR(__xludf.DUMMYFUNCTION("GOOGLETRANSLATE(C100, ""en"", ""id"")"),"A) Titik kumpul B) Titik keuntungan C) Kematian mendadak D) Sistem deuce")</f>
        <v>A) Titik kumpul B) Titik keuntungan C) Kematian mendadak D) Sistem deuce</v>
      </c>
      <c r="J100" s="6" t="str">
        <f>IFERROR(__xludf.DUMMYFUNCTION("GOOGLETRANSLATE(D100, ""en"", ""id"")"),"A) Titik kumpul")</f>
        <v>A) Titik kumpul</v>
      </c>
      <c r="K100" s="6" t="str">
        <f>IFERROR(__xludf.DUMMYFUNCTION("GOOGLETRANSLATE(E100, ""en"", ""id"")"),"Pencetakan titik temu memodernisasi Sepak Takraw secara global.")</f>
        <v>Pencetakan titik temu memodernisasi Sepak Takraw secara global.</v>
      </c>
    </row>
    <row r="101">
      <c r="A101" s="5">
        <v>100.0</v>
      </c>
      <c r="B101" s="10" t="s">
        <v>1747</v>
      </c>
      <c r="C101" s="10" t="s">
        <v>1748</v>
      </c>
      <c r="D101" s="10" t="s">
        <v>1749</v>
      </c>
      <c r="E101" s="10" t="s">
        <v>1750</v>
      </c>
      <c r="G101" s="6" t="str">
        <f>IFERROR(__xludf.DUMMYFUNCTION("GOOGLETRANSLATE(A101, ""en"", ""id"")"),"100")</f>
        <v>100</v>
      </c>
      <c r="H101" s="6" t="str">
        <f>IFERROR(__xludf.DUMMYFUNCTION("GOOGLETRANSLATE(B101, ""en"", ""id"")"),"Di Indonesia, wasit Sepak Takraw harus disertifikasi oleh:")</f>
        <v>Di Indonesia, wasit Sepak Takraw harus disertifikasi oleh:</v>
      </c>
      <c r="I101" s="6" t="str">
        <f>IFERROR(__xludf.DUMMYFUNCTION("GOOGLETRANSLATE(C101, ""en"", ""id"")"),"A) KONI B) ISTAF C) PB PSTI D) IOC")</f>
        <v>A) KONI B) ISTAF C) PB PSTI D) IOC</v>
      </c>
      <c r="J101" s="6" t="str">
        <f>IFERROR(__xludf.DUMMYFUNCTION("GOOGLETRANSLATE(D101, ""en"", ""id"")"),"C) PB PSTI")</f>
        <v>C) PB PSTI</v>
      </c>
      <c r="K101" s="6" t="str">
        <f>IFERROR(__xludf.DUMMYFUNCTION("GOOGLETRANSLATE(E101, ""en"", ""id"")"),"Persatuan Sepak Takraw Seluruh Indonesia mengatur sertifikasi wasit.")</f>
        <v>Persatuan Sepak Takraw Seluruh Indonesia mengatur sertifikasi wasit.</v>
      </c>
    </row>
    <row r="102">
      <c r="A102" s="5">
        <v>101.0</v>
      </c>
      <c r="B102" s="10" t="s">
        <v>1751</v>
      </c>
      <c r="C102" s="10" t="s">
        <v>1752</v>
      </c>
      <c r="D102" s="10" t="s">
        <v>1753</v>
      </c>
      <c r="E102" s="10" t="s">
        <v>1754</v>
      </c>
      <c r="G102" s="6" t="str">
        <f>IFERROR(__xludf.DUMMYFUNCTION("GOOGLETRANSLATE(A102, ""en"", ""id"")"),"101")</f>
        <v>101</v>
      </c>
      <c r="H102" s="6" t="str">
        <f>IFERROR(__xludf.DUMMYFUNCTION("GOOGLETRANSLATE(B102, ""en"", ""id"")"),"Berapa durasi resmi satu set Sepak Takraw?")</f>
        <v>Berapa durasi resmi satu set Sepak Takraw?</v>
      </c>
      <c r="I102" s="6" t="str">
        <f>IFERROR(__xludf.DUMMYFUNCTION("GOOGLETRANSLATE(C102, ""en"", ""id"")"),"A) 11 poin B) 15 poin C) 21 poin D) 25 poin")</f>
        <v>A) 11 poin B) 15 poin C) 21 poin D) 25 poin</v>
      </c>
      <c r="J102" s="6" t="str">
        <f>IFERROR(__xludf.DUMMYFUNCTION("GOOGLETRANSLATE(D102, ""en"", ""id"")"),"C) 21 poin")</f>
        <v>C) 21 poin</v>
      </c>
      <c r="K102" s="6" t="str">
        <f>IFERROR(__xludf.DUMMYFUNCTION("GOOGLETRANSLATE(E102, ""en"", ""id"")"),"Set dimainkan hingga 21 poin berdasarkan aturan ISTAF.")</f>
        <v>Set dimainkan hingga 21 poin berdasarkan aturan ISTAF.</v>
      </c>
    </row>
    <row r="103">
      <c r="A103" s="5">
        <v>102.0</v>
      </c>
      <c r="B103" s="10" t="s">
        <v>1755</v>
      </c>
      <c r="C103" s="10" t="s">
        <v>1756</v>
      </c>
      <c r="D103" s="10" t="s">
        <v>1757</v>
      </c>
      <c r="E103" s="10" t="s">
        <v>1758</v>
      </c>
      <c r="G103" s="6" t="str">
        <f>IFERROR(__xludf.DUMMYFUNCTION("GOOGLETRANSLATE(A103, ""en"", ""id"")"),"102")</f>
        <v>102</v>
      </c>
      <c r="H103" s="6" t="str">
        <f>IFERROR(__xludf.DUMMYFUNCTION("GOOGLETRANSLATE(B103, ""en"", ""id"")"),"Terminologi Indonesia manakah yang menggambarkan “server” dalam Sepak Takraw?")</f>
        <v>Terminologi Indonesia manakah yang menggambarkan “server” dalam Sepak Takraw?</v>
      </c>
      <c r="I103" s="6" t="str">
        <f>IFERROR(__xludf.DUMMYFUNCTION("GOOGLETRANSLATE(C103, ""en"", ""id"")"),"A) Apit B) Tekong C) Feeder D) Spiker")</f>
        <v>A) Apit B) Tekong C) Feeder D) Spiker</v>
      </c>
      <c r="J103" s="6" t="str">
        <f>IFERROR(__xludf.DUMMYFUNCTION("GOOGLETRANSLATE(D103, ""en"", ""id"")"),"B) Tekong")</f>
        <v>B) Tekong</v>
      </c>
      <c r="K103" s="6" t="str">
        <f>IFERROR(__xludf.DUMMYFUNCTION("GOOGLETRANSLATE(E103, ""en"", ""id"")"),"Tekong adalah pemain yang bertanggung jawab untuk melakukan servis.")</f>
        <v>Tekong adalah pemain yang bertanggung jawab untuk melakukan servis.</v>
      </c>
    </row>
    <row r="104">
      <c r="A104" s="5">
        <v>103.0</v>
      </c>
      <c r="B104" s="10" t="s">
        <v>1759</v>
      </c>
      <c r="C104" s="10" t="s">
        <v>1728</v>
      </c>
      <c r="D104" s="10" t="s">
        <v>846</v>
      </c>
      <c r="E104" s="10" t="s">
        <v>1760</v>
      </c>
      <c r="G104" s="6" t="str">
        <f>IFERROR(__xludf.DUMMYFUNCTION("GOOGLETRANSLATE(A104, ""en"", ""id"")"),"103")</f>
        <v>103</v>
      </c>
      <c r="H104" s="6" t="str">
        <f>IFERROR(__xludf.DUMMYFUNCTION("GOOGLETRANSLATE(B104, ""en"", ""id"")"),"Dalam sepak takraw ganda, berapa jumlah pemain di lapangan setiap tim?")</f>
        <v>Dalam sepak takraw ganda, berapa jumlah pemain di lapangan setiap tim?</v>
      </c>
      <c r="I104" s="6" t="str">
        <f>IFERROR(__xludf.DUMMYFUNCTION("GOOGLETRANSLATE(C104, ""en"", ""id"")"),"A) 2 B) 3 C) 4 D) 5")</f>
        <v>A) 2 B) 3 C) 4 D) 5</v>
      </c>
      <c r="J104" s="6" t="str">
        <f>IFERROR(__xludf.DUMMYFUNCTION("GOOGLETRANSLATE(D104, ""en"", ""id"")"),"A) 2")</f>
        <v>A) 2</v>
      </c>
      <c r="K104" s="6" t="str">
        <f>IFERROR(__xludf.DUMMYFUNCTION("GOOGLETRANSLATE(E104, ""en"", ""id"")"),"Format ganda mencakup dua pemain di setiap sisi.")</f>
        <v>Format ganda mencakup dua pemain di setiap sisi.</v>
      </c>
    </row>
    <row r="105">
      <c r="A105" s="5">
        <v>104.0</v>
      </c>
      <c r="B105" s="10" t="s">
        <v>1761</v>
      </c>
      <c r="C105" s="10" t="s">
        <v>1762</v>
      </c>
      <c r="D105" s="10" t="s">
        <v>1763</v>
      </c>
      <c r="E105" s="10" t="s">
        <v>1764</v>
      </c>
      <c r="G105" s="6" t="str">
        <f>IFERROR(__xludf.DUMMYFUNCTION("GOOGLETRANSLATE(A105, ""en"", ""id"")"),"104")</f>
        <v>104</v>
      </c>
      <c r="H105" s="6" t="str">
        <f>IFERROR(__xludf.DUMMYFUNCTION("GOOGLETRANSLATE(B105, ""en"", ""id"")"),"Latihan Indonesia manakah yang menekankan pengendalian bola rotan di udara?")</f>
        <v>Latihan Indonesia manakah yang menekankan pengendalian bola rotan di udara?</v>
      </c>
      <c r="I105" s="6" t="str">
        <f>IFERROR(__xludf.DUMMYFUNCTION("GOOGLETRANSLATE(C105, ""en"", ""id"")"),"A) Lompatan B) Juggling C) Putaran D) Tumbukan")</f>
        <v>A) Lompatan B) Juggling C) Putaran D) Tumbukan</v>
      </c>
      <c r="J105" s="6" t="str">
        <f>IFERROR(__xludf.DUMMYFUNCTION("GOOGLETRANSLATE(D105, ""en"", ""id"")"),"B) Sulap")</f>
        <v>B) Sulap</v>
      </c>
      <c r="K105" s="6" t="str">
        <f>IFERROR(__xludf.DUMMYFUNCTION("GOOGLETRANSLATE(E105, ""en"", ""id"")"),"Latihan juggling membangun stamina dan penguasaan bola.")</f>
        <v>Latihan juggling membangun stamina dan penguasaan bola.</v>
      </c>
    </row>
    <row r="106">
      <c r="A106" s="5">
        <v>105.0</v>
      </c>
      <c r="B106" s="10" t="s">
        <v>1765</v>
      </c>
      <c r="C106" s="10" t="s">
        <v>1766</v>
      </c>
      <c r="D106" s="10" t="s">
        <v>43</v>
      </c>
      <c r="E106" s="10" t="s">
        <v>1767</v>
      </c>
      <c r="G106" s="6" t="str">
        <f>IFERROR(__xludf.DUMMYFUNCTION("GOOGLETRANSLATE(A106, ""en"", ""id"")"),"105")</f>
        <v>105</v>
      </c>
      <c r="H106" s="6" t="str">
        <f>IFERROR(__xludf.DUMMYFUNCTION("GOOGLETRANSLATE(B106, ""en"", ""id"")"),"Kota Indonesia manakah yang menjadi tuan rumah klinik pelatihan wasit Sepak Takraw pertama?")</f>
        <v>Kota Indonesia manakah yang menjadi tuan rumah klinik pelatihan wasit Sepak Takraw pertama?</v>
      </c>
      <c r="I106" s="6" t="str">
        <f>IFERROR(__xludf.DUMMYFUNCTION("GOOGLETRANSLATE(C106, ""en"", ""id"")"),"A)Jakarta B)Bandung C)Yogyakarta D)Palembang")</f>
        <v>A)Jakarta B)Bandung C)Yogyakarta D)Palembang</v>
      </c>
      <c r="J106" s="6" t="str">
        <f>IFERROR(__xludf.DUMMYFUNCTION("GOOGLETRANSLATE(D106, ""en"", ""id"")"),"A) Jakarta")</f>
        <v>A) Jakarta</v>
      </c>
      <c r="K106" s="6" t="str">
        <f>IFERROR(__xludf.DUMMYFUNCTION("GOOGLETRANSLATE(E106, ""en"", ""id"")"),"Jakarta menyelenggarakan program wasit bersertifikat pertama pada tahun 1980-an.")</f>
        <v>Jakarta menyelenggarakan program wasit bersertifikat pertama pada tahun 1980-an.</v>
      </c>
    </row>
    <row r="107">
      <c r="A107" s="5">
        <v>106.0</v>
      </c>
      <c r="B107" s="10" t="s">
        <v>1768</v>
      </c>
      <c r="C107" s="10" t="s">
        <v>1769</v>
      </c>
      <c r="D107" s="10" t="s">
        <v>1434</v>
      </c>
      <c r="E107" s="10" t="s">
        <v>1770</v>
      </c>
      <c r="G107" s="6" t="str">
        <f>IFERROR(__xludf.DUMMYFUNCTION("GOOGLETRANSLATE(A107, ""en"", ""id"")"),"106")</f>
        <v>106</v>
      </c>
      <c r="H107" s="6" t="str">
        <f>IFERROR(__xludf.DUMMYFUNCTION("GOOGLETRANSLATE(B107, ""en"", ""id"")"),"Siapa kapten tim sepak takraw Indonesia pada Asian Games 1990?")</f>
        <v>Siapa kapten tim sepak takraw Indonesia pada Asian Games 1990?</v>
      </c>
      <c r="I107" s="6" t="str">
        <f>IFERROR(__xludf.DUMMYFUNCTION("GOOGLETRANSLATE(C107, ""en"", ""id"")"),"A) Ardy Sutedjo B) Bambang Suprianto C) Zulkifli Nasution D) Rijal Akhmad")</f>
        <v>A) Ardy Sutedjo B) Bambang Suprianto C) Zulkifli Nasution D) Rijal Akhmad</v>
      </c>
      <c r="J107" s="6" t="str">
        <f>IFERROR(__xludf.DUMMYFUNCTION("GOOGLETRANSLATE(D107, ""en"", ""id"")"),"A) Ardy Sutedjo")</f>
        <v>A) Ardy Sutedjo</v>
      </c>
      <c r="K107" s="6" t="str">
        <f>IFERROR(__xludf.DUMMYFUNCTION("GOOGLETRANSLATE(E107, ""en"", ""id"")"),"Ardy Sutedjo, pemain bintang Indonesia, pernah memimpin timnas pada tahun 1990.")</f>
        <v>Ardy Sutedjo, pemain bintang Indonesia, pernah memimpin timnas pada tahun 1990.</v>
      </c>
    </row>
    <row r="108">
      <c r="A108" s="5">
        <v>107.0</v>
      </c>
      <c r="B108" s="10" t="s">
        <v>1771</v>
      </c>
      <c r="C108" s="10" t="s">
        <v>1772</v>
      </c>
      <c r="D108" s="10" t="s">
        <v>1773</v>
      </c>
      <c r="E108" s="10" t="s">
        <v>1774</v>
      </c>
      <c r="G108" s="6" t="str">
        <f>IFERROR(__xludf.DUMMYFUNCTION("GOOGLETRANSLATE(A108, ""en"", ""id"")"),"107")</f>
        <v>107</v>
      </c>
      <c r="H108" s="6" t="str">
        <f>IFERROR(__xludf.DUMMYFUNCTION("GOOGLETRANSLATE(B108, ""en"", ""id"")"),"Pemain putri Indonesia manakah yang memenangkan medali emas pertama bagi negaranya di SEA Games?")</f>
        <v>Pemain putri Indonesia manakah yang memenangkan medali emas pertama bagi negaranya di SEA Games?</v>
      </c>
      <c r="I108" s="6" t="str">
        <f>IFERROR(__xludf.DUMMYFUNCTION("GOOGLETRANSLATE(C108, ""en"", ""id"")"),"A) Nurhayati B) Dian Anggraini C) Siti Aminah D) Ratna Dewi")</f>
        <v>A) Nurhayati B) Dian Anggraini C) Siti Aminah D) Ratna Dewi</v>
      </c>
      <c r="J108" s="6" t="str">
        <f>IFERROR(__xludf.DUMMYFUNCTION("GOOGLETRANSLATE(D108, ""en"", ""id"")"),"B) Dian Anggraini")</f>
        <v>B) Dian Anggraini</v>
      </c>
      <c r="K108" s="6" t="str">
        <f>IFERROR(__xludf.DUMMYFUNCTION("GOOGLETRANSLATE(E108, ""en"", ""id"")"),"Dian Anggraini menjadi pionir kesuksesan sepak takraw putri Indonesia.")</f>
        <v>Dian Anggraini menjadi pionir kesuksesan sepak takraw putri Indonesia.</v>
      </c>
    </row>
    <row r="109">
      <c r="A109" s="5">
        <v>108.0</v>
      </c>
      <c r="B109" s="10" t="s">
        <v>1775</v>
      </c>
      <c r="C109" s="10" t="s">
        <v>1776</v>
      </c>
      <c r="D109" s="10" t="s">
        <v>1777</v>
      </c>
      <c r="E109" s="10" t="s">
        <v>1778</v>
      </c>
      <c r="G109" s="6" t="str">
        <f>IFERROR(__xludf.DUMMYFUNCTION("GOOGLETRANSLATE(A109, ""en"", ""id"")"),"108")</f>
        <v>108</v>
      </c>
      <c r="H109" s="6" t="str">
        <f>IFERROR(__xludf.DUMMYFUNCTION("GOOGLETRANSLATE(B109, ""en"", ""id"")"),"Di kota manakah Kejuaraan Sepak Takraw Asia tahun 1992 diadakan?")</f>
        <v>Di kota manakah Kejuaraan Sepak Takraw Asia tahun 1992 diadakan?</v>
      </c>
      <c r="I109" s="6" t="str">
        <f>IFERROR(__xludf.DUMMYFUNCTION("GOOGLETRANSLATE(C109, ""en"", ""id"")"),"A) Surabaya B) Jakarta C) Yogyakarta D) Bandung")</f>
        <v>A) Surabaya B) Jakarta C) Yogyakarta D) Bandung</v>
      </c>
      <c r="J109" s="6" t="str">
        <f>IFERROR(__xludf.DUMMYFUNCTION("GOOGLETRANSLATE(D109, ""en"", ""id"")"),"B) Jakarta")</f>
        <v>B) Jakarta</v>
      </c>
      <c r="K109" s="6" t="str">
        <f>IFERROR(__xludf.DUMMYFUNCTION("GOOGLETRANSLATE(E109, ""en"", ""id"")"),"Jakarta dengan bangga menjadi tuan rumah Kejuaraan Asia pada tahun 1992.")</f>
        <v>Jakarta dengan bangga menjadi tuan rumah Kejuaraan Asia pada tahun 1992.</v>
      </c>
    </row>
    <row r="110">
      <c r="A110" s="5">
        <v>109.0</v>
      </c>
      <c r="B110" s="10" t="s">
        <v>1779</v>
      </c>
      <c r="C110" s="10" t="s">
        <v>1780</v>
      </c>
      <c r="D110" s="10" t="s">
        <v>1781</v>
      </c>
      <c r="E110" s="10" t="s">
        <v>1782</v>
      </c>
      <c r="G110" s="6" t="str">
        <f>IFERROR(__xludf.DUMMYFUNCTION("GOOGLETRANSLATE(A110, ""en"", ""id"")"),"109")</f>
        <v>109</v>
      </c>
      <c r="H110" s="6" t="str">
        <f>IFERROR(__xludf.DUMMYFUNCTION("GOOGLETRANSLATE(B110, ""en"", ""id"")"),"Pemain Indonesia manakah yang dijuluki “Garuda Terbang” karena smash akrobatiknya?")</f>
        <v>Pemain Indonesia manakah yang dijuluki “Garuda Terbang” karena smash akrobatiknya?</v>
      </c>
      <c r="I110" s="6" t="str">
        <f>IFERROR(__xludf.DUMMYFUNCTION("GOOGLETRANSLATE(C110, ""en"", ""id"")"),"A) Rijal Akhmad B) Muhammad Iqbal C) Bambang Suprianto D) Ardy Sutedjo")</f>
        <v>A) Rijal Akhmad B) Muhammad Iqbal C) Bambang Suprianto D) Ardy Sutedjo</v>
      </c>
      <c r="J110" s="6" t="str">
        <f>IFERROR(__xludf.DUMMYFUNCTION("GOOGLETRANSLATE(D110, ""en"", ""id"")"),"A) Rijal Akhmad")</f>
        <v>A) Rijal Akhmad</v>
      </c>
      <c r="K110" s="6" t="str">
        <f>IFERROR(__xludf.DUMMYFUNCTION("GOOGLETRANSLATE(E110, ""en"", ""id"")"),"Rijal Akhmad dikagumi karena gaya serangan udaranya.")</f>
        <v>Rijal Akhmad dikagumi karena gaya serangan udaranya.</v>
      </c>
    </row>
    <row r="111">
      <c r="A111" s="5">
        <v>110.0</v>
      </c>
      <c r="B111" s="10" t="s">
        <v>1783</v>
      </c>
      <c r="C111" s="10" t="s">
        <v>1784</v>
      </c>
      <c r="D111" s="10" t="s">
        <v>1785</v>
      </c>
      <c r="E111" s="10" t="s">
        <v>1786</v>
      </c>
      <c r="G111" s="6" t="str">
        <f>IFERROR(__xludf.DUMMYFUNCTION("GOOGLETRANSLATE(A111, ""en"", ""id"")"),"110")</f>
        <v>110</v>
      </c>
      <c r="H111" s="6" t="str">
        <f>IFERROR(__xludf.DUMMYFUNCTION("GOOGLETRANSLATE(B111, ""en"", ""id"")"),"Kapan Indonesia pertama kali menjadi tuan rumah SEA Games yang menampilkan Sepak Takraw?")</f>
        <v>Kapan Indonesia pertama kali menjadi tuan rumah SEA Games yang menampilkan Sepak Takraw?</v>
      </c>
      <c r="I111" s="6" t="str">
        <f>IFERROR(__xludf.DUMMYFUNCTION("GOOGLETRANSLATE(C111, ""en"", ""id"")"),"A) Tahun 1979 B) Tahun 1987 C) Tahun 1997 D) Tahun 2011")</f>
        <v>A) Tahun 1979 B) Tahun 1987 C) Tahun 1997 D) Tahun 2011</v>
      </c>
      <c r="J111" s="6" t="str">
        <f>IFERROR(__xludf.DUMMYFUNCTION("GOOGLETRANSLATE(D111, ""en"", ""id"")"),"C) Tahun 1997")</f>
        <v>C) Tahun 1997</v>
      </c>
      <c r="K111" s="6" t="str">
        <f>IFERROR(__xludf.DUMMYFUNCTION("GOOGLETRANSLATE(E111, ""en"", ""id"")"),"Jakarta menjadi tuan rumah SEA Games 1997, menampilkan Sepak Takraw di kandang sendiri.")</f>
        <v>Jakarta menjadi tuan rumah SEA Games 1997, menampilkan Sepak Takraw di kandang sendiri.</v>
      </c>
    </row>
    <row r="112">
      <c r="A112" s="5">
        <v>111.0</v>
      </c>
      <c r="B112" s="10" t="s">
        <v>1787</v>
      </c>
      <c r="C112" s="10" t="s">
        <v>1788</v>
      </c>
      <c r="D112" s="10" t="s">
        <v>1789</v>
      </c>
      <c r="E112" s="10" t="s">
        <v>1790</v>
      </c>
      <c r="G112" s="6" t="str">
        <f>IFERROR(__xludf.DUMMYFUNCTION("GOOGLETRANSLATE(A112, ""en"", ""id"")"),"111")</f>
        <v>111</v>
      </c>
      <c r="H112" s="6" t="str">
        <f>IFERROR(__xludf.DUMMYFUNCTION("GOOGLETRANSLATE(B112, ""en"", ""id"")"),"Provinsi Indonesia manakah yang secara konsisten menghasilkan pemain bertahan terbaik dalam Sepak Takraw?")</f>
        <v>Provinsi Indonesia manakah yang secara konsisten menghasilkan pemain bertahan terbaik dalam Sepak Takraw?</v>
      </c>
      <c r="I112" s="6" t="str">
        <f>IFERROR(__xludf.DUMMYFUNCTION("GOOGLETRANSLATE(C112, ""en"", ""id"")"),"A) Aceh B) Sulawesi Selatan C) Jawa Barat D) Kalimantan Timur")</f>
        <v>A) Aceh B) Sulawesi Selatan C) Jawa Barat D) Kalimantan Timur</v>
      </c>
      <c r="J112" s="6" t="str">
        <f>IFERROR(__xludf.DUMMYFUNCTION("GOOGLETRANSLATE(D112, ""en"", ""id"")"),"B) Sulawesi Selatan")</f>
        <v>B) Sulawesi Selatan</v>
      </c>
      <c r="K112" s="6" t="str">
        <f>IFERROR(__xludf.DUMMYFUNCTION("GOOGLETRANSLATE(E112, ""en"", ""id"")"),"Dikenal karena stamina dan kelincahannya, atlet Sulawesi Selatan unggul sebagai pemain bertahan.")</f>
        <v>Dikenal karena stamina dan kelincahannya, atlet Sulawesi Selatan unggul sebagai pemain bertahan.</v>
      </c>
    </row>
    <row r="113">
      <c r="A113" s="5">
        <v>112.0</v>
      </c>
      <c r="B113" s="10" t="s">
        <v>1791</v>
      </c>
      <c r="C113" s="10" t="s">
        <v>1792</v>
      </c>
      <c r="D113" s="10" t="s">
        <v>1793</v>
      </c>
      <c r="E113" s="10" t="s">
        <v>1794</v>
      </c>
      <c r="G113" s="6" t="str">
        <f>IFERROR(__xludf.DUMMYFUNCTION("GOOGLETRANSLATE(A113, ""en"", ""id"")"),"112")</f>
        <v>112</v>
      </c>
      <c r="H113" s="6" t="str">
        <f>IFERROR(__xludf.DUMMYFUNCTION("GOOGLETRANSLATE(B113, ""en"", ""id"")"),"Tim klub Indonesia mana yang memenangkan Liga Nasional Sepak Takraw tiga tahun berturut-turut?")</f>
        <v>Tim klub Indonesia mana yang memenangkan Liga Nasional Sepak Takraw tiga tahun berturut-turut?</v>
      </c>
      <c r="I113" s="6" t="str">
        <f>IFERROR(__xludf.DUMMYFUNCTION("GOOGLETRANSLATE(C113, ""en"", ""id"")"),"A) Pejuang Jakarta B) Raga Makassar C) Tekong Surabaya D) Smashers Palembang")</f>
        <v>A) Pejuang Jakarta B) Raga Makassar C) Tekong Surabaya D) Smashers Palembang</v>
      </c>
      <c r="J113" s="6" t="str">
        <f>IFERROR(__xludf.DUMMYFUNCTION("GOOGLETRANSLATE(D113, ""en"", ""id"")"),"B) Raga Makassar")</f>
        <v>B) Raga Makassar</v>
      </c>
      <c r="K113" s="6" t="str">
        <f>IFERROR(__xludf.DUMMYFUNCTION("GOOGLETRANSLATE(E113, ""en"", ""id"")"),"Makassar Raga mendominasi kompetisi nasional dengan permainan reguler yang kuat.")</f>
        <v>Makassar Raga mendominasi kompetisi nasional dengan permainan reguler yang kuat.</v>
      </c>
    </row>
    <row r="114">
      <c r="A114" s="5">
        <v>113.0</v>
      </c>
      <c r="B114" s="10" t="s">
        <v>1795</v>
      </c>
      <c r="C114" s="10" t="s">
        <v>1796</v>
      </c>
      <c r="D114" s="10" t="s">
        <v>1797</v>
      </c>
      <c r="E114" s="10" t="s">
        <v>1798</v>
      </c>
      <c r="G114" s="6" t="str">
        <f>IFERROR(__xludf.DUMMYFUNCTION("GOOGLETRANSLATE(A114, ""en"", ""id"")"),"113")</f>
        <v>113</v>
      </c>
      <c r="H114" s="6" t="str">
        <f>IFERROR(__xludf.DUMMYFUNCTION("GOOGLETRANSLATE(B114, ""en"", ""id"")"),"Siapa orang Indonesia termuda yang memulai debut di Piala Dunia Sepak Takraw?")</f>
        <v>Siapa orang Indonesia termuda yang memulai debut di Piala Dunia Sepak Takraw?</v>
      </c>
      <c r="I114" s="6" t="str">
        <f>IFERROR(__xludf.DUMMYFUNCTION("GOOGLETRANSLATE(C114, ""en"", ""id"")"),"A) Ardy Sutedjo B) Rijal Akhmad C) Rizky Hidayat D) Muhammad Iqbal")</f>
        <v>A) Ardy Sutedjo B) Rijal Akhmad C) Rizky Hidayat D) Muhammad Iqbal</v>
      </c>
      <c r="J114" s="6" t="str">
        <f>IFERROR(__xludf.DUMMYFUNCTION("GOOGLETRANSLATE(D114, ""en"", ""id"")"),"C) Rizky Hidayat")</f>
        <v>C) Rizky Hidayat</v>
      </c>
      <c r="K114" s="6" t="str">
        <f>IFERROR(__xludf.DUMMYFUNCTION("GOOGLETRANSLATE(E114, ""en"", ""id"")"),"Rizky Hidayat memulai debutnya di usia 17 tahun, melambangkan pertumbuhan kaum muda dalam olahraga ini.")</f>
        <v>Rizky Hidayat memulai debutnya di usia 17 tahun, melambangkan pertumbuhan kaum muda dalam olahraga ini.</v>
      </c>
    </row>
    <row r="115">
      <c r="A115" s="5">
        <v>114.0</v>
      </c>
      <c r="B115" s="10" t="s">
        <v>1799</v>
      </c>
      <c r="C115" s="10" t="s">
        <v>1800</v>
      </c>
      <c r="D115" s="10" t="s">
        <v>1561</v>
      </c>
      <c r="E115" s="10" t="s">
        <v>1801</v>
      </c>
      <c r="G115" s="6" t="str">
        <f>IFERROR(__xludf.DUMMYFUNCTION("GOOGLETRANSLATE(A115, ""en"", ""id"")"),"114")</f>
        <v>114</v>
      </c>
      <c r="H115" s="6" t="str">
        <f>IFERROR(__xludf.DUMMYFUNCTION("GOOGLETRANSLATE(B115, ""en"", ""id"")"),"Pada tahun berapa Indonesia berhasil meraih medali Piala Dunia Sepak Takraw yang pertama?")</f>
        <v>Pada tahun berapa Indonesia berhasil meraih medali Piala Dunia Sepak Takraw yang pertama?</v>
      </c>
      <c r="I115" s="6" t="str">
        <f>IFERROR(__xludf.DUMMYFUNCTION("GOOGLETRANSLATE(C115, ""en"", ""id"")"),"A) Tahun 1985 B) Tahun 1990 C) Tahun 1992 D) Tahun 1998")</f>
        <v>A) Tahun 1985 B) Tahun 1990 C) Tahun 1992 D) Tahun 1998</v>
      </c>
      <c r="J115" s="6" t="str">
        <f>IFERROR(__xludf.DUMMYFUNCTION("GOOGLETRANSLATE(D115, ""en"", ""id"")"),"B) Tahun 1990")</f>
        <v>B) Tahun 1990</v>
      </c>
      <c r="K115" s="6" t="str">
        <f>IFERROR(__xludf.DUMMYFUNCTION("GOOGLETRANSLATE(E115, ""en"", ""id"")"),"Indonesia meraih medali pertamanya pada Piala Dunia 1990.")</f>
        <v>Indonesia meraih medali pertamanya pada Piala Dunia 1990.</v>
      </c>
    </row>
    <row r="116">
      <c r="A116" s="5">
        <v>115.0</v>
      </c>
      <c r="B116" s="10" t="s">
        <v>1802</v>
      </c>
      <c r="C116" s="10" t="s">
        <v>1803</v>
      </c>
      <c r="D116" s="10" t="s">
        <v>1804</v>
      </c>
      <c r="E116" s="10" t="s">
        <v>1805</v>
      </c>
      <c r="G116" s="6" t="str">
        <f>IFERROR(__xludf.DUMMYFUNCTION("GOOGLETRANSLATE(A116, ""en"", ""id"")"),"115")</f>
        <v>115</v>
      </c>
      <c r="H116" s="6" t="str">
        <f>IFERROR(__xludf.DUMMYFUNCTION("GOOGLETRANSLATE(B116, ""en"", ""id"")"),"Pelatih Indonesia mana yang memperkenalkan metode pelatihan modern pada tahun 2000-an?")</f>
        <v>Pelatih Indonesia mana yang memperkenalkan metode pelatihan modern pada tahun 2000-an?</v>
      </c>
      <c r="I116" s="6" t="str">
        <f>IFERROR(__xludf.DUMMYFUNCTION("GOOGLETRANSLATE(C116, ""en"", ""id"")"),"A) Bambang Hartono B) Joko Susanto C) Eko Prabowo D) Surya Wirawan")</f>
        <v>A) Bambang Hartono B) Joko Susanto C) Eko Prabowo D) Surya Wirawan</v>
      </c>
      <c r="J116" s="6" t="str">
        <f>IFERROR(__xludf.DUMMYFUNCTION("GOOGLETRANSLATE(D116, ""en"", ""id"")"),"C) Eko Prabowo")</f>
        <v>C) Eko Prabowo</v>
      </c>
      <c r="K116" s="6" t="str">
        <f>IFERROR(__xludf.DUMMYFUNCTION("GOOGLETRANSLATE(E116, ""en"", ""id"")"),"Eko Prabowo mengintegrasikan ilmu olahraga dan analisis ke dalam pelatihan Sepak Takraw.")</f>
        <v>Eko Prabowo mengintegrasikan ilmu olahraga dan analisis ke dalam pelatihan Sepak Takraw.</v>
      </c>
    </row>
    <row r="117">
      <c r="A117" s="5">
        <v>116.0</v>
      </c>
      <c r="B117" s="10" t="s">
        <v>1806</v>
      </c>
      <c r="C117" s="10" t="s">
        <v>1807</v>
      </c>
      <c r="D117" s="10" t="s">
        <v>1422</v>
      </c>
      <c r="E117" s="10" t="s">
        <v>1808</v>
      </c>
      <c r="G117" s="6" t="str">
        <f>IFERROR(__xludf.DUMMYFUNCTION("GOOGLETRANSLATE(A117, ""en"", ""id"")"),"116")</f>
        <v>116</v>
      </c>
      <c r="H117" s="6" t="str">
        <f>IFERROR(__xludf.DUMMYFUNCTION("GOOGLETRANSLATE(B117, ""en"", ""id"")"),"Tim putri Indonesia manakah yang secara mengejutkan memenangkan perunggu di Asian Games 2010?")</f>
        <v>Tim putri Indonesia manakah yang secara mengejutkan memenangkan perunggu di Asian Games 2010?</v>
      </c>
      <c r="I117" s="6" t="str">
        <f>IFERROR(__xludf.DUMMYFUNCTION("GOOGLETRANSLATE(C117, ""en"", ""id"")"),"A) Jawa Timur B) Jakarta C) Sumatera Barat D) Bali")</f>
        <v>A) Jawa Timur B) Jakarta C) Sumatera Barat D) Bali</v>
      </c>
      <c r="J117" s="6" t="str">
        <f>IFERROR(__xludf.DUMMYFUNCTION("GOOGLETRANSLATE(D117, ""en"", ""id"")"),"A) Jawa Timur")</f>
        <v>A) Jawa Timur</v>
      </c>
      <c r="K117" s="6" t="str">
        <f>IFERROR(__xludf.DUMMYFUNCTION("GOOGLETRANSLATE(E117, ""en"", ""id"")"),"Tim putri Jawa Timur meraih medali perunggu bersejarah pada tahun 2010.")</f>
        <v>Tim putri Jawa Timur meraih medali perunggu bersejarah pada tahun 2010.</v>
      </c>
    </row>
    <row r="118">
      <c r="A118" s="5">
        <v>117.0</v>
      </c>
      <c r="B118" s="10" t="s">
        <v>1809</v>
      </c>
      <c r="C118" s="10" t="s">
        <v>1810</v>
      </c>
      <c r="D118" s="10" t="s">
        <v>1811</v>
      </c>
      <c r="E118" s="10" t="s">
        <v>1812</v>
      </c>
      <c r="G118" s="6" t="str">
        <f>IFERROR(__xludf.DUMMYFUNCTION("GOOGLETRANSLATE(A118, ""en"", ""id"")"),"117")</f>
        <v>117</v>
      </c>
      <c r="H118" s="6" t="str">
        <f>IFERROR(__xludf.DUMMYFUNCTION("GOOGLETRANSLATE(B118, ""en"", ""id"")"),"Siapakah yang dianggap sebagai “Bapak Sepak Takraw Indonesia”?")</f>
        <v>Siapakah yang dianggap sebagai “Bapak Sepak Takraw Indonesia”?</v>
      </c>
      <c r="I118" s="6" t="str">
        <f>IFERROR(__xludf.DUMMYFUNCTION("GOOGLETRANSLATE(C118, ""en"", ""id"")"),"A)Soekarno B)Maladi C)Surono Reksodimedjo D)Ardy Sutedjo")</f>
        <v>A)Soekarno B)Maladi C)Surono Reksodimedjo D)Ardy Sutedjo</v>
      </c>
      <c r="J118" s="6" t="str">
        <f>IFERROR(__xludf.DUMMYFUNCTION("GOOGLETRANSLATE(D118, ""en"", ""id"")"),"C) Surono Reksodimedjo")</f>
        <v>C) Surono Reksodimedjo</v>
      </c>
      <c r="K118" s="6" t="str">
        <f>IFERROR(__xludf.DUMMYFUNCTION("GOOGLETRANSLATE(E118, ""en"", ""id"")"),"Kepemimpinan Surono melembagakan Sepak Takraw di Indonesia.")</f>
        <v>Kepemimpinan Surono melembagakan Sepak Takraw di Indonesia.</v>
      </c>
    </row>
    <row r="119">
      <c r="A119" s="5">
        <v>118.0</v>
      </c>
      <c r="B119" s="10" t="s">
        <v>1813</v>
      </c>
      <c r="C119" s="10" t="s">
        <v>1814</v>
      </c>
      <c r="D119" s="10" t="s">
        <v>1815</v>
      </c>
      <c r="E119" s="10" t="s">
        <v>1816</v>
      </c>
      <c r="G119" s="6" t="str">
        <f>IFERROR(__xludf.DUMMYFUNCTION("GOOGLETRANSLATE(A119, ""en"", ""id"")"),"118")</f>
        <v>118</v>
      </c>
      <c r="H119" s="6" t="str">
        <f>IFERROR(__xludf.DUMMYFUNCTION("GOOGLETRANSLATE(B119, ""en"", ""id"")"),"Tim Indonesia mana yang mencapai final ISTAF SuperSeries 2013?")</f>
        <v>Tim Indonesia mana yang mencapai final ISTAF SuperSeries 2013?</v>
      </c>
      <c r="I119" s="6" t="str">
        <f>IFERROR(__xludf.DUMMYFUNCTION("GOOGLETRANSLATE(C119, ""en"", ""id"")"),"A) Raga Makassar B) Pejuang Jakarta C) Timnas Indonesia D) Smashers Palembang")</f>
        <v>A) Raga Makassar B) Pejuang Jakarta C) Timnas Indonesia D) Smashers Palembang</v>
      </c>
      <c r="J119" s="6" t="str">
        <f>IFERROR(__xludf.DUMMYFUNCTION("GOOGLETRANSLATE(D119, ""en"", ""id"")"),"C) Tim Nasional Indonesia")</f>
        <v>C) Tim Nasional Indonesia</v>
      </c>
      <c r="K119" s="6" t="str">
        <f>IFERROR(__xludf.DUMMYFUNCTION("GOOGLETRANSLATE(E119, ""en"", ""id"")"),"Timnas Indonesia berhasil melaju ke babak final di ajang SuperSeries.")</f>
        <v>Timnas Indonesia berhasil melaju ke babak final di ajang SuperSeries.</v>
      </c>
    </row>
    <row r="120">
      <c r="A120" s="5">
        <v>119.0</v>
      </c>
      <c r="B120" s="10" t="s">
        <v>1817</v>
      </c>
      <c r="C120" s="10" t="s">
        <v>1818</v>
      </c>
      <c r="D120" s="10" t="s">
        <v>1819</v>
      </c>
      <c r="E120" s="10" t="s">
        <v>1820</v>
      </c>
      <c r="G120" s="6" t="str">
        <f>IFERROR(__xludf.DUMMYFUNCTION("GOOGLETRANSLATE(A120, ""en"", ""id"")"),"119")</f>
        <v>119</v>
      </c>
      <c r="H120" s="6" t="str">
        <f>IFERROR(__xludf.DUMMYFUNCTION("GOOGLETRANSLATE(B120, ""en"", ""id"")"),"Atlet Indonesia manakah yang dikenal karena menguasai teknik “sunback spike” yang mematikan?")</f>
        <v>Atlet Indonesia manakah yang dikenal karena menguasai teknik “sunback spike” yang mematikan?</v>
      </c>
      <c r="I120" s="6" t="str">
        <f>IFERROR(__xludf.DUMMYFUNCTION("GOOGLETRANSLATE(C120, ""en"", ""id"")"),"A) Zulkifli Nasution B) Muhammad Iqbal C) Rijal Akhmad D) Rizky Hidayat")</f>
        <v>A) Zulkifli Nasution B) Muhammad Iqbal C) Rijal Akhmad D) Rizky Hidayat</v>
      </c>
      <c r="J120" s="6" t="str">
        <f>IFERROR(__xludf.DUMMYFUNCTION("GOOGLETRANSLATE(D120, ""en"", ""id"")"),"B) Muhammad Iqbal")</f>
        <v>B) Muhammad Iqbal</v>
      </c>
      <c r="K120" s="6" t="str">
        <f>IFERROR(__xludf.DUMMYFUNCTION("GOOGLETRANSLATE(E120, ""en"", ""id"")"),"Teknik spike yang unik dari Muhammad Iqbal membuatnya menjadi favorit penggemar.")</f>
        <v>Teknik spike yang unik dari Muhammad Iqbal membuatnya menjadi favorit penggemar.</v>
      </c>
    </row>
    <row r="121">
      <c r="A121" s="5">
        <v>120.0</v>
      </c>
      <c r="B121" s="10" t="s">
        <v>1821</v>
      </c>
      <c r="C121" s="10" t="s">
        <v>1822</v>
      </c>
      <c r="D121" s="10" t="s">
        <v>1823</v>
      </c>
      <c r="E121" s="10" t="s">
        <v>1824</v>
      </c>
      <c r="G121" s="6" t="str">
        <f>IFERROR(__xludf.DUMMYFUNCTION("GOOGLETRANSLATE(A121, ""en"", ""id"")"),"120")</f>
        <v>120</v>
      </c>
      <c r="H121" s="6" t="str">
        <f>IFERROR(__xludf.DUMMYFUNCTION("GOOGLETRANSLATE(B121, ""en"", ""id"")"),"Provinsi manakah di Indonesia yang menjadi tuan rumah Kejuaraan Nasional Sepak Takraw 2018?")</f>
        <v>Provinsi manakah di Indonesia yang menjadi tuan rumah Kejuaraan Nasional Sepak Takraw 2018?</v>
      </c>
      <c r="I121" s="6" t="str">
        <f>IFERROR(__xludf.DUMMYFUNCTION("GOOGLETRANSLATE(C121, ""en"", ""id"")"),"A) Jawa Tengah B) Sulawesi Selatan C) Kalimantan Timur D) Aceh")</f>
        <v>A) Jawa Tengah B) Sulawesi Selatan C) Kalimantan Timur D) Aceh</v>
      </c>
      <c r="J121" s="6" t="str">
        <f>IFERROR(__xludf.DUMMYFUNCTION("GOOGLETRANSLATE(D121, ""en"", ""id"")"),"D) Aceh")</f>
        <v>D) Aceh</v>
      </c>
      <c r="K121" s="6" t="str">
        <f>IFERROR(__xludf.DUMMYFUNCTION("GOOGLETRANSLATE(E121, ""en"", ""id"")"),"Aceh menjadi tuan rumah kejuaraan tersebut, yang menyorot meningkatnya perannya dalam olahraga tersebut.")</f>
        <v>Aceh menjadi tuan rumah kejuaraan tersebut, yang menyorot meningkatnya perannya dalam olahraga tersebut.</v>
      </c>
    </row>
    <row r="122">
      <c r="A122" s="5">
        <v>121.0</v>
      </c>
      <c r="B122" s="10" t="s">
        <v>1825</v>
      </c>
      <c r="C122" s="10" t="s">
        <v>1826</v>
      </c>
      <c r="D122" s="10" t="s">
        <v>1827</v>
      </c>
      <c r="E122" s="10" t="s">
        <v>1828</v>
      </c>
      <c r="G122" s="6" t="str">
        <f>IFERROR(__xludf.DUMMYFUNCTION("GOOGLETRANSLATE(A122, ""en"", ""id"")"),"121")</f>
        <v>121</v>
      </c>
      <c r="H122" s="6" t="str">
        <f>IFERROR(__xludf.DUMMYFUNCTION("GOOGLETRANSLATE(B122, ""en"", ""id"")"),"Dalam budaya populer Indonesia, Sepak Takraw telah ditampilkan dalam film apa?")</f>
        <v>Dalam budaya populer Indonesia, Sepak Takraw telah ditampilkan dalam film apa?</v>
      </c>
      <c r="I122" s="6" t="str">
        <f>IFERROR(__xludf.DUMMYFUNCTION("GOOGLETRANSLATE(C122, ""en"", ""id"")"),"A) Laskar Pelangi B) Garuda di Dadaku C) Raga Sepakbola D) Merah Putih")</f>
        <v>A) Laskar Pelangi B) Garuda di Dadaku C) Raga Sepakbola D) Merah Putih</v>
      </c>
      <c r="J122" s="6" t="str">
        <f>IFERROR(__xludf.DUMMYFUNCTION("GOOGLETRANSLATE(D122, ""en"", ""id"")"),"C) Sepakbola Raga")</f>
        <v>C) Sepakbola Raga</v>
      </c>
      <c r="K122" s="6" t="str">
        <f>IFERROR(__xludf.DUMMYFUNCTION("GOOGLETRANSLATE(E122, ""en"", ""id"")"),"Film ini menonjolkan kebanggaan budaya melalui sepak takraw.")</f>
        <v>Film ini menonjolkan kebanggaan budaya melalui sepak takraw.</v>
      </c>
    </row>
    <row r="123">
      <c r="A123" s="5">
        <v>122.0</v>
      </c>
      <c r="B123" s="10" t="s">
        <v>1829</v>
      </c>
      <c r="C123" s="10" t="s">
        <v>1830</v>
      </c>
      <c r="D123" s="10" t="s">
        <v>1709</v>
      </c>
      <c r="E123" s="10" t="s">
        <v>1831</v>
      </c>
      <c r="G123" s="6" t="str">
        <f>IFERROR(__xludf.DUMMYFUNCTION("GOOGLETRANSLATE(A123, ""en"", ""id"")"),"122")</f>
        <v>122</v>
      </c>
      <c r="H123" s="6" t="str">
        <f>IFERROR(__xludf.DUMMYFUNCTION("GOOGLETRANSLATE(B123, ""en"", ""id"")"),"Provinsi manakah di Indonesia yang mengintegrasikan Sepak Takraw ke dalam pertunjukan tari tradisional?")</f>
        <v>Provinsi manakah di Indonesia yang mengintegrasikan Sepak Takraw ke dalam pertunjukan tari tradisional?</v>
      </c>
      <c r="I123" s="6" t="str">
        <f>IFERROR(__xludf.DUMMYFUNCTION("GOOGLETRANSLATE(C123, ""en"", ""id"")"),"A) Bali B) Sumatera Barat C) Sulawesi Selatan D) Nusa Tenggara Barat")</f>
        <v>A) Bali B) Sumatera Barat C) Sulawesi Selatan D) Nusa Tenggara Barat</v>
      </c>
      <c r="J123" s="6" t="str">
        <f>IFERROR(__xludf.DUMMYFUNCTION("GOOGLETRANSLATE(D123, ""en"", ""id"")"),"C) Sulawesi Selatan")</f>
        <v>C) Sulawesi Selatan</v>
      </c>
      <c r="K123" s="6" t="str">
        <f>IFERROR(__xludf.DUMMYFUNCTION("GOOGLETRANSLATE(E123, ""en"", ""id"")"),"Para pengisi acara asal Sulawesi Selatan memadukan pertunjukan tari dan Sepak Raga.")</f>
        <v>Para pengisi acara asal Sulawesi Selatan memadukan pertunjukan tari dan Sepak Raga.</v>
      </c>
    </row>
    <row r="124">
      <c r="A124" s="5">
        <v>123.0</v>
      </c>
      <c r="B124" s="10" t="s">
        <v>1832</v>
      </c>
      <c r="C124" s="10" t="s">
        <v>1833</v>
      </c>
      <c r="D124" s="10" t="s">
        <v>1834</v>
      </c>
      <c r="E124" s="10" t="s">
        <v>1835</v>
      </c>
      <c r="G124" s="6" t="str">
        <f>IFERROR(__xludf.DUMMYFUNCTION("GOOGLETRANSLATE(A124, ""en"", ""id"")"),"123")</f>
        <v>123</v>
      </c>
      <c r="H124" s="6" t="str">
        <f>IFERROR(__xludf.DUMMYFUNCTION("GOOGLETRANSLATE(B124, ""en"", ""id"")"),"Sepak Takraw sering dipertunjukkan pada acara Hari Kemerdekaan Indonesia yang mana?")</f>
        <v>Sepak Takraw sering dipertunjukkan pada acara Hari Kemerdekaan Indonesia yang mana?</v>
      </c>
      <c r="I124" s="6" t="str">
        <f>IFERROR(__xludf.DUMMYFUNCTION("GOOGLETRANSLATE(C124, ""en"", ""id"")"),"A) Upacara pengibaran bendera B) Parade budaya C) Karnaval olahraga D) Kompetisi desa")</f>
        <v>A) Upacara pengibaran bendera B) Parade budaya C) Karnaval olahraga D) Kompetisi desa</v>
      </c>
      <c r="J124" s="6" t="str">
        <f>IFERROR(__xludf.DUMMYFUNCTION("GOOGLETRANSLATE(D124, ""en"", ""id"")"),"D) Kompetisi desa")</f>
        <v>D) Kompetisi desa</v>
      </c>
      <c r="K124" s="6" t="str">
        <f>IFERROR(__xludf.DUMMYFUNCTION("GOOGLETRANSLATE(E124, ""en"", ""id"")"),"Desa-desa di seluruh Indonesia menyelenggarakan pertandingan Takraw selama perayaan Kemerdekaan.")</f>
        <v>Desa-desa di seluruh Indonesia menyelenggarakan pertandingan Takraw selama perayaan Kemerdekaan.</v>
      </c>
    </row>
    <row r="125">
      <c r="A125" s="5">
        <v>124.0</v>
      </c>
      <c r="B125" s="10" t="s">
        <v>1836</v>
      </c>
      <c r="C125" s="10" t="s">
        <v>1837</v>
      </c>
      <c r="D125" s="10" t="s">
        <v>1838</v>
      </c>
      <c r="E125" s="10" t="s">
        <v>1839</v>
      </c>
      <c r="G125" s="6" t="str">
        <f>IFERROR(__xludf.DUMMYFUNCTION("GOOGLETRANSLATE(A125, ""en"", ""id"")"),"124")</f>
        <v>124</v>
      </c>
      <c r="H125" s="6" t="str">
        <f>IFERROR(__xludf.DUMMYFUNCTION("GOOGLETRANSLATE(B125, ""en"", ""id"")"),"Kampanye pariwisata Indonesia mana yang menggunakan Sepak Takraw sebagai tema promosi?")</f>
        <v>Kampanye pariwisata Indonesia mana yang menggunakan Sepak Takraw sebagai tema promosi?</v>
      </c>
      <c r="I125" s="6" t="str">
        <f>IFERROR(__xludf.DUMMYFUNCTION("GOOGLETRANSLATE(C125, ""en"", ""id"")"),"A) Indonesia yang Menakjubkan B) Jelajahi Jawa C) Semangat Bali D) Temukan Sulawesi")</f>
        <v>A) Indonesia yang Menakjubkan B) Jelajahi Jawa C) Semangat Bali D) Temukan Sulawesi</v>
      </c>
      <c r="J125" s="6" t="str">
        <f>IFERROR(__xludf.DUMMYFUNCTION("GOOGLETRANSLATE(D125, ""en"", ""id"")"),"A) Wonderful Indonesia")</f>
        <v>A) Wonderful Indonesia</v>
      </c>
      <c r="K125" s="6" t="str">
        <f>IFERROR(__xludf.DUMMYFUNCTION("GOOGLETRANSLATE(E125, ""en"", ""id"")"),"Sepak Takraw digunakan untuk menonjolkan warisan Indonesia dalam iklan pariwisata.")</f>
        <v>Sepak Takraw digunakan untuk menonjolkan warisan Indonesia dalam iklan pariwisata.</v>
      </c>
    </row>
    <row r="126">
      <c r="A126" s="5">
        <v>125.0</v>
      </c>
      <c r="B126" s="10" t="s">
        <v>1840</v>
      </c>
      <c r="C126" s="10" t="s">
        <v>1841</v>
      </c>
      <c r="D126" s="10" t="s">
        <v>1842</v>
      </c>
      <c r="E126" s="10" t="s">
        <v>1843</v>
      </c>
      <c r="G126" s="6" t="str">
        <f>IFERROR(__xludf.DUMMYFUNCTION("GOOGLETRANSLATE(A126, ""en"", ""id"")"),"125")</f>
        <v>125</v>
      </c>
      <c r="H126" s="6" t="str">
        <f>IFERROR(__xludf.DUMMYFUNCTION("GOOGLETRANSLATE(B126, ""en"", ""id"")"),"Drama TV Indonesia manakah yang pernah menampilkan Sepak Takraw sebagai alur cerita utama?")</f>
        <v>Drama TV Indonesia manakah yang pernah menampilkan Sepak Takraw sebagai alur cerita utama?</v>
      </c>
      <c r="I126" s="6" t="str">
        <f>IFERROR(__xludf.DUMMYFUNCTION("GOOGLETRANSLATE(C126, ""en"", ""id"")"),"A) Anak Jalanan B) Sepak Bola Raga C) Garuda Muda D) Atlet Cinta")</f>
        <v>A) Anak Jalanan B) Sepak Bola Raga C) Garuda Muda D) Atlet Cinta</v>
      </c>
      <c r="J126" s="6" t="str">
        <f>IFERROR(__xludf.DUMMYFUNCTION("GOOGLETRANSLATE(D126, ""en"", ""id"")"),"B) Sepak Bola Raga")</f>
        <v>B) Sepak Bola Raga</v>
      </c>
      <c r="K126" s="6" t="str">
        <f>IFERROR(__xludf.DUMMYFUNCTION("GOOGLETRANSLATE(E126, ""en"", ""id"")"),"Drama ini menampilkan atlet muda yang menyeimbangkan olahraga dan kehidupan.")</f>
        <v>Drama ini menampilkan atlet muda yang menyeimbangkan olahraga dan kehidupan.</v>
      </c>
    </row>
    <row r="127">
      <c r="A127" s="5">
        <v>126.0</v>
      </c>
      <c r="B127" s="10" t="s">
        <v>1844</v>
      </c>
      <c r="C127" s="10" t="s">
        <v>1845</v>
      </c>
      <c r="D127" s="10" t="s">
        <v>1846</v>
      </c>
      <c r="E127" s="10" t="s">
        <v>1847</v>
      </c>
      <c r="G127" s="6" t="str">
        <f>IFERROR(__xludf.DUMMYFUNCTION("GOOGLETRANSLATE(A127, ""en"", ""id"")"),"126")</f>
        <v>126</v>
      </c>
      <c r="H127" s="6" t="str">
        <f>IFERROR(__xludf.DUMMYFUNCTION("GOOGLETRANSLATE(B127, ""en"", ""id"")"),"Provinsi Indonesia manakah yang merayakan Sepak Takraw saat festival panen padi?")</f>
        <v>Provinsi Indonesia manakah yang merayakan Sepak Takraw saat festival panen padi?</v>
      </c>
      <c r="I127" s="6" t="str">
        <f>IFERROR(__xludf.DUMMYFUNCTION("GOOGLETRANSLATE(C127, ""en"", ""id"")"),"A) Bali B) Jawa Barat C) Lampung D) Jawa Tengah")</f>
        <v>A) Bali B) Jawa Barat C) Lampung D) Jawa Tengah</v>
      </c>
      <c r="J127" s="6" t="str">
        <f>IFERROR(__xludf.DUMMYFUNCTION("GOOGLETRANSLATE(D127, ""en"", ""id"")"),"D) Jawa Tengah")</f>
        <v>D) Jawa Tengah</v>
      </c>
      <c r="K127" s="6" t="str">
        <f>IFERROR(__xludf.DUMMYFUNCTION("GOOGLETRANSLATE(E127, ""en"", ""id"")"),"Petani di Jawa Tengah sering memainkan Sepak Raga untuk merayakan panen.")</f>
        <v>Petani di Jawa Tengah sering memainkan Sepak Raga untuk merayakan panen.</v>
      </c>
    </row>
    <row r="128">
      <c r="A128" s="5">
        <v>127.0</v>
      </c>
      <c r="B128" s="10" t="s">
        <v>1848</v>
      </c>
      <c r="C128" s="10" t="s">
        <v>1849</v>
      </c>
      <c r="D128" s="10" t="s">
        <v>577</v>
      </c>
      <c r="E128" s="10" t="s">
        <v>1850</v>
      </c>
      <c r="G128" s="6" t="str">
        <f>IFERROR(__xludf.DUMMYFUNCTION("GOOGLETRANSLATE(A128, ""en"", ""id"")"),"127")</f>
        <v>127</v>
      </c>
      <c r="H128" s="6" t="str">
        <f>IFERROR(__xludf.DUMMYFUNCTION("GOOGLETRANSLATE(B128, ""en"", ""id"")"),"Sepak Takraw umumnya dimainkan oleh pekerja migran Indonesia di:")</f>
        <v>Sepak Takraw umumnya dimainkan oleh pekerja migran Indonesia di:</v>
      </c>
      <c r="I128" s="6" t="str">
        <f>IFERROR(__xludf.DUMMYFUNCTION("GOOGLETRANSLATE(C128, ""en"", ""id"")"),"A) Arab Saudi B) Malaysia C) Korea Selatan D) Semua jawaban di atas")</f>
        <v>A) Arab Saudi B) Malaysia C) Korea Selatan D) Semua jawaban di atas</v>
      </c>
      <c r="J128" s="6" t="str">
        <f>IFERROR(__xludf.DUMMYFUNCTION("GOOGLETRANSLATE(D128, ""en"", ""id"")"),"D) Semua jawaban di atas")</f>
        <v>D) Semua jawaban di atas</v>
      </c>
      <c r="K128" s="6" t="str">
        <f>IFERROR(__xludf.DUMMYFUNCTION("GOOGLETRANSLATE(E128, ""en"", ""id"")"),"Pekerja migran menjaga ikatan budaya tetap hidup melalui Takraw di luar negeri.")</f>
        <v>Pekerja migran menjaga ikatan budaya tetap hidup melalui Takraw di luar negeri.</v>
      </c>
    </row>
    <row r="129">
      <c r="A129" s="5">
        <v>128.0</v>
      </c>
      <c r="B129" s="10" t="s">
        <v>1851</v>
      </c>
      <c r="C129" s="10" t="s">
        <v>1852</v>
      </c>
      <c r="D129" s="10" t="s">
        <v>1853</v>
      </c>
      <c r="E129" s="10" t="s">
        <v>1854</v>
      </c>
      <c r="G129" s="6" t="str">
        <f>IFERROR(__xludf.DUMMYFUNCTION("GOOGLETRANSLATE(A129, ""en"", ""id"")"),"128")</f>
        <v>128</v>
      </c>
      <c r="H129" s="6" t="str">
        <f>IFERROR(__xludf.DUMMYFUNCTION("GOOGLETRANSLATE(B129, ""en"", ""id"")"),"Referensi Lagu Daerah Indonesia Yang Mana Sepak Raga?")</f>
        <v>Referensi Lagu Daerah Indonesia Yang Mana Sepak Raga?</v>
      </c>
      <c r="I129" s="6" t="str">
        <f>IFERROR(__xludf.DUMMYFUNCTION("GOOGLETRANSLATE(C129, ""en"", ""id"")"),"A) Bengawan Solo B) Gundul-Gundul Pacul C) Raga Bola D) Ampar-Ampar Pisang")</f>
        <v>A) Bengawan Solo B) Gundul-Gundul Pacul C) Raga Bola D) Ampar-Ampar Pisang</v>
      </c>
      <c r="J129" s="6" t="str">
        <f>IFERROR(__xludf.DUMMYFUNCTION("GOOGLETRANSLATE(D129, ""en"", ""id"")"),"C) Raga Bola")</f>
        <v>C) Raga Bola</v>
      </c>
      <c r="K129" s="6" t="str">
        <f>IFERROR(__xludf.DUMMYFUNCTION("GOOGLETRANSLATE(E129, ""en"", ""id"")"),"Lagu daerah “Raga Bola” mengabadikan permainan tradisional.")</f>
        <v>Lagu daerah “Raga Bola” mengabadikan permainan tradisional.</v>
      </c>
    </row>
    <row r="130">
      <c r="A130" s="5">
        <v>129.0</v>
      </c>
      <c r="B130" s="10" t="s">
        <v>1855</v>
      </c>
      <c r="C130" s="10" t="s">
        <v>1856</v>
      </c>
      <c r="D130" s="10" t="s">
        <v>1857</v>
      </c>
      <c r="E130" s="10" t="s">
        <v>1858</v>
      </c>
      <c r="G130" s="6" t="str">
        <f>IFERROR(__xludf.DUMMYFUNCTION("GOOGLETRANSLATE(A130, ""en"", ""id"")"),"129")</f>
        <v>129</v>
      </c>
      <c r="H130" s="6" t="str">
        <f>IFERROR(__xludf.DUMMYFUNCTION("GOOGLETRANSLATE(B130, ""en"", ""id"")"),"Dalam seni Indonesia, Sepak Raga sering digambarkan dalam:")</f>
        <v>Dalam seni Indonesia, Sepak Raga sering digambarkan dalam:</v>
      </c>
      <c r="I130" s="6" t="str">
        <f>IFERROR(__xludf.DUMMYFUNCTION("GOOGLETRANSLATE(C130, ""en"", ""id"")"),"A) Motif batik B) Ukiran kayu C) Wayang kulit D) Relief batu")</f>
        <v>A) Motif batik B) Ukiran kayu C) Wayang kulit D) Relief batu</v>
      </c>
      <c r="J130" s="6" t="str">
        <f>IFERROR(__xludf.DUMMYFUNCTION("GOOGLETRANSLATE(D130, ""en"", ""id"")"),"B) Ukiran kayu")</f>
        <v>B) Ukiran kayu</v>
      </c>
      <c r="K130" s="6" t="str">
        <f>IFERROR(__xludf.DUMMYFUNCTION("GOOGLETRANSLATE(E130, ""en"", ""id"")"),"Ukiran tradisional di Jawa menggambarkan Sepak Raga sebagai hiburan desa.")</f>
        <v>Ukiran tradisional di Jawa menggambarkan Sepak Raga sebagai hiburan desa.</v>
      </c>
    </row>
    <row r="131">
      <c r="A131" s="5">
        <v>130.0</v>
      </c>
      <c r="B131" s="10" t="s">
        <v>1859</v>
      </c>
      <c r="C131" s="10" t="s">
        <v>1860</v>
      </c>
      <c r="D131" s="10" t="s">
        <v>1861</v>
      </c>
      <c r="E131" s="10" t="s">
        <v>1862</v>
      </c>
      <c r="G131" s="6" t="str">
        <f>IFERROR(__xludf.DUMMYFUNCTION("GOOGLETRANSLATE(A131, ""en"", ""id"")"),"130")</f>
        <v>130</v>
      </c>
      <c r="H131" s="6" t="str">
        <f>IFERROR(__xludf.DUMMYFUNCTION("GOOGLETRANSLATE(B131, ""en"", ""id"")"),"Festival Indonesia manakah yang menggunakan Sepak Takraw sebagai bagian dari kontes remaja?")</f>
        <v>Festival Indonesia manakah yang menggunakan Sepak Takraw sebagai bagian dari kontes remaja?</v>
      </c>
      <c r="I131" s="6" t="str">
        <f>IFERROR(__xludf.DUMMYFUNCTION("GOOGLETRANSLATE(C131, ""en"", ""id"")"),"A) Pekan Olahraga Nasional B) Festival Budaya Nusantara C) Jakarta Fair D) Festival Kesenian Bali")</f>
        <v>A) Pekan Olahraga Nasional B) Festival Budaya Nusantara C) Jakarta Fair D) Festival Kesenian Bali</v>
      </c>
      <c r="J131" s="6" t="str">
        <f>IFERROR(__xludf.DUMMYFUNCTION("GOOGLETRANSLATE(D131, ""en"", ""id"")"),"B) Festival Budaya Nusantara")</f>
        <v>B) Festival Budaya Nusantara</v>
      </c>
      <c r="K131" s="6" t="str">
        <f>IFERROR(__xludf.DUMMYFUNCTION("GOOGLETRANSLATE(E131, ""en"", ""id"")"),"Tim muda berkompetisi dalam Sepak Takraw sebagai bagian dari festival budaya ini.")</f>
        <v>Tim muda berkompetisi dalam Sepak Takraw sebagai bagian dari festival budaya ini.</v>
      </c>
    </row>
    <row r="132">
      <c r="A132" s="5">
        <v>131.0</v>
      </c>
      <c r="B132" s="10" t="s">
        <v>1863</v>
      </c>
      <c r="C132" s="10" t="s">
        <v>1864</v>
      </c>
      <c r="D132" s="10" t="s">
        <v>1709</v>
      </c>
      <c r="E132" s="10" t="s">
        <v>1865</v>
      </c>
      <c r="G132" s="6" t="str">
        <f>IFERROR(__xludf.DUMMYFUNCTION("GOOGLETRANSLATE(A132, ""en"", ""id"")"),"131")</f>
        <v>131</v>
      </c>
      <c r="H132" s="6" t="str">
        <f>IFERROR(__xludf.DUMMYFUNCTION("GOOGLETRANSLATE(B132, ""en"", ""id"")"),"Provinsi Indonesia manakah yang membangun museum Sepak Takraw pertama?")</f>
        <v>Provinsi Indonesia manakah yang membangun museum Sepak Takraw pertama?</v>
      </c>
      <c r="I132" s="6" t="str">
        <f>IFERROR(__xludf.DUMMYFUNCTION("GOOGLETRANSLATE(C132, ""en"", ""id"")"),"A) Jawa Timur B) Sumatera Barat C) Sulawesi Selatan D) Bali")</f>
        <v>A) Jawa Timur B) Sumatera Barat C) Sulawesi Selatan D) Bali</v>
      </c>
      <c r="J132" s="6" t="str">
        <f>IFERROR(__xludf.DUMMYFUNCTION("GOOGLETRANSLATE(D132, ""en"", ""id"")"),"C) Sulawesi Selatan")</f>
        <v>C) Sulawesi Selatan</v>
      </c>
      <c r="K132" s="6" t="str">
        <f>IFERROR(__xludf.DUMMYFUNCTION("GOOGLETRANSLATE(E132, ""en"", ""id"")"),"Makassar mendirikan museum untuk melestarikan sejarah Takraw.")</f>
        <v>Makassar mendirikan museum untuk melestarikan sejarah Takraw.</v>
      </c>
    </row>
    <row r="133">
      <c r="A133" s="5">
        <v>132.0</v>
      </c>
      <c r="B133" s="10" t="s">
        <v>1866</v>
      </c>
      <c r="C133" s="10" t="s">
        <v>1867</v>
      </c>
      <c r="D133" s="10" t="s">
        <v>1868</v>
      </c>
      <c r="E133" s="10" t="s">
        <v>1869</v>
      </c>
      <c r="G133" s="6" t="str">
        <f>IFERROR(__xludf.DUMMYFUNCTION("GOOGLETRANSLATE(A133, ""en"", ""id"")"),"132")</f>
        <v>132</v>
      </c>
      <c r="H133" s="6" t="str">
        <f>IFERROR(__xludf.DUMMYFUNCTION("GOOGLETRANSLATE(B133, ""en"", ""id"")"),"Channel YouTube Indonesia manakah yang mempopulerkan tutorial Sepak Takraw?")</f>
        <v>Channel YouTube Indonesia manakah yang mempopulerkan tutorial Sepak Takraw?</v>
      </c>
      <c r="I133" s="6" t="str">
        <f>IFERROR(__xludf.DUMMYFUNCTION("GOOGLETRANSLATE(C133, ""en"", ""id"")"),"A) Garuda Sport B) Takraw Indonesia C) Bola Raga Nusantara D) Sport Kita")</f>
        <v>A) Garuda Sport B) Takraw Indonesia C) Bola Raga Nusantara D) Sport Kita</v>
      </c>
      <c r="J133" s="6" t="str">
        <f>IFERROR(__xludf.DUMMYFUNCTION("GOOGLETRANSLATE(D133, ""en"", ""id"")"),"B) Takraw Indonesia")</f>
        <v>B) Takraw Indonesia</v>
      </c>
      <c r="K133" s="6" t="str">
        <f>IFERROR(__xludf.DUMMYFUNCTION("GOOGLETRANSLATE(E133, ""en"", ""id"")"),"Saluran ini menyediakan video pelatihan teknis untuk atlet muda.")</f>
        <v>Saluran ini menyediakan video pelatihan teknis untuk atlet muda.</v>
      </c>
    </row>
    <row r="134">
      <c r="A134" s="5">
        <v>133.0</v>
      </c>
      <c r="B134" s="10" t="s">
        <v>1870</v>
      </c>
      <c r="C134" s="10" t="s">
        <v>1871</v>
      </c>
      <c r="D134" s="10" t="s">
        <v>1872</v>
      </c>
      <c r="E134" s="10" t="s">
        <v>1873</v>
      </c>
      <c r="G134" s="6" t="str">
        <f>IFERROR(__xludf.DUMMYFUNCTION("GOOGLETRANSLATE(A134, ""en"", ""id"")"),"133")</f>
        <v>133</v>
      </c>
      <c r="H134" s="6" t="str">
        <f>IFERROR(__xludf.DUMMYFUNCTION("GOOGLETRANSLATE(B134, ""en"", ""id"")"),"Sepak Takraw termasuk dalam kurikulum sekolah Indonesia pada mata pelajaran apa?")</f>
        <v>Sepak Takraw termasuk dalam kurikulum sekolah Indonesia pada mata pelajaran apa?</v>
      </c>
      <c r="I134" s="6" t="str">
        <f>IFERROR(__xludf.DUMMYFUNCTION("GOOGLETRANSLATE(C134, ""en"", ""id"")"),"A) Seni Rupa B) Pendidikan Jasmani C) Ilmu Sosial D) Sejarah")</f>
        <v>A) Seni Rupa B) Pendidikan Jasmani C) Ilmu Sosial D) Sejarah</v>
      </c>
      <c r="J134" s="6" t="str">
        <f>IFERROR(__xludf.DUMMYFUNCTION("GOOGLETRANSLATE(D134, ""en"", ""id"")"),"B) Pendidikan Jasmani")</f>
        <v>B) Pendidikan Jasmani</v>
      </c>
      <c r="K134" s="6" t="str">
        <f>IFERROR(__xludf.DUMMYFUNCTION("GOOGLETRANSLATE(E134, ""en"", ""id"")"),"Sekolah-sekolah di seluruh negeri mengajarkan Takraw sebagai bagian dari pendidikan jasmani.")</f>
        <v>Sekolah-sekolah di seluruh negeri mengajarkan Takraw sebagai bagian dari pendidikan jasmani.</v>
      </c>
    </row>
    <row r="135">
      <c r="A135" s="5">
        <v>134.0</v>
      </c>
      <c r="B135" s="10" t="s">
        <v>1874</v>
      </c>
      <c r="C135" s="10" t="s">
        <v>1875</v>
      </c>
      <c r="D135" s="10" t="s">
        <v>1876</v>
      </c>
      <c r="E135" s="10" t="s">
        <v>1877</v>
      </c>
      <c r="G135" s="6" t="str">
        <f>IFERROR(__xludf.DUMMYFUNCTION("GOOGLETRANSLATE(A135, ""en"", ""id"")"),"134")</f>
        <v>134</v>
      </c>
      <c r="H135" s="6" t="str">
        <f>IFERROR(__xludf.DUMMYFUNCTION("GOOGLETRANSLATE(B135, ""en"", ""id"")"),"Akademi olahraga Indonesia mana yang bermitra dengan ISTAF untuk pelatihan pemuda?")</f>
        <v>Akademi olahraga Indonesia mana yang bermitra dengan ISTAF untuk pelatihan pemuda?</v>
      </c>
      <c r="I135" s="6" t="str">
        <f>IFERROR(__xludf.DUMMYFUNCTION("GOOGLETRANSLATE(C135, ""en"", ""id"")"),"A) Ragunan B) Cipayung C) Senayan D) Gresik")</f>
        <v>A) Ragunan B) Cipayung C) Senayan D) Gresik</v>
      </c>
      <c r="J135" s="6" t="str">
        <f>IFERROR(__xludf.DUMMYFUNCTION("GOOGLETRANSLATE(D135, ""en"", ""id"")"),"A) Ragunan")</f>
        <v>A) Ragunan</v>
      </c>
      <c r="K135" s="6" t="str">
        <f>IFERROR(__xludf.DUMMYFUNCTION("GOOGLETRANSLATE(E135, ""en"", ""id"")"),"Sekolah Olahraga Ragunan melatih pemain Takraw muda elit.")</f>
        <v>Sekolah Olahraga Ragunan melatih pemain Takraw muda elit.</v>
      </c>
    </row>
    <row r="136">
      <c r="A136" s="5">
        <v>135.0</v>
      </c>
      <c r="B136" s="10" t="s">
        <v>1878</v>
      </c>
      <c r="C136" s="10" t="s">
        <v>1879</v>
      </c>
      <c r="D136" s="10" t="s">
        <v>1880</v>
      </c>
      <c r="E136" s="10" t="s">
        <v>1881</v>
      </c>
      <c r="G136" s="6" t="str">
        <f>IFERROR(__xludf.DUMMYFUNCTION("GOOGLETRANSLATE(A136, ""en"", ""id"")"),"135")</f>
        <v>135</v>
      </c>
      <c r="H136" s="6" t="str">
        <f>IFERROR(__xludf.DUMMYFUNCTION("GOOGLETRANSLATE(B136, ""en"", ""id"")"),"Daerah Indonesia manakah yang sering memainkan sepak takraw tanpa alas kaki sebagai tradisi?")</f>
        <v>Daerah Indonesia manakah yang sering memainkan sepak takraw tanpa alas kaki sebagai tradisi?</v>
      </c>
      <c r="I136" s="6" t="str">
        <f>IFERROR(__xludf.DUMMYFUNCTION("GOOGLETRANSLATE(C136, ""en"", ""id"")"),"A) Bali B) Kalimantan C) Papua D) Madura")</f>
        <v>A) Bali B) Kalimantan C) Papua D) Madura</v>
      </c>
      <c r="J136" s="6" t="str">
        <f>IFERROR(__xludf.DUMMYFUNCTION("GOOGLETRANSLATE(D136, ""en"", ""id"")"),"D) Madura")</f>
        <v>D) Madura</v>
      </c>
      <c r="K136" s="6" t="str">
        <f>IFERROR(__xludf.DUMMYFUNCTION("GOOGLETRANSLATE(E136, ""en"", ""id"")"),"Pemain Madura mempertahankan tradisi bertelanjang kaki demi keaslian budaya.")</f>
        <v>Pemain Madura mempertahankan tradisi bertelanjang kaki demi keaslian budaya.</v>
      </c>
    </row>
    <row r="137">
      <c r="A137" s="5">
        <v>136.0</v>
      </c>
      <c r="B137" s="10" t="s">
        <v>1882</v>
      </c>
      <c r="C137" s="10" t="s">
        <v>1883</v>
      </c>
      <c r="D137" s="10" t="s">
        <v>1884</v>
      </c>
      <c r="E137" s="10" t="s">
        <v>1885</v>
      </c>
      <c r="G137" s="6" t="str">
        <f>IFERROR(__xludf.DUMMYFUNCTION("GOOGLETRANSLATE(A137, ""en"", ""id"")"),"136")</f>
        <v>136</v>
      </c>
      <c r="H137" s="6" t="str">
        <f>IFERROR(__xludf.DUMMYFUNCTION("GOOGLETRANSLATE(B137, ""en"", ""id"")"),"Federasi olahraga Indonesia mana yang menjadi anggota ISTAF yang mewakili negara tersebut?")</f>
        <v>Federasi olahraga Indonesia mana yang menjadi anggota ISTAF yang mewakili negara tersebut?</v>
      </c>
      <c r="I137" s="6" t="str">
        <f>IFERROR(__xludf.DUMMYFUNCTION("GOOGLETRANSLATE(C137, ""en"", ""id"")"),"A) PB PSTI B) KONI C) PSSI D) PBSI")</f>
        <v>A) PB PSTI B) KONI C) PSSI D) PBSI</v>
      </c>
      <c r="J137" s="6" t="str">
        <f>IFERROR(__xludf.DUMMYFUNCTION("GOOGLETRANSLATE(D137, ""en"", ""id"")"),"A) PB PSTI")</f>
        <v>A) PB PSTI</v>
      </c>
      <c r="K137" s="6" t="str">
        <f>IFERROR(__xludf.DUMMYFUNCTION("GOOGLETRANSLATE(E137, ""en"", ""id"")"),"Persatuan Sepak Takraw Seluruh Indonesia (PB PSTI) adalah badan resmi Indonesia di bawah ISTAF.")</f>
        <v>Persatuan Sepak Takraw Seluruh Indonesia (PB PSTI) adalah badan resmi Indonesia di bawah ISTAF.</v>
      </c>
    </row>
    <row r="138">
      <c r="A138" s="5">
        <v>137.0</v>
      </c>
      <c r="B138" s="10" t="s">
        <v>1886</v>
      </c>
      <c r="C138" s="10" t="s">
        <v>1700</v>
      </c>
      <c r="D138" s="10" t="s">
        <v>1701</v>
      </c>
      <c r="E138" s="10" t="s">
        <v>1887</v>
      </c>
      <c r="G138" s="6" t="str">
        <f>IFERROR(__xludf.DUMMYFUNCTION("GOOGLETRANSLATE(A138, ""en"", ""id"")"),"137")</f>
        <v>137</v>
      </c>
      <c r="H138" s="6" t="str">
        <f>IFERROR(__xludf.DUMMYFUNCTION("GOOGLETRANSLATE(B138, ""en"", ""id"")"),"Presiden Indonesia manakah yang secara resmi mengakui Sepak Takraw sebagai olahraga nasional?")</f>
        <v>Presiden Indonesia manakah yang secara resmi mengakui Sepak Takraw sebagai olahraga nasional?</v>
      </c>
      <c r="I138" s="6" t="str">
        <f>IFERROR(__xludf.DUMMYFUNCTION("GOOGLETRANSLATE(C138, ""en"", ""id"")"),"A) Sukarno B) Soeharto C) Habibie D) Megawati")</f>
        <v>A) Sukarno B) Soeharto C) Habibie D) Megawati</v>
      </c>
      <c r="J138" s="6" t="str">
        <f>IFERROR(__xludf.DUMMYFUNCTION("GOOGLETRANSLATE(D138, ""en"", ""id"")"),"B) Suharto")</f>
        <v>B) Suharto</v>
      </c>
      <c r="K138" s="6" t="str">
        <f>IFERROR(__xludf.DUMMYFUNCTION("GOOGLETRANSLATE(E138, ""en"", ""id"")"),"Pada masa Suharto, Sepak Takraw mendapat dukungan resmi dari pemerintah.")</f>
        <v>Pada masa Suharto, Sepak Takraw mendapat dukungan resmi dari pemerintah.</v>
      </c>
    </row>
    <row r="139">
      <c r="A139" s="5">
        <v>138.0</v>
      </c>
      <c r="B139" s="10" t="s">
        <v>1888</v>
      </c>
      <c r="C139" s="10" t="s">
        <v>1889</v>
      </c>
      <c r="D139" s="10" t="s">
        <v>43</v>
      </c>
      <c r="E139" s="10" t="s">
        <v>1890</v>
      </c>
      <c r="G139" s="6" t="str">
        <f>IFERROR(__xludf.DUMMYFUNCTION("GOOGLETRANSLATE(A139, ""en"", ""id"")"),"138")</f>
        <v>138</v>
      </c>
      <c r="H139" s="6" t="str">
        <f>IFERROR(__xludf.DUMMYFUNCTION("GOOGLETRANSLATE(B139, ""en"", ""id"")"),"Kota Indonesia manakah yang menjadi tuan rumah acara promosi Piala Dunia ISTAF pada tahun 2011?")</f>
        <v>Kota Indonesia manakah yang menjadi tuan rumah acara promosi Piala Dunia ISTAF pada tahun 2011?</v>
      </c>
      <c r="I139" s="6" t="str">
        <f>IFERROR(__xludf.DUMMYFUNCTION("GOOGLETRANSLATE(C139, ""en"", ""id"")"),"A) Jakarta B) Surabaya C) Yogyakarta D) Medan")</f>
        <v>A) Jakarta B) Surabaya C) Yogyakarta D) Medan</v>
      </c>
      <c r="J139" s="6" t="str">
        <f>IFERROR(__xludf.DUMMYFUNCTION("GOOGLETRANSLATE(D139, ""en"", ""id"")"),"A) Jakarta")</f>
        <v>A) Jakarta</v>
      </c>
      <c r="K139" s="6" t="str">
        <f>IFERROR(__xludf.DUMMYFUNCTION("GOOGLETRANSLATE(E139, ""en"", ""id"")"),"Jakarta menampilkan Sepak Takraw secara internasional dalam upaya promosi ISTAF tahun 2011.")</f>
        <v>Jakarta menampilkan Sepak Takraw secara internasional dalam upaya promosi ISTAF tahun 2011.</v>
      </c>
    </row>
    <row r="140">
      <c r="A140" s="5">
        <v>139.0</v>
      </c>
      <c r="B140" s="10" t="s">
        <v>1891</v>
      </c>
      <c r="C140" s="10" t="s">
        <v>1892</v>
      </c>
      <c r="D140" s="10" t="s">
        <v>1893</v>
      </c>
      <c r="E140" s="10" t="s">
        <v>1894</v>
      </c>
      <c r="G140" s="6" t="str">
        <f>IFERROR(__xludf.DUMMYFUNCTION("GOOGLETRANSLATE(A140, ""en"", ""id"")"),"139")</f>
        <v>139</v>
      </c>
      <c r="H140" s="6" t="str">
        <f>IFERROR(__xludf.DUMMYFUNCTION("GOOGLETRANSLATE(B140, ""en"", ""id"")"),"Universitas olahraga Indonesia mana yang menyelenggarakan Sepak Takraw sebagai mata kuliah penelitian?")</f>
        <v>Universitas olahraga Indonesia mana yang menyelenggarakan Sepak Takraw sebagai mata kuliah penelitian?</v>
      </c>
      <c r="I140" s="6" t="str">
        <f>IFERROR(__xludf.DUMMYFUNCTION("GOOGLETRANSLATE(C140, ""en"", ""id"")"),"A) Universitas Negeri Jakarta B) Universitas Airlangga C) Universitas Hasanuddin D) Universitas Pendidikan Indonesia")</f>
        <v>A) Universitas Negeri Jakarta B) Universitas Airlangga C) Universitas Hasanuddin D) Universitas Pendidikan Indonesia</v>
      </c>
      <c r="J140" s="6" t="str">
        <f>IFERROR(__xludf.DUMMYFUNCTION("GOOGLETRANSLATE(D140, ""en"", ""id"")"),"A) Universitas Negeri Jakarta")</f>
        <v>A) Universitas Negeri Jakarta</v>
      </c>
      <c r="K140" s="6" t="str">
        <f>IFERROR(__xludf.DUMMYFUNCTION("GOOGLETRANSLATE(E140, ""en"", ""id"")"),"UNJ melakukan studi ilmu olahraga pada kinerja Sepak Takraw dan biomekanika.")</f>
        <v>UNJ melakukan studi ilmu olahraga pada kinerja Sepak Takraw dan biomekanika.</v>
      </c>
    </row>
    <row r="141">
      <c r="A141" s="5">
        <v>140.0</v>
      </c>
      <c r="B141" s="10" t="s">
        <v>1895</v>
      </c>
      <c r="C141" s="10" t="s">
        <v>1896</v>
      </c>
      <c r="D141" s="10" t="s">
        <v>1897</v>
      </c>
      <c r="E141" s="10" t="s">
        <v>1898</v>
      </c>
      <c r="G141" s="6" t="str">
        <f>IFERROR(__xludf.DUMMYFUNCTION("GOOGLETRANSLATE(A141, ""en"", ""id"")"),"140")</f>
        <v>140</v>
      </c>
      <c r="H141" s="6" t="str">
        <f>IFERROR(__xludf.DUMMYFUNCTION("GOOGLETRANSLATE(B141, ""en"", ""id"")"),"Kota Indonesia manakah yang diusulkan sebagai tuan rumah Piala Dunia Sepak Takraw 2025?")</f>
        <v>Kota Indonesia manakah yang diusulkan sebagai tuan rumah Piala Dunia Sepak Takraw 2025?</v>
      </c>
      <c r="I141" s="6" t="str">
        <f>IFERROR(__xludf.DUMMYFUNCTION("GOOGLETRANSLATE(C141, ""en"", ""id"")"),"A)Bandung B)Palembang C)Surabaya D)Yogyakarta")</f>
        <v>A)Bandung B)Palembang C)Surabaya D)Yogyakarta</v>
      </c>
      <c r="J141" s="6" t="str">
        <f>IFERROR(__xludf.DUMMYFUNCTION("GOOGLETRANSLATE(D141, ""en"", ""id"")"),"B) Palembang")</f>
        <v>B) Palembang</v>
      </c>
      <c r="K141" s="6" t="str">
        <f>IFERROR(__xludf.DUMMYFUNCTION("GOOGLETRANSLATE(E141, ""en"", ""id"")"),"Kompleks Jakabaring di Palembang masuk dalam daftar pendek untuk menjadi tuan rumah Piala Dunia 2025.")</f>
        <v>Kompleks Jakabaring di Palembang masuk dalam daftar pendek untuk menjadi tuan rumah Piala Dunia 2025.</v>
      </c>
    </row>
    <row r="142">
      <c r="A142" s="5">
        <v>141.0</v>
      </c>
      <c r="B142" s="10" t="s">
        <v>1899</v>
      </c>
      <c r="C142" s="10" t="s">
        <v>1900</v>
      </c>
      <c r="D142" s="10" t="s">
        <v>1901</v>
      </c>
      <c r="E142" s="10" t="s">
        <v>1902</v>
      </c>
      <c r="G142" s="6" t="str">
        <f>IFERROR(__xludf.DUMMYFUNCTION("GOOGLETRANSLATE(A142, ""en"", ""id"")"),"141")</f>
        <v>141</v>
      </c>
      <c r="H142" s="6" t="str">
        <f>IFERROR(__xludf.DUMMYFUNCTION("GOOGLETRANSLATE(B142, ""en"", ""id"")"),"Perusahaan Indonesia manakah yang menjadi sponsor korporat pertama Sepak Takraw?")</f>
        <v>Perusahaan Indonesia manakah yang menjadi sponsor korporat pertama Sepak Takraw?</v>
      </c>
      <c r="I142" s="6" t="str">
        <f>IFERROR(__xludf.DUMMYFUNCTION("GOOGLETRANSLATE(C142, ""en"", ""id"")"),"A)Pertamina B)Indofood C)Gudang Garam D)Garuda Indonesia")</f>
        <v>A)Pertamina B)Indofood C)Gudang Garam D)Garuda Indonesia</v>
      </c>
      <c r="J142" s="6" t="str">
        <f>IFERROR(__xludf.DUMMYFUNCTION("GOOGLETRANSLATE(D142, ""en"", ""id"")"),"B) Indofood")</f>
        <v>B) Indofood</v>
      </c>
      <c r="K142" s="6" t="str">
        <f>IFERROR(__xludf.DUMMYFUNCTION("GOOGLETRANSLATE(E142, ""en"", ""id"")"),"Indofood mensponsori liga domestik pada tahun 1990-an untuk mempromosikan olahraga tersebut.")</f>
        <v>Indofood mensponsori liga domestik pada tahun 1990-an untuk mempromosikan olahraga tersebut.</v>
      </c>
    </row>
    <row r="143">
      <c r="A143" s="5">
        <v>142.0</v>
      </c>
      <c r="B143" s="10" t="s">
        <v>1903</v>
      </c>
      <c r="C143" s="10" t="s">
        <v>1904</v>
      </c>
      <c r="D143" s="10" t="s">
        <v>1905</v>
      </c>
      <c r="E143" s="10" t="s">
        <v>1906</v>
      </c>
      <c r="G143" s="6" t="str">
        <f>IFERROR(__xludf.DUMMYFUNCTION("GOOGLETRANSLATE(A143, ""en"", ""id"")"),"142")</f>
        <v>142</v>
      </c>
      <c r="H143" s="6" t="str">
        <f>IFERROR(__xludf.DUMMYFUNCTION("GOOGLETRANSLATE(B143, ""en"", ""id"")"),"Provinsi Indonesia manakah yang mengintegrasikan Sepak Takraw ke dalam kompetisi sekolah sebagai hal wajib?")</f>
        <v>Provinsi Indonesia manakah yang mengintegrasikan Sepak Takraw ke dalam kompetisi sekolah sebagai hal wajib?</v>
      </c>
      <c r="I143" s="6" t="str">
        <f>IFERROR(__xludf.DUMMYFUNCTION("GOOGLETRANSLATE(C143, ""en"", ""id"")"),"A) Jawa Barat B) Sulawesi Selatan C) Aceh D) Bali")</f>
        <v>A) Jawa Barat B) Sulawesi Selatan C) Aceh D) Bali</v>
      </c>
      <c r="J143" s="6" t="str">
        <f>IFERROR(__xludf.DUMMYFUNCTION("GOOGLETRANSLATE(D143, ""en"", ""id"")"),"C) Aceh")</f>
        <v>C) Aceh</v>
      </c>
      <c r="K143" s="6" t="str">
        <f>IFERROR(__xludf.DUMMYFUNCTION("GOOGLETRANSLATE(E143, ""en"", ""id"")"),"Aceh mengamanatkan turnamen Sepak Takraw pada festival tingkat sekolah.")</f>
        <v>Aceh mengamanatkan turnamen Sepak Takraw pada festival tingkat sekolah.</v>
      </c>
    </row>
    <row r="144">
      <c r="A144" s="5">
        <v>143.0</v>
      </c>
      <c r="B144" s="10" t="s">
        <v>1907</v>
      </c>
      <c r="C144" s="10" t="s">
        <v>1908</v>
      </c>
      <c r="D144" s="10" t="s">
        <v>1909</v>
      </c>
      <c r="E144" s="10" t="s">
        <v>1910</v>
      </c>
      <c r="G144" s="6" t="str">
        <f>IFERROR(__xludf.DUMMYFUNCTION("GOOGLETRANSLATE(A144, ""en"", ""id"")"),"143")</f>
        <v>143</v>
      </c>
      <c r="H144" s="6" t="str">
        <f>IFERROR(__xludf.DUMMYFUNCTION("GOOGLETRANSLATE(B144, ""en"", ""id"")"),"Jaringan penyiaran Indonesia mana yang meluncurkan acara realitas Sepak Takraw?")</f>
        <v>Jaringan penyiaran Indonesia mana yang meluncurkan acara realitas Sepak Takraw?</v>
      </c>
      <c r="I144" s="6" t="str">
        <f>IFERROR(__xludf.DUMMYFUNCTION("GOOGLETRANSLATE(C144, ""en"", ""id"")"),"A) TransTV B) RCTI C) TVRI D) ANTV")</f>
        <v>A) TransTV B) RCTI C) TVRI D) ANTV</v>
      </c>
      <c r="J144" s="6" t="str">
        <f>IFERROR(__xludf.DUMMYFUNCTION("GOOGLETRANSLATE(D144, ""en"", ""id"")"),"B) RCTI")</f>
        <v>B) RCTI</v>
      </c>
      <c r="K144" s="6" t="str">
        <f>IFERROR(__xludf.DUMMYFUNCTION("GOOGLETRANSLATE(E144, ""en"", ""id"")"),"Tayangan RCTI pada tahun 2000-an memberi kesempatan kepada pemain muda untuk berkiprah di kancah nasional.")</f>
        <v>Tayangan RCTI pada tahun 2000-an memberi kesempatan kepada pemain muda untuk berkiprah di kancah nasional.</v>
      </c>
    </row>
    <row r="145">
      <c r="A145" s="5">
        <v>144.0</v>
      </c>
      <c r="B145" s="10" t="s">
        <v>1911</v>
      </c>
      <c r="C145" s="10" t="s">
        <v>1912</v>
      </c>
      <c r="D145" s="10" t="s">
        <v>1913</v>
      </c>
      <c r="E145" s="10" t="s">
        <v>1914</v>
      </c>
      <c r="G145" s="6" t="str">
        <f>IFERROR(__xludf.DUMMYFUNCTION("GOOGLETRANSLATE(A145, ""en"", ""id"")"),"144")</f>
        <v>144</v>
      </c>
      <c r="H145" s="6" t="str">
        <f>IFERROR(__xludf.DUMMYFUNCTION("GOOGLETRANSLATE(B145, ""en"", ""id"")"),"Atlet Indonesia mana yang diangkat menjadi duta muda ISTAF?")</f>
        <v>Atlet Indonesia mana yang diangkat menjadi duta muda ISTAF?</v>
      </c>
      <c r="I145" s="6" t="str">
        <f>IFERROR(__xludf.DUMMYFUNCTION("GOOGLETRANSLATE(C145, ""en"", ""id"")"),"A) Ardy Sutedjo B) Rizky Hidayat C) Muhammad Iqbal D) Zulkifli Nasution")</f>
        <v>A) Ardy Sutedjo B) Rizky Hidayat C) Muhammad Iqbal D) Zulkifli Nasution</v>
      </c>
      <c r="J145" s="6" t="str">
        <f>IFERROR(__xludf.DUMMYFUNCTION("GOOGLETRANSLATE(D145, ""en"", ""id"")"),"B) Rizky Hidayat")</f>
        <v>B) Rizky Hidayat</v>
      </c>
      <c r="K145" s="6" t="str">
        <f>IFERROR(__xludf.DUMMYFUNCTION("GOOGLETRANSLATE(E145, ""en"", ""id"")"),"Rizky dipilih untuk menginspirasi penggemar muda di seluruh dunia.")</f>
        <v>Rizky dipilih untuk menginspirasi penggemar muda di seluruh dunia.</v>
      </c>
    </row>
    <row r="146">
      <c r="A146" s="5">
        <v>145.0</v>
      </c>
      <c r="B146" s="10" t="s">
        <v>1915</v>
      </c>
      <c r="C146" s="10" t="s">
        <v>1916</v>
      </c>
      <c r="D146" s="10" t="s">
        <v>1917</v>
      </c>
      <c r="E146" s="10" t="s">
        <v>1918</v>
      </c>
      <c r="G146" s="6" t="str">
        <f>IFERROR(__xludf.DUMMYFUNCTION("GOOGLETRANSLATE(A146, ""en"", ""id"")"),"145")</f>
        <v>145</v>
      </c>
      <c r="H146" s="6" t="str">
        <f>IFERROR(__xludf.DUMMYFUNCTION("GOOGLETRANSLATE(B146, ""en"", ""id"")"),"Provinsi Indonesia manakah yang pertama kali menciptakan liga Sepak Takraw khusus wanita?")</f>
        <v>Provinsi Indonesia manakah yang pertama kali menciptakan liga Sepak Takraw khusus wanita?</v>
      </c>
      <c r="I146" s="6" t="str">
        <f>IFERROR(__xludf.DUMMYFUNCTION("GOOGLETRANSLATE(C146, ""en"", ""id"")"),"A) Sumatera Barat B) Jawa Timur C) Jawa Tengah D) Bali")</f>
        <v>A) Sumatera Barat B) Jawa Timur C) Jawa Tengah D) Bali</v>
      </c>
      <c r="J146" s="6" t="str">
        <f>IFERROR(__xludf.DUMMYFUNCTION("GOOGLETRANSLATE(D146, ""en"", ""id"")"),"A) Sumatera Barat")</f>
        <v>A) Sumatera Barat</v>
      </c>
      <c r="K146" s="6" t="str">
        <f>IFERROR(__xludf.DUMMYFUNCTION("GOOGLETRANSLATE(E146, ""en"", ""id"")"),"Sumatera Barat meluncurkan liga untuk memberdayakan atlet wanita.")</f>
        <v>Sumatera Barat meluncurkan liga untuk memberdayakan atlet wanita.</v>
      </c>
    </row>
    <row r="147">
      <c r="A147" s="5">
        <v>146.0</v>
      </c>
      <c r="B147" s="10" t="s">
        <v>1919</v>
      </c>
      <c r="C147" s="10" t="s">
        <v>1920</v>
      </c>
      <c r="D147" s="10" t="s">
        <v>1921</v>
      </c>
      <c r="E147" s="10" t="s">
        <v>1922</v>
      </c>
      <c r="G147" s="6" t="str">
        <f>IFERROR(__xludf.DUMMYFUNCTION("GOOGLETRANSLATE(A147, ""en"", ""id"")"),"146")</f>
        <v>146</v>
      </c>
      <c r="H147" s="6" t="str">
        <f>IFERROR(__xludf.DUMMYFUNCTION("GOOGLETRANSLATE(B147, ""en"", ""id"")"),"Inovasi Indonesia apa dalam peralatan sepak takraw yang diakui ISTAF?")</f>
        <v>Inovasi Indonesia apa dalam peralatan sepak takraw yang diakui ISTAF?</v>
      </c>
      <c r="I147" s="6" t="str">
        <f>IFERROR(__xludf.DUMMYFUNCTION("GOOGLETRANSLATE(C147, ""en"", ""id"")"),"A) Bola rotan sintetis B) Jersey ringan C) Tiang jaring fleksibel D) Sistem penilaian digital")</f>
        <v>A) Bola rotan sintetis B) Jersey ringan C) Tiang jaring fleksibel D) Sistem penilaian digital</v>
      </c>
      <c r="J147" s="6" t="str">
        <f>IFERROR(__xludf.DUMMYFUNCTION("GOOGLETRANSLATE(D147, ""en"", ""id"")"),"A) Bola rotan sintetis")</f>
        <v>A) Bola rotan sintetis</v>
      </c>
      <c r="K147" s="6" t="str">
        <f>IFERROR(__xludf.DUMMYFUNCTION("GOOGLETRANSLATE(E147, ""en"", ""id"")"),"Indonesia memperkenalkan bola rotan sintetis tahan lama yang kemudian diadopsi di seluruh dunia.")</f>
        <v>Indonesia memperkenalkan bola rotan sintetis tahan lama yang kemudian diadopsi di seluruh dunia.</v>
      </c>
    </row>
    <row r="148">
      <c r="A148" s="5">
        <v>147.0</v>
      </c>
      <c r="B148" s="10" t="s">
        <v>1923</v>
      </c>
      <c r="C148" s="10" t="s">
        <v>1924</v>
      </c>
      <c r="D148" s="10" t="s">
        <v>1925</v>
      </c>
      <c r="E148" s="10" t="s">
        <v>1926</v>
      </c>
      <c r="G148" s="6" t="str">
        <f>IFERROR(__xludf.DUMMYFUNCTION("GOOGLETRANSLATE(A148, ""en"", ""id"")"),"147")</f>
        <v>147</v>
      </c>
      <c r="H148" s="6" t="str">
        <f>IFERROR(__xludf.DUMMYFUNCTION("GOOGLETRANSLATE(B148, ""en"", ""id"")"),"Aplikasi seluler Indonesia manakah yang menyiarkan pertandingan Sepak Takraw secara langsung?")</f>
        <v>Aplikasi seluler Indonesia manakah yang menyiarkan pertandingan Sepak Takraw secara langsung?</v>
      </c>
      <c r="I148" s="6" t="str">
        <f>IFERROR(__xludf.DUMMYFUNCTION("GOOGLETRANSLATE(C148, ""en"", ""id"")"),"A) Vidio B) Maxstream C) Mola D) TakrawTV")</f>
        <v>A) Vidio B) Maxstream C) Mola D) TakrawTV</v>
      </c>
      <c r="J148" s="6" t="str">
        <f>IFERROR(__xludf.DUMMYFUNCTION("GOOGLETRANSLATE(D148, ""en"", ""id"")"),"A) Video")</f>
        <v>A) Video</v>
      </c>
      <c r="K148" s="6" t="str">
        <f>IFERROR(__xludf.DUMMYFUNCTION("GOOGLETRANSLATE(E148, ""en"", ""id"")"),"Vidio menggandeng PB PSTI untuk menayangkan pertandingan takraw dalam negeri.")</f>
        <v>Vidio menggandeng PB PSTI untuk menayangkan pertandingan takraw dalam negeri.</v>
      </c>
    </row>
    <row r="149">
      <c r="A149" s="5">
        <v>148.0</v>
      </c>
      <c r="B149" s="10" t="s">
        <v>1927</v>
      </c>
      <c r="C149" s="10" t="s">
        <v>1928</v>
      </c>
      <c r="D149" s="10" t="s">
        <v>1929</v>
      </c>
      <c r="E149" s="10" t="s">
        <v>1930</v>
      </c>
      <c r="G149" s="6" t="str">
        <f>IFERROR(__xludf.DUMMYFUNCTION("GOOGLETRANSLATE(A149, ""en"", ""id"")"),"148")</f>
        <v>148</v>
      </c>
      <c r="H149" s="6" t="str">
        <f>IFERROR(__xludf.DUMMYFUNCTION("GOOGLETRANSLATE(B149, ""en"", ""id"")"),"Daerah manakah di Indonesia yang mengintegrasikan Sepak Takraw ke dalam Pekan Olahraga Remaja tahunan (Pekan Olahraga Daerah)?")</f>
        <v>Daerah manakah di Indonesia yang mengintegrasikan Sepak Takraw ke dalam Pekan Olahraga Remaja tahunan (Pekan Olahraga Daerah)?</v>
      </c>
      <c r="I149" s="6" t="str">
        <f>IFERROR(__xludf.DUMMYFUNCTION("GOOGLETRANSLATE(C149, ""en"", ""id"")"),"A) Sulawesi Selatan B) Jawa Timur C) Jawa Barat D) Lampung")</f>
        <v>A) Sulawesi Selatan B) Jawa Timur C) Jawa Barat D) Lampung</v>
      </c>
      <c r="J149" s="6" t="str">
        <f>IFERROR(__xludf.DUMMYFUNCTION("GOOGLETRANSLATE(D149, ""en"", ""id"")"),"B) Jawa Timur")</f>
        <v>B) Jawa Timur</v>
      </c>
      <c r="K149" s="6" t="str">
        <f>IFERROR(__xludf.DUMMYFUNCTION("GOOGLETRANSLATE(E149, ""en"", ""id"")"),"Jawa Timur secara konsisten menampilkan Sepak Takraw dalam pekan olahraga daerahnya.")</f>
        <v>Jawa Timur secara konsisten menampilkan Sepak Takraw dalam pekan olahraga daerahnya.</v>
      </c>
    </row>
    <row r="150">
      <c r="A150" s="5">
        <v>149.0</v>
      </c>
      <c r="B150" s="10" t="s">
        <v>1931</v>
      </c>
      <c r="C150" s="10" t="s">
        <v>1932</v>
      </c>
      <c r="D150" s="10" t="s">
        <v>1434</v>
      </c>
      <c r="E150" s="10" t="s">
        <v>1933</v>
      </c>
      <c r="G150" s="6" t="str">
        <f>IFERROR(__xludf.DUMMYFUNCTION("GOOGLETRANSLATE(A150, ""en"", ""id"")"),"149")</f>
        <v>149</v>
      </c>
      <c r="H150" s="6" t="str">
        <f>IFERROR(__xludf.DUMMYFUNCTION("GOOGLETRANSLATE(B150, ""en"", ""id"")"),"Legenda Sepak Takraw Indonesia mana yang mendapat penghargaan prestasi seumur hidup pada tahun 2018?")</f>
        <v>Legenda Sepak Takraw Indonesia mana yang mendapat penghargaan prestasi seumur hidup pada tahun 2018?</v>
      </c>
      <c r="I150" s="6" t="str">
        <f>IFERROR(__xludf.DUMMYFUNCTION("GOOGLETRANSLATE(C150, ""en"", ""id"")"),"A) Ardy Sutedjo B) Zulkifli Nasution C) Muhammad Iqbal D) Rijal Akhmad")</f>
        <v>A) Ardy Sutedjo B) Zulkifli Nasution C) Muhammad Iqbal D) Rijal Akhmad</v>
      </c>
      <c r="J150" s="6" t="str">
        <f>IFERROR(__xludf.DUMMYFUNCTION("GOOGLETRANSLATE(D150, ""en"", ""id"")"),"A) Ardy Sutedjo")</f>
        <v>A) Ardy Sutedjo</v>
      </c>
      <c r="K150" s="6" t="str">
        <f>IFERROR(__xludf.DUMMYFUNCTION("GOOGLETRANSLATE(E150, ""en"", ""id"")"),"Ardy Sutedjo mendapat penghargaan atas kontribusinya selama puluhan tahun terhadap Sepak Takraw Indonesia.")</f>
        <v>Ardy Sutedjo mendapat penghargaan atas kontribusinya selama puluhan tahun terhadap Sepak Takraw Indonesia.</v>
      </c>
    </row>
    <row r="151">
      <c r="A151" s="5">
        <v>150.0</v>
      </c>
      <c r="B151" s="10" t="s">
        <v>1934</v>
      </c>
      <c r="C151" s="10" t="s">
        <v>1935</v>
      </c>
      <c r="D151" s="10" t="s">
        <v>1936</v>
      </c>
      <c r="E151" s="10" t="s">
        <v>1937</v>
      </c>
      <c r="G151" s="6" t="str">
        <f>IFERROR(__xludf.DUMMYFUNCTION("GOOGLETRANSLATE(A151, ""en"", ""id"")"),"150")</f>
        <v>150</v>
      </c>
      <c r="H151" s="6" t="str">
        <f>IFERROR(__xludf.DUMMYFUNCTION("GOOGLETRANSLATE(B151, ""en"", ""id"")"),"Sepak Takraw diproyeksikan akan dimasukkan sebagai olahraga demonstrasi di acara yang diselenggarakan Indonesia yang mana?")</f>
        <v>Sepak Takraw diproyeksikan akan dimasukkan sebagai olahraga demonstrasi di acara yang diselenggarakan Indonesia yang mana?</v>
      </c>
      <c r="I151" s="6" t="str">
        <f>IFERROR(__xludf.DUMMYFUNCTION("GOOGLETRANSLATE(C151, ""en"", ""id"")"),"A) Asian Youth Games B) World Beach Games C) Islamic Solidarity Games D) Youth Olympics")</f>
        <v>A) Asian Youth Games B) World Beach Games C) Islamic Solidarity Games D) Youth Olympics</v>
      </c>
      <c r="J151" s="6" t="str">
        <f>IFERROR(__xludf.DUMMYFUNCTION("GOOGLETRANSLATE(D151, ""en"", ""id"")"),"C) Permainan Solidaritas Islam")</f>
        <v>C) Permainan Solidaritas Islam</v>
      </c>
      <c r="K151" s="6" t="str">
        <f>IFERROR(__xludf.DUMMYFUNCTION("GOOGLETRANSLATE(E151, ""en"", ""id"")"),"Indonesia bertujuan untuk menampilkan Sepak Takraw di Islamic Solidarity Games sebagai warisan budaya.")</f>
        <v>Indonesia bertujuan untuk menampilkan Sepak Takraw di Islamic Solidarity Games sebagai warisan budaya.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9.5"/>
    <col customWidth="1" min="3" max="3" width="41.38"/>
    <col customWidth="1" min="4" max="4" width="18.88"/>
    <col customWidth="1" min="5" max="5" width="37.63"/>
    <col customWidth="1" min="7" max="7" width="16.88"/>
    <col customWidth="1" min="8" max="9" width="37.63"/>
    <col customWidth="1" min="10" max="10" width="24.5"/>
    <col customWidth="1" min="11" max="11" width="3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</row>
    <row r="2">
      <c r="A2" s="5">
        <v>1.0</v>
      </c>
      <c r="B2" s="5" t="s">
        <v>1938</v>
      </c>
      <c r="C2" s="5" t="s">
        <v>1939</v>
      </c>
      <c r="D2" s="5" t="s">
        <v>1940</v>
      </c>
      <c r="E2" s="5" t="s">
        <v>1941</v>
      </c>
      <c r="G2" s="6" t="str">
        <f>IFERROR(__xludf.DUMMYFUNCTION("GOOGLETRANSLATE(A2, ""en"", ""id"")"),"1")</f>
        <v>1</v>
      </c>
      <c r="H2" s="6" t="str">
        <f>IFERROR(__xludf.DUMMYFUNCTION("GOOGLETRANSLATE(B2, ""en"", ""id"")"),"Siapakah yang mendirikan olahraga beladiri Indonesia Tarung Derajat?")</f>
        <v>Siapakah yang mendirikan olahraga beladiri Indonesia Tarung Derajat?</v>
      </c>
      <c r="I2" s="6" t="str">
        <f>IFERROR(__xludf.DUMMYFUNCTION("GOOGLETRANSLATE(C2, ""en"", ""id"")"),"A) Ahmad Niam, B) Achmad Dradjat, C) Gajah Mada, D) Raden Wijaya")</f>
        <v>A) Ahmad Niam, B) Achmad Dradjat, C) Gajah Mada, D) Raden Wijaya</v>
      </c>
      <c r="J2" s="6" t="str">
        <f>IFERROR(__xludf.DUMMYFUNCTION("GOOGLETRANSLATE(D2, ""en"", ""id"")"),"B) Achmad Dradjat")</f>
        <v>B) Achmad Dradjat</v>
      </c>
      <c r="K2" s="6" t="str">
        <f>IFERROR(__xludf.DUMMYFUNCTION("GOOGLETRANSLATE(E2, ""en"", ""id"")"),"Tarung Derajat didirikan oleh Achmad Dradjat pada tahun 1970-an sebagai seni bela diri yang menggabungkan kekuatan, kecepatan, dan kelincahan.")</f>
        <v>Tarung Derajat didirikan oleh Achmad Dradjat pada tahun 1970-an sebagai seni bela diri yang menggabungkan kekuatan, kecepatan, dan kelincahan.</v>
      </c>
    </row>
    <row r="3">
      <c r="A3" s="5">
        <v>2.0</v>
      </c>
      <c r="B3" s="5" t="s">
        <v>1942</v>
      </c>
      <c r="C3" s="5" t="s">
        <v>1943</v>
      </c>
      <c r="D3" s="5" t="s">
        <v>1944</v>
      </c>
      <c r="E3" s="5" t="s">
        <v>1945</v>
      </c>
      <c r="G3" s="6" t="str">
        <f>IFERROR(__xludf.DUMMYFUNCTION("GOOGLETRANSLATE(A3, ""en"", ""id"")"),"2")</f>
        <v>2</v>
      </c>
      <c r="H3" s="6" t="str">
        <f>IFERROR(__xludf.DUMMYFUNCTION("GOOGLETRANSLATE(B3, ""en"", ""id"")"),"Pada dekade manakah Tarung Derajat pertama kali muncul di Indonesia?")</f>
        <v>Pada dekade manakah Tarung Derajat pertama kali muncul di Indonesia?</v>
      </c>
      <c r="I3" s="6" t="str">
        <f>IFERROR(__xludf.DUMMYFUNCTION("GOOGLETRANSLATE(C3, ""en"", ""id"")"),"A) Tahun 1960an, B) Tahun 1970an, C) Tahun 1980an, D) Tahun 1990an")</f>
        <v>A) Tahun 1960an, B) Tahun 1970an, C) Tahun 1980an, D) Tahun 1990an</v>
      </c>
      <c r="J3" s="6" t="str">
        <f>IFERROR(__xludf.DUMMYFUNCTION("GOOGLETRANSLATE(D3, ""en"", ""id"")"),"B) Tahun 1970-an")</f>
        <v>B) Tahun 1970-an</v>
      </c>
      <c r="K3" s="6" t="str">
        <f>IFERROR(__xludf.DUMMYFUNCTION("GOOGLETRANSLATE(E3, ""en"", ""id"")"),"Tarung Derajat berasal dari tahun 1970-an dan mendapatkan popularitas sebagai sistem pertahanan diri.")</f>
        <v>Tarung Derajat berasal dari tahun 1970-an dan mendapatkan popularitas sebagai sistem pertahanan diri.</v>
      </c>
    </row>
    <row r="4">
      <c r="A4" s="5">
        <v>3.0</v>
      </c>
      <c r="B4" s="5" t="s">
        <v>1946</v>
      </c>
      <c r="C4" s="5" t="s">
        <v>1947</v>
      </c>
      <c r="D4" s="5" t="s">
        <v>1948</v>
      </c>
      <c r="E4" s="5" t="s">
        <v>1949</v>
      </c>
      <c r="G4" s="6" t="str">
        <f>IFERROR(__xludf.DUMMYFUNCTION("GOOGLETRANSLATE(A4, ""en"", ""id"")"),"3")</f>
        <v>3</v>
      </c>
      <c r="H4" s="6" t="str">
        <f>IFERROR(__xludf.DUMMYFUNCTION("GOOGLETRANSLATE(B4, ""en"", ""id"")"),"Apa tujuan utama seni beladiri Tarung Derajat?")</f>
        <v>Apa tujuan utama seni beladiri Tarung Derajat?</v>
      </c>
      <c r="I4" s="6" t="str">
        <f>IFERROR(__xludf.DUMMYFUNCTION("GOOGLETRANSLATE(C4, ""en"", ""id"")"),"A) Tari, B) Bela Diri, C) Meditasi, D) Hiburan")</f>
        <v>A) Tari, B) Bela Diri, C) Meditasi, D) Hiburan</v>
      </c>
      <c r="J4" s="6" t="str">
        <f>IFERROR(__xludf.DUMMYFUNCTION("GOOGLETRANSLATE(D4, ""en"", ""id"")"),"B) Bela Diri")</f>
        <v>B) Bela Diri</v>
      </c>
      <c r="K4" s="6" t="str">
        <f>IFERROR(__xludf.DUMMYFUNCTION("GOOGLETRANSLATE(E4, ""en"", ""id"")"),"Tarung Derajat dikembangkan sebagai sistem pertahanan diri yang berfokus pada efisiensi tempur dan kebugaran fisik.")</f>
        <v>Tarung Derajat dikembangkan sebagai sistem pertahanan diri yang berfokus pada efisiensi tempur dan kebugaran fisik.</v>
      </c>
    </row>
    <row r="5">
      <c r="A5" s="5">
        <v>4.0</v>
      </c>
      <c r="B5" s="5" t="s">
        <v>1950</v>
      </c>
      <c r="C5" s="5" t="s">
        <v>1951</v>
      </c>
      <c r="D5" s="5" t="s">
        <v>1952</v>
      </c>
      <c r="E5" s="5" t="s">
        <v>1953</v>
      </c>
      <c r="G5" s="6" t="str">
        <f>IFERROR(__xludf.DUMMYFUNCTION("GOOGLETRANSLATE(A5, ""en"", ""id"")"),"4")</f>
        <v>4</v>
      </c>
      <c r="H5" s="6" t="str">
        <f>IFERROR(__xludf.DUMMYFUNCTION("GOOGLETRANSLATE(B5, ""en"", ""id"")"),"Angkatan bersenjata Indonesia manakah yang secara resmi mengakui Tarung Derajat sebagai olahraga latihan?")</f>
        <v>Angkatan bersenjata Indonesia manakah yang secara resmi mengakui Tarung Derajat sebagai olahraga latihan?</v>
      </c>
      <c r="I5" s="6" t="str">
        <f>IFERROR(__xludf.DUMMYFUNCTION("GOOGLETRANSLATE(C5, ""en"", ""id"")"),"A) Angkatan Laut Indonesia, B) Angkatan Udara Indonesia, C) Kepolisian Negara Republik Indonesia, D) Angkatan Darat Indonesia")</f>
        <v>A) Angkatan Laut Indonesia, B) Angkatan Udara Indonesia, C) Kepolisian Negara Republik Indonesia, D) Angkatan Darat Indonesia</v>
      </c>
      <c r="J5" s="6" t="str">
        <f>IFERROR(__xludf.DUMMYFUNCTION("GOOGLETRANSLATE(D5, ""en"", ""id"")"),"D) Tentara Nasional Indonesia")</f>
        <v>D) Tentara Nasional Indonesia</v>
      </c>
      <c r="K5" s="6" t="str">
        <f>IFERROR(__xludf.DUMMYFUNCTION("GOOGLETRANSLATE(E5, ""en"", ""id"")"),"Tentara Nasional Indonesia mengadopsi Tarung Derajat sebagai bagian dari latihan keterampilan pertempuran jarak dekat.")</f>
        <v>Tentara Nasional Indonesia mengadopsi Tarung Derajat sebagai bagian dari latihan keterampilan pertempuran jarak dekat.</v>
      </c>
    </row>
    <row r="6">
      <c r="A6" s="5">
        <v>5.0</v>
      </c>
      <c r="B6" s="5" t="s">
        <v>1954</v>
      </c>
      <c r="C6" s="5" t="s">
        <v>1955</v>
      </c>
      <c r="D6" s="5" t="s">
        <v>1956</v>
      </c>
      <c r="E6" s="5" t="s">
        <v>1957</v>
      </c>
      <c r="G6" s="6" t="str">
        <f>IFERROR(__xludf.DUMMYFUNCTION("GOOGLETRANSLATE(A6, ""en"", ""id"")"),"5")</f>
        <v>5</v>
      </c>
      <c r="H6" s="6" t="str">
        <f>IFERROR(__xludf.DUMMYFUNCTION("GOOGLETRANSLATE(B6, ""en"", ""id"")"),"Hewan apa yang biasanya dikaitkan dengan logo Tarung Derajat?")</f>
        <v>Hewan apa yang biasanya dikaitkan dengan logo Tarung Derajat?</v>
      </c>
      <c r="I6" s="6" t="str">
        <f>IFERROR(__xludf.DUMMYFUNCTION("GOOGLETRANSLATE(C6, ""en"", ""id"")"),"A) Harimau, B) Elang, C) Kerbau, D) Banteng")</f>
        <v>A) Harimau, B) Elang, C) Kerbau, D) Banteng</v>
      </c>
      <c r="J6" s="6" t="str">
        <f>IFERROR(__xludf.DUMMYFUNCTION("GOOGLETRANSLATE(D6, ""en"", ""id"")"),"A) Harimau")</f>
        <v>A) Harimau</v>
      </c>
      <c r="K6" s="6" t="str">
        <f>IFERROR(__xludf.DUMMYFUNCTION("GOOGLETRANSLATE(E6, ""en"", ""id"")"),"Harimau melambangkan kekuatan dan keberanian, atribut utama dalam filosofi Tarung Derajat.")</f>
        <v>Harimau melambangkan kekuatan dan keberanian, atribut utama dalam filosofi Tarung Derajat.</v>
      </c>
    </row>
    <row r="7">
      <c r="A7" s="5">
        <v>6.0</v>
      </c>
      <c r="B7" s="5" t="s">
        <v>1958</v>
      </c>
      <c r="C7" s="5" t="s">
        <v>1959</v>
      </c>
      <c r="D7" s="5" t="s">
        <v>1960</v>
      </c>
      <c r="E7" s="5" t="s">
        <v>1961</v>
      </c>
      <c r="G7" s="6" t="str">
        <f>IFERROR(__xludf.DUMMYFUNCTION("GOOGLETRANSLATE(A7, ""en"", ""id"")"),"6")</f>
        <v>6</v>
      </c>
      <c r="H7" s="6" t="str">
        <f>IFERROR(__xludf.DUMMYFUNCTION("GOOGLETRANSLATE(B7, ""en"", ""id"")"),"Acara olahraga Asia Tenggara manakah yang pertama kali memasukkan Tarung Derajat sebagai olahraga kompetitif?")</f>
        <v>Acara olahraga Asia Tenggara manakah yang pertama kali memasukkan Tarung Derajat sebagai olahraga kompetitif?</v>
      </c>
      <c r="I7" s="6" t="str">
        <f>IFERROR(__xludf.DUMMYFUNCTION("GOOGLETRANSLATE(C7, ""en"", ""id"")"),"A) SEA Games 2009, B) SEA Games 2011, C) SEA Games 2013, D) SEA Games 2015")</f>
        <v>A) SEA Games 2009, B) SEA Games 2011, C) SEA Games 2013, D) SEA Games 2015</v>
      </c>
      <c r="J7" s="6" t="str">
        <f>IFERROR(__xludf.DUMMYFUNCTION("GOOGLETRANSLATE(D7, ""en"", ""id"")"),"B) SEA Games 2011")</f>
        <v>B) SEA Games 2011</v>
      </c>
      <c r="K7" s="6" t="str">
        <f>IFERROR(__xludf.DUMMYFUNCTION("GOOGLETRANSLATE(E7, ""en"", ""id"")"),"Tarung Derajat dimasukkan sebagai cabang olahraga kompetitif dalam SEA Games 2011 yang diselenggarakan di Indonesia.")</f>
        <v>Tarung Derajat dimasukkan sebagai cabang olahraga kompetitif dalam SEA Games 2011 yang diselenggarakan di Indonesia.</v>
      </c>
    </row>
    <row r="8">
      <c r="A8" s="5">
        <v>7.0</v>
      </c>
      <c r="B8" s="5" t="s">
        <v>1962</v>
      </c>
      <c r="C8" s="5" t="s">
        <v>1963</v>
      </c>
      <c r="D8" s="5" t="s">
        <v>1964</v>
      </c>
      <c r="E8" s="5" t="s">
        <v>1965</v>
      </c>
      <c r="G8" s="6" t="str">
        <f>IFERROR(__xludf.DUMMYFUNCTION("GOOGLETRANSLATE(A8, ""en"", ""id"")"),"7")</f>
        <v>7</v>
      </c>
      <c r="H8" s="6" t="str">
        <f>IFERROR(__xludf.DUMMYFUNCTION("GOOGLETRANSLATE(B8, ""en"", ""id"")"),"Prinsip apa yang ditekankan dalam latihan Tarung Derajat?")</f>
        <v>Prinsip apa yang ditekankan dalam latihan Tarung Derajat?</v>
      </c>
      <c r="I8" s="6" t="str">
        <f>IFERROR(__xludf.DUMMYFUNCTION("GOOGLETRANSLATE(C8, ""en"", ""id"")"),"A) Ketahanan mental, B) Keterampilan menari, C) Fleksibilitas, D) Keheningan")</f>
        <v>A) Ketahanan mental, B) Keterampilan menari, C) Fleksibilitas, D) Keheningan</v>
      </c>
      <c r="J8" s="6" t="str">
        <f>IFERROR(__xludf.DUMMYFUNCTION("GOOGLETRANSLATE(D8, ""en"", ""id"")"),"A) Ketahanan mental")</f>
        <v>A) Ketahanan mental</v>
      </c>
      <c r="K8" s="6" t="str">
        <f>IFERROR(__xludf.DUMMYFUNCTION("GOOGLETRANSLATE(E8, ""en"", ""id"")"),"Ketahanan mental sangat penting dalam Tarung Derajat, yang mencerminkan akarnya dalam pembelaan diri dan pemberdayaan pribadi.")</f>
        <v>Ketahanan mental sangat penting dalam Tarung Derajat, yang mencerminkan akarnya dalam pembelaan diri dan pemberdayaan pribadi.</v>
      </c>
    </row>
    <row r="9">
      <c r="A9" s="5">
        <v>8.0</v>
      </c>
      <c r="B9" s="5" t="s">
        <v>1966</v>
      </c>
      <c r="C9" s="5" t="s">
        <v>1967</v>
      </c>
      <c r="D9" s="5" t="s">
        <v>1968</v>
      </c>
      <c r="E9" s="5" t="s">
        <v>1969</v>
      </c>
      <c r="G9" s="6" t="str">
        <f>IFERROR(__xludf.DUMMYFUNCTION("GOOGLETRANSLATE(A9, ""en"", ""id"")"),"8")</f>
        <v>8</v>
      </c>
      <c r="H9" s="6" t="str">
        <f>IFERROR(__xludf.DUMMYFUNCTION("GOOGLETRANSLATE(B9, ""en"", ""id"")"),"Tarung Derajat sering dikenal dengan julukan apa di Indonesia?")</f>
        <v>Tarung Derajat sering dikenal dengan julukan apa di Indonesia?</v>
      </c>
      <c r="I9" s="6" t="str">
        <f>IFERROR(__xludf.DUMMYFUNCTION("GOOGLETRANSLATE(C9, ""en"", ""id"")"),"A) Jalan Elang, B) Jalan Harimau, C) Seni Kekuatan, D) Seni Bertahan Hidup")</f>
        <v>A) Jalan Elang, B) Jalan Harimau, C) Seni Kekuatan, D) Seni Bertahan Hidup</v>
      </c>
      <c r="J9" s="6" t="str">
        <f>IFERROR(__xludf.DUMMYFUNCTION("GOOGLETRANSLATE(D9, ""en"", ""id"")"),"D) Seni Bertahan Hidup")</f>
        <v>D) Seni Bertahan Hidup</v>
      </c>
      <c r="K9" s="6" t="str">
        <f>IFERROR(__xludf.DUMMYFUNCTION("GOOGLETRANSLATE(E9, ""en"", ""id"")"),"Tarung Derajat umumnya disebut 'Seni Bertahan Hidup' karena penekanannya pada pembelaan diri yang praktis.")</f>
        <v>Tarung Derajat umumnya disebut 'Seni Bertahan Hidup' karena penekanannya pada pembelaan diri yang praktis.</v>
      </c>
    </row>
    <row r="10">
      <c r="A10" s="5">
        <v>9.0</v>
      </c>
      <c r="B10" s="5" t="s">
        <v>1970</v>
      </c>
      <c r="C10" s="5" t="s">
        <v>1971</v>
      </c>
      <c r="D10" s="5" t="s">
        <v>1972</v>
      </c>
      <c r="E10" s="5" t="s">
        <v>1973</v>
      </c>
      <c r="G10" s="6" t="str">
        <f>IFERROR(__xludf.DUMMYFUNCTION("GOOGLETRANSLATE(A10, ""en"", ""id"")"),"9")</f>
        <v>9</v>
      </c>
      <c r="H10" s="6" t="str">
        <f>IFERROR(__xludf.DUMMYFUNCTION("GOOGLETRANSLATE(B10, ""en"", ""id"")"),"Siapa yang dianggap sebagai 'bapak' Tarung Derajat?")</f>
        <v>Siapa yang dianggap sebagai 'bapak' Tarung Derajat?</v>
      </c>
      <c r="I10" s="6" t="str">
        <f>IFERROR(__xludf.DUMMYFUNCTION("GOOGLETRANSLATE(C10, ""en"", ""id"")"),"A) Ahmad Zahari, B) Bung Karno, C) Pak Kameo, D) Haji Achmad Dradjat")</f>
        <v>A) Ahmad Zahari, B) Bung Karno, C) Pak Kameo, D) Haji Achmad Dradjat</v>
      </c>
      <c r="J10" s="6" t="str">
        <f>IFERROR(__xludf.DUMMYFUNCTION("GOOGLETRANSLATE(D10, ""en"", ""id"")"),"D) Haji Achmad Dradjat")</f>
        <v>D) Haji Achmad Dradjat</v>
      </c>
      <c r="K10" s="6" t="str">
        <f>IFERROR(__xludf.DUMMYFUNCTION("GOOGLETRANSLATE(E10, ""en"", ""id"")"),"Haji Achmad Dradjat dihormati sebagai 'bapak' Tarung Derajat, karena telah memformalkan teknik dan pelatihannya.")</f>
        <v>Haji Achmad Dradjat dihormati sebagai 'bapak' Tarung Derajat, karena telah memformalkan teknik dan pelatihannya.</v>
      </c>
    </row>
    <row r="11">
      <c r="A11" s="5">
        <v>10.0</v>
      </c>
      <c r="B11" s="5" t="s">
        <v>1974</v>
      </c>
      <c r="C11" s="5" t="s">
        <v>1975</v>
      </c>
      <c r="D11" s="5" t="s">
        <v>1976</v>
      </c>
      <c r="E11" s="5" t="s">
        <v>1977</v>
      </c>
      <c r="G11" s="6" t="str">
        <f>IFERROR(__xludf.DUMMYFUNCTION("GOOGLETRANSLATE(A11, ""en"", ""id"")"),"10")</f>
        <v>10</v>
      </c>
      <c r="H11" s="6" t="str">
        <f>IFERROR(__xludf.DUMMYFUNCTION("GOOGLETRANSLATE(B11, ""en"", ""id"")"),"Apa arti istilah 'Tarung Derajat' dalam bahasa Inggris?")</f>
        <v>Apa arti istilah 'Tarung Derajat' dalam bahasa Inggris?</v>
      </c>
      <c r="I11" s="6" t="str">
        <f>IFERROR(__xludf.DUMMYFUNCTION("GOOGLETRANSLATE(C11, ""en"", ""id"")"),"A) Keterampilan Bertarung, B) Kekuatan Bertahan Hidup, C) Jalan Kekuatan, D) Semangat Bela Diri")</f>
        <v>A) Keterampilan Bertarung, B) Kekuatan Bertahan Hidup, C) Jalan Kekuatan, D) Semangat Bela Diri</v>
      </c>
      <c r="J11" s="6" t="str">
        <f>IFERROR(__xludf.DUMMYFUNCTION("GOOGLETRANSLATE(D11, ""en"", ""id"")"),"B) Kekuatan Bertahan Hidup")</f>
        <v>B) Kekuatan Bertahan Hidup</v>
      </c>
      <c r="K11" s="6" t="str">
        <f>IFERROR(__xludf.DUMMYFUNCTION("GOOGLETRANSLATE(E11, ""en"", ""id"")"),"Dalam bahasa Inggris, 'Tarung Derajat' diterjemahkan menjadi 'Kekuatan Bertahan Hidup,' yang menekankan ketahanan dan pembelaan diri.")</f>
        <v>Dalam bahasa Inggris, 'Tarung Derajat' diterjemahkan menjadi 'Kekuatan Bertahan Hidup,' yang menekankan ketahanan dan pembelaan diri.</v>
      </c>
    </row>
    <row r="12">
      <c r="A12" s="5">
        <v>11.0</v>
      </c>
      <c r="B12" s="5" t="s">
        <v>1938</v>
      </c>
      <c r="C12" s="5" t="s">
        <v>1939</v>
      </c>
      <c r="D12" s="5" t="s">
        <v>1940</v>
      </c>
      <c r="E12" s="5" t="s">
        <v>1941</v>
      </c>
      <c r="G12" s="6" t="str">
        <f>IFERROR(__xludf.DUMMYFUNCTION("GOOGLETRANSLATE(A12, ""en"", ""id"")"),"11")</f>
        <v>11</v>
      </c>
      <c r="H12" s="6" t="str">
        <f>IFERROR(__xludf.DUMMYFUNCTION("GOOGLETRANSLATE(B12, ""en"", ""id"")"),"Siapakah yang mendirikan olahraga beladiri Indonesia Tarung Derajat?")</f>
        <v>Siapakah yang mendirikan olahraga beladiri Indonesia Tarung Derajat?</v>
      </c>
      <c r="I12" s="6" t="str">
        <f>IFERROR(__xludf.DUMMYFUNCTION("GOOGLETRANSLATE(C12, ""en"", ""id"")"),"A) Ahmad Niam, B) Achmad Dradjat, C) Gajah Mada, D) Raden Wijaya")</f>
        <v>A) Ahmad Niam, B) Achmad Dradjat, C) Gajah Mada, D) Raden Wijaya</v>
      </c>
      <c r="J12" s="6" t="str">
        <f>IFERROR(__xludf.DUMMYFUNCTION("GOOGLETRANSLATE(D12, ""en"", ""id"")"),"B) Achmad Dradjat")</f>
        <v>B) Achmad Dradjat</v>
      </c>
      <c r="K12" s="6" t="str">
        <f>IFERROR(__xludf.DUMMYFUNCTION("GOOGLETRANSLATE(E12, ""en"", ""id"")"),"Tarung Derajat didirikan oleh Achmad Dradjat pada tahun 1970-an sebagai seni bela diri yang menggabungkan kekuatan, kecepatan, dan kelincahan.")</f>
        <v>Tarung Derajat didirikan oleh Achmad Dradjat pada tahun 1970-an sebagai seni bela diri yang menggabungkan kekuatan, kecepatan, dan kelincahan.</v>
      </c>
    </row>
    <row r="13">
      <c r="A13" s="5">
        <v>12.0</v>
      </c>
      <c r="B13" s="5" t="s">
        <v>1942</v>
      </c>
      <c r="C13" s="5" t="s">
        <v>1943</v>
      </c>
      <c r="D13" s="5" t="s">
        <v>1944</v>
      </c>
      <c r="E13" s="5" t="s">
        <v>1945</v>
      </c>
      <c r="G13" s="6" t="str">
        <f>IFERROR(__xludf.DUMMYFUNCTION("GOOGLETRANSLATE(A13, ""en"", ""id"")"),"12")</f>
        <v>12</v>
      </c>
      <c r="H13" s="6" t="str">
        <f>IFERROR(__xludf.DUMMYFUNCTION("GOOGLETRANSLATE(B13, ""en"", ""id"")"),"Pada dekade manakah Tarung Derajat pertama kali muncul di Indonesia?")</f>
        <v>Pada dekade manakah Tarung Derajat pertama kali muncul di Indonesia?</v>
      </c>
      <c r="I13" s="6" t="str">
        <f>IFERROR(__xludf.DUMMYFUNCTION("GOOGLETRANSLATE(C13, ""en"", ""id"")"),"A) Tahun 1960an, B) Tahun 1970an, C) Tahun 1980an, D) Tahun 1990an")</f>
        <v>A) Tahun 1960an, B) Tahun 1970an, C) Tahun 1980an, D) Tahun 1990an</v>
      </c>
      <c r="J13" s="6" t="str">
        <f>IFERROR(__xludf.DUMMYFUNCTION("GOOGLETRANSLATE(D13, ""en"", ""id"")"),"B) Tahun 1970-an")</f>
        <v>B) Tahun 1970-an</v>
      </c>
      <c r="K13" s="6" t="str">
        <f>IFERROR(__xludf.DUMMYFUNCTION("GOOGLETRANSLATE(E13, ""en"", ""id"")"),"Tarung Derajat berasal dari tahun 1970-an dan mendapatkan popularitas sebagai sistem pertahanan diri.")</f>
        <v>Tarung Derajat berasal dari tahun 1970-an dan mendapatkan popularitas sebagai sistem pertahanan diri.</v>
      </c>
    </row>
    <row r="14">
      <c r="A14" s="5">
        <v>13.0</v>
      </c>
      <c r="B14" s="5" t="s">
        <v>1946</v>
      </c>
      <c r="C14" s="5" t="s">
        <v>1947</v>
      </c>
      <c r="D14" s="5" t="s">
        <v>1948</v>
      </c>
      <c r="E14" s="5" t="s">
        <v>1949</v>
      </c>
      <c r="G14" s="6" t="str">
        <f>IFERROR(__xludf.DUMMYFUNCTION("GOOGLETRANSLATE(A14, ""en"", ""id"")"),"13")</f>
        <v>13</v>
      </c>
      <c r="H14" s="6" t="str">
        <f>IFERROR(__xludf.DUMMYFUNCTION("GOOGLETRANSLATE(B14, ""en"", ""id"")"),"Apa tujuan utama seni beladiri Tarung Derajat?")</f>
        <v>Apa tujuan utama seni beladiri Tarung Derajat?</v>
      </c>
      <c r="I14" s="6" t="str">
        <f>IFERROR(__xludf.DUMMYFUNCTION("GOOGLETRANSLATE(C14, ""en"", ""id"")"),"A) Tari, B) Bela Diri, C) Meditasi, D) Hiburan")</f>
        <v>A) Tari, B) Bela Diri, C) Meditasi, D) Hiburan</v>
      </c>
      <c r="J14" s="6" t="str">
        <f>IFERROR(__xludf.DUMMYFUNCTION("GOOGLETRANSLATE(D14, ""en"", ""id"")"),"B) Bela Diri")</f>
        <v>B) Bela Diri</v>
      </c>
      <c r="K14" s="6" t="str">
        <f>IFERROR(__xludf.DUMMYFUNCTION("GOOGLETRANSLATE(E14, ""en"", ""id"")"),"Tarung Derajat dikembangkan sebagai sistem pertahanan diri yang berfokus pada efisiensi tempur dan kebugaran fisik.")</f>
        <v>Tarung Derajat dikembangkan sebagai sistem pertahanan diri yang berfokus pada efisiensi tempur dan kebugaran fisik.</v>
      </c>
    </row>
    <row r="15">
      <c r="A15" s="5">
        <v>14.0</v>
      </c>
      <c r="B15" s="5" t="s">
        <v>1950</v>
      </c>
      <c r="C15" s="5" t="s">
        <v>1951</v>
      </c>
      <c r="D15" s="5" t="s">
        <v>1952</v>
      </c>
      <c r="E15" s="5" t="s">
        <v>1953</v>
      </c>
      <c r="G15" s="6" t="str">
        <f>IFERROR(__xludf.DUMMYFUNCTION("GOOGLETRANSLATE(A15, ""en"", ""id"")"),"14")</f>
        <v>14</v>
      </c>
      <c r="H15" s="6" t="str">
        <f>IFERROR(__xludf.DUMMYFUNCTION("GOOGLETRANSLATE(B15, ""en"", ""id"")"),"Angkatan bersenjata Indonesia manakah yang secara resmi mengakui Tarung Derajat sebagai olahraga latihan?")</f>
        <v>Angkatan bersenjata Indonesia manakah yang secara resmi mengakui Tarung Derajat sebagai olahraga latihan?</v>
      </c>
      <c r="I15" s="6" t="str">
        <f>IFERROR(__xludf.DUMMYFUNCTION("GOOGLETRANSLATE(C15, ""en"", ""id"")"),"A) Angkatan Laut Indonesia, B) Angkatan Udara Indonesia, C) Kepolisian Negara Republik Indonesia, D) Angkatan Darat Indonesia")</f>
        <v>A) Angkatan Laut Indonesia, B) Angkatan Udara Indonesia, C) Kepolisian Negara Republik Indonesia, D) Angkatan Darat Indonesia</v>
      </c>
      <c r="J15" s="6" t="str">
        <f>IFERROR(__xludf.DUMMYFUNCTION("GOOGLETRANSLATE(D15, ""en"", ""id"")"),"D) Tentara Nasional Indonesia")</f>
        <v>D) Tentara Nasional Indonesia</v>
      </c>
      <c r="K15" s="6" t="str">
        <f>IFERROR(__xludf.DUMMYFUNCTION("GOOGLETRANSLATE(E15, ""en"", ""id"")"),"Tentara Nasional Indonesia mengadopsi Tarung Derajat sebagai bagian dari latihan keterampilan pertempuran jarak dekat.")</f>
        <v>Tentara Nasional Indonesia mengadopsi Tarung Derajat sebagai bagian dari latihan keterampilan pertempuran jarak dekat.</v>
      </c>
    </row>
    <row r="16">
      <c r="A16" s="5">
        <v>15.0</v>
      </c>
      <c r="B16" s="5" t="s">
        <v>1954</v>
      </c>
      <c r="C16" s="5" t="s">
        <v>1955</v>
      </c>
      <c r="D16" s="5" t="s">
        <v>1956</v>
      </c>
      <c r="E16" s="5" t="s">
        <v>1957</v>
      </c>
      <c r="G16" s="6" t="str">
        <f>IFERROR(__xludf.DUMMYFUNCTION("GOOGLETRANSLATE(A16, ""en"", ""id"")"),"15")</f>
        <v>15</v>
      </c>
      <c r="H16" s="6" t="str">
        <f>IFERROR(__xludf.DUMMYFUNCTION("GOOGLETRANSLATE(B16, ""en"", ""id"")"),"Hewan apa yang biasanya dikaitkan dengan logo Tarung Derajat?")</f>
        <v>Hewan apa yang biasanya dikaitkan dengan logo Tarung Derajat?</v>
      </c>
      <c r="I16" s="6" t="str">
        <f>IFERROR(__xludf.DUMMYFUNCTION("GOOGLETRANSLATE(C16, ""en"", ""id"")"),"A) Harimau, B) Elang, C) Kerbau, D) Banteng")</f>
        <v>A) Harimau, B) Elang, C) Kerbau, D) Banteng</v>
      </c>
      <c r="J16" s="6" t="str">
        <f>IFERROR(__xludf.DUMMYFUNCTION("GOOGLETRANSLATE(D16, ""en"", ""id"")"),"A) Harimau")</f>
        <v>A) Harimau</v>
      </c>
      <c r="K16" s="6" t="str">
        <f>IFERROR(__xludf.DUMMYFUNCTION("GOOGLETRANSLATE(E16, ""en"", ""id"")"),"Harimau melambangkan kekuatan dan keberanian, atribut utama dalam filosofi Tarung Derajat.")</f>
        <v>Harimau melambangkan kekuatan dan keberanian, atribut utama dalam filosofi Tarung Derajat.</v>
      </c>
    </row>
    <row r="17">
      <c r="A17" s="5">
        <v>16.0</v>
      </c>
      <c r="B17" s="5" t="s">
        <v>1958</v>
      </c>
      <c r="C17" s="5" t="s">
        <v>1959</v>
      </c>
      <c r="D17" s="5" t="s">
        <v>1960</v>
      </c>
      <c r="E17" s="5" t="s">
        <v>1961</v>
      </c>
      <c r="G17" s="6" t="str">
        <f>IFERROR(__xludf.DUMMYFUNCTION("GOOGLETRANSLATE(A17, ""en"", ""id"")"),"16")</f>
        <v>16</v>
      </c>
      <c r="H17" s="6" t="str">
        <f>IFERROR(__xludf.DUMMYFUNCTION("GOOGLETRANSLATE(B17, ""en"", ""id"")"),"Acara olahraga Asia Tenggara manakah yang pertama kali memasukkan Tarung Derajat sebagai olahraga kompetitif?")</f>
        <v>Acara olahraga Asia Tenggara manakah yang pertama kali memasukkan Tarung Derajat sebagai olahraga kompetitif?</v>
      </c>
      <c r="I17" s="6" t="str">
        <f>IFERROR(__xludf.DUMMYFUNCTION("GOOGLETRANSLATE(C17, ""en"", ""id"")"),"A) SEA Games 2009, B) SEA Games 2011, C) SEA Games 2013, D) SEA Games 2015")</f>
        <v>A) SEA Games 2009, B) SEA Games 2011, C) SEA Games 2013, D) SEA Games 2015</v>
      </c>
      <c r="J17" s="6" t="str">
        <f>IFERROR(__xludf.DUMMYFUNCTION("GOOGLETRANSLATE(D17, ""en"", ""id"")"),"B) SEA Games 2011")</f>
        <v>B) SEA Games 2011</v>
      </c>
      <c r="K17" s="6" t="str">
        <f>IFERROR(__xludf.DUMMYFUNCTION("GOOGLETRANSLATE(E17, ""en"", ""id"")"),"Tarung Derajat dimasukkan sebagai cabang olahraga kompetitif dalam SEA Games 2011 yang diselenggarakan di Indonesia.")</f>
        <v>Tarung Derajat dimasukkan sebagai cabang olahraga kompetitif dalam SEA Games 2011 yang diselenggarakan di Indonesia.</v>
      </c>
    </row>
    <row r="18">
      <c r="A18" s="5">
        <v>17.0</v>
      </c>
      <c r="B18" s="5" t="s">
        <v>1962</v>
      </c>
      <c r="C18" s="5" t="s">
        <v>1963</v>
      </c>
      <c r="D18" s="5" t="s">
        <v>1964</v>
      </c>
      <c r="E18" s="5" t="s">
        <v>1965</v>
      </c>
      <c r="G18" s="6" t="str">
        <f>IFERROR(__xludf.DUMMYFUNCTION("GOOGLETRANSLATE(A18, ""en"", ""id"")"),"17")</f>
        <v>17</v>
      </c>
      <c r="H18" s="6" t="str">
        <f>IFERROR(__xludf.DUMMYFUNCTION("GOOGLETRANSLATE(B18, ""en"", ""id"")"),"Prinsip apa yang ditekankan dalam latihan Tarung Derajat?")</f>
        <v>Prinsip apa yang ditekankan dalam latihan Tarung Derajat?</v>
      </c>
      <c r="I18" s="6" t="str">
        <f>IFERROR(__xludf.DUMMYFUNCTION("GOOGLETRANSLATE(C18, ""en"", ""id"")"),"A) Ketahanan mental, B) Keterampilan menari, C) Fleksibilitas, D) Keheningan")</f>
        <v>A) Ketahanan mental, B) Keterampilan menari, C) Fleksibilitas, D) Keheningan</v>
      </c>
      <c r="J18" s="6" t="str">
        <f>IFERROR(__xludf.DUMMYFUNCTION("GOOGLETRANSLATE(D18, ""en"", ""id"")"),"A) Ketahanan mental")</f>
        <v>A) Ketahanan mental</v>
      </c>
      <c r="K18" s="6" t="str">
        <f>IFERROR(__xludf.DUMMYFUNCTION("GOOGLETRANSLATE(E18, ""en"", ""id"")"),"Ketahanan mental sangat penting dalam Tarung Derajat, yang mencerminkan akarnya dalam pembelaan diri dan pemberdayaan pribadi.")</f>
        <v>Ketahanan mental sangat penting dalam Tarung Derajat, yang mencerminkan akarnya dalam pembelaan diri dan pemberdayaan pribadi.</v>
      </c>
    </row>
    <row r="19">
      <c r="A19" s="5">
        <v>18.0</v>
      </c>
      <c r="B19" s="5" t="s">
        <v>1966</v>
      </c>
      <c r="C19" s="5" t="s">
        <v>1967</v>
      </c>
      <c r="D19" s="5" t="s">
        <v>1968</v>
      </c>
      <c r="E19" s="5" t="s">
        <v>1969</v>
      </c>
      <c r="G19" s="6" t="str">
        <f>IFERROR(__xludf.DUMMYFUNCTION("GOOGLETRANSLATE(A19, ""en"", ""id"")"),"18")</f>
        <v>18</v>
      </c>
      <c r="H19" s="6" t="str">
        <f>IFERROR(__xludf.DUMMYFUNCTION("GOOGLETRANSLATE(B19, ""en"", ""id"")"),"Tarung Derajat sering dikenal dengan julukan apa di Indonesia?")</f>
        <v>Tarung Derajat sering dikenal dengan julukan apa di Indonesia?</v>
      </c>
      <c r="I19" s="6" t="str">
        <f>IFERROR(__xludf.DUMMYFUNCTION("GOOGLETRANSLATE(C19, ""en"", ""id"")"),"A) Jalan Elang, B) Jalan Harimau, C) Seni Kekuatan, D) Seni Bertahan Hidup")</f>
        <v>A) Jalan Elang, B) Jalan Harimau, C) Seni Kekuatan, D) Seni Bertahan Hidup</v>
      </c>
      <c r="J19" s="6" t="str">
        <f>IFERROR(__xludf.DUMMYFUNCTION("GOOGLETRANSLATE(D19, ""en"", ""id"")"),"D) Seni Bertahan Hidup")</f>
        <v>D) Seni Bertahan Hidup</v>
      </c>
      <c r="K19" s="6" t="str">
        <f>IFERROR(__xludf.DUMMYFUNCTION("GOOGLETRANSLATE(E19, ""en"", ""id"")"),"Tarung Derajat umumnya disebut 'Seni Bertahan Hidup' karena penekanannya pada pembelaan diri yang praktis.")</f>
        <v>Tarung Derajat umumnya disebut 'Seni Bertahan Hidup' karena penekanannya pada pembelaan diri yang praktis.</v>
      </c>
    </row>
    <row r="20">
      <c r="A20" s="5">
        <v>19.0</v>
      </c>
      <c r="B20" s="5" t="s">
        <v>1970</v>
      </c>
      <c r="C20" s="5" t="s">
        <v>1971</v>
      </c>
      <c r="D20" s="5" t="s">
        <v>1972</v>
      </c>
      <c r="E20" s="5" t="s">
        <v>1973</v>
      </c>
      <c r="G20" s="6" t="str">
        <f>IFERROR(__xludf.DUMMYFUNCTION("GOOGLETRANSLATE(A20, ""en"", ""id"")"),"19")</f>
        <v>19</v>
      </c>
      <c r="H20" s="6" t="str">
        <f>IFERROR(__xludf.DUMMYFUNCTION("GOOGLETRANSLATE(B20, ""en"", ""id"")"),"Siapa yang dianggap sebagai 'bapak' Tarung Derajat?")</f>
        <v>Siapa yang dianggap sebagai 'bapak' Tarung Derajat?</v>
      </c>
      <c r="I20" s="6" t="str">
        <f>IFERROR(__xludf.DUMMYFUNCTION("GOOGLETRANSLATE(C20, ""en"", ""id"")"),"A) Ahmad Zahari, B) Bung Karno, C) Pak Kameo, D) Haji Achmad Dradjat")</f>
        <v>A) Ahmad Zahari, B) Bung Karno, C) Pak Kameo, D) Haji Achmad Dradjat</v>
      </c>
      <c r="J20" s="6" t="str">
        <f>IFERROR(__xludf.DUMMYFUNCTION("GOOGLETRANSLATE(D20, ""en"", ""id"")"),"D) Haji Achmad Dradjat")</f>
        <v>D) Haji Achmad Dradjat</v>
      </c>
      <c r="K20" s="6" t="str">
        <f>IFERROR(__xludf.DUMMYFUNCTION("GOOGLETRANSLATE(E20, ""en"", ""id"")"),"Haji Achmad Dradjat dihormati sebagai 'bapak' Tarung Derajat, karena telah memformalkan teknik dan pelatihannya.")</f>
        <v>Haji Achmad Dradjat dihormati sebagai 'bapak' Tarung Derajat, karena telah memformalkan teknik dan pelatihannya.</v>
      </c>
    </row>
    <row r="21">
      <c r="A21" s="5">
        <v>20.0</v>
      </c>
      <c r="B21" s="5" t="s">
        <v>1974</v>
      </c>
      <c r="C21" s="5" t="s">
        <v>1975</v>
      </c>
      <c r="D21" s="5" t="s">
        <v>1976</v>
      </c>
      <c r="E21" s="5" t="s">
        <v>1977</v>
      </c>
      <c r="G21" s="6" t="str">
        <f>IFERROR(__xludf.DUMMYFUNCTION("GOOGLETRANSLATE(A21, ""en"", ""id"")"),"20")</f>
        <v>20</v>
      </c>
      <c r="H21" s="6" t="str">
        <f>IFERROR(__xludf.DUMMYFUNCTION("GOOGLETRANSLATE(B21, ""en"", ""id"")"),"Apa arti istilah 'Tarung Derajat' dalam bahasa Inggris?")</f>
        <v>Apa arti istilah 'Tarung Derajat' dalam bahasa Inggris?</v>
      </c>
      <c r="I21" s="6" t="str">
        <f>IFERROR(__xludf.DUMMYFUNCTION("GOOGLETRANSLATE(C21, ""en"", ""id"")"),"A) Keterampilan Bertarung, B) Kekuatan Bertahan Hidup, C) Jalan Kekuatan, D) Semangat Bela Diri")</f>
        <v>A) Keterampilan Bertarung, B) Kekuatan Bertahan Hidup, C) Jalan Kekuatan, D) Semangat Bela Diri</v>
      </c>
      <c r="J21" s="6" t="str">
        <f>IFERROR(__xludf.DUMMYFUNCTION("GOOGLETRANSLATE(D21, ""en"", ""id"")"),"B) Kekuatan Bertahan Hidup")</f>
        <v>B) Kekuatan Bertahan Hidup</v>
      </c>
      <c r="K21" s="6" t="str">
        <f>IFERROR(__xludf.DUMMYFUNCTION("GOOGLETRANSLATE(E21, ""en"", ""id"")"),"Dalam bahasa Inggris, 'Tarung Derajat' diterjemahkan menjadi 'Kekuatan Bertahan Hidup,' yang menekankan ketahanan dan pembelaan diri.")</f>
        <v>Dalam bahasa Inggris, 'Tarung Derajat' diterjemahkan menjadi 'Kekuatan Bertahan Hidup,' yang menekankan ketahanan dan pembelaan diri.</v>
      </c>
    </row>
    <row r="22">
      <c r="A22" s="5">
        <v>21.0</v>
      </c>
      <c r="B22" s="5" t="s">
        <v>1978</v>
      </c>
      <c r="C22" s="5" t="s">
        <v>1979</v>
      </c>
      <c r="D22" s="5" t="s">
        <v>1641</v>
      </c>
      <c r="E22" s="5" t="s">
        <v>1980</v>
      </c>
      <c r="G22" s="6" t="str">
        <f>IFERROR(__xludf.DUMMYFUNCTION("GOOGLETRANSLATE(A22, ""en"", ""id"")"),"21")</f>
        <v>21</v>
      </c>
      <c r="H22" s="6" t="str">
        <f>IFERROR(__xludf.DUMMYFUNCTION("GOOGLETRANSLATE(B22, ""en"", ""id"")"),"Di kota manakah Tarung Derajat berasal di Indonesia?")</f>
        <v>Di kota manakah Tarung Derajat berasal di Indonesia?</v>
      </c>
      <c r="I22" s="6" t="str">
        <f>IFERROR(__xludf.DUMMYFUNCTION("GOOGLETRANSLATE(C22, ""en"", ""id"")"),"A) Jakarta, B) Bandung, C) Surabaya, D) Yogyakarta")</f>
        <v>A) Jakarta, B) Bandung, C) Surabaya, D) Yogyakarta</v>
      </c>
      <c r="J22" s="6" t="str">
        <f>IFERROR(__xludf.DUMMYFUNCTION("GOOGLETRANSLATE(D22, ""en"", ""id"")"),"B) Bandung")</f>
        <v>B) Bandung</v>
      </c>
      <c r="K22" s="6" t="str">
        <f>IFERROR(__xludf.DUMMYFUNCTION("GOOGLETRANSLATE(E22, ""en"", ""id"")"),"Tarung Derajat didirikan di Bandung dan memiliki banyak pengikut di sana.")</f>
        <v>Tarung Derajat didirikan di Bandung dan memiliki banyak pengikut di sana.</v>
      </c>
    </row>
    <row r="23">
      <c r="A23" s="5">
        <v>22.0</v>
      </c>
      <c r="B23" s="5" t="s">
        <v>1981</v>
      </c>
      <c r="C23" s="5" t="s">
        <v>1982</v>
      </c>
      <c r="D23" s="5" t="s">
        <v>1983</v>
      </c>
      <c r="E23" s="5" t="s">
        <v>1984</v>
      </c>
      <c r="G23" s="6" t="str">
        <f>IFERROR(__xludf.DUMMYFUNCTION("GOOGLETRANSLATE(A23, ""en"", ""id"")"),"22")</f>
        <v>22</v>
      </c>
      <c r="H23" s="6" t="str">
        <f>IFERROR(__xludf.DUMMYFUNCTION("GOOGLETRANSLATE(B23, ""en"", ""id"")"),"Tarung Derajat terinspirasi oleh pengalaman pertarungan jalanan jenis apa?")</f>
        <v>Tarung Derajat terinspirasi oleh pengalaman pertarungan jalanan jenis apa?</v>
      </c>
      <c r="I23" s="6" t="str">
        <f>IFERROR(__xludf.DUMMYFUNCTION("GOOGLETRANSLATE(C23, ""en"", ""id"")"),"A) Perkelahian jalanan, B) Pertandingan terorganisir, C) Pertempuran militer, D) Acara gulat")</f>
        <v>A) Perkelahian jalanan, B) Pertandingan terorganisir, C) Pertempuran militer, D) Acara gulat</v>
      </c>
      <c r="J23" s="6" t="str">
        <f>IFERROR(__xludf.DUMMYFUNCTION("GOOGLETRANSLATE(D23, ""en"", ""id"")"),"A) Perkelahian jalanan")</f>
        <v>A) Perkelahian jalanan</v>
      </c>
      <c r="K23" s="6" t="str">
        <f>IFERROR(__xludf.DUMMYFUNCTION("GOOGLETRANSLATE(E23, ""en"", ""id"")"),"Achmad Dradjat mengembangkan Tarung Derajat berdasarkan pengalamannya dalam tawuran jalanan, dengan menitikberatkan pada teknik-teknik praktis.")</f>
        <v>Achmad Dradjat mengembangkan Tarung Derajat berdasarkan pengalamannya dalam tawuran jalanan, dengan menitikberatkan pada teknik-teknik praktis.</v>
      </c>
    </row>
    <row r="24">
      <c r="A24" s="5">
        <v>23.0</v>
      </c>
      <c r="B24" s="5" t="s">
        <v>1985</v>
      </c>
      <c r="C24" s="5" t="s">
        <v>1986</v>
      </c>
      <c r="D24" s="5" t="s">
        <v>1987</v>
      </c>
      <c r="E24" s="5" t="s">
        <v>1988</v>
      </c>
      <c r="G24" s="6" t="str">
        <f>IFERROR(__xludf.DUMMYFUNCTION("GOOGLETRANSLATE(A24, ""en"", ""id"")"),"23")</f>
        <v>23</v>
      </c>
      <c r="H24" s="6" t="str">
        <f>IFERROR(__xludf.DUMMYFUNCTION("GOOGLETRANSLATE(B24, ""en"", ""id"")"),"Manakah di antara berikut ini yang merupakan komponen kunci dari filosofi Tarung Derajat?")</f>
        <v>Manakah di antara berikut ini yang merupakan komponen kunci dari filosofi Tarung Derajat?</v>
      </c>
      <c r="I24" s="6" t="str">
        <f>IFERROR(__xludf.DUMMYFUNCTION("GOOGLETRANSLATE(C24, ""en"", ""id"")"),"A) Spiritualitas, B) Percaya diri, C) Kekayaan, D) Ketenaran")</f>
        <v>A) Spiritualitas, B) Percaya diri, C) Kekayaan, D) Ketenaran</v>
      </c>
      <c r="J24" s="6" t="str">
        <f>IFERROR(__xludf.DUMMYFUNCTION("GOOGLETRANSLATE(D24, ""en"", ""id"")"),"B) Kepercayaan diri")</f>
        <v>B) Kepercayaan diri</v>
      </c>
      <c r="K24" s="6" t="str">
        <f>IFERROR(__xludf.DUMMYFUNCTION("GOOGLETRANSLATE(E24, ""en"", ""id"")"),"Kepercayaan diri merupakan inti dari Tarung Derajat, yang mendorong para praktisi untuk percaya pada kekuatan mereka.")</f>
        <v>Kepercayaan diri merupakan inti dari Tarung Derajat, yang mendorong para praktisi untuk percaya pada kekuatan mereka.</v>
      </c>
    </row>
    <row r="25">
      <c r="A25" s="5">
        <v>24.0</v>
      </c>
      <c r="B25" s="5" t="s">
        <v>1989</v>
      </c>
      <c r="C25" s="5" t="s">
        <v>1990</v>
      </c>
      <c r="D25" s="5" t="s">
        <v>1991</v>
      </c>
      <c r="E25" s="5" t="s">
        <v>1992</v>
      </c>
      <c r="G25" s="6" t="str">
        <f>IFERROR(__xludf.DUMMYFUNCTION("GOOGLETRANSLATE(A25, ""en"", ""id"")"),"24")</f>
        <v>24</v>
      </c>
      <c r="H25" s="6" t="str">
        <f>IFERROR(__xludf.DUMMYFUNCTION("GOOGLETRANSLATE(B25, ""en"", ""id"")"),"Elemen unik apa yang dimasukkan Tarung Derajat dalam pelatihan?")</f>
        <v>Elemen unik apa yang dimasukkan Tarung Derajat dalam pelatihan?</v>
      </c>
      <c r="I25" s="6" t="str">
        <f>IFERROR(__xludf.DUMMYFUNCTION("GOOGLETRANSLATE(C25, ""en"", ""id"")"),"A) Tinju bayangan, B) Gerakan hewan, C) Latihan ritme, D) Tari tradisional")</f>
        <v>A) Tinju bayangan, B) Gerakan hewan, C) Latihan ritme, D) Tari tradisional</v>
      </c>
      <c r="J25" s="6" t="str">
        <f>IFERROR(__xludf.DUMMYFUNCTION("GOOGLETRANSLATE(D25, ""en"", ""id"")"),"A) Tinju bayangan")</f>
        <v>A) Tinju bayangan</v>
      </c>
      <c r="K25" s="6" t="str">
        <f>IFERROR(__xludf.DUMMYFUNCTION("GOOGLETRANSLATE(E25, ""en"", ""id"")"),"Tinju bayangan adalah elemen kunci dari pelatihan Tarung Derajat, membantu praktisi menyempurnakan teknik dan kecepatan.")</f>
        <v>Tinju bayangan adalah elemen kunci dari pelatihan Tarung Derajat, membantu praktisi menyempurnakan teknik dan kecepatan.</v>
      </c>
    </row>
    <row r="26">
      <c r="A26" s="5">
        <v>25.0</v>
      </c>
      <c r="B26" s="5" t="s">
        <v>1993</v>
      </c>
      <c r="C26" s="5" t="s">
        <v>1994</v>
      </c>
      <c r="D26" s="5" t="s">
        <v>1995</v>
      </c>
      <c r="E26" s="5" t="s">
        <v>1996</v>
      </c>
      <c r="G26" s="6" t="str">
        <f>IFERROR(__xludf.DUMMYFUNCTION("GOOGLETRANSLATE(A26, ""en"", ""id"")"),"25")</f>
        <v>25</v>
      </c>
      <c r="H26" s="6" t="str">
        <f>IFERROR(__xludf.DUMMYFUNCTION("GOOGLETRANSLATE(B26, ""en"", ""id"")"),"Ada berapa jenis pukulan dalam Tarung Derajat?")</f>
        <v>Ada berapa jenis pukulan dalam Tarung Derajat?</v>
      </c>
      <c r="I26" s="6" t="str">
        <f>IFERROR(__xludf.DUMMYFUNCTION("GOOGLETRANSLATE(C26, ""en"", ""id"")"),"A) 3, B) 5, C) 7, D) 9")</f>
        <v>A) 3, B) 5, C) 7, D) 9</v>
      </c>
      <c r="J26" s="6" t="str">
        <f>IFERROR(__xludf.DUMMYFUNCTION("GOOGLETRANSLATE(D26, ""en"", ""id"")"),"B) 5")</f>
        <v>B) 5</v>
      </c>
      <c r="K26" s="6" t="str">
        <f>IFERROR(__xludf.DUMMYFUNCTION("GOOGLETRANSLATE(E26, ""en"", ""id"")"),"Tarung Derajat mencakup lima jenis serangan utama: pukulan, siku, lutut, tendangan, dan kepala.")</f>
        <v>Tarung Derajat mencakup lima jenis serangan utama: pukulan, siku, lutut, tendangan, dan kepala.</v>
      </c>
    </row>
    <row r="27">
      <c r="A27" s="5">
        <v>26.0</v>
      </c>
      <c r="B27" s="5" t="s">
        <v>1997</v>
      </c>
      <c r="C27" s="5" t="s">
        <v>1998</v>
      </c>
      <c r="D27" s="5" t="s">
        <v>1999</v>
      </c>
      <c r="E27" s="5" t="s">
        <v>2000</v>
      </c>
      <c r="G27" s="6" t="str">
        <f>IFERROR(__xludf.DUMMYFUNCTION("GOOGLETRANSLATE(A27, ""en"", ""id"")"),"26")</f>
        <v>26</v>
      </c>
      <c r="H27" s="6" t="str">
        <f>IFERROR(__xludf.DUMMYFUNCTION("GOOGLETRANSLATE(B27, ""en"", ""id"")"),"Istilah manakah yang sering dikaitkan dengan prinsip-prinsip panduan Tarung Derajat?")</f>
        <v>Istilah manakah yang sering dikaitkan dengan prinsip-prinsip panduan Tarung Derajat?</v>
      </c>
      <c r="I27" s="6" t="str">
        <f>IFERROR(__xludf.DUMMYFUNCTION("GOOGLETRANSLATE(C27, ""en"", ""id"")"),"A) Kode Prajurit, B) Lima Titik Kekuatan, C) Jalan Disiplin, D) Tujuh Jalan Kebijaksanaan")</f>
        <v>A) Kode Prajurit, B) Lima Titik Kekuatan, C) Jalan Disiplin, D) Tujuh Jalan Kebijaksanaan</v>
      </c>
      <c r="J27" s="6" t="str">
        <f>IFERROR(__xludf.DUMMYFUNCTION("GOOGLETRANSLATE(D27, ""en"", ""id"")"),"B) Lima Titik Kekuatan")</f>
        <v>B) Lima Titik Kekuatan</v>
      </c>
      <c r="K27" s="6" t="str">
        <f>IFERROR(__xludf.DUMMYFUNCTION("GOOGLETRANSLATE(E27, ""en"", ""id"")"),"Lima Poin Kekuatan merupakan prinsip inti dalam Tarung Derajat, yang berfokus pada kekuatan, kecepatan, ketepatan, keberanian, dan daya tahan.")</f>
        <v>Lima Poin Kekuatan merupakan prinsip inti dalam Tarung Derajat, yang berfokus pada kekuatan, kecepatan, ketepatan, keberanian, dan daya tahan.</v>
      </c>
    </row>
    <row r="28">
      <c r="A28" s="5">
        <v>27.0</v>
      </c>
      <c r="B28" s="5" t="s">
        <v>2001</v>
      </c>
      <c r="C28" s="5" t="s">
        <v>2002</v>
      </c>
      <c r="D28" s="5" t="s">
        <v>2003</v>
      </c>
      <c r="E28" s="5" t="s">
        <v>2004</v>
      </c>
      <c r="G28" s="6" t="str">
        <f>IFERROR(__xludf.DUMMYFUNCTION("GOOGLETRANSLATE(A28, ""en"", ""id"")"),"27")</f>
        <v>27</v>
      </c>
      <c r="H28" s="6" t="str">
        <f>IFERROR(__xludf.DUMMYFUNCTION("GOOGLETRANSLATE(B28, ""en"", ""id"")"),"Pada tahun berapa Kementerian Pemuda dan Olahraga Indonesia secara resmi mengakui Tarung Derajat?")</f>
        <v>Pada tahun berapa Kementerian Pemuda dan Olahraga Indonesia secara resmi mengakui Tarung Derajat?</v>
      </c>
      <c r="I28" s="6" t="str">
        <f>IFERROR(__xludf.DUMMYFUNCTION("GOOGLETRANSLATE(C28, ""en"", ""id"")"),"A) Tahun 1995, B) Tahun 1998, C) Tahun 2001, D) Tahun 2005")</f>
        <v>A) Tahun 1995, B) Tahun 1998, C) Tahun 2001, D) Tahun 2005</v>
      </c>
      <c r="J28" s="6" t="str">
        <f>IFERROR(__xludf.DUMMYFUNCTION("GOOGLETRANSLATE(D28, ""en"", ""id"")"),"C) Tahun 2001")</f>
        <v>C) Tahun 2001</v>
      </c>
      <c r="K28" s="6" t="str">
        <f>IFERROR(__xludf.DUMMYFUNCTION("GOOGLETRANSLATE(E28, ""en"", ""id"")"),"Pada tahun 2001, Kementerian Pemuda dan Olahraga Indonesia secara resmi mengakui Tarung Derajat sebagai olahraga nasional.")</f>
        <v>Pada tahun 2001, Kementerian Pemuda dan Olahraga Indonesia secara resmi mengakui Tarung Derajat sebagai olahraga nasional.</v>
      </c>
    </row>
    <row r="29">
      <c r="A29" s="5">
        <v>28.0</v>
      </c>
      <c r="B29" s="5" t="s">
        <v>2005</v>
      </c>
      <c r="C29" s="5" t="s">
        <v>2006</v>
      </c>
      <c r="D29" s="5" t="s">
        <v>2007</v>
      </c>
      <c r="E29" s="5" t="s">
        <v>2008</v>
      </c>
      <c r="G29" s="6" t="str">
        <f>IFERROR(__xludf.DUMMYFUNCTION("GOOGLETRANSLATE(A29, ""en"", ""id"")"),"28")</f>
        <v>28</v>
      </c>
      <c r="H29" s="6" t="str">
        <f>IFERROR(__xludf.DUMMYFUNCTION("GOOGLETRANSLATE(B29, ""en"", ""id"")"),"Tarung Derajat termasuk dalam kategori seni bela diri yang mana?")</f>
        <v>Tarung Derajat termasuk dalam kategori seni bela diri yang mana?</v>
      </c>
      <c r="I29" s="6" t="str">
        <f>IFERROR(__xludf.DUMMYFUNCTION("GOOGLETRANSLATE(C29, ""en"", ""id"")"),"A) Seni bela diri lunak, B) Seni bela diri keras, C) Seni bela diri internal, D) Seni bela diri aliran")</f>
        <v>A) Seni bela diri lunak, B) Seni bela diri keras, C) Seni bela diri internal, D) Seni bela diri aliran</v>
      </c>
      <c r="J29" s="6" t="str">
        <f>IFERROR(__xludf.DUMMYFUNCTION("GOOGLETRANSLATE(D29, ""en"", ""id"")"),"B) Seni bela diri keras")</f>
        <v>B) Seni bela diri keras</v>
      </c>
      <c r="K29" s="6" t="str">
        <f>IFERROR(__xludf.DUMMYFUNCTION("GOOGLETRANSLATE(E29, ""en"", ""id"")"),"Tarung Derajat dianggap sebagai seni bela diri yang keras, berfokus pada serangan kuat dan teknik bela diri.")</f>
        <v>Tarung Derajat dianggap sebagai seni bela diri yang keras, berfokus pada serangan kuat dan teknik bela diri.</v>
      </c>
    </row>
    <row r="30">
      <c r="A30" s="5">
        <v>29.0</v>
      </c>
      <c r="B30" s="5" t="s">
        <v>2009</v>
      </c>
      <c r="C30" s="5" t="s">
        <v>2010</v>
      </c>
      <c r="D30" s="5" t="s">
        <v>2011</v>
      </c>
      <c r="E30" s="5" t="s">
        <v>2012</v>
      </c>
      <c r="G30" s="6" t="str">
        <f>IFERROR(__xludf.DUMMYFUNCTION("GOOGLETRANSLATE(A30, ""en"", ""id"")"),"29")</f>
        <v>29</v>
      </c>
      <c r="H30" s="6" t="str">
        <f>IFERROR(__xludf.DUMMYFUNCTION("GOOGLETRANSLATE(B30, ""en"", ""id"")"),"Semboyan apakah yang umumnya dikaitkan dengan Tarung Derajat?")</f>
        <v>Semboyan apakah yang umumnya dikaitkan dengan Tarung Derajat?</v>
      </c>
      <c r="I30" s="6" t="str">
        <f>IFERROR(__xludf.DUMMYFUNCTION("GOOGLETRANSLATE(C30, ""en"", ""id"")"),"A) Kekuatan Melalui Kedamaian, B) Untuk Pertahanan, Bukan Serangan, C) Aku adalah kekuatanku sendiri, D) Bertahan dan Mengatasi")</f>
        <v>A) Kekuatan Melalui Kedamaian, B) Untuk Pertahanan, Bukan Serangan, C) Aku adalah kekuatanku sendiri, D) Bertahan dan Mengatasi</v>
      </c>
      <c r="J30" s="6" t="str">
        <f>IFERROR(__xludf.DUMMYFUNCTION("GOOGLETRANSLATE(D30, ""en"", ""id"")"),"C) Aku adalah kekuatanku sendiri")</f>
        <v>C) Aku adalah kekuatanku sendiri</v>
      </c>
      <c r="K30" s="6" t="str">
        <f>IFERROR(__xludf.DUMMYFUNCTION("GOOGLETRANSLATE(E30, ""en"", ""id"")"),"Moto 'Aku adalah kekuatanku sendiri' mencerminkan penekanan Tarung Derajat pada kemandirian dan pemberdayaan.")</f>
        <v>Moto 'Aku adalah kekuatanku sendiri' mencerminkan penekanan Tarung Derajat pada kemandirian dan pemberdayaan.</v>
      </c>
    </row>
    <row r="31">
      <c r="A31" s="5">
        <v>30.0</v>
      </c>
      <c r="B31" s="5" t="s">
        <v>2013</v>
      </c>
      <c r="C31" s="5" t="s">
        <v>2014</v>
      </c>
      <c r="D31" s="5" t="s">
        <v>2015</v>
      </c>
      <c r="E31" s="5" t="s">
        <v>2016</v>
      </c>
      <c r="G31" s="6" t="str">
        <f>IFERROR(__xludf.DUMMYFUNCTION("GOOGLETRANSLATE(A31, ""en"", ""id"")"),"30")</f>
        <v>30</v>
      </c>
      <c r="H31" s="6" t="str">
        <f>IFERROR(__xludf.DUMMYFUNCTION("GOOGLETRANSLATE(B31, ""en"", ""id"")"),"Format kompetisi jenis apa yang digunakan dalam turnamen Tarung Derajat?")</f>
        <v>Format kompetisi jenis apa yang digunakan dalam turnamen Tarung Derajat?</v>
      </c>
      <c r="I31" s="6" t="str">
        <f>IFERROR(__xludf.DUMMYFUNCTION("GOOGLETRANSLATE(C31, ""en"", ""id"")"),"A) Berbasis poin, B) Kontak penuh, C) Tanpa kontak, D) Pertandingan waktu")</f>
        <v>A) Berbasis poin, B) Kontak penuh, C) Tanpa kontak, D) Pertandingan waktu</v>
      </c>
      <c r="J31" s="6" t="str">
        <f>IFERROR(__xludf.DUMMYFUNCTION("GOOGLETRANSLATE(D31, ""en"", ""id"")"),"B) Kontak penuh")</f>
        <v>B) Kontak penuh</v>
      </c>
      <c r="K31" s="6" t="str">
        <f>IFERROR(__xludf.DUMMYFUNCTION("GOOGLETRANSLATE(E31, ""en"", ""id"")"),"Turnamen Tarung Derajat biasanya bersifat kontak penuh, menekankan skenario pertarungan sesungguhnya.")</f>
        <v>Turnamen Tarung Derajat biasanya bersifat kontak penuh, menekankan skenario pertarungan sesungguhnya.</v>
      </c>
    </row>
    <row r="32">
      <c r="A32" s="5">
        <v>31.0</v>
      </c>
      <c r="B32" s="5" t="s">
        <v>2017</v>
      </c>
      <c r="C32" s="5" t="s">
        <v>2018</v>
      </c>
      <c r="D32" s="5" t="s">
        <v>2019</v>
      </c>
      <c r="E32" s="5" t="s">
        <v>2020</v>
      </c>
      <c r="G32" s="6" t="str">
        <f>IFERROR(__xludf.DUMMYFUNCTION("GOOGLETRANSLATE(A32, ""en"", ""id"")"),"31")</f>
        <v>31</v>
      </c>
      <c r="H32" s="6" t="str">
        <f>IFERROR(__xludf.DUMMYFUNCTION("GOOGLETRANSLATE(B32, ""en"", ""id"")"),"Siapakah orang pertama yang memperoleh gelar grandmaster dalam Tarung Derajat?")</f>
        <v>Siapakah orang pertama yang memperoleh gelar grandmaster dalam Tarung Derajat?</v>
      </c>
      <c r="I32" s="6" t="str">
        <f>IFERROR(__xludf.DUMMYFUNCTION("GOOGLETRANSLATE(C32, ""en"", ""id"")"),"A) Achmad Dradjat, B) Iwan Dradjat, C) Ahmad Niam, D) Ali Mahmud")</f>
        <v>A) Achmad Dradjat, B) Iwan Dradjat, C) Ahmad Niam, D) Ali Mahmud</v>
      </c>
      <c r="J32" s="6" t="str">
        <f>IFERROR(__xludf.DUMMYFUNCTION("GOOGLETRANSLATE(D32, ""en"", ""id"")"),"A) Achmad Dradjat")</f>
        <v>A) Achmad Dradjat</v>
      </c>
      <c r="K32" s="6" t="str">
        <f>IFERROR(__xludf.DUMMYFUNCTION("GOOGLETRANSLATE(E32, ""en"", ""id"")"),"Achmad Dradjat, sang pendiri, menyandang gelar grandmaster Tarung Derajat.")</f>
        <v>Achmad Dradjat, sang pendiri, menyandang gelar grandmaster Tarung Derajat.</v>
      </c>
    </row>
    <row r="33">
      <c r="A33" s="5">
        <v>32.0</v>
      </c>
      <c r="B33" s="5" t="s">
        <v>2021</v>
      </c>
      <c r="C33" s="5" t="s">
        <v>2022</v>
      </c>
      <c r="D33" s="5" t="s">
        <v>2023</v>
      </c>
      <c r="E33" s="5" t="s">
        <v>2024</v>
      </c>
      <c r="G33" s="6" t="str">
        <f>IFERROR(__xludf.DUMMYFUNCTION("GOOGLETRANSLATE(A33, ""en"", ""id"")"),"32")</f>
        <v>32</v>
      </c>
      <c r="H33" s="6" t="str">
        <f>IFERROR(__xludf.DUMMYFUNCTION("GOOGLETRANSLATE(B33, ""en"", ""id"")"),"Apa nama seragam latihan untuk praktisi Tarung Derajat?")</f>
        <v>Apa nama seragam latihan untuk praktisi Tarung Derajat?</v>
      </c>
      <c r="I33" s="6" t="str">
        <f>IFERROR(__xludf.DUMMYFUNCTION("GOOGLETRANSLATE(C33, ""en"", ""id"")"),"A) Gi, B) Dobok, C) Seragam, D) Pencak")</f>
        <v>A) Gi, B) Dobok, C) Seragam, D) Pencak</v>
      </c>
      <c r="J33" s="6" t="str">
        <f>IFERROR(__xludf.DUMMYFUNCTION("GOOGLETRANSLATE(D33, ""en"", ""id"")"),"C) Seragam")</f>
        <v>C) Seragam</v>
      </c>
      <c r="K33" s="6" t="str">
        <f>IFERROR(__xludf.DUMMYFUNCTION("GOOGLETRANSLATE(E33, ""en"", ""id"")"),"Di Tarung Derajat, praktisi mengenakan 'seragam', istilah bahasa Indonesia untuk seragam.")</f>
        <v>Di Tarung Derajat, praktisi mengenakan 'seragam', istilah bahasa Indonesia untuk seragam.</v>
      </c>
    </row>
    <row r="34">
      <c r="A34" s="5">
        <v>33.0</v>
      </c>
      <c r="B34" s="5" t="s">
        <v>2025</v>
      </c>
      <c r="C34" s="5" t="s">
        <v>2026</v>
      </c>
      <c r="D34" s="5" t="s">
        <v>2027</v>
      </c>
      <c r="E34" s="5" t="s">
        <v>2028</v>
      </c>
      <c r="G34" s="6" t="str">
        <f>IFERROR(__xludf.DUMMYFUNCTION("GOOGLETRANSLATE(A34, ""en"", ""id"")"),"33")</f>
        <v>33</v>
      </c>
      <c r="H34" s="6" t="str">
        <f>IFERROR(__xludf.DUMMYFUNCTION("GOOGLETRANSLATE(B34, ""en"", ""id"")"),"Provinsi Indonesia manakah yang menjadi rumah bagi praktisi Tarung Derajat dalam jumlah terbesar?")</f>
        <v>Provinsi Indonesia manakah yang menjadi rumah bagi praktisi Tarung Derajat dalam jumlah terbesar?</v>
      </c>
      <c r="I34" s="6" t="str">
        <f>IFERROR(__xludf.DUMMYFUNCTION("GOOGLETRANSLATE(C34, ""en"", ""id"")"),"A) Jakarta, B) Jawa Barat, C) Jawa Tengah, D) Jawa Timur")</f>
        <v>A) Jakarta, B) Jawa Barat, C) Jawa Tengah, D) Jawa Timur</v>
      </c>
      <c r="J34" s="6" t="str">
        <f>IFERROR(__xludf.DUMMYFUNCTION("GOOGLETRANSLATE(D34, ""en"", ""id"")"),"B) Jawa Barat")</f>
        <v>B) Jawa Barat</v>
      </c>
      <c r="K34" s="6" t="str">
        <f>IFERROR(__xludf.DUMMYFUNCTION("GOOGLETRANSLATE(E34, ""en"", ""id"")"),"Jawa Barat, khususnya Bandung, memiliki konsentrasi praktisi Tarung Derajat tertinggi.")</f>
        <v>Jawa Barat, khususnya Bandung, memiliki konsentrasi praktisi Tarung Derajat tertinggi.</v>
      </c>
    </row>
    <row r="35">
      <c r="A35" s="5">
        <v>34.0</v>
      </c>
      <c r="B35" s="5" t="s">
        <v>2029</v>
      </c>
      <c r="C35" s="5" t="s">
        <v>2030</v>
      </c>
      <c r="D35" s="5" t="s">
        <v>2031</v>
      </c>
      <c r="E35" s="5" t="s">
        <v>2032</v>
      </c>
      <c r="G35" s="6" t="str">
        <f>IFERROR(__xludf.DUMMYFUNCTION("GOOGLETRANSLATE(A35, ""en"", ""id"")"),"34")</f>
        <v>34</v>
      </c>
      <c r="H35" s="6" t="str">
        <f>IFERROR(__xludf.DUMMYFUNCTION("GOOGLETRANSLATE(B35, ""en"", ""id"")"),"Aspek kehidupan tradisional Indonesia apa yang memengaruhi Tarung Derajat?")</f>
        <v>Aspek kehidupan tradisional Indonesia apa yang memengaruhi Tarung Derajat?</v>
      </c>
      <c r="I35" s="6" t="str">
        <f>IFERROR(__xludf.DUMMYFUNCTION("GOOGLETRANSLATE(C35, ""en"", ""id"")"),"A) Praktik pertanian, B) Perang suku, C) Teknik penangkapan ikan, D) Ritual tari")</f>
        <v>A) Praktik pertanian, B) Perang suku, C) Teknik penangkapan ikan, D) Ritual tari</v>
      </c>
      <c r="J35" s="6" t="str">
        <f>IFERROR(__xludf.DUMMYFUNCTION("GOOGLETRANSLATE(D35, ""en"", ""id"")"),"B) Perang suku")</f>
        <v>B) Perang suku</v>
      </c>
      <c r="K35" s="6" t="str">
        <f>IFERROR(__xludf.DUMMYFUNCTION("GOOGLETRANSLATE(E35, ""en"", ""id"")"),"Perang suku dalam sejarah Indonesia menginspirasi fokus bela diri Tarung Derajat.")</f>
        <v>Perang suku dalam sejarah Indonesia menginspirasi fokus bela diri Tarung Derajat.</v>
      </c>
    </row>
    <row r="36">
      <c r="A36" s="5">
        <v>35.0</v>
      </c>
      <c r="B36" s="5" t="s">
        <v>2033</v>
      </c>
      <c r="C36" s="5" t="s">
        <v>2034</v>
      </c>
      <c r="D36" s="5" t="s">
        <v>2035</v>
      </c>
      <c r="E36" s="5" t="s">
        <v>2036</v>
      </c>
      <c r="G36" s="6" t="str">
        <f>IFERROR(__xludf.DUMMYFUNCTION("GOOGLETRANSLATE(A36, ""en"", ""id"")"),"35")</f>
        <v>35</v>
      </c>
      <c r="H36" s="6" t="str">
        <f>IFERROR(__xludf.DUMMYFUNCTION("GOOGLETRANSLATE(B36, ""en"", ""id"")"),"Tarung Derajat terutama dikembangkan untuk menjawab pertanyaan berikut ini?")</f>
        <v>Tarung Derajat terutama dikembangkan untuk menjawab pertanyaan berikut ini?</v>
      </c>
      <c r="I36" s="6" t="str">
        <f>IFERROR(__xludf.DUMMYFUNCTION("GOOGLETRANSLATE(C36, ""en"", ""id"")"),"A) Olahraga kompetitif, B) Bela diri terhadap kekerasan jalanan, C) Pertunjukan ritual, D) Kebanggaan nasional")</f>
        <v>A) Olahraga kompetitif, B) Bela diri terhadap kekerasan jalanan, C) Pertunjukan ritual, D) Kebanggaan nasional</v>
      </c>
      <c r="J36" s="6" t="str">
        <f>IFERROR(__xludf.DUMMYFUNCTION("GOOGLETRANSLATE(D36, ""en"", ""id"")"),"B) Bela diri terhadap kekerasan jalanan")</f>
        <v>B) Bela diri terhadap kekerasan jalanan</v>
      </c>
      <c r="K36" s="6" t="str">
        <f>IFERROR(__xludf.DUMMYFUNCTION("GOOGLETRANSLATE(E36, ""en"", ""id"")"),"Achmad Dradjat menciptakan Tarung Derajat untuk bela diri praktis berdasarkan pengalaman bertarungnya sendiri di jalanan.")</f>
        <v>Achmad Dradjat menciptakan Tarung Derajat untuk bela diri praktis berdasarkan pengalaman bertarungnya sendiri di jalanan.</v>
      </c>
    </row>
    <row r="37">
      <c r="A37" s="5">
        <v>36.0</v>
      </c>
      <c r="B37" s="5" t="s">
        <v>2037</v>
      </c>
      <c r="C37" s="5" t="s">
        <v>2038</v>
      </c>
      <c r="D37" s="5" t="s">
        <v>2039</v>
      </c>
      <c r="E37" s="5" t="s">
        <v>2040</v>
      </c>
      <c r="G37" s="6" t="str">
        <f>IFERROR(__xludf.DUMMYFUNCTION("GOOGLETRANSLATE(A37, ""en"", ""id"")"),"36")</f>
        <v>36</v>
      </c>
      <c r="H37" s="6" t="str">
        <f>IFERROR(__xludf.DUMMYFUNCTION("GOOGLETRANSLATE(B37, ""en"", ""id"")"),"Pada tahun berapa Tarung Derajat resmi menjadi bagian dari Komite Olahraga Nasional Indonesia?")</f>
        <v>Pada tahun berapa Tarung Derajat resmi menjadi bagian dari Komite Olahraga Nasional Indonesia?</v>
      </c>
      <c r="I37" s="6" t="str">
        <f>IFERROR(__xludf.DUMMYFUNCTION("GOOGLETRANSLATE(C37, ""en"", ""id"")"),"A) Tahun 1985, B) Tahun 1990, C) Tahun 1998, D) Tahun 2001")</f>
        <v>A) Tahun 1985, B) Tahun 1990, C) Tahun 1998, D) Tahun 2001</v>
      </c>
      <c r="J37" s="6" t="str">
        <f>IFERROR(__xludf.DUMMYFUNCTION("GOOGLETRANSLATE(D37, ""en"", ""id"")"),"C) Tahun 1998")</f>
        <v>C) Tahun 1998</v>
      </c>
      <c r="K37" s="6" t="str">
        <f>IFERROR(__xludf.DUMMYFUNCTION("GOOGLETRANSLATE(E37, ""en"", ""id"")"),"Tarung Derajat mendapat pengakuan resmi dari Komite Olahraga Nasional Indonesia pada tahun 1998.")</f>
        <v>Tarung Derajat mendapat pengakuan resmi dari Komite Olahraga Nasional Indonesia pada tahun 1998.</v>
      </c>
    </row>
    <row r="38">
      <c r="A38" s="5">
        <v>37.0</v>
      </c>
      <c r="B38" s="5" t="s">
        <v>2041</v>
      </c>
      <c r="C38" s="5" t="s">
        <v>2042</v>
      </c>
      <c r="D38" s="5" t="s">
        <v>2043</v>
      </c>
      <c r="E38" s="5" t="s">
        <v>2044</v>
      </c>
      <c r="G38" s="6" t="str">
        <f>IFERROR(__xludf.DUMMYFUNCTION("GOOGLETRANSLATE(A38, ""en"", ""id"")"),"37")</f>
        <v>37</v>
      </c>
      <c r="H38" s="6" t="str">
        <f>IFERROR(__xludf.DUMMYFUNCTION("GOOGLETRANSLATE(B38, ""en"", ""id"")"),"Teknik apa saja yang ditekankan dalam latihan Tarung Derajat?")</f>
        <v>Teknik apa saja yang ditekankan dalam latihan Tarung Derajat?</v>
      </c>
      <c r="I38" s="6" t="str">
        <f>IFERROR(__xludf.DUMMYFUNCTION("GOOGLETRANSLATE(C38, ""en"", ""id"")"),"A) Teknik senjata, B) Bergulat, C) Pukulan dan tendangan, D) Gerakan tari")</f>
        <v>A) Teknik senjata, B) Bergulat, C) Pukulan dan tendangan, D) Gerakan tari</v>
      </c>
      <c r="J38" s="6" t="str">
        <f>IFERROR(__xludf.DUMMYFUNCTION("GOOGLETRANSLATE(D38, ""en"", ""id"")"),"C) Pukulan dan tendangan")</f>
        <v>C) Pukulan dan tendangan</v>
      </c>
      <c r="K38" s="6" t="str">
        <f>IFERROR(__xludf.DUMMYFUNCTION("GOOGLETRANSLATE(E38, ""en"", ""id"")"),"Tarung Derajat berfokus pada serangan dan tendangan kuat sebagai teknik pertahanan diri utama.")</f>
        <v>Tarung Derajat berfokus pada serangan dan tendangan kuat sebagai teknik pertahanan diri utama.</v>
      </c>
    </row>
    <row r="39">
      <c r="A39" s="5">
        <v>38.0</v>
      </c>
      <c r="B39" s="5" t="s">
        <v>2045</v>
      </c>
      <c r="C39" s="5" t="s">
        <v>2046</v>
      </c>
      <c r="D39" s="5" t="s">
        <v>2047</v>
      </c>
      <c r="E39" s="5" t="s">
        <v>2048</v>
      </c>
      <c r="G39" s="6" t="str">
        <f>IFERROR(__xludf.DUMMYFUNCTION("GOOGLETRANSLATE(A39, ""en"", ""id"")"),"38")</f>
        <v>38</v>
      </c>
      <c r="H39" s="6" t="str">
        <f>IFERROR(__xludf.DUMMYFUNCTION("GOOGLETRANSLATE(B39, ""en"", ""id"")"),"Apa ajaran umum dalam filsafat Tarung Derajat?")</f>
        <v>Apa ajaran umum dalam filsafat Tarung Derajat?</v>
      </c>
      <c r="I39" s="6" t="str">
        <f>IFERROR(__xludf.DUMMYFUNCTION("GOOGLETRANSLATE(C39, ""en"", ""id"")"),"A) Kekuatan terletak pada kesendirian, B) Pengetahuan lebih besar dari kekuatan, C) Kekuatan dimulai dari dalam diri sendiri, D) Selalu berjuang untuk menang")</f>
        <v>A) Kekuatan terletak pada kesendirian, B) Pengetahuan lebih besar dari kekuatan, C) Kekuatan dimulai dari dalam diri sendiri, D) Selalu berjuang untuk menang</v>
      </c>
      <c r="J39" s="6" t="str">
        <f>IFERROR(__xludf.DUMMYFUNCTION("GOOGLETRANSLATE(D39, ""en"", ""id"")"),"C) Kekuatan dimulai dari diri sendiri")</f>
        <v>C) Kekuatan dimulai dari diri sendiri</v>
      </c>
      <c r="K39" s="6" t="str">
        <f>IFERROR(__xludf.DUMMYFUNCTION("GOOGLETRANSLATE(E39, ""en"", ""id"")"),"Tarung Derajat menekankan kekuatan batin dan kemandirian sebagai prinsip inti.")</f>
        <v>Tarung Derajat menekankan kekuatan batin dan kemandirian sebagai prinsip inti.</v>
      </c>
    </row>
    <row r="40">
      <c r="A40" s="5">
        <v>39.0</v>
      </c>
      <c r="B40" s="5" t="s">
        <v>2049</v>
      </c>
      <c r="C40" s="5" t="s">
        <v>2050</v>
      </c>
      <c r="D40" s="5" t="s">
        <v>2051</v>
      </c>
      <c r="E40" s="5" t="s">
        <v>2052</v>
      </c>
      <c r="G40" s="6" t="str">
        <f>IFERROR(__xludf.DUMMYFUNCTION("GOOGLETRANSLATE(A40, ""en"", ""id"")"),"39")</f>
        <v>39</v>
      </c>
      <c r="H40" s="6" t="str">
        <f>IFERROR(__xludf.DUMMYFUNCTION("GOOGLETRANSLATE(B40, ""en"", ""id"")"),"Bagaimana Achmad Dradjat mengembangkan teknik Tarung Derajat?")</f>
        <v>Bagaimana Achmad Dradjat mengembangkan teknik Tarung Derajat?</v>
      </c>
      <c r="I40" s="6" t="str">
        <f>IFERROR(__xludf.DUMMYFUNCTION("GOOGLETRANSLATE(C40, ""en"", ""id"")"),"A) Melalui meditasi, B) Melalui latihan bela diri formal, C) Dari pengalaman pribadi, D) Dengan mempelajari teks-teks kuno")</f>
        <v>A) Melalui meditasi, B) Melalui latihan bela diri formal, C) Dari pengalaman pribadi, D) Dengan mempelajari teks-teks kuno</v>
      </c>
      <c r="J40" s="6" t="str">
        <f>IFERROR(__xludf.DUMMYFUNCTION("GOOGLETRANSLATE(D40, ""en"", ""id"")"),"C) Dari pengalaman pribadi")</f>
        <v>C) Dari pengalaman pribadi</v>
      </c>
      <c r="K40" s="6" t="str">
        <f>IFERROR(__xludf.DUMMYFUNCTION("GOOGLETRANSLATE(E40, ""en"", ""id"")"),"Pengalaman pribadi Achmad Dradjat dengan perkelahian jalanan membentuk teknik dalam Tarung Derajat.")</f>
        <v>Pengalaman pribadi Achmad Dradjat dengan perkelahian jalanan membentuk teknik dalam Tarung Derajat.</v>
      </c>
    </row>
    <row r="41">
      <c r="A41" s="5">
        <v>40.0</v>
      </c>
      <c r="B41" s="5" t="s">
        <v>2053</v>
      </c>
      <c r="C41" s="5" t="s">
        <v>2054</v>
      </c>
      <c r="D41" s="5" t="s">
        <v>2055</v>
      </c>
      <c r="E41" s="5" t="s">
        <v>2056</v>
      </c>
      <c r="G41" s="6" t="str">
        <f>IFERROR(__xludf.DUMMYFUNCTION("GOOGLETRANSLATE(A41, ""en"", ""id"")"),"40")</f>
        <v>40</v>
      </c>
      <c r="H41" s="6" t="str">
        <f>IFERROR(__xludf.DUMMYFUNCTION("GOOGLETRANSLATE(B41, ""en"", ""id"")"),"Lembaga pemerintah Indonesia manakah yang pertama kali mendukung Tarung Derajat sebagai olahraga?")</f>
        <v>Lembaga pemerintah Indonesia manakah yang pertama kali mendukung Tarung Derajat sebagai olahraga?</v>
      </c>
      <c r="I41" s="6" t="str">
        <f>IFERROR(__xludf.DUMMYFUNCTION("GOOGLETRANSLATE(C41, ""en"", ""id"")"),"A) Kementerian Pendidikan, B) Kementerian Pemuda dan Olahraga, C) Kepolisian Negara, D) Badan Pertahanan Nasional")</f>
        <v>A) Kementerian Pendidikan, B) Kementerian Pemuda dan Olahraga, C) Kepolisian Negara, D) Badan Pertahanan Nasional</v>
      </c>
      <c r="J41" s="6" t="str">
        <f>IFERROR(__xludf.DUMMYFUNCTION("GOOGLETRANSLATE(D41, ""en"", ""id"")"),"B) Kementerian Pemuda dan Olahraga")</f>
        <v>B) Kementerian Pemuda dan Olahraga</v>
      </c>
      <c r="K41" s="6" t="str">
        <f>IFERROR(__xludf.DUMMYFUNCTION("GOOGLETRANSLATE(E41, ""en"", ""id"")"),"Kementerian Pemuda dan Olahraga adalah salah satu lembaga pemerintah pertama yang mendukung Tarung Derajat.")</f>
        <v>Kementerian Pemuda dan Olahraga adalah salah satu lembaga pemerintah pertama yang mendukung Tarung Derajat.</v>
      </c>
    </row>
    <row r="42">
      <c r="A42" s="5">
        <v>41.0</v>
      </c>
      <c r="B42" s="5" t="s">
        <v>2057</v>
      </c>
      <c r="C42" s="5" t="s">
        <v>2058</v>
      </c>
      <c r="D42" s="5" t="s">
        <v>2059</v>
      </c>
      <c r="E42" s="5" t="s">
        <v>2060</v>
      </c>
      <c r="G42" s="6" t="str">
        <f>IFERROR(__xludf.DUMMYFUNCTION("GOOGLETRANSLATE(A42, ""en"", ""id"")"),"41")</f>
        <v>41</v>
      </c>
      <c r="H42" s="6" t="str">
        <f>IFERROR(__xludf.DUMMYFUNCTION("GOOGLETRANSLATE(B42, ""en"", ""id"")"),"Apa arti harimau dalam simbolisme Tarung Derajat?")</f>
        <v>Apa arti harimau dalam simbolisme Tarung Derajat?</v>
      </c>
      <c r="I42" s="6" t="str">
        <f>IFERROR(__xludf.DUMMYFUNCTION("GOOGLETRANSLATE(C42, ""en"", ""id"")"),"A) Licik, B) Siluman, C) Kekuatan dan keberanian, D) Fleksibilitas")</f>
        <v>A) Licik, B) Siluman, C) Kekuatan dan keberanian, D) Fleksibilitas</v>
      </c>
      <c r="J42" s="6" t="str">
        <f>IFERROR(__xludf.DUMMYFUNCTION("GOOGLETRANSLATE(D42, ""en"", ""id"")"),"C) Kekuatan dan keberanian")</f>
        <v>C) Kekuatan dan keberanian</v>
      </c>
      <c r="K42" s="6" t="str">
        <f>IFERROR(__xludf.DUMMYFUNCTION("GOOGLETRANSLATE(E42, ""en"", ""id"")"),"Harimau dalam Tarung Derajat melambangkan kekuatan dan keberanian para praktisinya.")</f>
        <v>Harimau dalam Tarung Derajat melambangkan kekuatan dan keberanian para praktisinya.</v>
      </c>
    </row>
    <row r="43">
      <c r="A43" s="5">
        <v>42.0</v>
      </c>
      <c r="B43" s="5" t="s">
        <v>2061</v>
      </c>
      <c r="C43" s="5" t="s">
        <v>2062</v>
      </c>
      <c r="D43" s="5" t="s">
        <v>2063</v>
      </c>
      <c r="E43" s="5" t="s">
        <v>2064</v>
      </c>
      <c r="G43" s="6" t="str">
        <f>IFERROR(__xludf.DUMMYFUNCTION("GOOGLETRANSLATE(A43, ""en"", ""id"")"),"42")</f>
        <v>42</v>
      </c>
      <c r="H43" s="6" t="str">
        <f>IFERROR(__xludf.DUMMYFUNCTION("GOOGLETRANSLATE(B43, ""en"", ""id"")"),"Apa salah satu tujuan fisik utama bagi praktisi Tarung Derajat?")</f>
        <v>Apa salah satu tujuan fisik utama bagi praktisi Tarung Derajat?</v>
      </c>
      <c r="I43" s="6" t="str">
        <f>IFERROR(__xludf.DUMMYFUNCTION("GOOGLETRANSLATE(C43, ""en"", ""id"")"),"A) Kecepatan dan kelincahan, B) Meditasi, C) Fleksibilitas, D) Gerakan anggun")</f>
        <v>A) Kecepatan dan kelincahan, B) Meditasi, C) Fleksibilitas, D) Gerakan anggun</v>
      </c>
      <c r="J43" s="6" t="str">
        <f>IFERROR(__xludf.DUMMYFUNCTION("GOOGLETRANSLATE(D43, ""en"", ""id"")"),"A) Kecepatan dan kelincahan")</f>
        <v>A) Kecepatan dan kelincahan</v>
      </c>
      <c r="K43" s="6" t="str">
        <f>IFERROR(__xludf.DUMMYFUNCTION("GOOGLETRANSLATE(E43, ""en"", ""id"")"),"Kecepatan dan kelincahan menjadi tujuan utama bagi praktisi Tarung Derajat untuk meningkatkan kemampuan bela diri.")</f>
        <v>Kecepatan dan kelincahan menjadi tujuan utama bagi praktisi Tarung Derajat untuk meningkatkan kemampuan bela diri.</v>
      </c>
    </row>
    <row r="44">
      <c r="A44" s="5">
        <v>43.0</v>
      </c>
      <c r="B44" s="5" t="s">
        <v>2065</v>
      </c>
      <c r="C44" s="5" t="s">
        <v>2066</v>
      </c>
      <c r="D44" s="5" t="s">
        <v>2067</v>
      </c>
      <c r="E44" s="5" t="s">
        <v>2068</v>
      </c>
      <c r="G44" s="6" t="str">
        <f>IFERROR(__xludf.DUMMYFUNCTION("GOOGLETRANSLATE(A44, ""en"", ""id"")"),"43")</f>
        <v>43</v>
      </c>
      <c r="H44" s="6" t="str">
        <f>IFERROR(__xludf.DUMMYFUNCTION("GOOGLETRANSLATE(B44, ""en"", ""id"")"),"Apa nama panggilan pendiri yang juga menjadi bagian identitas olahraga tersebut?")</f>
        <v>Apa nama panggilan pendiri yang juga menjadi bagian identitas olahraga tersebut?</v>
      </c>
      <c r="I44" s="6" t="str">
        <f>IFERROR(__xludf.DUMMYFUNCTION("GOOGLETRANSLATE(C44, ""en"", ""id"")"),"A) Dradjat yang Kuat, B) Dradjat si Macan, C) Mat, D) Drajat Pahlawan")</f>
        <v>A) Dradjat yang Kuat, B) Dradjat si Macan, C) Mat, D) Drajat Pahlawan</v>
      </c>
      <c r="J44" s="6" t="str">
        <f>IFERROR(__xludf.DUMMYFUNCTION("GOOGLETRANSLATE(D44, ""en"", ""id"")"),"B) Dradjat si Harimau")</f>
        <v>B) Dradjat si Harimau</v>
      </c>
      <c r="K44" s="6" t="str">
        <f>IFERROR(__xludf.DUMMYFUNCTION("GOOGLETRANSLATE(E44, ""en"", ""id"")"),"Julukan Achmad Dradjat, 'Dradjat si Macan', menginspirasi identitas Tarung Derajat.")</f>
        <v>Julukan Achmad Dradjat, 'Dradjat si Macan', menginspirasi identitas Tarung Derajat.</v>
      </c>
    </row>
    <row r="45">
      <c r="A45" s="5">
        <v>44.0</v>
      </c>
      <c r="B45" s="5" t="s">
        <v>2069</v>
      </c>
      <c r="C45" s="5" t="s">
        <v>2070</v>
      </c>
      <c r="D45" s="5" t="s">
        <v>2071</v>
      </c>
      <c r="E45" s="5" t="s">
        <v>2072</v>
      </c>
      <c r="G45" s="6" t="str">
        <f>IFERROR(__xludf.DUMMYFUNCTION("GOOGLETRANSLATE(A45, ""en"", ""id"")"),"44")</f>
        <v>44</v>
      </c>
      <c r="H45" s="6" t="str">
        <f>IFERROR(__xludf.DUMMYFUNCTION("GOOGLETRANSLATE(B45, ""en"", ""id"")"),"Tahun berapakah dimulainya kelas formal Tarung Derajat?")</f>
        <v>Tahun berapakah dimulainya kelas formal Tarung Derajat?</v>
      </c>
      <c r="I45" s="6" t="str">
        <f>IFERROR(__xludf.DUMMYFUNCTION("GOOGLETRANSLATE(C45, ""en"", ""id"")"),"A) Tahun 1969, B) Tahun 1974, C) Tahun 1980, D) Tahun 1985")</f>
        <v>A) Tahun 1969, B) Tahun 1974, C) Tahun 1980, D) Tahun 1985</v>
      </c>
      <c r="J45" s="6" t="str">
        <f>IFERROR(__xludf.DUMMYFUNCTION("GOOGLETRANSLATE(D45, ""en"", ""id"")"),"B) Tahun 1974")</f>
        <v>B) Tahun 1974</v>
      </c>
      <c r="K45" s="6" t="str">
        <f>IFERROR(__xludf.DUMMYFUNCTION("GOOGLETRANSLATE(E45, ""en"", ""id"")"),"Kelas formal Tarung Derajat dimulai pada tahun 1974, menandai perkembangannya sebagai seni bela diri yang terstruktur.")</f>
        <v>Kelas formal Tarung Derajat dimulai pada tahun 1974, menandai perkembangannya sebagai seni bela diri yang terstruktur.</v>
      </c>
    </row>
    <row r="46">
      <c r="A46" s="5">
        <v>45.0</v>
      </c>
      <c r="B46" s="5" t="s">
        <v>2073</v>
      </c>
      <c r="C46" s="5" t="s">
        <v>2074</v>
      </c>
      <c r="D46" s="5" t="s">
        <v>2075</v>
      </c>
      <c r="E46" s="5" t="s">
        <v>2076</v>
      </c>
      <c r="G46" s="6" t="str">
        <f>IFERROR(__xludf.DUMMYFUNCTION("GOOGLETRANSLATE(A46, ""en"", ""id"")"),"45")</f>
        <v>45</v>
      </c>
      <c r="H46" s="6" t="str">
        <f>IFERROR(__xludf.DUMMYFUNCTION("GOOGLETRANSLATE(B46, ""en"", ""id"")"),"Pada SEA Games yang mana Tarung Derajat pertama kali melakoni debut kompetitifnya?")</f>
        <v>Pada SEA Games yang mana Tarung Derajat pertama kali melakoni debut kompetitifnya?</v>
      </c>
      <c r="I46" s="6" t="str">
        <f>IFERROR(__xludf.DUMMYFUNCTION("GOOGLETRANSLATE(C46, ""en"", ""id"")"),"A) Tahun 2007, B) Tahun 2009, C) Tahun 2011, D) Tahun 2013")</f>
        <v>A) Tahun 2007, B) Tahun 2009, C) Tahun 2011, D) Tahun 2013</v>
      </c>
      <c r="J46" s="6" t="str">
        <f>IFERROR(__xludf.DUMMYFUNCTION("GOOGLETRANSLATE(D46, ""en"", ""id"")"),"C) Tahun 2011")</f>
        <v>C) Tahun 2011</v>
      </c>
      <c r="K46" s="6" t="str">
        <f>IFERROR(__xludf.DUMMYFUNCTION("GOOGLETRANSLATE(E46, ""en"", ""id"")"),"Tarung Derajat memulai debut kompetitifnya di SEA Games 2011, membawanya ke panggung internasional.")</f>
        <v>Tarung Derajat memulai debut kompetitifnya di SEA Games 2011, membawanya ke panggung internasional.</v>
      </c>
    </row>
    <row r="47">
      <c r="A47" s="5">
        <v>46.0</v>
      </c>
      <c r="B47" s="5" t="s">
        <v>2077</v>
      </c>
      <c r="C47" s="5" t="s">
        <v>2078</v>
      </c>
      <c r="D47" s="5" t="s">
        <v>2079</v>
      </c>
      <c r="E47" s="5" t="s">
        <v>2080</v>
      </c>
      <c r="G47" s="6" t="str">
        <f>IFERROR(__xludf.DUMMYFUNCTION("GOOGLETRANSLATE(A47, ""en"", ""id"")"),"46")</f>
        <v>46</v>
      </c>
      <c r="H47" s="6" t="str">
        <f>IFERROR(__xludf.DUMMYFUNCTION("GOOGLETRANSLATE(B47, ""en"", ""id"")"),"Apa konsep inti yang diajarkan dalam Tarung Derajat untuk membantu praktisi menghadapi tantangan?")</f>
        <v>Apa konsep inti yang diajarkan dalam Tarung Derajat untuk membantu praktisi menghadapi tantangan?</v>
      </c>
      <c r="I47" s="6" t="str">
        <f>IFERROR(__xludf.DUMMYFUNCTION("GOOGLETRANSLATE(C47, ""en"", ""id"")"),"A) Penghindaran, B) Ketahanan, C) Kelembutan, D) Spiritualitas")</f>
        <v>A) Penghindaran, B) Ketahanan, C) Kelembutan, D) Spiritualitas</v>
      </c>
      <c r="J47" s="6" t="str">
        <f>IFERROR(__xludf.DUMMYFUNCTION("GOOGLETRANSLATE(D47, ""en"", ""id"")"),"B) Ketahanan")</f>
        <v>B) Ketahanan</v>
      </c>
      <c r="K47" s="6" t="str">
        <f>IFERROR(__xludf.DUMMYFUNCTION("GOOGLETRANSLATE(E47, ""en"", ""id"")"),"Ketahanan adalah konsep inti dalam Tarung Derajat, mengajarkan praktisi untuk menghadapi tantangan dengan kekuatan.")</f>
        <v>Ketahanan adalah konsep inti dalam Tarung Derajat, mengajarkan praktisi untuk menghadapi tantangan dengan kekuatan.</v>
      </c>
    </row>
    <row r="48">
      <c r="A48" s="5">
        <v>47.0</v>
      </c>
      <c r="B48" s="5" t="s">
        <v>2081</v>
      </c>
      <c r="C48" s="5" t="s">
        <v>1994</v>
      </c>
      <c r="D48" s="5" t="s">
        <v>1995</v>
      </c>
      <c r="E48" s="5" t="s">
        <v>2082</v>
      </c>
      <c r="G48" s="6" t="str">
        <f>IFERROR(__xludf.DUMMYFUNCTION("GOOGLETRANSLATE(A48, ""en"", ""id"")"),"47")</f>
        <v>47</v>
      </c>
      <c r="H48" s="6" t="str">
        <f>IFERROR(__xludf.DUMMYFUNCTION("GOOGLETRANSLATE(B48, ""en"", ""id"")"),"Ada berapa tahapan dalam sistem latihan Tarung Derajat?")</f>
        <v>Ada berapa tahapan dalam sistem latihan Tarung Derajat?</v>
      </c>
      <c r="I48" s="6" t="str">
        <f>IFERROR(__xludf.DUMMYFUNCTION("GOOGLETRANSLATE(C48, ""en"", ""id"")"),"A) 3, B) 5, C) 7, D) 9")</f>
        <v>A) 3, B) 5, C) 7, D) 9</v>
      </c>
      <c r="J48" s="6" t="str">
        <f>IFERROR(__xludf.DUMMYFUNCTION("GOOGLETRANSLATE(D48, ""en"", ""id"")"),"B) 5")</f>
        <v>B) 5</v>
      </c>
      <c r="K48" s="6" t="str">
        <f>IFERROR(__xludf.DUMMYFUNCTION("GOOGLETRANSLATE(E48, ""en"", ""id"")"),"Sistem pelatihan Tarung Derajat dibagi menjadi lima fase yang berbeda.")</f>
        <v>Sistem pelatihan Tarung Derajat dibagi menjadi lima fase yang berbeda.</v>
      </c>
    </row>
    <row r="49">
      <c r="A49" s="5">
        <v>48.0</v>
      </c>
      <c r="B49" s="5" t="s">
        <v>2083</v>
      </c>
      <c r="C49" s="5" t="s">
        <v>2084</v>
      </c>
      <c r="D49" s="5" t="s">
        <v>2085</v>
      </c>
      <c r="E49" s="5" t="s">
        <v>2086</v>
      </c>
      <c r="G49" s="6" t="str">
        <f>IFERROR(__xludf.DUMMYFUNCTION("GOOGLETRANSLATE(A49, ""en"", ""id"")"),"48")</f>
        <v>48</v>
      </c>
      <c r="H49" s="6" t="str">
        <f>IFERROR(__xludf.DUMMYFUNCTION("GOOGLETRANSLATE(B49, ""en"", ""id"")"),"Nilai manakah yang merupakan bagian integral dari filosofi Tarung Derajat?")</f>
        <v>Nilai manakah yang merupakan bagian integral dari filosofi Tarung Derajat?</v>
      </c>
      <c r="I49" s="6" t="str">
        <f>IFERROR(__xludf.DUMMYFUNCTION("GOOGLETRANSLATE(C49, ""en"", ""id"")"),"A) Kedermawanan, B) Pengendalian diri, C) Kerendahan hati, D) Kekayaan")</f>
        <v>A) Kedermawanan, B) Pengendalian diri, C) Kerendahan hati, D) Kekayaan</v>
      </c>
      <c r="J49" s="6" t="str">
        <f>IFERROR(__xludf.DUMMYFUNCTION("GOOGLETRANSLATE(D49, ""en"", ""id"")"),"B) Pengendalian diri")</f>
        <v>B) Pengendalian diri</v>
      </c>
      <c r="K49" s="6" t="str">
        <f>IFERROR(__xludf.DUMMYFUNCTION("GOOGLETRANSLATE(E49, ""en"", ""id"")"),"Pengendalian diri merupakan inti dari Tarung Derajat, yang mendorong kedisiplinan baik dalam pertarungan maupun kehidupan sehari-hari.")</f>
        <v>Pengendalian diri merupakan inti dari Tarung Derajat, yang mendorong kedisiplinan baik dalam pertarungan maupun kehidupan sehari-hari.</v>
      </c>
    </row>
    <row r="50">
      <c r="A50" s="5">
        <v>49.0</v>
      </c>
      <c r="B50" s="5" t="s">
        <v>2087</v>
      </c>
      <c r="C50" s="5" t="s">
        <v>2088</v>
      </c>
      <c r="D50" s="5" t="s">
        <v>2089</v>
      </c>
      <c r="E50" s="5" t="s">
        <v>2090</v>
      </c>
      <c r="G50" s="6" t="str">
        <f>IFERROR(__xludf.DUMMYFUNCTION("GOOGLETRANSLATE(A50, ""en"", ""id"")"),"49")</f>
        <v>49</v>
      </c>
      <c r="H50" s="6" t="str">
        <f>IFERROR(__xludf.DUMMYFUNCTION("GOOGLETRANSLATE(B50, ""en"", ""id"")"),"Apa istilah Indonesia untuk tingkatan atau tahapan dalam Tarung Derajat?")</f>
        <v>Apa istilah Indonesia untuk tingkatan atau tahapan dalam Tarung Derajat?</v>
      </c>
      <c r="I50" s="6" t="str">
        <f>IFERROR(__xludf.DUMMYFUNCTION("GOOGLETRANSLATE(C50, ""en"", ""id"")"),"A) Tingkat, B) Tahap, C) Langkah, D) Lintasan")</f>
        <v>A) Tingkat, B) Tahap, C) Langkah, D) Lintasan</v>
      </c>
      <c r="J50" s="6" t="str">
        <f>IFERROR(__xludf.DUMMYFUNCTION("GOOGLETRANSLATE(D50, ""en"", ""id"")"),"A) Tingkat")</f>
        <v>A) Tingkat</v>
      </c>
      <c r="K50" s="6" t="str">
        <f>IFERROR(__xludf.DUMMYFUNCTION("GOOGLETRANSLATE(E50, ""en"", ""id"")"),"Dalam Tarung Derajat, 'Tingkat' mengacu pada tingkatan atau fase pelatihan.")</f>
        <v>Dalam Tarung Derajat, 'Tingkat' mengacu pada tingkatan atau fase pelatihan.</v>
      </c>
    </row>
    <row r="51">
      <c r="A51" s="5">
        <v>50.0</v>
      </c>
      <c r="B51" s="5" t="s">
        <v>2091</v>
      </c>
      <c r="C51" s="5" t="s">
        <v>2092</v>
      </c>
      <c r="D51" s="5" t="s">
        <v>2093</v>
      </c>
      <c r="E51" s="5" t="s">
        <v>2094</v>
      </c>
      <c r="G51" s="6" t="str">
        <f>IFERROR(__xludf.DUMMYFUNCTION("GOOGLETRANSLATE(A51, ""en"", ""id"")"),"50")</f>
        <v>50</v>
      </c>
      <c r="H51" s="6" t="str">
        <f>IFERROR(__xludf.DUMMYFUNCTION("GOOGLETRANSLATE(B51, ""en"", ""id"")"),"Bagaimana kekuatan diukur dalam teknik Tarung Derajat?")</f>
        <v>Bagaimana kekuatan diukur dalam teknik Tarung Derajat?</v>
      </c>
      <c r="I51" s="6" t="str">
        <f>IFERROR(__xludf.DUMMYFUNCTION("GOOGLETRANSLATE(C51, ""en"", ""id"")"),"A) Panjang pukulan, B) Kekuatan tumbukan, C) Kecepatan, D) Kontrol napas")</f>
        <v>A) Panjang pukulan, B) Kekuatan tumbukan, C) Kecepatan, D) Kontrol napas</v>
      </c>
      <c r="J51" s="6" t="str">
        <f>IFERROR(__xludf.DUMMYFUNCTION("GOOGLETRANSLATE(D51, ""en"", ""id"")"),"B) Gaya tumbukan")</f>
        <v>B) Gaya tumbukan</v>
      </c>
      <c r="K51" s="6" t="str">
        <f>IFERROR(__xludf.DUMMYFUNCTION("GOOGLETRANSLATE(E51, ""en"", ""id"")"),"Kekuatan dalam Tarung Derajat terutama diukur dari kekuatan dampak pukulan.")</f>
        <v>Kekuatan dalam Tarung Derajat terutama diukur dari kekuatan dampak pukulan.</v>
      </c>
    </row>
    <row r="52">
      <c r="A52" s="5">
        <v>51.0</v>
      </c>
      <c r="B52" s="5" t="s">
        <v>2095</v>
      </c>
      <c r="C52" s="5" t="s">
        <v>2096</v>
      </c>
      <c r="D52" s="5" t="s">
        <v>2097</v>
      </c>
      <c r="E52" s="5" t="s">
        <v>2098</v>
      </c>
      <c r="G52" s="6" t="str">
        <f>IFERROR(__xludf.DUMMYFUNCTION("GOOGLETRANSLATE(A52, ""en"", ""id"")"),"51")</f>
        <v>51</v>
      </c>
      <c r="H52" s="6" t="str">
        <f>IFERROR(__xludf.DUMMYFUNCTION("GOOGLETRANSLATE(B52, ""en"", ""id"")"),"Apa peran Tarung Derajat dalam pelatihan militer Indonesia?")</f>
        <v>Apa peran Tarung Derajat dalam pelatihan militer Indonesia?</v>
      </c>
      <c r="I52" s="6" t="str">
        <f>IFERROR(__xludf.DUMMYFUNCTION("GOOGLETRANSLATE(C52, ""en"", ""id"")"),"A) Disiplin mental, B) Latihan bela diri, C) Latihan fleksibilitas, D) Keterampilan bertahan hidup")</f>
        <v>A) Disiplin mental, B) Latihan bela diri, C) Latihan fleksibilitas, D) Keterampilan bertahan hidup</v>
      </c>
      <c r="J52" s="6" t="str">
        <f>IFERROR(__xludf.DUMMYFUNCTION("GOOGLETRANSLATE(D52, ""en"", ""id"")"),"B) Latihan bela diri")</f>
        <v>B) Latihan bela diri</v>
      </c>
      <c r="K52" s="6" t="str">
        <f>IFERROR(__xludf.DUMMYFUNCTION("GOOGLETRANSLATE(E52, ""en"", ""id"")"),"Tarung Derajat digunakan dalam pelatihan militer Indonesia karena fokusnya pada bela diri praktis.")</f>
        <v>Tarung Derajat digunakan dalam pelatihan militer Indonesia karena fokusnya pada bela diri praktis.</v>
      </c>
    </row>
    <row r="53">
      <c r="A53" s="5">
        <v>52.0</v>
      </c>
      <c r="B53" s="5" t="s">
        <v>2099</v>
      </c>
      <c r="C53" s="5" t="s">
        <v>2100</v>
      </c>
      <c r="D53" s="5" t="s">
        <v>2101</v>
      </c>
      <c r="E53" s="5" t="s">
        <v>2102</v>
      </c>
      <c r="G53" s="6" t="str">
        <f>IFERROR(__xludf.DUMMYFUNCTION("GOOGLETRANSLATE(A53, ""en"", ""id"")"),"52")</f>
        <v>52</v>
      </c>
      <c r="H53" s="6" t="str">
        <f>IFERROR(__xludf.DUMMYFUNCTION("GOOGLETRANSLATE(B53, ""en"", ""id"")"),"Tarung Derajat diakui sebagai seni bela diri ______.")</f>
        <v>Tarung Derajat diakui sebagai seni bela diri ______.</v>
      </c>
      <c r="I53" s="6" t="str">
        <f>IFERROR(__xludf.DUMMYFUNCTION("GOOGLETRANSLATE(C53, ""en"", ""id"")"),"A) Lembut, B) Damai, C) Keras, D) Estetis")</f>
        <v>A) Lembut, B) Damai, C) Keras, D) Estetis</v>
      </c>
      <c r="J53" s="6" t="str">
        <f>IFERROR(__xludf.DUMMYFUNCTION("GOOGLETRANSLATE(D53, ""en"", ""id"")"),"C) Keras")</f>
        <v>C) Keras</v>
      </c>
      <c r="K53" s="6" t="str">
        <f>IFERROR(__xludf.DUMMYFUNCTION("GOOGLETRANSLATE(E53, ""en"", ""id"")"),"Tarung Derajat tergolong seni bela diri keras karena fokusnya pada kekuatan pukulan dan kekuatan fisik.")</f>
        <v>Tarung Derajat tergolong seni bela diri keras karena fokusnya pada kekuatan pukulan dan kekuatan fisik.</v>
      </c>
    </row>
    <row r="54">
      <c r="A54" s="5">
        <v>53.0</v>
      </c>
      <c r="B54" s="5" t="s">
        <v>2103</v>
      </c>
      <c r="C54" s="5" t="s">
        <v>2104</v>
      </c>
      <c r="D54" s="5" t="s">
        <v>2105</v>
      </c>
      <c r="E54" s="5" t="s">
        <v>2106</v>
      </c>
      <c r="G54" s="6" t="str">
        <f>IFERROR(__xludf.DUMMYFUNCTION("GOOGLETRANSLATE(A54, ""en"", ""id"")"),"53")</f>
        <v>53</v>
      </c>
      <c r="H54" s="6" t="str">
        <f>IFERROR(__xludf.DUMMYFUNCTION("GOOGLETRANSLATE(B54, ""en"", ""id"")"),"Istilah seni bela diri tradisional manakah yang TIDAK umum digunakan dalam Tarung Derajat?")</f>
        <v>Istilah seni bela diri tradisional manakah yang TIDAK umum digunakan dalam Tarung Derajat?</v>
      </c>
      <c r="I54" s="6" t="str">
        <f>IFERROR(__xludf.DUMMYFUNCTION("GOOGLETRANSLATE(C54, ""en"", ""id"")"),"A) Pukulan, B) Tendangan, C) Bergulat, D) Serangan siku")</f>
        <v>A) Pukulan, B) Tendangan, C) Bergulat, D) Serangan siku</v>
      </c>
      <c r="J54" s="6" t="str">
        <f>IFERROR(__xludf.DUMMYFUNCTION("GOOGLETRANSLATE(D54, ""en"", ""id"")"),"C) Bergulat")</f>
        <v>C) Bergulat</v>
      </c>
      <c r="K54" s="6" t="str">
        <f>IFERROR(__xludf.DUMMYFUNCTION("GOOGLETRANSLATE(E54, ""en"", ""id"")"),"Tarung Derajat berfokus pada pukulan dan tendangan, dengan penekanan minimal pada teknik bergulat.")</f>
        <v>Tarung Derajat berfokus pada pukulan dan tendangan, dengan penekanan minimal pada teknik bergulat.</v>
      </c>
    </row>
    <row r="55">
      <c r="A55" s="5">
        <v>54.0</v>
      </c>
      <c r="B55" s="5" t="s">
        <v>2107</v>
      </c>
      <c r="C55" s="5" t="s">
        <v>2108</v>
      </c>
      <c r="D55" s="5" t="s">
        <v>2109</v>
      </c>
      <c r="E55" s="7" t="s">
        <v>2110</v>
      </c>
      <c r="G55" s="6" t="str">
        <f>IFERROR(__xludf.DUMMYFUNCTION("GOOGLETRANSLATE(A55, ""en"", ""id"")"),"54")</f>
        <v>54</v>
      </c>
      <c r="H55" s="6" t="str">
        <f>IFERROR(__xludf.DUMMYFUNCTION("GOOGLETRANSLATE(B55, ""en"", ""id"")"),"Frasa apa yang sering digunakan untuk menggambarkan fokus kemandirian Tarung Derajat?")</f>
        <v>Frasa apa yang sering digunakan untuk menggambarkan fokus kemandirian Tarung Derajat?</v>
      </c>
      <c r="I55" s="6" t="str">
        <f>IFERROR(__xludf.DUMMYFUNCTION("GOOGLETRANSLATE(C55, ""en"", ""id"")"),"A) Lihat ke dalam, B) Kekuatan adalah hidup, C) Diri adalah kekuatan, D) Menang dengan segala cara")</f>
        <v>A) Lihat ke dalam, B) Kekuatan adalah hidup, C) Diri adalah kekuatan, D) Menang dengan segala cara</v>
      </c>
      <c r="J55" s="6" t="str">
        <f>IFERROR(__xludf.DUMMYFUNCTION("GOOGLETRANSLATE(D55, ""en"", ""id"")"),"C) Diri adalah kekuatan")</f>
        <v>C) Diri adalah kekuatan</v>
      </c>
      <c r="K55" s="6" t="str">
        <f>IFERROR(__xludf.DUMMYFUNCTION("GOOGLETRANSLATE(E55, ""en"", ""id"")"),"'Diri adalah kekuatan' mencerminkan penekanan pada ketahanan pribadi dalam Tarung Derajat.")</f>
        <v>'Diri adalah kekuatan' mencerminkan penekanan pada ketahanan pribadi dalam Tarung Derajat.</v>
      </c>
    </row>
    <row r="56">
      <c r="A56" s="5">
        <v>55.0</v>
      </c>
      <c r="B56" s="5" t="s">
        <v>2111</v>
      </c>
      <c r="C56" s="5" t="s">
        <v>2112</v>
      </c>
      <c r="D56" s="5" t="s">
        <v>2113</v>
      </c>
      <c r="E56" s="5" t="s">
        <v>2114</v>
      </c>
      <c r="G56" s="6" t="str">
        <f>IFERROR(__xludf.DUMMYFUNCTION("GOOGLETRANSLATE(A56, ""en"", ""id"")"),"55")</f>
        <v>55</v>
      </c>
      <c r="H56" s="6" t="str">
        <f>IFERROR(__xludf.DUMMYFUNCTION("GOOGLETRANSLATE(B56, ""en"", ""id"")"),"Bagaimana praktisi menunjukkan rasa hormat dalam Tarung Derajat?")</f>
        <v>Bagaimana praktisi menunjukkan rasa hormat dalam Tarung Derajat?</v>
      </c>
      <c r="I56" s="6" t="str">
        <f>IFERROR(__xludf.DUMMYFUNCTION("GOOGLETRANSLATE(C56, ""en"", ""id"")"),"A) Membungkuk, B) Salam tinju, C) Bernyanyi, D) Renungan hening")</f>
        <v>A) Membungkuk, B) Salam tinju, C) Bernyanyi, D) Renungan hening</v>
      </c>
      <c r="J56" s="6" t="str">
        <f>IFERROR(__xludf.DUMMYFUNCTION("GOOGLETRANSLATE(D56, ""en"", ""id"")"),"B) Salam tinju")</f>
        <v>B) Salam tinju</v>
      </c>
      <c r="K56" s="6" t="str">
        <f>IFERROR(__xludf.DUMMYFUNCTION("GOOGLETRANSLATE(E56, ""en"", ""id"")"),"Praktisi menunjukkan rasa hormat melalui hormat tinju, melambangkan kekuatan dan persatuan.")</f>
        <v>Praktisi menunjukkan rasa hormat melalui hormat tinju, melambangkan kekuatan dan persatuan.</v>
      </c>
    </row>
    <row r="57">
      <c r="A57" s="5">
        <v>56.0</v>
      </c>
      <c r="B57" s="5" t="s">
        <v>2115</v>
      </c>
      <c r="C57" s="5" t="s">
        <v>2116</v>
      </c>
      <c r="D57" s="5" t="s">
        <v>2117</v>
      </c>
      <c r="E57" s="7" t="s">
        <v>2118</v>
      </c>
      <c r="G57" s="6" t="str">
        <f>IFERROR(__xludf.DUMMYFUNCTION("GOOGLETRANSLATE(A57, ""en"", ""id"")"),"56")</f>
        <v>56</v>
      </c>
      <c r="H57" s="6" t="str">
        <f>IFERROR(__xludf.DUMMYFUNCTION("GOOGLETRANSLATE(B57, ""en"", ""id"")"),"Apa arti frasa 'Aku adalah kekuatanku sendiri' dalam Tarung Derajat?")</f>
        <v>Apa arti frasa 'Aku adalah kekuatanku sendiri' dalam Tarung Derajat?</v>
      </c>
      <c r="I57" s="6" t="str">
        <f>IFERROR(__xludf.DUMMYFUNCTION("GOOGLETRANSLATE(C57, ""en"", ""id"")"),"A) Kepercayaan pada senjata, B) Kepercayaan pada kekuatan sendiri, C) Kontrol atas orang lain, D) Isolasi")</f>
        <v>A) Kepercayaan pada senjata, B) Kepercayaan pada kekuatan sendiri, C) Kontrol atas orang lain, D) Isolasi</v>
      </c>
      <c r="J57" s="6" t="str">
        <f>IFERROR(__xludf.DUMMYFUNCTION("GOOGLETRANSLATE(D57, ""en"", ""id"")"),"B) Percaya pada kekuatan diri sendiri")</f>
        <v>B) Percaya pada kekuatan diri sendiri</v>
      </c>
      <c r="K57" s="6" t="str">
        <f>IFERROR(__xludf.DUMMYFUNCTION("GOOGLETRANSLATE(E57, ""en"", ""id"")"),"'Saya adalah kekuatan saya sendiri' menekankan keyakinan pada kemandirian dan kekuatan seseorang.")</f>
        <v>'Saya adalah kekuatan saya sendiri' menekankan keyakinan pada kemandirian dan kekuatan seseorang.</v>
      </c>
    </row>
    <row r="58">
      <c r="A58" s="5">
        <v>57.0</v>
      </c>
      <c r="B58" s="5" t="s">
        <v>2119</v>
      </c>
      <c r="C58" s="5" t="s">
        <v>2120</v>
      </c>
      <c r="D58" s="5" t="s">
        <v>2121</v>
      </c>
      <c r="E58" s="5" t="s">
        <v>2122</v>
      </c>
      <c r="G58" s="6" t="str">
        <f>IFERROR(__xludf.DUMMYFUNCTION("GOOGLETRANSLATE(A58, ""en"", ""id"")"),"57")</f>
        <v>57</v>
      </c>
      <c r="H58" s="6" t="str">
        <f>IFERROR(__xludf.DUMMYFUNCTION("GOOGLETRANSLATE(B58, ""en"", ""id"")"),"Tarung Derajat mengajarkan para praktisi untuk ______ dalam tindakan mereka.")</f>
        <v>Tarung Derajat mengajarkan para praktisi untuk ______ dalam tindakan mereka.</v>
      </c>
      <c r="I58" s="6" t="str">
        <f>IFERROR(__xludf.DUMMYFUNCTION("GOOGLETRANSLATE(C58, ""en"", ""id"")"),"A) Agresif, B) Strategis, C) Lembut, D) Tidak dapat diprediksi")</f>
        <v>A) Agresif, B) Strategis, C) Lembut, D) Tidak dapat diprediksi</v>
      </c>
      <c r="J58" s="6" t="str">
        <f>IFERROR(__xludf.DUMMYFUNCTION("GOOGLETRANSLATE(D58, ""en"", ""id"")"),"B) Strategis")</f>
        <v>B) Strategis</v>
      </c>
      <c r="K58" s="6" t="str">
        <f>IFERROR(__xludf.DUMMYFUNCTION("GOOGLETRANSLATE(E58, ""en"", ""id"")"),"Praktisi diajarkan untuk bersikap strategis, menggunakan kekuatan secara bijaksana dan efektif.")</f>
        <v>Praktisi diajarkan untuk bersikap strategis, menggunakan kekuatan secara bijaksana dan efektif.</v>
      </c>
    </row>
    <row r="59">
      <c r="A59" s="5">
        <v>58.0</v>
      </c>
      <c r="B59" s="5" t="s">
        <v>2123</v>
      </c>
      <c r="C59" s="5" t="s">
        <v>2124</v>
      </c>
      <c r="D59" s="5" t="s">
        <v>2019</v>
      </c>
      <c r="E59" s="5" t="s">
        <v>2125</v>
      </c>
      <c r="G59" s="6" t="str">
        <f>IFERROR(__xludf.DUMMYFUNCTION("GOOGLETRANSLATE(A59, ""en"", ""id"")"),"58")</f>
        <v>58</v>
      </c>
      <c r="H59" s="6" t="str">
        <f>IFERROR(__xludf.DUMMYFUNCTION("GOOGLETRANSLATE(B59, ""en"", ""id"")"),"Siapakah pendiri Tarung Derajat?")</f>
        <v>Siapakah pendiri Tarung Derajat?</v>
      </c>
      <c r="I59" s="6" t="str">
        <f>IFERROR(__xludf.DUMMYFUNCTION("GOOGLETRANSLATE(C59, ""en"", ""id"")"),"A) Achmad Dradjat, B) Iko Uwais, C) Gatot Nurmantyo, D) Rhoma Irama")</f>
        <v>A) Achmad Dradjat, B) Iko Uwais, C) Gatot Nurmantyo, D) Rhoma Irama</v>
      </c>
      <c r="J59" s="6" t="str">
        <f>IFERROR(__xludf.DUMMYFUNCTION("GOOGLETRANSLATE(D59, ""en"", ""id"")"),"A) Achmad Dradjat")</f>
        <v>A) Achmad Dradjat</v>
      </c>
      <c r="K59" s="6" t="str">
        <f>IFERROR(__xludf.DUMMYFUNCTION("GOOGLETRANSLATE(E59, ""en"", ""id"")"),"Achmad Dradjat, terinspirasi dari pengalaman pribadi, mendirikan Tarung Derajat sebagai seni bela diri bela diri.")</f>
        <v>Achmad Dradjat, terinspirasi dari pengalaman pribadi, mendirikan Tarung Derajat sebagai seni bela diri bela diri.</v>
      </c>
    </row>
    <row r="60">
      <c r="A60" s="5">
        <v>59.0</v>
      </c>
      <c r="B60" s="5" t="s">
        <v>2126</v>
      </c>
      <c r="C60" s="5" t="s">
        <v>2127</v>
      </c>
      <c r="D60" s="5" t="s">
        <v>2128</v>
      </c>
      <c r="E60" s="5" t="s">
        <v>2129</v>
      </c>
      <c r="G60" s="6" t="str">
        <f>IFERROR(__xludf.DUMMYFUNCTION("GOOGLETRANSLATE(A60, ""en"", ""id"")"),"59")</f>
        <v>59</v>
      </c>
      <c r="H60" s="6" t="str">
        <f>IFERROR(__xludf.DUMMYFUNCTION("GOOGLETRANSLATE(B60, ""en"", ""id"")"),"Hewan apa yang melambangkan kekuatan dan kekuasaan dalam Tarung Derajat?")</f>
        <v>Hewan apa yang melambangkan kekuatan dan kekuasaan dalam Tarung Derajat?</v>
      </c>
      <c r="I60" s="6" t="str">
        <f>IFERROR(__xludf.DUMMYFUNCTION("GOOGLETRANSLATE(C60, ""en"", ""id"")"),"A) Singa, B) Elang, C) Harimau, D) Gajah")</f>
        <v>A) Singa, B) Elang, C) Harimau, D) Gajah</v>
      </c>
      <c r="J60" s="6" t="str">
        <f>IFERROR(__xludf.DUMMYFUNCTION("GOOGLETRANSLATE(D60, ""en"", ""id"")"),"C) Harimau")</f>
        <v>C) Harimau</v>
      </c>
      <c r="K60" s="6" t="str">
        <f>IFERROR(__xludf.DUMMYFUNCTION("GOOGLETRANSLATE(E60, ""en"", ""id"")"),"Harimau melambangkan kekuatan, kekuasaan, dan ketahanan yang menjadi inti filosofi Tarung Derajat.")</f>
        <v>Harimau melambangkan kekuatan, kekuasaan, dan ketahanan yang menjadi inti filosofi Tarung Derajat.</v>
      </c>
    </row>
    <row r="61">
      <c r="A61" s="5">
        <v>60.0</v>
      </c>
      <c r="B61" s="5" t="s">
        <v>2130</v>
      </c>
      <c r="C61" s="5" t="s">
        <v>2131</v>
      </c>
      <c r="D61" s="5" t="s">
        <v>2132</v>
      </c>
      <c r="E61" s="5" t="s">
        <v>2133</v>
      </c>
      <c r="G61" s="6" t="str">
        <f>IFERROR(__xludf.DUMMYFUNCTION("GOOGLETRANSLATE(A61, ""en"", ""id"")"),"60")</f>
        <v>60</v>
      </c>
      <c r="H61" s="6" t="str">
        <f>IFERROR(__xludf.DUMMYFUNCTION("GOOGLETRANSLATE(B61, ""en"", ""id"")"),"Tarung Derajat juga disebut dengan julukan apa?")</f>
        <v>Tarung Derajat juga disebut dengan julukan apa?</v>
      </c>
      <c r="I61" s="6" t="str">
        <f>IFERROR(__xludf.DUMMYFUNCTION("GOOGLETRANSLATE(C61, ""en"", ""id"")"),"A) Pencak Silat 2.0, B) Bela Diri Rakyat, C) Gaya Petinju, D) Seni Bela Diri Harimau")</f>
        <v>A) Pencak Silat 2.0, B) Bela Diri Rakyat, C) Gaya Petinju, D) Seni Bela Diri Harimau</v>
      </c>
      <c r="J61" s="6" t="str">
        <f>IFERROR(__xludf.DUMMYFUNCTION("GOOGLETRANSLATE(D61, ""en"", ""id"")"),"C) Gaya Boxer")</f>
        <v>C) Gaya Boxer</v>
      </c>
      <c r="K61" s="6" t="str">
        <f>IFERROR(__xludf.DUMMYFUNCTION("GOOGLETRANSLATE(E61, ""en"", ""id"")"),"Tarung Derajat dikenal sebagai 'Gaya Boxer' karena fokusnya pada pukulan, tendangan, dan gerakan bertahan.")</f>
        <v>Tarung Derajat dikenal sebagai 'Gaya Boxer' karena fokusnya pada pukulan, tendangan, dan gerakan bertahan.</v>
      </c>
    </row>
    <row r="62">
      <c r="A62" s="5">
        <v>61.0</v>
      </c>
      <c r="B62" s="10" t="s">
        <v>2134</v>
      </c>
      <c r="C62" s="10" t="s">
        <v>2135</v>
      </c>
      <c r="D62" s="10" t="s">
        <v>2027</v>
      </c>
      <c r="E62" s="10" t="s">
        <v>2136</v>
      </c>
      <c r="G62" s="6" t="str">
        <f>IFERROR(__xludf.DUMMYFUNCTION("GOOGLETRANSLATE(A62, ""en"", ""id"")"),"61")</f>
        <v>61</v>
      </c>
      <c r="H62" s="6" t="str">
        <f>IFERROR(__xludf.DUMMYFUNCTION("GOOGLETRANSLATE(B62, ""en"", ""id"")"),"Di provinsi manakah di Indonesia Achmad Dradjat pertama kali memperagakan teknik Tarung Derajat di depan umum?")</f>
        <v>Di provinsi manakah di Indonesia Achmad Dradjat pertama kali memperagakan teknik Tarung Derajat di depan umum?</v>
      </c>
      <c r="I62" s="6" t="str">
        <f>IFERROR(__xludf.DUMMYFUNCTION("GOOGLETRANSLATE(C62, ""en"", ""id"")"),"A) Bali B) Jawa Barat C) Sumatera D) Kalimantan")</f>
        <v>A) Bali B) Jawa Barat C) Sumatera D) Kalimantan</v>
      </c>
      <c r="J62" s="6" t="str">
        <f>IFERROR(__xludf.DUMMYFUNCTION("GOOGLETRANSLATE(D62, ""en"", ""id"")"),"B) Jawa Barat")</f>
        <v>B) Jawa Barat</v>
      </c>
      <c r="K62" s="6" t="str">
        <f>IFERROR(__xludf.DUMMYFUNCTION("GOOGLETRANSLATE(E62, ""en"", ""id"")"),"Jawa Barat, khususnya Bandung, merupakan tempat lahirnya demonstrasi publik pertama Tarung Derajat pada tahun 1970-an.")</f>
        <v>Jawa Barat, khususnya Bandung, merupakan tempat lahirnya demonstrasi publik pertama Tarung Derajat pada tahun 1970-an.</v>
      </c>
    </row>
    <row r="63">
      <c r="A63" s="5">
        <v>62.0</v>
      </c>
      <c r="B63" s="10" t="s">
        <v>2137</v>
      </c>
      <c r="C63" s="10" t="s">
        <v>2138</v>
      </c>
      <c r="D63" s="10" t="s">
        <v>1701</v>
      </c>
      <c r="E63" s="10" t="s">
        <v>2139</v>
      </c>
      <c r="G63" s="6" t="str">
        <f>IFERROR(__xludf.DUMMYFUNCTION("GOOGLETRANSLATE(A63, ""en"", ""id"")"),"62")</f>
        <v>62</v>
      </c>
      <c r="H63" s="6" t="str">
        <f>IFERROR(__xludf.DUMMYFUNCTION("GOOGLETRANSLATE(B63, ""en"", ""id"")"),"Era presiden Indonesia manakah yang bertepatan dengan munculnya Tarung Derajat?")</f>
        <v>Era presiden Indonesia manakah yang bertepatan dengan munculnya Tarung Derajat?</v>
      </c>
      <c r="I63" s="6" t="str">
        <f>IFERROR(__xludf.DUMMYFUNCTION("GOOGLETRANSLATE(C63, ""en"", ""id"")"),"A) Sukarno B) Soeharto C) B.J. Habibie D) Megawati")</f>
        <v>A) Sukarno B) Soeharto C) B.J. Habibie D) Megawati</v>
      </c>
      <c r="J63" s="6" t="str">
        <f>IFERROR(__xludf.DUMMYFUNCTION("GOOGLETRANSLATE(D63, ""en"", ""id"")"),"B) Suharto")</f>
        <v>B) Suharto</v>
      </c>
      <c r="K63" s="6" t="str">
        <f>IFERROR(__xludf.DUMMYFUNCTION("GOOGLETRANSLATE(E63, ""en"", ""id"")"),"Tarung Derajat muncul pada tahun 1970-an, pada masa pemerintahan Orde Baru Suharto, ketika identitas dan disiplin nasional ditekankan.")</f>
        <v>Tarung Derajat muncul pada tahun 1970-an, pada masa pemerintahan Orde Baru Suharto, ketika identitas dan disiplin nasional ditekankan.</v>
      </c>
    </row>
    <row r="64">
      <c r="A64" s="5">
        <v>63.0</v>
      </c>
      <c r="B64" s="10" t="s">
        <v>2140</v>
      </c>
      <c r="C64" s="10" t="s">
        <v>2141</v>
      </c>
      <c r="D64" s="10" t="s">
        <v>2142</v>
      </c>
      <c r="E64" s="10" t="s">
        <v>2143</v>
      </c>
      <c r="G64" s="6" t="str">
        <f>IFERROR(__xludf.DUMMYFUNCTION("GOOGLETRANSLATE(A64, ""en"", ""id"")"),"63")</f>
        <v>63</v>
      </c>
      <c r="H64" s="6" t="str">
        <f>IFERROR(__xludf.DUMMYFUNCTION("GOOGLETRANSLATE(B64, ""en"", ""id"")"),"Sebelum dikenal secara nasional, seni tari Tarung Derajat banyak digeluti oleh golongan manakah?")</f>
        <v>Sebelum dikenal secara nasional, seni tari Tarung Derajat banyak digeluti oleh golongan manakah?</v>
      </c>
      <c r="I64" s="6" t="str">
        <f>IFERROR(__xludf.DUMMYFUNCTION("GOOGLETRANSLATE(C64, ""en"", ""id"")"),"A) Mahasiswa B) Pemuda jalanan C) Perwira militer D) Petani")</f>
        <v>A) Mahasiswa B) Pemuda jalanan C) Perwira militer D) Petani</v>
      </c>
      <c r="J64" s="6" t="str">
        <f>IFERROR(__xludf.DUMMYFUNCTION("GOOGLETRANSLATE(D64, ""en"", ""id"")"),"B) Pemuda jalanan")</f>
        <v>B) Pemuda jalanan</v>
      </c>
      <c r="K64" s="6" t="str">
        <f>IFERROR(__xludf.DUMMYFUNCTION("GOOGLETRANSLATE(E64, ""en"", ""id"")"),"Achmad Dradjat melatih pemuda jalanan Bandung di Tarung Derajat, mengubah pertarungan jalanan menjadi seni bela diri yang terstruktur.")</f>
        <v>Achmad Dradjat melatih pemuda jalanan Bandung di Tarung Derajat, mengubah pertarungan jalanan menjadi seni bela diri yang terstruktur.</v>
      </c>
    </row>
    <row r="65">
      <c r="A65" s="5">
        <v>64.0</v>
      </c>
      <c r="B65" s="10" t="s">
        <v>2144</v>
      </c>
      <c r="C65" s="10" t="s">
        <v>2145</v>
      </c>
      <c r="D65" s="10" t="s">
        <v>2146</v>
      </c>
      <c r="E65" s="10" t="s">
        <v>2147</v>
      </c>
      <c r="G65" s="6" t="str">
        <f>IFERROR(__xludf.DUMMYFUNCTION("GOOGLETRANSLATE(A65, ""en"", ""id"")"),"64")</f>
        <v>64</v>
      </c>
      <c r="H65" s="6" t="str">
        <f>IFERROR(__xludf.DUMMYFUNCTION("GOOGLETRANSLATE(B65, ""en"", ""id"")"),"Apa nama organisasi Tarung Derajat resmi yang pertama?")</f>
        <v>Apa nama organisasi Tarung Derajat resmi yang pertama?</v>
      </c>
      <c r="I65" s="6" t="str">
        <f>IFERROR(__xludf.DUMMYFUNCTION("GOOGLETRANSLATE(C65, ""en"", ""id"")"),"A) Persatuan Tarung B) Keluarga Tarung Derajat C) Perguruan Tarung Derajat D) Ikatan Tarung Derajat Indonesia")</f>
        <v>A) Persatuan Tarung B) Keluarga Tarung Derajat C) Perguruan Tarung Derajat D) Ikatan Tarung Derajat Indonesia</v>
      </c>
      <c r="J65" s="6" t="str">
        <f>IFERROR(__xludf.DUMMYFUNCTION("GOOGLETRANSLATE(D65, ""en"", ""id"")"),"C) Perguruan Tarung Derajat")</f>
        <v>C) Perguruan Tarung Derajat</v>
      </c>
      <c r="K65" s="6" t="str">
        <f>IFERROR(__xludf.DUMMYFUNCTION("GOOGLETRANSLATE(E65, ""en"", ""id"")"),"“Perguruan Tarung Derajat” menjadi lembaga formal pertama yang mengorganisasi dan menstandardisasi olahraga ini.")</f>
        <v>“Perguruan Tarung Derajat” menjadi lembaga formal pertama yang mengorganisasi dan menstandardisasi olahraga ini.</v>
      </c>
    </row>
    <row r="66">
      <c r="A66" s="5">
        <v>65.0</v>
      </c>
      <c r="B66" s="10" t="s">
        <v>2148</v>
      </c>
      <c r="C66" s="10" t="s">
        <v>2149</v>
      </c>
      <c r="D66" s="10" t="s">
        <v>2150</v>
      </c>
      <c r="E66" s="10" t="s">
        <v>2151</v>
      </c>
      <c r="G66" s="6" t="str">
        <f>IFERROR(__xludf.DUMMYFUNCTION("GOOGLETRANSLATE(A66, ""en"", ""id"")"),"65")</f>
        <v>65</v>
      </c>
      <c r="H66" s="6" t="str">
        <f>IFERROR(__xludf.DUMMYFUNCTION("GOOGLETRANSLATE(B66, ""en"", ""id"")"),"Pada dekade manakah Tarung Derajat mulai menyebar ke luar Bandung ke kota-kota lain di Indonesia?")</f>
        <v>Pada dekade manakah Tarung Derajat mulai menyebar ke luar Bandung ke kota-kota lain di Indonesia?</v>
      </c>
      <c r="I66" s="6" t="str">
        <f>IFERROR(__xludf.DUMMYFUNCTION("GOOGLETRANSLATE(C66, ""en"", ""id"")"),"A) Tahun 1970-an B) Tahun 1980-an C) Tahun 1990-an D) Tahun 2000-an")</f>
        <v>A) Tahun 1970-an B) Tahun 1980-an C) Tahun 1990-an D) Tahun 2000-an</v>
      </c>
      <c r="J66" s="6" t="str">
        <f>IFERROR(__xludf.DUMMYFUNCTION("GOOGLETRANSLATE(D66, ""en"", ""id"")"),"B) Tahun 1980-an")</f>
        <v>B) Tahun 1980-an</v>
      </c>
      <c r="K66" s="6" t="str">
        <f>IFERROR(__xludf.DUMMYFUNCTION("GOOGLETRANSLATE(E66, ""en"", ""id"")"),"Dari Bandung, Tarung Derajat berkembang ke kota-kota besar Indonesia pada tahun 1980-an, dan mendapat pengakuan yang lebih luas.")</f>
        <v>Dari Bandung, Tarung Derajat berkembang ke kota-kota besar Indonesia pada tahun 1980-an, dan mendapat pengakuan yang lebih luas.</v>
      </c>
    </row>
    <row r="67">
      <c r="A67" s="5">
        <v>66.0</v>
      </c>
      <c r="B67" s="10" t="s">
        <v>2152</v>
      </c>
      <c r="C67" s="10" t="s">
        <v>2153</v>
      </c>
      <c r="D67" s="10" t="s">
        <v>2154</v>
      </c>
      <c r="E67" s="10" t="s">
        <v>2155</v>
      </c>
      <c r="G67" s="6" t="str">
        <f>IFERROR(__xludf.DUMMYFUNCTION("GOOGLETRANSLATE(A67, ""en"", ""id"")"),"66")</f>
        <v>66</v>
      </c>
      <c r="H67" s="6" t="str">
        <f>IFERROR(__xludf.DUMMYFUNCTION("GOOGLETRANSLATE(B67, ""en"", ""id"")"),"Kementerian Indonesia manakah yang memberikan pengakuan resmi pertama kepada Tarung Derajat?")</f>
        <v>Kementerian Indonesia manakah yang memberikan pengakuan resmi pertama kepada Tarung Derajat?</v>
      </c>
      <c r="I67" s="6" t="str">
        <f>IFERROR(__xludf.DUMMYFUNCTION("GOOGLETRANSLATE(C67, ""en"", ""id"")"),"A) Kementerian Pertahanan B) Kementerian Pendidikan C) Kementerian Pemuda dan Olahraga D) Kementerian Kebudayaan")</f>
        <v>A) Kementerian Pertahanan B) Kementerian Pendidikan C) Kementerian Pemuda dan Olahraga D) Kementerian Kebudayaan</v>
      </c>
      <c r="J67" s="6" t="str">
        <f>IFERROR(__xludf.DUMMYFUNCTION("GOOGLETRANSLATE(D67, ""en"", ""id"")"),"C) Kementerian Pemuda dan Olahraga")</f>
        <v>C) Kementerian Pemuda dan Olahraga</v>
      </c>
      <c r="K67" s="6" t="str">
        <f>IFERROR(__xludf.DUMMYFUNCTION("GOOGLETRANSLATE(E67, ""en"", ""id"")"),"Pada tahun 2001, Kementerian Pemuda dan Olahraga secara resmi mengakui Tarung Derajat sebagai olahraga nasional.")</f>
        <v>Pada tahun 2001, Kementerian Pemuda dan Olahraga secara resmi mengakui Tarung Derajat sebagai olahraga nasional.</v>
      </c>
    </row>
    <row r="68">
      <c r="A68" s="5">
        <v>67.0</v>
      </c>
      <c r="B68" s="10" t="s">
        <v>2156</v>
      </c>
      <c r="C68" s="10" t="s">
        <v>2157</v>
      </c>
      <c r="D68" s="10" t="s">
        <v>1613</v>
      </c>
      <c r="E68" s="10" t="s">
        <v>2158</v>
      </c>
      <c r="G68" s="6" t="str">
        <f>IFERROR(__xludf.DUMMYFUNCTION("GOOGLETRANSLATE(A68, ""en"", ""id"")"),"67")</f>
        <v>67</v>
      </c>
      <c r="H68" s="6" t="str">
        <f>IFERROR(__xludf.DUMMYFUNCTION("GOOGLETRANSLATE(B68, ""en"", ""id"")"),"Seni beladiri tradisional manakah yang awalnya menjadi pesaing Tarung Derajat untuk mendapatkan pengakuan?")</f>
        <v>Seni beladiri tradisional manakah yang awalnya menjadi pesaing Tarung Derajat untuk mendapatkan pengakuan?</v>
      </c>
      <c r="I68" s="6" t="str">
        <f>IFERROR(__xludf.DUMMYFUNCTION("GOOGLETRANSLATE(C68, ""en"", ""id"")"),"A) Pencak Silat B) Karate C) Tae Kwon Do D) Judo")</f>
        <v>A) Pencak Silat B) Karate C) Tae Kwon Do D) Judo</v>
      </c>
      <c r="J68" s="6" t="str">
        <f>IFERROR(__xludf.DUMMYFUNCTION("GOOGLETRANSLATE(D68, ""en"", ""id"")"),"A) Pencak Silat")</f>
        <v>A) Pencak Silat</v>
      </c>
      <c r="K68" s="6" t="str">
        <f>IFERROR(__xludf.DUMMYFUNCTION("GOOGLETRANSLATE(E68, ""en"", ""id"")"),"Sebagai seni bela diri nasional Indonesia, Pencak Silat awalnya membayangi Tarung Derajat sebelum memperoleh pengakuannya sendiri.")</f>
        <v>Sebagai seni bela diri nasional Indonesia, Pencak Silat awalnya membayangi Tarung Derajat sebelum memperoleh pengakuannya sendiri.</v>
      </c>
    </row>
    <row r="69">
      <c r="A69" s="5">
        <v>68.0</v>
      </c>
      <c r="B69" s="10" t="s">
        <v>2159</v>
      </c>
      <c r="C69" s="10" t="s">
        <v>2160</v>
      </c>
      <c r="D69" s="10" t="s">
        <v>2039</v>
      </c>
      <c r="E69" s="10" t="s">
        <v>2161</v>
      </c>
      <c r="G69" s="6" t="str">
        <f>IFERROR(__xludf.DUMMYFUNCTION("GOOGLETRANSLATE(A69, ""en"", ""id"")"),"68")</f>
        <v>68</v>
      </c>
      <c r="H69" s="6" t="str">
        <f>IFERROR(__xludf.DUMMYFUNCTION("GOOGLETRANSLATE(B69, ""en"", ""id"")"),"Pendirian Tarung Derajat secara resmi sebagai bagian dari KONI (Komite Olahraga Nasional Indonesia) berlangsung pada tahun berapa?")</f>
        <v>Pendirian Tarung Derajat secara resmi sebagai bagian dari KONI (Komite Olahraga Nasional Indonesia) berlangsung pada tahun berapa?</v>
      </c>
      <c r="I69" s="6" t="str">
        <f>IFERROR(__xludf.DUMMYFUNCTION("GOOGLETRANSLATE(C69, ""en"", ""id"")"),"A) Tahun 1985 B) Tahun 1990 C) Tahun 1998 D) Tahun 2001")</f>
        <v>A) Tahun 1985 B) Tahun 1990 C) Tahun 1998 D) Tahun 2001</v>
      </c>
      <c r="J69" s="6" t="str">
        <f>IFERROR(__xludf.DUMMYFUNCTION("GOOGLETRANSLATE(D69, ""en"", ""id"")"),"C) Tahun 1998")</f>
        <v>C) Tahun 1998</v>
      </c>
      <c r="K69" s="6" t="str">
        <f>IFERROR(__xludf.DUMMYFUNCTION("GOOGLETRANSLATE(E69, ""en"", ""id"")"),"Tarung Derajat menjadi bagian dari KONI pada tahun 1998, mengukuhkan tempatnya dalam sejarah olahraga Indonesia.")</f>
        <v>Tarung Derajat menjadi bagian dari KONI pada tahun 1998, mengukuhkan tempatnya dalam sejarah olahraga Indonesia.</v>
      </c>
    </row>
    <row r="70">
      <c r="A70" s="5">
        <v>69.0</v>
      </c>
      <c r="B70" s="10" t="s">
        <v>2162</v>
      </c>
      <c r="C70" s="10" t="s">
        <v>2163</v>
      </c>
      <c r="D70" s="10" t="s">
        <v>2164</v>
      </c>
      <c r="E70" s="10" t="s">
        <v>2165</v>
      </c>
      <c r="G70" s="6" t="str">
        <f>IFERROR(__xludf.DUMMYFUNCTION("GOOGLETRANSLATE(A70, ""en"", ""id"")"),"69")</f>
        <v>69</v>
      </c>
      <c r="H70" s="6" t="str">
        <f>IFERROR(__xludf.DUMMYFUNCTION("GOOGLETRANSLATE(B70, ""en"", ""id"")"),"Peristiwa besar Indonesia apa pada tahun 2011 yang menandai debut internasional Tarung Derajat?")</f>
        <v>Peristiwa besar Indonesia apa pada tahun 2011 yang menandai debut internasional Tarung Derajat?</v>
      </c>
      <c r="I70" s="6" t="str">
        <f>IFERROR(__xludf.DUMMYFUNCTION("GOOGLETRANSLATE(C70, ""en"", ""id"")"),"A) Festival Seni Bela Diri Bali B) SEA Games C) Asian Games D) Ekspo Bela Negara")</f>
        <v>A) Festival Seni Bela Diri Bali B) SEA Games C) Asian Games D) Ekspo Bela Negara</v>
      </c>
      <c r="J70" s="6" t="str">
        <f>IFERROR(__xludf.DUMMYFUNCTION("GOOGLETRANSLATE(D70, ""en"", ""id"")"),"B) SEA Games")</f>
        <v>B) SEA Games</v>
      </c>
      <c r="K70" s="6" t="str">
        <f>IFERROR(__xludf.DUMMYFUNCTION("GOOGLETRANSLATE(E70, ""en"", ""id"")"),"SEA Games 2011 di Indonesia memasukkan Tarung Derajat sebagai cabang olahraga kompetitif resmi.")</f>
        <v>SEA Games 2011 di Indonesia memasukkan Tarung Derajat sebagai cabang olahraga kompetitif resmi.</v>
      </c>
    </row>
    <row r="71">
      <c r="A71" s="5">
        <v>70.0</v>
      </c>
      <c r="B71" s="10" t="s">
        <v>2166</v>
      </c>
      <c r="C71" s="10" t="s">
        <v>2167</v>
      </c>
      <c r="D71" s="10" t="s">
        <v>2168</v>
      </c>
      <c r="E71" s="10" t="s">
        <v>2169</v>
      </c>
      <c r="G71" s="6" t="str">
        <f>IFERROR(__xludf.DUMMYFUNCTION("GOOGLETRANSLATE(A71, ""en"", ""id"")"),"70")</f>
        <v>70</v>
      </c>
      <c r="H71" s="6" t="str">
        <f>IFERROR(__xludf.DUMMYFUNCTION("GOOGLETRANSLATE(B71, ""en"", ""id"")"),"Dimasukkannya Tarung Derajat dalam SEA Games menyoroti upaya Indonesia untuk menampilkan _______-nya.")</f>
        <v>Dimasukkannya Tarung Derajat dalam SEA Games menyoroti upaya Indonesia untuk menampilkan _______-nya.</v>
      </c>
      <c r="I71" s="6" t="str">
        <f>IFERROR(__xludf.DUMMYFUNCTION("GOOGLETRANSLATE(C71, ""en"", ""id"")"),"A) Disiplin militer B) Pertumbuhan ekonomi C) Identitas budaya D) Industri pariwisata")</f>
        <v>A) Disiplin militer B) Pertumbuhan ekonomi C) Identitas budaya D) Industri pariwisata</v>
      </c>
      <c r="J71" s="6" t="str">
        <f>IFERROR(__xludf.DUMMYFUNCTION("GOOGLETRANSLATE(D71, ""en"", ""id"")"),"C) Identitas budaya")</f>
        <v>C) Identitas budaya</v>
      </c>
      <c r="K71" s="6" t="str">
        <f>IFERROR(__xludf.DUMMYFUNCTION("GOOGLETRANSLATE(E71, ""en"", ""id"")"),"Dengan menampilkan Tarung Derajat, Indonesia mempromosikan warisan beladiri uniknya secara internasional.")</f>
        <v>Dengan menampilkan Tarung Derajat, Indonesia mempromosikan warisan beladiri uniknya secara internasional.</v>
      </c>
    </row>
    <row r="72">
      <c r="A72" s="5">
        <v>71.0</v>
      </c>
      <c r="B72" s="10" t="s">
        <v>2170</v>
      </c>
      <c r="C72" s="10" t="s">
        <v>2171</v>
      </c>
      <c r="D72" s="10" t="s">
        <v>2172</v>
      </c>
      <c r="E72" s="10" t="s">
        <v>2173</v>
      </c>
      <c r="G72" s="6" t="str">
        <f>IFERROR(__xludf.DUMMYFUNCTION("GOOGLETRANSLATE(A72, ""en"", ""id"")"),"71")</f>
        <v>71</v>
      </c>
      <c r="H72" s="6" t="str">
        <f>IFERROR(__xludf.DUMMYFUNCTION("GOOGLETRANSLATE(B72, ""en"", ""id"")"),"Apa peran budaya urban Bandung dalam pembentukan Tarung Derajat?")</f>
        <v>Apa peran budaya urban Bandung dalam pembentukan Tarung Derajat?</v>
      </c>
      <c r="I72" s="6" t="str">
        <f>IFERROR(__xludf.DUMMYFUNCTION("GOOGLETRANSLATE(C72, ""en"", ""id"")"),"A) Menyediakan arena pertarungan B) Mempengaruhi ritme dan gerakan C) Mengungkap kekerasan jalanan D) Membentuk ritual seremonial")</f>
        <v>A) Menyediakan arena pertarungan B) Mempengaruhi ritme dan gerakan C) Mengungkap kekerasan jalanan D) Membentuk ritual seremonial</v>
      </c>
      <c r="J72" s="6" t="str">
        <f>IFERROR(__xludf.DUMMYFUNCTION("GOOGLETRANSLATE(D72, ""en"", ""id"")"),"C) Mengungkap kekerasan jalanan")</f>
        <v>C) Mengungkap kekerasan jalanan</v>
      </c>
      <c r="K72" s="6" t="str">
        <f>IFERROR(__xludf.DUMMYFUNCTION("GOOGLETRANSLATE(E72, ""en"", ""id"")"),"Kekerasan yang terjadi di jalanan Bandung pada tahun 1970an mendorong Achmad Dradjat meresmikan Tarung Derajat sebagai bela diri.")</f>
        <v>Kekerasan yang terjadi di jalanan Bandung pada tahun 1970an mendorong Achmad Dradjat meresmikan Tarung Derajat sebagai bela diri.</v>
      </c>
    </row>
    <row r="73">
      <c r="A73" s="5">
        <v>72.0</v>
      </c>
      <c r="B73" s="10" t="s">
        <v>2174</v>
      </c>
      <c r="C73" s="10" t="s">
        <v>2175</v>
      </c>
      <c r="D73" s="10" t="s">
        <v>2176</v>
      </c>
      <c r="E73" s="10" t="s">
        <v>2177</v>
      </c>
      <c r="G73" s="6" t="str">
        <f>IFERROR(__xludf.DUMMYFUNCTION("GOOGLETRANSLATE(A73, ""en"", ""id"")"),"72")</f>
        <v>72</v>
      </c>
      <c r="H73" s="6" t="str">
        <f>IFERROR(__xludf.DUMMYFUNCTION("GOOGLETRANSLATE(B73, ""en"", ""id"")"),"Manakah dari berikut ini yang paling menggambarkan asal usul sejarah Tarung Derajat?")</f>
        <v>Manakah dari berikut ini yang paling menggambarkan asal usul sejarah Tarung Derajat?</v>
      </c>
      <c r="I73" s="6" t="str">
        <f>IFERROR(__xludf.DUMMYFUNCTION("GOOGLETRANSLATE(C73, ""en"", ""id"")"),"A) Kebangkitan seni beladiri kuno B) Perpaduan sistem asing dan lokal C) Kodifikasi pertarungan jalanan D) Seni beladiri kerajaan tradisional")</f>
        <v>A) Kebangkitan seni beladiri kuno B) Perpaduan sistem asing dan lokal C) Kodifikasi pertarungan jalanan D) Seni beladiri kerajaan tradisional</v>
      </c>
      <c r="J73" s="6" t="str">
        <f>IFERROR(__xludf.DUMMYFUNCTION("GOOGLETRANSLATE(D73, ""en"", ""id"")"),"C) Kodifikasi perkelahian jalanan")</f>
        <v>C) Kodifikasi perkelahian jalanan</v>
      </c>
      <c r="K73" s="6" t="str">
        <f>IFERROR(__xludf.DUMMYFUNCTION("GOOGLETRANSLATE(E73, ""en"", ""id"")"),"Berbeda dengan Pencak Silat, Tarung Derajat muncul dari pertarungan jalanan yang dikodifikasikan menjadi seni bela diri formal.")</f>
        <v>Berbeda dengan Pencak Silat, Tarung Derajat muncul dari pertarungan jalanan yang dikodifikasikan menjadi seni bela diri formal.</v>
      </c>
    </row>
    <row r="74">
      <c r="A74" s="5">
        <v>73.0</v>
      </c>
      <c r="B74" s="10" t="s">
        <v>2178</v>
      </c>
      <c r="C74" s="10" t="s">
        <v>2179</v>
      </c>
      <c r="D74" s="10" t="s">
        <v>2180</v>
      </c>
      <c r="E74" s="10" t="s">
        <v>2181</v>
      </c>
      <c r="G74" s="6" t="str">
        <f>IFERROR(__xludf.DUMMYFUNCTION("GOOGLETRANSLATE(A74, ""en"", ""id"")"),"73")</f>
        <v>73</v>
      </c>
      <c r="H74" s="6" t="str">
        <f>IFERROR(__xludf.DUMMYFUNCTION("GOOGLETRANSLATE(B74, ""en"", ""id"")"),"Ketika Achmad Dradjat mencari pengakuan, kualitas Tarung Derajat yang mana yang paling menarik perhatian Angkatan Darat Indonesia?")</f>
        <v>Ketika Achmad Dradjat mencari pengakuan, kualitas Tarung Derajat yang mana yang paling menarik perhatian Angkatan Darat Indonesia?</v>
      </c>
      <c r="I74" s="6" t="str">
        <f>IFERROR(__xludf.DUMMYFUNCTION("GOOGLETRANSLATE(C74, ""en"", ""id"")"),"A) Disiplin ritual B) Bela diri praktis C) Meditasi spiritual D) Simbolisme budaya")</f>
        <v>A) Disiplin ritual B) Bela diri praktis C) Meditasi spiritual D) Simbolisme budaya</v>
      </c>
      <c r="J74" s="6" t="str">
        <f>IFERROR(__xludf.DUMMYFUNCTION("GOOGLETRANSLATE(D74, ""en"", ""id"")"),"B) Bela diri praktis")</f>
        <v>B) Bela diri praktis</v>
      </c>
      <c r="K74" s="6" t="str">
        <f>IFERROR(__xludf.DUMMYFUNCTION("GOOGLETRANSLATE(E74, ""en"", ""id"")"),"Penerapannya dalam pertempuran sesungguhnya membuat TNI AD mengadopsi Tarung Derajat ke dalam latihan.")</f>
        <v>Penerapannya dalam pertempuran sesungguhnya membuat TNI AD mengadopsi Tarung Derajat ke dalam latihan.</v>
      </c>
    </row>
    <row r="75">
      <c r="A75" s="5">
        <v>74.0</v>
      </c>
      <c r="B75" s="10" t="s">
        <v>2182</v>
      </c>
      <c r="C75" s="10" t="s">
        <v>2183</v>
      </c>
      <c r="D75" s="10" t="s">
        <v>1641</v>
      </c>
      <c r="E75" s="10" t="s">
        <v>2184</v>
      </c>
      <c r="G75" s="6" t="str">
        <f>IFERROR(__xludf.DUMMYFUNCTION("GOOGLETRANSLATE(A75, ""en"", ""id"")"),"74")</f>
        <v>74</v>
      </c>
      <c r="H75" s="6" t="str">
        <f>IFERROR(__xludf.DUMMYFUNCTION("GOOGLETRANSLATE(B75, ""en"", ""id"")"),"Kota manakah di Indonesia yang menjadi kantor pusat organisasi Tarung Derajat?")</f>
        <v>Kota manakah di Indonesia yang menjadi kantor pusat organisasi Tarung Derajat?</v>
      </c>
      <c r="I75" s="6" t="str">
        <f>IFERROR(__xludf.DUMMYFUNCTION("GOOGLETRANSLATE(C75, ""en"", ""id"")"),"A) Jakarta B) Bandung C) Surabaya D) Medan")</f>
        <v>A) Jakarta B) Bandung C) Surabaya D) Medan</v>
      </c>
      <c r="J75" s="6" t="str">
        <f>IFERROR(__xludf.DUMMYFUNCTION("GOOGLETRANSLATE(D75, ""en"", ""id"")"),"B) Bandung")</f>
        <v>B) Bandung</v>
      </c>
      <c r="K75" s="6" t="str">
        <f>IFERROR(__xludf.DUMMYFUNCTION("GOOGLETRANSLATE(E75, ""en"", ""id"")"),"Bandung tidak hanya melahirkan Tarung Derajat tetapi juga menjadi pusat pemerintahan bagi lembaga-lembaganya.")</f>
        <v>Bandung tidak hanya melahirkan Tarung Derajat tetapi juga menjadi pusat pemerintahan bagi lembaga-lembaganya.</v>
      </c>
    </row>
    <row r="76">
      <c r="A76" s="5">
        <v>75.0</v>
      </c>
      <c r="B76" s="10" t="s">
        <v>2185</v>
      </c>
      <c r="C76" s="10" t="s">
        <v>2186</v>
      </c>
      <c r="D76" s="10" t="s">
        <v>2187</v>
      </c>
      <c r="E76" s="10" t="s">
        <v>2188</v>
      </c>
      <c r="G76" s="6" t="str">
        <f>IFERROR(__xludf.DUMMYFUNCTION("GOOGLETRANSLATE(A76, ""en"", ""id"")"),"75")</f>
        <v>75</v>
      </c>
      <c r="H76" s="6" t="str">
        <f>IFERROR(__xludf.DUMMYFUNCTION("GOOGLETRANSLATE(B76, ""en"", ""id"")"),"Reformasi kebijakan olahraga manakah di Indonesia yang mempercepat adopsi Tarung Derajat secara nasional?")</f>
        <v>Reformasi kebijakan olahraga manakah di Indonesia yang mempercepat adopsi Tarung Derajat secara nasional?</v>
      </c>
      <c r="I76" s="6" t="str">
        <f>IFERROR(__xludf.DUMMYFUNCTION("GOOGLETRANSLATE(C76, ""en"", ""id"")"),"A) Program Pemekaran KONI B) Reformasi Pekan Olahraga Nasional C) Pembinaan Pencak Silat Orde Baru D) Beasiswa Kementerian")</f>
        <v>A) Program Pemekaran KONI B) Reformasi Pekan Olahraga Nasional C) Pembinaan Pencak Silat Orde Baru D) Beasiswa Kementerian</v>
      </c>
      <c r="J76" s="6" t="str">
        <f>IFERROR(__xludf.DUMMYFUNCTION("GOOGLETRANSLATE(D76, ""en"", ""id"")"),"A) Program perluasan KONI")</f>
        <v>A) Program perluasan KONI</v>
      </c>
      <c r="K76" s="6" t="str">
        <f>IFERROR(__xludf.DUMMYFUNCTION("GOOGLETRANSLATE(E76, ""en"", ""id"")"),"Inisiatif perluasan KONI pada akhir tahun 1990-an memberi ruang bagi masuknya Tarung Derajat.")</f>
        <v>Inisiatif perluasan KONI pada akhir tahun 1990-an memberi ruang bagi masuknya Tarung Derajat.</v>
      </c>
    </row>
    <row r="77">
      <c r="A77" s="5">
        <v>76.0</v>
      </c>
      <c r="B77" s="10" t="s">
        <v>2189</v>
      </c>
      <c r="C77" s="10" t="s">
        <v>2190</v>
      </c>
      <c r="D77" s="10" t="s">
        <v>2191</v>
      </c>
      <c r="E77" s="10" t="s">
        <v>2192</v>
      </c>
      <c r="G77" s="6" t="str">
        <f>IFERROR(__xludf.DUMMYFUNCTION("GOOGLETRANSLATE(A77, ""en"", ""id"")"),"76")</f>
        <v>76</v>
      </c>
      <c r="H77" s="6" t="str">
        <f>IFERROR(__xludf.DUMMYFUNCTION("GOOGLETRANSLATE(B77, ""en"", ""id"")"),"Pada era manakah Tarung Derajat menjadi simbol pemberdayaan pemuda Indonesia?")</f>
        <v>Pada era manakah Tarung Derajat menjadi simbol pemberdayaan pemuda Indonesia?</v>
      </c>
      <c r="I77" s="6" t="str">
        <f>IFERROR(__xludf.DUMMYFUNCTION("GOOGLETRANSLATE(C77, ""en"", ""id"")"),"A) Tahun 1960-an B) Tahun 1970-an–80-an C) Tahun 1990-an D) Tahun 2000-an")</f>
        <v>A) Tahun 1960-an B) Tahun 1970-an–80-an C) Tahun 1990-an D) Tahun 2000-an</v>
      </c>
      <c r="J77" s="6" t="str">
        <f>IFERROR(__xludf.DUMMYFUNCTION("GOOGLETRANSLATE(D77, ""en"", ""id"")"),"B) Tahun 1970-an–80-an")</f>
        <v>B) Tahun 1970-an–80-an</v>
      </c>
      <c r="K77" s="6" t="str">
        <f>IFERROR(__xludf.DUMMYFUNCTION("GOOGLETRANSLATE(E77, ""en"", ""id"")"),"Tarung Derajat melambangkan pemberdayaan pemuda selama penyebarannya pada tahun 70-an dan 80-an.")</f>
        <v>Tarung Derajat melambangkan pemberdayaan pemuda selama penyebarannya pada tahun 70-an dan 80-an.</v>
      </c>
    </row>
    <row r="78">
      <c r="A78" s="5">
        <v>77.0</v>
      </c>
      <c r="B78" s="10" t="s">
        <v>2193</v>
      </c>
      <c r="C78" s="10" t="s">
        <v>2194</v>
      </c>
      <c r="D78" s="10" t="s">
        <v>2195</v>
      </c>
      <c r="E78" s="10" t="s">
        <v>2196</v>
      </c>
      <c r="G78" s="6" t="str">
        <f>IFERROR(__xludf.DUMMYFUNCTION("GOOGLETRANSLATE(A78, ""en"", ""id"")"),"77")</f>
        <v>77</v>
      </c>
      <c r="H78" s="6" t="str">
        <f>IFERROR(__xludf.DUMMYFUNCTION("GOOGLETRANSLATE(B78, ""en"", ""id"")"),"Pengakuan Tarung Derajat pada tahun 1998 bertepatan dengan peristiwa besar apa dalam sejarah Indonesia?")</f>
        <v>Pengakuan Tarung Derajat pada tahun 1998 bertepatan dengan peristiwa besar apa dalam sejarah Indonesia?</v>
      </c>
      <c r="I78" s="6" t="str">
        <f>IFERROR(__xludf.DUMMYFUNCTION("GOOGLETRANSLATE(C78, ""en"", ""id"")"),"A) Jatuhnya Suharto B) Asian Games C) Bom Bali D) Undang-Undang Reformasi Pendidikan")</f>
        <v>A) Jatuhnya Suharto B) Asian Games C) Bom Bali D) Undang-Undang Reformasi Pendidikan</v>
      </c>
      <c r="J78" s="6" t="str">
        <f>IFERROR(__xludf.DUMMYFUNCTION("GOOGLETRANSLATE(D78, ""en"", ""id"")"),"A) Jatuhnya Suharto")</f>
        <v>A) Jatuhnya Suharto</v>
      </c>
      <c r="K78" s="6" t="str">
        <f>IFERROR(__xludf.DUMMYFUNCTION("GOOGLETRANSLATE(E78, ""en"", ""id"")"),"Pengakuan Tarung Derajat bertepatan dengan transisi politik Indonesia pasca jatuhnya Suharto.")</f>
        <v>Pengakuan Tarung Derajat bertepatan dengan transisi politik Indonesia pasca jatuhnya Suharto.</v>
      </c>
    </row>
    <row r="79">
      <c r="A79" s="5">
        <v>78.0</v>
      </c>
      <c r="B79" s="10" t="s">
        <v>2197</v>
      </c>
      <c r="C79" s="10" t="s">
        <v>2198</v>
      </c>
      <c r="D79" s="10" t="s">
        <v>2199</v>
      </c>
      <c r="E79" s="10" t="s">
        <v>2200</v>
      </c>
      <c r="G79" s="6" t="str">
        <f>IFERROR(__xludf.DUMMYFUNCTION("GOOGLETRANSLATE(A79, ""en"", ""id"")"),"78")</f>
        <v>78</v>
      </c>
      <c r="H79" s="6" t="str">
        <f>IFERROR(__xludf.DUMMYFUNCTION("GOOGLETRANSLATE(B79, ""en"", ""id"")"),"Siapa saja yang berperan penting dalam melobi masuknya Tarung Derajat ke KONI?")</f>
        <v>Siapa saja yang berperan penting dalam melobi masuknya Tarung Derajat ke KONI?</v>
      </c>
      <c r="I79" s="6" t="str">
        <f>IFERROR(__xludf.DUMMYFUNCTION("GOOGLETRANSLATE(C79, ""en"", ""id"")"),"A) Jenderal TNI Angkatan Darat B) Pejabat Kota Bandung C) Aktivis Pemuda D) Achmad Dradjat sendiri")</f>
        <v>A) Jenderal TNI Angkatan Darat B) Pejabat Kota Bandung C) Aktivis Pemuda D) Achmad Dradjat sendiri</v>
      </c>
      <c r="J79" s="6" t="str">
        <f>IFERROR(__xludf.DUMMYFUNCTION("GOOGLETRANSLATE(D79, ""en"", ""id"")"),"D) Achmad Dradjat sendiri")</f>
        <v>D) Achmad Dradjat sendiri</v>
      </c>
      <c r="K79" s="6" t="str">
        <f>IFERROR(__xludf.DUMMYFUNCTION("GOOGLETRANSLATE(E79, ""en"", ""id"")"),"Pendiri Achmad Dradjat langsung melakukan lobi untuk mendapatkan pengakuan resmi Tarung Derajat.")</f>
        <v>Pendiri Achmad Dradjat langsung melakukan lobi untuk mendapatkan pengakuan resmi Tarung Derajat.</v>
      </c>
    </row>
    <row r="80">
      <c r="A80" s="5">
        <v>79.0</v>
      </c>
      <c r="B80" s="10" t="s">
        <v>2201</v>
      </c>
      <c r="C80" s="10" t="s">
        <v>2202</v>
      </c>
      <c r="D80" s="10" t="s">
        <v>2203</v>
      </c>
      <c r="E80" s="10" t="s">
        <v>2204</v>
      </c>
      <c r="G80" s="6" t="str">
        <f>IFERROR(__xludf.DUMMYFUNCTION("GOOGLETRANSLATE(A80, ""en"", ""id"")"),"79")</f>
        <v>79</v>
      </c>
      <c r="H80" s="6" t="str">
        <f>IFERROR(__xludf.DUMMYFUNCTION("GOOGLETRANSLATE(B80, ""en"", ""id"")"),"Dokumen kebijakan olahraga Indonesia manakah yang pertama kali mencantumkan Tarung Derajat sebagai seni bela diri nasional?")</f>
        <v>Dokumen kebijakan olahraga Indonesia manakah yang pertama kali mencantumkan Tarung Derajat sebagai seni bela diri nasional?</v>
      </c>
      <c r="I80" s="6" t="str">
        <f>IFERROR(__xludf.DUMMYFUNCTION("GOOGLETRANSLATE(C80, ""en"", ""id"")"),"A) Garis Besar Haluan Negara B) Cetak Biru Olahraga Nasional C) Piagam Tahunan KONI D) Laporan Pembangunan Pemuda")</f>
        <v>A) Garis Besar Haluan Negara B) Cetak Biru Olahraga Nasional C) Piagam Tahunan KONI D) Laporan Pembangunan Pemuda</v>
      </c>
      <c r="J80" s="6" t="str">
        <f>IFERROR(__xludf.DUMMYFUNCTION("GOOGLETRANSLATE(D80, ""en"", ""id"")"),"C) Piagam Tahunan KONI")</f>
        <v>C) Piagam Tahunan KONI</v>
      </c>
      <c r="K80" s="6" t="str">
        <f>IFERROR(__xludf.DUMMYFUNCTION("GOOGLETRANSLATE(E80, ""en"", ""id"")"),"Piagam KONI tahun 1998 secara resmi mencantumkan Tarung Derajat sebagai bagian dari olahraga yang diakui Indonesia.")</f>
        <v>Piagam KONI tahun 1998 secara resmi mencantumkan Tarung Derajat sebagai bagian dari olahraga yang diakui Indonesia.</v>
      </c>
    </row>
    <row r="81">
      <c r="A81" s="5">
        <v>80.0</v>
      </c>
      <c r="B81" s="10" t="s">
        <v>2205</v>
      </c>
      <c r="C81" s="10" t="s">
        <v>2206</v>
      </c>
      <c r="D81" s="10" t="s">
        <v>2207</v>
      </c>
      <c r="E81" s="10" t="s">
        <v>2208</v>
      </c>
      <c r="G81" s="6" t="str">
        <f>IFERROR(__xludf.DUMMYFUNCTION("GOOGLETRANSLATE(A81, ""en"", ""id"")"),"80")</f>
        <v>80</v>
      </c>
      <c r="H81" s="6" t="str">
        <f>IFERROR(__xludf.DUMMYFUNCTION("GOOGLETRANSLATE(B81, ""en"", ""id"")"),"Komunitas seni bela diri Asia manakah yang pertama kali mengenal Tarung Derajat setelah debutnya di SEA Games?")</f>
        <v>Komunitas seni bela diri Asia manakah yang pertama kali mengenal Tarung Derajat setelah debutnya di SEA Games?</v>
      </c>
      <c r="I81" s="6" t="str">
        <f>IFERROR(__xludf.DUMMYFUNCTION("GOOGLETRANSLATE(C81, ""en"", ""id"")"),"A) Dewan Seni Bela Diri ASEAN B) Federasi Seni Bela Diri Asia C) Dewan Olahraga Asia Tenggara D) Asosiasi Seni Bela Diri Asia Timur")</f>
        <v>A) Dewan Seni Bela Diri ASEAN B) Federasi Seni Bela Diri Asia C) Dewan Olahraga Asia Tenggara D) Asosiasi Seni Bela Diri Asia Timur</v>
      </c>
      <c r="J81" s="6" t="str">
        <f>IFERROR(__xludf.DUMMYFUNCTION("GOOGLETRANSLATE(D81, ""en"", ""id"")"),"C) Dewan Olahraga Asia Tenggara")</f>
        <v>C) Dewan Olahraga Asia Tenggara</v>
      </c>
      <c r="K81" s="6" t="str">
        <f>IFERROR(__xludf.DUMMYFUNCTION("GOOGLETRANSLATE(E81, ""en"", ""id"")"),"Dewan Olahraga SEA mengakui legitimasi Tarung Derajat setelah diikutsertakannya dalam SEA Games 2011.")</f>
        <v>Dewan Olahraga SEA mengakui legitimasi Tarung Derajat setelah diikutsertakannya dalam SEA Games 2011.</v>
      </c>
    </row>
    <row r="82">
      <c r="A82" s="5">
        <v>81.0</v>
      </c>
      <c r="B82" s="10" t="s">
        <v>2209</v>
      </c>
      <c r="C82" s="10" t="s">
        <v>2210</v>
      </c>
      <c r="D82" s="10" t="s">
        <v>157</v>
      </c>
      <c r="E82" s="10" t="s">
        <v>2211</v>
      </c>
      <c r="G82" s="6" t="str">
        <f>IFERROR(__xludf.DUMMYFUNCTION("GOOGLETRANSLATE(A82, ""en"", ""id"")"),"81")</f>
        <v>81</v>
      </c>
      <c r="H82" s="6" t="str">
        <f>IFERROR(__xludf.DUMMYFUNCTION("GOOGLETRANSLATE(B82, ""en"", ""id"")"),"Pada tahun berapakah Federasi Tarung Derajat (KODRAT) resmi terbentuk?")</f>
        <v>Pada tahun berapakah Federasi Tarung Derajat (KODRAT) resmi terbentuk?</v>
      </c>
      <c r="I82" s="6" t="str">
        <f>IFERROR(__xludf.DUMMYFUNCTION("GOOGLETRANSLATE(C82, ""en"", ""id"")"),"A) Tahun 1996 B) Tahun 1998 C) Tahun 2000 D) Tahun 2002")</f>
        <v>A) Tahun 1996 B) Tahun 1998 C) Tahun 2000 D) Tahun 2002</v>
      </c>
      <c r="J82" s="6" t="str">
        <f>IFERROR(__xludf.DUMMYFUNCTION("GOOGLETRANSLATE(D82, ""en"", ""id"")"),"B) Tahun 1998")</f>
        <v>B) Tahun 1998</v>
      </c>
      <c r="K82" s="6" t="str">
        <f>IFERROR(__xludf.DUMMYFUNCTION("GOOGLETRANSLATE(E82, ""en"", ""id"")"),"KODRAT (Komite Olahraga Tarung Derajat) didirikan pada tahun 1998, menyatukan struktur organisasi Tarung Derajat secara nasional.")</f>
        <v>KODRAT (Komite Olahraga Tarung Derajat) didirikan pada tahun 1998, menyatukan struktur organisasi Tarung Derajat secara nasional.</v>
      </c>
    </row>
    <row r="83">
      <c r="A83" s="5">
        <v>82.0</v>
      </c>
      <c r="B83" s="10" t="s">
        <v>2212</v>
      </c>
      <c r="C83" s="10" t="s">
        <v>2213</v>
      </c>
      <c r="D83" s="10" t="s">
        <v>2214</v>
      </c>
      <c r="E83" s="10" t="s">
        <v>2215</v>
      </c>
      <c r="G83" s="6" t="str">
        <f>IFERROR(__xludf.DUMMYFUNCTION("GOOGLETRANSLATE(A83, ""en"", ""id"")"),"82")</f>
        <v>82</v>
      </c>
      <c r="H83" s="6" t="str">
        <f>IFERROR(__xludf.DUMMYFUNCTION("GOOGLETRANSLATE(B83, ""en"", ""id"")"),"Berdirinya KODRAT bertepatan dengan periode sejarah Indonesia yang mana?")</f>
        <v>Berdirinya KODRAT bertepatan dengan periode sejarah Indonesia yang mana?</v>
      </c>
      <c r="I83" s="6" t="str">
        <f>IFERROR(__xludf.DUMMYFUNCTION("GOOGLETRANSLATE(C83, ""en"", ""id"")"),"A) Demokrasi Terpimpin B) Era Reformasi C) Orde Lama D) Era Ledakan Ekonomi")</f>
        <v>A) Demokrasi Terpimpin B) Era Reformasi C) Orde Lama D) Era Ledakan Ekonomi</v>
      </c>
      <c r="J83" s="6" t="str">
        <f>IFERROR(__xludf.DUMMYFUNCTION("GOOGLETRANSLATE(D83, ""en"", ""id"")"),"B) Era Reformasi")</f>
        <v>B) Era Reformasi</v>
      </c>
      <c r="K83" s="6" t="str">
        <f>IFERROR(__xludf.DUMMYFUNCTION("GOOGLETRANSLATE(E83, ""en"", ""id"")"),"Kelahiran KODRAT pada tahun 1998 bertepatan dengan masa Reformasi pasca lengsernya Suharto, yang melambangkan kebebasan baru.")</f>
        <v>Kelahiran KODRAT pada tahun 1998 bertepatan dengan masa Reformasi pasca lengsernya Suharto, yang melambangkan kebebasan baru.</v>
      </c>
    </row>
    <row r="84">
      <c r="A84" s="5">
        <v>83.0</v>
      </c>
      <c r="B84" s="10" t="s">
        <v>2216</v>
      </c>
      <c r="C84" s="10" t="s">
        <v>2217</v>
      </c>
      <c r="D84" s="10" t="s">
        <v>2019</v>
      </c>
      <c r="E84" s="10" t="s">
        <v>2218</v>
      </c>
      <c r="G84" s="6" t="str">
        <f>IFERROR(__xludf.DUMMYFUNCTION("GOOGLETRANSLATE(A84, ""en"", ""id"")"),"83")</f>
        <v>83</v>
      </c>
      <c r="H84" s="6" t="str">
        <f>IFERROR(__xludf.DUMMYFUNCTION("GOOGLETRANSLATE(B84, ""en"", ""id"")"),"Siapakah yang menjabat sebagai ketua pertama KODRAT?")</f>
        <v>Siapakah yang menjabat sebagai ketua pertama KODRAT?</v>
      </c>
      <c r="I84" s="6" t="str">
        <f>IFERROR(__xludf.DUMMYFUNCTION("GOOGLETRANSLATE(C84, ""en"", ""id"")"),"A) Achmad Dradjat B) Iwan Dradjat C) Brigjen Rudi D) Bambang Gunawan")</f>
        <v>A) Achmad Dradjat B) Iwan Dradjat C) Brigjen Rudi D) Bambang Gunawan</v>
      </c>
      <c r="J84" s="6" t="str">
        <f>IFERROR(__xludf.DUMMYFUNCTION("GOOGLETRANSLATE(D84, ""en"", ""id"")"),"A) Achmad Dradjat")</f>
        <v>A) Achmad Dradjat</v>
      </c>
      <c r="K84" s="6" t="str">
        <f>IFERROR(__xludf.DUMMYFUNCTION("GOOGLETRANSLATE(E84, ""en"", ""id"")"),"Pendiri Achmad Dradjat sendiri menjadi pemimpin pertama KODRAT yang menjamin kesinambungan visi.")</f>
        <v>Pendiri Achmad Dradjat sendiri menjadi pemimpin pertama KODRAT yang menjamin kesinambungan visi.</v>
      </c>
    </row>
    <row r="85">
      <c r="A85" s="5">
        <v>84.0</v>
      </c>
      <c r="B85" s="10" t="s">
        <v>2219</v>
      </c>
      <c r="C85" s="10" t="s">
        <v>2220</v>
      </c>
      <c r="D85" s="10" t="s">
        <v>2221</v>
      </c>
      <c r="E85" s="10" t="s">
        <v>2222</v>
      </c>
      <c r="G85" s="6" t="str">
        <f>IFERROR(__xludf.DUMMYFUNCTION("GOOGLETRANSLATE(A85, ""en"", ""id"")"),"84")</f>
        <v>84</v>
      </c>
      <c r="H85" s="6" t="str">
        <f>IFERROR(__xludf.DUMMYFUNCTION("GOOGLETRANSLATE(B85, ""en"", ""id"")"),"Pekan Olahraga Nasional (PON) Indonesia yang mana yang pertama kali mengikutsertakan Tarung Derajat?")</f>
        <v>Pekan Olahraga Nasional (PON) Indonesia yang mana yang pertama kali mengikutsertakan Tarung Derajat?</v>
      </c>
      <c r="I85" s="6" t="str">
        <f>IFERROR(__xludf.DUMMYFUNCTION("GOOGLETRANSLATE(C85, ""en"", ""id"")"),"A) PON XV B) PON XVI C) PON XVII D) PON XVIII")</f>
        <v>A) PON XV B) PON XVI C) PON XVII D) PON XVIII</v>
      </c>
      <c r="J85" s="6" t="str">
        <f>IFERROR(__xludf.DUMMYFUNCTION("GOOGLETRANSLATE(D85, ""en"", ""id"")"),"C) PON XVII")</f>
        <v>C) PON XVII</v>
      </c>
      <c r="K85" s="6" t="str">
        <f>IFERROR(__xludf.DUMMYFUNCTION("GOOGLETRANSLATE(E85, ""en"", ""id"")"),"Tarung Derajat memulai debutnya di Pekan Olahraga Nasional (PON) XVII tahun 2008 di Kalimantan Timur.")</f>
        <v>Tarung Derajat memulai debutnya di Pekan Olahraga Nasional (PON) XVII tahun 2008 di Kalimantan Timur.</v>
      </c>
    </row>
    <row r="86">
      <c r="A86" s="5">
        <v>85.0</v>
      </c>
      <c r="B86" s="10" t="s">
        <v>2223</v>
      </c>
      <c r="C86" s="10" t="s">
        <v>2224</v>
      </c>
      <c r="D86" s="10" t="s">
        <v>2225</v>
      </c>
      <c r="E86" s="10" t="s">
        <v>2226</v>
      </c>
      <c r="G86" s="6" t="str">
        <f>IFERROR(__xludf.DUMMYFUNCTION("GOOGLETRANSLATE(A86, ""en"", ""id"")"),"85")</f>
        <v>85</v>
      </c>
      <c r="H86" s="6" t="str">
        <f>IFERROR(__xludf.DUMMYFUNCTION("GOOGLETRANSLATE(B86, ""en"", ""id"")"),"Di mana PON XVII yang pertama kali menampilkan Tarung Derajat diadakan?")</f>
        <v>Di mana PON XVII yang pertama kali menampilkan Tarung Derajat diadakan?</v>
      </c>
      <c r="I86" s="6" t="str">
        <f>IFERROR(__xludf.DUMMYFUNCTION("GOOGLETRANSLATE(C86, ""en"", ""id"")"),"A) Bandung B) Samarinda C) Jakarta D) Surabaya")</f>
        <v>A) Bandung B) Samarinda C) Jakarta D) Surabaya</v>
      </c>
      <c r="J86" s="6" t="str">
        <f>IFERROR(__xludf.DUMMYFUNCTION("GOOGLETRANSLATE(D86, ""en"", ""id"")"),"B) Samarinda")</f>
        <v>B) Samarinda</v>
      </c>
      <c r="K86" s="6" t="str">
        <f>IFERROR(__xludf.DUMMYFUNCTION("GOOGLETRANSLATE(E86, ""en"", ""id"")"),"PON XVII tahun 2008 di Samarinda menandai penampilan perdana Tarung Derajat di ajang multicabang olahraga nasional.")</f>
        <v>PON XVII tahun 2008 di Samarinda menandai penampilan perdana Tarung Derajat di ajang multicabang olahraga nasional.</v>
      </c>
    </row>
    <row r="87">
      <c r="A87" s="5">
        <v>86.0</v>
      </c>
      <c r="B87" s="10" t="s">
        <v>2227</v>
      </c>
      <c r="C87" s="10" t="s">
        <v>2228</v>
      </c>
      <c r="D87" s="10" t="s">
        <v>2229</v>
      </c>
      <c r="E87" s="10" t="s">
        <v>2230</v>
      </c>
      <c r="G87" s="6" t="str">
        <f>IFERROR(__xludf.DUMMYFUNCTION("GOOGLETRANSLATE(A87, ""en"", ""id"")"),"86")</f>
        <v>86</v>
      </c>
      <c r="H87" s="6" t="str">
        <f>IFERROR(__xludf.DUMMYFUNCTION("GOOGLETRANSLATE(B87, ""en"", ""id"")"),"Keikutsertaan pertama Tarung Derajat di PON menunjukkan peralihannya dari ______ menjadi olahraga nasional.")</f>
        <v>Keikutsertaan pertama Tarung Derajat di PON menunjukkan peralihannya dari ______ menjadi olahraga nasional.</v>
      </c>
      <c r="I87" s="6" t="str">
        <f>IFERROR(__xludf.DUMMYFUNCTION("GOOGLETRANSLATE(C87, ""en"", ""id"")"),"A) Hobi B) Latihan jalanan C) Seni informal D) Klub komunitas")</f>
        <v>A) Hobi B) Latihan jalanan C) Seni informal D) Klub komunitas</v>
      </c>
      <c r="J87" s="6" t="str">
        <f>IFERROR(__xludf.DUMMYFUNCTION("GOOGLETRANSLATE(D87, ""en"", ""id"")"),"B) Praktik jalanan")</f>
        <v>B) Praktik jalanan</v>
      </c>
      <c r="K87" s="6" t="str">
        <f>IFERROR(__xludf.DUMMYFUNCTION("GOOGLETRANSLATE(E87, ""en"", ""id"")"),"Keikutsertaan Tarung Derajat dalam PON melambangkan lompatannya dari latihan jalanan informal ke kompetisi resmi.")</f>
        <v>Keikutsertaan Tarung Derajat dalam PON melambangkan lompatannya dari latihan jalanan informal ke kompetisi resmi.</v>
      </c>
    </row>
    <row r="88">
      <c r="A88" s="5">
        <v>87.0</v>
      </c>
      <c r="B88" s="10" t="s">
        <v>2231</v>
      </c>
      <c r="C88" s="10" t="s">
        <v>2232</v>
      </c>
      <c r="D88" s="10" t="s">
        <v>2233</v>
      </c>
      <c r="E88" s="10" t="s">
        <v>2234</v>
      </c>
      <c r="G88" s="6" t="str">
        <f>IFERROR(__xludf.DUMMYFUNCTION("GOOGLETRANSLATE(A88, ""en"", ""id"")"),"87")</f>
        <v>87</v>
      </c>
      <c r="H88" s="6" t="str">
        <f>IFERROR(__xludf.DUMMYFUNCTION("GOOGLETRANSLATE(B88, ""en"", ""id"")"),"Daerah Indonesia manakah yang mengirimkan kontingen atlet Tarung Derajat terbanyak di PON XVII?")</f>
        <v>Daerah Indonesia manakah yang mengirimkan kontingen atlet Tarung Derajat terbanyak di PON XVII?</v>
      </c>
      <c r="I88" s="6" t="str">
        <f>IFERROR(__xludf.DUMMYFUNCTION("GOOGLETRANSLATE(C88, ""en"", ""id"")"),"A) Jawa Barat B) Jakarta C) Jawa Timur D) Jawa Tengah")</f>
        <v>A) Jawa Barat B) Jakarta C) Jawa Timur D) Jawa Tengah</v>
      </c>
      <c r="J88" s="6" t="str">
        <f>IFERROR(__xludf.DUMMYFUNCTION("GOOGLETRANSLATE(D88, ""en"", ""id"")"),"A) Jawa Barat")</f>
        <v>A) Jawa Barat</v>
      </c>
      <c r="K88" s="6" t="str">
        <f>IFERROR(__xludf.DUMMYFUNCTION("GOOGLETRANSLATE(E88, ""en"", ""id"")"),"Jawa Barat, tempat lahirnya Tarung Derajat, menurunkan tim terkuat saat debut PON tahun 2008.")</f>
        <v>Jawa Barat, tempat lahirnya Tarung Derajat, menurunkan tim terkuat saat debut PON tahun 2008.</v>
      </c>
    </row>
    <row r="89">
      <c r="A89" s="5">
        <v>88.0</v>
      </c>
      <c r="B89" s="10" t="s">
        <v>2235</v>
      </c>
      <c r="C89" s="10" t="s">
        <v>2236</v>
      </c>
      <c r="D89" s="10" t="s">
        <v>2003</v>
      </c>
      <c r="E89" s="10" t="s">
        <v>2237</v>
      </c>
      <c r="G89" s="6" t="str">
        <f>IFERROR(__xludf.DUMMYFUNCTION("GOOGLETRANSLATE(A89, ""en"", ""id"")"),"88")</f>
        <v>88</v>
      </c>
      <c r="H89" s="6" t="str">
        <f>IFERROR(__xludf.DUMMYFUNCTION("GOOGLETRANSLATE(B89, ""en"", ""id"")"),"Pada tahun berapa Tarung Derajat pertama kali muncul dalam Kalender Olahraga Nasional Indonesia?")</f>
        <v>Pada tahun berapa Tarung Derajat pertama kali muncul dalam Kalender Olahraga Nasional Indonesia?</v>
      </c>
      <c r="I89" s="6" t="str">
        <f>IFERROR(__xludf.DUMMYFUNCTION("GOOGLETRANSLATE(C89, ""en"", ""id"")"),"A) Tahun 1995 B) Tahun 1998 C) Tahun 2001 D) Tahun 2003")</f>
        <v>A) Tahun 1995 B) Tahun 1998 C) Tahun 2001 D) Tahun 2003</v>
      </c>
      <c r="J89" s="6" t="str">
        <f>IFERROR(__xludf.DUMMYFUNCTION("GOOGLETRANSLATE(D89, ""en"", ""id"")"),"C) Tahun 2001")</f>
        <v>C) Tahun 2001</v>
      </c>
      <c r="K89" s="6" t="str">
        <f>IFERROR(__xludf.DUMMYFUNCTION("GOOGLETRANSLATE(E89, ""en"", ""id"")"),"Tarung Derajat masuk dalam Kalender Olahraga Nasional resmi setelah mendapat pengakuan dari Kementerian Pemuda dan Olahraga pada tahun 2001.")</f>
        <v>Tarung Derajat masuk dalam Kalender Olahraga Nasional resmi setelah mendapat pengakuan dari Kementerian Pemuda dan Olahraga pada tahun 2001.</v>
      </c>
    </row>
    <row r="90">
      <c r="A90" s="5">
        <v>89.0</v>
      </c>
      <c r="B90" s="10" t="s">
        <v>2238</v>
      </c>
      <c r="C90" s="10" t="s">
        <v>2239</v>
      </c>
      <c r="D90" s="10" t="s">
        <v>2240</v>
      </c>
      <c r="E90" s="10" t="s">
        <v>2241</v>
      </c>
      <c r="G90" s="6" t="str">
        <f>IFERROR(__xludf.DUMMYFUNCTION("GOOGLETRANSLATE(A90, ""en"", ""id"")"),"89")</f>
        <v>89</v>
      </c>
      <c r="H90" s="6" t="str">
        <f>IFERROR(__xludf.DUMMYFUNCTION("GOOGLETRANSLATE(B90, ""en"", ""id"")"),"Pengakuan Tarung Derajat oleh KONI pada tahun 1998 merupakan hal yang penting secara historis, karena KONI didirikan pada tahun berapa?")</f>
        <v>Pengakuan Tarung Derajat oleh KONI pada tahun 1998 merupakan hal yang penting secara historis, karena KONI didirikan pada tahun berapa?</v>
      </c>
      <c r="I90" s="6" t="str">
        <f>IFERROR(__xludf.DUMMYFUNCTION("GOOGLETRANSLATE(C90, ""en"", ""id"")"),"A) Tahun 1946 B) Tahun 1950 C) Tahun 1954 D) Tahun 1960")</f>
        <v>A) Tahun 1946 B) Tahun 1950 C) Tahun 1954 D) Tahun 1960</v>
      </c>
      <c r="J90" s="6" t="str">
        <f>IFERROR(__xludf.DUMMYFUNCTION("GOOGLETRANSLATE(D90, ""en"", ""id"")"),"B) Tahun 1950")</f>
        <v>B) Tahun 1950</v>
      </c>
      <c r="K90" s="6" t="str">
        <f>IFERROR(__xludf.DUMMYFUNCTION("GOOGLETRANSLATE(E90, ""en"", ""id"")"),"KONI, yang didirikan pada tahun 1950, menjadi badan yang secara resmi mengakui Tarung Derajat hampir 50 tahun kemudian.")</f>
        <v>KONI, yang didirikan pada tahun 1950, menjadi badan yang secara resmi mengakui Tarung Derajat hampir 50 tahun kemudian.</v>
      </c>
    </row>
    <row r="91">
      <c r="A91" s="5">
        <v>90.0</v>
      </c>
      <c r="B91" s="10" t="s">
        <v>2242</v>
      </c>
      <c r="C91" s="10" t="s">
        <v>2243</v>
      </c>
      <c r="D91" s="10" t="s">
        <v>1897</v>
      </c>
      <c r="E91" s="10" t="s">
        <v>2244</v>
      </c>
      <c r="G91" s="6" t="str">
        <f>IFERROR(__xludf.DUMMYFUNCTION("GOOGLETRANSLATE(A91, ""en"", ""id"")"),"90")</f>
        <v>90</v>
      </c>
      <c r="H91" s="6" t="str">
        <f>IFERROR(__xludf.DUMMYFUNCTION("GOOGLETRANSLATE(B91, ""en"", ""id"")"),"Di kota manakah penyelenggaraan SEA Games 2011 yang mengikutsertakan Tarung Derajat?")</f>
        <v>Di kota manakah penyelenggaraan SEA Games 2011 yang mengikutsertakan Tarung Derajat?</v>
      </c>
      <c r="I91" s="6" t="str">
        <f>IFERROR(__xludf.DUMMYFUNCTION("GOOGLETRANSLATE(C91, ""en"", ""id"")"),"A)Jakarta B)Palembang C)Bandung D)Yogyakarta")</f>
        <v>A)Jakarta B)Palembang C)Bandung D)Yogyakarta</v>
      </c>
      <c r="J91" s="6" t="str">
        <f>IFERROR(__xludf.DUMMYFUNCTION("GOOGLETRANSLATE(D91, ""en"", ""id"")"),"B) Palembang")</f>
        <v>B) Palembang</v>
      </c>
      <c r="K91" s="6" t="str">
        <f>IFERROR(__xludf.DUMMYFUNCTION("GOOGLETRANSLATE(E91, ""en"", ""id"")"),"Palembang menjadi tuan rumah bersama SEA Games 2011, di mana Tarung Derajat melakukan debut kompetitif internasionalnya.")</f>
        <v>Palembang menjadi tuan rumah bersama SEA Games 2011, di mana Tarung Derajat melakukan debut kompetitif internasionalnya.</v>
      </c>
    </row>
    <row r="92">
      <c r="A92" s="5">
        <v>91.0</v>
      </c>
      <c r="B92" s="10" t="s">
        <v>2245</v>
      </c>
      <c r="C92" s="10" t="s">
        <v>2246</v>
      </c>
      <c r="D92" s="10" t="s">
        <v>2247</v>
      </c>
      <c r="E92" s="10" t="s">
        <v>2248</v>
      </c>
      <c r="G92" s="6" t="str">
        <f>IFERROR(__xludf.DUMMYFUNCTION("GOOGLETRANSLATE(A92, ""en"", ""id"")"),"91")</f>
        <v>91</v>
      </c>
      <c r="H92" s="6" t="str">
        <f>IFERROR(__xludf.DUMMYFUNCTION("GOOGLETRANSLATE(B92, ""en"", ""id"")"),"Tahun berapakah Tarung Derajat diakui secara resmi oleh Dewan Olahraga Nasional Indonesia?")</f>
        <v>Tahun berapakah Tarung Derajat diakui secara resmi oleh Dewan Olahraga Nasional Indonesia?</v>
      </c>
      <c r="I92" s="6" t="str">
        <f>IFERROR(__xludf.DUMMYFUNCTION("GOOGLETRANSLATE(C92, ""en"", ""id"")"),"A) Tahun 1998 B) Tahun 1999 C) Tahun 2000 D) Tahun 2001")</f>
        <v>A) Tahun 1998 B) Tahun 1999 C) Tahun 2000 D) Tahun 2001</v>
      </c>
      <c r="J92" s="6" t="str">
        <f>IFERROR(__xludf.DUMMYFUNCTION("GOOGLETRANSLATE(D92, ""en"", ""id"")"),"A) Tahun 1998")</f>
        <v>A) Tahun 1998</v>
      </c>
      <c r="K92" s="6" t="str">
        <f>IFERROR(__xludf.DUMMYFUNCTION("GOOGLETRANSLATE(E92, ""en"", ""id"")"),"Dewan Olahraga Nasional mendaftarkan Tarung Derajat sebagai cabang olahraga formal pada tahun 1998.")</f>
        <v>Dewan Olahraga Nasional mendaftarkan Tarung Derajat sebagai cabang olahraga formal pada tahun 1998.</v>
      </c>
    </row>
    <row r="93">
      <c r="A93" s="5">
        <v>92.0</v>
      </c>
      <c r="B93" s="10" t="s">
        <v>2249</v>
      </c>
      <c r="C93" s="10" t="s">
        <v>2250</v>
      </c>
      <c r="D93" s="10" t="s">
        <v>2251</v>
      </c>
      <c r="E93" s="10" t="s">
        <v>2252</v>
      </c>
      <c r="G93" s="6" t="str">
        <f>IFERROR(__xludf.DUMMYFUNCTION("GOOGLETRANSLATE(A93, ""en"", ""id"")"),"92")</f>
        <v>92</v>
      </c>
      <c r="H93" s="6" t="str">
        <f>IFERROR(__xludf.DUMMYFUNCTION("GOOGLETRANSLATE(B93, ""en"", ""id"")"),"Tantangan sejarah apa yang menghambat pengakuan Tarung Derajat dibandingkan Pencak Silat?")</f>
        <v>Tantangan sejarah apa yang menghambat pengakuan Tarung Derajat dibandingkan Pencak Silat?</v>
      </c>
      <c r="I93" s="6" t="str">
        <f>IFERROR(__xludf.DUMMYFUNCTION("GOOGLETRANSLATE(C93, ""en"", ""id"")"),"A) Kurangnya dokumentasi B) Tidak ada akar spiritual C) Bias perkotaan D) Lobi politik yang lemah")</f>
        <v>A) Kurangnya dokumentasi B) Tidak ada akar spiritual C) Bias perkotaan D) Lobi politik yang lemah</v>
      </c>
      <c r="J93" s="6" t="str">
        <f>IFERROR(__xludf.DUMMYFUNCTION("GOOGLETRANSLATE(D93, ""en"", ""id"")"),"A) Kurangnya dokumentasi")</f>
        <v>A) Kurangnya dokumentasi</v>
      </c>
      <c r="K93" s="6" t="str">
        <f>IFERROR(__xludf.DUMMYFUNCTION("GOOGLETRANSLATE(E93, ""en"", ""id"")"),"Tidak seperti Pencak Silat, Tarung Derajat tidak memiliki naskah sejarah, sehingga memperlambat penerimaannya.")</f>
        <v>Tidak seperti Pencak Silat, Tarung Derajat tidak memiliki naskah sejarah, sehingga memperlambat penerimaannya.</v>
      </c>
    </row>
    <row r="94">
      <c r="A94" s="5">
        <v>93.0</v>
      </c>
      <c r="B94" s="10" t="s">
        <v>2253</v>
      </c>
      <c r="C94" s="10" t="s">
        <v>2254</v>
      </c>
      <c r="D94" s="10" t="s">
        <v>2255</v>
      </c>
      <c r="E94" s="10" t="s">
        <v>2256</v>
      </c>
      <c r="G94" s="6" t="str">
        <f>IFERROR(__xludf.DUMMYFUNCTION("GOOGLETRANSLATE(A94, ""en"", ""id"")"),"93")</f>
        <v>93</v>
      </c>
      <c r="H94" s="6" t="str">
        <f>IFERROR(__xludf.DUMMYFUNCTION("GOOGLETRANSLATE(B94, ""en"", ""id"")"),"Undang-undang olahraga Indonesia manakah yang secara tidak langsung mendukung pengakuan Tarung Derajat pada tahun 2005?")</f>
        <v>Undang-undang olahraga Indonesia manakah yang secara tidak langsung mendukung pengakuan Tarung Derajat pada tahun 2005?</v>
      </c>
      <c r="I94" s="6" t="str">
        <f>IFERROR(__xludf.DUMMYFUNCTION("GOOGLETRANSLATE(C94, ""en"", ""id"")"),"A) Undang-Undang Olahraga Nomor 3 B) Undang-Undang Olahraga Nomor 6 C) Undang-Undang Olahraga Nomor 9 D) Undang-Undang Olahraga Nomor 12")</f>
        <v>A) Undang-Undang Olahraga Nomor 3 B) Undang-Undang Olahraga Nomor 6 C) Undang-Undang Olahraga Nomor 9 D) Undang-Undang Olahraga Nomor 12</v>
      </c>
      <c r="J94" s="6" t="str">
        <f>IFERROR(__xludf.DUMMYFUNCTION("GOOGLETRANSLATE(D94, ""en"", ""id"")"),"C) Undang-Undang Olahraga Nomor 9")</f>
        <v>C) Undang-Undang Olahraga Nomor 9</v>
      </c>
      <c r="K94" s="6" t="str">
        <f>IFERROR(__xludf.DUMMYFUNCTION("GOOGLETRANSLATE(E94, ""en"", ""id"")"),"Undang-Undang Keolahragaan No. 9 Tahun 2005 menggariskan standar keolahragaan nasional, yang memungkinkan Tarung Derajat untuk diikutsertakan.")</f>
        <v>Undang-Undang Keolahragaan No. 9 Tahun 2005 menggariskan standar keolahragaan nasional, yang memungkinkan Tarung Derajat untuk diikutsertakan.</v>
      </c>
    </row>
    <row r="95">
      <c r="A95" s="5">
        <v>94.0</v>
      </c>
      <c r="B95" s="10" t="s">
        <v>2257</v>
      </c>
      <c r="C95" s="10" t="s">
        <v>2258</v>
      </c>
      <c r="D95" s="10" t="s">
        <v>2259</v>
      </c>
      <c r="E95" s="10" t="s">
        <v>2260</v>
      </c>
      <c r="G95" s="6" t="str">
        <f>IFERROR(__xludf.DUMMYFUNCTION("GOOGLETRANSLATE(A95, ""en"", ""id"")"),"94")</f>
        <v>94</v>
      </c>
      <c r="H95" s="6" t="str">
        <f>IFERROR(__xludf.DUMMYFUNCTION("GOOGLETRANSLATE(B95, ""en"", ""id"")"),"Pada tahun berapa kurikulum pelatihan Tarung Derajat secara resmi diperkenalkan di sekolah menengah atas di Indonesia?")</f>
        <v>Pada tahun berapa kurikulum pelatihan Tarung Derajat secara resmi diperkenalkan di sekolah menengah atas di Indonesia?</v>
      </c>
      <c r="I95" s="6" t="str">
        <f>IFERROR(__xludf.DUMMYFUNCTION("GOOGLETRANSLATE(C95, ""en"", ""id"")"),"A) Tahun 2003 B) Tahun 2006 C) Tahun 2008 D) Tahun 2010")</f>
        <v>A) Tahun 2003 B) Tahun 2006 C) Tahun 2008 D) Tahun 2010</v>
      </c>
      <c r="J95" s="6" t="str">
        <f>IFERROR(__xludf.DUMMYFUNCTION("GOOGLETRANSLATE(D95, ""en"", ""id"")"),"B) Tahun 2006")</f>
        <v>B) Tahun 2006</v>
      </c>
      <c r="K95" s="6" t="str">
        <f>IFERROR(__xludf.DUMMYFUNCTION("GOOGLETRANSLATE(E95, ""en"", ""id"")"),"Pada tahun 2006, Tarung Derajat diintegrasikan ke dalam kegiatan ekstrakurikuler sekolah menengah atas di Jawa Barat.")</f>
        <v>Pada tahun 2006, Tarung Derajat diintegrasikan ke dalam kegiatan ekstrakurikuler sekolah menengah atas di Jawa Barat.</v>
      </c>
    </row>
    <row r="96">
      <c r="A96" s="5">
        <v>95.0</v>
      </c>
      <c r="B96" s="10" t="s">
        <v>2261</v>
      </c>
      <c r="C96" s="10" t="s">
        <v>2262</v>
      </c>
      <c r="D96" s="10" t="s">
        <v>2263</v>
      </c>
      <c r="E96" s="10" t="s">
        <v>2264</v>
      </c>
      <c r="G96" s="6" t="str">
        <f>IFERROR(__xludf.DUMMYFUNCTION("GOOGLETRANSLATE(A96, ""en"", ""id"")"),"95")</f>
        <v>95</v>
      </c>
      <c r="H96" s="6" t="str">
        <f>IFERROR(__xludf.DUMMYFUNCTION("GOOGLETRANSLATE(B96, ""en"", ""id"")"),"Siapakah yang memprakarsai integrasi Tarung Derajat ke dalam program latihan TNI AD?")</f>
        <v>Siapakah yang memprakarsai integrasi Tarung Derajat ke dalam program latihan TNI AD?</v>
      </c>
      <c r="I96" s="6" t="str">
        <f>IFERROR(__xludf.DUMMYFUNCTION("GOOGLETRANSLATE(C96, ""en"", ""id"")"),"A) Jenderal Wiranto B) Jenderal Gatot C) Achmad Dradjat D) Menteri Pemuda dan Olahraga")</f>
        <v>A) Jenderal Wiranto B) Jenderal Gatot C) Achmad Dradjat D) Menteri Pemuda dan Olahraga</v>
      </c>
      <c r="J96" s="6" t="str">
        <f>IFERROR(__xludf.DUMMYFUNCTION("GOOGLETRANSLATE(D96, ""en"", ""id"")"),"C) Achmad Dradjat")</f>
        <v>C) Achmad Dradjat</v>
      </c>
      <c r="K96" s="6" t="str">
        <f>IFERROR(__xludf.DUMMYFUNCTION("GOOGLETRANSLATE(E96, ""en"", ""id"")"),"Achmad Dradjat berunding langsung dengan petinggi militer untuk mengikutsertakan Tarung Derajat dalam pelatihan.")</f>
        <v>Achmad Dradjat berunding langsung dengan petinggi militer untuk mengikutsertakan Tarung Derajat dalam pelatihan.</v>
      </c>
    </row>
    <row r="97">
      <c r="A97" s="5">
        <v>96.0</v>
      </c>
      <c r="B97" s="10" t="s">
        <v>2265</v>
      </c>
      <c r="C97" s="10" t="s">
        <v>2149</v>
      </c>
      <c r="D97" s="10" t="s">
        <v>2150</v>
      </c>
      <c r="E97" s="10" t="s">
        <v>2266</v>
      </c>
      <c r="G97" s="6" t="str">
        <f>IFERROR(__xludf.DUMMYFUNCTION("GOOGLETRANSLATE(A97, ""en"", ""id"")"),"96")</f>
        <v>96</v>
      </c>
      <c r="H97" s="6" t="str">
        <f>IFERROR(__xludf.DUMMYFUNCTION("GOOGLETRANSLATE(B97, ""en"", ""id"")"),"TNI AD mengenal Tarung Derajat pada dekade berapa?")</f>
        <v>TNI AD mengenal Tarung Derajat pada dekade berapa?</v>
      </c>
      <c r="I97" s="6" t="str">
        <f>IFERROR(__xludf.DUMMYFUNCTION("GOOGLETRANSLATE(C97, ""en"", ""id"")"),"A) Tahun 1970-an B) Tahun 1980-an C) Tahun 1990-an D) Tahun 2000-an")</f>
        <v>A) Tahun 1970-an B) Tahun 1980-an C) Tahun 1990-an D) Tahun 2000-an</v>
      </c>
      <c r="J97" s="6" t="str">
        <f>IFERROR(__xludf.DUMMYFUNCTION("GOOGLETRANSLATE(D97, ""en"", ""id"")"),"B) Tahun 1980-an")</f>
        <v>B) Tahun 1980-an</v>
      </c>
      <c r="K97" s="6" t="str">
        <f>IFERROR(__xludf.DUMMYFUNCTION("GOOGLETRANSLATE(E97, ""en"", ""id"")"),"Pada tahun 1980-an, Tarung Derajat menjadi bagian dari program pelatihan Angkatan Darat Indonesia.")</f>
        <v>Pada tahun 1980-an, Tarung Derajat menjadi bagian dari program pelatihan Angkatan Darat Indonesia.</v>
      </c>
    </row>
    <row r="98">
      <c r="A98" s="5">
        <v>97.0</v>
      </c>
      <c r="B98" s="10" t="s">
        <v>2267</v>
      </c>
      <c r="C98" s="10" t="s">
        <v>2268</v>
      </c>
      <c r="D98" s="10" t="s">
        <v>2269</v>
      </c>
      <c r="E98" s="10" t="s">
        <v>2270</v>
      </c>
      <c r="G98" s="6" t="str">
        <f>IFERROR(__xludf.DUMMYFUNCTION("GOOGLETRANSLATE(A98, ""en"", ""id"")"),"97")</f>
        <v>97</v>
      </c>
      <c r="H98" s="6" t="str">
        <f>IFERROR(__xludf.DUMMYFUNCTION("GOOGLETRANSLATE(B98, ""en"", ""id"")"),"Satuan polisi Indonesia manakah yang pertama kali mencoba latihan Tarung Derajat?")</f>
        <v>Satuan polisi Indonesia manakah yang pertama kali mencoba latihan Tarung Derajat?</v>
      </c>
      <c r="I98" s="6" t="str">
        <f>IFERROR(__xludf.DUMMYFUNCTION("GOOGLETRANSLATE(C98, ""en"", ""id"")"),"A) Brimob B) Polantas C) Intelkam D) Sabhara")</f>
        <v>A) Brimob B) Polantas C) Intelkam D) Sabhara</v>
      </c>
      <c r="J98" s="6" t="str">
        <f>IFERROR(__xludf.DUMMYFUNCTION("GOOGLETRANSLATE(D98, ""en"", ""id"")"),"A) Brimob")</f>
        <v>A) Brimob</v>
      </c>
      <c r="K98" s="6" t="str">
        <f>IFERROR(__xludf.DUMMYFUNCTION("GOOGLETRANSLATE(E98, ""en"", ""id"")"),"Brimob (Brigade Mobil) menguji Tarung Derajat untuk latihan pertempuran jarak dekat sebelum Angkatan Darat secara resmi mengakuinya.")</f>
        <v>Brimob (Brigade Mobil) menguji Tarung Derajat untuk latihan pertempuran jarak dekat sebelum Angkatan Darat secara resmi mengakuinya.</v>
      </c>
    </row>
    <row r="99">
      <c r="A99" s="5">
        <v>98.0</v>
      </c>
      <c r="B99" s="10" t="s">
        <v>2271</v>
      </c>
      <c r="C99" s="10" t="s">
        <v>2272</v>
      </c>
      <c r="D99" s="10" t="s">
        <v>2273</v>
      </c>
      <c r="E99" s="10" t="s">
        <v>2274</v>
      </c>
      <c r="G99" s="6" t="str">
        <f>IFERROR(__xludf.DUMMYFUNCTION("GOOGLETRANSLATE(A99, ""en"", ""id"")"),"98")</f>
        <v>98</v>
      </c>
      <c r="H99" s="6" t="str">
        <f>IFERROR(__xludf.DUMMYFUNCTION("GOOGLETRANSLATE(B99, ""en"", ""id"")"),"Kapan atlet Tarung Derajat pertama kali mewakili Indonesia di luar negeri dalam ajang demonstrasi?")</f>
        <v>Kapan atlet Tarung Derajat pertama kali mewakili Indonesia di luar negeri dalam ajang demonstrasi?</v>
      </c>
      <c r="I99" s="6" t="str">
        <f>IFERROR(__xludf.DUMMYFUNCTION("GOOGLETRANSLATE(C99, ""en"", ""id"")"),"A) Tahun 1995 B) Tahun 1999 C) Tahun 2003 D) Tahun 2007")</f>
        <v>A) Tahun 1995 B) Tahun 1999 C) Tahun 2003 D) Tahun 2007</v>
      </c>
      <c r="J99" s="6" t="str">
        <f>IFERROR(__xludf.DUMMYFUNCTION("GOOGLETRANSLATE(D99, ""en"", ""id"")"),"D) Tahun 2007")</f>
        <v>D) Tahun 2007</v>
      </c>
      <c r="K99" s="6" t="str">
        <f>IFERROR(__xludf.DUMMYFUNCTION("GOOGLETRANSLATE(E99, ""en"", ""id"")"),"Pada tahun 2007, atlet Tarung Derajat memamerkan seni tersebut di luar negeri sebagai persiapan untuk diikutsertakan dalam SEA Games.")</f>
        <v>Pada tahun 2007, atlet Tarung Derajat memamerkan seni tersebut di luar negeri sebagai persiapan untuk diikutsertakan dalam SEA Games.</v>
      </c>
    </row>
    <row r="100">
      <c r="A100" s="5">
        <v>99.0</v>
      </c>
      <c r="B100" s="10" t="s">
        <v>2275</v>
      </c>
      <c r="C100" s="10" t="s">
        <v>2276</v>
      </c>
      <c r="D100" s="10" t="s">
        <v>2277</v>
      </c>
      <c r="E100" s="10" t="s">
        <v>2278</v>
      </c>
      <c r="G100" s="6" t="str">
        <f>IFERROR(__xludf.DUMMYFUNCTION("GOOGLETRANSLATE(A100, ""en"", ""id"")"),"99")</f>
        <v>99</v>
      </c>
      <c r="H100" s="6" t="str">
        <f>IFERROR(__xludf.DUMMYFUNCTION("GOOGLETRANSLATE(B100, ""en"", ""id"")"),"Festival olahraga Indonesia manakah yang pertama kali menonjolkan Tarung Derajat pada tahun 1990-an?")</f>
        <v>Festival olahraga Indonesia manakah yang pertama kali menonjolkan Tarung Derajat pada tahun 1990-an?</v>
      </c>
      <c r="I100" s="6" t="str">
        <f>IFERROR(__xludf.DUMMYFUNCTION("GOOGLETRANSLATE(C100, ""en"", ""id"")"),"A) Festival Olahraga Nasional B) Pekan Olahraga Mahasiswa C) Pekan Olahraga Nasional D) Youth Expo")</f>
        <v>A) Festival Olahraga Nasional B) Pekan Olahraga Mahasiswa C) Pekan Olahraga Nasional D) Youth Expo</v>
      </c>
      <c r="J100" s="6" t="str">
        <f>IFERROR(__xludf.DUMMYFUNCTION("GOOGLETRANSLATE(D100, ""en"", ""id"")"),"A) Festival Olahraga Nasional")</f>
        <v>A) Festival Olahraga Nasional</v>
      </c>
      <c r="K100" s="6" t="str">
        <f>IFERROR(__xludf.DUMMYFUNCTION("GOOGLETRANSLATE(E100, ""en"", ""id"")"),"Pada tahun 1990-an, Tarung Derajat sempat disorot pada Festival Olahraga Nasional sebelum mendapat pengakuan resmi.")</f>
        <v>Pada tahun 1990-an, Tarung Derajat sempat disorot pada Festival Olahraga Nasional sebelum mendapat pengakuan resmi.</v>
      </c>
    </row>
    <row r="101">
      <c r="A101" s="5">
        <v>100.0</v>
      </c>
      <c r="B101" s="10" t="s">
        <v>2279</v>
      </c>
      <c r="C101" s="10" t="s">
        <v>2280</v>
      </c>
      <c r="D101" s="10" t="s">
        <v>2281</v>
      </c>
      <c r="E101" s="10" t="s">
        <v>2282</v>
      </c>
      <c r="G101" s="6" t="str">
        <f>IFERROR(__xludf.DUMMYFUNCTION("GOOGLETRANSLATE(A101, ""en"", ""id"")"),"100")</f>
        <v>100</v>
      </c>
      <c r="H101" s="6" t="str">
        <f>IFERROR(__xludf.DUMMYFUNCTION("GOOGLETRANSLATE(B101, ""en"", ""id"")"),"Presiden Indonesia manakah yang menjabat saat debut Tarung Derajat di SEA Games 2011?")</f>
        <v>Presiden Indonesia manakah yang menjabat saat debut Tarung Derajat di SEA Games 2011?</v>
      </c>
      <c r="I101" s="6" t="str">
        <f>IFERROR(__xludf.DUMMYFUNCTION("GOOGLETRANSLATE(C101, ""en"", ""id"")"),"A) Megawati B) Susilo Bambang Yudhoyono C) Jokowi D) Gus Dur")</f>
        <v>A) Megawati B) Susilo Bambang Yudhoyono C) Jokowi D) Gus Dur</v>
      </c>
      <c r="J101" s="6" t="str">
        <f>IFERROR(__xludf.DUMMYFUNCTION("GOOGLETRANSLATE(D101, ""en"", ""id"")"),"B) Susilo Bambang Yudhoyono")</f>
        <v>B) Susilo Bambang Yudhoyono</v>
      </c>
      <c r="K101" s="6" t="str">
        <f>IFERROR(__xludf.DUMMYFUNCTION("GOOGLETRANSLATE(E101, ""en"", ""id"")"),"Presiden Yudhoyono mengawasi penyelenggaraan SEA Games Indonesia pada tahun 2011, termasuk debut Tarung Derajat.")</f>
        <v>Presiden Yudhoyono mengawasi penyelenggaraan SEA Games Indonesia pada tahun 2011, termasuk debut Tarung Derajat.</v>
      </c>
    </row>
    <row r="102">
      <c r="A102" s="5">
        <v>101.0</v>
      </c>
      <c r="B102" s="10" t="s">
        <v>2283</v>
      </c>
      <c r="C102" s="10" t="s">
        <v>2149</v>
      </c>
      <c r="D102" s="10" t="s">
        <v>2284</v>
      </c>
      <c r="E102" s="10" t="s">
        <v>2285</v>
      </c>
      <c r="G102" s="6" t="str">
        <f>IFERROR(__xludf.DUMMYFUNCTION("GOOGLETRANSLATE(A102, ""en"", ""id"")"),"101")</f>
        <v>101</v>
      </c>
      <c r="H102" s="6" t="str">
        <f>IFERROR(__xludf.DUMMYFUNCTION("GOOGLETRANSLATE(B102, ""en"", ""id"")"),"Semboyan sejarah “Aku adalah kekuatanku” pertama kali dideklarasikan secara publik pada dekade berapa?")</f>
        <v>Semboyan sejarah “Aku adalah kekuatanku” pertama kali dideklarasikan secara publik pada dekade berapa?</v>
      </c>
      <c r="I102" s="6" t="str">
        <f>IFERROR(__xludf.DUMMYFUNCTION("GOOGLETRANSLATE(C102, ""en"", ""id"")"),"A) Tahun 1970-an B) Tahun 1980-an C) Tahun 1990-an D) Tahun 2000-an")</f>
        <v>A) Tahun 1970-an B) Tahun 1980-an C) Tahun 1990-an D) Tahun 2000-an</v>
      </c>
      <c r="J102" s="6" t="str">
        <f>IFERROR(__xludf.DUMMYFUNCTION("GOOGLETRANSLATE(D102, ""en"", ""id"")"),"A) Tahun 1970an")</f>
        <v>A) Tahun 1970an</v>
      </c>
      <c r="K102" s="6" t="str">
        <f>IFERROR(__xludf.DUMMYFUNCTION("GOOGLETRANSLATE(E102, ""en"", ""id"")"),"Achmad Dradjat menciptakan semboyan tersebut pada tahun 1970-an sebagai pedoman Tarung Derajat.")</f>
        <v>Achmad Dradjat menciptakan semboyan tersebut pada tahun 1970-an sebagai pedoman Tarung Derajat.</v>
      </c>
    </row>
    <row r="103">
      <c r="A103" s="5">
        <v>102.0</v>
      </c>
      <c r="B103" s="10" t="s">
        <v>2286</v>
      </c>
      <c r="C103" s="10" t="s">
        <v>2287</v>
      </c>
      <c r="D103" s="10" t="s">
        <v>2288</v>
      </c>
      <c r="E103" s="10" t="s">
        <v>2289</v>
      </c>
      <c r="G103" s="6" t="str">
        <f>IFERROR(__xludf.DUMMYFUNCTION("GOOGLETRANSLATE(A103, ""en"", ""id"")"),"102")</f>
        <v>102</v>
      </c>
      <c r="H103" s="6" t="str">
        <f>IFERROR(__xludf.DUMMYFUNCTION("GOOGLETRANSLATE(B103, ""en"", ""id"")"),"Akademi militer Indonesia manakah yang mengadopsi Tarung Derajat sebagai bagian dari pelatihan taruna pada tahun 1990-an?")</f>
        <v>Akademi militer Indonesia manakah yang mengadopsi Tarung Derajat sebagai bagian dari pelatihan taruna pada tahun 1990-an?</v>
      </c>
      <c r="I103" s="6" t="str">
        <f>IFERROR(__xludf.DUMMYFUNCTION("GOOGLETRANSLATE(C103, ""en"", ""id"")"),"A) Akmil Magelang B) Akpol Semarang C) Seskoal Jakarta D) Seskoau Bandung")</f>
        <v>A) Akmil Magelang B) Akpol Semarang C) Seskoal Jakarta D) Seskoau Bandung</v>
      </c>
      <c r="J103" s="6" t="str">
        <f>IFERROR(__xludf.DUMMYFUNCTION("GOOGLETRANSLATE(D103, ""en"", ""id"")"),"A) Akmil Magelang")</f>
        <v>A) Akmil Magelang</v>
      </c>
      <c r="K103" s="6" t="str">
        <f>IFERROR(__xludf.DUMMYFUNCTION("GOOGLETRANSLATE(E103, ""en"", ""id"")"),"Akademi Militer di Magelang mengintegrasikan Tarung Derajat ke dalam pelatihan taruna pada tahun 1990-an.")</f>
        <v>Akademi Militer di Magelang mengintegrasikan Tarung Derajat ke dalam pelatihan taruna pada tahun 1990-an.</v>
      </c>
    </row>
    <row r="104">
      <c r="A104" s="5">
        <v>103.0</v>
      </c>
      <c r="B104" s="10" t="s">
        <v>2290</v>
      </c>
      <c r="C104" s="10" t="s">
        <v>2291</v>
      </c>
      <c r="D104" s="10" t="s">
        <v>2292</v>
      </c>
      <c r="E104" s="10" t="s">
        <v>2293</v>
      </c>
      <c r="G104" s="6" t="str">
        <f>IFERROR(__xludf.DUMMYFUNCTION("GOOGLETRANSLATE(A104, ""en"", ""id"")"),"103")</f>
        <v>103</v>
      </c>
      <c r="H104" s="6" t="str">
        <f>IFERROR(__xludf.DUMMYFUNCTION("GOOGLETRANSLATE(B104, ""en"", ""id"")"),"Kebangkitan Tarung Derajat di Bandung sejalan dengan tren budaya apa di tahun 1970-an?")</f>
        <v>Kebangkitan Tarung Derajat di Bandung sejalan dengan tren budaya apa di tahun 1970-an?</v>
      </c>
      <c r="I104" s="6" t="str">
        <f>IFERROR(__xludf.DUMMYFUNCTION("GOOGLETRANSLATE(C104, ""en"", ""id"")"),"A) Musik rock B) Geng motor C) Protes mahasiswa D) Teater jalanan")</f>
        <v>A) Musik rock B) Geng motor C) Protes mahasiswa D) Teater jalanan</v>
      </c>
      <c r="J104" s="6" t="str">
        <f>IFERROR(__xludf.DUMMYFUNCTION("GOOGLETRANSLATE(D104, ""en"", ""id"")"),"B) Geng motor")</f>
        <v>B) Geng motor</v>
      </c>
      <c r="K104" s="6" t="str">
        <f>IFERROR(__xludf.DUMMYFUNCTION("GOOGLETRANSLATE(E104, ""en"", ""id"")"),"Kekerasan jalanan dan geng motor di Bandung mempengaruhi kodifikasi Tarung Derajat.")</f>
        <v>Kekerasan jalanan dan geng motor di Bandung mempengaruhi kodifikasi Tarung Derajat.</v>
      </c>
    </row>
    <row r="105">
      <c r="A105" s="5">
        <v>104.0</v>
      </c>
      <c r="B105" s="10" t="s">
        <v>2294</v>
      </c>
      <c r="C105" s="10" t="s">
        <v>2295</v>
      </c>
      <c r="D105" s="10" t="s">
        <v>1499</v>
      </c>
      <c r="E105" s="10" t="s">
        <v>2296</v>
      </c>
      <c r="G105" s="6" t="str">
        <f>IFERROR(__xludf.DUMMYFUNCTION("GOOGLETRANSLATE(A105, ""en"", ""id"")"),"104")</f>
        <v>104</v>
      </c>
      <c r="H105" s="6" t="str">
        <f>IFERROR(__xludf.DUMMYFUNCTION("GOOGLETRANSLATE(B105, ""en"", ""id"")"),"Tahun berapakah didirikannya sanggar Tarung Derajat pertama di luar Bandung?")</f>
        <v>Tahun berapakah didirikannya sanggar Tarung Derajat pertama di luar Bandung?</v>
      </c>
      <c r="I105" s="6" t="str">
        <f>IFERROR(__xludf.DUMMYFUNCTION("GOOGLETRANSLATE(C105, ""en"", ""id"")"),"A) Tahun 1978 B) Tahun 1982 C) Tahun 1986 D) Tahun 1990")</f>
        <v>A) Tahun 1978 B) Tahun 1982 C) Tahun 1986 D) Tahun 1990</v>
      </c>
      <c r="J105" s="6" t="str">
        <f>IFERROR(__xludf.DUMMYFUNCTION("GOOGLETRANSLATE(D105, ""en"", ""id"")"),"B) Tahun 1982")</f>
        <v>B) Tahun 1982</v>
      </c>
      <c r="K105" s="6" t="str">
        <f>IFERROR(__xludf.DUMMYFUNCTION("GOOGLETRANSLATE(E105, ""en"", ""id"")"),"Pada tahun 1982, perkemahan Tarung Derajat pertama dibuka di luar Bandung, yang menandakan perluasan.")</f>
        <v>Pada tahun 1982, perkemahan Tarung Derajat pertama dibuka di luar Bandung, yang menandakan perluasan.</v>
      </c>
    </row>
    <row r="106">
      <c r="A106" s="5">
        <v>105.0</v>
      </c>
      <c r="B106" s="10" t="s">
        <v>2297</v>
      </c>
      <c r="C106" s="10" t="s">
        <v>2298</v>
      </c>
      <c r="D106" s="10" t="s">
        <v>1521</v>
      </c>
      <c r="E106" s="10" t="s">
        <v>2299</v>
      </c>
      <c r="G106" s="6" t="str">
        <f>IFERROR(__xludf.DUMMYFUNCTION("GOOGLETRANSLATE(A106, ""en"", ""id"")"),"105")</f>
        <v>105</v>
      </c>
      <c r="H106" s="6" t="str">
        <f>IFERROR(__xludf.DUMMYFUNCTION("GOOGLETRANSLATE(B106, ""en"", ""id"")"),"Negara Asia Tenggara manakah yang menunjukkan minat awal terhadap demonstrasi Tarung Derajat setelah tahun 2011?")</f>
        <v>Negara Asia Tenggara manakah yang menunjukkan minat awal terhadap demonstrasi Tarung Derajat setelah tahun 2011?</v>
      </c>
      <c r="I106" s="6" t="str">
        <f>IFERROR(__xludf.DUMMYFUNCTION("GOOGLETRANSLATE(C106, ""en"", ""id"")"),"A) Malaysia B) Thailand C) Filipina D) Vietnam")</f>
        <v>A) Malaysia B) Thailand C) Filipina D) Vietnam</v>
      </c>
      <c r="J106" s="6" t="str">
        <f>IFERROR(__xludf.DUMMYFUNCTION("GOOGLETRANSLATE(D106, ""en"", ""id"")"),"A) Malaysia")</f>
        <v>A) Malaysia</v>
      </c>
      <c r="K106" s="6" t="str">
        <f>IFERROR(__xludf.DUMMYFUNCTION("GOOGLETRANSLATE(E106, ""en"", ""id"")"),"Malaysia mengundang atlet Tarung Derajat untuk pameran setelah diikutsertakannya mereka dalam SEA Games.")</f>
        <v>Malaysia mengundang atlet Tarung Derajat untuk pameran setelah diikutsertakannya mereka dalam SEA Games.</v>
      </c>
    </row>
    <row r="107">
      <c r="A107" s="5">
        <v>106.0</v>
      </c>
      <c r="B107" s="10" t="s">
        <v>2300</v>
      </c>
      <c r="C107" s="10" t="s">
        <v>2301</v>
      </c>
      <c r="D107" s="10" t="s">
        <v>2302</v>
      </c>
      <c r="E107" s="10" t="s">
        <v>2303</v>
      </c>
      <c r="G107" s="6" t="str">
        <f>IFERROR(__xludf.DUMMYFUNCTION("GOOGLETRANSLATE(A107, ""en"", ""id"")"),"106")</f>
        <v>106</v>
      </c>
      <c r="H107" s="6" t="str">
        <f>IFERROR(__xludf.DUMMYFUNCTION("GOOGLETRANSLATE(B107, ""en"", ""id"")"),"Apa tujuan historis di balik pembentukan KODRAT pada tahun 1998?")</f>
        <v>Apa tujuan historis di balik pembentukan KODRAT pada tahun 1998?</v>
      </c>
      <c r="I107" s="6" t="str">
        <f>IFERROR(__xludf.DUMMYFUNCTION("GOOGLETRANSLATE(C107, ""en"", ""id"")"),"A) Untuk meningkatkan ekspor B) Untuk menyatukan praktisi C) Untuk menyaingi Pencak Silat D) Untuk mendukung pariwisata")</f>
        <v>A) Untuk meningkatkan ekspor B) Untuk menyatukan praktisi C) Untuk menyaingi Pencak Silat D) Untuk mendukung pariwisata</v>
      </c>
      <c r="J107" s="6" t="str">
        <f>IFERROR(__xludf.DUMMYFUNCTION("GOOGLETRANSLATE(D107, ""en"", ""id"")"),"B) Untuk menyatukan para praktisi")</f>
        <v>B) Untuk menyatukan para praktisi</v>
      </c>
      <c r="K107" s="6" t="str">
        <f>IFERROR(__xludf.DUMMYFUNCTION("GOOGLETRANSLATE(E107, ""en"", ""id"")"),"KODRAT memusatkan pengembangan Tarung Derajat untuk menghindari fragmentasi di seluruh Indonesia.")</f>
        <v>KODRAT memusatkan pengembangan Tarung Derajat untuk menghindari fragmentasi di seluruh Indonesia.</v>
      </c>
    </row>
    <row r="108">
      <c r="A108" s="5">
        <v>107.0</v>
      </c>
      <c r="B108" s="10" t="s">
        <v>2304</v>
      </c>
      <c r="C108" s="10" t="s">
        <v>2305</v>
      </c>
      <c r="D108" s="10" t="s">
        <v>2306</v>
      </c>
      <c r="E108" s="10" t="s">
        <v>2307</v>
      </c>
      <c r="G108" s="6" t="str">
        <f>IFERROR(__xludf.DUMMYFUNCTION("GOOGLETRANSLATE(A108, ""en"", ""id"")"),"107")</f>
        <v>107</v>
      </c>
      <c r="H108" s="6" t="str">
        <f>IFERROR(__xludf.DUMMYFUNCTION("GOOGLETRANSLATE(B108, ""en"", ""id"")"),"Pengakuan resmi oleh Kementerian Pemuda dan Olahraga tahun 2001 dirayakan di kota mana?")</f>
        <v>Pengakuan resmi oleh Kementerian Pemuda dan Olahraga tahun 2001 dirayakan di kota mana?</v>
      </c>
      <c r="I108" s="6" t="str">
        <f>IFERROR(__xludf.DUMMYFUNCTION("GOOGLETRANSLATE(C108, ""en"", ""id"")"),"A)Bandung B)Jakarta C)Surabaya D)Semarang")</f>
        <v>A)Bandung B)Jakarta C)Surabaya D)Semarang</v>
      </c>
      <c r="J108" s="6" t="str">
        <f>IFERROR(__xludf.DUMMYFUNCTION("GOOGLETRANSLATE(D108, ""en"", ""id"")"),"A) Bandung")</f>
        <v>A) Bandung</v>
      </c>
      <c r="K108" s="6" t="str">
        <f>IFERROR(__xludf.DUMMYFUNCTION("GOOGLETRANSLATE(E108, ""en"", ""id"")"),"Bandung, sebagai tempat lahirnya Tarung Derajat, menjadi tuan rumah perayaan pengakuan tahun 2001 tersebut.")</f>
        <v>Bandung, sebagai tempat lahirnya Tarung Derajat, menjadi tuan rumah perayaan pengakuan tahun 2001 tersebut.</v>
      </c>
    </row>
    <row r="109">
      <c r="A109" s="5">
        <v>108.0</v>
      </c>
      <c r="B109" s="10" t="s">
        <v>2308</v>
      </c>
      <c r="C109" s="10" t="s">
        <v>2149</v>
      </c>
      <c r="D109" s="10" t="s">
        <v>2150</v>
      </c>
      <c r="E109" s="10" t="s">
        <v>2309</v>
      </c>
      <c r="G109" s="6" t="str">
        <f>IFERROR(__xludf.DUMMYFUNCTION("GOOGLETRANSLATE(A109, ""en"", ""id"")"),"108")</f>
        <v>108</v>
      </c>
      <c r="H109" s="6" t="str">
        <f>IFERROR(__xludf.DUMMYFUNCTION("GOOGLETRANSLATE(B109, ""en"", ""id"")"),"Slogan sejarah “Bela diri untuk hidup, bukan untuk gaya” ditekankan pada era apa?")</f>
        <v>Slogan sejarah “Bela diri untuk hidup, bukan untuk gaya” ditekankan pada era apa?</v>
      </c>
      <c r="I109" s="6" t="str">
        <f>IFERROR(__xludf.DUMMYFUNCTION("GOOGLETRANSLATE(C109, ""en"", ""id"")"),"A) Tahun 1970-an B) Tahun 1980-an C) Tahun 1990-an D) Tahun 2000-an")</f>
        <v>A) Tahun 1970-an B) Tahun 1980-an C) Tahun 1990-an D) Tahun 2000-an</v>
      </c>
      <c r="J109" s="6" t="str">
        <f>IFERROR(__xludf.DUMMYFUNCTION("GOOGLETRANSLATE(D109, ""en"", ""id"")"),"B) Tahun 1980-an")</f>
        <v>B) Tahun 1980-an</v>
      </c>
      <c r="K109" s="6" t="str">
        <f>IFERROR(__xludf.DUMMYFUNCTION("GOOGLETRANSLATE(E109, ""en"", ""id"")"),"Pada tahun 1980-an, Dradjat mempromosikan slogan untuk membedakan Tarung Derajat dari seni pameran.")</f>
        <v>Pada tahun 1980-an, Dradjat mempromosikan slogan untuk membedakan Tarung Derajat dari seni pameran.</v>
      </c>
    </row>
    <row r="110">
      <c r="A110" s="5">
        <v>109.0</v>
      </c>
      <c r="B110" s="10" t="s">
        <v>2310</v>
      </c>
      <c r="C110" s="10" t="s">
        <v>2311</v>
      </c>
      <c r="D110" s="10" t="s">
        <v>2312</v>
      </c>
      <c r="E110" s="10" t="s">
        <v>2313</v>
      </c>
      <c r="G110" s="6" t="str">
        <f>IFERROR(__xludf.DUMMYFUNCTION("GOOGLETRANSLATE(A110, ""en"", ""id"")"),"109")</f>
        <v>109</v>
      </c>
      <c r="H110" s="6" t="str">
        <f>IFERROR(__xludf.DUMMYFUNCTION("GOOGLETRANSLATE(B110, ""en"", ""id"")"),"Kementerian Pendidikan Indonesia mengakui Tarung Derajat sebagai pilihan ekstrakurikuler olahraga pada tahun berapa?")</f>
        <v>Kementerian Pendidikan Indonesia mengakui Tarung Derajat sebagai pilihan ekstrakurikuler olahraga pada tahun berapa?</v>
      </c>
      <c r="I110" s="6" t="str">
        <f>IFERROR(__xludf.DUMMYFUNCTION("GOOGLETRANSLATE(C110, ""en"", ""id"")"),"A) Tahun 2004 B) Tahun 2005 C) Tahun 2006 D) Tahun 2007")</f>
        <v>A) Tahun 2004 B) Tahun 2005 C) Tahun 2006 D) Tahun 2007</v>
      </c>
      <c r="J110" s="6" t="str">
        <f>IFERROR(__xludf.DUMMYFUNCTION("GOOGLETRANSLATE(D110, ""en"", ""id"")"),"C) Tahun 2006")</f>
        <v>C) Tahun 2006</v>
      </c>
      <c r="K110" s="6" t="str">
        <f>IFERROR(__xludf.DUMMYFUNCTION("GOOGLETRANSLATE(E110, ""en"", ""id"")"),"Sekolah mengadopsi Tarung Derajat pada tahun 2006 sebagai bagian dari pendidikan jasmani ekstrakurikuler.")</f>
        <v>Sekolah mengadopsi Tarung Derajat pada tahun 2006 sebagai bagian dari pendidikan jasmani ekstrakurikuler.</v>
      </c>
    </row>
    <row r="111">
      <c r="A111" s="5">
        <v>110.0</v>
      </c>
      <c r="B111" s="10" t="s">
        <v>2314</v>
      </c>
      <c r="C111" s="10" t="s">
        <v>2315</v>
      </c>
      <c r="D111" s="10" t="s">
        <v>2316</v>
      </c>
      <c r="E111" s="10" t="s">
        <v>2317</v>
      </c>
      <c r="G111" s="6" t="str">
        <f>IFERROR(__xludf.DUMMYFUNCTION("GOOGLETRANSLATE(A111, ""en"", ""id"")"),"110")</f>
        <v>110</v>
      </c>
      <c r="H111" s="6" t="str">
        <f>IFERROR(__xludf.DUMMYFUNCTION("GOOGLETRANSLATE(B111, ""en"", ""id"")"),"Acara olahraga daerah Indonesia mana yang menampilkan Tarung Derajat sebelum mendapat pengakuan nasional?")</f>
        <v>Acara olahraga daerah Indonesia mana yang menampilkan Tarung Derajat sebelum mendapat pengakuan nasional?</v>
      </c>
      <c r="I111" s="6" t="str">
        <f>IFERROR(__xludf.DUMMYFUNCTION("GOOGLETRANSLATE(C111, ""en"", ""id"")"),"A) Pekan Olahraga Jawa Barat B) Pekan Olahraga Jawa Timur C) Piala Jakarta D) Pesta Olahraga Sumatera")</f>
        <v>A) Pekan Olahraga Jawa Barat B) Pekan Olahraga Jawa Timur C) Piala Jakarta D) Pesta Olahraga Sumatera</v>
      </c>
      <c r="J111" s="6" t="str">
        <f>IFERROR(__xludf.DUMMYFUNCTION("GOOGLETRANSLATE(D111, ""en"", ""id"")"),"A) Pekan Olahraga Jawa Barat")</f>
        <v>A) Pekan Olahraga Jawa Barat</v>
      </c>
      <c r="K111" s="6" t="str">
        <f>IFERROR(__xludf.DUMMYFUNCTION("GOOGLETRANSLATE(E111, ""en"", ""id"")"),"Jawa Barat menjadi tuan rumah acara daerah yang mengikutsertakan Tarung Derajat sebelum mendapat pengakuan dari KONI.")</f>
        <v>Jawa Barat menjadi tuan rumah acara daerah yang mengikutsertakan Tarung Derajat sebelum mendapat pengakuan dari KONI.</v>
      </c>
    </row>
    <row r="112">
      <c r="A112" s="5">
        <v>111.0</v>
      </c>
      <c r="B112" s="10" t="s">
        <v>2318</v>
      </c>
      <c r="C112" s="10" t="s">
        <v>2319</v>
      </c>
      <c r="D112" s="10" t="s">
        <v>180</v>
      </c>
      <c r="E112" s="10" t="s">
        <v>2320</v>
      </c>
      <c r="G112" s="6" t="str">
        <f>IFERROR(__xludf.DUMMYFUNCTION("GOOGLETRANSLATE(A112, ""en"", ""id"")"),"111")</f>
        <v>111</v>
      </c>
      <c r="H112" s="6" t="str">
        <f>IFERROR(__xludf.DUMMYFUNCTION("GOOGLETRANSLATE(B112, ""en"", ""id"")"),"Pada tahun berapa DPR RI membahas Tarung Derajat dalam perdebatan identitas budaya?")</f>
        <v>Pada tahun berapa DPR RI membahas Tarung Derajat dalam perdebatan identitas budaya?</v>
      </c>
      <c r="I112" s="6" t="str">
        <f>IFERROR(__xludf.DUMMYFUNCTION("GOOGLETRANSLATE(C112, ""en"", ""id"")"),"A) Tahun 1999 B) Tahun 2001 C) Tahun 2003 D) Tahun 2005")</f>
        <v>A) Tahun 1999 B) Tahun 2001 C) Tahun 2003 D) Tahun 2005</v>
      </c>
      <c r="J112" s="6" t="str">
        <f>IFERROR(__xludf.DUMMYFUNCTION("GOOGLETRANSLATE(D112, ""en"", ""id"")"),"B) Tahun 2001")</f>
        <v>B) Tahun 2001</v>
      </c>
      <c r="K112" s="6" t="str">
        <f>IFERROR(__xludf.DUMMYFUNCTION("GOOGLETRANSLATE(E112, ""en"", ""id"")"),"Pada tahun 2001, DPR RI mengangkat Tarung Derajat sebagai lambang kebudayaan Indonesia modern.")</f>
        <v>Pada tahun 2001, DPR RI mengangkat Tarung Derajat sebagai lambang kebudayaan Indonesia modern.</v>
      </c>
    </row>
    <row r="113">
      <c r="A113" s="5">
        <v>112.0</v>
      </c>
      <c r="B113" s="10" t="s">
        <v>2321</v>
      </c>
      <c r="C113" s="10" t="s">
        <v>2322</v>
      </c>
      <c r="D113" s="10" t="s">
        <v>2323</v>
      </c>
      <c r="E113" s="10" t="s">
        <v>2324</v>
      </c>
      <c r="G113" s="6" t="str">
        <f>IFERROR(__xludf.DUMMYFUNCTION("GOOGLETRANSLATE(A113, ""en"", ""id"")"),"112")</f>
        <v>112</v>
      </c>
      <c r="H113" s="6" t="str">
        <f>IFERROR(__xludf.DUMMYFUNCTION("GOOGLETRANSLATE(B113, ""en"", ""id"")"),"Berdirinya Tarung Derajat di Bandung bertepatan dengan pesatnya pertumbuhan Indonesia di sektor apa?")</f>
        <v>Berdirinya Tarung Derajat di Bandung bertepatan dengan pesatnya pertumbuhan Indonesia di sektor apa?</v>
      </c>
      <c r="I113" s="6" t="str">
        <f>IFERROR(__xludf.DUMMYFUNCTION("GOOGLETRANSLATE(C113, ""en"", ""id"")"),"A) Industri B) Seni C) Pendidikan D) Transportasi")</f>
        <v>A) Industri B) Seni C) Pendidikan D) Transportasi</v>
      </c>
      <c r="J113" s="6" t="str">
        <f>IFERROR(__xludf.DUMMYFUNCTION("GOOGLETRANSLATE(D113, ""en"", ""id"")"),"A) Industri")</f>
        <v>A) Industri</v>
      </c>
      <c r="K113" s="6" t="str">
        <f>IFERROR(__xludf.DUMMYFUNCTION("GOOGLETRANSLATE(E113, ""en"", ""id"")"),"Ekspansi industri Bandung pada tahun 1970-an sejalan dengan kebangkitan Tarung Derajat di kalangan pemuda perkotaan.")</f>
        <v>Ekspansi industri Bandung pada tahun 1970-an sejalan dengan kebangkitan Tarung Derajat di kalangan pemuda perkotaan.</v>
      </c>
    </row>
    <row r="114">
      <c r="A114" s="5">
        <v>113.0</v>
      </c>
      <c r="B114" s="10" t="s">
        <v>2325</v>
      </c>
      <c r="C114" s="10" t="s">
        <v>2326</v>
      </c>
      <c r="D114" s="10" t="s">
        <v>173</v>
      </c>
      <c r="E114" s="10" t="s">
        <v>2327</v>
      </c>
      <c r="G114" s="6" t="str">
        <f>IFERROR(__xludf.DUMMYFUNCTION("GOOGLETRANSLATE(A114, ""en"", ""id"")"),"113")</f>
        <v>113</v>
      </c>
      <c r="H114" s="6" t="str">
        <f>IFERROR(__xludf.DUMMYFUNCTION("GOOGLETRANSLATE(B114, ""en"", ""id"")"),"Achmad Dradjat menerima penghargaan Tarung Derajat pertama dari pemerintah pada tahun berapa?")</f>
        <v>Achmad Dradjat menerima penghargaan Tarung Derajat pertama dari pemerintah pada tahun berapa?</v>
      </c>
      <c r="I114" s="6" t="str">
        <f>IFERROR(__xludf.DUMMYFUNCTION("GOOGLETRANSLATE(C114, ""en"", ""id"")"),"A) Tahun 1995 B) Tahun 1999 C) Tahun 2002 D) Tahun 2004")</f>
        <v>A) Tahun 1995 B) Tahun 1999 C) Tahun 2002 D) Tahun 2004</v>
      </c>
      <c r="J114" s="6" t="str">
        <f>IFERROR(__xludf.DUMMYFUNCTION("GOOGLETRANSLATE(D114, ""en"", ""id"")"),"C) Tahun 2002")</f>
        <v>C) Tahun 2002</v>
      </c>
      <c r="K114" s="6" t="str">
        <f>IFERROR(__xludf.DUMMYFUNCTION("GOOGLETRANSLATE(E114, ""en"", ""id"")"),"Pemerintah memberikan penghargaan kepada Achmad Dradjat pada tahun 2002 atas kontribusinya di bidang budaya.")</f>
        <v>Pemerintah memberikan penghargaan kepada Achmad Dradjat pada tahun 2002 atas kontribusinya di bidang budaya.</v>
      </c>
    </row>
    <row r="115">
      <c r="A115" s="5">
        <v>114.0</v>
      </c>
      <c r="B115" s="10" t="s">
        <v>2328</v>
      </c>
      <c r="C115" s="10" t="s">
        <v>2329</v>
      </c>
      <c r="D115" s="10" t="s">
        <v>2330</v>
      </c>
      <c r="E115" s="10" t="s">
        <v>2331</v>
      </c>
      <c r="G115" s="6" t="str">
        <f>IFERROR(__xludf.DUMMYFUNCTION("GOOGLETRANSLATE(A115, ""en"", ""id"")"),"114")</f>
        <v>114</v>
      </c>
      <c r="H115" s="6" t="str">
        <f>IFERROR(__xludf.DUMMYFUNCTION("GOOGLETRANSLATE(B115, ""en"", ""id"")"),"Film dokumenter Tarung Derajat pertama kali disiarkan di televisi Indonesia pada dekade berapa?")</f>
        <v>Film dokumenter Tarung Derajat pertama kali disiarkan di televisi Indonesia pada dekade berapa?</v>
      </c>
      <c r="I115" s="6" t="str">
        <f>IFERROR(__xludf.DUMMYFUNCTION("GOOGLETRANSLATE(C115, ""en"", ""id"")"),"A) Tahun 1980-an B) Tahun 1990-an C) Tahun 2000-an D) Tahun 2010-an")</f>
        <v>A) Tahun 1980-an B) Tahun 1990-an C) Tahun 2000-an D) Tahun 2010-an</v>
      </c>
      <c r="J115" s="6" t="str">
        <f>IFERROR(__xludf.DUMMYFUNCTION("GOOGLETRANSLATE(D115, ""en"", ""id"")"),"B) Tahun 1990-an")</f>
        <v>B) Tahun 1990-an</v>
      </c>
      <c r="K115" s="6" t="str">
        <f>IFERROR(__xludf.DUMMYFUNCTION("GOOGLETRANSLATE(E115, ""en"", ""id"")"),"Pada tahun 1990-an, film dokumenter pertama di Indonesia tentang asal usul Tarung Derajat ditayangkan di televisi.")</f>
        <v>Pada tahun 1990-an, film dokumenter pertama di Indonesia tentang asal usul Tarung Derajat ditayangkan di televisi.</v>
      </c>
    </row>
    <row r="116">
      <c r="A116" s="5">
        <v>115.0</v>
      </c>
      <c r="B116" s="10" t="s">
        <v>2332</v>
      </c>
      <c r="C116" s="10" t="s">
        <v>2333</v>
      </c>
      <c r="D116" s="10" t="s">
        <v>2334</v>
      </c>
      <c r="E116" s="10" t="s">
        <v>2335</v>
      </c>
      <c r="G116" s="6" t="str">
        <f>IFERROR(__xludf.DUMMYFUNCTION("GOOGLETRANSLATE(A116, ""en"", ""id"")"),"115")</f>
        <v>115</v>
      </c>
      <c r="H116" s="6" t="str">
        <f>IFERROR(__xludf.DUMMYFUNCTION("GOOGLETRANSLATE(B116, ""en"", ""id"")"),"Gerakan pemuda Indonesia manakah pada tahun 1980-an yang mempopulerkan Tarung Derajat?")</f>
        <v>Gerakan pemuda Indonesia manakah pada tahun 1980-an yang mempopulerkan Tarung Derajat?</v>
      </c>
      <c r="I116" s="6" t="str">
        <f>IFERROR(__xludf.DUMMYFUNCTION("GOOGLETRANSLATE(C116, ""en"", ""id"")"),"A) Karang Taruna B) Pramuka C) Pemuda Pancasila D) Mahasiswa Independen")</f>
        <v>A) Karang Taruna B) Pramuka C) Pemuda Pancasila D) Mahasiswa Independen</v>
      </c>
      <c r="J116" s="6" t="str">
        <f>IFERROR(__xludf.DUMMYFUNCTION("GOOGLETRANSLATE(D116, ""en"", ""id"")"),"A) Karang Taruna")</f>
        <v>A) Karang Taruna</v>
      </c>
      <c r="K116" s="6" t="str">
        <f>IFERROR(__xludf.DUMMYFUNCTION("GOOGLETRANSLATE(E116, ""en"", ""id"")"),"Karang Taruna Karang Taruna memperkenalkan Tarung Derajat di tingkat masyarakat.")</f>
        <v>Karang Taruna Karang Taruna memperkenalkan Tarung Derajat di tingkat masyarakat.</v>
      </c>
    </row>
    <row r="117">
      <c r="A117" s="5">
        <v>116.0</v>
      </c>
      <c r="B117" s="10" t="s">
        <v>2336</v>
      </c>
      <c r="C117" s="10" t="s">
        <v>2337</v>
      </c>
      <c r="D117" s="10" t="s">
        <v>2338</v>
      </c>
      <c r="E117" s="10" t="s">
        <v>2339</v>
      </c>
      <c r="G117" s="6" t="str">
        <f>IFERROR(__xludf.DUMMYFUNCTION("GOOGLETRANSLATE(A117, ""en"", ""id"")"),"116")</f>
        <v>116</v>
      </c>
      <c r="H117" s="6" t="str">
        <f>IFERROR(__xludf.DUMMYFUNCTION("GOOGLETRANSLATE(B117, ""en"", ""id"")"),"Tahun 1974 menjadi tahun yang penting karena menandai dimulainya apa dalam sejarah Tarung Derajat?")</f>
        <v>Tahun 1974 menjadi tahun yang penting karena menandai dimulainya apa dalam sejarah Tarung Derajat?</v>
      </c>
      <c r="I117" s="6" t="str">
        <f>IFERROR(__xludf.DUMMYFUNCTION("GOOGLETRANSLATE(C117, ""en"", ""id"")"),"A) Kelas formal pertama B) Turnamen nasional pertama C) Desain logo pertama D) Moto pertama")</f>
        <v>A) Kelas formal pertama B) Turnamen nasional pertama C) Desain logo pertama D) Moto pertama</v>
      </c>
      <c r="J117" s="6" t="str">
        <f>IFERROR(__xludf.DUMMYFUNCTION("GOOGLETRANSLATE(D117, ""en"", ""id"")"),"A) Kelas formal pertama")</f>
        <v>A) Kelas formal pertama</v>
      </c>
      <c r="K117" s="6" t="str">
        <f>IFERROR(__xludf.DUMMYFUNCTION("GOOGLETRANSLATE(E117, ""en"", ""id"")"),"Achmad Dradjat meluncurkan kelas terstruktur untuk Tarung Derajat pada tahun 1974.")</f>
        <v>Achmad Dradjat meluncurkan kelas terstruktur untuk Tarung Derajat pada tahun 1974.</v>
      </c>
    </row>
    <row r="118">
      <c r="A118" s="5">
        <v>117.0</v>
      </c>
      <c r="B118" s="10" t="s">
        <v>2340</v>
      </c>
      <c r="C118" s="10" t="s">
        <v>2341</v>
      </c>
      <c r="D118" s="10" t="s">
        <v>2342</v>
      </c>
      <c r="E118" s="10" t="s">
        <v>2343</v>
      </c>
      <c r="G118" s="6" t="str">
        <f>IFERROR(__xludf.DUMMYFUNCTION("GOOGLETRANSLATE(A118, ""en"", ""id"")"),"117")</f>
        <v>117</v>
      </c>
      <c r="H118" s="6" t="str">
        <f>IFERROR(__xludf.DUMMYFUNCTION("GOOGLETRANSLATE(B118, ""en"", ""id"")"),"Surat kabar Indonesia manakah yang pertama kali memberitakan Tarung Derajat pada tahun 1970-an?")</f>
        <v>Surat kabar Indonesia manakah yang pertama kali memberitakan Tarung Derajat pada tahun 1970-an?</v>
      </c>
      <c r="I118" s="6" t="str">
        <f>IFERROR(__xludf.DUMMYFUNCTION("GOOGLETRANSLATE(C118, ""en"", ""id"")"),"A) Pikiran Rakyat B) Kompas C) Suara Merdeka D) Republika")</f>
        <v>A) Pikiran Rakyat B) Kompas C) Suara Merdeka D) Republika</v>
      </c>
      <c r="J118" s="6" t="str">
        <f>IFERROR(__xludf.DUMMYFUNCTION("GOOGLETRANSLATE(D118, ""en"", ""id"")"),"A) Pikiran Rakyat")</f>
        <v>A) Pikiran Rakyat</v>
      </c>
      <c r="K118" s="6" t="str">
        <f>IFERROR(__xludf.DUMMYFUNCTION("GOOGLETRANSLATE(E118, ""en"", ""id"")"),"Pikiran Rakyat, yang berbasis di Bandung, adalah orang pertama yang menerbitkan laporan tentang Tarung Derajat.")</f>
        <v>Pikiran Rakyat, yang berbasis di Bandung, adalah orang pertama yang menerbitkan laporan tentang Tarung Derajat.</v>
      </c>
    </row>
    <row r="119">
      <c r="A119" s="5">
        <v>118.0</v>
      </c>
      <c r="B119" s="10" t="s">
        <v>2344</v>
      </c>
      <c r="C119" s="10" t="s">
        <v>2210</v>
      </c>
      <c r="D119" s="10" t="s">
        <v>2345</v>
      </c>
      <c r="E119" s="10" t="s">
        <v>2346</v>
      </c>
      <c r="G119" s="6" t="str">
        <f>IFERROR(__xludf.DUMMYFUNCTION("GOOGLETRANSLATE(A119, ""en"", ""id"")"),"118")</f>
        <v>118</v>
      </c>
      <c r="H119" s="6" t="str">
        <f>IFERROR(__xludf.DUMMYFUNCTION("GOOGLETRANSLATE(B119, ""en"", ""id"")"),"Tahun berapakah Tarung Derajat pertama kali meraih juara nasional?")</f>
        <v>Tahun berapakah Tarung Derajat pertama kali meraih juara nasional?</v>
      </c>
      <c r="I119" s="6" t="str">
        <f>IFERROR(__xludf.DUMMYFUNCTION("GOOGLETRANSLATE(C119, ""en"", ""id"")"),"A) Tahun 1996 B) Tahun 1998 C) Tahun 2000 D) Tahun 2002")</f>
        <v>A) Tahun 1996 B) Tahun 1998 C) Tahun 2000 D) Tahun 2002</v>
      </c>
      <c r="J119" s="6" t="str">
        <f>IFERROR(__xludf.DUMMYFUNCTION("GOOGLETRANSLATE(D119, ""en"", ""id"")"),"A) Tahun 1996")</f>
        <v>A) Tahun 1996</v>
      </c>
      <c r="K119" s="6" t="str">
        <f>IFERROR(__xludf.DUMMYFUNCTION("GOOGLETRANSLATE(E119, ""en"", ""id"")"),"Kejuaraan nasional Tarung Derajat pertama diadakan pada tahun 1996.")</f>
        <v>Kejuaraan nasional Tarung Derajat pertama diadakan pada tahun 1996.</v>
      </c>
    </row>
    <row r="120">
      <c r="A120" s="5">
        <v>119.0</v>
      </c>
      <c r="B120" s="10" t="s">
        <v>2347</v>
      </c>
      <c r="C120" s="10" t="s">
        <v>2348</v>
      </c>
      <c r="D120" s="10" t="s">
        <v>1641</v>
      </c>
      <c r="E120" s="10" t="s">
        <v>2349</v>
      </c>
      <c r="G120" s="6" t="str">
        <f>IFERROR(__xludf.DUMMYFUNCTION("GOOGLETRANSLATE(A120, ""en"", ""id"")"),"119")</f>
        <v>119</v>
      </c>
      <c r="H120" s="6" t="str">
        <f>IFERROR(__xludf.DUMMYFUNCTION("GOOGLETRANSLATE(B120, ""en"", ""id"")"),"Kejuaraan nasional tahun 1996 diselenggarakan di kota mana?")</f>
        <v>Kejuaraan nasional tahun 1996 diselenggarakan di kota mana?</v>
      </c>
      <c r="I120" s="6" t="str">
        <f>IFERROR(__xludf.DUMMYFUNCTION("GOOGLETRANSLATE(C120, ""en"", ""id"")"),"A)Jakarta B)Bandung C)Yogyakarta D)Semarang")</f>
        <v>A)Jakarta B)Bandung C)Yogyakarta D)Semarang</v>
      </c>
      <c r="J120" s="6" t="str">
        <f>IFERROR(__xludf.DUMMYFUNCTION("GOOGLETRANSLATE(D120, ""en"", ""id"")"),"B) Bandung")</f>
        <v>B) Bandung</v>
      </c>
      <c r="K120" s="6" t="str">
        <f>IFERROR(__xludf.DUMMYFUNCTION("GOOGLETRANSLATE(E120, ""en"", ""id"")"),"Bandung menjadi tuan rumah kompetisi Tarung Derajat tingkat nasional perdana pada tahun 1996.")</f>
        <v>Bandung menjadi tuan rumah kompetisi Tarung Derajat tingkat nasional perdana pada tahun 1996.</v>
      </c>
    </row>
    <row r="121">
      <c r="A121" s="5">
        <v>120.0</v>
      </c>
      <c r="B121" s="10" t="s">
        <v>2350</v>
      </c>
      <c r="C121" s="10" t="s">
        <v>2351</v>
      </c>
      <c r="D121" s="10" t="s">
        <v>2352</v>
      </c>
      <c r="E121" s="10" t="s">
        <v>2353</v>
      </c>
      <c r="G121" s="6" t="str">
        <f>IFERROR(__xludf.DUMMYFUNCTION("GOOGLETRANSLATE(A121, ""en"", ""id"")"),"120")</f>
        <v>120</v>
      </c>
      <c r="H121" s="6" t="str">
        <f>IFERROR(__xludf.DUMMYFUNCTION("GOOGLETRANSLATE(B121, ""en"", ""id"")"),"Perguruan tinggi manakah di Indonesia yang pertama kali mendirikan unit mahasiswa Tarung Derajat?")</f>
        <v>Perguruan tinggi manakah di Indonesia yang pertama kali mendirikan unit mahasiswa Tarung Derajat?</v>
      </c>
      <c r="I121" s="6" t="str">
        <f>IFERROR(__xludf.DUMMYFUNCTION("GOOGLETRANSLATE(C121, ""en"", ""id"")"),"A) ITB B) UI C) UGM D) Unpad")</f>
        <v>A) ITB B) UI C) UGM D) Unpad</v>
      </c>
      <c r="J121" s="6" t="str">
        <f>IFERROR(__xludf.DUMMYFUNCTION("GOOGLETRANSLATE(D121, ""en"", ""id"")"),"D) Unpad")</f>
        <v>D) Unpad</v>
      </c>
      <c r="K121" s="6" t="str">
        <f>IFERROR(__xludf.DUMMYFUNCTION("GOOGLETRANSLATE(E121, ""en"", ""id"")"),"Universitas Padjadjaran (Unpad) Bandung mendirikan unit kampus Tarung Derajat yang pertama.")</f>
        <v>Universitas Padjadjaran (Unpad) Bandung mendirikan unit kampus Tarung Derajat yang pertama.</v>
      </c>
    </row>
    <row r="122">
      <c r="A122" s="5">
        <v>121.0</v>
      </c>
      <c r="B122" s="10" t="s">
        <v>2354</v>
      </c>
      <c r="C122" s="10" t="s">
        <v>2355</v>
      </c>
      <c r="D122" s="10" t="s">
        <v>1561</v>
      </c>
      <c r="E122" s="10" t="s">
        <v>2356</v>
      </c>
      <c r="G122" s="6" t="str">
        <f>IFERROR(__xludf.DUMMYFUNCTION("GOOGLETRANSLATE(A122, ""en"", ""id"")"),"121")</f>
        <v>121</v>
      </c>
      <c r="H122" s="6" t="str">
        <f>IFERROR(__xludf.DUMMYFUNCTION("GOOGLETRANSLATE(B122, ""en"", ""id"")"),"Kapan Tarung Derajat pertama kali dipertunjukkan di hadapan pengurus KONI?")</f>
        <v>Kapan Tarung Derajat pertama kali dipertunjukkan di hadapan pengurus KONI?</v>
      </c>
      <c r="I122" s="6" t="str">
        <f>IFERROR(__xludf.DUMMYFUNCTION("GOOGLETRANSLATE(C122, ""en"", ""id"")"),"A) Tahun 1988 B) Tahun 1990 C) Tahun 1992 D) Tahun 1994")</f>
        <v>A) Tahun 1988 B) Tahun 1990 C) Tahun 1992 D) Tahun 1994</v>
      </c>
      <c r="J122" s="6" t="str">
        <f>IFERROR(__xludf.DUMMYFUNCTION("GOOGLETRANSLATE(D122, ""en"", ""id"")"),"B) Tahun 1990")</f>
        <v>B) Tahun 1990</v>
      </c>
      <c r="K122" s="6" t="str">
        <f>IFERROR(__xludf.DUMMYFUNCTION("GOOGLETRANSLATE(E122, ""en"", ""id"")"),"KONI pertama kali menyaksikan demonstrasi Tarung Derajat pada tahun 1990 sebelum mengakuinya secara resmi.")</f>
        <v>KONI pertama kali menyaksikan demonstrasi Tarung Derajat pada tahun 1990 sebelum mengakuinya secara resmi.</v>
      </c>
    </row>
    <row r="123">
      <c r="A123" s="5">
        <v>122.0</v>
      </c>
      <c r="B123" s="10" t="s">
        <v>2357</v>
      </c>
      <c r="C123" s="10" t="s">
        <v>2358</v>
      </c>
      <c r="D123" s="10" t="s">
        <v>2359</v>
      </c>
      <c r="E123" s="10" t="s">
        <v>2360</v>
      </c>
      <c r="G123" s="6" t="str">
        <f>IFERROR(__xludf.DUMMYFUNCTION("GOOGLETRANSLATE(A123, ""en"", ""id"")"),"122")</f>
        <v>122</v>
      </c>
      <c r="H123" s="6" t="str">
        <f>IFERROR(__xludf.DUMMYFUNCTION("GOOGLETRANSLATE(B123, ""en"", ""id"")"),"Akademi kepolisian Indonesia mana yang secara resmi memasukkan latihan Tarung Derajat?")</f>
        <v>Akademi kepolisian Indonesia mana yang secara resmi memasukkan latihan Tarung Derajat?</v>
      </c>
      <c r="I123" s="6" t="str">
        <f>IFERROR(__xludf.DUMMYFUNCTION("GOOGLETRANSLATE(C123, ""en"", ""id"")"),"A)Semarang B)Jakarta C)Makassar D)Medan")</f>
        <v>A)Semarang B)Jakarta C)Makassar D)Medan</v>
      </c>
      <c r="J123" s="6" t="str">
        <f>IFERROR(__xludf.DUMMYFUNCTION("GOOGLETRANSLATE(D123, ""en"", ""id"")"),"A) Semarang")</f>
        <v>A) Semarang</v>
      </c>
      <c r="K123" s="6" t="str">
        <f>IFERROR(__xludf.DUMMYFUNCTION("GOOGLETRANSLATE(E123, ""en"", ""id"")"),"Akademi Kepolisian Semarang menambah latihan Tarung Derajat pada tahun 1990-an.")</f>
        <v>Akademi Kepolisian Semarang menambah latihan Tarung Derajat pada tahun 1990-an.</v>
      </c>
    </row>
    <row r="124">
      <c r="A124" s="5">
        <v>123.0</v>
      </c>
      <c r="B124" s="10" t="s">
        <v>2361</v>
      </c>
      <c r="C124" s="10" t="s">
        <v>2362</v>
      </c>
      <c r="D124" s="10" t="s">
        <v>2363</v>
      </c>
      <c r="E124" s="10" t="s">
        <v>2364</v>
      </c>
      <c r="G124" s="6" t="str">
        <f>IFERROR(__xludf.DUMMYFUNCTION("GOOGLETRANSLATE(A124, ""en"", ""id"")"),"123")</f>
        <v>123</v>
      </c>
      <c r="H124" s="6" t="str">
        <f>IFERROR(__xludf.DUMMYFUNCTION("GOOGLETRANSLATE(B124, ""en"", ""id"")"),"Jenderal Indonesia manakah yang merupakan pendukung awal Tarung Derajat di militer?")</f>
        <v>Jenderal Indonesia manakah yang merupakan pendukung awal Tarung Derajat di militer?</v>
      </c>
      <c r="I124" s="6" t="str">
        <f>IFERROR(__xludf.DUMMYFUNCTION("GOOGLETRANSLATE(C124, ""en"", ""id"")"),"A) Jenderal Wiranto B) Jenderal Sudirman C) Jenderal Try Sutrisno D) Jenderal Gatot")</f>
        <v>A) Jenderal Wiranto B) Jenderal Sudirman C) Jenderal Try Sutrisno D) Jenderal Gatot</v>
      </c>
      <c r="J124" s="6" t="str">
        <f>IFERROR(__xludf.DUMMYFUNCTION("GOOGLETRANSLATE(D124, ""en"", ""id"")"),"C) Jenderal Try Sutrisno")</f>
        <v>C) Jenderal Try Sutrisno</v>
      </c>
      <c r="K124" s="6" t="str">
        <f>IFERROR(__xludf.DUMMYFUNCTION("GOOGLETRANSLATE(E124, ""en"", ""id"")"),"Try Sutrisno mendukung dimasukkannya Tarung Derajat dalam pelatihan militer pada tahun 1980-an–90-an.")</f>
        <v>Try Sutrisno mendukung dimasukkannya Tarung Derajat dalam pelatihan militer pada tahun 1980-an–90-an.</v>
      </c>
    </row>
    <row r="125">
      <c r="A125" s="5">
        <v>124.0</v>
      </c>
      <c r="B125" s="10" t="s">
        <v>2365</v>
      </c>
      <c r="C125" s="10" t="s">
        <v>2366</v>
      </c>
      <c r="D125" s="10" t="s">
        <v>2367</v>
      </c>
      <c r="E125" s="10" t="s">
        <v>2368</v>
      </c>
      <c r="G125" s="6" t="str">
        <f>IFERROR(__xludf.DUMMYFUNCTION("GOOGLETRANSLATE(A125, ""en"", ""id"")"),"124")</f>
        <v>124</v>
      </c>
      <c r="H125" s="6" t="str">
        <f>IFERROR(__xludf.DUMMYFUNCTION("GOOGLETRANSLATE(B125, ""en"", ""id"")"),"Menteri Olahraga Indonesia manakah yang menandatangani pengakuan resmi Tarung Derajat pada tahun 2001?")</f>
        <v>Menteri Olahraga Indonesia manakah yang menandatangani pengakuan resmi Tarung Derajat pada tahun 2001?</v>
      </c>
      <c r="I125" s="6" t="str">
        <f>IFERROR(__xludf.DUMMYFUNCTION("GOOGLETRANSLATE(C125, ""en"", ""id"")"),"A) Agung Laksono B) Mahadi Sinambela C) Adhyaksa Dault D) Abdul Gafur")</f>
        <v>A) Agung Laksono B) Mahadi Sinambela C) Adhyaksa Dault D) Abdul Gafur</v>
      </c>
      <c r="J125" s="6" t="str">
        <f>IFERROR(__xludf.DUMMYFUNCTION("GOOGLETRANSLATE(D125, ""en"", ""id"")"),"B) Mahadi Sinambela")</f>
        <v>B) Mahadi Sinambela</v>
      </c>
      <c r="K125" s="6" t="str">
        <f>IFERROR(__xludf.DUMMYFUNCTION("GOOGLETRANSLATE(E125, ""en"", ""id"")"),"Menteri Mahadi Sinambela menandatangani dekrit tahun 2001 yang mengakui Tarung Derajat.")</f>
        <v>Menteri Mahadi Sinambela menandatangani dekrit tahun 2001 yang mengakui Tarung Derajat.</v>
      </c>
    </row>
    <row r="126">
      <c r="A126" s="5">
        <v>125.0</v>
      </c>
      <c r="B126" s="10" t="s">
        <v>2369</v>
      </c>
      <c r="C126" s="10" t="s">
        <v>2370</v>
      </c>
      <c r="D126" s="10" t="s">
        <v>2371</v>
      </c>
      <c r="E126" s="10" t="s">
        <v>2372</v>
      </c>
      <c r="G126" s="6" t="str">
        <f>IFERROR(__xludf.DUMMYFUNCTION("GOOGLETRANSLATE(A126, ""en"", ""id"")"),"125")</f>
        <v>125</v>
      </c>
      <c r="H126" s="6" t="str">
        <f>IFERROR(__xludf.DUMMYFUNCTION("GOOGLETRANSLATE(B126, ""en"", ""id"")"),"Pada tahun 2011, medali SEA Games Tarung Derajat diberikan di tempat mana?")</f>
        <v>Pada tahun 2011, medali SEA Games Tarung Derajat diberikan di tempat mana?</v>
      </c>
      <c r="I126" s="6" t="str">
        <f>IFERROR(__xludf.DUMMYFUNCTION("GOOGLETRANSLATE(C126, ""en"", ""id"")"),"A) Gelora Bung Karno B) Jakabaring Sport City C) Istora Senayan D) Pendopo Bandung")</f>
        <v>A) Gelora Bung Karno B) Jakabaring Sport City C) Istora Senayan D) Pendopo Bandung</v>
      </c>
      <c r="J126" s="6" t="str">
        <f>IFERROR(__xludf.DUMMYFUNCTION("GOOGLETRANSLATE(D126, ""en"", ""id"")"),"B) Jakabaring Sport City")</f>
        <v>B) Jakabaring Sport City</v>
      </c>
      <c r="K126" s="6" t="str">
        <f>IFERROR(__xludf.DUMMYFUNCTION("GOOGLETRANSLATE(E126, ""en"", ""id"")"),"Pertandingan SEA Games Tarung Derajat digelar di Jakabaring Sport City, Palembang.")</f>
        <v>Pertandingan SEA Games Tarung Derajat digelar di Jakabaring Sport City, Palembang.</v>
      </c>
    </row>
    <row r="127">
      <c r="A127" s="5">
        <v>126.0</v>
      </c>
      <c r="B127" s="10" t="s">
        <v>2373</v>
      </c>
      <c r="C127" s="10" t="s">
        <v>2149</v>
      </c>
      <c r="D127" s="10" t="s">
        <v>2150</v>
      </c>
      <c r="E127" s="10" t="s">
        <v>2374</v>
      </c>
      <c r="G127" s="6" t="str">
        <f>IFERROR(__xludf.DUMMYFUNCTION("GOOGLETRANSLATE(A127, ""en"", ""id"")"),"126")</f>
        <v>126</v>
      </c>
      <c r="H127" s="6" t="str">
        <f>IFERROR(__xludf.DUMMYFUNCTION("GOOGLETRANSLATE(B127, ""en"", ""id"")"),"Julukan pendiri Tarung Derajat “Sang Guru Besar” pertama kali diberikan pada dekade manakah?")</f>
        <v>Julukan pendiri Tarung Derajat “Sang Guru Besar” pertama kali diberikan pada dekade manakah?</v>
      </c>
      <c r="I127" s="6" t="str">
        <f>IFERROR(__xludf.DUMMYFUNCTION("GOOGLETRANSLATE(C127, ""en"", ""id"")"),"A) Tahun 1970-an B) Tahun 1980-an C) Tahun 1990-an D) Tahun 2000-an")</f>
        <v>A) Tahun 1970-an B) Tahun 1980-an C) Tahun 1990-an D) Tahun 2000-an</v>
      </c>
      <c r="J127" s="6" t="str">
        <f>IFERROR(__xludf.DUMMYFUNCTION("GOOGLETRANSLATE(D127, ""en"", ""id"")"),"B) Tahun 1980-an")</f>
        <v>B) Tahun 1980-an</v>
      </c>
      <c r="K127" s="6" t="str">
        <f>IFERROR(__xludf.DUMMYFUNCTION("GOOGLETRANSLATE(E127, ""en"", ""id"")"),"Achmad Dradjat mendapat gelar kehormatan “Sang Guru Besar” (Grandmaster) pada tahun 1980an.")</f>
        <v>Achmad Dradjat mendapat gelar kehormatan “Sang Guru Besar” (Grandmaster) pada tahun 1980an.</v>
      </c>
    </row>
    <row r="128">
      <c r="A128" s="5">
        <v>127.0</v>
      </c>
      <c r="B128" s="10" t="s">
        <v>2375</v>
      </c>
      <c r="C128" s="10" t="s">
        <v>2376</v>
      </c>
      <c r="D128" s="10" t="s">
        <v>2377</v>
      </c>
      <c r="E128" s="10" t="s">
        <v>2378</v>
      </c>
      <c r="G128" s="6" t="str">
        <f>IFERROR(__xludf.DUMMYFUNCTION("GOOGLETRANSLATE(A128, ""en"", ""id"")"),"127")</f>
        <v>127</v>
      </c>
      <c r="H128" s="6" t="str">
        <f>IFERROR(__xludf.DUMMYFUNCTION("GOOGLETRANSLATE(B128, ""en"", ""id"")"),"Daerah Indonesia di luar Jawa manakah yang pertama kali mendirikan perkumpulan Tarung Derajat?")</f>
        <v>Daerah Indonesia di luar Jawa manakah yang pertama kali mendirikan perkumpulan Tarung Derajat?</v>
      </c>
      <c r="I128" s="6" t="str">
        <f>IFERROR(__xludf.DUMMYFUNCTION("GOOGLETRANSLATE(C128, ""en"", ""id"")"),"A) Bali B) Sumatera C) Kalimantan D) Sulawesi")</f>
        <v>A) Bali B) Sumatera C) Kalimantan D) Sulawesi</v>
      </c>
      <c r="J128" s="6" t="str">
        <f>IFERROR(__xludf.DUMMYFUNCTION("GOOGLETRANSLATE(D128, ""en"", ""id"")"),"B) Sumatera")</f>
        <v>B) Sumatera</v>
      </c>
      <c r="K128" s="6" t="str">
        <f>IFERROR(__xludf.DUMMYFUNCTION("GOOGLETRANSLATE(E128, ""en"", ""id"")"),"Sumatera merupakan daerah pertama di luar Jawa yang membentuk perkumpulan Tarung Derajat pada tahun 1980-an.")</f>
        <v>Sumatera merupakan daerah pertama di luar Jawa yang membentuk perkumpulan Tarung Derajat pada tahun 1980-an.</v>
      </c>
    </row>
    <row r="129">
      <c r="A129" s="5">
        <v>128.0</v>
      </c>
      <c r="B129" s="10" t="s">
        <v>2379</v>
      </c>
      <c r="C129" s="10" t="s">
        <v>2380</v>
      </c>
      <c r="D129" s="10" t="s">
        <v>2259</v>
      </c>
      <c r="E129" s="10" t="s">
        <v>2381</v>
      </c>
      <c r="G129" s="6" t="str">
        <f>IFERROR(__xludf.DUMMYFUNCTION("GOOGLETRANSLATE(A129, ""en"", ""id"")"),"128")</f>
        <v>128</v>
      </c>
      <c r="H129" s="6" t="str">
        <f>IFERROR(__xludf.DUMMYFUNCTION("GOOGLETRANSLATE(B129, ""en"", ""id"")"),"Pada tahun berapa Tarung Derajat diikutsertakan dalam Pesta Olahraga Nasional (Fornas) Indonesia?")</f>
        <v>Pada tahun berapa Tarung Derajat diikutsertakan dalam Pesta Olahraga Nasional (Fornas) Indonesia?</v>
      </c>
      <c r="I129" s="6" t="str">
        <f>IFERROR(__xludf.DUMMYFUNCTION("GOOGLETRANSLATE(C129, ""en"", ""id"")"),"A) Tahun 2004 B) Tahun 2006 C) Tahun 2008 D) Tahun 2010")</f>
        <v>A) Tahun 2004 B) Tahun 2006 C) Tahun 2008 D) Tahun 2010</v>
      </c>
      <c r="J129" s="6" t="str">
        <f>IFERROR(__xludf.DUMMYFUNCTION("GOOGLETRANSLATE(D129, ""en"", ""id"")"),"B) Tahun 2006")</f>
        <v>B) Tahun 2006</v>
      </c>
      <c r="K129" s="6" t="str">
        <f>IFERROR(__xludf.DUMMYFUNCTION("GOOGLETRANSLATE(E129, ""en"", ""id"")"),"Tarung Derajat ikut serta dalam Pesta Olahraga Nasional tahun 2006, menjelang PON XVII.")</f>
        <v>Tarung Derajat ikut serta dalam Pesta Olahraga Nasional tahun 2006, menjelang PON XVII.</v>
      </c>
    </row>
    <row r="130">
      <c r="A130" s="5">
        <v>129.0</v>
      </c>
      <c r="B130" s="10" t="s">
        <v>2382</v>
      </c>
      <c r="C130" s="10" t="s">
        <v>2383</v>
      </c>
      <c r="D130" s="10" t="s">
        <v>2384</v>
      </c>
      <c r="E130" s="10" t="s">
        <v>2385</v>
      </c>
      <c r="G130" s="6" t="str">
        <f>IFERROR(__xludf.DUMMYFUNCTION("GOOGLETRANSLATE(A130, ""en"", ""id"")"),"129")</f>
        <v>129</v>
      </c>
      <c r="H130" s="6" t="str">
        <f>IFERROR(__xludf.DUMMYFUNCTION("GOOGLETRANSLATE(B130, ""en"", ""id"")"),"Lokakarya internasional Tarung Derajat pertama diselenggarakan pada tahun berapa?")</f>
        <v>Lokakarya internasional Tarung Derajat pertama diselenggarakan pada tahun berapa?</v>
      </c>
      <c r="I130" s="6" t="str">
        <f>IFERROR(__xludf.DUMMYFUNCTION("GOOGLETRANSLATE(C130, ""en"", ""id"")"),"A) Tahun 2008 B) Tahun 2010 C) Tahun 2012 D) Tahun 2014")</f>
        <v>A) Tahun 2008 B) Tahun 2010 C) Tahun 2012 D) Tahun 2014</v>
      </c>
      <c r="J130" s="6" t="str">
        <f>IFERROR(__xludf.DUMMYFUNCTION("GOOGLETRANSLATE(D130, ""en"", ""id"")"),"B) Tahun 2010")</f>
        <v>B) Tahun 2010</v>
      </c>
      <c r="K130" s="6" t="str">
        <f>IFERROR(__xludf.DUMMYFUNCTION("GOOGLETRANSLATE(E130, ""en"", ""id"")"),"Pada tahun 2010, Indonesia menjadi tuan rumah lokakarya internasional pertama untuk mempersiapkan Tarung Derajat untuk SEA Games.")</f>
        <v>Pada tahun 2010, Indonesia menjadi tuan rumah lokakarya internasional pertama untuk mempersiapkan Tarung Derajat untuk SEA Games.</v>
      </c>
    </row>
    <row r="131">
      <c r="A131" s="5">
        <v>130.0</v>
      </c>
      <c r="B131" s="10" t="s">
        <v>2386</v>
      </c>
      <c r="C131" s="10" t="s">
        <v>2387</v>
      </c>
      <c r="D131" s="10" t="s">
        <v>2388</v>
      </c>
      <c r="E131" s="10" t="s">
        <v>2389</v>
      </c>
      <c r="G131" s="6" t="str">
        <f>IFERROR(__xludf.DUMMYFUNCTION("GOOGLETRANSLATE(A131, ""en"", ""id"")"),"130")</f>
        <v>130</v>
      </c>
      <c r="H131" s="6" t="str">
        <f>IFERROR(__xludf.DUMMYFUNCTION("GOOGLETRANSLATE(B131, ""en"", ""id"")"),"Jenis publikasi manakah yang pertama kali mempopulerkan kisah sejarah awal Tarung Derajat di Bandung?")</f>
        <v>Jenis publikasi manakah yang pertama kali mempopulerkan kisah sejarah awal Tarung Derajat di Bandung?</v>
      </c>
      <c r="I131" s="6" t="str">
        <f>IFERROR(__xludf.DUMMYFUNCTION("GOOGLETRANSLATE(C131, ""en"", ""id"")"),"A) Jurnal akademik B) Surat kabar lokal C) Majalah internasional D) Buku putih pemerintah")</f>
        <v>A) Jurnal akademik B) Surat kabar lokal C) Majalah internasional D) Buku putih pemerintah</v>
      </c>
      <c r="J131" s="6" t="str">
        <f>IFERROR(__xludf.DUMMYFUNCTION("GOOGLETRANSLATE(D131, ""en"", ""id"")"),"B) Koran lokal")</f>
        <v>B) Koran lokal</v>
      </c>
      <c r="K131" s="6" t="str">
        <f>IFERROR(__xludf.DUMMYFUNCTION("GOOGLETRANSLATE(E131, ""en"", ""id"")"),"Pers lokal Bandung pada tahun 1970-an hingga 1980-an menyoroti demonstrasi komunitas dan asal muasal seni tersebut.")</f>
        <v>Pers lokal Bandung pada tahun 1970-an hingga 1980-an menyoroti demonstrasi komunitas dan asal muasal seni tersebut.</v>
      </c>
    </row>
    <row r="132">
      <c r="A132" s="5">
        <v>131.0</v>
      </c>
      <c r="B132" s="10" t="s">
        <v>2390</v>
      </c>
      <c r="C132" s="10" t="s">
        <v>2329</v>
      </c>
      <c r="D132" s="10" t="s">
        <v>2391</v>
      </c>
      <c r="E132" s="10" t="s">
        <v>2392</v>
      </c>
      <c r="G132" s="6" t="str">
        <f>IFERROR(__xludf.DUMMYFUNCTION("GOOGLETRANSLATE(A132, ""en"", ""id"")"),"131")</f>
        <v>131</v>
      </c>
      <c r="H132" s="6" t="str">
        <f>IFERROR(__xludf.DUMMYFUNCTION("GOOGLETRANSLATE(B132, ""en"", ""id"")"),"Pada dekade manakah TV nasional pertama kali menyiarkan cuplikan kejuaraan Tarung Derajat?")</f>
        <v>Pada dekade manakah TV nasional pertama kali menyiarkan cuplikan kejuaraan Tarung Derajat?</v>
      </c>
      <c r="I132" s="6" t="str">
        <f>IFERROR(__xludf.DUMMYFUNCTION("GOOGLETRANSLATE(C132, ""en"", ""id"")"),"A) Tahun 1980-an B) Tahun 1990-an C) Tahun 2000-an D) Tahun 2010-an")</f>
        <v>A) Tahun 1980-an B) Tahun 1990-an C) Tahun 2000-an D) Tahun 2010-an</v>
      </c>
      <c r="J132" s="6" t="str">
        <f>IFERROR(__xludf.DUMMYFUNCTION("GOOGLETRANSLATE(D132, ""en"", ""id"")"),"C) tahun 2000-an")</f>
        <v>C) tahun 2000-an</v>
      </c>
      <c r="K132" s="6" t="str">
        <f>IFERROR(__xludf.DUMMYFUNCTION("GOOGLETRANSLATE(E132, ""en"", ""id"")"),"Liputan TV Indonesia yang lebih luas terhadap acara-acara kompetitif muncul pada tahun 2000-an, yang meningkatkan visibilitas.")</f>
        <v>Liputan TV Indonesia yang lebih luas terhadap acara-acara kompetitif muncul pada tahun 2000-an, yang meningkatkan visibilitas.</v>
      </c>
    </row>
    <row r="133">
      <c r="A133" s="5">
        <v>132.0</v>
      </c>
      <c r="B133" s="10" t="s">
        <v>2393</v>
      </c>
      <c r="C133" s="10" t="s">
        <v>2394</v>
      </c>
      <c r="D133" s="10" t="s">
        <v>2027</v>
      </c>
      <c r="E133" s="10" t="s">
        <v>2395</v>
      </c>
      <c r="G133" s="6" t="str">
        <f>IFERROR(__xludf.DUMMYFUNCTION("GOOGLETRANSLATE(A133, ""en"", ""id"")"),"132")</f>
        <v>132</v>
      </c>
      <c r="H133" s="6" t="str">
        <f>IFERROR(__xludf.DUMMYFUNCTION("GOOGLETRANSLATE(B133, ""en"", ""id"")"),"Kantor olahraga provinsi mana yang paling berperan dalam dukungan kelembagaan awal untuk Tarung Derajat?")</f>
        <v>Kantor olahraga provinsi mana yang paling berperan dalam dukungan kelembagaan awal untuk Tarung Derajat?</v>
      </c>
      <c r="I133" s="6" t="str">
        <f>IFERROR(__xludf.DUMMYFUNCTION("GOOGLETRANSLATE(C133, ""en"", ""id"")"),"A) Jakarta B) Jawa Barat C) Jawa Timur D) Jawa Tengah")</f>
        <v>A) Jakarta B) Jawa Barat C) Jawa Timur D) Jawa Tengah</v>
      </c>
      <c r="J133" s="6" t="str">
        <f>IFERROR(__xludf.DUMMYFUNCTION("GOOGLETRANSLATE(D133, ""en"", ""id"")"),"B) Jawa Barat")</f>
        <v>B) Jawa Barat</v>
      </c>
      <c r="K133" s="6" t="str">
        <f>IFERROR(__xludf.DUMMYFUNCTION("GOOGLETRANSLATE(E133, ""en"", ""id"")"),"Sebagai daerah asal, Dinas Olahraga Jawa Barat lebih dulu mendukung kegiatan dan klub dibandingkan daerah lain.")</f>
        <v>Sebagai daerah asal, Dinas Olahraga Jawa Barat lebih dulu mendukung kegiatan dan klub dibandingkan daerah lain.</v>
      </c>
    </row>
    <row r="134">
      <c r="A134" s="5">
        <v>133.0</v>
      </c>
      <c r="B134" s="10" t="s">
        <v>2396</v>
      </c>
      <c r="C134" s="10" t="s">
        <v>2329</v>
      </c>
      <c r="D134" s="10" t="s">
        <v>2391</v>
      </c>
      <c r="E134" s="10" t="s">
        <v>2397</v>
      </c>
      <c r="G134" s="6" t="str">
        <f>IFERROR(__xludf.DUMMYFUNCTION("GOOGLETRANSLATE(A134, ""en"", ""id"")"),"133")</f>
        <v>133</v>
      </c>
      <c r="H134" s="6" t="str">
        <f>IFERROR(__xludf.DUMMYFUNCTION("GOOGLETRANSLATE(B134, ""en"", ""id"")"),"Kapan divisi kompetitif wanita mulai tampil secara rutin di acara-acara besar Tarung Derajat?")</f>
        <v>Kapan divisi kompetitif wanita mulai tampil secara rutin di acara-acara besar Tarung Derajat?</v>
      </c>
      <c r="I134" s="6" t="str">
        <f>IFERROR(__xludf.DUMMYFUNCTION("GOOGLETRANSLATE(C134, ""en"", ""id"")"),"A) Tahun 1980-an B) Tahun 1990-an C) Tahun 2000-an D) Tahun 2010-an")</f>
        <v>A) Tahun 1980-an B) Tahun 1990-an C) Tahun 2000-an D) Tahun 2010-an</v>
      </c>
      <c r="J134" s="6" t="str">
        <f>IFERROR(__xludf.DUMMYFUNCTION("GOOGLETRANSLATE(D134, ""en"", ""id"")"),"C) tahun 2000-an")</f>
        <v>C) tahun 2000-an</v>
      </c>
      <c r="K134" s="6" t="str">
        <f>IFERROR(__xludf.DUMMYFUNCTION("GOOGLETRANSLATE(E134, ""en"", ""id"")"),"Turnamen wanita yang diformalkan diperluas seiring dengan struktur kompetisi nasional pada tahun 2000-an.")</f>
        <v>Turnamen wanita yang diformalkan diperluas seiring dengan struktur kompetisi nasional pada tahun 2000-an.</v>
      </c>
    </row>
    <row r="135">
      <c r="A135" s="5">
        <v>134.0</v>
      </c>
      <c r="B135" s="10" t="s">
        <v>2398</v>
      </c>
      <c r="C135" s="10" t="s">
        <v>2399</v>
      </c>
      <c r="D135" s="10" t="s">
        <v>2400</v>
      </c>
      <c r="E135" s="10" t="s">
        <v>2401</v>
      </c>
      <c r="G135" s="6" t="str">
        <f>IFERROR(__xludf.DUMMYFUNCTION("GOOGLETRANSLATE(A135, ""en"", ""id"")"),"134")</f>
        <v>134</v>
      </c>
      <c r="H135" s="6" t="str">
        <f>IFERROR(__xludf.DUMMYFUNCTION("GOOGLETRANSLATE(B135, ""en"", ""id"")"),"Periode reformasi kurikulum sekolah Indonesia manakah yang memungkinkan adopsi ekstrakurikuler Tarung Derajat yang lebih luas?")</f>
        <v>Periode reformasi kurikulum sekolah Indonesia manakah yang memungkinkan adopsi ekstrakurikuler Tarung Derajat yang lebih luas?</v>
      </c>
      <c r="I135" s="6" t="str">
        <f>IFERROR(__xludf.DUMMYFUNCTION("GOOGLETRANSLATE(C135, ""en"", ""id"")"),"A) Kurikulum 1994 B) Berbasis Kompetensi 2004 C) Era KTSP 2006 D) Kurikulum 2013")</f>
        <v>A) Kurikulum 1994 B) Berbasis Kompetensi 2004 C) Era KTSP 2006 D) Kurikulum 2013</v>
      </c>
      <c r="J135" s="6" t="str">
        <f>IFERROR(__xludf.DUMMYFUNCTION("GOOGLETRANSLATE(D135, ""en"", ""id"")"),"C) Era KTSP 2006")</f>
        <v>C) Era KTSP 2006</v>
      </c>
      <c r="K135" s="6" t="str">
        <f>IFERROR(__xludf.DUMMYFUNCTION("GOOGLETRANSLATE(E135, ""en"", ""id"")"),"Reformasi KTSP menciptakan ruang bagi klub olahraga yang relevan secara regional, membantu penerimaan sekolah formal.")</f>
        <v>Reformasi KTSP menciptakan ruang bagi klub olahraga yang relevan secara regional, membantu penerimaan sekolah formal.</v>
      </c>
    </row>
    <row r="136">
      <c r="A136" s="5">
        <v>135.0</v>
      </c>
      <c r="B136" s="10" t="s">
        <v>2402</v>
      </c>
      <c r="C136" s="10" t="s">
        <v>2329</v>
      </c>
      <c r="D136" s="10" t="s">
        <v>2403</v>
      </c>
      <c r="E136" s="10" t="s">
        <v>2404</v>
      </c>
      <c r="G136" s="6" t="str">
        <f>IFERROR(__xludf.DUMMYFUNCTION("GOOGLETRANSLATE(A136, ""en"", ""id"")"),"135")</f>
        <v>135</v>
      </c>
      <c r="H136" s="6" t="str">
        <f>IFERROR(__xludf.DUMMYFUNCTION("GOOGLETRANSLATE(B136, ""en"", ""id"")"),"Pada dekade berapa komunitas diaspora Indonesia mulai mengorganisir demo Tarung Derajat di luar negeri?")</f>
        <v>Pada dekade berapa komunitas diaspora Indonesia mulai mengorganisir demo Tarung Derajat di luar negeri?</v>
      </c>
      <c r="I136" s="6" t="str">
        <f>IFERROR(__xludf.DUMMYFUNCTION("GOOGLETRANSLATE(C136, ""en"", ""id"")"),"A) Tahun 1980-an B) Tahun 1990-an C) Tahun 2000-an D) Tahun 2010-an")</f>
        <v>A) Tahun 1980-an B) Tahun 1990-an C) Tahun 2000-an D) Tahun 2010-an</v>
      </c>
      <c r="J136" s="6" t="str">
        <f>IFERROR(__xludf.DUMMYFUNCTION("GOOGLETRANSLATE(D136, ""en"", ""id"")"),"D) tahun 2010-an")</f>
        <v>D) tahun 2010-an</v>
      </c>
      <c r="K136" s="6" t="str">
        <f>IFERROR(__xludf.DUMMYFUNCTION("GOOGLETRANSLATE(E136, ""en"", ""id"")"),"Setelah SEA Games 2011, kelompok diaspora semakin banyak menyelenggarakan pameran di luar negeri.")</f>
        <v>Setelah SEA Games 2011, kelompok diaspora semakin banyak menyelenggarakan pameran di luar negeri.</v>
      </c>
    </row>
    <row r="137">
      <c r="A137" s="5">
        <v>136.0</v>
      </c>
      <c r="B137" s="10" t="s">
        <v>2405</v>
      </c>
      <c r="C137" s="10" t="s">
        <v>2406</v>
      </c>
      <c r="D137" s="10" t="s">
        <v>2407</v>
      </c>
      <c r="E137" s="10" t="s">
        <v>2408</v>
      </c>
      <c r="G137" s="6" t="str">
        <f>IFERROR(__xludf.DUMMYFUNCTION("GOOGLETRANSLATE(A137, ""en"", ""id"")"),"136")</f>
        <v>136</v>
      </c>
      <c r="H137" s="6" t="str">
        <f>IFERROR(__xludf.DUMMYFUNCTION("GOOGLETRANSLATE(B137, ""en"", ""id"")"),"Negara terdekat manakah yang menjadi tuan rumah salah satu demonstrasi internasional pasca-SEA Games paling awal?")</f>
        <v>Negara terdekat manakah yang menjadi tuan rumah salah satu demonstrasi internasional pasca-SEA Games paling awal?</v>
      </c>
      <c r="I137" s="6" t="str">
        <f>IFERROR(__xludf.DUMMYFUNCTION("GOOGLETRANSLATE(C137, ""en"", ""id"")"),"A) Singapura B) Brunei C) Laos D) Myanmar")</f>
        <v>A) Singapura B) Brunei C) Laos D) Myanmar</v>
      </c>
      <c r="J137" s="6" t="str">
        <f>IFERROR(__xludf.DUMMYFUNCTION("GOOGLETRANSLATE(D137, ""en"", ""id"")"),"A) Singapura")</f>
        <v>A) Singapura</v>
      </c>
      <c r="K137" s="6" t="str">
        <f>IFERROR(__xludf.DUMMYFUNCTION("GOOGLETRANSLATE(E137, ""en"", ""id"")"),"Kedekatan dan hubungan pertukaran olahraga membuat Singapura menjadi tempat demo internasional awal.")</f>
        <v>Kedekatan dan hubungan pertukaran olahraga membuat Singapura menjadi tempat demo internasional awal.</v>
      </c>
    </row>
    <row r="138">
      <c r="A138" s="5">
        <v>137.0</v>
      </c>
      <c r="B138" s="10" t="s">
        <v>2409</v>
      </c>
      <c r="C138" s="10" t="s">
        <v>2410</v>
      </c>
      <c r="D138" s="10" t="s">
        <v>2411</v>
      </c>
      <c r="E138" s="10" t="s">
        <v>2412</v>
      </c>
      <c r="G138" s="6" t="str">
        <f>IFERROR(__xludf.DUMMYFUNCTION("GOOGLETRANSLATE(A138, ""en"", ""id"")"),"137")</f>
        <v>137</v>
      </c>
      <c r="H138" s="6" t="str">
        <f>IFERROR(__xludf.DUMMYFUNCTION("GOOGLETRANSLATE(B138, ""en"", ""id"")"),"Rangkaian acara manakah yang paling mencerminkan perjalanan Tarung Derajat menuju status arus utama?")</f>
        <v>Rangkaian acara manakah yang paling mencerminkan perjalanan Tarung Derajat menuju status arus utama?</v>
      </c>
      <c r="I138" s="6" t="str">
        <f>IFERROR(__xludf.DUMMYFUNCTION("GOOGLETRANSLATE(C138, ""en"", ""id"")"),"A) Acara TV → SEA Games → Pengakuan KONI B) Demo jalanan → Pengakuan KONI → Inklusi PON C) Latihan militer → Inklusi PON → Pendiri diakui oleh UNESCO D) Klub sekolah → ASEAN Games → Uji coba Olimpiade")</f>
        <v>A) Acara TV → SEA Games → Pengakuan KONI B) Demo jalanan → Pengakuan KONI → Inklusi PON C) Latihan militer → Inklusi PON → Pendiri diakui oleh UNESCO D) Klub sekolah → ASEAN Games → Uji coba Olimpiade</v>
      </c>
      <c r="J138" s="6" t="str">
        <f>IFERROR(__xludf.DUMMYFUNCTION("GOOGLETRANSLATE(D138, ""en"", ""id"")"),"B) Demo jalanan → Pengakuan KONI → Inklusi PON")</f>
        <v>B) Demo jalanan → Pengakuan KONI → Inklusi PON</v>
      </c>
      <c r="K138" s="6" t="str">
        <f>IFERROR(__xludf.DUMMYFUNCTION("GOOGLETRANSLATE(E138, ""en"", ""id"")"),"Demo akar rumput membuahkan pengakuan KONI tahun 1998 dan kemudian partisipasi PON XVII (2008).")</f>
        <v>Demo akar rumput membuahkan pengakuan KONI tahun 1998 dan kemudian partisipasi PON XVII (2008).</v>
      </c>
    </row>
    <row r="139">
      <c r="A139" s="5">
        <v>138.0</v>
      </c>
      <c r="B139" s="10" t="s">
        <v>2413</v>
      </c>
      <c r="C139" s="10" t="s">
        <v>2414</v>
      </c>
      <c r="D139" s="10" t="s">
        <v>2415</v>
      </c>
      <c r="E139" s="10" t="s">
        <v>2416</v>
      </c>
      <c r="G139" s="6" t="str">
        <f>IFERROR(__xludf.DUMMYFUNCTION("GOOGLETRANSLATE(A139, ""en"", ""id"")"),"138")</f>
        <v>138</v>
      </c>
      <c r="H139" s="6" t="str">
        <f>IFERROR(__xludf.DUMMYFUNCTION("GOOGLETRANSLATE(B139, ""en"", ""id"")"),"Sumber arsip apa yang paling umum menyimpan poster dan pemberitahuan Tarung Derajat yang paling awal?")</f>
        <v>Sumber arsip apa yang paling umum menyimpan poster dan pemberitahuan Tarung Derajat yang paling awal?</v>
      </c>
      <c r="I139" s="6" t="str">
        <f>IFERROR(__xludf.DUMMYFUNCTION("GOOGLETRANSLATE(C139, ""en"", ""id"")"),"A) Perpustakaan universitas B) Buku kenangan pribadi C) Arsip kedutaan D) Federasi internasional")</f>
        <v>A) Perpustakaan universitas B) Buku kenangan pribadi C) Arsip kedutaan D) Federasi internasional</v>
      </c>
      <c r="J139" s="6" t="str">
        <f>IFERROR(__xludf.DUMMYFUNCTION("GOOGLETRANSLATE(D139, ""en"", ""id"")"),"B) Buku kenangan pribadi")</f>
        <v>B) Buku kenangan pribadi</v>
      </c>
      <c r="K139" s="6" t="str">
        <f>IFERROR(__xludf.DUMMYFUNCTION("GOOGLETRANSLATE(E139, ""en"", ""id"")"),"Materi awal sering disimpan oleh pendiri, mahasiswa, dan organisator masyarakat.")</f>
        <v>Materi awal sering disimpan oleh pendiri, mahasiswa, dan organisator masyarakat.</v>
      </c>
    </row>
    <row r="140">
      <c r="A140" s="5">
        <v>139.0</v>
      </c>
      <c r="B140" s="10" t="s">
        <v>2417</v>
      </c>
      <c r="C140" s="10" t="s">
        <v>2418</v>
      </c>
      <c r="D140" s="10" t="s">
        <v>2419</v>
      </c>
      <c r="E140" s="10" t="s">
        <v>2420</v>
      </c>
      <c r="G140" s="6" t="str">
        <f>IFERROR(__xludf.DUMMYFUNCTION("GOOGLETRANSLATE(A140, ""en"", ""id"")"),"139")</f>
        <v>139</v>
      </c>
      <c r="H140" s="6" t="str">
        <f>IFERROR(__xludf.DUMMYFUNCTION("GOOGLETRANSLATE(B140, ""en"", ""id"")"),"Pergeseran sejarah manakah yang paling membantu Tarung Derajat mengamankan tempat di ajang multiolahraga nasional?")</f>
        <v>Pergeseran sejarah manakah yang paling membantu Tarung Derajat mengamankan tempat di ajang multiolahraga nasional?</v>
      </c>
      <c r="I140" s="6" t="str">
        <f>IFERROR(__xludf.DUMMYFUNCTION("GOOGLETRANSLATE(C140, ""en"", ""id"")"),"A) Desentralisasi pendanaan olahraga B) Kampanye pariwisata C) Keterkaitan festival musik D) Pengurangan jumlah militer")</f>
        <v>A) Desentralisasi pendanaan olahraga B) Kampanye pariwisata C) Keterkaitan festival musik D) Pengurangan jumlah militer</v>
      </c>
      <c r="J140" s="6" t="str">
        <f>IFERROR(__xludf.DUMMYFUNCTION("GOOGLETRANSLATE(D140, ""en"", ""id"")"),"A) Desentralisasi pendanaan olahraga")</f>
        <v>A) Desentralisasi pendanaan olahraga</v>
      </c>
      <c r="K140" s="6" t="str">
        <f>IFERROR(__xludf.DUMMYFUNCTION("GOOGLETRANSLATE(E140, ""en"", ""id"")"),"Desentralisasi akhir 1990-an/2000-an memungkinkan provinsi-provinsi memperjuangkan seni bela diri lokal di PON.")</f>
        <v>Desentralisasi akhir 1990-an/2000-an memungkinkan provinsi-provinsi memperjuangkan seni bela diri lokal di PON.</v>
      </c>
    </row>
    <row r="141">
      <c r="A141" s="5">
        <v>140.0</v>
      </c>
      <c r="B141" s="10" t="s">
        <v>2421</v>
      </c>
      <c r="C141" s="10" t="s">
        <v>2422</v>
      </c>
      <c r="D141" s="10" t="s">
        <v>2423</v>
      </c>
      <c r="E141" s="10" t="s">
        <v>2424</v>
      </c>
      <c r="G141" s="6" t="str">
        <f>IFERROR(__xludf.DUMMYFUNCTION("GOOGLETRANSLATE(A141, ""en"", ""id"")"),"140")</f>
        <v>140</v>
      </c>
      <c r="H141" s="6" t="str">
        <f>IFERROR(__xludf.DUMMYFUNCTION("GOOGLETRANSLATE(B141, ""en"", ""id"")"),"Peristiwa awal seperti apa yang krusial untuk meyakinkan para pejabat mengenai daya tarik publik Tarung Derajat?")</f>
        <v>Peristiwa awal seperti apa yang krusial untuk meyakinkan para pejabat mengenai daya tarik publik Tarung Derajat?</v>
      </c>
      <c r="I141" s="6" t="str">
        <f>IFERROR(__xludf.DUMMYFUNCTION("GOOGLETRANSLATE(C141, ""en"", ""id"")"),"A) Seleksi tertutup B) Pameran tingkat jalanan C) Kolokium akademis D) Festival ritual")</f>
        <v>A) Seleksi tertutup B) Pameran tingkat jalanan C) Kolokium akademis D) Festival ritual</v>
      </c>
      <c r="J141" s="6" t="str">
        <f>IFERROR(__xludf.DUMMYFUNCTION("GOOGLETRANSLATE(D141, ""en"", ""id"")"),"B) Pameran tingkat jalanan")</f>
        <v>B) Pameran tingkat jalanan</v>
      </c>
      <c r="K141" s="6" t="str">
        <f>IFERROR(__xludf.DUMMYFUNCTION("GOOGLETRANSLATE(E141, ""en"", ""id"")"),"Demonstrasi publik berenergi tinggi di ruang perkotaan menarik banyak orang dan perhatian resmi.")</f>
        <v>Demonstrasi publik berenergi tinggi di ruang perkotaan menarik banyak orang dan perhatian resmi.</v>
      </c>
    </row>
    <row r="142">
      <c r="A142" s="5">
        <v>141.0</v>
      </c>
      <c r="B142" s="10" t="s">
        <v>2425</v>
      </c>
      <c r="C142" s="10" t="s">
        <v>2426</v>
      </c>
      <c r="D142" s="10" t="s">
        <v>2427</v>
      </c>
      <c r="E142" s="10" t="s">
        <v>2428</v>
      </c>
      <c r="G142" s="6" t="str">
        <f>IFERROR(__xludf.DUMMYFUNCTION("GOOGLETRANSLATE(A142, ""en"", ""id"")"),"141")</f>
        <v>141</v>
      </c>
      <c r="H142" s="6" t="str">
        <f>IFERROR(__xludf.DUMMYFUNCTION("GOOGLETRANSLATE(B142, ""en"", ""id"")"),"Tonggak sejarah apa yang menandai perpindahan Tarung Derajat dari lingkungan masyarakat ke diskusi kebijakan nasional?")</f>
        <v>Tonggak sejarah apa yang menandai perpindahan Tarung Derajat dari lingkungan masyarakat ke diskusi kebijakan nasional?</v>
      </c>
      <c r="I142" s="6" t="str">
        <f>IFERROR(__xludf.DUMMYFUNCTION("GOOGLETRANSLATE(C142, ""en"", ""id"")"),"A) Wawancara TV pendiri B) Dimasukkannya dalam piagam KONI C) Tur luar negeri pertama D) Klub sekolah pertama")</f>
        <v>A) Wawancara TV pendiri B) Dimasukkannya dalam piagam KONI C) Tur luar negeri pertama D) Klub sekolah pertama</v>
      </c>
      <c r="J142" s="6" t="str">
        <f>IFERROR(__xludf.DUMMYFUNCTION("GOOGLETRANSLATE(D142, ""en"", ""id"")"),"B) Pencantuman dalam piagam KONI")</f>
        <v>B) Pencantuman dalam piagam KONI</v>
      </c>
      <c r="K142" s="6" t="str">
        <f>IFERROR(__xludf.DUMMYFUNCTION("GOOGLETRANSLATE(E142, ""en"", ""id"")"),"Pencatatan KONI tahun 1998 menempatkan seni dalam tata kelola olahraga formal Indonesia.")</f>
        <v>Pencatatan KONI tahun 1998 menempatkan seni dalam tata kelola olahraga formal Indonesia.</v>
      </c>
    </row>
    <row r="143">
      <c r="A143" s="5">
        <v>142.0</v>
      </c>
      <c r="B143" s="10" t="s">
        <v>2429</v>
      </c>
      <c r="C143" s="10" t="s">
        <v>2430</v>
      </c>
      <c r="D143" s="10" t="s">
        <v>2306</v>
      </c>
      <c r="E143" s="10" t="s">
        <v>2431</v>
      </c>
      <c r="G143" s="6" t="str">
        <f>IFERROR(__xludf.DUMMYFUNCTION("GOOGLETRANSLATE(A143, ""en"", ""id"")"),"142")</f>
        <v>142</v>
      </c>
      <c r="H143" s="6" t="str">
        <f>IFERROR(__xludf.DUMMYFUNCTION("GOOGLETRANSLATE(B143, ""en"", ""id"")"),"Kota mana yang paling sering menjadi tuan rumah undangan antar klub awal sebelum kejuaraan nasional ada?")</f>
        <v>Kota mana yang paling sering menjadi tuan rumah undangan antar klub awal sebelum kejuaraan nasional ada?</v>
      </c>
      <c r="I143" s="6" t="str">
        <f>IFERROR(__xludf.DUMMYFUNCTION("GOOGLETRANSLATE(C143, ""en"", ""id"")"),"A)Bandung B)Medan C)Makassar D)Denpasar")</f>
        <v>A)Bandung B)Medan C)Makassar D)Denpasar</v>
      </c>
      <c r="J143" s="6" t="str">
        <f>IFERROR(__xludf.DUMMYFUNCTION("GOOGLETRANSLATE(D143, ""en"", ""id"")"),"A) Bandung")</f>
        <v>A) Bandung</v>
      </c>
      <c r="K143" s="6" t="str">
        <f>IFERROR(__xludf.DUMMYFUNCTION("GOOGLETRANSLATE(E143, ""en"", ""id"")"),"Klub-klub di Bandung menyelenggarakan pertemuan antar-klub yang sudah ada sebelum adanya kejuaraan nasional yang terstandarisasi.")</f>
        <v>Klub-klub di Bandung menyelenggarakan pertemuan antar-klub yang sudah ada sebelum adanya kejuaraan nasional yang terstandarisasi.</v>
      </c>
    </row>
    <row r="144">
      <c r="A144" s="5">
        <v>143.0</v>
      </c>
      <c r="B144" s="10" t="s">
        <v>2432</v>
      </c>
      <c r="C144" s="10" t="s">
        <v>2433</v>
      </c>
      <c r="D144" s="10" t="s">
        <v>2434</v>
      </c>
      <c r="E144" s="10" t="s">
        <v>2435</v>
      </c>
      <c r="G144" s="6" t="str">
        <f>IFERROR(__xludf.DUMMYFUNCTION("GOOGLETRANSLATE(A144, ""en"", ""id"")"),"143")</f>
        <v>143</v>
      </c>
      <c r="H144" s="6" t="str">
        <f>IFERROR(__xludf.DUMMYFUNCTION("GOOGLETRANSLATE(B144, ""en"", ""id"")"),"Pengakuan pemerintah manakah yang paling langsung memungkinkan penyediaan anggaran untuk program Tarung Derajat?")</f>
        <v>Pengakuan pemerintah manakah yang paling langsung memungkinkan penyediaan anggaran untuk program Tarung Derajat?</v>
      </c>
      <c r="I144" s="6" t="str">
        <f>IFERROR(__xludf.DUMMYFUNCTION("GOOGLETRANSLATE(C144, ""en"", ""id"")"),"A) Daftar Warisan Budaya B) Pengakuan Kementerian Pemuda dan Olahraga C) Surat Edaran Kementerian Pendidikan D) Sertifikasi Pariwisata")</f>
        <v>A) Daftar Warisan Budaya B) Pengakuan Kementerian Pemuda dan Olahraga C) Surat Edaran Kementerian Pendidikan D) Sertifikasi Pariwisata</v>
      </c>
      <c r="J144" s="6" t="str">
        <f>IFERROR(__xludf.DUMMYFUNCTION("GOOGLETRANSLATE(D144, ""en"", ""id"")"),"B) Pengakuan Kementerian Pemuda dan Olahraga")</f>
        <v>B) Pengakuan Kementerian Pemuda dan Olahraga</v>
      </c>
      <c r="K144" s="6" t="str">
        <f>IFERROR(__xludf.DUMMYFUNCTION("GOOGLETRANSLATE(E144, ""en"", ""id"")"),"Pengakuan tahun 2001 memungkinkan anggaran nasional/provinsi mendukung acara dan pelatihan.")</f>
        <v>Pengakuan tahun 2001 memungkinkan anggaran nasional/provinsi mendukung acara dan pelatihan.</v>
      </c>
    </row>
    <row r="145">
      <c r="A145" s="5">
        <v>144.0</v>
      </c>
      <c r="B145" s="10" t="s">
        <v>2436</v>
      </c>
      <c r="C145" s="10" t="s">
        <v>2437</v>
      </c>
      <c r="D145" s="10" t="s">
        <v>2438</v>
      </c>
      <c r="E145" s="10" t="s">
        <v>2439</v>
      </c>
      <c r="G145" s="6" t="str">
        <f>IFERROR(__xludf.DUMMYFUNCTION("GOOGLETRANSLATE(A145, ""en"", ""id"")"),"144")</f>
        <v>144</v>
      </c>
      <c r="H145" s="6" t="str">
        <f>IFERROR(__xludf.DUMMYFUNCTION("GOOGLETRANSLATE(B145, ""en"", ""id"")"),"Aspek manakah dari penyelenggaraan SEA Games 2011 di Indonesia yang paling mendongkrak profil historis Tarung Derajat?")</f>
        <v>Aspek manakah dari penyelenggaraan SEA Games 2011 di Indonesia yang paling mendongkrak profil historis Tarung Derajat?</v>
      </c>
      <c r="I145" s="6" t="str">
        <f>IFERROR(__xludf.DUMMYFUNCTION("GOOGLETRANSLATE(C145, ""en"", ""id"")"),"A) Teknologi produksi TV baru B) Pembawa acara bersama di dua kota C) Komentator selebriti D) Korps sukarelawan yang diperluas")</f>
        <v>A) Teknologi produksi TV baru B) Pembawa acara bersama di dua kota C) Komentator selebriti D) Korps sukarelawan yang diperluas</v>
      </c>
      <c r="J145" s="6" t="str">
        <f>IFERROR(__xludf.DUMMYFUNCTION("GOOGLETRANSLATE(D145, ""en"", ""id"")"),"B) Menjadi tuan rumah bersama di dua kota")</f>
        <v>B) Menjadi tuan rumah bersama di dua kota</v>
      </c>
      <c r="K145" s="6" t="str">
        <f>IFERROR(__xludf.DUMMYFUNCTION("GOOGLETRANSLATE(E145, ""en"", ""id"")"),"Penyelenggaraan Jakarta–Palembang memberikan eksposur yang lebih luas dan fleksibilitas tempat untuk debut.")</f>
        <v>Penyelenggaraan Jakarta–Palembang memberikan eksposur yang lebih luas dan fleksibilitas tempat untuk debut.</v>
      </c>
    </row>
    <row r="146">
      <c r="A146" s="5">
        <v>145.0</v>
      </c>
      <c r="B146" s="10" t="s">
        <v>2440</v>
      </c>
      <c r="C146" s="10" t="s">
        <v>2441</v>
      </c>
      <c r="D146" s="10" t="s">
        <v>2442</v>
      </c>
      <c r="E146" s="10" t="s">
        <v>2443</v>
      </c>
      <c r="G146" s="6" t="str">
        <f>IFERROR(__xludf.DUMMYFUNCTION("GOOGLETRANSLATE(A146, ""en"", ""id"")"),"145")</f>
        <v>145</v>
      </c>
      <c r="H146" s="6" t="str">
        <f>IFERROR(__xludf.DUMMYFUNCTION("GOOGLETRANSLATE(B146, ""en"", ""id"")"),"Perkembangan manakah yang paling baik menjelaskan masuknya Tarung Derajat ke dalam kehidupan sekolah dan kampus secara historis?")</f>
        <v>Perkembangan manakah yang paling baik menjelaskan masuknya Tarung Derajat ke dalam kehidupan sekolah dan kampus secara historis?</v>
      </c>
      <c r="I146" s="6" t="str">
        <f>IFERROR(__xludf.DUMMYFUNCTION("GOOGLETRANSLATE(C146, ""en"", ""id"")"),"A) Jaringan alumni B) Biaya peralatan rendah C) Ikatan beasiswa D) Klinik pelatihan standar")</f>
        <v>A) Jaringan alumni B) Biaya peralatan rendah C) Ikatan beasiswa D) Klinik pelatihan standar</v>
      </c>
      <c r="J146" s="6" t="str">
        <f>IFERROR(__xludf.DUMMYFUNCTION("GOOGLETRANSLATE(D146, ""en"", ""id"")"),"D) Klinik pelatihan terstandarisasi")</f>
        <v>D) Klinik pelatihan terstandarisasi</v>
      </c>
      <c r="K146" s="6" t="str">
        <f>IFERROR(__xludf.DUMMYFUNCTION("GOOGLETRANSLATE(E146, ""en"", ""id"")"),"Pendidikan pelatih menghasilkan pelatihan yang konsisten, membuat klub layak di sekolah/universitas.")</f>
        <v>Pendidikan pelatih menghasilkan pelatihan yang konsisten, membuat klub layak di sekolah/universitas.</v>
      </c>
    </row>
    <row r="147">
      <c r="A147" s="5">
        <v>146.0</v>
      </c>
      <c r="B147" s="10" t="s">
        <v>2444</v>
      </c>
      <c r="C147" s="10" t="s">
        <v>2445</v>
      </c>
      <c r="D147" s="10" t="s">
        <v>2446</v>
      </c>
      <c r="E147" s="10" t="s">
        <v>2447</v>
      </c>
      <c r="G147" s="6" t="str">
        <f>IFERROR(__xludf.DUMMYFUNCTION("GOOGLETRANSLATE(A147, ""en"", ""id"")"),"146")</f>
        <v>146</v>
      </c>
      <c r="H147" s="6" t="str">
        <f>IFERROR(__xludf.DUMMYFUNCTION("GOOGLETRANSLATE(B147, ""en"", ""id"")"),"Langkah organisasi apa yang membantu menghindari fragmentasi di antara klub-klub awal di seluruh negeri?")</f>
        <v>Langkah organisasi apa yang membantu menghindari fragmentasi di antara klub-klub awal di seluruh negeri?</v>
      </c>
      <c r="I147" s="6" t="str">
        <f>IFERROR(__xludf.DUMMYFUNCTION("GOOGLETRANSLATE(C147, ""en"", ""id"")"),"A) Seragam wajib B) Silabus terpusat C) Parade tahunan D) Waralaba internasional")</f>
        <v>A) Seragam wajib B) Silabus terpusat C) Parade tahunan D) Waralaba internasional</v>
      </c>
      <c r="J147" s="6" t="str">
        <f>IFERROR(__xludf.DUMMYFUNCTION("GOOGLETRANSLATE(D147, ""en"", ""id"")"),"B) Silabus terpusat")</f>
        <v>B) Silabus terpusat</v>
      </c>
      <c r="K147" s="6" t="str">
        <f>IFERROR(__xludf.DUMMYFUNCTION("GOOGLETRANSLATE(E147, ""en"", ""id"")"),"Silabus nasional di bawah KODRAT menyelaraskan penilaian, acara, dan standar pelatihan.")</f>
        <v>Silabus nasional di bawah KODRAT menyelaraskan penilaian, acara, dan standar pelatihan.</v>
      </c>
    </row>
    <row r="148">
      <c r="A148" s="5">
        <v>147.0</v>
      </c>
      <c r="B148" s="10" t="s">
        <v>2448</v>
      </c>
      <c r="C148" s="10" t="s">
        <v>2449</v>
      </c>
      <c r="D148" s="10" t="s">
        <v>2450</v>
      </c>
      <c r="E148" s="10" t="s">
        <v>2451</v>
      </c>
      <c r="G148" s="6" t="str">
        <f>IFERROR(__xludf.DUMMYFUNCTION("GOOGLETRANSLATE(A148, ""en"", ""id"")"),"147")</f>
        <v>147</v>
      </c>
      <c r="H148" s="6" t="str">
        <f>IFERROR(__xludf.DUMMYFUNCTION("GOOGLETRANSLATE(B148, ""en"", ""id"")"),"Pola manakah yang menggambarkan sejarah penyebaran Tarung Derajat di Indonesia?")</f>
        <v>Pola manakah yang menggambarkan sejarah penyebaran Tarung Derajat di Indonesia?</v>
      </c>
      <c r="I148" s="6" t="str">
        <f>IFERROR(__xludf.DUMMYFUNCTION("GOOGLETRANSLATE(C148, ""en"", ""id"")"),"A) Kota pesisir terlebih dahulu B) Kepulauan timur ke barat C) Inti Jawa kemudian provinsi D) Pedesaan ke perkotaan")</f>
        <v>A) Kota pesisir terlebih dahulu B) Kepulauan timur ke barat C) Inti Jawa kemudian provinsi D) Pedesaan ke perkotaan</v>
      </c>
      <c r="J148" s="6" t="str">
        <f>IFERROR(__xludf.DUMMYFUNCTION("GOOGLETRANSLATE(D148, ""en"", ""id"")"),"C) Inti Jawa lalu provinsi")</f>
        <v>C) Inti Jawa lalu provinsi</v>
      </c>
      <c r="K148" s="6" t="str">
        <f>IFERROR(__xludf.DUMMYFUNCTION("GOOGLETRANSLATE(E148, ""en"", ""id"")"),"Dari Bandung/Jawa Barat, klub berkembang ke kota-kota lain di Jawa sebelum berkembang ke seluruh negeri.")</f>
        <v>Dari Bandung/Jawa Barat, klub berkembang ke kota-kota lain di Jawa sebelum berkembang ke seluruh negeri.</v>
      </c>
    </row>
    <row r="149">
      <c r="A149" s="5">
        <v>148.0</v>
      </c>
      <c r="B149" s="10" t="s">
        <v>2452</v>
      </c>
      <c r="C149" s="10" t="s">
        <v>2453</v>
      </c>
      <c r="D149" s="10" t="s">
        <v>2454</v>
      </c>
      <c r="E149" s="10" t="s">
        <v>2455</v>
      </c>
      <c r="G149" s="6" t="str">
        <f>IFERROR(__xludf.DUMMYFUNCTION("GOOGLETRANSLATE(A149, ""en"", ""id"")"),"148")</f>
        <v>148</v>
      </c>
      <c r="H149" s="6" t="str">
        <f>IFERROR(__xludf.DUMMYFUNCTION("GOOGLETRANSLATE(B149, ""en"", ""id"")"),"Jenis liputan media awal manakah yang paling memengaruhi pemangku kepentingan pemerintah tentang Tarung Derajat?")</f>
        <v>Jenis liputan media awal manakah yang paling memengaruhi pemangku kepentingan pemerintah tentang Tarung Derajat?</v>
      </c>
      <c r="I149" s="6" t="str">
        <f>IFERROR(__xludf.DUMMYFUNCTION("GOOGLETRANSLATE(C149, ""en"", ""id"")"),"A) Majalah internasional B) Fitur berita TV lokal C) Acara panggilan radio D) Podcast olahraga")</f>
        <v>A) Majalah internasional B) Fitur berita TV lokal C) Acara panggilan radio D) Podcast olahraga</v>
      </c>
      <c r="J149" s="6" t="str">
        <f>IFERROR(__xludf.DUMMYFUNCTION("GOOGLETRANSLATE(D149, ""en"", ""id"")"),"B) Fitur berita TV lokal")</f>
        <v>B) Fitur berita TV lokal</v>
      </c>
      <c r="K149" s="6" t="str">
        <f>IFERROR(__xludf.DUMMYFUNCTION("GOOGLETRANSLATE(E149, ""en"", ""id"")"),"Segmen TV regional menampilkan keselamatan, peraturan, dan dampak komunitas kepada para pejabat.")</f>
        <v>Segmen TV regional menampilkan keselamatan, peraturan, dan dampak komunitas kepada para pejabat.</v>
      </c>
    </row>
    <row r="150">
      <c r="A150" s="5">
        <v>149.0</v>
      </c>
      <c r="B150" s="10" t="s">
        <v>2456</v>
      </c>
      <c r="C150" s="10" t="s">
        <v>2457</v>
      </c>
      <c r="D150" s="10" t="s">
        <v>2458</v>
      </c>
      <c r="E150" s="10" t="s">
        <v>2459</v>
      </c>
      <c r="G150" s="6" t="str">
        <f>IFERROR(__xludf.DUMMYFUNCTION("GOOGLETRANSLATE(A150, ""en"", ""id"")"),"149")</f>
        <v>149</v>
      </c>
      <c r="H150" s="6" t="str">
        <f>IFERROR(__xludf.DUMMYFUNCTION("GOOGLETRANSLATE(B150, ""en"", ""id"")"),"Acara multi-olahraga nasional manakah yang visibilitasnya langsung mendahului dimasukkannya SEA Games?")</f>
        <v>Acara multi-olahraga nasional manakah yang visibilitasnya langsung mendahului dimasukkannya SEA Games?</v>
      </c>
      <c r="I150" s="6" t="str">
        <f>IFERROR(__xludf.DUMMYFUNCTION("GOOGLETRANSLATE(C150, ""en"", ""id"")"),"A) Fornas (Festival Olahraga Nasional) B) Popnas (Pekan Olahraga Mahasiswa Nasional) C) POMNas (Pekan Olahraga Universitas) D) PON (Pekan Olahraga Nasional)")</f>
        <v>A) Fornas (Festival Olahraga Nasional) B) Popnas (Pekan Olahraga Mahasiswa Nasional) C) POMNas (Pekan Olahraga Universitas) D) PON (Pekan Olahraga Nasional)</v>
      </c>
      <c r="J150" s="6" t="str">
        <f>IFERROR(__xludf.DUMMYFUNCTION("GOOGLETRANSLATE(D150, ""en"", ""id"")"),"D) PON (Pekan Olahraga Nasional)")</f>
        <v>D) PON (Pekan Olahraga Nasional)</v>
      </c>
      <c r="K150" s="6" t="str">
        <f>IFERROR(__xludf.DUMMYFUNCTION("GOOGLETRANSLATE(E150, ""en"", ""id"")"),"Kompetisi PON XVII (2008) membantu mempersiapkan diri untuk penyelenggaraan SEA Games 2011.")</f>
        <v>Kompetisi PON XVII (2008) membantu mempersiapkan diri untuk penyelenggaraan SEA Games 2011.</v>
      </c>
    </row>
    <row r="151">
      <c r="A151" s="5">
        <v>150.0</v>
      </c>
      <c r="B151" s="10" t="s">
        <v>2460</v>
      </c>
      <c r="C151" s="10" t="s">
        <v>2461</v>
      </c>
      <c r="D151" s="10" t="s">
        <v>2462</v>
      </c>
      <c r="E151" s="10" t="s">
        <v>2463</v>
      </c>
      <c r="G151" s="6" t="str">
        <f>IFERROR(__xludf.DUMMYFUNCTION("GOOGLETRANSLATE(A151, ""en"", ""id"")"),"150")</f>
        <v>150</v>
      </c>
      <c r="H151" s="6" t="str">
        <f>IFERROR(__xludf.DUMMYFUNCTION("GOOGLETRANSLATE(B151, ""en"", ""id"")"),"Secara historis, frasa apa yang paling tepat merangkum perjalanan Tarung Derajat dari jalanan ke stadion?")</f>
        <v>Secara historis, frasa apa yang paling tepat merangkum perjalanan Tarung Derajat dari jalanan ke stadion?</v>
      </c>
      <c r="I151" s="6" t="str">
        <f>IFERROR(__xludf.DUMMYFUNCTION("GOOGLETRANSLATE(C151, ""en"", ""id"")"),"A) “Dari ritual ke pangkat,” B) “Dari cincin ke rekaman,” C) “Dari bertahan hidup ke olahraga,” D) “Dari seni ke arsip”")</f>
        <v>A) “Dari ritual ke pangkat,” B) “Dari cincin ke rekaman,” C) “Dari bertahan hidup ke olahraga,” D) “Dari seni ke arsip”</v>
      </c>
      <c r="J151" s="6" t="str">
        <f>IFERROR(__xludf.DUMMYFUNCTION("GOOGLETRANSLATE(D151, ""en"", ""id"")"),"C) “Dari bertahan hidup ke olahraga”")</f>
        <v>C) “Dari bertahan hidup ke olahraga”</v>
      </c>
      <c r="K151" s="6" t="str">
        <f>IFERROR(__xludf.DUMMYFUNCTION("GOOGLETRANSLATE(E151, ""en"", ""id"")"),"Olahraga ini berkembang dari bela diri jalanan yang pragmatis menjadi olahraga yang diakui secara nasional.")</f>
        <v>Olahraga ini berkembang dari bela diri jalanan yang pragmatis menjadi olahraga yang diakui secara nasional.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7.0"/>
    <col customWidth="1" min="3" max="3" width="24.0"/>
    <col customWidth="1" min="4" max="4" width="20.38"/>
    <col customWidth="1" min="5" max="5" width="37.63"/>
    <col customWidth="1" min="7" max="7" width="16.88"/>
    <col customWidth="1" min="8" max="9" width="37.63"/>
    <col customWidth="1" min="10" max="10" width="27.88"/>
    <col customWidth="1" min="11" max="11" width="3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</row>
    <row r="2">
      <c r="A2" s="5">
        <v>1.0</v>
      </c>
      <c r="B2" s="5" t="s">
        <v>2464</v>
      </c>
      <c r="C2" s="5" t="s">
        <v>1375</v>
      </c>
      <c r="D2" s="5" t="s">
        <v>1376</v>
      </c>
      <c r="E2" s="5" t="s">
        <v>2465</v>
      </c>
      <c r="G2" s="6" t="str">
        <f>IFERROR(__xludf.DUMMYFUNCTION("GOOGLETRANSLATE(A2, ""en"", ""id"")"),"1")</f>
        <v>1</v>
      </c>
      <c r="H2" s="6" t="str">
        <f>IFERROR(__xludf.DUMMYFUNCTION("GOOGLETRANSLATE(B2, ""en"", ""id"")"),"Pencak Silat berasal dari negara mana?")</f>
        <v>Pencak Silat berasal dari negara mana?</v>
      </c>
      <c r="I2" s="6" t="str">
        <f>IFERROR(__xludf.DUMMYFUNCTION("GOOGLETRANSLATE(C2, ""en"", ""id"")"),"A) Thailand, B) Malaysia, C) Indonesia, D) Filipina")</f>
        <v>A) Thailand, B) Malaysia, C) Indonesia, D) Filipina</v>
      </c>
      <c r="J2" s="6" t="str">
        <f>IFERROR(__xludf.DUMMYFUNCTION("GOOGLETRANSLATE(D2, ""en"", ""id"")"),"C) Indonesia")</f>
        <v>C) Indonesia</v>
      </c>
      <c r="K2" s="6" t="str">
        <f>IFERROR(__xludf.DUMMYFUNCTION("GOOGLETRANSLATE(E2, ""en"", ""id"")"),"Pencak Silat merupakan seni bela diri tradisional yang berasal dari Indonesia.")</f>
        <v>Pencak Silat merupakan seni bela diri tradisional yang berasal dari Indonesia.</v>
      </c>
    </row>
    <row r="3">
      <c r="A3" s="5">
        <v>2.0</v>
      </c>
      <c r="B3" s="5" t="s">
        <v>2466</v>
      </c>
      <c r="C3" s="5" t="s">
        <v>2467</v>
      </c>
      <c r="D3" s="5" t="s">
        <v>2468</v>
      </c>
      <c r="E3" s="5" t="s">
        <v>2469</v>
      </c>
      <c r="G3" s="6" t="str">
        <f>IFERROR(__xludf.DUMMYFUNCTION("GOOGLETRANSLATE(A3, ""en"", ""id"")"),"2")</f>
        <v>2</v>
      </c>
      <c r="H3" s="6" t="str">
        <f>IFERROR(__xludf.DUMMYFUNCTION("GOOGLETRANSLATE(B3, ""en"", ""id"")"),"Pada abad manakah Pencak Silat kemungkinan mulai berkembang?")</f>
        <v>Pada abad manakah Pencak Silat kemungkinan mulai berkembang?</v>
      </c>
      <c r="I3" s="6" t="str">
        <f>IFERROR(__xludf.DUMMYFUNCTION("GOOGLETRANSLATE(C3, ""en"", ""id"")"),"A) Abad ke-12, B) Abad ke-14, C) Abad ke-16, D) Abad ke-18")</f>
        <v>A) Abad ke-12, B) Abad ke-14, C) Abad ke-16, D) Abad ke-18</v>
      </c>
      <c r="J3" s="6" t="str">
        <f>IFERROR(__xludf.DUMMYFUNCTION("GOOGLETRANSLATE(D3, ""en"", ""id"")"),"A) Abad ke-12")</f>
        <v>A) Abad ke-12</v>
      </c>
      <c r="K3" s="6" t="str">
        <f>IFERROR(__xludf.DUMMYFUNCTION("GOOGLETRANSLATE(E3, ""en"", ""id"")"),"Pencak Silat diyakini berasal dari abad ke-12 di Asia Tenggara.")</f>
        <v>Pencak Silat diyakini berasal dari abad ke-12 di Asia Tenggara.</v>
      </c>
    </row>
    <row r="4">
      <c r="A4" s="5">
        <v>3.0</v>
      </c>
      <c r="B4" s="5" t="s">
        <v>2470</v>
      </c>
      <c r="C4" s="5" t="s">
        <v>2471</v>
      </c>
      <c r="D4" s="5" t="s">
        <v>2472</v>
      </c>
      <c r="E4" s="5" t="s">
        <v>2473</v>
      </c>
      <c r="G4" s="6" t="str">
        <f>IFERROR(__xludf.DUMMYFUNCTION("GOOGLETRANSLATE(A4, ""en"", ""id"")"),"3")</f>
        <v>3</v>
      </c>
      <c r="H4" s="6" t="str">
        <f>IFERROR(__xludf.DUMMYFUNCTION("GOOGLETRANSLATE(B4, ""en"", ""id"")"),"Pencak Silat dipengaruhi oleh budaya manakah berikut ini?")</f>
        <v>Pencak Silat dipengaruhi oleh budaya manakah berikut ini?</v>
      </c>
      <c r="I4" s="6" t="str">
        <f>IFERROR(__xludf.DUMMYFUNCTION("GOOGLETRANSLATE(C4, ""en"", ""id"")"),"A) Hindu-Budha, B) Islam, C) Barat, D) Jepang")</f>
        <v>A) Hindu-Budha, B) Islam, C) Barat, D) Jepang</v>
      </c>
      <c r="J4" s="6" t="str">
        <f>IFERROR(__xludf.DUMMYFUNCTION("GOOGLETRANSLATE(D4, ""en"", ""id"")"),"A) Hindu-Budha")</f>
        <v>A) Hindu-Budha</v>
      </c>
      <c r="K4" s="6" t="str">
        <f>IFERROR(__xludf.DUMMYFUNCTION("GOOGLETRANSLATE(E4, ""en"", ""id"")"),"Seni Pencak Silat memiliki pengaruh yang mendalam dari budaya Hindu-Budha di Indonesia.")</f>
        <v>Seni Pencak Silat memiliki pengaruh yang mendalam dari budaya Hindu-Budha di Indonesia.</v>
      </c>
    </row>
    <row r="5">
      <c r="A5" s="5">
        <v>4.0</v>
      </c>
      <c r="B5" s="5" t="s">
        <v>2474</v>
      </c>
      <c r="C5" s="5" t="s">
        <v>2475</v>
      </c>
      <c r="D5" s="5" t="s">
        <v>2476</v>
      </c>
      <c r="E5" s="7" t="s">
        <v>2477</v>
      </c>
      <c r="G5" s="6" t="str">
        <f>IFERROR(__xludf.DUMMYFUNCTION("GOOGLETRANSLATE(A5, ""en"", ""id"")"),"4")</f>
        <v>4</v>
      </c>
      <c r="H5" s="6" t="str">
        <f>IFERROR(__xludf.DUMMYFUNCTION("GOOGLETRANSLATE(B5, ""en"", ""id"")"),"Nama 'Pencak Silat' menggabungkan kata dari bahasa apa?")</f>
        <v>Nama 'Pencak Silat' menggabungkan kata dari bahasa apa?</v>
      </c>
      <c r="I5" s="6" t="str">
        <f>IFERROR(__xludf.DUMMYFUNCTION("GOOGLETRANSLATE(C5, ""en"", ""id"")"),"A) Jawa dan Sunda, B) Jawa dan Melayu, C) Bali dan Melayu, D) Sunda dan Bali")</f>
        <v>A) Jawa dan Sunda, B) Jawa dan Melayu, C) Bali dan Melayu, D) Sunda dan Bali</v>
      </c>
      <c r="J5" s="6" t="str">
        <f>IFERROR(__xludf.DUMMYFUNCTION("GOOGLETRANSLATE(D5, ""en"", ""id"")"),"B) Jawa dan Melayu")</f>
        <v>B) Jawa dan Melayu</v>
      </c>
      <c r="K5" s="6" t="str">
        <f>IFERROR(__xludf.DUMMYFUNCTION("GOOGLETRANSLATE(E5, ""en"", ""id"")"),"'Pencak' berasal dari bahasa Jawa, sedangkan 'Silat' berasal dari bahasa Melayu.")</f>
        <v>'Pencak' berasal dari bahasa Jawa, sedangkan 'Silat' berasal dari bahasa Melayu.</v>
      </c>
    </row>
    <row r="6">
      <c r="A6" s="5">
        <v>5.0</v>
      </c>
      <c r="B6" s="5" t="s">
        <v>2478</v>
      </c>
      <c r="C6" s="5" t="s">
        <v>2479</v>
      </c>
      <c r="D6" s="5" t="s">
        <v>2480</v>
      </c>
      <c r="E6" s="5" t="s">
        <v>2481</v>
      </c>
      <c r="G6" s="6" t="str">
        <f>IFERROR(__xludf.DUMMYFUNCTION("GOOGLETRANSLATE(A6, ""en"", ""id"")"),"5")</f>
        <v>5</v>
      </c>
      <c r="H6" s="6" t="str">
        <f>IFERROR(__xludf.DUMMYFUNCTION("GOOGLETRANSLATE(B6, ""en"", ""id"")"),"Pencak Silat diakui oleh UNESCO sebagai warisan budaya takbenda pada tahun berapa?")</f>
        <v>Pencak Silat diakui oleh UNESCO sebagai warisan budaya takbenda pada tahun berapa?</v>
      </c>
      <c r="I6" s="6" t="str">
        <f>IFERROR(__xludf.DUMMYFUNCTION("GOOGLETRANSLATE(C6, ""en"", ""id"")"),"A) Tahun 2017, B) Tahun 2018, C) Tahun 2019, D) Tahun 2020")</f>
        <v>A) Tahun 2017, B) Tahun 2018, C) Tahun 2019, D) Tahun 2020</v>
      </c>
      <c r="J6" s="6" t="str">
        <f>IFERROR(__xludf.DUMMYFUNCTION("GOOGLETRANSLATE(D6, ""en"", ""id"")"),"C) Tahun 2019")</f>
        <v>C) Tahun 2019</v>
      </c>
      <c r="K6" s="6" t="str">
        <f>IFERROR(__xludf.DUMMYFUNCTION("GOOGLETRANSLATE(E6, ""en"", ""id"")"),"UNESCO mengakui Pencak Silat sebagai warisan budaya takbenda pada tahun 2019.")</f>
        <v>UNESCO mengakui Pencak Silat sebagai warisan budaya takbenda pada tahun 2019.</v>
      </c>
    </row>
    <row r="7">
      <c r="A7" s="5">
        <v>6.0</v>
      </c>
      <c r="B7" s="5" t="s">
        <v>2482</v>
      </c>
      <c r="C7" s="5" t="s">
        <v>2483</v>
      </c>
      <c r="D7" s="5" t="s">
        <v>1066</v>
      </c>
      <c r="E7" s="5" t="s">
        <v>2484</v>
      </c>
      <c r="G7" s="6" t="str">
        <f>IFERROR(__xludf.DUMMYFUNCTION("GOOGLETRANSLATE(A7, ""en"", ""id"")"),"6")</f>
        <v>6</v>
      </c>
      <c r="H7" s="6" t="str">
        <f>IFERROR(__xludf.DUMMYFUNCTION("GOOGLETRANSLATE(B7, ""en"", ""id"")"),"Kerajaan Indonesia manakah yang dianggap menyebarkan Pencak Silat ke seluruh Asia Tenggara?")</f>
        <v>Kerajaan Indonesia manakah yang dianggap menyebarkan Pencak Silat ke seluruh Asia Tenggara?</v>
      </c>
      <c r="I7" s="6" t="str">
        <f>IFERROR(__xludf.DUMMYFUNCTION("GOOGLETRANSLATE(C7, ""en"", ""id"")"),"A) Majapahit, B) Sriwijaya, C) Mataram, D) Samudra Pasai")</f>
        <v>A) Majapahit, B) Sriwijaya, C) Mataram, D) Samudra Pasai</v>
      </c>
      <c r="J7" s="6" t="str">
        <f>IFERROR(__xludf.DUMMYFUNCTION("GOOGLETRANSLATE(D7, ""en"", ""id"")"),"A. Majapahit")</f>
        <v>A. Majapahit</v>
      </c>
      <c r="K7" s="6" t="str">
        <f>IFERROR(__xludf.DUMMYFUNCTION("GOOGLETRANSLATE(E7, ""en"", ""id"")"),"Kerajaan Majapahit membantu menyebarkan Pencak Silat melalui jaringannya yang luas di Asia Tenggara.")</f>
        <v>Kerajaan Majapahit membantu menyebarkan Pencak Silat melalui jaringannya yang luas di Asia Tenggara.</v>
      </c>
    </row>
    <row r="8">
      <c r="A8" s="5">
        <v>7.0</v>
      </c>
      <c r="B8" s="5" t="s">
        <v>2485</v>
      </c>
      <c r="C8" s="5" t="s">
        <v>2486</v>
      </c>
      <c r="D8" s="5" t="s">
        <v>577</v>
      </c>
      <c r="E8" s="5" t="s">
        <v>2487</v>
      </c>
      <c r="G8" s="6" t="str">
        <f>IFERROR(__xludf.DUMMYFUNCTION("GOOGLETRANSLATE(A8, ""en"", ""id"")"),"7")</f>
        <v>7</v>
      </c>
      <c r="H8" s="6" t="str">
        <f>IFERROR(__xludf.DUMMYFUNCTION("GOOGLETRANSLATE(B8, ""en"", ""id"")"),"Pencak Silat secara historis dipraktikkan untuk tujuan apa?")</f>
        <v>Pencak Silat secara historis dipraktikkan untuk tujuan apa?</v>
      </c>
      <c r="I8" s="6" t="str">
        <f>IFERROR(__xludf.DUMMYFUNCTION("GOOGLETRANSLATE(C8, ""en"", ""id"")"),"A) Pengembangan spiritual, B) Pertahanan diri, C) Hiburan, D) Semua jawaban di atas")</f>
        <v>A) Pengembangan spiritual, B) Pertahanan diri, C) Hiburan, D) Semua jawaban di atas</v>
      </c>
      <c r="J8" s="6" t="str">
        <f>IFERROR(__xludf.DUMMYFUNCTION("GOOGLETRANSLATE(D8, ""en"", ""id"")"),"D) Semua jawaban di atas")</f>
        <v>D) Semua jawaban di atas</v>
      </c>
      <c r="K8" s="6" t="str">
        <f>IFERROR(__xludf.DUMMYFUNCTION("GOOGLETRANSLATE(E8, ""en"", ""id"")"),"Pencak Silat menggabungkan unsur spiritual, pertahanan diri, dan hiburan.")</f>
        <v>Pencak Silat menggabungkan unsur spiritual, pertahanan diri, dan hiburan.</v>
      </c>
    </row>
    <row r="9">
      <c r="A9" s="5">
        <v>8.0</v>
      </c>
      <c r="B9" s="5" t="s">
        <v>2488</v>
      </c>
      <c r="C9" s="5" t="s">
        <v>2489</v>
      </c>
      <c r="D9" s="5" t="s">
        <v>2490</v>
      </c>
      <c r="E9" s="5" t="s">
        <v>2491</v>
      </c>
      <c r="G9" s="6" t="str">
        <f>IFERROR(__xludf.DUMMYFUNCTION("GOOGLETRANSLATE(A9, ""en"", ""id"")"),"8")</f>
        <v>8</v>
      </c>
      <c r="H9" s="6" t="str">
        <f>IFERROR(__xludf.DUMMYFUNCTION("GOOGLETRANSLATE(B9, ""en"", ""id"")"),"Pencak Silat dikenal karena integrasinya aspek spiritual yang mana?")</f>
        <v>Pencak Silat dikenal karena integrasinya aspek spiritual yang mana?</v>
      </c>
      <c r="I9" s="6" t="str">
        <f>IFERROR(__xludf.DUMMYFUNCTION("GOOGLETRANSLATE(C9, ""en"", ""id"")"),"A) Meditasi, B) Musik, C) Tari, D) Mantra")</f>
        <v>A) Meditasi, B) Musik, C) Tari, D) Mantra</v>
      </c>
      <c r="J9" s="6" t="str">
        <f>IFERROR(__xludf.DUMMYFUNCTION("GOOGLETRANSLATE(D9, ""en"", ""id"")"),"C) Tari")</f>
        <v>C) Tari</v>
      </c>
      <c r="K9" s="6" t="str">
        <f>IFERROR(__xludf.DUMMYFUNCTION("GOOGLETRANSLATE(E9, ""en"", ""id"")"),"Tari merupakan komponen kunci dalam Pencak Silat, melambangkan keselarasan dan keanggunan dalam gerakan.")</f>
        <v>Tari merupakan komponen kunci dalam Pencak Silat, melambangkan keselarasan dan keanggunan dalam gerakan.</v>
      </c>
    </row>
    <row r="10">
      <c r="A10" s="5">
        <v>9.0</v>
      </c>
      <c r="B10" s="5" t="s">
        <v>2492</v>
      </c>
      <c r="C10" s="5" t="s">
        <v>2493</v>
      </c>
      <c r="D10" s="5" t="s">
        <v>2494</v>
      </c>
      <c r="E10" s="5" t="s">
        <v>2495</v>
      </c>
      <c r="G10" s="6" t="str">
        <f>IFERROR(__xludf.DUMMYFUNCTION("GOOGLETRANSLATE(A10, ""en"", ""id"")"),"9")</f>
        <v>9</v>
      </c>
      <c r="H10" s="6" t="str">
        <f>IFERROR(__xludf.DUMMYFUNCTION("GOOGLETRANSLATE(B10, ""en"", ""id"")"),"Badan pengurus utama Pencak Silat di Indonesia dikenal sebagai apa?")</f>
        <v>Badan pengurus utama Pencak Silat di Indonesia dikenal sebagai apa?</v>
      </c>
      <c r="I10" s="6" t="str">
        <f>IFERROR(__xludf.DUMMYFUNCTION("GOOGLETRANSLATE(C10, ""en"", ""id"")"),"A) Persilat, B) IPSI, C) Silat Bersatu, D) Federasi Silat Indonesia")</f>
        <v>A) Persilat, B) IPSI, C) Silat Bersatu, D) Federasi Silat Indonesia</v>
      </c>
      <c r="J10" s="6" t="str">
        <f>IFERROR(__xludf.DUMMYFUNCTION("GOOGLETRANSLATE(D10, ""en"", ""id"")"),"B) IPSI")</f>
        <v>B) IPSI</v>
      </c>
      <c r="K10" s="6" t="str">
        <f>IFERROR(__xludf.DUMMYFUNCTION("GOOGLETRANSLATE(E10, ""en"", ""id"")"),"Ikatan Pencak Silat Indonesia (IPSI) merupakan organisasi utama yang mengatur Pencak Silat di Indonesia.")</f>
        <v>Ikatan Pencak Silat Indonesia (IPSI) merupakan organisasi utama yang mengatur Pencak Silat di Indonesia.</v>
      </c>
    </row>
    <row r="11">
      <c r="A11" s="5">
        <v>10.0</v>
      </c>
      <c r="B11" s="5" t="s">
        <v>2496</v>
      </c>
      <c r="C11" s="5" t="s">
        <v>2497</v>
      </c>
      <c r="D11" s="5" t="s">
        <v>2498</v>
      </c>
      <c r="E11" s="5" t="s">
        <v>2499</v>
      </c>
      <c r="G11" s="6" t="str">
        <f>IFERROR(__xludf.DUMMYFUNCTION("GOOGLETRANSLATE(A11, ""en"", ""id"")"),"10")</f>
        <v>10</v>
      </c>
      <c r="H11" s="6" t="str">
        <f>IFERROR(__xludf.DUMMYFUNCTION("GOOGLETRANSLATE(B11, ""en"", ""id"")"),"Pencak Silat digunakan oleh nasionalis Indonesia selama konflik besar yang mana?")</f>
        <v>Pencak Silat digunakan oleh nasionalis Indonesia selama konflik besar yang mana?</v>
      </c>
      <c r="I11" s="6" t="str">
        <f>IFERROR(__xludf.DUMMYFUNCTION("GOOGLETRANSLATE(C11, ""en"", ""id"")"),"A) Perang Kemerdekaan Indonesia, B) Perang Dunia II, C) Pemberontakan Boxer, D) Perang Dingin")</f>
        <v>A) Perang Kemerdekaan Indonesia, B) Perang Dunia II, C) Pemberontakan Boxer, D) Perang Dingin</v>
      </c>
      <c r="J11" s="6" t="str">
        <f>IFERROR(__xludf.DUMMYFUNCTION("GOOGLETRANSLATE(D11, ""en"", ""id"")"),"A) Perang Kemerdekaan Indonesia")</f>
        <v>A) Perang Kemerdekaan Indonesia</v>
      </c>
      <c r="K11" s="6" t="str">
        <f>IFERROR(__xludf.DUMMYFUNCTION("GOOGLETRANSLATE(E11, ""en"", ""id"")"),"Pencak Silat dipraktikkan oleh pejuang kemerdekaan Indonesia selama Perang Kemerdekaan melawan Belanda.")</f>
        <v>Pencak Silat dipraktikkan oleh pejuang kemerdekaan Indonesia selama Perang Kemerdekaan melawan Belanda.</v>
      </c>
    </row>
    <row r="12">
      <c r="A12" s="5">
        <v>11.0</v>
      </c>
      <c r="B12" s="5" t="s">
        <v>2500</v>
      </c>
      <c r="C12" s="5" t="s">
        <v>2501</v>
      </c>
      <c r="D12" s="5" t="s">
        <v>2502</v>
      </c>
      <c r="E12" s="5" t="s">
        <v>2503</v>
      </c>
      <c r="G12" s="6" t="str">
        <f>IFERROR(__xludf.DUMMYFUNCTION("GOOGLETRANSLATE(A12, ""en"", ""id"")"),"11")</f>
        <v>11</v>
      </c>
      <c r="H12" s="6" t="str">
        <f>IFERROR(__xludf.DUMMYFUNCTION("GOOGLETRANSLATE(B12, ""en"", ""id"")"),"Pencak Silat menelusuri asal usulnya ke bentuk seni bela diri Indonesia kuno yang mana?")</f>
        <v>Pencak Silat menelusuri asal usulnya ke bentuk seni bela diri Indonesia kuno yang mana?</v>
      </c>
      <c r="I12" s="6" t="str">
        <f>IFERROR(__xludf.DUMMYFUNCTION("GOOGLETRANSLATE(C12, ""en"", ""id"")"),"A) Silat Pulut, B) Kuntao, C) Seni Gayong, D) Harimau")</f>
        <v>A) Silat Pulut, B) Kuntao, C) Seni Gayong, D) Harimau</v>
      </c>
      <c r="J12" s="6" t="str">
        <f>IFERROR(__xludf.DUMMYFUNCTION("GOOGLETRANSLATE(D12, ""en"", ""id"")"),"B) Kuntao")</f>
        <v>B) Kuntao</v>
      </c>
      <c r="K12" s="6" t="str">
        <f>IFERROR(__xludf.DUMMYFUNCTION("GOOGLETRANSLATE(E12, ""en"", ""id"")"),"Kuntao adalah seni bela diri kuno yang memengaruhi perkembangan Pencak Silat.")</f>
        <v>Kuntao adalah seni bela diri kuno yang memengaruhi perkembangan Pencak Silat.</v>
      </c>
    </row>
    <row r="13">
      <c r="A13" s="5">
        <v>12.0</v>
      </c>
      <c r="B13" s="5" t="s">
        <v>2504</v>
      </c>
      <c r="C13" s="5" t="s">
        <v>2505</v>
      </c>
      <c r="D13" s="5" t="s">
        <v>1521</v>
      </c>
      <c r="E13" s="5" t="s">
        <v>2506</v>
      </c>
      <c r="G13" s="6" t="str">
        <f>IFERROR(__xludf.DUMMYFUNCTION("GOOGLETRANSLATE(A13, ""en"", ""id"")"),"12")</f>
        <v>12</v>
      </c>
      <c r="H13" s="6" t="str">
        <f>IFERROR(__xludf.DUMMYFUNCTION("GOOGLETRANSLATE(B13, ""en"", ""id"")"),"Negara Asia Tenggara manakah yang juga dikenal karena akar sejarah Silatnya selain Indonesia?")</f>
        <v>Negara Asia Tenggara manakah yang juga dikenal karena akar sejarah Silatnya selain Indonesia?</v>
      </c>
      <c r="I13" s="6" t="str">
        <f>IFERROR(__xludf.DUMMYFUNCTION("GOOGLETRANSLATE(C13, ""en"", ""id"")"),"A) Malaysia, B) Thailand, C) Filipina, D) Vietnam")</f>
        <v>A) Malaysia, B) Thailand, C) Filipina, D) Vietnam</v>
      </c>
      <c r="J13" s="6" t="str">
        <f>IFERROR(__xludf.DUMMYFUNCTION("GOOGLETRANSLATE(D13, ""en"", ""id"")"),"A) Malaysia")</f>
        <v>A) Malaysia</v>
      </c>
      <c r="K13" s="6" t="str">
        <f>IFERROR(__xludf.DUMMYFUNCTION("GOOGLETRANSLATE(E13, ""en"", ""id"")"),"Silat mempunyai akar sejarah baik di Indonesia maupun Malaysia.")</f>
        <v>Silat mempunyai akar sejarah baik di Indonesia maupun Malaysia.</v>
      </c>
    </row>
    <row r="14">
      <c r="A14" s="5">
        <v>13.0</v>
      </c>
      <c r="B14" s="5" t="s">
        <v>2507</v>
      </c>
      <c r="C14" s="5" t="s">
        <v>2508</v>
      </c>
      <c r="D14" s="5" t="s">
        <v>2509</v>
      </c>
      <c r="E14" s="7" t="s">
        <v>2510</v>
      </c>
      <c r="G14" s="6" t="str">
        <f>IFERROR(__xludf.DUMMYFUNCTION("GOOGLETRANSLATE(A14, ""en"", ""id"")"),"13")</f>
        <v>13</v>
      </c>
      <c r="H14" s="6" t="str">
        <f>IFERROR(__xludf.DUMMYFUNCTION("GOOGLETRANSLATE(B14, ""en"", ""id"")"),"Komponen Pencak Silat yang manakah yang mengacu pada aspek pertunjukan seni?")</f>
        <v>Komponen Pencak Silat yang manakah yang mengacu pada aspek pertunjukan seni?</v>
      </c>
      <c r="I14" s="6" t="str">
        <f>IFERROR(__xludf.DUMMYFUNCTION("GOOGLETRANSLATE(C14, ""en"", ""id"")"),"A) Pencak, B) Silat, C) Harimau, D) Gayong")</f>
        <v>A) Pencak, B) Silat, C) Harimau, D) Gayong</v>
      </c>
      <c r="J14" s="6" t="str">
        <f>IFERROR(__xludf.DUMMYFUNCTION("GOOGLETRANSLATE(D14, ""en"", ""id"")"),"A) Pencak")</f>
        <v>A) Pencak</v>
      </c>
      <c r="K14" s="6" t="str">
        <f>IFERROR(__xludf.DUMMYFUNCTION("GOOGLETRANSLATE(E14, ""en"", ""id"")"),"'Pencak' merujuk pada aspek penampilan, sementara 'Silat' menekankan teknik pertarungan.")</f>
        <v>'Pencak' merujuk pada aspek penampilan, sementara 'Silat' menekankan teknik pertarungan.</v>
      </c>
    </row>
    <row r="15">
      <c r="A15" s="5">
        <v>14.0</v>
      </c>
      <c r="B15" s="5" t="s">
        <v>2511</v>
      </c>
      <c r="C15" s="5" t="s">
        <v>2512</v>
      </c>
      <c r="D15" s="5" t="s">
        <v>2513</v>
      </c>
      <c r="E15" s="5" t="s">
        <v>2514</v>
      </c>
      <c r="G15" s="6" t="str">
        <f>IFERROR(__xludf.DUMMYFUNCTION("GOOGLETRANSLATE(A15, ""en"", ""id"")"),"14")</f>
        <v>14</v>
      </c>
      <c r="H15" s="6" t="str">
        <f>IFERROR(__xludf.DUMMYFUNCTION("GOOGLETRANSLATE(B15, ""en"", ""id"")"),"Dalam Pencak Silat, apa arti istilah 'Silat' secara khusus?")</f>
        <v>Dalam Pencak Silat, apa arti istilah 'Silat' secara khusus?</v>
      </c>
      <c r="I15" s="6" t="str">
        <f>IFERROR(__xludf.DUMMYFUNCTION("GOOGLETRANSLATE(C15, ""en"", ""id"")"),"A) Teknik, B) Keterampilan, C) Pertempuran, D) Semangat")</f>
        <v>A) Teknik, B) Keterampilan, C) Pertempuran, D) Semangat</v>
      </c>
      <c r="J15" s="6" t="str">
        <f>IFERROR(__xludf.DUMMYFUNCTION("GOOGLETRANSLATE(D15, ""en"", ""id"")"),"C) Pertempuran")</f>
        <v>C) Pertempuran</v>
      </c>
      <c r="K15" s="6" t="str">
        <f>IFERROR(__xludf.DUMMYFUNCTION("GOOGLETRANSLATE(E15, ""en"", ""id"")"),"Istilah 'Silat' dikaitkan dengan aspek pertarungan seni bela diri.")</f>
        <v>Istilah 'Silat' dikaitkan dengan aspek pertarungan seni bela diri.</v>
      </c>
    </row>
    <row r="16">
      <c r="A16" s="5">
        <v>15.0</v>
      </c>
      <c r="B16" s="5" t="s">
        <v>2515</v>
      </c>
      <c r="C16" s="5" t="s">
        <v>2516</v>
      </c>
      <c r="D16" s="5" t="s">
        <v>2517</v>
      </c>
      <c r="E16" s="5" t="s">
        <v>2518</v>
      </c>
      <c r="G16" s="6" t="str">
        <f>IFERROR(__xludf.DUMMYFUNCTION("GOOGLETRANSLATE(A16, ""en"", ""id"")"),"15")</f>
        <v>15</v>
      </c>
      <c r="H16" s="6" t="str">
        <f>IFERROR(__xludf.DUMMYFUNCTION("GOOGLETRANSLATE(B16, ""en"", ""id"")"),"Senjata apa yang secara tradisional dikaitkan dengan Pencak Silat?")</f>
        <v>Senjata apa yang secara tradisional dikaitkan dengan Pencak Silat?</v>
      </c>
      <c r="I16" s="6" t="str">
        <f>IFERROR(__xludf.DUMMYFUNCTION("GOOGLETRANSLATE(C16, ""en"", ""id"")"),"A) Kris, B) Pedang, C) Tombak, D) Belati")</f>
        <v>A) Kris, B) Pedang, C) Tombak, D) Belati</v>
      </c>
      <c r="J16" s="6" t="str">
        <f>IFERROR(__xludf.DUMMYFUNCTION("GOOGLETRANSLATE(D16, ""en"", ""id"")"),"A) Kris")</f>
        <v>A) Kris</v>
      </c>
      <c r="K16" s="6" t="str">
        <f>IFERROR(__xludf.DUMMYFUNCTION("GOOGLETRANSLATE(E16, ""en"", ""id"")"),"Keris, belati bermata bergelombang, umumnya digunakan dalam Pencak Silat.")</f>
        <v>Keris, belati bermata bergelombang, umumnya digunakan dalam Pencak Silat.</v>
      </c>
    </row>
    <row r="17">
      <c r="A17" s="5">
        <v>16.0</v>
      </c>
      <c r="B17" s="5" t="s">
        <v>2519</v>
      </c>
      <c r="C17" s="5" t="s">
        <v>2520</v>
      </c>
      <c r="D17" s="5" t="s">
        <v>2521</v>
      </c>
      <c r="E17" s="5" t="s">
        <v>2522</v>
      </c>
      <c r="G17" s="6" t="str">
        <f>IFERROR(__xludf.DUMMYFUNCTION("GOOGLETRANSLATE(A17, ""en"", ""id"")"),"16")</f>
        <v>16</v>
      </c>
      <c r="H17" s="6" t="str">
        <f>IFERROR(__xludf.DUMMYFUNCTION("GOOGLETRANSLATE(B17, ""en"", ""id"")"),"Naskah kuno manakah yang merujuk pada bentuk awal Pencak Silat?")</f>
        <v>Naskah kuno manakah yang merujuk pada bentuk awal Pencak Silat?</v>
      </c>
      <c r="I17" s="6" t="str">
        <f>IFERROR(__xludf.DUMMYFUNCTION("GOOGLETRANSLATE(C17, ""en"", ""id"")"),"A) Nagarakretagama, B) Kidung Sunda, C) Babad Tanah Jawi, D) Sutasoma")</f>
        <v>A) Nagarakretagama, B) Kidung Sunda, C) Babad Tanah Jawi, D) Sutasoma</v>
      </c>
      <c r="J17" s="6" t="str">
        <f>IFERROR(__xludf.DUMMYFUNCTION("GOOGLETRANSLATE(D17, ""en"", ""id"")"),"A) Nagarakretagama")</f>
        <v>A) Nagarakretagama</v>
      </c>
      <c r="K17" s="6" t="str">
        <f>IFERROR(__xludf.DUMMYFUNCTION("GOOGLETRANSLATE(E17, ""en"", ""id"")"),"Naskah Nagarakretagama menyebutkan bentuk awal seni bela diri yang mirip dengan Pencak Silat.")</f>
        <v>Naskah Nagarakretagama menyebutkan bentuk awal seni bela diri yang mirip dengan Pencak Silat.</v>
      </c>
    </row>
    <row r="18">
      <c r="A18" s="5">
        <v>17.0</v>
      </c>
      <c r="B18" s="5" t="s">
        <v>2523</v>
      </c>
      <c r="C18" s="5" t="s">
        <v>2524</v>
      </c>
      <c r="D18" s="5" t="s">
        <v>2525</v>
      </c>
      <c r="E18" s="5" t="s">
        <v>2526</v>
      </c>
      <c r="G18" s="6" t="str">
        <f>IFERROR(__xludf.DUMMYFUNCTION("GOOGLETRANSLATE(A18, ""en"", ""id"")"),"17")</f>
        <v>17</v>
      </c>
      <c r="H18" s="6" t="str">
        <f>IFERROR(__xludf.DUMMYFUNCTION("GOOGLETRANSLATE(B18, ""en"", ""id"")"),"Pencak Silat memiliki hubungan budaya dengan kelompok etnis Indonesia yang mana?")</f>
        <v>Pencak Silat memiliki hubungan budaya dengan kelompok etnis Indonesia yang mana?</v>
      </c>
      <c r="I18" s="6" t="str">
        <f>IFERROR(__xludf.DUMMYFUNCTION("GOOGLETRANSLATE(C18, ""en"", ""id"")"),"A) Jawa, B) Sunda, C) Minangkabau, D) Batak")</f>
        <v>A) Jawa, B) Sunda, C) Minangkabau, D) Batak</v>
      </c>
      <c r="J18" s="6" t="str">
        <f>IFERROR(__xludf.DUMMYFUNCTION("GOOGLETRANSLATE(D18, ""en"", ""id"")"),"C) Minangkabau")</f>
        <v>C) Minangkabau</v>
      </c>
      <c r="K18" s="6" t="str">
        <f>IFERROR(__xludf.DUMMYFUNCTION("GOOGLETRANSLATE(E18, ""en"", ""id"")"),"Masyarakat Minangkabau di Sumatera memiliki tradisi Pencak Silat yang kuat.")</f>
        <v>Masyarakat Minangkabau di Sumatera memiliki tradisi Pencak Silat yang kuat.</v>
      </c>
    </row>
    <row r="19">
      <c r="A19" s="5">
        <v>18.0</v>
      </c>
      <c r="B19" s="5" t="s">
        <v>2527</v>
      </c>
      <c r="C19" s="5" t="s">
        <v>2528</v>
      </c>
      <c r="D19" s="5" t="s">
        <v>2529</v>
      </c>
      <c r="E19" s="5" t="s">
        <v>2530</v>
      </c>
      <c r="G19" s="6" t="str">
        <f>IFERROR(__xludf.DUMMYFUNCTION("GOOGLETRANSLATE(A19, ""en"", ""id"")"),"18")</f>
        <v>18</v>
      </c>
      <c r="H19" s="6" t="str">
        <f>IFERROR(__xludf.DUMMYFUNCTION("GOOGLETRANSLATE(B19, ""en"", ""id"")"),"Pencak Silat sering dibawakan dengan iringan alat musik tradisional Indonesia yang mana?")</f>
        <v>Pencak Silat sering dibawakan dengan iringan alat musik tradisional Indonesia yang mana?</v>
      </c>
      <c r="I19" s="6" t="str">
        <f>IFERROR(__xludf.DUMMYFUNCTION("GOOGLETRANSLATE(C19, ""en"", ""id"")"),"A) Gamelan, B) Angklung, C) Sasando, D) Kolintang")</f>
        <v>A) Gamelan, B) Angklung, C) Sasando, D) Kolintang</v>
      </c>
      <c r="J19" s="6" t="str">
        <f>IFERROR(__xludf.DUMMYFUNCTION("GOOGLETRANSLATE(D19, ""en"", ""id"")"),"A) Gamelan")</f>
        <v>A) Gamelan</v>
      </c>
      <c r="K19" s="6" t="str">
        <f>IFERROR(__xludf.DUMMYFUNCTION("GOOGLETRANSLATE(E19, ""en"", ""id"")"),"Musik gamelan sering mengiringi pertunjukan Pencak Silat.")</f>
        <v>Musik gamelan sering mengiringi pertunjukan Pencak Silat.</v>
      </c>
    </row>
    <row r="20">
      <c r="A20" s="5">
        <v>19.0</v>
      </c>
      <c r="B20" s="5" t="s">
        <v>2531</v>
      </c>
      <c r="C20" s="5" t="s">
        <v>2532</v>
      </c>
      <c r="D20" s="5" t="s">
        <v>2533</v>
      </c>
      <c r="E20" s="5" t="s">
        <v>2534</v>
      </c>
      <c r="G20" s="6" t="str">
        <f>IFERROR(__xludf.DUMMYFUNCTION("GOOGLETRANSLATE(A20, ""en"", ""id"")"),"19")</f>
        <v>19</v>
      </c>
      <c r="H20" s="6" t="str">
        <f>IFERROR(__xludf.DUMMYFUNCTION("GOOGLETRANSLATE(B20, ""en"", ""id"")"),"Pulau manakah di Indonesia yang terkenal dengan gaya Pencak Silat yang disebut 'Harimau'?")</f>
        <v>Pulau manakah di Indonesia yang terkenal dengan gaya Pencak Silat yang disebut 'Harimau'?</v>
      </c>
      <c r="I20" s="6" t="str">
        <f>IFERROR(__xludf.DUMMYFUNCTION("GOOGLETRANSLATE(C20, ""en"", ""id"")"),"A) Sumatera, B) Jawa, C) Bali, D) Kalimantan")</f>
        <v>A) Sumatera, B) Jawa, C) Bali, D) Kalimantan</v>
      </c>
      <c r="J20" s="6" t="str">
        <f>IFERROR(__xludf.DUMMYFUNCTION("GOOGLETRANSLATE(D20, ""en"", ""id"")"),"A) Sumatera")</f>
        <v>A) Sumatera</v>
      </c>
      <c r="K20" s="6" t="str">
        <f>IFERROR(__xludf.DUMMYFUNCTION("GOOGLETRANSLATE(E20, ""en"", ""id"")"),"Pencak Silat gaya Harimau berasal dari Sumatera.")</f>
        <v>Pencak Silat gaya Harimau berasal dari Sumatera.</v>
      </c>
    </row>
    <row r="21">
      <c r="A21" s="5">
        <v>20.0</v>
      </c>
      <c r="B21" s="5" t="s">
        <v>2535</v>
      </c>
      <c r="C21" s="5" t="s">
        <v>2536</v>
      </c>
      <c r="D21" s="5" t="s">
        <v>1956</v>
      </c>
      <c r="E21" s="5" t="s">
        <v>2537</v>
      </c>
      <c r="G21" s="6" t="str">
        <f>IFERROR(__xludf.DUMMYFUNCTION("GOOGLETRANSLATE(A21, ""en"", ""id"")"),"20")</f>
        <v>20</v>
      </c>
      <c r="H21" s="6" t="str">
        <f>IFERROR(__xludf.DUMMYFUNCTION("GOOGLETRANSLATE(B21, ""en"", ""id"")"),"Pencak Silat menekankan bentuk-bentuk hewan sebagai bagian dari tekniknya. Hewan apa yang merupakan bentuk umum?")</f>
        <v>Pencak Silat menekankan bentuk-bentuk hewan sebagai bagian dari tekniknya. Hewan apa yang merupakan bentuk umum?</v>
      </c>
      <c r="I21" s="6" t="str">
        <f>IFERROR(__xludf.DUMMYFUNCTION("GOOGLETRANSLATE(C21, ""en"", ""id"")"),"A) Harimau, B) Elang, C) Kobra, D) Macan Tutul")</f>
        <v>A) Harimau, B) Elang, C) Kobra, D) Macan Tutul</v>
      </c>
      <c r="J21" s="6" t="str">
        <f>IFERROR(__xludf.DUMMYFUNCTION("GOOGLETRANSLATE(D21, ""en"", ""id"")"),"A) Harimau")</f>
        <v>A) Harimau</v>
      </c>
      <c r="K21" s="6" t="str">
        <f>IFERROR(__xludf.DUMMYFUNCTION("GOOGLETRANSLATE(E21, ""en"", ""id"")"),"Bentuk harimau merupakan teknik utama dalam beberapa aliran Pencak Silat.")</f>
        <v>Bentuk harimau merupakan teknik utama dalam beberapa aliran Pencak Silat.</v>
      </c>
    </row>
    <row r="22">
      <c r="A22" s="5">
        <v>21.0</v>
      </c>
      <c r="B22" s="5" t="s">
        <v>2538</v>
      </c>
      <c r="C22" s="5" t="s">
        <v>2539</v>
      </c>
      <c r="D22" s="5" t="s">
        <v>2540</v>
      </c>
      <c r="E22" s="5" t="s">
        <v>2541</v>
      </c>
      <c r="G22" s="6" t="str">
        <f>IFERROR(__xludf.DUMMYFUNCTION("GOOGLETRANSLATE(A22, ""en"", ""id"")"),"21")</f>
        <v>21</v>
      </c>
      <c r="H22" s="6" t="str">
        <f>IFERROR(__xludf.DUMMYFUNCTION("GOOGLETRANSLATE(B22, ""en"", ""id"")"),"Pada periode manakah Pencak Silat mendapatkan popularitas sebagai olahraga di Indonesia?")</f>
        <v>Pada periode manakah Pencak Silat mendapatkan popularitas sebagai olahraga di Indonesia?</v>
      </c>
      <c r="I22" s="6" t="str">
        <f>IFERROR(__xludf.DUMMYFUNCTION("GOOGLETRANSLATE(C22, ""en"", ""id"")"),"A) Abad ke-20, B) Abad ke-18, C) Abad ke-19, D) Abad ke-17")</f>
        <v>A) Abad ke-20, B) Abad ke-18, C) Abad ke-19, D) Abad ke-17</v>
      </c>
      <c r="J22" s="6" t="str">
        <f>IFERROR(__xludf.DUMMYFUNCTION("GOOGLETRANSLATE(D22, ""en"", ""id"")"),"A) Abad ke-20")</f>
        <v>A) Abad ke-20</v>
      </c>
      <c r="K22" s="6" t="str">
        <f>IFERROR(__xludf.DUMMYFUNCTION("GOOGLETRANSLATE(E22, ""en"", ""id"")"),"Pencak Silat mulai dikenal luas sebagai olahraga kompetitif pada abad ke-20.")</f>
        <v>Pencak Silat mulai dikenal luas sebagai olahraga kompetitif pada abad ke-20.</v>
      </c>
    </row>
    <row r="23">
      <c r="A23" s="5">
        <v>22.0</v>
      </c>
      <c r="B23" s="5" t="s">
        <v>2542</v>
      </c>
      <c r="C23" s="5" t="s">
        <v>873</v>
      </c>
      <c r="D23" s="5" t="s">
        <v>2543</v>
      </c>
      <c r="E23" s="5" t="s">
        <v>2544</v>
      </c>
      <c r="G23" s="6" t="str">
        <f>IFERROR(__xludf.DUMMYFUNCTION("GOOGLETRANSLATE(A23, ""en"", ""id"")"),"22")</f>
        <v>22</v>
      </c>
      <c r="H23" s="6" t="str">
        <f>IFERROR(__xludf.DUMMYFUNCTION("GOOGLETRANSLATE(B23, ""en"", ""id"")"),"Pulau manakah di Indonesia yang terkenal dengan Pencak Silat gaya 'Bali'?")</f>
        <v>Pulau manakah di Indonesia yang terkenal dengan Pencak Silat gaya 'Bali'?</v>
      </c>
      <c r="I23" s="6" t="str">
        <f>IFERROR(__xludf.DUMMYFUNCTION("GOOGLETRANSLATE(C23, ""en"", ""id"")"),"A) Sumatera, B) Jawa, C) Bali, D) Lombok")</f>
        <v>A) Sumatera, B) Jawa, C) Bali, D) Lombok</v>
      </c>
      <c r="J23" s="6" t="str">
        <f>IFERROR(__xludf.DUMMYFUNCTION("GOOGLETRANSLATE(D23, ""en"", ""id"")"),"C) Bali")</f>
        <v>C) Bali</v>
      </c>
      <c r="K23" s="6" t="str">
        <f>IFERROR(__xludf.DUMMYFUNCTION("GOOGLETRANSLATE(E23, ""en"", ""id"")"),"Bali memiliki gaya Pencak Silat unik yang disebut 'Bali Silat.'")</f>
        <v>Bali memiliki gaya Pencak Silat unik yang disebut 'Bali Silat.'</v>
      </c>
    </row>
    <row r="24">
      <c r="A24" s="5">
        <v>23.0</v>
      </c>
      <c r="B24" s="5" t="s">
        <v>2545</v>
      </c>
      <c r="C24" s="5" t="s">
        <v>2546</v>
      </c>
      <c r="D24" s="5" t="s">
        <v>2547</v>
      </c>
      <c r="E24" s="5" t="s">
        <v>2548</v>
      </c>
      <c r="G24" s="6" t="str">
        <f>IFERROR(__xludf.DUMMYFUNCTION("GOOGLETRANSLATE(A24, ""en"", ""id"")"),"23")</f>
        <v>23</v>
      </c>
      <c r="H24" s="6" t="str">
        <f>IFERROR(__xludf.DUMMYFUNCTION("GOOGLETRANSLATE(B24, ""en"", ""id"")"),"Pada tahun berapa Persatuan Pencak Silat Internasional (PERSILAT) dibentuk?")</f>
        <v>Pada tahun berapa Persatuan Pencak Silat Internasional (PERSILAT) dibentuk?</v>
      </c>
      <c r="I24" s="6" t="str">
        <f>IFERROR(__xludf.DUMMYFUNCTION("GOOGLETRANSLATE(C24, ""en"", ""id"")"),"A) Tahun 1980, B) Tahun 1991, C) Tahun 1973, D) Tahun 2000")</f>
        <v>A) Tahun 1980, B) Tahun 1991, C) Tahun 1973, D) Tahun 2000</v>
      </c>
      <c r="J24" s="6" t="str">
        <f>IFERROR(__xludf.DUMMYFUNCTION("GOOGLETRANSLATE(D24, ""en"", ""id"")"),"C) Tahun 1973")</f>
        <v>C) Tahun 1973</v>
      </c>
      <c r="K24" s="6" t="str">
        <f>IFERROR(__xludf.DUMMYFUNCTION("GOOGLETRANSLATE(E24, ""en"", ""id"")"),"Federasi Pencak Silat Internasional (PERSILAT) didirikan pada tahun 1973.")</f>
        <v>Federasi Pencak Silat Internasional (PERSILAT) didirikan pada tahun 1973.</v>
      </c>
    </row>
    <row r="25">
      <c r="A25" s="5">
        <v>24.0</v>
      </c>
      <c r="B25" s="5" t="s">
        <v>2549</v>
      </c>
      <c r="C25" s="5" t="s">
        <v>2550</v>
      </c>
      <c r="D25" s="5" t="s">
        <v>2551</v>
      </c>
      <c r="E25" s="5" t="s">
        <v>2552</v>
      </c>
      <c r="G25" s="6" t="str">
        <f>IFERROR(__xludf.DUMMYFUNCTION("GOOGLETRANSLATE(A25, ""en"", ""id"")"),"24")</f>
        <v>24</v>
      </c>
      <c r="H25" s="6" t="str">
        <f>IFERROR(__xludf.DUMMYFUNCTION("GOOGLETRANSLATE(B25, ""en"", ""id"")"),"Pencak Silat pertama kali diperkenalkan di SEA Games pada tahun berapa?")</f>
        <v>Pencak Silat pertama kali diperkenalkan di SEA Games pada tahun berapa?</v>
      </c>
      <c r="I25" s="6" t="str">
        <f>IFERROR(__xludf.DUMMYFUNCTION("GOOGLETRANSLATE(C25, ""en"", ""id"")"),"A) Tahun 1987, B) Tahun 1991, C) Tahun 1997, D) Tahun 2003")</f>
        <v>A) Tahun 1987, B) Tahun 1991, C) Tahun 1997, D) Tahun 2003</v>
      </c>
      <c r="J25" s="6" t="str">
        <f>IFERROR(__xludf.DUMMYFUNCTION("GOOGLETRANSLATE(D25, ""en"", ""id"")"),"A) Tahun 1987")</f>
        <v>A) Tahun 1987</v>
      </c>
      <c r="K25" s="6" t="str">
        <f>IFERROR(__xludf.DUMMYFUNCTION("GOOGLETRANSLATE(E25, ""en"", ""id"")"),"Pencak Silat memulai debutnya di Pesta Olahraga Asia Tenggara pada tahun 1987.")</f>
        <v>Pencak Silat memulai debutnya di Pesta Olahraga Asia Tenggara pada tahun 1987.</v>
      </c>
    </row>
    <row r="26">
      <c r="A26" s="5">
        <v>25.0</v>
      </c>
      <c r="B26" s="5" t="s">
        <v>2553</v>
      </c>
      <c r="C26" s="5" t="s">
        <v>2554</v>
      </c>
      <c r="D26" s="5" t="s">
        <v>1521</v>
      </c>
      <c r="E26" s="5" t="s">
        <v>2555</v>
      </c>
      <c r="G26" s="6" t="str">
        <f>IFERROR(__xludf.DUMMYFUNCTION("GOOGLETRANSLATE(A26, ""en"", ""id"")"),"25")</f>
        <v>25</v>
      </c>
      <c r="H26" s="6" t="str">
        <f>IFERROR(__xludf.DUMMYFUNCTION("GOOGLETRANSLATE(B26, ""en"", ""id"")"),"Negara Asia Tenggara manakah yang telah mengembangkan federasi Pencak Silatnya sendiri bersama Indonesia?")</f>
        <v>Negara Asia Tenggara manakah yang telah mengembangkan federasi Pencak Silatnya sendiri bersama Indonesia?</v>
      </c>
      <c r="I26" s="6" t="str">
        <f>IFERROR(__xludf.DUMMYFUNCTION("GOOGLETRANSLATE(C26, ""en"", ""id"")"),"A) Malaysia, B) Thailand, C) Singapura, D) Brunei")</f>
        <v>A) Malaysia, B) Thailand, C) Singapura, D) Brunei</v>
      </c>
      <c r="J26" s="6" t="str">
        <f>IFERROR(__xludf.DUMMYFUNCTION("GOOGLETRANSLATE(D26, ""en"", ""id"")"),"A) Malaysia")</f>
        <v>A) Malaysia</v>
      </c>
      <c r="K26" s="6" t="str">
        <f>IFERROR(__xludf.DUMMYFUNCTION("GOOGLETRANSLATE(E26, ""en"", ""id"")"),"Malaysia memiliki federasi dan budaya Pencak Silat nasionalnya sendiri.")</f>
        <v>Malaysia memiliki federasi dan budaya Pencak Silat nasionalnya sendiri.</v>
      </c>
    </row>
    <row r="27">
      <c r="A27" s="5">
        <v>26.0</v>
      </c>
      <c r="B27" s="5" t="s">
        <v>2556</v>
      </c>
      <c r="C27" s="5" t="s">
        <v>2557</v>
      </c>
      <c r="D27" s="5" t="s">
        <v>2558</v>
      </c>
      <c r="E27" s="5" t="s">
        <v>2559</v>
      </c>
      <c r="G27" s="6" t="str">
        <f>IFERROR(__xludf.DUMMYFUNCTION("GOOGLETRANSLATE(A27, ""en"", ""id"")"),"26")</f>
        <v>26</v>
      </c>
      <c r="H27" s="6" t="str">
        <f>IFERROR(__xludf.DUMMYFUNCTION("GOOGLETRANSLATE(B27, ""en"", ""id"")"),"Apa istilah untuk praktisi Pencak Silat?")</f>
        <v>Apa istilah untuk praktisi Pencak Silat?</v>
      </c>
      <c r="I27" s="6" t="str">
        <f>IFERROR(__xludf.DUMMYFUNCTION("GOOGLETRANSLATE(C27, ""en"", ""id"")"),"A) Pesilat, B) Silat, C) Pesilat, D) Pemain")</f>
        <v>A) Pesilat, B) Silat, C) Pesilat, D) Pemain</v>
      </c>
      <c r="J27" s="6" t="str">
        <f>IFERROR(__xludf.DUMMYFUNCTION("GOOGLETRANSLATE(D27, ""en"", ""id"")"),"A) Pesilat")</f>
        <v>A) Pesilat</v>
      </c>
      <c r="K27" s="6" t="str">
        <f>IFERROR(__xludf.DUMMYFUNCTION("GOOGLETRANSLATE(E27, ""en"", ""id"")"),"Praktisi Pencak Silat dikenal dengan sebutan 'Pesilat'.")</f>
        <v>Praktisi Pencak Silat dikenal dengan sebutan 'Pesilat'.</v>
      </c>
    </row>
    <row r="28">
      <c r="A28" s="5">
        <v>27.0</v>
      </c>
      <c r="B28" s="5" t="s">
        <v>2560</v>
      </c>
      <c r="C28" s="5" t="s">
        <v>2561</v>
      </c>
      <c r="D28" s="5" t="s">
        <v>2562</v>
      </c>
      <c r="E28" s="5" t="s">
        <v>2563</v>
      </c>
      <c r="G28" s="6" t="str">
        <f>IFERROR(__xludf.DUMMYFUNCTION("GOOGLETRANSLATE(A28, ""en"", ""id"")"),"27")</f>
        <v>27</v>
      </c>
      <c r="H28" s="6" t="str">
        <f>IFERROR(__xludf.DUMMYFUNCTION("GOOGLETRANSLATE(B28, ""en"", ""id"")"),"Pencak Silat diakui dalam kategori UNESCO yang mana?")</f>
        <v>Pencak Silat diakui dalam kategori UNESCO yang mana?</v>
      </c>
      <c r="I28" s="6" t="str">
        <f>IFERROR(__xludf.DUMMYFUNCTION("GOOGLETRANSLATE(C28, ""en"", ""id"")"),"A) Warisan Budaya Takbenda, B) Warisan Alam, C) Situs Warisan Dunia, D) Lanskap Budaya")</f>
        <v>A) Warisan Budaya Takbenda, B) Warisan Alam, C) Situs Warisan Dunia, D) Lanskap Budaya</v>
      </c>
      <c r="J28" s="6" t="str">
        <f>IFERROR(__xludf.DUMMYFUNCTION("GOOGLETRANSLATE(D28, ""en"", ""id"")"),"A) Warisan Budaya Takbenda")</f>
        <v>A) Warisan Budaya Takbenda</v>
      </c>
      <c r="K28" s="6" t="str">
        <f>IFERROR(__xludf.DUMMYFUNCTION("GOOGLETRANSLATE(E28, ""en"", ""id"")"),"UNESCO mengakui Pencak Silat sebagai Warisan Budaya Takbenda.")</f>
        <v>UNESCO mengakui Pencak Silat sebagai Warisan Budaya Takbenda.</v>
      </c>
    </row>
    <row r="29">
      <c r="A29" s="5">
        <v>28.0</v>
      </c>
      <c r="B29" s="5" t="s">
        <v>2564</v>
      </c>
      <c r="C29" s="5" t="s">
        <v>2565</v>
      </c>
      <c r="D29" s="5" t="s">
        <v>2566</v>
      </c>
      <c r="E29" s="5" t="s">
        <v>2567</v>
      </c>
      <c r="G29" s="6" t="str">
        <f>IFERROR(__xludf.DUMMYFUNCTION("GOOGLETRANSLATE(A29, ""en"", ""id"")"),"28")</f>
        <v>28</v>
      </c>
      <c r="H29" s="6" t="str">
        <f>IFERROR(__xludf.DUMMYFUNCTION("GOOGLETRANSLATE(B29, ""en"", ""id"")"),"Apa istilah untuk perguruan atau balai latihan Pencak Silat?")</f>
        <v>Apa istilah untuk perguruan atau balai latihan Pencak Silat?</v>
      </c>
      <c r="I29" s="6" t="str">
        <f>IFERROR(__xludf.DUMMYFUNCTION("GOOGLETRANSLATE(C29, ""en"", ""id"")"),"A) Dojo, B) Perguruan, C) Padepokan, D) Gimnasium")</f>
        <v>A) Dojo, B) Perguruan, C) Padepokan, D) Gimnasium</v>
      </c>
      <c r="J29" s="6" t="str">
        <f>IFERROR(__xludf.DUMMYFUNCTION("GOOGLETRANSLATE(D29, ""en"", ""id"")"),"C) Padepokan")</f>
        <v>C) Padepokan</v>
      </c>
      <c r="K29" s="6" t="str">
        <f>IFERROR(__xludf.DUMMYFUNCTION("GOOGLETRANSLATE(E29, ""en"", ""id"")"),"Di Indonesia, sekolah Pencak Silat disebut 'Padepokan'.")</f>
        <v>Di Indonesia, sekolah Pencak Silat disebut 'Padepokan'.</v>
      </c>
    </row>
    <row r="30">
      <c r="A30" s="5">
        <v>29.0</v>
      </c>
      <c r="B30" s="5" t="s">
        <v>2568</v>
      </c>
      <c r="C30" s="5" t="s">
        <v>2569</v>
      </c>
      <c r="D30" s="5" t="s">
        <v>2570</v>
      </c>
      <c r="E30" s="7" t="s">
        <v>2571</v>
      </c>
      <c r="G30" s="6" t="str">
        <f>IFERROR(__xludf.DUMMYFUNCTION("GOOGLETRANSLATE(A30, ""en"", ""id"")"),"29")</f>
        <v>29</v>
      </c>
      <c r="H30" s="6" t="str">
        <f>IFERROR(__xludf.DUMMYFUNCTION("GOOGLETRANSLATE(B30, ""en"", ""id"")"),"Dalam Pencak Silat, apa arti istilah 'jurus'?")</f>
        <v>Dalam Pencak Silat, apa arti istilah 'jurus'?</v>
      </c>
      <c r="I30" s="6" t="str">
        <f>IFERROR(__xludf.DUMMYFUNCTION("GOOGLETRANSLATE(C30, ""en"", ""id"")"),"A) Serangan, B) Pertahanan, C) Teknik, D) Sikap")</f>
        <v>A) Serangan, B) Pertahanan, C) Teknik, D) Sikap</v>
      </c>
      <c r="J30" s="6" t="str">
        <f>IFERROR(__xludf.DUMMYFUNCTION("GOOGLETRANSLATE(D30, ""en"", ""id"")"),"C) Teknik")</f>
        <v>C) Teknik</v>
      </c>
      <c r="K30" s="6" t="str">
        <f>IFERROR(__xludf.DUMMYFUNCTION("GOOGLETRANSLATE(E30, ""en"", ""id"")"),"Jurus' mengacu pada teknik atau serangkaian gerakan dalam Pencak Silat.")</f>
        <v>Jurus' mengacu pada teknik atau serangkaian gerakan dalam Pencak Silat.</v>
      </c>
    </row>
    <row r="31">
      <c r="A31" s="5">
        <v>30.0</v>
      </c>
      <c r="B31" s="5" t="s">
        <v>2572</v>
      </c>
      <c r="C31" s="5" t="s">
        <v>2573</v>
      </c>
      <c r="D31" s="5" t="s">
        <v>2574</v>
      </c>
      <c r="E31" s="5" t="s">
        <v>2575</v>
      </c>
      <c r="G31" s="6" t="str">
        <f>IFERROR(__xludf.DUMMYFUNCTION("GOOGLETRANSLATE(A31, ""en"", ""id"")"),"30")</f>
        <v>30</v>
      </c>
      <c r="H31" s="6" t="str">
        <f>IFERROR(__xludf.DUMMYFUNCTION("GOOGLETRANSLATE(B31, ""en"", ""id"")"),"Seni bela diri Pencak Silat memiliki kemiripan dengan seni bela diri tetangga yang mana?")</f>
        <v>Seni bela diri Pencak Silat memiliki kemiripan dengan seni bela diri tetangga yang mana?</v>
      </c>
      <c r="I31" s="6" t="str">
        <f>IFERROR(__xludf.DUMMYFUNCTION("GOOGLETRANSLATE(C31, ""en"", ""id"")"),"A) Taekwondo, B) Eskrima, C) Muay Thai, D) Kuntao")</f>
        <v>A) Taekwondo, B) Eskrima, C) Muay Thai, D) Kuntao</v>
      </c>
      <c r="J31" s="6" t="str">
        <f>IFERROR(__xludf.DUMMYFUNCTION("GOOGLETRANSLATE(D31, ""en"", ""id"")"),"D) Kuntao")</f>
        <v>D) Kuntao</v>
      </c>
      <c r="K31" s="6" t="str">
        <f>IFERROR(__xludf.DUMMYFUNCTION("GOOGLETRANSLATE(E31, ""en"", ""id"")"),"Pencak Silat memiliki kemiripan dengan Kuntao, seni bela diri Asia Tenggara lainnya.")</f>
        <v>Pencak Silat memiliki kemiripan dengan Kuntao, seni bela diri Asia Tenggara lainnya.</v>
      </c>
    </row>
    <row r="32">
      <c r="A32" s="5">
        <v>31.0</v>
      </c>
      <c r="B32" s="5" t="s">
        <v>2576</v>
      </c>
      <c r="C32" s="5" t="s">
        <v>2577</v>
      </c>
      <c r="D32" s="5" t="s">
        <v>2578</v>
      </c>
      <c r="E32" s="5" t="s">
        <v>2579</v>
      </c>
      <c r="G32" s="6" t="str">
        <f>IFERROR(__xludf.DUMMYFUNCTION("GOOGLETRANSLATE(A32, ""en"", ""id"")"),"31")</f>
        <v>31</v>
      </c>
      <c r="H32" s="6" t="str">
        <f>IFERROR(__xludf.DUMMYFUNCTION("GOOGLETRANSLATE(B32, ""en"", ""id"")"),"Pencak Silat diyakini memiliki pengaruh mistik dari sistem kepercayaan tradisional Indonesia yang mana?")</f>
        <v>Pencak Silat diyakini memiliki pengaruh mistik dari sistem kepercayaan tradisional Indonesia yang mana?</v>
      </c>
      <c r="I32" s="6" t="str">
        <f>IFERROR(__xludf.DUMMYFUNCTION("GOOGLETRANSLATE(C32, ""en"", ""id"")"),"A) Kejawen, B) Islam, C) Hindu, D) Budha")</f>
        <v>A) Kejawen, B) Islam, C) Hindu, D) Budha</v>
      </c>
      <c r="J32" s="6" t="str">
        <f>IFERROR(__xludf.DUMMYFUNCTION("GOOGLETRANSLATE(D32, ""en"", ""id"")"),"A) Kejawen")</f>
        <v>A) Kejawen</v>
      </c>
      <c r="K32" s="6" t="str">
        <f>IFERROR(__xludf.DUMMYFUNCTION("GOOGLETRANSLATE(E32, ""en"", ""id"")"),"Kejawen, sistem kepercayaan Jawa, memiliki unsur mistis yang tercermin dalam Pencak Silat.")</f>
        <v>Kejawen, sistem kepercayaan Jawa, memiliki unsur mistis yang tercermin dalam Pencak Silat.</v>
      </c>
    </row>
    <row r="33">
      <c r="A33" s="5">
        <v>32.0</v>
      </c>
      <c r="B33" s="5" t="s">
        <v>2580</v>
      </c>
      <c r="C33" s="5" t="s">
        <v>2581</v>
      </c>
      <c r="D33" s="5" t="s">
        <v>2582</v>
      </c>
      <c r="E33" s="7" t="s">
        <v>2583</v>
      </c>
      <c r="G33" s="6" t="str">
        <f>IFERROR(__xludf.DUMMYFUNCTION("GOOGLETRANSLATE(A33, ""en"", ""id"")"),"32")</f>
        <v>32</v>
      </c>
      <c r="H33" s="6" t="str">
        <f>IFERROR(__xludf.DUMMYFUNCTION("GOOGLETRANSLATE(B33, ""en"", ""id"")"),"Istilah bahasa Indonesia 'Harimau' dalam Pencak Silat melambangkan binatang apa?")</f>
        <v>Istilah bahasa Indonesia 'Harimau' dalam Pencak Silat melambangkan binatang apa?</v>
      </c>
      <c r="I33" s="6" t="str">
        <f>IFERROR(__xludf.DUMMYFUNCTION("GOOGLETRANSLATE(C33, ""en"", ""id"")"),"A) Singa, B) Harimau, C) Macan Tutul, D) Elang")</f>
        <v>A) Singa, B) Harimau, C) Macan Tutul, D) Elang</v>
      </c>
      <c r="J33" s="6" t="str">
        <f>IFERROR(__xludf.DUMMYFUNCTION("GOOGLETRANSLATE(D33, ""en"", ""id"")"),"B) Harimau")</f>
        <v>B) Harimau</v>
      </c>
      <c r="K33" s="6" t="str">
        <f>IFERROR(__xludf.DUMMYFUNCTION("GOOGLETRANSLATE(E33, ""en"", ""id"")"),"Harimau berarti harimau dan melambangkan kekuatan dan kelincahan dalam Pencak Silat.")</f>
        <v>Harimau berarti harimau dan melambangkan kekuatan dan kelincahan dalam Pencak Silat.</v>
      </c>
    </row>
    <row r="34">
      <c r="A34" s="5">
        <v>33.0</v>
      </c>
      <c r="B34" s="5" t="s">
        <v>2584</v>
      </c>
      <c r="C34" s="5" t="s">
        <v>873</v>
      </c>
      <c r="D34" s="5" t="s">
        <v>2585</v>
      </c>
      <c r="E34" s="5" t="s">
        <v>2586</v>
      </c>
      <c r="G34" s="6" t="str">
        <f>IFERROR(__xludf.DUMMYFUNCTION("GOOGLETRANSLATE(A34, ""en"", ""id"")"),"33")</f>
        <v>33</v>
      </c>
      <c r="H34" s="6" t="str">
        <f>IFERROR(__xludf.DUMMYFUNCTION("GOOGLETRANSLATE(B34, ""en"", ""id"")"),"Orang Sunda berasal dari pulau Indonesia manakah yang terkenal dengan aliran silatnya?")</f>
        <v>Orang Sunda berasal dari pulau Indonesia manakah yang terkenal dengan aliran silatnya?</v>
      </c>
      <c r="I34" s="6" t="str">
        <f>IFERROR(__xludf.DUMMYFUNCTION("GOOGLETRANSLATE(C34, ""en"", ""id"")"),"A) Sumatera, B) Jawa, C) Bali, D) Lombok")</f>
        <v>A) Sumatera, B) Jawa, C) Bali, D) Lombok</v>
      </c>
      <c r="J34" s="6" t="str">
        <f>IFERROR(__xludf.DUMMYFUNCTION("GOOGLETRANSLATE(D34, ""en"", ""id"")"),"B) Jawa")</f>
        <v>B) Jawa</v>
      </c>
      <c r="K34" s="6" t="str">
        <f>IFERROR(__xludf.DUMMYFUNCTION("GOOGLETRANSLATE(E34, ""en"", ""id"")"),"Orang Sunda dari Jawa Barat memiliki aliran Silat yang khas.")</f>
        <v>Orang Sunda dari Jawa Barat memiliki aliran Silat yang khas.</v>
      </c>
    </row>
    <row r="35">
      <c r="A35" s="5">
        <v>34.0</v>
      </c>
      <c r="B35" s="5" t="s">
        <v>2587</v>
      </c>
      <c r="C35" s="5" t="s">
        <v>2588</v>
      </c>
      <c r="D35" s="5" t="s">
        <v>2589</v>
      </c>
      <c r="E35" s="5" t="s">
        <v>2590</v>
      </c>
      <c r="G35" s="6" t="str">
        <f>IFERROR(__xludf.DUMMYFUNCTION("GOOGLETRANSLATE(A35, ""en"", ""id"")"),"34")</f>
        <v>34</v>
      </c>
      <c r="H35" s="6" t="str">
        <f>IFERROR(__xludf.DUMMYFUNCTION("GOOGLETRANSLATE(B35, ""en"", ""id"")"),"Peristiwa sejarah apa di Indonesia yang menyebabkan tersebarnya Pencak Silat di Asia Tenggara?")</f>
        <v>Peristiwa sejarah apa di Indonesia yang menyebabkan tersebarnya Pencak Silat di Asia Tenggara?</v>
      </c>
      <c r="I35" s="6" t="str">
        <f>IFERROR(__xludf.DUMMYFUNCTION("GOOGLETRANSLATE(C35, ""en"", ""id"")"),"A) Penjajahan Belanda, B) Penyebaran Islam, C) Munculnya Kerajaan Majapahit, D) Migrasi Bangsa Melayu")</f>
        <v>A) Penjajahan Belanda, B) Penyebaran Islam, C) Munculnya Kerajaan Majapahit, D) Migrasi Bangsa Melayu</v>
      </c>
      <c r="J35" s="6" t="str">
        <f>IFERROR(__xludf.DUMMYFUNCTION("GOOGLETRANSLATE(D35, ""en"", ""id"")"),"B) Penyebaran Islam")</f>
        <v>B) Penyebaran Islam</v>
      </c>
      <c r="K35" s="6" t="str">
        <f>IFERROR(__xludf.DUMMYFUNCTION("GOOGLETRANSLATE(E35, ""en"", ""id"")"),"Islam memainkan peran penting dalam menyebarkan Pencak Silat ke seluruh Asia Tenggara.")</f>
        <v>Islam memainkan peran penting dalam menyebarkan Pencak Silat ke seluruh Asia Tenggara.</v>
      </c>
    </row>
    <row r="36">
      <c r="A36" s="5">
        <v>35.0</v>
      </c>
      <c r="B36" s="5" t="s">
        <v>2591</v>
      </c>
      <c r="C36" s="5" t="s">
        <v>2592</v>
      </c>
      <c r="D36" s="5" t="s">
        <v>2585</v>
      </c>
      <c r="E36" s="5" t="s">
        <v>2593</v>
      </c>
      <c r="G36" s="6" t="str">
        <f>IFERROR(__xludf.DUMMYFUNCTION("GOOGLETRANSLATE(A36, ""en"", ""id"")"),"35")</f>
        <v>35</v>
      </c>
      <c r="H36" s="6" t="str">
        <f>IFERROR(__xludf.DUMMYFUNCTION("GOOGLETRANSLATE(B36, ""en"", ""id"")"),"Pulau manakah di Indonesia yang terkenal mengembangkan Pencak Silat gaya 'Betawi'?")</f>
        <v>Pulau manakah di Indonesia yang terkenal mengembangkan Pencak Silat gaya 'Betawi'?</v>
      </c>
      <c r="I36" s="6" t="str">
        <f>IFERROR(__xludf.DUMMYFUNCTION("GOOGLETRANSLATE(C36, ""en"", ""id"")"),"A) Sumatera, B) Jawa, C) Bali, D) Kalimantan")</f>
        <v>A) Sumatera, B) Jawa, C) Bali, D) Kalimantan</v>
      </c>
      <c r="J36" s="6" t="str">
        <f>IFERROR(__xludf.DUMMYFUNCTION("GOOGLETRANSLATE(D36, ""en"", ""id"")"),"B) Jawa")</f>
        <v>B) Jawa</v>
      </c>
      <c r="K36" s="6" t="str">
        <f>IFERROR(__xludf.DUMMYFUNCTION("GOOGLETRANSLATE(E36, ""en"", ""id"")"),"Pencak Silat gaya Betawi berasal dari masyarakat Betawi Jakarta, Jawa.")</f>
        <v>Pencak Silat gaya Betawi berasal dari masyarakat Betawi Jakarta, Jawa.</v>
      </c>
    </row>
    <row r="37">
      <c r="A37" s="5">
        <v>36.0</v>
      </c>
      <c r="B37" s="5" t="s">
        <v>2594</v>
      </c>
      <c r="C37" s="5" t="s">
        <v>2595</v>
      </c>
      <c r="D37" s="5" t="s">
        <v>2596</v>
      </c>
      <c r="E37" s="5" t="s">
        <v>2597</v>
      </c>
      <c r="G37" s="6" t="str">
        <f>IFERROR(__xludf.DUMMYFUNCTION("GOOGLETRANSLATE(A37, ""en"", ""id"")"),"36")</f>
        <v>36</v>
      </c>
      <c r="H37" s="6" t="str">
        <f>IFERROR(__xludf.DUMMYFUNCTION("GOOGLETRANSLATE(B37, ""en"", ""id"")"),"Olahraga populer apa di Indonesia yang gerakannya mirip dengan Pencak Silat?")</f>
        <v>Olahraga populer apa di Indonesia yang gerakannya mirip dengan Pencak Silat?</v>
      </c>
      <c r="I37" s="6" t="str">
        <f>IFERROR(__xludf.DUMMYFUNCTION("GOOGLETRANSLATE(C37, ""en"", ""id"")"),"A) Sepak Takraw, B) Bulu Tangkis, C) Silamam, D) Wushu")</f>
        <v>A) Sepak Takraw, B) Bulu Tangkis, C) Silamam, D) Wushu</v>
      </c>
      <c r="J37" s="6" t="str">
        <f>IFERROR(__xludf.DUMMYFUNCTION("GOOGLETRANSLATE(D37, ""en"", ""id"")"),"A) Sepak Takraw")</f>
        <v>A) Sepak Takraw</v>
      </c>
      <c r="K37" s="6" t="str">
        <f>IFERROR(__xludf.DUMMYFUNCTION("GOOGLETRANSLATE(E37, ""en"", ""id"")"),"Sepak Takraw menggabungkan kelincahan dan akrobat, yang merupakan ciri umum dalam Pencak Silat.")</f>
        <v>Sepak Takraw menggabungkan kelincahan dan akrobat, yang merupakan ciri umum dalam Pencak Silat.</v>
      </c>
    </row>
    <row r="38">
      <c r="A38" s="5">
        <v>37.0</v>
      </c>
      <c r="B38" s="5" t="s">
        <v>2598</v>
      </c>
      <c r="C38" s="5" t="s">
        <v>2599</v>
      </c>
      <c r="D38" s="5" t="s">
        <v>1066</v>
      </c>
      <c r="E38" s="5" t="s">
        <v>2600</v>
      </c>
      <c r="G38" s="6" t="str">
        <f>IFERROR(__xludf.DUMMYFUNCTION("GOOGLETRANSLATE(A38, ""en"", ""id"")"),"37")</f>
        <v>37</v>
      </c>
      <c r="H38" s="6" t="str">
        <f>IFERROR(__xludf.DUMMYFUNCTION("GOOGLETRANSLATE(B38, ""en"", ""id"")"),"Kerajaan Indonesia manakah yang berperan penting dalam awal perkembangan Pencak Silat?")</f>
        <v>Kerajaan Indonesia manakah yang berperan penting dalam awal perkembangan Pencak Silat?</v>
      </c>
      <c r="I38" s="6" t="str">
        <f>IFERROR(__xludf.DUMMYFUNCTION("GOOGLETRANSLATE(C38, ""en"", ""id"")"),"A) Majapahit, B) Sriwijaya, C) Mataram, D) Singhasari")</f>
        <v>A) Majapahit, B) Sriwijaya, C) Mataram, D) Singhasari</v>
      </c>
      <c r="J38" s="6" t="str">
        <f>IFERROR(__xludf.DUMMYFUNCTION("GOOGLETRANSLATE(D38, ""en"", ""id"")"),"A. Majapahit")</f>
        <v>A. Majapahit</v>
      </c>
      <c r="K38" s="6" t="str">
        <f>IFERROR(__xludf.DUMMYFUNCTION("GOOGLETRANSLATE(E38, ""en"", ""id"")"),"Kerajaan Majapahit (abad ke-13-16) memberikan kontribusi yang signifikan terhadap perkembangan budaya Pencak Silat.")</f>
        <v>Kerajaan Majapahit (abad ke-13-16) memberikan kontribusi yang signifikan terhadap perkembangan budaya Pencak Silat.</v>
      </c>
    </row>
    <row r="39">
      <c r="A39" s="5">
        <v>38.0</v>
      </c>
      <c r="B39" s="5" t="s">
        <v>2601</v>
      </c>
      <c r="C39" s="5" t="s">
        <v>2602</v>
      </c>
      <c r="D39" s="5" t="s">
        <v>2529</v>
      </c>
      <c r="E39" s="5" t="s">
        <v>2603</v>
      </c>
      <c r="G39" s="6" t="str">
        <f>IFERROR(__xludf.DUMMYFUNCTION("GOOGLETRANSLATE(A39, ""en"", ""id"")"),"38")</f>
        <v>38</v>
      </c>
      <c r="H39" s="6" t="str">
        <f>IFERROR(__xludf.DUMMYFUNCTION("GOOGLETRANSLATE(B39, ""en"", ""id"")"),"Alat musik tradisional Indonesia apa yang umum digunakan selama pertunjukan Pencak Silat?")</f>
        <v>Alat musik tradisional Indonesia apa yang umum digunakan selama pertunjukan Pencak Silat?</v>
      </c>
      <c r="I39" s="6" t="str">
        <f>IFERROR(__xludf.DUMMYFUNCTION("GOOGLETRANSLATE(C39, ""en"", ""id"")"),"A) Gamelan, B) Angklung, C) Seruling Bambu, D) Sasando")</f>
        <v>A) Gamelan, B) Angklung, C) Seruling Bambu, D) Sasando</v>
      </c>
      <c r="J39" s="6" t="str">
        <f>IFERROR(__xludf.DUMMYFUNCTION("GOOGLETRANSLATE(D39, ""en"", ""id"")"),"A) Gamelan")</f>
        <v>A) Gamelan</v>
      </c>
      <c r="K39" s="6" t="str">
        <f>IFERROR(__xludf.DUMMYFUNCTION("GOOGLETRANSLATE(E39, ""en"", ""id"")"),"Orkestra Gamelan banyak digunakan untuk mengiringi pertunjukan Pencak Silat.")</f>
        <v>Orkestra Gamelan banyak digunakan untuk mengiringi pertunjukan Pencak Silat.</v>
      </c>
    </row>
    <row r="40">
      <c r="A40" s="5">
        <v>39.0</v>
      </c>
      <c r="B40" s="5" t="s">
        <v>2604</v>
      </c>
      <c r="C40" s="5" t="s">
        <v>2605</v>
      </c>
      <c r="D40" s="5" t="s">
        <v>2606</v>
      </c>
      <c r="E40" s="5" t="s">
        <v>2607</v>
      </c>
      <c r="G40" s="6" t="str">
        <f>IFERROR(__xludf.DUMMYFUNCTION("GOOGLETRANSLATE(A40, ""en"", ""id"")"),"39")</f>
        <v>39</v>
      </c>
      <c r="H40" s="6" t="str">
        <f>IFERROR(__xludf.DUMMYFUNCTION("GOOGLETRANSLATE(B40, ""en"", ""id"")"),"Apa senjata tradisional dalam Pencak Silat yang terkenal karena bentuk lengkungnya yang unik?")</f>
        <v>Apa senjata tradisional dalam Pencak Silat yang terkenal karena bentuk lengkungnya yang unik?</v>
      </c>
      <c r="I40" s="6" t="str">
        <f>IFERROR(__xludf.DUMMYFUNCTION("GOOGLETRANSLATE(C40, ""en"", ""id"")"),"A) Kriss, B) Parang, C) Tombak, D) Pedang")</f>
        <v>A) Kriss, B) Parang, C) Tombak, D) Pedang</v>
      </c>
      <c r="J40" s="6" t="str">
        <f>IFERROR(__xludf.DUMMYFUNCTION("GOOGLETRANSLATE(D40, ""en"", ""id"")"),"A) Kriss")</f>
        <v>A) Kriss</v>
      </c>
      <c r="K40" s="6" t="str">
        <f>IFERROR(__xludf.DUMMYFUNCTION("GOOGLETRANSLATE(E40, ""en"", ""id"")"),"Keris adalah senjata tradisional Indonesia dengan bilah bergelombang yang khas, sering digunakan dalam Pencak Silat.")</f>
        <v>Keris adalah senjata tradisional Indonesia dengan bilah bergelombang yang khas, sering digunakan dalam Pencak Silat.</v>
      </c>
    </row>
    <row r="41">
      <c r="A41" s="5">
        <v>40.0</v>
      </c>
      <c r="B41" s="5" t="s">
        <v>2608</v>
      </c>
      <c r="C41" s="5" t="s">
        <v>2609</v>
      </c>
      <c r="D41" s="5" t="s">
        <v>2610</v>
      </c>
      <c r="E41" s="5" t="s">
        <v>2611</v>
      </c>
      <c r="G41" s="6" t="str">
        <f>IFERROR(__xludf.DUMMYFUNCTION("GOOGLETRANSLATE(A41, ""en"", ""id"")"),"40")</f>
        <v>40</v>
      </c>
      <c r="H41" s="6" t="str">
        <f>IFERROR(__xludf.DUMMYFUNCTION("GOOGLETRANSLATE(B41, ""en"", ""id"")"),"Gaya Pencak Silat yang terinspirasi dari binatang manakah yang terkenal karena gerakannya yang luwes dan mengelak?")</f>
        <v>Gaya Pencak Silat yang terinspirasi dari binatang manakah yang terkenal karena gerakannya yang luwes dan mengelak?</v>
      </c>
      <c r="I41" s="6" t="str">
        <f>IFERROR(__xludf.DUMMYFUNCTION("GOOGLETRANSLATE(C41, ""en"", ""id"")"),"A) Harimau (Harimau), B) Naga (Naga), C) Kera (Monyet), D) Ular (Ular)")</f>
        <v>A) Harimau (Harimau), B) Naga (Naga), C) Kera (Monyet), D) Ular (Ular)</v>
      </c>
      <c r="J41" s="6" t="str">
        <f>IFERROR(__xludf.DUMMYFUNCTION("GOOGLETRANSLATE(D41, ""en"", ""id"")"),"D) Ular")</f>
        <v>D) Ular</v>
      </c>
      <c r="K41" s="6" t="str">
        <f>IFERROR(__xludf.DUMMYFUNCTION("GOOGLETRANSLATE(E41, ""en"", ""id"")"),"Aliran Pencak Silat Ular menitikberatkan pada kelancaran dan gerakan mengelak.")</f>
        <v>Aliran Pencak Silat Ular menitikberatkan pada kelancaran dan gerakan mengelak.</v>
      </c>
    </row>
    <row r="42">
      <c r="A42" s="5">
        <v>41.0</v>
      </c>
      <c r="B42" s="5" t="s">
        <v>2612</v>
      </c>
      <c r="C42" s="5" t="s">
        <v>2613</v>
      </c>
      <c r="D42" s="5" t="s">
        <v>2614</v>
      </c>
      <c r="E42" s="5" t="s">
        <v>2615</v>
      </c>
      <c r="G42" s="6" t="str">
        <f>IFERROR(__xludf.DUMMYFUNCTION("GOOGLETRANSLATE(A42, ""en"", ""id"")"),"41")</f>
        <v>41</v>
      </c>
      <c r="H42" s="6" t="str">
        <f>IFERROR(__xludf.DUMMYFUNCTION("GOOGLETRANSLATE(B42, ""en"", ""id"")"),"Pahlawan nasional Indonesia terkenal manakah yang berlatih Pencak Silat?")</f>
        <v>Pahlawan nasional Indonesia terkenal manakah yang berlatih Pencak Silat?</v>
      </c>
      <c r="I42" s="6" t="str">
        <f>IFERROR(__xludf.DUMMYFUNCTION("GOOGLETRANSLATE(C42, ""en"", ""id"")"),"A) Sukarno, B) Pramoedya Ananta Toer, C) Raden Ajeng Kartini, D) Diponegoro")</f>
        <v>A) Sukarno, B) Pramoedya Ananta Toer, C) Raden Ajeng Kartini, D) Diponegoro</v>
      </c>
      <c r="J42" s="6" t="str">
        <f>IFERROR(__xludf.DUMMYFUNCTION("GOOGLETRANSLATE(D42, ""en"", ""id"")"),"D) Diponegoro")</f>
        <v>D) Diponegoro</v>
      </c>
      <c r="K42" s="6" t="str">
        <f>IFERROR(__xludf.DUMMYFUNCTION("GOOGLETRANSLATE(E42, ""en"", ""id"")"),"Diponegoro, seorang pahlawan nasional Indonesia, berlatih Pencak Silat sebagai bagian dari latihan seni bela dirinya.")</f>
        <v>Diponegoro, seorang pahlawan nasional Indonesia, berlatih Pencak Silat sebagai bagian dari latihan seni bela dirinya.</v>
      </c>
    </row>
    <row r="43">
      <c r="A43" s="5">
        <v>42.0</v>
      </c>
      <c r="B43" s="5" t="s">
        <v>2616</v>
      </c>
      <c r="C43" s="5" t="s">
        <v>2617</v>
      </c>
      <c r="D43" s="5" t="s">
        <v>2618</v>
      </c>
      <c r="E43" s="5" t="s">
        <v>2619</v>
      </c>
      <c r="G43" s="6" t="str">
        <f>IFERROR(__xludf.DUMMYFUNCTION("GOOGLETRANSLATE(A43, ""en"", ""id"")"),"42")</f>
        <v>42</v>
      </c>
      <c r="H43" s="6" t="str">
        <f>IFERROR(__xludf.DUMMYFUNCTION("GOOGLETRANSLATE(B43, ""en"", ""id"")"),"Aliran Pencak Silat manakah yang dianggap sebagai bentuk tertua dan berasal dari masyarakat Minangkabau?")</f>
        <v>Aliran Pencak Silat manakah yang dianggap sebagai bentuk tertua dan berasal dari masyarakat Minangkabau?</v>
      </c>
      <c r="I43" s="6" t="str">
        <f>IFERROR(__xludf.DUMMYFUNCTION("GOOGLETRANSLATE(C43, ""en"", ""id"")"),"A) Harimau, B) Silek, C) Serak, D) Cingkrik")</f>
        <v>A) Harimau, B) Silek, C) Serak, D) Cingkrik</v>
      </c>
      <c r="J43" s="6" t="str">
        <f>IFERROR(__xludf.DUMMYFUNCTION("GOOGLETRANSLATE(D43, ""en"", ""id"")"),"B) Silek")</f>
        <v>B) Silek</v>
      </c>
      <c r="K43" s="6" t="str">
        <f>IFERROR(__xludf.DUMMYFUNCTION("GOOGLETRANSLATE(E43, ""en"", ""id"")"),"Silek, yang berasal dari masyarakat Minangkabau di Sumatera Barat, merupakan salah satu aliran Pencak Silat tertua.")</f>
        <v>Silek, yang berasal dari masyarakat Minangkabau di Sumatera Barat, merupakan salah satu aliran Pencak Silat tertua.</v>
      </c>
    </row>
    <row r="44">
      <c r="A44" s="5">
        <v>43.0</v>
      </c>
      <c r="B44" s="5" t="s">
        <v>2620</v>
      </c>
      <c r="C44" s="5" t="s">
        <v>2621</v>
      </c>
      <c r="D44" s="5" t="s">
        <v>2578</v>
      </c>
      <c r="E44" s="5" t="s">
        <v>2622</v>
      </c>
      <c r="G44" s="6" t="str">
        <f>IFERROR(__xludf.DUMMYFUNCTION("GOOGLETRANSLATE(A44, ""en"", ""id"")"),"43")</f>
        <v>43</v>
      </c>
      <c r="H44" s="6" t="str">
        <f>IFERROR(__xludf.DUMMYFUNCTION("GOOGLETRANSLATE(B44, ""en"", ""id"")"),"Filsafat tradisional Indonesia manakah yang memengaruhi prinsip-prinsip Pencak Silat?")</f>
        <v>Filsafat tradisional Indonesia manakah yang memengaruhi prinsip-prinsip Pencak Silat?</v>
      </c>
      <c r="I44" s="6" t="str">
        <f>IFERROR(__xludf.DUMMYFUNCTION("GOOGLETRANSLATE(C44, ""en"", ""id"")"),"A) Kejawen, B) Konfusianisme, C) Taoisme, D) Animisme")</f>
        <v>A) Kejawen, B) Konfusianisme, C) Taoisme, D) Animisme</v>
      </c>
      <c r="J44" s="6" t="str">
        <f>IFERROR(__xludf.DUMMYFUNCTION("GOOGLETRANSLATE(D44, ""en"", ""id"")"),"A) Kejawen")</f>
        <v>A) Kejawen</v>
      </c>
      <c r="K44" s="6" t="str">
        <f>IFERROR(__xludf.DUMMYFUNCTION("GOOGLETRANSLATE(E44, ""en"", ""id"")"),"Kejawen, filsafat spiritual Jawa, memengaruhi etika dan gerakan dalam Pencak Silat.")</f>
        <v>Kejawen, filsafat spiritual Jawa, memengaruhi etika dan gerakan dalam Pencak Silat.</v>
      </c>
    </row>
    <row r="45">
      <c r="A45" s="5">
        <v>44.0</v>
      </c>
      <c r="B45" s="5" t="s">
        <v>2623</v>
      </c>
      <c r="C45" s="5" t="s">
        <v>2624</v>
      </c>
      <c r="D45" s="5" t="s">
        <v>2625</v>
      </c>
      <c r="E45" s="5" t="s">
        <v>2626</v>
      </c>
      <c r="G45" s="6" t="str">
        <f>IFERROR(__xludf.DUMMYFUNCTION("GOOGLETRANSLATE(A45, ""en"", ""id"")"),"44")</f>
        <v>44</v>
      </c>
      <c r="H45" s="6" t="str">
        <f>IFERROR(__xludf.DUMMYFUNCTION("GOOGLETRANSLATE(B45, ""en"", ""id"")"),"Pulau Indonesia manakah yang terkenal dengan aliran Pencak Silat 'Bali'?")</f>
        <v>Pulau Indonesia manakah yang terkenal dengan aliran Pencak Silat 'Bali'?</v>
      </c>
      <c r="I45" s="6" t="str">
        <f>IFERROR(__xludf.DUMMYFUNCTION("GOOGLETRANSLATE(C45, ""en"", ""id"")"),"A) Sumatera, B) Bali, C) Jawa, D) Lombok")</f>
        <v>A) Sumatera, B) Bali, C) Jawa, D) Lombok</v>
      </c>
      <c r="J45" s="6" t="str">
        <f>IFERROR(__xludf.DUMMYFUNCTION("GOOGLETRANSLATE(D45, ""en"", ""id"")"),"B) Bali")</f>
        <v>B) Bali</v>
      </c>
      <c r="K45" s="6" t="str">
        <f>IFERROR(__xludf.DUMMYFUNCTION("GOOGLETRANSLATE(E45, ""en"", ""id"")"),"Bali terkenal dengan gaya Pencak Silatnya yang unik, yang menggabungkan unsur-unsur budaya lokal.")</f>
        <v>Bali terkenal dengan gaya Pencak Silatnya yang unik, yang menggabungkan unsur-unsur budaya lokal.</v>
      </c>
    </row>
    <row r="46">
      <c r="A46" s="5">
        <v>45.0</v>
      </c>
      <c r="B46" s="5" t="s">
        <v>2627</v>
      </c>
      <c r="C46" s="5" t="s">
        <v>2628</v>
      </c>
      <c r="D46" s="5" t="s">
        <v>2629</v>
      </c>
      <c r="E46" s="5" t="s">
        <v>2630</v>
      </c>
      <c r="G46" s="6" t="str">
        <f>IFERROR(__xludf.DUMMYFUNCTION("GOOGLETRANSLATE(A46, ""en"", ""id"")"),"45")</f>
        <v>45</v>
      </c>
      <c r="H46" s="6" t="str">
        <f>IFERROR(__xludf.DUMMYFUNCTION("GOOGLETRANSLATE(B46, ""en"", ""id"")"),"Siapa pendiri Federasi Pencak Silat Internasional (PERSILAT)?")</f>
        <v>Siapa pendiri Federasi Pencak Silat Internasional (PERSILAT)?</v>
      </c>
      <c r="I46" s="6" t="str">
        <f>IFERROR(__xludf.DUMMYFUNCTION("GOOGLETRANSLATE(C46, ""en"", ""id"")"),"A) Anwar Bismar, B) Tarmizi Abdul Rahman, C) Eddy Pratomo, D) B. Soedewo")</f>
        <v>A) Anwar Bismar, B) Tarmizi Abdul Rahman, C) Eddy Pratomo, D) B. Soedewo</v>
      </c>
      <c r="J46" s="6" t="str">
        <f>IFERROR(__xludf.DUMMYFUNCTION("GOOGLETRANSLATE(D46, ""en"", ""id"")"),"C) Eddy Pratomo")</f>
        <v>C) Eddy Pratomo</v>
      </c>
      <c r="K46" s="6" t="str">
        <f>IFERROR(__xludf.DUMMYFUNCTION("GOOGLETRANSLATE(E46, ""en"", ""id"")"),"Eddy Pratomo adalah salah satu pendiri utama Federasi Pencak Silat Internasional pada tahun 1973.")</f>
        <v>Eddy Pratomo adalah salah satu pendiri utama Federasi Pencak Silat Internasional pada tahun 1973.</v>
      </c>
    </row>
    <row r="47">
      <c r="A47" s="5">
        <v>46.0</v>
      </c>
      <c r="B47" s="5" t="s">
        <v>2631</v>
      </c>
      <c r="C47" s="5" t="s">
        <v>2632</v>
      </c>
      <c r="D47" s="5" t="s">
        <v>2633</v>
      </c>
      <c r="E47" s="5" t="s">
        <v>2634</v>
      </c>
      <c r="G47" s="6" t="str">
        <f>IFERROR(__xludf.DUMMYFUNCTION("GOOGLETRANSLATE(A47, ""en"", ""id"")"),"46")</f>
        <v>46</v>
      </c>
      <c r="H47" s="6" t="str">
        <f>IFERROR(__xludf.DUMMYFUNCTION("GOOGLETRANSLATE(B47, ""en"", ""id"")"),"Pada tahun berapa Pencak Silat resmi menjadi olahraga demonstrasi di Pesta Olahraga Asia Tenggara?")</f>
        <v>Pada tahun berapa Pencak Silat resmi menjadi olahraga demonstrasi di Pesta Olahraga Asia Tenggara?</v>
      </c>
      <c r="I47" s="6" t="str">
        <f>IFERROR(__xludf.DUMMYFUNCTION("GOOGLETRANSLATE(C47, ""en"", ""id"")"),"A) Tahun 1977, B) Tahun 1987, C) Tahun 1997, D) Tahun 2007")</f>
        <v>A) Tahun 1977, B) Tahun 1987, C) Tahun 1997, D) Tahun 2007</v>
      </c>
      <c r="J47" s="6" t="str">
        <f>IFERROR(__xludf.DUMMYFUNCTION("GOOGLETRANSLATE(D47, ""en"", ""id"")"),"B) Tahun 1987")</f>
        <v>B) Tahun 1987</v>
      </c>
      <c r="K47" s="6" t="str">
        <f>IFERROR(__xludf.DUMMYFUNCTION("GOOGLETRANSLATE(E47, ""en"", ""id"")"),"Pencak Silat menjadi olahraga demonstrasi resmi di Pesta Olahraga Asia Tenggara pada tahun 1987.")</f>
        <v>Pencak Silat menjadi olahraga demonstrasi resmi di Pesta Olahraga Asia Tenggara pada tahun 1987.</v>
      </c>
    </row>
    <row r="48">
      <c r="A48" s="5">
        <v>47.0</v>
      </c>
      <c r="B48" s="5" t="s">
        <v>2635</v>
      </c>
      <c r="C48" s="5" t="s">
        <v>2636</v>
      </c>
      <c r="D48" s="5" t="s">
        <v>2637</v>
      </c>
      <c r="E48" s="5" t="s">
        <v>2638</v>
      </c>
      <c r="G48" s="6" t="str">
        <f>IFERROR(__xludf.DUMMYFUNCTION("GOOGLETRANSLATE(A48, ""en"", ""id"")"),"47")</f>
        <v>47</v>
      </c>
      <c r="H48" s="6" t="str">
        <f>IFERROR(__xludf.DUMMYFUNCTION("GOOGLETRANSLATE(B48, ""en"", ""id"")"),"Badan olahraga nasional Indonesia manakah yang bertanggung jawab atas tata kelola Pencak Silat di Indonesia?")</f>
        <v>Badan olahraga nasional Indonesia manakah yang bertanggung jawab atas tata kelola Pencak Silat di Indonesia?</v>
      </c>
      <c r="I48" s="6" t="str">
        <f>IFERROR(__xludf.DUMMYFUNCTION("GOOGLETRANSLATE(C48, ""en"", ""id"")"),"A) PSSI, B) KONI, C) IPSI, D) PBSI")</f>
        <v>A) PSSI, B) KONI, C) IPSI, D) PBSI</v>
      </c>
      <c r="J48" s="6" t="str">
        <f>IFERROR(__xludf.DUMMYFUNCTION("GOOGLETRANSLATE(D48, ""en"", ""id"")"),"C) IPSI")</f>
        <v>C) IPSI</v>
      </c>
      <c r="K48" s="6" t="str">
        <f>IFERROR(__xludf.DUMMYFUNCTION("GOOGLETRANSLATE(E48, ""en"", ""id"")"),"Ikatan Pencak Silat Indonesia (IPSI) bertanggung jawab untuk mengawasi olahraga ini di Indonesia.")</f>
        <v>Ikatan Pencak Silat Indonesia (IPSI) bertanggung jawab untuk mengawasi olahraga ini di Indonesia.</v>
      </c>
    </row>
    <row r="49">
      <c r="A49" s="5">
        <v>48.0</v>
      </c>
      <c r="B49" s="5" t="s">
        <v>2639</v>
      </c>
      <c r="C49" s="5" t="s">
        <v>2640</v>
      </c>
      <c r="D49" s="5" t="s">
        <v>2641</v>
      </c>
      <c r="E49" s="5" t="s">
        <v>2642</v>
      </c>
      <c r="G49" s="6" t="str">
        <f>IFERROR(__xludf.DUMMYFUNCTION("GOOGLETRANSLATE(A49, ""en"", ""id"")"),"48")</f>
        <v>48</v>
      </c>
      <c r="H49" s="6" t="str">
        <f>IFERROR(__xludf.DUMMYFUNCTION("GOOGLETRANSLATE(B49, ""en"", ""id"")"),"Provinsi manakah di Indonesia yang terkenal dengan gaya Pencak Silat 'Cindelaras'?")</f>
        <v>Provinsi manakah di Indonesia yang terkenal dengan gaya Pencak Silat 'Cindelaras'?</v>
      </c>
      <c r="I49" s="6" t="str">
        <f>IFERROR(__xludf.DUMMYFUNCTION("GOOGLETRANSLATE(C49, ""en"", ""id"")"),"A) Aceh, B) Sumatera Barat, C) Yogyakarta, D) Bali")</f>
        <v>A) Aceh, B) Sumatera Barat, C) Yogyakarta, D) Bali</v>
      </c>
      <c r="J49" s="6" t="str">
        <f>IFERROR(__xludf.DUMMYFUNCTION("GOOGLETRANSLATE(D49, ""en"", ""id"")"),"C) Yogyakarta")</f>
        <v>C) Yogyakarta</v>
      </c>
      <c r="K49" s="6" t="str">
        <f>IFERROR(__xludf.DUMMYFUNCTION("GOOGLETRANSLATE(E49, ""en"", ""id"")"),"Pencak Silat gaya 'Cindelaras' diketahui berasal dari Yogyakarta, Jawa Tengah.")</f>
        <v>Pencak Silat gaya 'Cindelaras' diketahui berasal dari Yogyakarta, Jawa Tengah.</v>
      </c>
    </row>
    <row r="50">
      <c r="A50" s="5">
        <v>49.0</v>
      </c>
      <c r="B50" s="5" t="s">
        <v>2643</v>
      </c>
      <c r="C50" s="5" t="s">
        <v>2644</v>
      </c>
      <c r="D50" s="5" t="s">
        <v>2645</v>
      </c>
      <c r="E50" s="5" t="s">
        <v>2646</v>
      </c>
      <c r="G50" s="6" t="str">
        <f>IFERROR(__xludf.DUMMYFUNCTION("GOOGLETRANSLATE(A50, ""en"", ""id"")"),"49")</f>
        <v>49</v>
      </c>
      <c r="H50" s="6" t="str">
        <f>IFERROR(__xludf.DUMMYFUNCTION("GOOGLETRANSLATE(B50, ""en"", ""id"")"),"Pencak Silat berakar dari seni bela diri daerah manakah?")</f>
        <v>Pencak Silat berakar dari seni bela diri daerah manakah?</v>
      </c>
      <c r="I50" s="6" t="str">
        <f>IFERROR(__xludf.DUMMYFUNCTION("GOOGLETRANSLATE(C50, ""en"", ""id"")"),"A) Asia Selatan, B) Asia Tenggara, C) Asia Timur, D) Asia Tengah")</f>
        <v>A) Asia Selatan, B) Asia Tenggara, C) Asia Timur, D) Asia Tengah</v>
      </c>
      <c r="J50" s="6" t="str">
        <f>IFERROR(__xludf.DUMMYFUNCTION("GOOGLETRANSLATE(D50, ""en"", ""id"")"),"B) Asia Tenggara")</f>
        <v>B) Asia Tenggara</v>
      </c>
      <c r="K50" s="6" t="str">
        <f>IFERROR(__xludf.DUMMYFUNCTION("GOOGLETRANSLATE(E50, ""en"", ""id"")"),"Pencak Silat dikembangkan sebagai bagian dari tradisi seni bela diri Asia Tenggara yang lebih luas.")</f>
        <v>Pencak Silat dikembangkan sebagai bagian dari tradisi seni bela diri Asia Tenggara yang lebih luas.</v>
      </c>
    </row>
    <row r="51">
      <c r="A51" s="5">
        <v>50.0</v>
      </c>
      <c r="B51" s="5" t="s">
        <v>2647</v>
      </c>
      <c r="C51" s="5" t="s">
        <v>2648</v>
      </c>
      <c r="D51" s="5" t="s">
        <v>2649</v>
      </c>
      <c r="E51" s="5" t="s">
        <v>2650</v>
      </c>
      <c r="G51" s="6" t="str">
        <f>IFERROR(__xludf.DUMMYFUNCTION("GOOGLETRANSLATE(A51, ""en"", ""id"")"),"50")</f>
        <v>50</v>
      </c>
      <c r="H51" s="6" t="str">
        <f>IFERROR(__xludf.DUMMYFUNCTION("GOOGLETRANSLATE(B51, ""en"", ""id"")"),"Apa tujuan utama pertunjukan Pencak Silat dalam upacara adat?")</f>
        <v>Apa tujuan utama pertunjukan Pencak Silat dalam upacara adat?</v>
      </c>
      <c r="I51" s="6" t="str">
        <f>IFERROR(__xludf.DUMMYFUNCTION("GOOGLETRANSLATE(C51, ""en"", ""id"")"),"A) Hiburan, B) Spiritual, C) Pendidikan, D) Kompetisi")</f>
        <v>A) Hiburan, B) Spiritual, C) Pendidikan, D) Kompetisi</v>
      </c>
      <c r="J51" s="6" t="str">
        <f>IFERROR(__xludf.DUMMYFUNCTION("GOOGLETRANSLATE(D51, ""en"", ""id"")"),"B) Rohani")</f>
        <v>B) Rohani</v>
      </c>
      <c r="K51" s="6" t="str">
        <f>IFERROR(__xludf.DUMMYFUNCTION("GOOGLETRANSLATE(E51, ""en"", ""id"")"),"Pertunjukan Pencak Silat tradisional sering kali memiliki tujuan spiritual dan seremonial.")</f>
        <v>Pertunjukan Pencak Silat tradisional sering kali memiliki tujuan spiritual dan seremonial.</v>
      </c>
    </row>
    <row r="52">
      <c r="A52" s="5">
        <v>51.0</v>
      </c>
      <c r="B52" s="5" t="s">
        <v>2651</v>
      </c>
      <c r="C52" s="5" t="s">
        <v>2652</v>
      </c>
      <c r="D52" s="5" t="s">
        <v>2653</v>
      </c>
      <c r="E52" s="5" t="s">
        <v>2654</v>
      </c>
      <c r="G52" s="6" t="str">
        <f>IFERROR(__xludf.DUMMYFUNCTION("GOOGLETRANSLATE(A52, ""en"", ""id"")"),"51")</f>
        <v>51</v>
      </c>
      <c r="H52" s="6" t="str">
        <f>IFERROR(__xludf.DUMMYFUNCTION("GOOGLETRANSLATE(B52, ""en"", ""id"")"),"Negara Eropa manakah yang pertama kali memperkenalkan Pencak Silat ke dunia Barat?")</f>
        <v>Negara Eropa manakah yang pertama kali memperkenalkan Pencak Silat ke dunia Barat?</v>
      </c>
      <c r="I52" s="6" t="str">
        <f>IFERROR(__xludf.DUMMYFUNCTION("GOOGLETRANSLATE(C52, ""en"", ""id"")"),"A) Prancis, B) Inggris, C) Belanda, D) Portugal")</f>
        <v>A) Prancis, B) Inggris, C) Belanda, D) Portugal</v>
      </c>
      <c r="J52" s="6" t="str">
        <f>IFERROR(__xludf.DUMMYFUNCTION("GOOGLETRANSLATE(D52, ""en"", ""id"")"),"C) Belanda")</f>
        <v>C) Belanda</v>
      </c>
      <c r="K52" s="6" t="str">
        <f>IFERROR(__xludf.DUMMYFUNCTION("GOOGLETRANSLATE(E52, ""en"", ""id"")"),"Belanda memperkenalkan Pencak Silat ke dunia Barat selama masa kolonial mereka di Indonesia.")</f>
        <v>Belanda memperkenalkan Pencak Silat ke dunia Barat selama masa kolonial mereka di Indonesia.</v>
      </c>
    </row>
    <row r="53">
      <c r="A53" s="5">
        <v>52.0</v>
      </c>
      <c r="B53" s="5" t="s">
        <v>2655</v>
      </c>
      <c r="C53" s="5" t="s">
        <v>2656</v>
      </c>
      <c r="D53" s="5" t="s">
        <v>2657</v>
      </c>
      <c r="E53" s="5" t="s">
        <v>2658</v>
      </c>
      <c r="G53" s="6" t="str">
        <f>IFERROR(__xludf.DUMMYFUNCTION("GOOGLETRANSLATE(A53, ""en"", ""id"")"),"52")</f>
        <v>52</v>
      </c>
      <c r="H53" s="6" t="str">
        <f>IFERROR(__xludf.DUMMYFUNCTION("GOOGLETRANSLATE(B53, ""en"", ""id"")"),"Manakah dari bentuk Pencak Silat ini yang dikenal karena serangan cepat dan mobilitasnya?")</f>
        <v>Manakah dari bentuk Pencak Silat ini yang dikenal karena serangan cepat dan mobilitasnya?</v>
      </c>
      <c r="I53" s="6" t="str">
        <f>IFERROR(__xludf.DUMMYFUNCTION("GOOGLETRANSLATE(C53, ""en"", ""id"")"),"A) Kera (Monyet), B) Harimau (Harimau), C) Naga (Naga), D) Serak")</f>
        <v>A) Kera (Monyet), B) Harimau (Harimau), C) Naga (Naga), D) Serak</v>
      </c>
      <c r="J53" s="6" t="str">
        <f>IFERROR(__xludf.DUMMYFUNCTION("GOOGLETRANSLATE(D53, ""en"", ""id"")"),"A) Kera (Monyet)")</f>
        <v>A) Kera (Monyet)</v>
      </c>
      <c r="K53" s="6" t="str">
        <f>IFERROR(__xludf.DUMMYFUNCTION("GOOGLETRANSLATE(E53, ""en"", ""id"")"),"Bentuk Kera (Monyet) menekankan kelincahan dan serangan cepat dalam Pencak Silat.")</f>
        <v>Bentuk Kera (Monyet) menekankan kelincahan dan serangan cepat dalam Pencak Silat.</v>
      </c>
    </row>
    <row r="54">
      <c r="A54" s="5">
        <v>53.0</v>
      </c>
      <c r="B54" s="5" t="s">
        <v>2659</v>
      </c>
      <c r="C54" s="5" t="s">
        <v>2660</v>
      </c>
      <c r="D54" s="5" t="s">
        <v>2661</v>
      </c>
      <c r="E54" s="5" t="s">
        <v>2662</v>
      </c>
      <c r="G54" s="6" t="str">
        <f>IFERROR(__xludf.DUMMYFUNCTION("GOOGLETRANSLATE(A54, ""en"", ""id"")"),"53")</f>
        <v>53</v>
      </c>
      <c r="H54" s="6" t="str">
        <f>IFERROR(__xludf.DUMMYFUNCTION("GOOGLETRANSLATE(B54, ""en"", ""id"")"),"Seni bela diri Pencak Silat juga merupakan bentuk pertahanan terhadap apa?")</f>
        <v>Seni bela diri Pencak Silat juga merupakan bentuk pertahanan terhadap apa?</v>
      </c>
      <c r="I54" s="6" t="str">
        <f>IFERROR(__xludf.DUMMYFUNCTION("GOOGLETRANSLATE(C54, ""en"", ""id"")"),"A) Hewan liar, B) Senjata lawan, C) Stres psikologis, D) Bencana alam")</f>
        <v>A) Hewan liar, B) Senjata lawan, C) Stres psikologis, D) Bencana alam</v>
      </c>
      <c r="J54" s="6" t="str">
        <f>IFERROR(__xludf.DUMMYFUNCTION("GOOGLETRANSLATE(D54, ""en"", ""id"")"),"B) Senjata lawan")</f>
        <v>B) Senjata lawan</v>
      </c>
      <c r="K54" s="6" t="str">
        <f>IFERROR(__xludf.DUMMYFUNCTION("GOOGLETRANSLATE(E54, ""en"", ""id"")"),"Teknik Pencak Silat dirancang untuk mempertahankan diri dari lawan yang bersenjata.")</f>
        <v>Teknik Pencak Silat dirancang untuk mempertahankan diri dari lawan yang bersenjata.</v>
      </c>
    </row>
    <row r="55">
      <c r="A55" s="5">
        <v>54.0</v>
      </c>
      <c r="B55" s="5" t="s">
        <v>2663</v>
      </c>
      <c r="C55" s="5" t="s">
        <v>2664</v>
      </c>
      <c r="D55" s="5" t="s">
        <v>2665</v>
      </c>
      <c r="E55" s="5" t="s">
        <v>2666</v>
      </c>
      <c r="G55" s="6" t="str">
        <f>IFERROR(__xludf.DUMMYFUNCTION("GOOGLETRANSLATE(A55, ""en"", ""id"")"),"54")</f>
        <v>54</v>
      </c>
      <c r="H55" s="6" t="str">
        <f>IFERROR(__xludf.DUMMYFUNCTION("GOOGLETRANSLATE(B55, ""en"", ""id"")"),"Aspek Pencak Silat manakah yang paling ditekankan dalam kompetisi modern?")</f>
        <v>Aspek Pencak Silat manakah yang paling ditekankan dalam kompetisi modern?</v>
      </c>
      <c r="I55" s="6" t="str">
        <f>IFERROR(__xludf.DUMMYFUNCTION("GOOGLETRANSLATE(C55, ""en"", ""id"")"),"A) Kekuatan, B) Fluiditas, C) Kecepatan dan ketepatan, D) Daya")</f>
        <v>A) Kekuatan, B) Fluiditas, C) Kecepatan dan ketepatan, D) Daya</v>
      </c>
      <c r="J55" s="6" t="str">
        <f>IFERROR(__xludf.DUMMYFUNCTION("GOOGLETRANSLATE(D55, ""en"", ""id"")"),"C) Kecepatan dan ketepatan")</f>
        <v>C) Kecepatan dan ketepatan</v>
      </c>
      <c r="K55" s="6" t="str">
        <f>IFERROR(__xludf.DUMMYFUNCTION("GOOGLETRANSLATE(E55, ""en"", ""id"")"),"Dalam kompetisi modern, Pencak Silat menekankan kecepatan dan ketepatan gerakan.")</f>
        <v>Dalam kompetisi modern, Pencak Silat menekankan kecepatan dan ketepatan gerakan.</v>
      </c>
    </row>
    <row r="56">
      <c r="A56" s="5">
        <v>55.0</v>
      </c>
      <c r="B56" s="5" t="s">
        <v>2667</v>
      </c>
      <c r="C56" s="5" t="s">
        <v>2668</v>
      </c>
      <c r="D56" s="5" t="s">
        <v>2669</v>
      </c>
      <c r="E56" s="5" t="s">
        <v>2670</v>
      </c>
      <c r="G56" s="6" t="str">
        <f>IFERROR(__xludf.DUMMYFUNCTION("GOOGLETRANSLATE(A56, ""en"", ""id"")"),"55")</f>
        <v>55</v>
      </c>
      <c r="H56" s="6" t="str">
        <f>IFERROR(__xludf.DUMMYFUNCTION("GOOGLETRANSLATE(B56, ""en"", ""id"")"),"Pencak Silat diakui oleh badan olahraga global yang mana?")</f>
        <v>Pencak Silat diakui oleh badan olahraga global yang mana?</v>
      </c>
      <c r="I56" s="6" t="str">
        <f>IFERROR(__xludf.DUMMYFUNCTION("GOOGLETRANSLATE(C56, ""en"", ""id"")"),"A) IOC (Komite Olimpiade Internasional), B) FIFA, C) Taekwondo Dunia, D) GAISF")</f>
        <v>A) IOC (Komite Olimpiade Internasional), B) FIFA, C) Taekwondo Dunia, D) GAISF</v>
      </c>
      <c r="J56" s="6" t="str">
        <f>IFERROR(__xludf.DUMMYFUNCTION("GOOGLETRANSLATE(D56, ""en"", ""id"")"),"D) GAISF")</f>
        <v>D) GAISF</v>
      </c>
      <c r="K56" s="6" t="str">
        <f>IFERROR(__xludf.DUMMYFUNCTION("GOOGLETRANSLATE(E56, ""en"", ""id"")"),"Pencak Silat secara resmi diakui oleh Asosiasi Federasi Olahraga Internasional Global (GAISF).")</f>
        <v>Pencak Silat secara resmi diakui oleh Asosiasi Federasi Olahraga Internasional Global (GAISF).</v>
      </c>
    </row>
    <row r="57">
      <c r="A57" s="5">
        <v>56.0</v>
      </c>
      <c r="B57" s="5" t="s">
        <v>2671</v>
      </c>
      <c r="C57" s="5" t="s">
        <v>2672</v>
      </c>
      <c r="D57" s="5" t="s">
        <v>2558</v>
      </c>
      <c r="E57" s="5" t="s">
        <v>2673</v>
      </c>
      <c r="G57" s="6" t="str">
        <f>IFERROR(__xludf.DUMMYFUNCTION("GOOGLETRANSLATE(A57, ""en"", ""id"")"),"56")</f>
        <v>56</v>
      </c>
      <c r="H57" s="6" t="str">
        <f>IFERROR(__xludf.DUMMYFUNCTION("GOOGLETRANSLATE(B57, ""en"", ""id"")"),"Praktisi Pencak Silat dikenal dengan istilah apa?")</f>
        <v>Praktisi Pencak Silat dikenal dengan istilah apa?</v>
      </c>
      <c r="I57" s="6" t="str">
        <f>IFERROR(__xludf.DUMMYFUNCTION("GOOGLETRANSLATE(C57, ""en"", ""id"")"),"A) Pesilat, B) Pencak, C) Silatman, D) Pendekar")</f>
        <v>A) Pesilat, B) Pencak, C) Silatman, D) Pendekar</v>
      </c>
      <c r="J57" s="6" t="str">
        <f>IFERROR(__xludf.DUMMYFUNCTION("GOOGLETRANSLATE(D57, ""en"", ""id"")"),"A) Pesilat")</f>
        <v>A) Pesilat</v>
      </c>
      <c r="K57" s="6" t="str">
        <f>IFERROR(__xludf.DUMMYFUNCTION("GOOGLETRANSLATE(E57, ""en"", ""id"")"),"Seorang praktisi Pencak Silat disebut 'Pesilat' di Indonesia.")</f>
        <v>Seorang praktisi Pencak Silat disebut 'Pesilat' di Indonesia.</v>
      </c>
    </row>
    <row r="58">
      <c r="A58" s="5">
        <v>57.0</v>
      </c>
      <c r="B58" s="5" t="s">
        <v>2674</v>
      </c>
      <c r="C58" s="5" t="s">
        <v>2675</v>
      </c>
      <c r="D58" s="5" t="s">
        <v>2676</v>
      </c>
      <c r="E58" s="5" t="s">
        <v>2677</v>
      </c>
      <c r="G58" s="6" t="str">
        <f>IFERROR(__xludf.DUMMYFUNCTION("GOOGLETRANSLATE(A58, ""en"", ""id"")"),"57")</f>
        <v>57</v>
      </c>
      <c r="H58" s="6" t="str">
        <f>IFERROR(__xludf.DUMMYFUNCTION("GOOGLETRANSLATE(B58, ""en"", ""id"")"),"Daerah manakah di Indonesia yang mengembangkan Pencak Silat gaya 'Cempaka'?")</f>
        <v>Daerah manakah di Indonesia yang mengembangkan Pencak Silat gaya 'Cempaka'?</v>
      </c>
      <c r="I58" s="6" t="str">
        <f>IFERROR(__xludf.DUMMYFUNCTION("GOOGLETRANSLATE(C58, ""en"", ""id"")"),"A) Bali, B) Sumatera Barat, C) Jawa Tengah, D) Aceh")</f>
        <v>A) Bali, B) Sumatera Barat, C) Jawa Tengah, D) Aceh</v>
      </c>
      <c r="J58" s="6" t="str">
        <f>IFERROR(__xludf.DUMMYFUNCTION("GOOGLETRANSLATE(D58, ""en"", ""id"")"),"C) Jawa Tengah")</f>
        <v>C) Jawa Tengah</v>
      </c>
      <c r="K58" s="6" t="str">
        <f>IFERROR(__xludf.DUMMYFUNCTION("GOOGLETRANSLATE(E58, ""en"", ""id"")"),"Pencak Silat gaya 'Cempaka' berasal dari Jawa Tengah.")</f>
        <v>Pencak Silat gaya 'Cempaka' berasal dari Jawa Tengah.</v>
      </c>
    </row>
    <row r="59">
      <c r="A59" s="5">
        <v>58.0</v>
      </c>
      <c r="B59" s="5" t="s">
        <v>2678</v>
      </c>
      <c r="C59" s="5" t="s">
        <v>2679</v>
      </c>
      <c r="D59" s="5" t="s">
        <v>2680</v>
      </c>
      <c r="E59" s="5" t="s">
        <v>2681</v>
      </c>
      <c r="G59" s="6" t="str">
        <f>IFERROR(__xludf.DUMMYFUNCTION("GOOGLETRANSLATE(A59, ""en"", ""id"")"),"58")</f>
        <v>58</v>
      </c>
      <c r="H59" s="6" t="str">
        <f>IFERROR(__xludf.DUMMYFUNCTION("GOOGLETRANSLATE(B59, ""en"", ""id"")"),"Tokoh sejarah manakah yang berjasa menyebarkan Pencak Silat ke luar Indonesia hingga ke Malaysia dan Singapura?")</f>
        <v>Tokoh sejarah manakah yang berjasa menyebarkan Pencak Silat ke luar Indonesia hingga ke Malaysia dan Singapura?</v>
      </c>
      <c r="I59" s="6" t="str">
        <f>IFERROR(__xludf.DUMMYFUNCTION("GOOGLETRANSLATE(C59, ""en"", ""id"")"),"A) Syeikh Abdurrahman, B) Tunku Abdul Rahman, C) Mahmud dari Malaka, D) Pahlawan")</f>
        <v>A) Syeikh Abdurrahman, B) Tunku Abdul Rahman, C) Mahmud dari Malaka, D) Pahlawan</v>
      </c>
      <c r="J59" s="6" t="str">
        <f>IFERROR(__xludf.DUMMYFUNCTION("GOOGLETRANSLATE(D59, ""en"", ""id"")"),"A) Syeikh Abdurrahman")</f>
        <v>A) Syeikh Abdurrahman</v>
      </c>
      <c r="K59" s="6" t="str">
        <f>IFERROR(__xludf.DUMMYFUNCTION("GOOGLETRANSLATE(E59, ""en"", ""id"")"),"Syeikh Abdurrahman berperan penting dalam menyebarkan Pencak Silat ke negara tetangga seperti Malaysia dan Singapura.")</f>
        <v>Syeikh Abdurrahman berperan penting dalam menyebarkan Pencak Silat ke negara tetangga seperti Malaysia dan Singapura.</v>
      </c>
    </row>
    <row r="60">
      <c r="A60" s="5">
        <v>59.0</v>
      </c>
      <c r="B60" s="5" t="s">
        <v>2682</v>
      </c>
      <c r="C60" s="5" t="s">
        <v>2683</v>
      </c>
      <c r="D60" s="5" t="s">
        <v>2684</v>
      </c>
      <c r="E60" s="5" t="s">
        <v>2685</v>
      </c>
      <c r="G60" s="6" t="str">
        <f>IFERROR(__xludf.DUMMYFUNCTION("GOOGLETRANSLATE(A60, ""en"", ""id"")"),"59")</f>
        <v>59</v>
      </c>
      <c r="H60" s="6" t="str">
        <f>IFERROR(__xludf.DUMMYFUNCTION("GOOGLETRANSLATE(B60, ""en"", ""id"")"),"Pada tahun berapa Kejuaraan Dunia Pencak Silat pertama diadakan?")</f>
        <v>Pada tahun berapa Kejuaraan Dunia Pencak Silat pertama diadakan?</v>
      </c>
      <c r="I60" s="6" t="str">
        <f>IFERROR(__xludf.DUMMYFUNCTION("GOOGLETRANSLATE(C60, ""en"", ""id"")"),"A) Tahun 1971, B) Tahun 1979, C) Tahun 1982, D) Tahun 1990")</f>
        <v>A) Tahun 1971, B) Tahun 1979, C) Tahun 1982, D) Tahun 1990</v>
      </c>
      <c r="J60" s="6" t="str">
        <f>IFERROR(__xludf.DUMMYFUNCTION("GOOGLETRANSLATE(D60, ""en"", ""id"")"),"B) Tahun 1979")</f>
        <v>B) Tahun 1979</v>
      </c>
      <c r="K60" s="6" t="str">
        <f>IFERROR(__xludf.DUMMYFUNCTION("GOOGLETRANSLATE(E60, ""en"", ""id"")"),"Kejuaraan Dunia Pencak Silat pertama diadakan pada tahun 1979 untuk mempromosikan olahraga ini secara internasional.")</f>
        <v>Kejuaraan Dunia Pencak Silat pertama diadakan pada tahun 1979 untuk mempromosikan olahraga ini secara internasional.</v>
      </c>
    </row>
    <row r="61">
      <c r="A61" s="5">
        <v>60.0</v>
      </c>
      <c r="B61" s="5" t="s">
        <v>2686</v>
      </c>
      <c r="C61" s="5" t="s">
        <v>2687</v>
      </c>
      <c r="D61" s="5" t="s">
        <v>2688</v>
      </c>
      <c r="E61" s="5" t="s">
        <v>2689</v>
      </c>
      <c r="G61" s="6" t="str">
        <f>IFERROR(__xludf.DUMMYFUNCTION("GOOGLETRANSLATE(A61, ""en"", ""id"")"),"60")</f>
        <v>60</v>
      </c>
      <c r="H61" s="6" t="str">
        <f>IFERROR(__xludf.DUMMYFUNCTION("GOOGLETRANSLATE(B61, ""en"", ""id"")"),"Peristiwa sejarah manakah yang dianggap sangat memengaruhi perkembangan Pencak Silat?")</f>
        <v>Peristiwa sejarah manakah yang dianggap sangat memengaruhi perkembangan Pencak Silat?</v>
      </c>
      <c r="I61" s="6" t="str">
        <f>IFERROR(__xludf.DUMMYFUNCTION("GOOGLETRANSLATE(C61, ""en"", ""id"")"),"A) Era kolonial, B) Munculnya Kesultanan Melayu, C) Terbentuknya Kerajaan Majapahit, D) Penyebaran agama Buddha")</f>
        <v>A) Era kolonial, B) Munculnya Kesultanan Melayu, C) Terbentuknya Kerajaan Majapahit, D) Penyebaran agama Buddha</v>
      </c>
      <c r="J61" s="6" t="str">
        <f>IFERROR(__xludf.DUMMYFUNCTION("GOOGLETRANSLATE(D61, ""en"", ""id"")"),"A) Zaman penjajahan")</f>
        <v>A) Zaman penjajahan</v>
      </c>
      <c r="K61" s="6" t="str">
        <f>IFERROR(__xludf.DUMMYFUNCTION("GOOGLETRANSLATE(E61, ""en"", ""id"")"),"Masa penjajahan Belanda mempengaruhi perkembangan dan evolusi Pencak Silat di Indonesia.")</f>
        <v>Masa penjajahan Belanda mempengaruhi perkembangan dan evolusi Pencak Silat di Indonesia.</v>
      </c>
    </row>
    <row r="62">
      <c r="A62" s="5">
        <v>61.0</v>
      </c>
      <c r="B62" s="10" t="s">
        <v>2690</v>
      </c>
      <c r="C62" s="10" t="s">
        <v>2691</v>
      </c>
      <c r="D62" s="10" t="s">
        <v>2692</v>
      </c>
      <c r="E62" s="10" t="s">
        <v>2693</v>
      </c>
      <c r="G62" s="6" t="str">
        <f>IFERROR(__xludf.DUMMYFUNCTION("GOOGLETRANSLATE(A62, ""en"", ""id"")"),"61")</f>
        <v>61</v>
      </c>
      <c r="H62" s="6" t="str">
        <f>IFERROR(__xludf.DUMMYFUNCTION("GOOGLETRANSLATE(B62, ""en"", ""id"")"),"Kesultanan Indonesia manakah yang melestarikan Pencak Silat sebagai bagian tradisi pelatihan istana?")</f>
        <v>Kesultanan Indonesia manakah yang melestarikan Pencak Silat sebagai bagian tradisi pelatihan istana?</v>
      </c>
      <c r="I62" s="6" t="str">
        <f>IFERROR(__xludf.DUMMYFUNCTION("GOOGLETRANSLATE(C62, ""en"", ""id"")"),"A) Kesultanan Demak B) Kesultanan Malaka C) Kesultanan Yogyakarta D) Kesultanan Aceh")</f>
        <v>A) Kesultanan Demak B) Kesultanan Malaka C) Kesultanan Yogyakarta D) Kesultanan Aceh</v>
      </c>
      <c r="J62" s="6" t="str">
        <f>IFERROR(__xludf.DUMMYFUNCTION("GOOGLETRANSLATE(D62, ""en"", ""id"")"),"C) Kesultanan Yogyakarta")</f>
        <v>C) Kesultanan Yogyakarta</v>
      </c>
      <c r="K62" s="6" t="str">
        <f>IFERROR(__xludf.DUMMYFUNCTION("GOOGLETRANSLATE(E62, ""en"", ""id"")"),"Kesultanan Yogyakarta mengintegrasikan Pencak Silat ke dalam pelatihan kerajaan dan upacara budaya.")</f>
        <v>Kesultanan Yogyakarta mengintegrasikan Pencak Silat ke dalam pelatihan kerajaan dan upacara budaya.</v>
      </c>
    </row>
    <row r="63">
      <c r="A63" s="5">
        <v>62.0</v>
      </c>
      <c r="B63" s="10" t="s">
        <v>2694</v>
      </c>
      <c r="C63" s="10" t="s">
        <v>2695</v>
      </c>
      <c r="D63" s="10" t="s">
        <v>2566</v>
      </c>
      <c r="E63" s="10" t="s">
        <v>2696</v>
      </c>
      <c r="G63" s="6" t="str">
        <f>IFERROR(__xludf.DUMMYFUNCTION("GOOGLETRANSLATE(A63, ""en"", ""id"")"),"62")</f>
        <v>62</v>
      </c>
      <c r="H63" s="6" t="str">
        <f>IFERROR(__xludf.DUMMYFUNCTION("GOOGLETRANSLATE(B63, ""en"", ""id"")"),"Latihan Pencak Silat awal sering diadakan di ruang komunitas jenis apa?")</f>
        <v>Latihan Pencak Silat awal sering diadakan di ruang komunitas jenis apa?</v>
      </c>
      <c r="I63" s="6" t="str">
        <f>IFERROR(__xludf.DUMMYFUNCTION("GOOGLETRANSLATE(C63, ""en"", ""id"")"),"A) Lumbung padi B) Halaman desa C) Padepokan D) Pura")</f>
        <v>A) Lumbung padi B) Halaman desa C) Padepokan D) Pura</v>
      </c>
      <c r="J63" s="6" t="str">
        <f>IFERROR(__xludf.DUMMYFUNCTION("GOOGLETRANSLATE(D63, ""en"", ""id"")"),"C) Padepokan")</f>
        <v>C) Padepokan</v>
      </c>
      <c r="K63" s="6" t="str">
        <f>IFERROR(__xludf.DUMMYFUNCTION("GOOGLETRANSLATE(E63, ""en"", ""id"")"),"Padepokan, balai adat, dulunya berfungsi sebagai pusat pengajaran Silat.")</f>
        <v>Padepokan, balai adat, dulunya berfungsi sebagai pusat pengajaran Silat.</v>
      </c>
    </row>
    <row r="64">
      <c r="A64" s="5">
        <v>63.0</v>
      </c>
      <c r="B64" s="10" t="s">
        <v>2697</v>
      </c>
      <c r="C64" s="10" t="s">
        <v>2698</v>
      </c>
      <c r="D64" s="10" t="s">
        <v>2699</v>
      </c>
      <c r="E64" s="10" t="s">
        <v>2700</v>
      </c>
      <c r="G64" s="6" t="str">
        <f>IFERROR(__xludf.DUMMYFUNCTION("GOOGLETRANSLATE(A64, ""en"", ""id"")"),"63")</f>
        <v>63</v>
      </c>
      <c r="H64" s="6" t="str">
        <f>IFERROR(__xludf.DUMMYFUNCTION("GOOGLETRANSLATE(B64, ""en"", ""id"")"),"Penyebaran Pencak Silat ke Malaysia terkait erat dengan jaringan maritim yang mana?")</f>
        <v>Penyebaran Pencak Silat ke Malaysia terkait erat dengan jaringan maritim yang mana?</v>
      </c>
      <c r="I64" s="6" t="str">
        <f>IFERROR(__xludf.DUMMYFUNCTION("GOOGLETRANSLATE(C64, ""en"", ""id"")"),"A) Jalur Sutra B) Perdagangan Samudra Hindia C) Perdagangan Selat Malaka D) Rute Laut Cina Selatan")</f>
        <v>A) Jalur Sutra B) Perdagangan Samudra Hindia C) Perdagangan Selat Malaka D) Rute Laut Cina Selatan</v>
      </c>
      <c r="J64" s="6" t="str">
        <f>IFERROR(__xludf.DUMMYFUNCTION("GOOGLETRANSLATE(D64, ""en"", ""id"")"),"C) Perdagangan Selat Malaka")</f>
        <v>C) Perdagangan Selat Malaka</v>
      </c>
      <c r="K64" s="6" t="str">
        <f>IFERROR(__xludf.DUMMYFUNCTION("GOOGLETRANSLATE(E64, ""en"", ""id"")"),"Para pedagang dan pendekar membawa tradisi Silat melintasi Selat Malaka ke Malaysia.")</f>
        <v>Para pedagang dan pendekar membawa tradisi Silat melintasi Selat Malaka ke Malaysia.</v>
      </c>
    </row>
    <row r="65">
      <c r="A65" s="5">
        <v>64.0</v>
      </c>
      <c r="B65" s="10" t="s">
        <v>2701</v>
      </c>
      <c r="C65" s="10" t="s">
        <v>2702</v>
      </c>
      <c r="D65" s="10" t="s">
        <v>2703</v>
      </c>
      <c r="E65" s="10" t="s">
        <v>2704</v>
      </c>
      <c r="G65" s="6" t="str">
        <f>IFERROR(__xludf.DUMMYFUNCTION("GOOGLETRANSLATE(A65, ""en"", ""id"")"),"64")</f>
        <v>64</v>
      </c>
      <c r="H65" s="6" t="str">
        <f>IFERROR(__xludf.DUMMYFUNCTION("GOOGLETRANSLATE(B65, ""en"", ""id"")"),"Pada masa penjajahan Belanda, Pencak Silat sering disamarkan sebagai apa?")</f>
        <v>Pada masa penjajahan Belanda, Pencak Silat sering disamarkan sebagai apa?</v>
      </c>
      <c r="I65" s="6" t="str">
        <f>IFERROR(__xludf.DUMMYFUNCTION("GOOGLETRANSLATE(C65, ""en"", ""id"")"),"A) Tari rakyat B) Upacara ritual C) Drama teater D) Wayang kulit")</f>
        <v>A) Tari rakyat B) Upacara ritual C) Drama teater D) Wayang kulit</v>
      </c>
      <c r="J65" s="6" t="str">
        <f>IFERROR(__xludf.DUMMYFUNCTION("GOOGLETRANSLATE(D65, ""en"", ""id"")"),"A) Tarian rakyat")</f>
        <v>A) Tarian rakyat</v>
      </c>
      <c r="K65" s="6" t="str">
        <f>IFERROR(__xludf.DUMMYFUNCTION("GOOGLETRANSLATE(E65, ""en"", ""id"")"),"Untuk menghindari penekanan, para praktisi Pencak Silat menyamarkan latihannya sebagai tarian budaya.")</f>
        <v>Untuk menghindari penekanan, para praktisi Pencak Silat menyamarkan latihannya sebagai tarian budaya.</v>
      </c>
    </row>
    <row r="66">
      <c r="A66" s="5">
        <v>65.0</v>
      </c>
      <c r="B66" s="10" t="s">
        <v>2705</v>
      </c>
      <c r="C66" s="10" t="s">
        <v>2706</v>
      </c>
      <c r="D66" s="10" t="s">
        <v>2707</v>
      </c>
      <c r="E66" s="10" t="s">
        <v>2708</v>
      </c>
      <c r="G66" s="6" t="str">
        <f>IFERROR(__xludf.DUMMYFUNCTION("GOOGLETRANSLATE(A66, ""en"", ""id"")"),"65")</f>
        <v>65</v>
      </c>
      <c r="H66" s="6" t="str">
        <f>IFERROR(__xludf.DUMMYFUNCTION("GOOGLETRANSLATE(B66, ""en"", ""id"")"),"Naskah Indonesia manakah dari abad ke-14 yang mengisyaratkan praktik prajurit yang terkait dengan Silat?")</f>
        <v>Naskah Indonesia manakah dari abad ke-14 yang mengisyaratkan praktik prajurit yang terkait dengan Silat?</v>
      </c>
      <c r="I66" s="6" t="str">
        <f>IFERROR(__xludf.DUMMYFUNCTION("GOOGLETRANSLATE(C66, ""en"", ""id"")"),"A) Kakawin Ramayana B) Nagarakretagama C) Serat Centhini D) Hikayat Hang Tuah")</f>
        <v>A) Kakawin Ramayana B) Nagarakretagama C) Serat Centhini D) Hikayat Hang Tuah</v>
      </c>
      <c r="J66" s="6" t="str">
        <f>IFERROR(__xludf.DUMMYFUNCTION("GOOGLETRANSLATE(D66, ""en"", ""id"")"),"B) Nagarakretagama")</f>
        <v>B) Nagarakretagama</v>
      </c>
      <c r="K66" s="6" t="str">
        <f>IFERROR(__xludf.DUMMYFUNCTION("GOOGLETRANSLATE(E66, ""en"", ""id"")"),"Teks era Majapahit ini merujuk pada tradisi bela diri yang mirip dengan Pencak Silat.")</f>
        <v>Teks era Majapahit ini merujuk pada tradisi bela diri yang mirip dengan Pencak Silat.</v>
      </c>
    </row>
    <row r="67">
      <c r="A67" s="5">
        <v>66.0</v>
      </c>
      <c r="B67" s="10" t="s">
        <v>2709</v>
      </c>
      <c r="C67" s="10" t="s">
        <v>2710</v>
      </c>
      <c r="D67" s="10" t="s">
        <v>2711</v>
      </c>
      <c r="E67" s="10" t="s">
        <v>2712</v>
      </c>
      <c r="G67" s="6" t="str">
        <f>IFERROR(__xludf.DUMMYFUNCTION("GOOGLETRANSLATE(A67, ""en"", ""id"")"),"66")</f>
        <v>66</v>
      </c>
      <c r="H67" s="6" t="str">
        <f>IFERROR(__xludf.DUMMYFUNCTION("GOOGLETRANSLATE(B67, ""en"", ""id"")"),"Tradisi Silek Minangkabau ditularkan melalui lembaga apa?")</f>
        <v>Tradisi Silek Minangkabau ditularkan melalui lembaga apa?</v>
      </c>
      <c r="I67" s="6" t="str">
        <f>IFERROR(__xludf.DUMMYFUNCTION("GOOGLETRANSLATE(C67, ""en"", ""id"")"),"A) Surau (rumah ibadah) B) Istana C) Sekolah D) Serikat dagang")</f>
        <v>A) Surau (rumah ibadah) B) Istana C) Sekolah D) Serikat dagang</v>
      </c>
      <c r="J67" s="6" t="str">
        <f>IFERROR(__xludf.DUMMYFUNCTION("GOOGLETRANSLATE(D67, ""en"", ""id"")"),"A) Surau (rumah ibadah)")</f>
        <v>A) Surau (rumah ibadah)</v>
      </c>
      <c r="K67" s="6" t="str">
        <f>IFERROR(__xludf.DUMMYFUNCTION("GOOGLETRANSLATE(E67, ""en"", ""id"")"),"Di Sumatera Barat, Silek diajarkan di surau, memadukan pembelajaran bela diri dan spiritual.")</f>
        <v>Di Sumatera Barat, Silek diajarkan di surau, memadukan pembelajaran bela diri dan spiritual.</v>
      </c>
    </row>
    <row r="68">
      <c r="A68" s="5">
        <v>67.0</v>
      </c>
      <c r="B68" s="10" t="s">
        <v>2713</v>
      </c>
      <c r="C68" s="10" t="s">
        <v>2714</v>
      </c>
      <c r="D68" s="10" t="s">
        <v>2715</v>
      </c>
      <c r="E68" s="10" t="s">
        <v>2716</v>
      </c>
      <c r="G68" s="6" t="str">
        <f>IFERROR(__xludf.DUMMYFUNCTION("GOOGLETRANSLATE(A68, ""en"", ""id"")"),"67")</f>
        <v>67</v>
      </c>
      <c r="H68" s="6" t="str">
        <f>IFERROR(__xludf.DUMMYFUNCTION("GOOGLETRANSLATE(B68, ""en"", ""id"")"),"Cendekiawan Islam manakah yang dianggap berjasa mempromosikan Silat di Sumatera pada abad ke-16?")</f>
        <v>Cendekiawan Islam manakah yang dianggap berjasa mempromosikan Silat di Sumatera pada abad ke-16?</v>
      </c>
      <c r="I68" s="6" t="str">
        <f>IFERROR(__xludf.DUMMYFUNCTION("GOOGLETRANSLATE(C68, ""en"", ""id"")"),"A) Hamzah Fansuri B) Syeikh Burhanuddin C) Sunan Kalijaga D) Nuruddin al-Raniri")</f>
        <v>A) Hamzah Fansuri B) Syeikh Burhanuddin C) Sunan Kalijaga D) Nuruddin al-Raniri</v>
      </c>
      <c r="J68" s="6" t="str">
        <f>IFERROR(__xludf.DUMMYFUNCTION("GOOGLETRANSLATE(D68, ""en"", ""id"")"),"B) Syeikh Burhanuddin")</f>
        <v>B) Syeikh Burhanuddin</v>
      </c>
      <c r="K68" s="6" t="str">
        <f>IFERROR(__xludf.DUMMYFUNCTION("GOOGLETRANSLATE(E68, ""en"", ""id"")"),"Ia memadukan nilai-nilai Islam dengan Silat, menjadikannya sebagai praktik moral dan bela diri.")</f>
        <v>Ia memadukan nilai-nilai Islam dengan Silat, menjadikannya sebagai praktik moral dan bela diri.</v>
      </c>
    </row>
    <row r="69">
      <c r="A69" s="5">
        <v>68.0</v>
      </c>
      <c r="B69" s="10" t="s">
        <v>2717</v>
      </c>
      <c r="C69" s="10" t="s">
        <v>2718</v>
      </c>
      <c r="D69" s="10" t="s">
        <v>2719</v>
      </c>
      <c r="E69" s="10" t="s">
        <v>2720</v>
      </c>
      <c r="G69" s="6" t="str">
        <f>IFERROR(__xludf.DUMMYFUNCTION("GOOGLETRANSLATE(A69, ""en"", ""id"")"),"68")</f>
        <v>68</v>
      </c>
      <c r="H69" s="6" t="str">
        <f>IFERROR(__xludf.DUMMYFUNCTION("GOOGLETRANSLATE(B69, ""en"", ""id"")"),"Pertemuan Portugis dengan Silat pertama kali didokumentasikan pada abad berapa?")</f>
        <v>Pertemuan Portugis dengan Silat pertama kali didokumentasikan pada abad berapa?</v>
      </c>
      <c r="I69" s="6" t="str">
        <f>IFERROR(__xludf.DUMMYFUNCTION("GOOGLETRANSLATE(C69, ""en"", ""id"")"),"A) Tanggal 14 B) Tanggal 15 C) Tanggal 16 D) Tanggal 17")</f>
        <v>A) Tanggal 14 B) Tanggal 15 C) Tanggal 16 D) Tanggal 17</v>
      </c>
      <c r="J69" s="6" t="str">
        <f>IFERROR(__xludf.DUMMYFUNCTION("GOOGLETRANSLATE(D69, ""en"", ""id"")"),"C) ke-16")</f>
        <v>C) ke-16</v>
      </c>
      <c r="K69" s="6" t="str">
        <f>IFERROR(__xludf.DUMMYFUNCTION("GOOGLETRANSLATE(E69, ""en"", ""id"")"),"Pedagang Portugis mencatat tradisi bela diri lokal yang menyerupai Silat pada tahun 1500-an.")</f>
        <v>Pedagang Portugis mencatat tradisi bela diri lokal yang menyerupai Silat pada tahun 1500-an.</v>
      </c>
    </row>
    <row r="70">
      <c r="A70" s="5">
        <v>69.0</v>
      </c>
      <c r="B70" s="10" t="s">
        <v>2721</v>
      </c>
      <c r="C70" s="10" t="s">
        <v>2722</v>
      </c>
      <c r="D70" s="10" t="s">
        <v>2723</v>
      </c>
      <c r="E70" s="10" t="s">
        <v>2724</v>
      </c>
      <c r="G70" s="6" t="str">
        <f>IFERROR(__xludf.DUMMYFUNCTION("GOOGLETRANSLATE(A70, ""en"", ""id"")"),"69")</f>
        <v>69</v>
      </c>
      <c r="H70" s="6" t="str">
        <f>IFERROR(__xludf.DUMMYFUNCTION("GOOGLETRANSLATE(B70, ""en"", ""id"")"),"Kelompok era kolonial manakah yang mempraktikkan Silat secara diam-diam sebagai perlawanan terhadap pasukan Belanda?")</f>
        <v>Kelompok era kolonial manakah yang mempraktikkan Silat secara diam-diam sebagai perlawanan terhadap pasukan Belanda?</v>
      </c>
      <c r="I70" s="6" t="str">
        <f>IFERROR(__xludf.DUMMYFUNCTION("GOOGLETRANSLATE(C70, ""en"", ""id"")"),"A) Petani Jawa B) Pejuang Gerilya C) Pekerja Perkebunan D) Pelaut")</f>
        <v>A) Petani Jawa B) Pejuang Gerilya C) Pekerja Perkebunan D) Pelaut</v>
      </c>
      <c r="J70" s="6" t="str">
        <f>IFERROR(__xludf.DUMMYFUNCTION("GOOGLETRANSLATE(D70, ""en"", ""id"")"),"B) Pejuang gerilya")</f>
        <v>B) Pejuang gerilya</v>
      </c>
      <c r="K70" s="6" t="str">
        <f>IFERROR(__xludf.DUMMYFUNCTION("GOOGLETRANSLATE(E70, ""en"", ""id"")"),"Gerakan gerilya di Jawa dan Sumatra menggunakan Silat untuk melawan kendali kolonial.")</f>
        <v>Gerakan gerilya di Jawa dan Sumatra menggunakan Silat untuk melawan kendali kolonial.</v>
      </c>
    </row>
    <row r="71">
      <c r="A71" s="5">
        <v>70.0</v>
      </c>
      <c r="B71" s="10" t="s">
        <v>2725</v>
      </c>
      <c r="C71" s="10" t="s">
        <v>2726</v>
      </c>
      <c r="D71" s="10" t="s">
        <v>1213</v>
      </c>
      <c r="E71" s="10" t="s">
        <v>2727</v>
      </c>
      <c r="G71" s="6" t="str">
        <f>IFERROR(__xludf.DUMMYFUNCTION("GOOGLETRANSLATE(A71, ""en"", ""id"")"),"70")</f>
        <v>70</v>
      </c>
      <c r="H71" s="6" t="str">
        <f>IFERROR(__xludf.DUMMYFUNCTION("GOOGLETRANSLATE(B71, ""en"", ""id"")"),"Seni Pencak Silat secara historis disebarkan melalui metode apa?")</f>
        <v>Seni Pencak Silat secara historis disebarkan melalui metode apa?</v>
      </c>
      <c r="I71" s="6" t="str">
        <f>IFERROR(__xludf.DUMMYFUNCTION("GOOGLETRANSLATE(C71, ""en"", ""id"")"),"A) Manual tertulis B) Tradisi lisan C) Pertunjukan teater D) Naskah militer")</f>
        <v>A) Manual tertulis B) Tradisi lisan C) Pertunjukan teater D) Naskah militer</v>
      </c>
      <c r="J71" s="6" t="str">
        <f>IFERROR(__xludf.DUMMYFUNCTION("GOOGLETRANSLATE(D71, ""en"", ""id"")"),"B) Tradisi lisan")</f>
        <v>B) Tradisi lisan</v>
      </c>
      <c r="K71" s="6" t="str">
        <f>IFERROR(__xludf.DUMMYFUNCTION("GOOGLETRANSLATE(E71, ""en"", ""id"")"),"Pengetahuan diwariskan secara lisan dari guru kepada murid selama berabad-abad.")</f>
        <v>Pengetahuan diwariskan secara lisan dari guru kepada murid selama berabad-abad.</v>
      </c>
    </row>
    <row r="72">
      <c r="A72" s="5">
        <v>71.0</v>
      </c>
      <c r="B72" s="10" t="s">
        <v>2728</v>
      </c>
      <c r="C72" s="10" t="s">
        <v>2729</v>
      </c>
      <c r="D72" s="10" t="s">
        <v>2730</v>
      </c>
      <c r="E72" s="10" t="s">
        <v>2731</v>
      </c>
      <c r="G72" s="6" t="str">
        <f>IFERROR(__xludf.DUMMYFUNCTION("GOOGLETRANSLATE(A72, ""en"", ""id"")"),"71")</f>
        <v>71</v>
      </c>
      <c r="H72" s="6" t="str">
        <f>IFERROR(__xludf.DUMMYFUNCTION("GOOGLETRANSLATE(B72, ""en"", ""id"")"),"Legenda Minangkabau manakah yang sering dikaitkan dengan asal usul Silek Harimau?")</f>
        <v>Legenda Minangkabau manakah yang sering dikaitkan dengan asal usul Silek Harimau?</v>
      </c>
      <c r="I72" s="6" t="str">
        <f>IFERROR(__xludf.DUMMYFUNCTION("GOOGLETRANSLATE(C72, ""en"", ""id"")"),"A) Malin Kundang B) Datuk Suri Dirajo C) Hang Tuah D) Si Pahit Lidah")</f>
        <v>A) Malin Kundang B) Datuk Suri Dirajo C) Hang Tuah D) Si Pahit Lidah</v>
      </c>
      <c r="J72" s="6" t="str">
        <f>IFERROR(__xludf.DUMMYFUNCTION("GOOGLETRANSLATE(D72, ""en"", ""id"")"),"B) Datuk Suri Dirajo")</f>
        <v>B) Datuk Suri Dirajo</v>
      </c>
      <c r="K72" s="6" t="str">
        <f>IFERROR(__xludf.DUMMYFUNCTION("GOOGLETRANSLATE(E72, ""en"", ""id"")"),"Cerita rakyat Minangkabau menghubungkan penciptaan gaya Harimau dengan Datuk Suri Dirajo.")</f>
        <v>Cerita rakyat Minangkabau menghubungkan penciptaan gaya Harimau dengan Datuk Suri Dirajo.</v>
      </c>
    </row>
    <row r="73">
      <c r="A73" s="5">
        <v>72.0</v>
      </c>
      <c r="B73" s="10" t="s">
        <v>2732</v>
      </c>
      <c r="C73" s="10" t="s">
        <v>2733</v>
      </c>
      <c r="D73" s="10" t="s">
        <v>2734</v>
      </c>
      <c r="E73" s="10" t="s">
        <v>2735</v>
      </c>
      <c r="G73" s="6" t="str">
        <f>IFERROR(__xludf.DUMMYFUNCTION("GOOGLETRANSLATE(A73, ""en"", ""id"")"),"72")</f>
        <v>72</v>
      </c>
      <c r="H73" s="6" t="str">
        <f>IFERROR(__xludf.DUMMYFUNCTION("GOOGLETRANSLATE(B73, ""en"", ""id"")"),"Pemberontakan abad ke-19 di Jawa manakah yang melibatkan para petarung terlatih Silat?")</f>
        <v>Pemberontakan abad ke-19 di Jawa manakah yang melibatkan para petarung terlatih Silat?</v>
      </c>
      <c r="I73" s="6" t="str">
        <f>IFERROR(__xludf.DUMMYFUNCTION("GOOGLETRANSLATE(C73, ""en"", ""id"")"),"A) Perang Diponegoro B) Perang Aceh C) Perang Jawa D) Perang Padri")</f>
        <v>A) Perang Diponegoro B) Perang Aceh C) Perang Jawa D) Perang Padri</v>
      </c>
      <c r="J73" s="6" t="str">
        <f>IFERROR(__xludf.DUMMYFUNCTION("GOOGLETRANSLATE(D73, ""en"", ""id"")"),"A) Perang Diponegoro")</f>
        <v>A) Perang Diponegoro</v>
      </c>
      <c r="K73" s="6" t="str">
        <f>IFERROR(__xludf.DUMMYFUNCTION("GOOGLETRANSLATE(E73, ""en"", ""id"")"),"Pasukan Pangeran Diponegoro termasuk praktisi Silat selama Perang Jawa (1825–1830).")</f>
        <v>Pasukan Pangeran Diponegoro termasuk praktisi Silat selama Perang Jawa (1825–1830).</v>
      </c>
    </row>
    <row r="74">
      <c r="A74" s="5">
        <v>73.0</v>
      </c>
      <c r="B74" s="10" t="s">
        <v>2736</v>
      </c>
      <c r="C74" s="10" t="s">
        <v>2737</v>
      </c>
      <c r="D74" s="10" t="s">
        <v>2738</v>
      </c>
      <c r="E74" s="10" t="s">
        <v>2739</v>
      </c>
      <c r="G74" s="6" t="str">
        <f>IFERROR(__xludf.DUMMYFUNCTION("GOOGLETRANSLATE(A74, ""en"", ""id"")"),"73")</f>
        <v>73</v>
      </c>
      <c r="H74" s="6" t="str">
        <f>IFERROR(__xludf.DUMMYFUNCTION("GOOGLETRANSLATE(B74, ""en"", ""id"")"),"Perang Padri (1821–1837) di Sumatera menyaksikan penggunaan tradisi Silat yang mana?")</f>
        <v>Perang Padri (1821–1837) di Sumatera menyaksikan penggunaan tradisi Silat yang mana?</v>
      </c>
      <c r="I74" s="6" t="str">
        <f>IFERROR(__xludf.DUMMYFUNCTION("GOOGLETRANSLATE(C74, ""en"", ""id"")"),"A) Harimau B) Silek Minang C) Serak D) Betawi")</f>
        <v>A) Harimau B) Silek Minang C) Serak D) Betawi</v>
      </c>
      <c r="J74" s="6" t="str">
        <f>IFERROR(__xludf.DUMMYFUNCTION("GOOGLETRANSLATE(D74, ""en"", ""id"")"),"B) Silek Minang")</f>
        <v>B) Silek Minang</v>
      </c>
      <c r="K74" s="6" t="str">
        <f>IFERROR(__xludf.DUMMYFUNCTION("GOOGLETRANSLATE(E74, ""en"", ""id"")"),"Pejuang Minangkabau menggunakan teknik Silek dalam pertempuran selama Perang Padri.")</f>
        <v>Pejuang Minangkabau menggunakan teknik Silek dalam pertempuran selama Perang Padri.</v>
      </c>
    </row>
    <row r="75">
      <c r="A75" s="5">
        <v>74.0</v>
      </c>
      <c r="B75" s="10" t="s">
        <v>2740</v>
      </c>
      <c r="C75" s="10" t="s">
        <v>2741</v>
      </c>
      <c r="D75" s="10" t="s">
        <v>2742</v>
      </c>
      <c r="E75" s="10" t="s">
        <v>2743</v>
      </c>
      <c r="G75" s="6" t="str">
        <f>IFERROR(__xludf.DUMMYFUNCTION("GOOGLETRANSLATE(A75, ""en"", ""id"")"),"74")</f>
        <v>74</v>
      </c>
      <c r="H75" s="6" t="str">
        <f>IFERROR(__xludf.DUMMYFUNCTION("GOOGLETRANSLATE(B75, ""en"", ""id"")"),"Penyebaran silat ke Singapura dipengaruhi oleh migrasi apa?")</f>
        <v>Penyebaran silat ke Singapura dipengaruhi oleh migrasi apa?</v>
      </c>
      <c r="I75" s="6" t="str">
        <f>IFERROR(__xludf.DUMMYFUNCTION("GOOGLETRANSLATE(C75, ""en"", ""id"")"),"A) Migrasi Bugis B) Diaspora Melayu C) Pedagang Tionghoa D) Pedagang India")</f>
        <v>A) Migrasi Bugis B) Diaspora Melayu C) Pedagang Tionghoa D) Pedagang India</v>
      </c>
      <c r="J75" s="6" t="str">
        <f>IFERROR(__xludf.DUMMYFUNCTION("GOOGLETRANSLATE(D75, ""en"", ""id"")"),"B) Diaspora Melayu")</f>
        <v>B) Diaspora Melayu</v>
      </c>
      <c r="K75" s="6" t="str">
        <f>IFERROR(__xludf.DUMMYFUNCTION("GOOGLETRANSLATE(E75, ""en"", ""id"")"),"Masyarakat Melayu yang merantau ke Singapura membawa tradisi Pencak Silat.")</f>
        <v>Masyarakat Melayu yang merantau ke Singapura membawa tradisi Pencak Silat.</v>
      </c>
    </row>
    <row r="76">
      <c r="A76" s="5">
        <v>75.0</v>
      </c>
      <c r="B76" s="10" t="s">
        <v>2744</v>
      </c>
      <c r="C76" s="10" t="s">
        <v>2745</v>
      </c>
      <c r="D76" s="10" t="s">
        <v>2746</v>
      </c>
      <c r="E76" s="10" t="s">
        <v>2747</v>
      </c>
      <c r="G76" s="6" t="str">
        <f>IFERROR(__xludf.DUMMYFUNCTION("GOOGLETRANSLATE(A76, ""en"", ""id"")"),"75")</f>
        <v>75</v>
      </c>
      <c r="H76" s="6" t="str">
        <f>IFERROR(__xludf.DUMMYFUNCTION("GOOGLETRANSLATE(B76, ""en"", ""id"")"),"Bentuk silat apa yang berkembang di kalangan masyarakat Betawi di Jakarta?")</f>
        <v>Bentuk silat apa yang berkembang di kalangan masyarakat Betawi di Jakarta?</v>
      </c>
      <c r="I76" s="6" t="str">
        <f>IFERROR(__xludf.DUMMYFUNCTION("GOOGLETRANSLATE(C76, ""en"", ""id"")"),"A) Serak B) Cingkrik C) Silek D) Harimau")</f>
        <v>A) Serak B) Cingkrik C) Silek D) Harimau</v>
      </c>
      <c r="J76" s="6" t="str">
        <f>IFERROR(__xludf.DUMMYFUNCTION("GOOGLETRANSLATE(D76, ""en"", ""id"")"),"B) Cingkrik")</f>
        <v>B) Cingkrik</v>
      </c>
      <c r="K76" s="6" t="str">
        <f>IFERROR(__xludf.DUMMYFUNCTION("GOOGLETRANSLATE(E76, ""en"", ""id"")"),"Gaya Cingkrik berkembang dalam budaya Betawi, menekankan teknik yang lincah dan mengelak.")</f>
        <v>Gaya Cingkrik berkembang dalam budaya Betawi, menekankan teknik yang lincah dan mengelak.</v>
      </c>
    </row>
    <row r="77">
      <c r="A77" s="5">
        <v>76.0</v>
      </c>
      <c r="B77" s="10" t="s">
        <v>2748</v>
      </c>
      <c r="C77" s="10" t="s">
        <v>2749</v>
      </c>
      <c r="D77" s="10" t="s">
        <v>818</v>
      </c>
      <c r="E77" s="10" t="s">
        <v>2750</v>
      </c>
      <c r="G77" s="6" t="str">
        <f>IFERROR(__xludf.DUMMYFUNCTION("GOOGLETRANSLATE(A77, ""en"", ""id"")"),"76")</f>
        <v>76</v>
      </c>
      <c r="H77" s="6" t="str">
        <f>IFERROR(__xludf.DUMMYFUNCTION("GOOGLETRANSLATE(B77, ""en"", ""id"")"),"Aliran silat serak berasal dari pulau manakah di Indonesia?")</f>
        <v>Aliran silat serak berasal dari pulau manakah di Indonesia?</v>
      </c>
      <c r="I77" s="6" t="str">
        <f>IFERROR(__xludf.DUMMYFUNCTION("GOOGLETRANSLATE(C77, ""en"", ""id"")"),"A) Jawa B) Sumatera C) Bali D) Kalimantan")</f>
        <v>A) Jawa B) Sumatera C) Bali D) Kalimantan</v>
      </c>
      <c r="J77" s="6" t="str">
        <f>IFERROR(__xludf.DUMMYFUNCTION("GOOGLETRANSLATE(D77, ""en"", ""id"")"),"A) Jawa")</f>
        <v>A) Jawa</v>
      </c>
      <c r="K77" s="6" t="str">
        <f>IFERROR(__xludf.DUMMYFUNCTION("GOOGLETRANSLATE(E77, ""en"", ""id"")"),"Aliran serak dikembangkan di Jawa Barat dan tetap berpengaruh dalam Silat modern.")</f>
        <v>Aliran serak dikembangkan di Jawa Barat dan tetap berpengaruh dalam Silat modern.</v>
      </c>
    </row>
    <row r="78">
      <c r="A78" s="5">
        <v>77.0</v>
      </c>
      <c r="B78" s="10" t="s">
        <v>2751</v>
      </c>
      <c r="C78" s="10" t="s">
        <v>2752</v>
      </c>
      <c r="D78" s="10" t="s">
        <v>2753</v>
      </c>
      <c r="E78" s="10" t="s">
        <v>2754</v>
      </c>
      <c r="G78" s="6" t="str">
        <f>IFERROR(__xludf.DUMMYFUNCTION("GOOGLETRANSLATE(A78, ""en"", ""id"")"),"77")</f>
        <v>77</v>
      </c>
      <c r="H78" s="6" t="str">
        <f>IFERROR(__xludf.DUMMYFUNCTION("GOOGLETRANSLATE(B78, ""en"", ""id"")"),"Bentuk Silat tradisional “Kuntau” diperkirakan memiliki asal usul yang terkait dengan pertukaran budaya yang mana?")</f>
        <v>Bentuk Silat tradisional “Kuntau” diperkirakan memiliki asal usul yang terkait dengan pertukaran budaya yang mana?</v>
      </c>
      <c r="I78" s="6" t="str">
        <f>IFERROR(__xludf.DUMMYFUNCTION("GOOGLETRANSLATE(C78, ""en"", ""id"")"),"A) Pedagang Cina B) Pedagang Arab C) Pelaut India D) Pelaut Portugis")</f>
        <v>A) Pedagang Cina B) Pedagang Arab C) Pelaut India D) Pelaut Portugis</v>
      </c>
      <c r="J78" s="6" t="str">
        <f>IFERROR(__xludf.DUMMYFUNCTION("GOOGLETRANSLATE(D78, ""en"", ""id"")"),"A) Pedagang Cina")</f>
        <v>A) Pedagang Cina</v>
      </c>
      <c r="K78" s="6" t="str">
        <f>IFERROR(__xludf.DUMMYFUNCTION("GOOGLETRANSLATE(E78, ""en"", ""id"")"),"Kuntau mencerminkan pengaruh bela diri Cina yang menyatu dengan praktik Silat lokal.")</f>
        <v>Kuntau mencerminkan pengaruh bela diri Cina yang menyatu dengan praktik Silat lokal.</v>
      </c>
    </row>
    <row r="79">
      <c r="A79" s="5">
        <v>78.0</v>
      </c>
      <c r="B79" s="10" t="s">
        <v>2755</v>
      </c>
      <c r="C79" s="10" t="s">
        <v>2756</v>
      </c>
      <c r="D79" s="10" t="s">
        <v>2757</v>
      </c>
      <c r="E79" s="10" t="s">
        <v>2758</v>
      </c>
      <c r="G79" s="6" t="str">
        <f>IFERROR(__xludf.DUMMYFUNCTION("GOOGLETRANSLATE(A79, ""en"", ""id"")"),"78")</f>
        <v>78</v>
      </c>
      <c r="H79" s="6" t="str">
        <f>IFERROR(__xludf.DUMMYFUNCTION("GOOGLETRANSLATE(B79, ""en"", ""id"")"),"Pengawal kerajaan Jawa tradisional mana yang memasukkan Silat ke dalam latihan mereka?")</f>
        <v>Pengawal kerajaan Jawa tradisional mana yang memasukkan Silat ke dalam latihan mereka?</v>
      </c>
      <c r="I79" s="6" t="str">
        <f>IFERROR(__xludf.DUMMYFUNCTION("GOOGLETRANSLATE(C79, ""en"", ""id"")"),"A) Abdi Dalem B) Prajurit Kraton C) Pengawal Mangkunegaran D) Korps Sultana")</f>
        <v>A) Abdi Dalem B) Prajurit Kraton C) Pengawal Mangkunegaran D) Korps Sultana</v>
      </c>
      <c r="J79" s="6" t="str">
        <f>IFERROR(__xludf.DUMMYFUNCTION("GOOGLETRANSLATE(D79, ""en"", ""id"")"),"B) Prajurit Kraton")</f>
        <v>B) Prajurit Kraton</v>
      </c>
      <c r="K79" s="6" t="str">
        <f>IFERROR(__xludf.DUMMYFUNCTION("GOOGLETRANSLATE(E79, ""en"", ""id"")"),"Para pengawal kerajaan Jawa mempraktikkan Silat sebagai bagian dari sistem pertahanan mereka.")</f>
        <v>Para pengawal kerajaan Jawa mempraktikkan Silat sebagai bagian dari sistem pertahanan mereka.</v>
      </c>
    </row>
    <row r="80">
      <c r="A80" s="5">
        <v>79.0</v>
      </c>
      <c r="B80" s="10" t="s">
        <v>2759</v>
      </c>
      <c r="C80" s="10" t="s">
        <v>2760</v>
      </c>
      <c r="D80" s="10" t="s">
        <v>2761</v>
      </c>
      <c r="E80" s="10" t="s">
        <v>2762</v>
      </c>
      <c r="G80" s="6" t="str">
        <f>IFERROR(__xludf.DUMMYFUNCTION("GOOGLETRANSLATE(A80, ""en"", ""id"")"),"79")</f>
        <v>79</v>
      </c>
      <c r="H80" s="6" t="str">
        <f>IFERROR(__xludf.DUMMYFUNCTION("GOOGLETRANSLATE(B80, ""en"", ""id"")"),"Dalam masyarakat Minangkabau, Silek secara historis diajarkan kepada anak laki-laki setelah menguasai apa?")</f>
        <v>Dalam masyarakat Minangkabau, Silek secara historis diajarkan kepada anak laki-laki setelah menguasai apa?</v>
      </c>
      <c r="I80" s="6" t="str">
        <f>IFERROR(__xludf.DUMMYFUNCTION("GOOGLETRANSLATE(C80, ""en"", ""id"")"),"A) Ilmu Al-Qur'an B) Pertanian C) Kerajinan D) Berburu")</f>
        <v>A) Ilmu Al-Qur'an B) Pertanian C) Kerajinan D) Berburu</v>
      </c>
      <c r="J80" s="6" t="str">
        <f>IFERROR(__xludf.DUMMYFUNCTION("GOOGLETRANSLATE(D80, ""en"", ""id"")"),"A) Studi Al-Quran")</f>
        <v>A) Studi Al-Quran</v>
      </c>
      <c r="K80" s="6" t="str">
        <f>IFERROR(__xludf.DUMMYFUNCTION("GOOGLETRANSLATE(E80, ""en"", ""id"")"),"Tradisi Minangkabau mengharuskan anak laki-laki untuk mempelajari agama sebelum mempelajari Silek.")</f>
        <v>Tradisi Minangkabau mengharuskan anak laki-laki untuk mempelajari agama sebelum mempelajari Silek.</v>
      </c>
    </row>
    <row r="81">
      <c r="A81" s="5">
        <v>80.0</v>
      </c>
      <c r="B81" s="10" t="s">
        <v>2763</v>
      </c>
      <c r="C81" s="10" t="s">
        <v>2764</v>
      </c>
      <c r="D81" s="10" t="s">
        <v>2765</v>
      </c>
      <c r="E81" s="10" t="s">
        <v>2766</v>
      </c>
      <c r="G81" s="6" t="str">
        <f>IFERROR(__xludf.DUMMYFUNCTION("GOOGLETRANSLATE(A81, ""en"", ""id"")"),"80")</f>
        <v>80</v>
      </c>
      <c r="H81" s="6" t="str">
        <f>IFERROR(__xludf.DUMMYFUNCTION("GOOGLETRANSLATE(B81, ""en"", ""id"")"),"Dimasukkannya Silat ke dalam SEA Games melambangkan tonggak sejarah apa?")</f>
        <v>Dimasukkannya Silat ke dalam SEA Games melambangkan tonggak sejarah apa?</v>
      </c>
      <c r="I81" s="6" t="str">
        <f>IFERROR(__xludf.DUMMYFUNCTION("GOOGLETRANSLATE(C81, ""en"", ""id"")"),"A) Dekolonisasi B) Persatuan budaya ASEAN C) Pengakuan militer D) Aspirasi Olimpiade")</f>
        <v>A) Dekolonisasi B) Persatuan budaya ASEAN C) Pengakuan militer D) Aspirasi Olimpiade</v>
      </c>
      <c r="J81" s="6" t="str">
        <f>IFERROR(__xludf.DUMMYFUNCTION("GOOGLETRANSLATE(D81, ""en"", ""id"")"),"B) Persatuan budaya ASEAN")</f>
        <v>B) Persatuan budaya ASEAN</v>
      </c>
      <c r="K81" s="6" t="str">
        <f>IFERROR(__xludf.DUMMYFUNCTION("GOOGLETRANSLATE(E81, ""en"", ""id"")"),"Pencantumannya mencerminkan kebanggaan daerah dan identitas pascakolonial.")</f>
        <v>Pencantumannya mencerminkan kebanggaan daerah dan identitas pascakolonial.</v>
      </c>
    </row>
    <row r="82">
      <c r="A82" s="5">
        <v>81.0</v>
      </c>
      <c r="B82" s="10" t="s">
        <v>2767</v>
      </c>
      <c r="C82" s="10" t="s">
        <v>2768</v>
      </c>
      <c r="D82" s="10" t="s">
        <v>2769</v>
      </c>
      <c r="E82" s="10" t="s">
        <v>2770</v>
      </c>
      <c r="G82" s="6" t="str">
        <f>IFERROR(__xludf.DUMMYFUNCTION("GOOGLETRANSLATE(A82, ""en"", ""id"")"),"81")</f>
        <v>81</v>
      </c>
      <c r="H82" s="6" t="str">
        <f>IFERROR(__xludf.DUMMYFUNCTION("GOOGLETRANSLATE(B82, ""en"", ""id"")"),"Kekuatan kolonial manakah yang mendokumentasikan Silat sebagai “tarian perang asli” dalam laporan etnografi awal?")</f>
        <v>Kekuatan kolonial manakah yang mendokumentasikan Silat sebagai “tarian perang asli” dalam laporan etnografi awal?</v>
      </c>
      <c r="I82" s="6" t="str">
        <f>IFERROR(__xludf.DUMMYFUNCTION("GOOGLETRANSLATE(C82, ""en"", ""id"")"),"A) Portugis B) Belanda C) Inggris D) Spanyol")</f>
        <v>A) Portugis B) Belanda C) Inggris D) Spanyol</v>
      </c>
      <c r="J82" s="6" t="str">
        <f>IFERROR(__xludf.DUMMYFUNCTION("GOOGLETRANSLATE(D82, ""en"", ""id"")"),"B) Belanda")</f>
        <v>B) Belanda</v>
      </c>
      <c r="K82" s="6" t="str">
        <f>IFERROR(__xludf.DUMMYFUNCTION("GOOGLETRANSLATE(E82, ""en"", ""id"")"),"Pejabat kolonial Belanda sering salah mengklasifikasikan Silat sebagai tarian budaya, bukan seni bela diri.")</f>
        <v>Pejabat kolonial Belanda sering salah mengklasifikasikan Silat sebagai tarian budaya, bukan seni bela diri.</v>
      </c>
    </row>
    <row r="83">
      <c r="A83" s="5">
        <v>82.0</v>
      </c>
      <c r="B83" s="10" t="s">
        <v>2771</v>
      </c>
      <c r="C83" s="10" t="s">
        <v>2772</v>
      </c>
      <c r="D83" s="10" t="s">
        <v>2773</v>
      </c>
      <c r="E83" s="10" t="s">
        <v>2774</v>
      </c>
      <c r="G83" s="6" t="str">
        <f>IFERROR(__xludf.DUMMYFUNCTION("GOOGLETRANSLATE(A83, ""en"", ""id"")"),"82")</f>
        <v>82</v>
      </c>
      <c r="H83" s="6" t="str">
        <f>IFERROR(__xludf.DUMMYFUNCTION("GOOGLETRANSLATE(B83, ""en"", ""id"")"),"Pahlawan Indonesia mana dari Aceh yang mengintegrasikan Silat ke dalam perlawanan gerilya melawan pasukan Belanda?")</f>
        <v>Pahlawan Indonesia mana dari Aceh yang mengintegrasikan Silat ke dalam perlawanan gerilya melawan pasukan Belanda?</v>
      </c>
      <c r="I83" s="6" t="str">
        <f>IFERROR(__xludf.DUMMYFUNCTION("GOOGLETRANSLATE(C83, ""en"", ""id"")"),"A) Teuku Umar B) Cut Nyak Dhien C) Sultan Iskandar Muda D) Hasan di Tiro")</f>
        <v>A) Teuku Umar B) Cut Nyak Dhien C) Sultan Iskandar Muda D) Hasan di Tiro</v>
      </c>
      <c r="J83" s="6" t="str">
        <f>IFERROR(__xludf.DUMMYFUNCTION("GOOGLETRANSLATE(D83, ""en"", ""id"")"),"A) Teuku Umar")</f>
        <v>A) Teuku Umar</v>
      </c>
      <c r="K83" s="6" t="str">
        <f>IFERROR(__xludf.DUMMYFUNCTION("GOOGLETRANSLATE(E83, ""en"", ""id"")"),"Teuku Umar menggunakan prajurit yang terlatih Silat dalam perlawanan Aceh pada abad ke-19.")</f>
        <v>Teuku Umar menggunakan prajurit yang terlatih Silat dalam perlawanan Aceh pada abad ke-19.</v>
      </c>
    </row>
    <row r="84">
      <c r="A84" s="5">
        <v>83.0</v>
      </c>
      <c r="B84" s="10" t="s">
        <v>2775</v>
      </c>
      <c r="C84" s="10" t="s">
        <v>2776</v>
      </c>
      <c r="D84" s="10" t="s">
        <v>2777</v>
      </c>
      <c r="E84" s="10" t="s">
        <v>2778</v>
      </c>
      <c r="G84" s="6" t="str">
        <f>IFERROR(__xludf.DUMMYFUNCTION("GOOGLETRANSLATE(A84, ""en"", ""id"")"),"83")</f>
        <v>83</v>
      </c>
      <c r="H84" s="6" t="str">
        <f>IFERROR(__xludf.DUMMYFUNCTION("GOOGLETRANSLATE(B84, ""en"", ""id"")"),"Serat Centhini (1814) menyebutkan praktik bela diri yang mirip dengan Silat. Di mana ia disusun?")</f>
        <v>Serat Centhini (1814) menyebutkan praktik bela diri yang mirip dengan Silat. Di mana ia disusun?</v>
      </c>
      <c r="I84" s="6" t="str">
        <f>IFERROR(__xludf.DUMMYFUNCTION("GOOGLETRANSLATE(C84, ""en"", ""id"")"),"A) Jawa Tengah B) Sumatera Barat C) Bali D) Aceh")</f>
        <v>A) Jawa Tengah B) Sumatera Barat C) Bali D) Aceh</v>
      </c>
      <c r="J84" s="6" t="str">
        <f>IFERROR(__xludf.DUMMYFUNCTION("GOOGLETRANSLATE(D84, ""en"", ""id"")"),"A) Jawa Tengah")</f>
        <v>A) Jawa Tengah</v>
      </c>
      <c r="K84" s="6" t="str">
        <f>IFERROR(__xludf.DUMMYFUNCTION("GOOGLETRANSLATE(E84, ""en"", ""id"")"),"Mahakarya sastra Jawa Serat Centhini berisi deskripsi tradisi bela diri yang mirip dengan Silat.")</f>
        <v>Mahakarya sastra Jawa Serat Centhini berisi deskripsi tradisi bela diri yang mirip dengan Silat.</v>
      </c>
    </row>
    <row r="85">
      <c r="A85" s="5">
        <v>84.0</v>
      </c>
      <c r="B85" s="10" t="s">
        <v>2779</v>
      </c>
      <c r="C85" s="10" t="s">
        <v>2780</v>
      </c>
      <c r="D85" s="10" t="s">
        <v>2781</v>
      </c>
      <c r="E85" s="10" t="s">
        <v>2782</v>
      </c>
      <c r="G85" s="6" t="str">
        <f>IFERROR(__xludf.DUMMYFUNCTION("GOOGLETRANSLATE(A85, ""en"", ""id"")"),"84")</f>
        <v>84</v>
      </c>
      <c r="H85" s="6" t="str">
        <f>IFERROR(__xludf.DUMMYFUNCTION("GOOGLETRANSLATE(B85, ""en"", ""id"")"),"Teater tradisional Indonesia manakah yang terkadang menyertakan demonstrasi Silat dalam pertunjukannya?")</f>
        <v>Teater tradisional Indonesia manakah yang terkadang menyertakan demonstrasi Silat dalam pertunjukannya?</v>
      </c>
      <c r="I85" s="6" t="str">
        <f>IFERROR(__xludf.DUMMYFUNCTION("GOOGLETRANSLATE(C85, ""en"", ""id"")"),"A) Wayang Kulit B) Ludruk C) Ketoprak D) Topeng")</f>
        <v>A) Wayang Kulit B) Ludruk C) Ketoprak D) Topeng</v>
      </c>
      <c r="J85" s="6" t="str">
        <f>IFERROR(__xludf.DUMMYFUNCTION("GOOGLETRANSLATE(D85, ""en"", ""id"")"),"C) Ketoprak")</f>
        <v>C) Ketoprak</v>
      </c>
      <c r="K85" s="6" t="str">
        <f>IFERROR(__xludf.DUMMYFUNCTION("GOOGLETRANSLATE(E85, ""en"", ""id"")"),"Drama Ketoprak Jawa sering mementaskan pertarungan Silat untuk meningkatkan realisme.")</f>
        <v>Drama Ketoprak Jawa sering mementaskan pertarungan Silat untuk meningkatkan realisme.</v>
      </c>
    </row>
    <row r="86">
      <c r="A86" s="5">
        <v>85.0</v>
      </c>
      <c r="B86" s="10" t="s">
        <v>2783</v>
      </c>
      <c r="C86" s="10" t="s">
        <v>2784</v>
      </c>
      <c r="D86" s="10" t="s">
        <v>2785</v>
      </c>
      <c r="E86" s="10" t="s">
        <v>2786</v>
      </c>
      <c r="G86" s="6" t="str">
        <f>IFERROR(__xludf.DUMMYFUNCTION("GOOGLETRANSLATE(A86, ""en"", ""id"")"),"85")</f>
        <v>85</v>
      </c>
      <c r="H86" s="6" t="str">
        <f>IFERROR(__xludf.DUMMYFUNCTION("GOOGLETRANSLATE(B86, ""en"", ""id"")"),"Pada masa pendudukan Jepang di Indonesia (1942–1945), latihan silat didorong sebagai apa?")</f>
        <v>Pada masa pendudukan Jepang di Indonesia (1942–1945), latihan silat didorong sebagai apa?</v>
      </c>
      <c r="I86" s="6" t="str">
        <f>IFERROR(__xludf.DUMMYFUNCTION("GOOGLETRANSLATE(C86, ""en"", ""id"")"),"A) Pendidikan jasmani B) Persiapan militer C) Kebangkitan rakyat D) Hiburan")</f>
        <v>A) Pendidikan jasmani B) Persiapan militer C) Kebangkitan rakyat D) Hiburan</v>
      </c>
      <c r="J86" s="6" t="str">
        <f>IFERROR(__xludf.DUMMYFUNCTION("GOOGLETRANSLATE(D86, ""en"", ""id"")"),"B) Persiapan militer")</f>
        <v>B) Persiapan militer</v>
      </c>
      <c r="K86" s="6" t="str">
        <f>IFERROR(__xludf.DUMMYFUNCTION("GOOGLETRANSLATE(E86, ""en"", ""id"")"),"Jepang mengizinkan pelatihan Silat untuk mempersiapkan penduduk setempat untuk dinas paramiliter.")</f>
        <v>Jepang mengizinkan pelatihan Silat untuk mempersiapkan penduduk setempat untuk dinas paramiliter.</v>
      </c>
    </row>
    <row r="87">
      <c r="A87" s="5">
        <v>86.0</v>
      </c>
      <c r="B87" s="10" t="s">
        <v>2787</v>
      </c>
      <c r="C87" s="10" t="s">
        <v>2788</v>
      </c>
      <c r="D87" s="10" t="s">
        <v>2789</v>
      </c>
      <c r="E87" s="10" t="s">
        <v>2790</v>
      </c>
      <c r="G87" s="6" t="str">
        <f>IFERROR(__xludf.DUMMYFUNCTION("GOOGLETRANSLATE(A87, ""en"", ""id"")"),"86")</f>
        <v>86</v>
      </c>
      <c r="H87" s="6" t="str">
        <f>IFERROR(__xludf.DUMMYFUNCTION("GOOGLETRANSLATE(B87, ""en"", ""id"")"),"Kronik kerajaan manakah yang menggambarkan tradisi bela diri yang menyerupai Silat awal di Jawa Barat?")</f>
        <v>Kronik kerajaan manakah yang menggambarkan tradisi bela diri yang menyerupai Silat awal di Jawa Barat?</v>
      </c>
      <c r="I87" s="6" t="str">
        <f>IFERROR(__xludf.DUMMYFUNCTION("GOOGLETRANSLATE(C87, ""en"", ""id"")"),"A) Carita Parahyangan B) Hikayat Raja-Raja Pasai C) Sejarah Melayu D) Babad Tanah Jawi")</f>
        <v>A) Carita Parahyangan B) Hikayat Raja-Raja Pasai C) Sejarah Melayu D) Babad Tanah Jawi</v>
      </c>
      <c r="J87" s="6" t="str">
        <f>IFERROR(__xludf.DUMMYFUNCTION("GOOGLETRANSLATE(D87, ""en"", ""id"")"),"A) Carita Parahyangan")</f>
        <v>A) Carita Parahyangan</v>
      </c>
      <c r="K87" s="6" t="str">
        <f>IFERROR(__xludf.DUMMYFUNCTION("GOOGLETRANSLATE(E87, ""en"", ""id"")"),"Kronik Sunda ini merujuk pada keterampilan bela diri yang terkait dengan Silat.")</f>
        <v>Kronik Sunda ini merujuk pada keterampilan bela diri yang terkait dengan Silat.</v>
      </c>
    </row>
    <row r="88">
      <c r="A88" s="5">
        <v>87.0</v>
      </c>
      <c r="B88" s="10" t="s">
        <v>2791</v>
      </c>
      <c r="C88" s="10" t="s">
        <v>2792</v>
      </c>
      <c r="D88" s="10" t="s">
        <v>2793</v>
      </c>
      <c r="E88" s="10" t="s">
        <v>2794</v>
      </c>
      <c r="G88" s="6" t="str">
        <f>IFERROR(__xludf.DUMMYFUNCTION("GOOGLETRANSLATE(A88, ""en"", ""id"")"),"87")</f>
        <v>87</v>
      </c>
      <c r="H88" s="6" t="str">
        <f>IFERROR(__xludf.DUMMYFUNCTION("GOOGLETRANSLATE(B88, ""en"", ""id"")"),"Daerah mana di Indonesia yang dianggap sebagai tempat lahirnya gaya Cingkrik?")</f>
        <v>Daerah mana di Indonesia yang dianggap sebagai tempat lahirnya gaya Cingkrik?</v>
      </c>
      <c r="I88" s="6" t="str">
        <f>IFERROR(__xludf.DUMMYFUNCTION("GOOGLETRANSLATE(C88, ""en"", ""id"")"),"A) Betawi (Jakarta) B) Bali C) Aceh D) Kalimantan")</f>
        <v>A) Betawi (Jakarta) B) Bali C) Aceh D) Kalimantan</v>
      </c>
      <c r="J88" s="6" t="str">
        <f>IFERROR(__xludf.DUMMYFUNCTION("GOOGLETRANSLATE(D88, ""en"", ""id"")"),"A) Betawi (Jakarta)")</f>
        <v>A) Betawi (Jakarta)</v>
      </c>
      <c r="K88" s="6" t="str">
        <f>IFERROR(__xludf.DUMMYFUNCTION("GOOGLETRANSLATE(E88, ""en"", ""id"")"),"Gaya Cingkrik berkembang pada masyarakat Betawi sebagai bentuk Silat yang unik.")</f>
        <v>Gaya Cingkrik berkembang pada masyarakat Betawi sebagai bentuk Silat yang unik.</v>
      </c>
    </row>
    <row r="89">
      <c r="A89" s="5">
        <v>88.0</v>
      </c>
      <c r="B89" s="10" t="s">
        <v>2795</v>
      </c>
      <c r="C89" s="10" t="s">
        <v>2796</v>
      </c>
      <c r="D89" s="10" t="s">
        <v>2797</v>
      </c>
      <c r="E89" s="10" t="s">
        <v>2798</v>
      </c>
      <c r="G89" s="6" t="str">
        <f>IFERROR(__xludf.DUMMYFUNCTION("GOOGLETRANSLATE(A89, ""en"", ""id"")"),"88")</f>
        <v>88</v>
      </c>
      <c r="H89" s="6" t="str">
        <f>IFERROR(__xludf.DUMMYFUNCTION("GOOGLETRANSLATE(B89, ""en"", ""id"")"),"Penyebaran Islam pada abad ke-15 memperkuat Silat melalui lembaga apa?")</f>
        <v>Penyebaran Islam pada abad ke-15 memperkuat Silat melalui lembaga apa?</v>
      </c>
      <c r="I89" s="6" t="str">
        <f>IFERROR(__xludf.DUMMYFUNCTION("GOOGLETRANSLATE(C89, ""en"", ""id"")"),"A) Masjid B) Tarekat Sufi C) Madrasah D) Pengadilan")</f>
        <v>A) Masjid B) Tarekat Sufi C) Madrasah D) Pengadilan</v>
      </c>
      <c r="J89" s="6" t="str">
        <f>IFERROR(__xludf.DUMMYFUNCTION("GOOGLETRANSLATE(D89, ""en"", ""id"")"),"B) Tarekat Sufi")</f>
        <v>B) Tarekat Sufi</v>
      </c>
      <c r="K89" s="6" t="str">
        <f>IFERROR(__xludf.DUMMYFUNCTION("GOOGLETRANSLATE(E89, ""en"", ""id"")"),"Para guru Sufi mengajarkan Silat bersamaan dengan praktik spiritual, yang menghubungkan aspek bela diri dan mistik.")</f>
        <v>Para guru Sufi mengajarkan Silat bersamaan dengan praktik spiritual, yang menghubungkan aspek bela diri dan mistik.</v>
      </c>
    </row>
    <row r="90">
      <c r="A90" s="5">
        <v>89.0</v>
      </c>
      <c r="B90" s="10" t="s">
        <v>2799</v>
      </c>
      <c r="C90" s="10" t="s">
        <v>2800</v>
      </c>
      <c r="D90" s="10" t="s">
        <v>2801</v>
      </c>
      <c r="E90" s="10" t="s">
        <v>2802</v>
      </c>
      <c r="G90" s="6" t="str">
        <f>IFERROR(__xludf.DUMMYFUNCTION("GOOGLETRANSLATE(A90, ""en"", ""id"")"),"89")</f>
        <v>89</v>
      </c>
      <c r="H90" s="6" t="str">
        <f>IFERROR(__xludf.DUMMYFUNCTION("GOOGLETRANSLATE(B90, ""en"", ""id"")"),"Upacara adat Indonesia manakah yang sering menampilkan pagelaran silat untuk menghormati leluhur?")</f>
        <v>Upacara adat Indonesia manakah yang sering menampilkan pagelaran silat untuk menghormati leluhur?</v>
      </c>
      <c r="I90" s="6" t="str">
        <f>IFERROR(__xludf.DUMMYFUNCTION("GOOGLETRANSLATE(C90, ""en"", ""id"")"),"A) Selamatan B) Sekaten C) Tabuik D) Ngaben")</f>
        <v>A) Selamatan B) Sekaten C) Tabuik D) Ngaben</v>
      </c>
      <c r="J90" s="6" t="str">
        <f>IFERROR(__xludf.DUMMYFUNCTION("GOOGLETRANSLATE(D90, ""en"", ""id"")"),"A) Selamatan")</f>
        <v>A) Selamatan</v>
      </c>
      <c r="K90" s="6" t="str">
        <f>IFERROR(__xludf.DUMMYFUNCTION("GOOGLETRANSLATE(E90, ""en"", ""id"")"),"Perayaan komunal yang dikenal sebagai Selamatan sering kali menyertakan pertunjukan Silat.")</f>
        <v>Perayaan komunal yang dikenal sebagai Selamatan sering kali menyertakan pertunjukan Silat.</v>
      </c>
    </row>
    <row r="91">
      <c r="A91" s="5">
        <v>90.0</v>
      </c>
      <c r="B91" s="10" t="s">
        <v>2803</v>
      </c>
      <c r="C91" s="10" t="s">
        <v>2804</v>
      </c>
      <c r="D91" s="10" t="s">
        <v>2805</v>
      </c>
      <c r="E91" s="10" t="s">
        <v>2806</v>
      </c>
      <c r="G91" s="6" t="str">
        <f>IFERROR(__xludf.DUMMYFUNCTION("GOOGLETRANSLATE(A91, ""en"", ""id"")"),"90")</f>
        <v>90</v>
      </c>
      <c r="H91" s="6" t="str">
        <f>IFERROR(__xludf.DUMMYFUNCTION("GOOGLETRANSLATE(B91, ""en"", ""id"")"),"Praktik Minangkabau manakah yang menggabungkan Silat dengan tari tradisional untuk ritual pernikahan?")</f>
        <v>Praktik Minangkabau manakah yang menggabungkan Silat dengan tari tradisional untuk ritual pernikahan?</v>
      </c>
      <c r="I91" s="6" t="str">
        <f>IFERROR(__xludf.DUMMYFUNCTION("GOOGLETRANSLATE(C91, ""en"", ""id"")"),"A) Tari Piring B) Randai C) Tari Payung D) Tari Lilin")</f>
        <v>A) Tari Piring B) Randai C) Tari Payung D) Tari Lilin</v>
      </c>
      <c r="J91" s="6" t="str">
        <f>IFERROR(__xludf.DUMMYFUNCTION("GOOGLETRANSLATE(D91, ""en"", ""id"")"),"B) Randai")</f>
        <v>B) Randai</v>
      </c>
      <c r="K91" s="6" t="str">
        <f>IFERROR(__xludf.DUMMYFUNCTION("GOOGLETRANSLATE(E91, ""en"", ""id"")"),"Teater Randai menggabungkan gerakan-gerakan Silat dalam pertunjukan cerita melingkar.")</f>
        <v>Teater Randai menggabungkan gerakan-gerakan Silat dalam pertunjukan cerita melingkar.</v>
      </c>
    </row>
    <row r="92">
      <c r="A92" s="5">
        <v>91.0</v>
      </c>
      <c r="B92" s="10" t="s">
        <v>2807</v>
      </c>
      <c r="C92" s="10" t="s">
        <v>2808</v>
      </c>
      <c r="D92" s="10" t="s">
        <v>2809</v>
      </c>
      <c r="E92" s="10" t="s">
        <v>2810</v>
      </c>
      <c r="G92" s="6" t="str">
        <f>IFERROR(__xludf.DUMMYFUNCTION("GOOGLETRANSLATE(A92, ""en"", ""id"")"),"91")</f>
        <v>91</v>
      </c>
      <c r="H92" s="6" t="str">
        <f>IFERROR(__xludf.DUMMYFUNCTION("GOOGLETRANSLATE(B92, ""en"", ""id"")"),"Kerajaan Jawa abad ke-18 manakah yang mengintegrasikan Silat ke dalam perayaan istana?")</f>
        <v>Kerajaan Jawa abad ke-18 manakah yang mengintegrasikan Silat ke dalam perayaan istana?</v>
      </c>
      <c r="I92" s="6" t="str">
        <f>IFERROR(__xludf.DUMMYFUNCTION("GOOGLETRANSLATE(C92, ""en"", ""id"")"),"A) Mataram B) Yogyakarta C) Surakarta D) Banten")</f>
        <v>A) Mataram B) Yogyakarta C) Surakarta D) Banten</v>
      </c>
      <c r="J92" s="6" t="str">
        <f>IFERROR(__xludf.DUMMYFUNCTION("GOOGLETRANSLATE(D92, ""en"", ""id"")"),"C) Surakarta")</f>
        <v>C) Surakarta</v>
      </c>
      <c r="K92" s="6" t="str">
        <f>IFERROR(__xludf.DUMMYFUNCTION("GOOGLETRANSLATE(E92, ""en"", ""id"")"),"Keraton Surakarta mendorong Silat sebagai bagian dari latihan budaya dan bela diri.")</f>
        <v>Keraton Surakarta mendorong Silat sebagai bagian dari latihan budaya dan bela diri.</v>
      </c>
    </row>
    <row r="93">
      <c r="A93" s="5">
        <v>92.0</v>
      </c>
      <c r="B93" s="10" t="s">
        <v>2811</v>
      </c>
      <c r="C93" s="10" t="s">
        <v>2812</v>
      </c>
      <c r="D93" s="10" t="s">
        <v>2813</v>
      </c>
      <c r="E93" s="10" t="s">
        <v>2814</v>
      </c>
      <c r="G93" s="6" t="str">
        <f>IFERROR(__xludf.DUMMYFUNCTION("GOOGLETRANSLATE(A93, ""en"", ""id"")"),"92")</f>
        <v>92</v>
      </c>
      <c r="H93" s="6" t="str">
        <f>IFERROR(__xludf.DUMMYFUNCTION("GOOGLETRANSLATE(B93, ""en"", ""id"")"),"Gerakan reformasi Padri di Sumatera mempengaruhi Silat dengan menambahkan apa?")</f>
        <v>Gerakan reformasi Padri di Sumatera mempengaruhi Silat dengan menambahkan apa?</v>
      </c>
      <c r="I93" s="6" t="str">
        <f>IFERROR(__xludf.DUMMYFUNCTION("GOOGLETRANSLATE(C93, ""en"", ""id"")"),"A) Disiplin agama B) Pelatihan senjata api C) Tari ritual D) Etika sopan santun")</f>
        <v>A) Disiplin agama B) Pelatihan senjata api C) Tari ritual D) Etika sopan santun</v>
      </c>
      <c r="J93" s="6" t="str">
        <f>IFERROR(__xludf.DUMMYFUNCTION("GOOGLETRANSLATE(D93, ""en"", ""id"")"),"A) Disiplin agama")</f>
        <v>A) Disiplin agama</v>
      </c>
      <c r="K93" s="6" t="str">
        <f>IFERROR(__xludf.DUMMYFUNCTION("GOOGLETRANSLATE(E93, ""en"", ""id"")"),"Ulama Padri mempromosikan disiplin Islam dalam latihan Silat.")</f>
        <v>Ulama Padri mempromosikan disiplin Islam dalam latihan Silat.</v>
      </c>
    </row>
    <row r="94">
      <c r="A94" s="5">
        <v>93.0</v>
      </c>
      <c r="B94" s="10" t="s">
        <v>2815</v>
      </c>
      <c r="C94" s="10" t="s">
        <v>2816</v>
      </c>
      <c r="D94" s="10" t="s">
        <v>2817</v>
      </c>
      <c r="E94" s="10" t="s">
        <v>2818</v>
      </c>
      <c r="G94" s="6" t="str">
        <f>IFERROR(__xludf.DUMMYFUNCTION("GOOGLETRANSLATE(A94, ""en"", ""id"")"),"93")</f>
        <v>93</v>
      </c>
      <c r="H94" s="6" t="str">
        <f>IFERROR(__xludf.DUMMYFUNCTION("GOOGLETRANSLATE(B94, ""en"", ""id"")"),"Kerajaan Bugis-Makassar abad ke-17 manakah yang menyebarkan Silat ke wilayah timur nusantara?")</f>
        <v>Kerajaan Bugis-Makassar abad ke-17 manakah yang menyebarkan Silat ke wilayah timur nusantara?</v>
      </c>
      <c r="I94" s="6" t="str">
        <f>IFERROR(__xludf.DUMMYFUNCTION("GOOGLETRANSLATE(C94, ""en"", ""id"")"),"A) Gowa B) Tulang C) Tallo D) Wajo")</f>
        <v>A) Gowa B) Tulang C) Tallo D) Wajo</v>
      </c>
      <c r="J94" s="6" t="str">
        <f>IFERROR(__xludf.DUMMYFUNCTION("GOOGLETRANSLATE(D94, ""en"", ""id"")"),"A) Gowa")</f>
        <v>A) Gowa</v>
      </c>
      <c r="K94" s="6" t="str">
        <f>IFERROR(__xludf.DUMMYFUNCTION("GOOGLETRANSLATE(E94, ""en"", ""id"")"),"Para prajurit kerajaan Gowa mempraktikkan Silat dan menyebarkannya melalui jaringan maritim.")</f>
        <v>Para prajurit kerajaan Gowa mempraktikkan Silat dan menyebarkannya melalui jaringan maritim.</v>
      </c>
    </row>
    <row r="95">
      <c r="A95" s="5">
        <v>94.0</v>
      </c>
      <c r="B95" s="10" t="s">
        <v>2819</v>
      </c>
      <c r="C95" s="10" t="s">
        <v>2820</v>
      </c>
      <c r="D95" s="10" t="s">
        <v>2821</v>
      </c>
      <c r="E95" s="10" t="s">
        <v>2822</v>
      </c>
      <c r="G95" s="6" t="str">
        <f>IFERROR(__xludf.DUMMYFUNCTION("GOOGLETRANSLATE(A95, ""en"", ""id"")"),"94")</f>
        <v>94</v>
      </c>
      <c r="H95" s="6" t="str">
        <f>IFERROR(__xludf.DUMMYFUNCTION("GOOGLETRANSLATE(B95, ""en"", ""id"")"),"Tokoh silat Betawi manakah yang dikenang sebagai pahlawan rakyat melawan penjajah Belanda?")</f>
        <v>Tokoh silat Betawi manakah yang dikenang sebagai pahlawan rakyat melawan penjajah Belanda?</v>
      </c>
      <c r="I95" s="6" t="str">
        <f>IFERROR(__xludf.DUMMYFUNCTION("GOOGLETRANSLATE(C95, ""en"", ""id"")"),"A) Si Pitung B) Haji Misbach C) Tan Malaka D) HOS Tjokroaminoto")</f>
        <v>A) Si Pitung B) Haji Misbach C) Tan Malaka D) HOS Tjokroaminoto</v>
      </c>
      <c r="J95" s="6" t="str">
        <f>IFERROR(__xludf.DUMMYFUNCTION("GOOGLETRANSLATE(D95, ""en"", ""id"")"),"A) Si Pitung")</f>
        <v>A) Si Pitung</v>
      </c>
      <c r="K95" s="6" t="str">
        <f>IFERROR(__xludf.DUMMYFUNCTION("GOOGLETRANSLATE(E95, ""en"", ""id"")"),"Si Pitung, pahlawan rakyat Betawi, terkenal karena menggunakan Silat untuk melawan penindasan kolonial.")</f>
        <v>Si Pitung, pahlawan rakyat Betawi, terkenal karena menggunakan Silat untuk melawan penindasan kolonial.</v>
      </c>
    </row>
    <row r="96">
      <c r="A96" s="5">
        <v>95.0</v>
      </c>
      <c r="B96" s="10" t="s">
        <v>2823</v>
      </c>
      <c r="C96" s="10" t="s">
        <v>2824</v>
      </c>
      <c r="D96" s="10" t="s">
        <v>2825</v>
      </c>
      <c r="E96" s="10" t="s">
        <v>2826</v>
      </c>
      <c r="G96" s="6" t="str">
        <f>IFERROR(__xludf.DUMMYFUNCTION("GOOGLETRANSLATE(A96, ""en"", ""id"")"),"95")</f>
        <v>95</v>
      </c>
      <c r="H96" s="6" t="str">
        <f>IFERROR(__xludf.DUMMYFUNCTION("GOOGLETRANSLATE(B96, ""en"", ""id"")"),"Diintegrasikannya silat ke dalam upacara pernikahan kerajaan melambangkan apa?")</f>
        <v>Diintegrasikannya silat ke dalam upacara pernikahan kerajaan melambangkan apa?</v>
      </c>
      <c r="I96" s="6" t="str">
        <f>IFERROR(__xludf.DUMMYFUNCTION("GOOGLETRANSLATE(C96, ""en"", ""id"")"),"A) Kesuburan B) Perlindungan C) Kekayaan D) Keberanian")</f>
        <v>A) Kesuburan B) Perlindungan C) Kekayaan D) Keberanian</v>
      </c>
      <c r="J96" s="6" t="str">
        <f>IFERROR(__xludf.DUMMYFUNCTION("GOOGLETRANSLATE(D96, ""en"", ""id"")"),"D) Keberanian")</f>
        <v>D) Keberanian</v>
      </c>
      <c r="K96" s="6" t="str">
        <f>IFERROR(__xludf.DUMMYFUNCTION("GOOGLETRANSLATE(E96, ""en"", ""id"")"),"Pertunjukan silat dalam pesta pernikahaan melambangkan keberanian dan kekuatan sang mempelai pria.")</f>
        <v>Pertunjukan silat dalam pesta pernikahaan melambangkan keberanian dan kekuatan sang mempelai pria.</v>
      </c>
    </row>
    <row r="97">
      <c r="A97" s="5">
        <v>96.0</v>
      </c>
      <c r="B97" s="10" t="s">
        <v>2827</v>
      </c>
      <c r="C97" s="10" t="s">
        <v>2828</v>
      </c>
      <c r="D97" s="10" t="s">
        <v>2829</v>
      </c>
      <c r="E97" s="10" t="s">
        <v>2830</v>
      </c>
      <c r="G97" s="6" t="str">
        <f>IFERROR(__xludf.DUMMYFUNCTION("GOOGLETRANSLATE(A97, ""en"", ""id"")"),"96")</f>
        <v>96</v>
      </c>
      <c r="H97" s="6" t="str">
        <f>IFERROR(__xludf.DUMMYFUNCTION("GOOGLETRANSLATE(B97, ""en"", ""id"")"),"Daerah pesisir Indonesia manakah yang mengadaptasi Silat untuk pertahanan terhadap serangan bajak laut?")</f>
        <v>Daerah pesisir Indonesia manakah yang mengadaptasi Silat untuk pertahanan terhadap serangan bajak laut?</v>
      </c>
      <c r="I97" s="6" t="str">
        <f>IFERROR(__xludf.DUMMYFUNCTION("GOOGLETRANSLATE(C97, ""en"", ""id"")"),"A) Riau B) Maluku C) Kalimantan D) Papua")</f>
        <v>A) Riau B) Maluku C) Kalimantan D) Papua</v>
      </c>
      <c r="J97" s="6" t="str">
        <f>IFERROR(__xludf.DUMMYFUNCTION("GOOGLETRANSLATE(D97, ""en"", ""id"")"),"A) Riau")</f>
        <v>A) Riau</v>
      </c>
      <c r="K97" s="6" t="str">
        <f>IFERROR(__xludf.DUMMYFUNCTION("GOOGLETRANSLATE(E97, ""en"", ""id"")"),"Masyarakat pesisir di Riau menggunakan Silat sebagai pertahanan diri terhadap ancaman maritim.")</f>
        <v>Masyarakat pesisir di Riau menggunakan Silat sebagai pertahanan diri terhadap ancaman maritim.</v>
      </c>
    </row>
    <row r="98">
      <c r="A98" s="5">
        <v>97.0</v>
      </c>
      <c r="B98" s="10" t="s">
        <v>2831</v>
      </c>
      <c r="C98" s="10" t="s">
        <v>2832</v>
      </c>
      <c r="D98" s="10" t="s">
        <v>2833</v>
      </c>
      <c r="E98" s="10" t="s">
        <v>2834</v>
      </c>
      <c r="G98" s="6" t="str">
        <f>IFERROR(__xludf.DUMMYFUNCTION("GOOGLETRANSLATE(A98, ""en"", ""id"")"),"97")</f>
        <v>97</v>
      </c>
      <c r="H98" s="6" t="str">
        <f>IFERROR(__xludf.DUMMYFUNCTION("GOOGLETRANSLATE(B98, ""en"", ""id"")"),"Hikayat Hang Tuah (teks Melayu) merujuk pada Silat. Apa peran Hang Tuah?")</f>
        <v>Hikayat Hang Tuah (teks Melayu) merujuk pada Silat. Apa peran Hang Tuah?</v>
      </c>
      <c r="I98" s="6" t="str">
        <f>IFERROR(__xludf.DUMMYFUNCTION("GOOGLETRANSLATE(C98, ""en"", ""id"")"),"A) Jenderal B) Pelaut C) Laksamana D) Sultan")</f>
        <v>A) Jenderal B) Pelaut C) Laksamana D) Sultan</v>
      </c>
      <c r="J98" s="6" t="str">
        <f>IFERROR(__xludf.DUMMYFUNCTION("GOOGLETRANSLATE(D98, ""en"", ""id"")"),"C) Laksamana")</f>
        <v>C) Laksamana</v>
      </c>
      <c r="K98" s="6" t="str">
        <f>IFERROR(__xludf.DUMMYFUNCTION("GOOGLETRANSLATE(E98, ""en"", ""id"")"),"Hang Tuah, laksamana legendaris Malaka, mewujudkan kebajikan bela diri yang terkait dengan Silat.")</f>
        <v>Hang Tuah, laksamana legendaris Malaka, mewujudkan kebajikan bela diri yang terkait dengan Silat.</v>
      </c>
    </row>
    <row r="99">
      <c r="A99" s="5">
        <v>98.0</v>
      </c>
      <c r="B99" s="10" t="s">
        <v>2835</v>
      </c>
      <c r="C99" s="10" t="s">
        <v>2836</v>
      </c>
      <c r="D99" s="10" t="s">
        <v>2837</v>
      </c>
      <c r="E99" s="10" t="s">
        <v>2838</v>
      </c>
      <c r="G99" s="6" t="str">
        <f>IFERROR(__xludf.DUMMYFUNCTION("GOOGLETRANSLATE(A99, ""en"", ""id"")"),"98")</f>
        <v>98</v>
      </c>
      <c r="H99" s="6" t="str">
        <f>IFERROR(__xludf.DUMMYFUNCTION("GOOGLETRANSLATE(B99, ""en"", ""id"")"),"Praktisi silat di bawah Majapahit sering dibandingkan dengan pahlawan epik Hindu yang mana?")</f>
        <v>Praktisi silat di bawah Majapahit sering dibandingkan dengan pahlawan epik Hindu yang mana?</v>
      </c>
      <c r="I99" s="6" t="str">
        <f>IFERROR(__xludf.DUMMYFUNCTION("GOOGLETRANSLATE(C99, ""en"", ""id"")"),"A) Pandawa B) Rahwana C) Hanuman D) Bisma")</f>
        <v>A) Pandawa B) Rahwana C) Hanuman D) Bisma</v>
      </c>
      <c r="J99" s="6" t="str">
        <f>IFERROR(__xludf.DUMMYFUNCTION("GOOGLETRANSLATE(D99, ""en"", ""id"")"),"A) Pandawa")</f>
        <v>A) Pandawa</v>
      </c>
      <c r="K99" s="6" t="str">
        <f>IFERROR(__xludf.DUMMYFUNCTION("GOOGLETRANSLATE(E99, ""en"", ""id"")"),"Prajurit yang terlatih dalam Silat disamakan dengan Pandawa karena kekuatan dan kebajikan mereka.")</f>
        <v>Prajurit yang terlatih dalam Silat disamakan dengan Pandawa karena kekuatan dan kebajikan mereka.</v>
      </c>
    </row>
    <row r="100">
      <c r="A100" s="5">
        <v>99.0</v>
      </c>
      <c r="B100" s="10" t="s">
        <v>2839</v>
      </c>
      <c r="C100" s="10" t="s">
        <v>2840</v>
      </c>
      <c r="D100" s="10" t="s">
        <v>2841</v>
      </c>
      <c r="E100" s="10" t="s">
        <v>2842</v>
      </c>
      <c r="G100" s="6" t="str">
        <f>IFERROR(__xludf.DUMMYFUNCTION("GOOGLETRANSLATE(A100, ""en"", ""id"")"),"99")</f>
        <v>99</v>
      </c>
      <c r="H100" s="6" t="str">
        <f>IFERROR(__xludf.DUMMYFUNCTION("GOOGLETRANSLATE(B100, ""en"", ""id"")"),"Pada masa penjajahan dulu, guru silat kerap diawasi oleh penguasa Belanda, apa alasannya?")</f>
        <v>Pada masa penjajahan dulu, guru silat kerap diawasi oleh penguasa Belanda, apa alasannya?</v>
      </c>
      <c r="I100" s="6" t="str">
        <f>IFERROR(__xludf.DUMMYFUNCTION("GOOGLETRANSLATE(C100, ""en"", ""id"")"),"A) Penggelapan pajak B) Aktivitas subversif C) Migrasi ilegal D) Perjudian")</f>
        <v>A) Penggelapan pajak B) Aktivitas subversif C) Migrasi ilegal D) Perjudian</v>
      </c>
      <c r="J100" s="6" t="str">
        <f>IFERROR(__xludf.DUMMYFUNCTION("GOOGLETRANSLATE(D100, ""en"", ""id"")"),"B) Aktivitas subversif")</f>
        <v>B) Aktivitas subversif</v>
      </c>
      <c r="K100" s="6" t="str">
        <f>IFERROR(__xludf.DUMMYFUNCTION("GOOGLETRANSLATE(E100, ""en"", ""id"")"),"Pihak Belanda khawatir perguruan Silat dapat memupuk perlawanan anti-kolonial.")</f>
        <v>Pihak Belanda khawatir perguruan Silat dapat memupuk perlawanan anti-kolonial.</v>
      </c>
    </row>
    <row r="101">
      <c r="A101" s="5">
        <v>100.0</v>
      </c>
      <c r="B101" s="10" t="s">
        <v>2843</v>
      </c>
      <c r="C101" s="10" t="s">
        <v>2844</v>
      </c>
      <c r="D101" s="10" t="s">
        <v>2845</v>
      </c>
      <c r="E101" s="10" t="s">
        <v>2846</v>
      </c>
      <c r="G101" s="6" t="str">
        <f>IFERROR(__xludf.DUMMYFUNCTION("GOOGLETRANSLATE(A101, ""en"", ""id"")"),"100")</f>
        <v>100</v>
      </c>
      <c r="H101" s="6" t="str">
        <f>IFERROR(__xludf.DUMMYFUNCTION("GOOGLETRANSLATE(B101, ""en"", ""id"")"),"Perang Aceh (1873–1904) menyaksikan Silat dikombinasikan dengan bentuk pertarungan apa?")</f>
        <v>Perang Aceh (1873–1904) menyaksikan Silat dikombinasikan dengan bentuk pertarungan apa?</v>
      </c>
      <c r="I101" s="6" t="str">
        <f>IFERROR(__xludf.DUMMYFUNCTION("GOOGLETRANSLATE(C101, ""en"", ""id"")"),"A) Taktik gerilya B) Pertempuran laut C) Senjata api D) Kavaleri")</f>
        <v>A) Taktik gerilya B) Pertempuran laut C) Senjata api D) Kavaleri</v>
      </c>
      <c r="J101" s="6" t="str">
        <f>IFERROR(__xludf.DUMMYFUNCTION("GOOGLETRANSLATE(D101, ""en"", ""id"")"),"A) Taktik gerilya")</f>
        <v>A) Taktik gerilya</v>
      </c>
      <c r="K101" s="6" t="str">
        <f>IFERROR(__xludf.DUMMYFUNCTION("GOOGLETRANSLATE(E101, ""en"", ""id"")"),"Pejuang Aceh menggunakan Silat dalam perang gerilya melawan Belanda.")</f>
        <v>Pejuang Aceh menggunakan Silat dalam perang gerilya melawan Belanda.</v>
      </c>
    </row>
    <row r="102">
      <c r="A102" s="5">
        <v>101.0</v>
      </c>
      <c r="B102" s="10" t="s">
        <v>2847</v>
      </c>
      <c r="C102" s="10" t="s">
        <v>2848</v>
      </c>
      <c r="D102" s="10" t="s">
        <v>2849</v>
      </c>
      <c r="E102" s="10" t="s">
        <v>2850</v>
      </c>
      <c r="G102" s="6" t="str">
        <f>IFERROR(__xludf.DUMMYFUNCTION("GOOGLETRANSLATE(A102, ""en"", ""id"")"),"101")</f>
        <v>101</v>
      </c>
      <c r="H102" s="6" t="str">
        <f>IFERROR(__xludf.DUMMYFUNCTION("GOOGLETRANSLATE(B102, ""en"", ""id"")"),"Guru silat manakah dari Jawa Barat abad ke-19 yang mendirikan aliran Serak?")</f>
        <v>Guru silat manakah dari Jawa Barat abad ke-19 yang mendirikan aliran Serak?</v>
      </c>
      <c r="I102" s="6" t="str">
        <f>IFERROR(__xludf.DUMMYFUNCTION("GOOGLETRANSLATE(C102, ""en"", ""id"")"),"A) Ki Djut B) Ki Hadjar C) Ki Muhammad Idris D) Ki Baharudin")</f>
        <v>A) Ki Djut B) Ki Hadjar C) Ki Muhammad Idris D) Ki Baharudin</v>
      </c>
      <c r="J102" s="6" t="str">
        <f>IFERROR(__xludf.DUMMYFUNCTION("GOOGLETRANSLATE(D102, ""en"", ""id"")"),"C) Ki Muhammad Idris")</f>
        <v>C) Ki Muhammad Idris</v>
      </c>
      <c r="K102" s="6" t="str">
        <f>IFERROR(__xludf.DUMMYFUNCTION("GOOGLETRANSLATE(E102, ""en"", ""id"")"),"Ia mengembangkan gaya Serak, menekankan pada pengaruh dan struktur.")</f>
        <v>Ia mengembangkan gaya Serak, menekankan pada pengaruh dan struktur.</v>
      </c>
    </row>
    <row r="103">
      <c r="A103" s="5">
        <v>102.0</v>
      </c>
      <c r="B103" s="10" t="s">
        <v>2851</v>
      </c>
      <c r="C103" s="10" t="s">
        <v>2852</v>
      </c>
      <c r="D103" s="10" t="s">
        <v>2853</v>
      </c>
      <c r="E103" s="10" t="s">
        <v>2854</v>
      </c>
      <c r="G103" s="6" t="str">
        <f>IFERROR(__xludf.DUMMYFUNCTION("GOOGLETRANSLATE(A103, ""en"", ""id"")"),"102")</f>
        <v>102</v>
      </c>
      <c r="H103" s="6" t="str">
        <f>IFERROR(__xludf.DUMMYFUNCTION("GOOGLETRANSLATE(B103, ""en"", ""id"")"),"Organisasi kebangkitan nasional Indonesia manakah yang mempromosikan Silat sebagai identitas budaya?")</f>
        <v>Organisasi kebangkitan nasional Indonesia manakah yang mempromosikan Silat sebagai identitas budaya?</v>
      </c>
      <c r="I103" s="6" t="str">
        <f>IFERROR(__xludf.DUMMYFUNCTION("GOOGLETRANSLATE(C103, ""en"", ""id"")"),"A) Sarekat Islam B) Boedi Oetomo C) Pemuda Indonesia D) Jong Java")</f>
        <v>A) Sarekat Islam B) Boedi Oetomo C) Pemuda Indonesia D) Jong Java</v>
      </c>
      <c r="J103" s="6" t="str">
        <f>IFERROR(__xludf.DUMMYFUNCTION("GOOGLETRANSLATE(D103, ""en"", ""id"")"),"B) Boedi Oetomo")</f>
        <v>B) Boedi Oetomo</v>
      </c>
      <c r="K103" s="6" t="str">
        <f>IFERROR(__xludf.DUMMYFUNCTION("GOOGLETRANSLATE(E103, ""en"", ""id"")"),"Kelompok nasionalis awal melihat Silat sebagai bagian dari warisan budaya.")</f>
        <v>Kelompok nasionalis awal melihat Silat sebagai bagian dari warisan budaya.</v>
      </c>
    </row>
    <row r="104">
      <c r="A104" s="5">
        <v>103.0</v>
      </c>
      <c r="B104" s="10" t="s">
        <v>2855</v>
      </c>
      <c r="C104" s="10" t="s">
        <v>2856</v>
      </c>
      <c r="D104" s="10" t="s">
        <v>2857</v>
      </c>
      <c r="E104" s="10" t="s">
        <v>2858</v>
      </c>
      <c r="G104" s="6" t="str">
        <f>IFERROR(__xludf.DUMMYFUNCTION("GOOGLETRANSLATE(A104, ""en"", ""id"")"),"103")</f>
        <v>103</v>
      </c>
      <c r="H104" s="6" t="str">
        <f>IFERROR(__xludf.DUMMYFUNCTION("GOOGLETRANSLATE(B104, ""en"", ""id"")"),"Bentuk silat berbasis senjata apa yang digemari di Bali pada abad ke-17?")</f>
        <v>Bentuk silat berbasis senjata apa yang digemari di Bali pada abad ke-17?</v>
      </c>
      <c r="I104" s="6" t="str">
        <f>IFERROR(__xludf.DUMMYFUNCTION("GOOGLETRANSLATE(C104, ""en"", ""id"")"),"A) Keris B) Trisula C) Tombak D) Parang")</f>
        <v>A) Keris B) Trisula C) Tombak D) Parang</v>
      </c>
      <c r="J104" s="6" t="str">
        <f>IFERROR(__xludf.DUMMYFUNCTION("GOOGLETRANSLATE(D104, ""en"", ""id"")"),"C) Tombak")</f>
        <v>C) Tombak</v>
      </c>
      <c r="K104" s="6" t="str">
        <f>IFERROR(__xludf.DUMMYFUNCTION("GOOGLETRANSLATE(E104, ""en"", ""id"")"),"Silat Bali menekankan teknik tombak untuk digunakan di medan perang.")</f>
        <v>Silat Bali menekankan teknik tombak untuk digunakan di medan perang.</v>
      </c>
    </row>
    <row r="105">
      <c r="A105" s="5">
        <v>104.0</v>
      </c>
      <c r="B105" s="10" t="s">
        <v>2859</v>
      </c>
      <c r="C105" s="10" t="s">
        <v>2860</v>
      </c>
      <c r="D105" s="10" t="s">
        <v>2861</v>
      </c>
      <c r="E105" s="10" t="s">
        <v>2862</v>
      </c>
      <c r="G105" s="6" t="str">
        <f>IFERROR(__xludf.DUMMYFUNCTION("GOOGLETRANSLATE(A105, ""en"", ""id"")"),"104")</f>
        <v>104</v>
      </c>
      <c r="H105" s="6" t="str">
        <f>IFERROR(__xludf.DUMMYFUNCTION("GOOGLETRANSLATE(B105, ""en"", ""id"")"),"Pemimpin pemberontakan Jawa manakah yang menggunakan pasukan terlatih Silat dalam pemberontakan abad ke-18?")</f>
        <v>Pemimpin pemberontakan Jawa manakah yang menggunakan pasukan terlatih Silat dalam pemberontakan abad ke-18?</v>
      </c>
      <c r="I105" s="6" t="str">
        <f>IFERROR(__xludf.DUMMYFUNCTION("GOOGLETRANSLATE(C105, ""en"", ""id"")"),"A) Pangeran Mangkubumi B) Untung Surapati C) Diponegoro D) Pangeran Jayakarta")</f>
        <v>A) Pangeran Mangkubumi B) Untung Surapati C) Diponegoro D) Pangeran Jayakarta</v>
      </c>
      <c r="J105" s="6" t="str">
        <f>IFERROR(__xludf.DUMMYFUNCTION("GOOGLETRANSLATE(D105, ""en"", ""id"")"),"B) Untung Surapati")</f>
        <v>B) Untung Surapati</v>
      </c>
      <c r="K105" s="6" t="str">
        <f>IFERROR(__xludf.DUMMYFUNCTION("GOOGLETRANSLATE(E105, ""en"", ""id"")"),"Pemimpin kelahiran Bali ini menggunakan pejuang Silat dalam pemberontakan melawan kekuasaan Belanda.")</f>
        <v>Pemimpin kelahiran Bali ini menggunakan pejuang Silat dalam pemberontakan melawan kekuasaan Belanda.</v>
      </c>
    </row>
    <row r="106">
      <c r="A106" s="5">
        <v>105.0</v>
      </c>
      <c r="B106" s="10" t="s">
        <v>2863</v>
      </c>
      <c r="C106" s="10" t="s">
        <v>2864</v>
      </c>
      <c r="D106" s="10" t="s">
        <v>2865</v>
      </c>
      <c r="E106" s="10" t="s">
        <v>2866</v>
      </c>
      <c r="G106" s="6" t="str">
        <f>IFERROR(__xludf.DUMMYFUNCTION("GOOGLETRANSLATE(A106, ""en"", ""id"")"),"105")</f>
        <v>105</v>
      </c>
      <c r="H106" s="6" t="str">
        <f>IFERROR(__xludf.DUMMYFUNCTION("GOOGLETRANSLATE(B106, ""en"", ""id"")"),"Surat kabar Indonesia era kolonial manakah yang mempromosikan Silat sebagai kebanggaan nasional?")</f>
        <v>Surat kabar Indonesia era kolonial manakah yang mempromosikan Silat sebagai kebanggaan nasional?</v>
      </c>
      <c r="I106" s="6" t="str">
        <f>IFERROR(__xludf.DUMMYFUNCTION("GOOGLETRANSLATE(C106, ""en"", ""id"")"),"A) Medan Prijaji B) Bintang Hindia C) Sin Po D) De Locomotief")</f>
        <v>A) Medan Prijaji B) Bintang Hindia C) Sin Po D) De Locomotief</v>
      </c>
      <c r="J106" s="6" t="str">
        <f>IFERROR(__xludf.DUMMYFUNCTION("GOOGLETRANSLATE(D106, ""en"", ""id"")"),"A) Medan Prijaji")</f>
        <v>A) Medan Prijaji</v>
      </c>
      <c r="K106" s="6" t="str">
        <f>IFERROR(__xludf.DUMMYFUNCTION("GOOGLETRANSLATE(E106, ""en"", ""id"")"),"Medan Prijaji dari Tirto Adhi Soerjo mendukung kebangkitan budaya asli, termasuk Silat.")</f>
        <v>Medan Prijaji dari Tirto Adhi Soerjo mendukung kebangkitan budaya asli, termasuk Silat.</v>
      </c>
    </row>
    <row r="107">
      <c r="A107" s="5">
        <v>106.0</v>
      </c>
      <c r="B107" s="10" t="s">
        <v>2867</v>
      </c>
      <c r="C107" s="10" t="s">
        <v>2868</v>
      </c>
      <c r="D107" s="10" t="s">
        <v>1880</v>
      </c>
      <c r="E107" s="10" t="s">
        <v>2869</v>
      </c>
      <c r="G107" s="6" t="str">
        <f>IFERROR(__xludf.DUMMYFUNCTION("GOOGLETRANSLATE(A107, ""en"", ""id"")"),"106")</f>
        <v>106</v>
      </c>
      <c r="H107" s="6" t="str">
        <f>IFERROR(__xludf.DUMMYFUNCTION("GOOGLETRANSLATE(B107, ""en"", ""id"")"),"Silat daerah Indonesia manakah yang terkenal dengan salto akrobatiknya yang mencerminkan kelincahan di medan perang?")</f>
        <v>Silat daerah Indonesia manakah yang terkenal dengan salto akrobatiknya yang mencerminkan kelincahan di medan perang?</v>
      </c>
      <c r="I107" s="6" t="str">
        <f>IFERROR(__xludf.DUMMYFUNCTION("GOOGLETRANSLATE(C107, ""en"", ""id"")"),"A) Sumatera Barat B) Jakarta C) Bali D) Madura")</f>
        <v>A) Sumatera Barat B) Jakarta C) Bali D) Madura</v>
      </c>
      <c r="J107" s="6" t="str">
        <f>IFERROR(__xludf.DUMMYFUNCTION("GOOGLETRANSLATE(D107, ""en"", ""id"")"),"D) Madura")</f>
        <v>D) Madura</v>
      </c>
      <c r="K107" s="6" t="str">
        <f>IFERROR(__xludf.DUMMYFUNCTION("GOOGLETRANSLATE(E107, ""en"", ""id"")"),"Silat Madura menekankan kelincahan, berguna bagi para pendekar pelaut.")</f>
        <v>Silat Madura menekankan kelincahan, berguna bagi para pendekar pelaut.</v>
      </c>
    </row>
    <row r="108">
      <c r="A108" s="5">
        <v>107.0</v>
      </c>
      <c r="B108" s="10" t="s">
        <v>2870</v>
      </c>
      <c r="C108" s="10" t="s">
        <v>2871</v>
      </c>
      <c r="D108" s="10" t="s">
        <v>2872</v>
      </c>
      <c r="E108" s="10" t="s">
        <v>2873</v>
      </c>
      <c r="G108" s="6" t="str">
        <f>IFERROR(__xludf.DUMMYFUNCTION("GOOGLETRANSLATE(A108, ""en"", ""id"")"),"107")</f>
        <v>107</v>
      </c>
      <c r="H108" s="6" t="str">
        <f>IFERROR(__xludf.DUMMYFUNCTION("GOOGLETRANSLATE(B108, ""en"", ""id"")"),"Larangan kolonial manakah yang secara tidak langsung meningkatkan simbolisme budaya Silat?")</f>
        <v>Larangan kolonial manakah yang secara tidak langsung meningkatkan simbolisme budaya Silat?</v>
      </c>
      <c r="I108" s="6" t="str">
        <f>IFERROR(__xludf.DUMMYFUNCTION("GOOGLETRANSLATE(C108, ""en"", ""id"")"),"A) Larangan berkumpul di tempat umum B) Larangan senjata tajam C) Larangan perguruan bela diri D) Larangan ritual malam")</f>
        <v>A) Larangan berkumpul di tempat umum B) Larangan senjata tajam C) Larangan perguruan bela diri D) Larangan ritual malam</v>
      </c>
      <c r="J108" s="6" t="str">
        <f>IFERROR(__xludf.DUMMYFUNCTION("GOOGLETRANSLATE(D108, ""en"", ""id"")"),"B) Larangan senjata tajam")</f>
        <v>B) Larangan senjata tajam</v>
      </c>
      <c r="K108" s="6" t="str">
        <f>IFERROR(__xludf.DUMMYFUNCTION("GOOGLETRANSLATE(E108, ""en"", ""id"")"),"Hal ini memaksa para praktisi untuk mengangkat unsur simbolik dan spiritual Silat.")</f>
        <v>Hal ini memaksa para praktisi untuk mengangkat unsur simbolik dan spiritual Silat.</v>
      </c>
    </row>
    <row r="109">
      <c r="A109" s="5">
        <v>108.0</v>
      </c>
      <c r="B109" s="10" t="s">
        <v>2874</v>
      </c>
      <c r="C109" s="10" t="s">
        <v>2875</v>
      </c>
      <c r="D109" s="10" t="s">
        <v>2876</v>
      </c>
      <c r="E109" s="10" t="s">
        <v>2877</v>
      </c>
      <c r="G109" s="6" t="str">
        <f>IFERROR(__xludf.DUMMYFUNCTION("GOOGLETRANSLATE(A109, ""en"", ""id"")"),"108")</f>
        <v>108</v>
      </c>
      <c r="H109" s="6" t="str">
        <f>IFERROR(__xludf.DUMMYFUNCTION("GOOGLETRANSLATE(B109, ""en"", ""id"")"),"Pemberontakan Minangkabau abad ke-19 manakah yang sangat bergantung pada praktisi Silek?")</f>
        <v>Pemberontakan Minangkabau abad ke-19 manakah yang sangat bergantung pada praktisi Silek?</v>
      </c>
      <c r="I109" s="6" t="str">
        <f>IFERROR(__xludf.DUMMYFUNCTION("GOOGLETRANSLATE(C109, ""en"", ""id"")"),"A) Perang Padri B) Perang Jawa C) Perang Aceh D) Pemberontakan Banten")</f>
        <v>A) Perang Padri B) Perang Jawa C) Perang Aceh D) Pemberontakan Banten</v>
      </c>
      <c r="J109" s="6" t="str">
        <f>IFERROR(__xludf.DUMMYFUNCTION("GOOGLETRANSLATE(D109, ""en"", ""id"")"),"A) Perang Padri")</f>
        <v>A) Perang Padri</v>
      </c>
      <c r="K109" s="6" t="str">
        <f>IFERROR(__xludf.DUMMYFUNCTION("GOOGLETRANSLATE(E109, ""en"", ""id"")"),"Prajurit yang terlatih Silek melawan pasukan Belanda selama konflik agama-politik ini.")</f>
        <v>Prajurit yang terlatih Silek melawan pasukan Belanda selama konflik agama-politik ini.</v>
      </c>
    </row>
    <row r="110">
      <c r="A110" s="5">
        <v>109.0</v>
      </c>
      <c r="B110" s="10" t="s">
        <v>2878</v>
      </c>
      <c r="C110" s="10" t="s">
        <v>2879</v>
      </c>
      <c r="D110" s="10" t="s">
        <v>2517</v>
      </c>
      <c r="E110" s="10" t="s">
        <v>2880</v>
      </c>
      <c r="G110" s="6" t="str">
        <f>IFERROR(__xludf.DUMMYFUNCTION("GOOGLETRANSLATE(A110, ""en"", ""id"")"),"109")</f>
        <v>109</v>
      </c>
      <c r="H110" s="6" t="str">
        <f>IFERROR(__xludf.DUMMYFUNCTION("GOOGLETRANSLATE(B110, ""en"", ""id"")"),"Praktisi silat secara historis mengucapkan sumpah setia menggunakan benda simbolis apa?")</f>
        <v>Praktisi silat secara historis mengucapkan sumpah setia menggunakan benda simbolis apa?</v>
      </c>
      <c r="I110" s="6" t="str">
        <f>IFERROR(__xludf.DUMMYFUNCTION("GOOGLETRANSLATE(C110, ""en"", ""id"")"),"A) Keris B) Al Quran C) Daun Sirih D) Sarung Keris")</f>
        <v>A) Keris B) Al Quran C) Daun Sirih D) Sarung Keris</v>
      </c>
      <c r="J110" s="6" t="str">
        <f>IFERROR(__xludf.DUMMYFUNCTION("GOOGLETRANSLATE(D110, ""en"", ""id"")"),"A) Kris")</f>
        <v>A) Kris</v>
      </c>
      <c r="K110" s="6" t="str">
        <f>IFERROR(__xludf.DUMMYFUNCTION("GOOGLETRANSLATE(E110, ""en"", ""id"")"),"Belati keris melambangkan kehormatan dan komitmen bela diri.")</f>
        <v>Belati keris melambangkan kehormatan dan komitmen bela diri.</v>
      </c>
    </row>
    <row r="111">
      <c r="A111" s="5">
        <v>110.0</v>
      </c>
      <c r="B111" s="10" t="s">
        <v>2881</v>
      </c>
      <c r="C111" s="10" t="s">
        <v>2882</v>
      </c>
      <c r="D111" s="10" t="s">
        <v>2883</v>
      </c>
      <c r="E111" s="10" t="s">
        <v>2884</v>
      </c>
      <c r="G111" s="6" t="str">
        <f>IFERROR(__xludf.DUMMYFUNCTION("GOOGLETRANSLATE(A111, ""en"", ""id"")"),"110")</f>
        <v>110</v>
      </c>
      <c r="H111" s="6" t="str">
        <f>IFERROR(__xludf.DUMMYFUNCTION("GOOGLETRANSLATE(B111, ""en"", ""id"")"),"Karya sastra Indonesia terkenal manakah yang menggambarkan Silat dalam kisah kepahlawanan?")</f>
        <v>Karya sastra Indonesia terkenal manakah yang menggambarkan Silat dalam kisah kepahlawanan?</v>
      </c>
      <c r="I111" s="6" t="str">
        <f>IFERROR(__xludf.DUMMYFUNCTION("GOOGLETRANSLATE(C111, ""en"", ""id"")"),"A) Sitti Nurbaya B) Hikayat Sri Rama C) Babad Diponegoro D) Hikayat Panji")</f>
        <v>A) Sitti Nurbaya B) Hikayat Sri Rama C) Babad Diponegoro D) Hikayat Panji</v>
      </c>
      <c r="J111" s="6" t="str">
        <f>IFERROR(__xludf.DUMMYFUNCTION("GOOGLETRANSLATE(D111, ""en"", ""id"")"),"A) Sitti Nurbaya")</f>
        <v>A) Sitti Nurbaya</v>
      </c>
      <c r="K111" s="6" t="str">
        <f>IFERROR(__xludf.DUMMYFUNCTION("GOOGLETRANSLATE(E111, ""en"", ""id"")"),"Novel Marah Rusli merujuk pada budaya Minangkabau termasuk tradisi Silat.")</f>
        <v>Novel Marah Rusli merujuk pada budaya Minangkabau termasuk tradisi Silat.</v>
      </c>
    </row>
    <row r="112">
      <c r="A112" s="5">
        <v>111.0</v>
      </c>
      <c r="B112" s="10" t="s">
        <v>2885</v>
      </c>
      <c r="C112" s="10" t="s">
        <v>2886</v>
      </c>
      <c r="D112" s="10" t="s">
        <v>2887</v>
      </c>
      <c r="E112" s="10" t="s">
        <v>2888</v>
      </c>
      <c r="G112" s="6" t="str">
        <f>IFERROR(__xludf.DUMMYFUNCTION("GOOGLETRANSLATE(A112, ""en"", ""id"")"),"111")</f>
        <v>111</v>
      </c>
      <c r="H112" s="6" t="str">
        <f>IFERROR(__xludf.DUMMYFUNCTION("GOOGLETRANSLATE(B112, ""en"", ""id"")"),"Kelompok pemuda nasionalis awal abad ke-20 mana yang memasukkan Silat dalam pelatihan?")</f>
        <v>Kelompok pemuda nasionalis awal abad ke-20 mana yang memasukkan Silat dalam pelatihan?</v>
      </c>
      <c r="I112" s="6" t="str">
        <f>IFERROR(__xludf.DUMMYFUNCTION("GOOGLETRANSLATE(C112, ""en"", ""id"")"),"A) Jong Java &amp; Jong Sumatra B) Jong Batak C) Jong Celebes D) Jong Ambon")</f>
        <v>A) Jong Java &amp; Jong Sumatra B) Jong Batak C) Jong Celebes D) Jong Ambon</v>
      </c>
      <c r="J112" s="6" t="str">
        <f>IFERROR(__xludf.DUMMYFUNCTION("GOOGLETRANSLATE(D112, ""en"", ""id"")"),"A) Jong Java dan Jong Sumatra")</f>
        <v>A) Jong Java dan Jong Sumatra</v>
      </c>
      <c r="K112" s="6" t="str">
        <f>IFERROR(__xludf.DUMMYFUNCTION("GOOGLETRANSLATE(E112, ""en"", ""id"")"),"Kelompok ini menghidupkan kembali Silat sebagai bagian dari identitas pemuda nasionalis.")</f>
        <v>Kelompok ini menghidupkan kembali Silat sebagai bagian dari identitas pemuda nasionalis.</v>
      </c>
    </row>
    <row r="113">
      <c r="A113" s="5">
        <v>112.0</v>
      </c>
      <c r="B113" s="10" t="s">
        <v>2889</v>
      </c>
      <c r="C113" s="10" t="s">
        <v>2890</v>
      </c>
      <c r="D113" s="10" t="s">
        <v>2891</v>
      </c>
      <c r="E113" s="10" t="s">
        <v>2892</v>
      </c>
      <c r="G113" s="6" t="str">
        <f>IFERROR(__xludf.DUMMYFUNCTION("GOOGLETRANSLATE(A113, ""en"", ""id"")"),"112")</f>
        <v>112</v>
      </c>
      <c r="H113" s="6" t="str">
        <f>IFERROR(__xludf.DUMMYFUNCTION("GOOGLETRANSLATE(B113, ""en"", ""id"")"),"Peran wanita dalam sejarah Silat disorot oleh pahlawan wanita legendaris yang mana?")</f>
        <v>Peran wanita dalam sejarah Silat disorot oleh pahlawan wanita legendaris yang mana?</v>
      </c>
      <c r="I113" s="6" t="str">
        <f>IFERROR(__xludf.DUMMYFUNCTION("GOOGLETRANSLATE(C113, ""en"", ""id"")"),"A) Cut Nyak Dhien B) Dayang Sumbi C) Kartini D) Ken Dedes")</f>
        <v>A) Cut Nyak Dhien B) Dayang Sumbi C) Kartini D) Ken Dedes</v>
      </c>
      <c r="J113" s="6" t="str">
        <f>IFERROR(__xludf.DUMMYFUNCTION("GOOGLETRANSLATE(D113, ""en"", ""id"")"),"A) Cut Nyak Dhien")</f>
        <v>A) Cut Nyak Dhien</v>
      </c>
      <c r="K113" s="6" t="str">
        <f>IFERROR(__xludf.DUMMYFUNCTION("GOOGLETRANSLATE(E113, ""en"", ""id"")"),"Ia memadukan ilmu kepemimpinan dan silat dalam perlawanan Aceh.")</f>
        <v>Ia memadukan ilmu kepemimpinan dan silat dalam perlawanan Aceh.</v>
      </c>
    </row>
    <row r="114">
      <c r="A114" s="5">
        <v>113.0</v>
      </c>
      <c r="B114" s="10" t="s">
        <v>2893</v>
      </c>
      <c r="C114" s="10" t="s">
        <v>2894</v>
      </c>
      <c r="D114" s="10" t="s">
        <v>2895</v>
      </c>
      <c r="E114" s="10" t="s">
        <v>2896</v>
      </c>
      <c r="G114" s="6" t="str">
        <f>IFERROR(__xludf.DUMMYFUNCTION("GOOGLETRANSLATE(A114, ""en"", ""id"")"),"113")</f>
        <v>113</v>
      </c>
      <c r="H114" s="6" t="str">
        <f>IFERROR(__xludf.DUMMYFUNCTION("GOOGLETRANSLATE(B114, ""en"", ""id"")"),"Panglima militer Majapahit abad ke-14 manakah yang kemungkinan besar mempromosikan Silat di kalangan pasukannya?")</f>
        <v>Panglima militer Majapahit abad ke-14 manakah yang kemungkinan besar mempromosikan Silat di kalangan pasukannya?</v>
      </c>
      <c r="I114" s="6" t="str">
        <f>IFERROR(__xludf.DUMMYFUNCTION("GOOGLETRANSLATE(C114, ""en"", ""id"")"),"A) Gajah Mada B) Hayam Wuruk C) Adityawarman D) Kertanegara")</f>
        <v>A) Gajah Mada B) Hayam Wuruk C) Adityawarman D) Kertanegara</v>
      </c>
      <c r="J114" s="6" t="str">
        <f>IFERROR(__xludf.DUMMYFUNCTION("GOOGLETRANSLATE(D114, ""en"", ""id"")"),"A) Gajah Mada")</f>
        <v>A) Gajah Mada</v>
      </c>
      <c r="K114" s="6" t="str">
        <f>IFERROR(__xludf.DUMMYFUNCTION("GOOGLETRANSLATE(E114, ""en"", ""id"")"),"Perdana Menteri Majapahit mengorganisasikan pasukan yang melatih pertarungan ala Silat.")</f>
        <v>Perdana Menteri Majapahit mengorganisasikan pasukan yang melatih pertarungan ala Silat.</v>
      </c>
    </row>
    <row r="115">
      <c r="A115" s="5">
        <v>114.0</v>
      </c>
      <c r="B115" s="10" t="s">
        <v>2897</v>
      </c>
      <c r="C115" s="10" t="s">
        <v>2898</v>
      </c>
      <c r="D115" s="10" t="s">
        <v>2899</v>
      </c>
      <c r="E115" s="10" t="s">
        <v>2900</v>
      </c>
      <c r="G115" s="6" t="str">
        <f>IFERROR(__xludf.DUMMYFUNCTION("GOOGLETRANSLATE(A115, ""en"", ""id"")"),"114")</f>
        <v>114</v>
      </c>
      <c r="H115" s="6" t="str">
        <f>IFERROR(__xludf.DUMMYFUNCTION("GOOGLETRANSLATE(B115, ""en"", ""id"")"),"Demonstrasi silat dimasukkan ke dalam pameran era kolonial untuk melambangkan apa?")</f>
        <v>Demonstrasi silat dimasukkan ke dalam pameran era kolonial untuk melambangkan apa?</v>
      </c>
      <c r="I115" s="6" t="str">
        <f>IFERROR(__xludf.DUMMYFUNCTION("GOOGLETRANSLATE(C115, ""en"", ""id"")"),"A) Eksotisme B) Perlawanan C) Persatuan D) Kekayaan")</f>
        <v>A) Eksotisme B) Perlawanan C) Persatuan D) Kekayaan</v>
      </c>
      <c r="J115" s="6" t="str">
        <f>IFERROR(__xludf.DUMMYFUNCTION("GOOGLETRANSLATE(D115, ""en"", ""id"")"),"A) Eksotisme")</f>
        <v>A) Eksotisme</v>
      </c>
      <c r="K115" s="6" t="str">
        <f>IFERROR(__xludf.DUMMYFUNCTION("GOOGLETRANSLATE(E115, ""en"", ""id"")"),"Belanda mementaskan Silat sebagai “tontonan asli” untuk penonton Barat.")</f>
        <v>Belanda mementaskan Silat sebagai “tontonan asli” untuk penonton Barat.</v>
      </c>
    </row>
    <row r="116">
      <c r="A116" s="5">
        <v>115.0</v>
      </c>
      <c r="B116" s="10" t="s">
        <v>2901</v>
      </c>
      <c r="C116" s="10" t="s">
        <v>2902</v>
      </c>
      <c r="D116" s="10" t="s">
        <v>2903</v>
      </c>
      <c r="E116" s="10" t="s">
        <v>2904</v>
      </c>
      <c r="G116" s="6" t="str">
        <f>IFERROR(__xludf.DUMMYFUNCTION("GOOGLETRANSLATE(A116, ""en"", ""id"")"),"115")</f>
        <v>115</v>
      </c>
      <c r="H116" s="6" t="str">
        <f>IFERROR(__xludf.DUMMYFUNCTION("GOOGLETRANSLATE(B116, ""en"", ""id"")"),"Komunitas diaspora Indonesia mana yang memperkenalkan Silat ke Belanda?")</f>
        <v>Komunitas diaspora Indonesia mana yang memperkenalkan Silat ke Belanda?</v>
      </c>
      <c r="I116" s="6" t="str">
        <f>IFERROR(__xludf.DUMMYFUNCTION("GOOGLETRANSLATE(C116, ""en"", ""id"")"),"A) Minangkabau B) Jawa C) Betawi D) Sunda")</f>
        <v>A) Minangkabau B) Jawa C) Betawi D) Sunda</v>
      </c>
      <c r="J116" s="6" t="str">
        <f>IFERROR(__xludf.DUMMYFUNCTION("GOOGLETRANSLATE(D116, ""en"", ""id"")"),"B) Bahasa Jawa")</f>
        <v>B) Bahasa Jawa</v>
      </c>
      <c r="K116" s="6" t="str">
        <f>IFERROR(__xludf.DUMMYFUNCTION("GOOGLETRANSLATE(E116, ""en"", ""id"")"),"Migran Jawa membawa Silat ke kota-kota Belanda setelah Perang Dunia II.")</f>
        <v>Migran Jawa membawa Silat ke kota-kota Belanda setelah Perang Dunia II.</v>
      </c>
    </row>
    <row r="117">
      <c r="A117" s="5">
        <v>116.0</v>
      </c>
      <c r="B117" s="10" t="s">
        <v>2905</v>
      </c>
      <c r="C117" s="10" t="s">
        <v>2906</v>
      </c>
      <c r="D117" s="10" t="s">
        <v>2907</v>
      </c>
      <c r="E117" s="10" t="s">
        <v>2908</v>
      </c>
      <c r="G117" s="6" t="str">
        <f>IFERROR(__xludf.DUMMYFUNCTION("GOOGLETRANSLATE(A117, ""en"", ""id"")"),"116")</f>
        <v>116</v>
      </c>
      <c r="H117" s="6" t="str">
        <f>IFERROR(__xludf.DUMMYFUNCTION("GOOGLETRANSLATE(B117, ""en"", ""id"")"),"Pemimpin kemerdekaan Indonesia manakah yang secara simbolis mengesahkan Silat sebagai kebanggaan budaya?")</f>
        <v>Pemimpin kemerdekaan Indonesia manakah yang secara simbolis mengesahkan Silat sebagai kebanggaan budaya?</v>
      </c>
      <c r="I117" s="6" t="str">
        <f>IFERROR(__xludf.DUMMYFUNCTION("GOOGLETRANSLATE(C117, ""en"", ""id"")"),"A) Sukarno B) Hatta C) Sjahrir D) Tan Malaka")</f>
        <v>A) Sukarno B) Hatta C) Sjahrir D) Tan Malaka</v>
      </c>
      <c r="J117" s="6" t="str">
        <f>IFERROR(__xludf.DUMMYFUNCTION("GOOGLETRANSLATE(D117, ""en"", ""id"")"),"A) Sukarno")</f>
        <v>A) Sukarno</v>
      </c>
      <c r="K117" s="6" t="str">
        <f>IFERROR(__xludf.DUMMYFUNCTION("GOOGLETRANSLATE(E117, ""en"", ""id"")"),"Sukarno mendorong identitas nasional melalui tradisi bela diri termasuk Silat.")</f>
        <v>Sukarno mendorong identitas nasional melalui tradisi bela diri termasuk Silat.</v>
      </c>
    </row>
    <row r="118">
      <c r="A118" s="5">
        <v>117.0</v>
      </c>
      <c r="B118" s="10" t="s">
        <v>2909</v>
      </c>
      <c r="C118" s="10" t="s">
        <v>2910</v>
      </c>
      <c r="D118" s="10" t="s">
        <v>2911</v>
      </c>
      <c r="E118" s="10" t="s">
        <v>2912</v>
      </c>
      <c r="G118" s="6" t="str">
        <f>IFERROR(__xludf.DUMMYFUNCTION("GOOGLETRANSLATE(A118, ""en"", ""id"")"),"117")</f>
        <v>117</v>
      </c>
      <c r="H118" s="6" t="str">
        <f>IFERROR(__xludf.DUMMYFUNCTION("GOOGLETRANSLATE(B118, ""en"", ""id"")"),"Teks abad ke-17 manakah dari Malaka yang menggambarkan duel Silat?")</f>
        <v>Teks abad ke-17 manakah dari Malaka yang menggambarkan duel Silat?</v>
      </c>
      <c r="I118" s="6" t="str">
        <f>IFERROR(__xludf.DUMMYFUNCTION("GOOGLETRANSLATE(C118, ""en"", ""id"")"),"A) Hikayat Hang Tuah B) Sejarah Melayu C) Hikayat Abdullah D) Hikayat Aceh")</f>
        <v>A) Hikayat Hang Tuah B) Sejarah Melayu C) Hikayat Abdullah D) Hikayat Aceh</v>
      </c>
      <c r="J118" s="6" t="str">
        <f>IFERROR(__xludf.DUMMYFUNCTION("GOOGLETRANSLATE(D118, ""en"", ""id"")"),"B) Sejarah Melayu")</f>
        <v>B) Sejarah Melayu</v>
      </c>
      <c r="K118" s="6" t="str">
        <f>IFERROR(__xludf.DUMMYFUNCTION("GOOGLETRANSLATE(E118, ""en"", ""id"")"),"Malay Annals menceritakan kembali pertarungan para pendekar yang memperlihatkan Silat awal.")</f>
        <v>Malay Annals menceritakan kembali pertarungan para pendekar yang memperlihatkan Silat awal.</v>
      </c>
    </row>
    <row r="119">
      <c r="A119" s="5">
        <v>118.0</v>
      </c>
      <c r="B119" s="10" t="s">
        <v>2913</v>
      </c>
      <c r="C119" s="10" t="s">
        <v>2914</v>
      </c>
      <c r="D119" s="10" t="s">
        <v>2915</v>
      </c>
      <c r="E119" s="10" t="s">
        <v>2916</v>
      </c>
      <c r="G119" s="6" t="str">
        <f>IFERROR(__xludf.DUMMYFUNCTION("GOOGLETRANSLATE(A119, ""en"", ""id"")"),"118")</f>
        <v>118</v>
      </c>
      <c r="H119" s="6" t="str">
        <f>IFERROR(__xludf.DUMMYFUNCTION("GOOGLETRANSLATE(B119, ""en"", ""id"")"),"Perguruan silat Betawi manakah yang terkenal di Jakarta pada awal abad ke-20?")</f>
        <v>Perguruan silat Betawi manakah yang terkenal di Jakarta pada awal abad ke-20?</v>
      </c>
      <c r="I119" s="6" t="str">
        <f>IFERROR(__xludf.DUMMYFUNCTION("GOOGLETRANSLATE(C119, ""en"", ""id"")"),"A) Padepokan Cingkrik B) Serak Institut C) Satria Nusantara D) Setia Hati")</f>
        <v>A) Padepokan Cingkrik B) Serak Institut C) Satria Nusantara D) Setia Hati</v>
      </c>
      <c r="J119" s="6" t="str">
        <f>IFERROR(__xludf.DUMMYFUNCTION("GOOGLETRANSLATE(D119, ""en"", ""id"")"),"A) Padepokan Cingkrik")</f>
        <v>A) Padepokan Cingkrik</v>
      </c>
      <c r="K119" s="6" t="str">
        <f>IFERROR(__xludf.DUMMYFUNCTION("GOOGLETRANSLATE(E119, ""en"", ""id"")"),"Sekolah Cingkrik tumbuh subur di masyarakat Betawi perkotaan.")</f>
        <v>Sekolah Cingkrik tumbuh subur di masyarakat Betawi perkotaan.</v>
      </c>
    </row>
    <row r="120">
      <c r="A120" s="5">
        <v>119.0</v>
      </c>
      <c r="B120" s="10" t="s">
        <v>2917</v>
      </c>
      <c r="C120" s="10" t="s">
        <v>2918</v>
      </c>
      <c r="D120" s="10" t="s">
        <v>2919</v>
      </c>
      <c r="E120" s="10" t="s">
        <v>2920</v>
      </c>
      <c r="G120" s="6" t="str">
        <f>IFERROR(__xludf.DUMMYFUNCTION("GOOGLETRANSLATE(A120, ""en"", ""id"")"),"119")</f>
        <v>119</v>
      </c>
      <c r="H120" s="6" t="str">
        <f>IFERROR(__xludf.DUMMYFUNCTION("GOOGLETRANSLATE(B120, ""en"", ""id"")"),"Perang Indonesia manakah setelah Perang Dunia II yang menampilkan Silat dalam pertahanan desa?")</f>
        <v>Perang Indonesia manakah setelah Perang Dunia II yang menampilkan Silat dalam pertahanan desa?</v>
      </c>
      <c r="I120" s="6" t="str">
        <f>IFERROR(__xludf.DUMMYFUNCTION("GOOGLETRANSLATE(C120, ""en"", ""id"")"),"A) Perang Kemerdekaan (1945–49) B) Perang Korea C) Darurat Malaya D) Pemberontakan PRRI")</f>
        <v>A) Perang Kemerdekaan (1945–49) B) Perang Korea C) Darurat Malaya D) Pemberontakan PRRI</v>
      </c>
      <c r="J120" s="6" t="str">
        <f>IFERROR(__xludf.DUMMYFUNCTION("GOOGLETRANSLATE(D120, ""en"", ""id"")"),"A) Perang Kemerdekaan (1945–49)")</f>
        <v>A) Perang Kemerdekaan (1945–49)</v>
      </c>
      <c r="K120" s="6" t="str">
        <f>IFERROR(__xludf.DUMMYFUNCTION("GOOGLETRANSLATE(E120, ""en"", ""id"")"),"Penduduk desa yang terlatih dalam Silat mendukung para pejuang kemerdekaan.")</f>
        <v>Penduduk desa yang terlatih dalam Silat mendukung para pejuang kemerdekaan.</v>
      </c>
    </row>
    <row r="121">
      <c r="A121" s="5">
        <v>120.0</v>
      </c>
      <c r="B121" s="10" t="s">
        <v>2921</v>
      </c>
      <c r="C121" s="10" t="s">
        <v>2922</v>
      </c>
      <c r="D121" s="10" t="s">
        <v>2923</v>
      </c>
      <c r="E121" s="10" t="s">
        <v>2924</v>
      </c>
      <c r="G121" s="6" t="str">
        <f>IFERROR(__xludf.DUMMYFUNCTION("GOOGLETRANSLATE(A121, ""en"", ""id"")"),"120")</f>
        <v>120</v>
      </c>
      <c r="H121" s="6" t="str">
        <f>IFERROR(__xludf.DUMMYFUNCTION("GOOGLETRANSLATE(B121, ""en"", ""id"")"),"Novel kolonial Belanda manakah yang mengasingkan Silat sebagai “seni Melayu yang penuh kekerasan”?")</f>
        <v>Novel kolonial Belanda manakah yang mengasingkan Silat sebagai “seni Melayu yang penuh kekerasan”?</v>
      </c>
      <c r="I121" s="6" t="str">
        <f>IFERROR(__xludf.DUMMYFUNCTION("GOOGLETRANSLATE(C121, ""en"", ""id"")"),"A) Max Havelaar B) Surat Multatuli C) De Stille Kracht D) Oeroeg")</f>
        <v>A) Max Havelaar B) Surat Multatuli C) De Stille Kracht D) Oeroeg</v>
      </c>
      <c r="J121" s="6" t="str">
        <f>IFERROR(__xludf.DUMMYFUNCTION("GOOGLETRANSLATE(D121, ""en"", ""id"")"),"C) De Stille Kracht")</f>
        <v>C) De Stille Kracht</v>
      </c>
      <c r="K121" s="6" t="str">
        <f>IFERROR(__xludf.DUMMYFUNCTION("GOOGLETRANSLATE(E121, ""en"", ""id"")"),"Novel Couperus membingkai Silat sebagai bagian dari kekerasan mistis.")</f>
        <v>Novel Couperus membingkai Silat sebagai bagian dari kekerasan mistis.</v>
      </c>
    </row>
    <row r="122">
      <c r="A122" s="5">
        <v>121.0</v>
      </c>
      <c r="B122" s="10" t="s">
        <v>2925</v>
      </c>
      <c r="C122" s="10" t="s">
        <v>2926</v>
      </c>
      <c r="D122" s="10" t="s">
        <v>2927</v>
      </c>
      <c r="E122" s="10" t="s">
        <v>2928</v>
      </c>
      <c r="G122" s="6" t="str">
        <f>IFERROR(__xludf.DUMMYFUNCTION("GOOGLETRANSLATE(A122, ""en"", ""id"")"),"121")</f>
        <v>121</v>
      </c>
      <c r="H122" s="6" t="str">
        <f>IFERROR(__xludf.DUMMYFUNCTION("GOOGLETRANSLATE(B122, ""en"", ""id"")"),"Di Bali, Silat dipadukan dengan pertunjukan ritual adat apa?")</f>
        <v>Di Bali, Silat dipadukan dengan pertunjukan ritual adat apa?</v>
      </c>
      <c r="I122" s="6" t="str">
        <f>IFERROR(__xludf.DUMMYFUNCTION("GOOGLETRANSLATE(C122, ""en"", ""id"")"),"A) Barong B) Kecak C) Sanghyang D) Wayang Wong")</f>
        <v>A) Barong B) Kecak C) Sanghyang D) Wayang Wong</v>
      </c>
      <c r="J122" s="6" t="str">
        <f>IFERROR(__xludf.DUMMYFUNCTION("GOOGLETRANSLATE(D122, ""en"", ""id"")"),"A) Barong")</f>
        <v>A) Barong</v>
      </c>
      <c r="K122" s="6" t="str">
        <f>IFERROR(__xludf.DUMMYFUNCTION("GOOGLETRANSLATE(E122, ""en"", ""id"")"),"Tari Barong memasukkan adegan pertarungan ala Silat.")</f>
        <v>Tari Barong memasukkan adegan pertarungan ala Silat.</v>
      </c>
    </row>
    <row r="123">
      <c r="A123" s="5">
        <v>122.0</v>
      </c>
      <c r="B123" s="10" t="s">
        <v>2929</v>
      </c>
      <c r="C123" s="10" t="s">
        <v>2930</v>
      </c>
      <c r="D123" s="10" t="s">
        <v>2931</v>
      </c>
      <c r="E123" s="10" t="s">
        <v>2932</v>
      </c>
      <c r="G123" s="6" t="str">
        <f>IFERROR(__xludf.DUMMYFUNCTION("GOOGLETRANSLATE(A123, ""en"", ""id"")"),"122")</f>
        <v>122</v>
      </c>
      <c r="H123" s="6" t="str">
        <f>IFERROR(__xludf.DUMMYFUNCTION("GOOGLETRANSLATE(B123, ""en"", ""id"")"),"Sultan Aceh abad ke-15 manakah yang mendukung Silat sebagai latihan istana?")</f>
        <v>Sultan Aceh abad ke-15 manakah yang mendukung Silat sebagai latihan istana?</v>
      </c>
      <c r="I123" s="6" t="str">
        <f>IFERROR(__xludf.DUMMYFUNCTION("GOOGLETRANSLATE(C123, ""en"", ""id"")"),"A) Sultan Alauddin Riayat B) Sultan Iskandar Muda C) Sultan Ali Mughayat D) Sultan Zainal Abidin")</f>
        <v>A) Sultan Alauddin Riayat B) Sultan Iskandar Muda C) Sultan Ali Mughayat D) Sultan Zainal Abidin</v>
      </c>
      <c r="J123" s="6" t="str">
        <f>IFERROR(__xludf.DUMMYFUNCTION("GOOGLETRANSLATE(D123, ""en"", ""id"")"),"B) Sultan Iskandar Muda")</f>
        <v>B) Sultan Iskandar Muda</v>
      </c>
      <c r="K123" s="6" t="str">
        <f>IFERROR(__xludf.DUMMYFUNCTION("GOOGLETRANSLATE(E123, ""en"", ""id"")"),"Istananya melestarikan tradisi Silat sebagai latihan bela diri.")</f>
        <v>Istananya melestarikan tradisi Silat sebagai latihan bela diri.</v>
      </c>
    </row>
    <row r="124">
      <c r="A124" s="5">
        <v>123.0</v>
      </c>
      <c r="B124" s="10" t="s">
        <v>2933</v>
      </c>
      <c r="C124" s="10" t="s">
        <v>2934</v>
      </c>
      <c r="D124" s="10" t="s">
        <v>2935</v>
      </c>
      <c r="E124" s="10" t="s">
        <v>2936</v>
      </c>
      <c r="G124" s="6" t="str">
        <f>IFERROR(__xludf.DUMMYFUNCTION("GOOGLETRANSLATE(A124, ""en"", ""id"")"),"123")</f>
        <v>123</v>
      </c>
      <c r="H124" s="6" t="str">
        <f>IFERROR(__xludf.DUMMYFUNCTION("GOOGLETRANSLATE(B124, ""en"", ""id"")"),"Orang Belanda menyebut praktisi Silat sebagai “vechtdansers,” yang artinya apa?")</f>
        <v>Orang Belanda menyebut praktisi Silat sebagai “vechtdansers,” yang artinya apa?</v>
      </c>
      <c r="I124" s="6" t="str">
        <f>IFERROR(__xludf.DUMMYFUNCTION("GOOGLETRANSLATE(C124, ""en"", ""id"")"),"A) Penari pertempuran B) Petarung agresif C) Pegulat desa D) Biksu pengembara")</f>
        <v>A) Penari pertempuran B) Petarung agresif C) Pegulat desa D) Biksu pengembara</v>
      </c>
      <c r="J124" s="6" t="str">
        <f>IFERROR(__xludf.DUMMYFUNCTION("GOOGLETRANSLATE(D124, ""en"", ""id"")"),"A) Penari pertempuran")</f>
        <v>A) Penari pertempuran</v>
      </c>
      <c r="K124" s="6" t="str">
        <f>IFERROR(__xludf.DUMMYFUNCTION("GOOGLETRANSLATE(E124, ""en"", ""id"")"),"Mereka salah mengartikan pertarungan silat sebagai tarian.")</f>
        <v>Mereka salah mengartikan pertarungan silat sebagai tarian.</v>
      </c>
    </row>
    <row r="125">
      <c r="A125" s="5">
        <v>124.0</v>
      </c>
      <c r="B125" s="10" t="s">
        <v>2937</v>
      </c>
      <c r="C125" s="10" t="s">
        <v>2938</v>
      </c>
      <c r="D125" s="10" t="s">
        <v>2939</v>
      </c>
      <c r="E125" s="10" t="s">
        <v>2940</v>
      </c>
      <c r="G125" s="6" t="str">
        <f>IFERROR(__xludf.DUMMYFUNCTION("GOOGLETRANSLATE(A125, ""en"", ""id"")"),"124")</f>
        <v>124</v>
      </c>
      <c r="H125" s="6" t="str">
        <f>IFERROR(__xludf.DUMMYFUNCTION("GOOGLETRANSLATE(B125, ""en"", ""id"")"),"Raja Indonesia manakah yang mengintegrasikan silat ke dalam latihan militer kerajaan Mataram di Jawa?")</f>
        <v>Raja Indonesia manakah yang mengintegrasikan silat ke dalam latihan militer kerajaan Mataram di Jawa?</v>
      </c>
      <c r="I125" s="6" t="str">
        <f>IFERROR(__xludf.DUMMYFUNCTION("GOOGLETRANSLATE(C125, ""en"", ""id"")"),"A) Sultan Agung B) Amangkurat I C) Panembahan Senopati D) Pakubuwono II")</f>
        <v>A) Sultan Agung B) Amangkurat I C) Panembahan Senopati D) Pakubuwono II</v>
      </c>
      <c r="J125" s="6" t="str">
        <f>IFERROR(__xludf.DUMMYFUNCTION("GOOGLETRANSLATE(D125, ""en"", ""id"")"),"A) Sultan Agung")</f>
        <v>A) Sultan Agung</v>
      </c>
      <c r="K125" s="6" t="str">
        <f>IFERROR(__xludf.DUMMYFUNCTION("GOOGLETRANSLATE(E125, ""en"", ""id"")"),"Penguasa abad ke-17 menghargai Silat bagi pasukannya.")</f>
        <v>Penguasa abad ke-17 menghargai Silat bagi pasukannya.</v>
      </c>
    </row>
    <row r="126">
      <c r="A126" s="5">
        <v>125.0</v>
      </c>
      <c r="B126" s="10" t="s">
        <v>2941</v>
      </c>
      <c r="C126" s="10" t="s">
        <v>2942</v>
      </c>
      <c r="D126" s="10" t="s">
        <v>2943</v>
      </c>
      <c r="E126" s="10" t="s">
        <v>2944</v>
      </c>
      <c r="G126" s="6" t="str">
        <f>IFERROR(__xludf.DUMMYFUNCTION("GOOGLETRANSLATE(A126, ""en"", ""id"")"),"125")</f>
        <v>125</v>
      </c>
      <c r="H126" s="6" t="str">
        <f>IFERROR(__xludf.DUMMYFUNCTION("GOOGLETRANSLATE(B126, ""en"", ""id"")"),"Di Sumatera Barat, aliran silat secara tradisional diberi nama berdasarkan apa?")</f>
        <v>Di Sumatera Barat, aliran silat secara tradisional diberi nama berdasarkan apa?</v>
      </c>
      <c r="I126" s="6" t="str">
        <f>IFERROR(__xludf.DUMMYFUNCTION("GOOGLETRANSLATE(C126, ""en"", ""id"")"),"A) Hewan B) Sungai C) Desa D) Guru leluhur")</f>
        <v>A) Hewan B) Sungai C) Desa D) Guru leluhur</v>
      </c>
      <c r="J126" s="6" t="str">
        <f>IFERROR(__xludf.DUMMYFUNCTION("GOOGLETRANSLATE(D126, ""en"", ""id"")"),"D) Guru leluhur")</f>
        <v>D) Guru leluhur</v>
      </c>
      <c r="K126" s="6" t="str">
        <f>IFERROR(__xludf.DUMMYFUNCTION("GOOGLETRANSLATE(E126, ""en"", ""id"")"),"Gaya-gaya tersebut membawa garis keturunan para master.")</f>
        <v>Gaya-gaya tersebut membawa garis keturunan para master.</v>
      </c>
    </row>
    <row r="127">
      <c r="A127" s="5">
        <v>126.0</v>
      </c>
      <c r="B127" s="10" t="s">
        <v>2945</v>
      </c>
      <c r="C127" s="10" t="s">
        <v>2946</v>
      </c>
      <c r="D127" s="10" t="s">
        <v>2947</v>
      </c>
      <c r="E127" s="10" t="s">
        <v>2948</v>
      </c>
      <c r="G127" s="6" t="str">
        <f>IFERROR(__xludf.DUMMYFUNCTION("GOOGLETRANSLATE(A127, ""en"", ""id"")"),"126")</f>
        <v>126</v>
      </c>
      <c r="H127" s="6" t="str">
        <f>IFERROR(__xludf.DUMMYFUNCTION("GOOGLETRANSLATE(B127, ""en"", ""id"")"),"Penyair nasionalis Indonesia mana yang menulis tentang simbolisme Silat?")</f>
        <v>Penyair nasionalis Indonesia mana yang menulis tentang simbolisme Silat?</v>
      </c>
      <c r="I127" s="6" t="str">
        <f>IFERROR(__xludf.DUMMYFUNCTION("GOOGLETRANSLATE(C127, ""en"", ""id"")"),"A) Chairil Anwar B) Amir Hamzah C) WS Rendra D) Sutardji Calzoum Bachri")</f>
        <v>A) Chairil Anwar B) Amir Hamzah C) WS Rendra D) Sutardji Calzoum Bachri</v>
      </c>
      <c r="J127" s="6" t="str">
        <f>IFERROR(__xludf.DUMMYFUNCTION("GOOGLETRANSLATE(D127, ""en"", ""id"")"),"B) Amir Hamzah")</f>
        <v>B) Amir Hamzah</v>
      </c>
      <c r="K127" s="6" t="str">
        <f>IFERROR(__xludf.DUMMYFUNCTION("GOOGLETRANSLATE(E127, ""en"", ""id"")"),"Karya-karyanya mengacu pada metafora bela diri termasuk Silat.")</f>
        <v>Karya-karyanya mengacu pada metafora bela diri termasuk Silat.</v>
      </c>
    </row>
    <row r="128">
      <c r="A128" s="5">
        <v>127.0</v>
      </c>
      <c r="B128" s="10" t="s">
        <v>2949</v>
      </c>
      <c r="C128" s="10" t="s">
        <v>2950</v>
      </c>
      <c r="D128" s="10" t="s">
        <v>2951</v>
      </c>
      <c r="E128" s="10" t="s">
        <v>2952</v>
      </c>
      <c r="G128" s="6" t="str">
        <f>IFERROR(__xludf.DUMMYFUNCTION("GOOGLETRANSLATE(A128, ""en"", ""id"")"),"127")</f>
        <v>127</v>
      </c>
      <c r="H128" s="6" t="str">
        <f>IFERROR(__xludf.DUMMYFUNCTION("GOOGLETRANSLATE(B128, ""en"", ""id"")"),"Hari raya Islam manakah yang sering menampilkan pertunjukkan silat di pedesaan Jawa?")</f>
        <v>Hari raya Islam manakah yang sering menampilkan pertunjukkan silat di pedesaan Jawa?</v>
      </c>
      <c r="I128" s="6" t="str">
        <f>IFERROR(__xludf.DUMMYFUNCTION("GOOGLETRANSLATE(C128, ""en"", ""id"")"),"A) Idul Fitri B) Idul Adha C) Maulid Nabi D) Isra Mi'raj")</f>
        <v>A) Idul Fitri B) Idul Adha C) Maulid Nabi D) Isra Mi'raj</v>
      </c>
      <c r="J128" s="6" t="str">
        <f>IFERROR(__xludf.DUMMYFUNCTION("GOOGLETRANSLATE(D128, ""en"", ""id"")"),"C) Maulid Nabi")</f>
        <v>C) Maulid Nabi</v>
      </c>
      <c r="K128" s="6" t="str">
        <f>IFERROR(__xludf.DUMMYFUNCTION("GOOGLETRANSLATE(E128, ""en"", ""id"")"),"Perayaan maulid Nabi Muhammad SAW menonjolkan silat sebagai ekspresi budaya.")</f>
        <v>Perayaan maulid Nabi Muhammad SAW menonjolkan silat sebagai ekspresi budaya.</v>
      </c>
    </row>
    <row r="129">
      <c r="A129" s="5">
        <v>128.0</v>
      </c>
      <c r="B129" s="10" t="s">
        <v>2953</v>
      </c>
      <c r="C129" s="10" t="s">
        <v>2954</v>
      </c>
      <c r="D129" s="10" t="s">
        <v>2955</v>
      </c>
      <c r="E129" s="10" t="s">
        <v>2956</v>
      </c>
      <c r="G129" s="6" t="str">
        <f>IFERROR(__xludf.DUMMYFUNCTION("GOOGLETRANSLATE(A129, ""en"", ""id"")"),"128")</f>
        <v>128</v>
      </c>
      <c r="H129" s="6" t="str">
        <f>IFERROR(__xludf.DUMMYFUNCTION("GOOGLETRANSLATE(B129, ""en"", ""id"")"),"Arsip kolonial manakah yang menyimpan foto-foto awal pertarungan silat?")</f>
        <v>Arsip kolonial manakah yang menyimpan foto-foto awal pertarungan silat?</v>
      </c>
      <c r="I129" s="6" t="str">
        <f>IFERROR(__xludf.DUMMYFUNCTION("GOOGLETRANSLATE(C129, ""en"", ""id"")"),"A) KITLV (Leiden) B) Perpustakaan Inggris C) Arsip Paris D) Smithsonian")</f>
        <v>A) KITLV (Leiden) B) Perpustakaan Inggris C) Arsip Paris D) Smithsonian</v>
      </c>
      <c r="J129" s="6" t="str">
        <f>IFERROR(__xludf.DUMMYFUNCTION("GOOGLETRANSLATE(D129, ""en"", ""id"")"),"A) KITLV (Leiden)")</f>
        <v>A) KITLV (Leiden)</v>
      </c>
      <c r="K129" s="6" t="str">
        <f>IFERROR(__xludf.DUMMYFUNCTION("GOOGLETRANSLATE(E129, ""en"", ""id"")"),"Para sarjana Belanda mendokumentasikan citra Silat dalam arsip KITLV.")</f>
        <v>Para sarjana Belanda mendokumentasikan citra Silat dalam arsip KITLV.</v>
      </c>
    </row>
    <row r="130">
      <c r="A130" s="5">
        <v>129.0</v>
      </c>
      <c r="B130" s="10" t="s">
        <v>2957</v>
      </c>
      <c r="C130" s="10" t="s">
        <v>2958</v>
      </c>
      <c r="D130" s="10" t="s">
        <v>2959</v>
      </c>
      <c r="E130" s="10" t="s">
        <v>2960</v>
      </c>
      <c r="G130" s="6" t="str">
        <f>IFERROR(__xludf.DUMMYFUNCTION("GOOGLETRANSLATE(A130, ""en"", ""id"")"),"129")</f>
        <v>129</v>
      </c>
      <c r="H130" s="6" t="str">
        <f>IFERROR(__xludf.DUMMYFUNCTION("GOOGLETRANSLATE(B130, ""en"", ""id"")"),"Sikap simbolis silat meniru binatang mencerminkan filosofi apa?")</f>
        <v>Sikap simbolis silat meniru binatang mencerminkan filosofi apa?</v>
      </c>
      <c r="I130" s="6" t="str">
        <f>IFERROR(__xludf.DUMMYFUNCTION("GOOGLETRANSLATE(C130, ""en"", ""id"")"),"A) Harmoni dengan alam B) Keunggulan C) Etika perang D) Meditasi")</f>
        <v>A) Harmoni dengan alam B) Keunggulan C) Etika perang D) Meditasi</v>
      </c>
      <c r="J130" s="6" t="str">
        <f>IFERROR(__xludf.DUMMYFUNCTION("GOOGLETRANSLATE(D130, ""en"", ""id"")"),"A) Harmoni dengan alam")</f>
        <v>A) Harmoni dengan alam</v>
      </c>
      <c r="K130" s="6" t="str">
        <f>IFERROR(__xludf.DUMMYFUNCTION("GOOGLETRANSLATE(E130, ""en"", ""id"")"),"Sikap yang terinspirasi dari hewan melambangkan keseimbangan ekologi.")</f>
        <v>Sikap yang terinspirasi dari hewan melambangkan keseimbangan ekologi.</v>
      </c>
    </row>
    <row r="131">
      <c r="A131" s="5">
        <v>130.0</v>
      </c>
      <c r="B131" s="10" t="s">
        <v>2961</v>
      </c>
      <c r="C131" s="10" t="s">
        <v>2962</v>
      </c>
      <c r="D131" s="10" t="s">
        <v>2963</v>
      </c>
      <c r="E131" s="10" t="s">
        <v>2964</v>
      </c>
      <c r="G131" s="6" t="str">
        <f>IFERROR(__xludf.DUMMYFUNCTION("GOOGLETRANSLATE(A131, ""en"", ""id"")"),"130")</f>
        <v>130</v>
      </c>
      <c r="H131" s="6" t="str">
        <f>IFERROR(__xludf.DUMMYFUNCTION("GOOGLETRANSLATE(B131, ""en"", ""id"")"),"Pemberontakan manakah di Banten yang melibatkan petani terlatih Silat pada tahun 1888?")</f>
        <v>Pemberontakan manakah di Banten yang melibatkan petani terlatih Silat pada tahun 1888?</v>
      </c>
      <c r="I131" s="6" t="str">
        <f>IFERROR(__xludf.DUMMYFUNCTION("GOOGLETRANSLATE(C131, ""en"", ""id"")"),"A) Pemberontakan Banten B) Perang Jawa C) Perang Diponegoro D) Pemberontakan Aceh")</f>
        <v>A) Pemberontakan Banten B) Perang Jawa C) Perang Diponegoro D) Pemberontakan Aceh</v>
      </c>
      <c r="J131" s="6" t="str">
        <f>IFERROR(__xludf.DUMMYFUNCTION("GOOGLETRANSLATE(D131, ""en"", ""id"")"),"A) Pemberontakan Banten")</f>
        <v>A) Pemberontakan Banten</v>
      </c>
      <c r="K131" s="6" t="str">
        <f>IFERROR(__xludf.DUMMYFUNCTION("GOOGLETRANSLATE(E131, ""en"", ""id"")"),"Pemberontakan petani menggunakan Silat melawan pemilik perkebunan Belanda.")</f>
        <v>Pemberontakan petani menggunakan Silat melawan pemilik perkebunan Belanda.</v>
      </c>
    </row>
    <row r="132">
      <c r="A132" s="5">
        <v>131.0</v>
      </c>
      <c r="B132" s="10" t="s">
        <v>2965</v>
      </c>
      <c r="C132" s="10" t="s">
        <v>2966</v>
      </c>
      <c r="D132" s="10" t="s">
        <v>2967</v>
      </c>
      <c r="E132" s="10" t="s">
        <v>2968</v>
      </c>
      <c r="G132" s="6" t="str">
        <f>IFERROR(__xludf.DUMMYFUNCTION("GOOGLETRANSLATE(A132, ""en"", ""id"")"),"131")</f>
        <v>131</v>
      </c>
      <c r="H132" s="6" t="str">
        <f>IFERROR(__xludf.DUMMYFUNCTION("GOOGLETRANSLATE(B132, ""en"", ""id"")"),"Di Surakarta, duel silat dipentaskan pada acara umum yang mana?")</f>
        <v>Di Surakarta, duel silat dipentaskan pada acara umum yang mana?</v>
      </c>
      <c r="I132" s="6" t="str">
        <f>IFERROR(__xludf.DUMMYFUNCTION("GOOGLETRANSLATE(C132, ""en"", ""id"")"),"A) Upacara Grebeg B) Perayaan Sekaten C) Peringatan Hari Ulang Tahun Keraton D) Panen Padi")</f>
        <v>A) Upacara Grebeg B) Perayaan Sekaten C) Peringatan Hari Ulang Tahun Keraton D) Panen Padi</v>
      </c>
      <c r="J132" s="6" t="str">
        <f>IFERROR(__xludf.DUMMYFUNCTION("GOOGLETRANSLATE(D132, ""en"", ""id"")"),"B) Pekan Raya Sekaten")</f>
        <v>B) Pekan Raya Sekaten</v>
      </c>
      <c r="K132" s="6" t="str">
        <f>IFERROR(__xludf.DUMMYFUNCTION("GOOGLETRANSLATE(E132, ""en"", ""id"")"),"Pameran budaya mencakup kontes bela diri.")</f>
        <v>Pameran budaya mencakup kontes bela diri.</v>
      </c>
    </row>
    <row r="133">
      <c r="A133" s="5">
        <v>132.0</v>
      </c>
      <c r="B133" s="10" t="s">
        <v>2969</v>
      </c>
      <c r="C133" s="10" t="s">
        <v>2970</v>
      </c>
      <c r="D133" s="10" t="s">
        <v>2971</v>
      </c>
      <c r="E133" s="10" t="s">
        <v>2972</v>
      </c>
      <c r="G133" s="6" t="str">
        <f>IFERROR(__xludf.DUMMYFUNCTION("GOOGLETRANSLATE(A133, ""en"", ""id"")"),"132")</f>
        <v>132</v>
      </c>
      <c r="H133" s="6" t="str">
        <f>IFERROR(__xludf.DUMMYFUNCTION("GOOGLETRANSLATE(B133, ""en"", ""id"")"),"Teks abad ke-17 dari Aceh manakah yang mengandung metafora menyerupai latihan Silat?")</f>
        <v>Teks abad ke-17 dari Aceh manakah yang mengandung metafora menyerupai latihan Silat?</v>
      </c>
      <c r="I133" s="6" t="str">
        <f>IFERROR(__xludf.DUMMYFUNCTION("GOOGLETRANSLATE(C133, ""en"", ""id"")"),"A) Bustan al-Salatin B) Hikayat Aceh C) Taj us-Salatin D) Mir’at al-Tullab")</f>
        <v>A) Bustan al-Salatin B) Hikayat Aceh C) Taj us-Salatin D) Mir’at al-Tullab</v>
      </c>
      <c r="J133" s="6" t="str">
        <f>IFERROR(__xludf.DUMMYFUNCTION("GOOGLETRANSLATE(D133, ""en"", ""id"")"),"A) Bustan al-Salatin")</f>
        <v>A) Bustan al-Salatin</v>
      </c>
      <c r="K133" s="6" t="str">
        <f>IFERROR(__xludf.DUMMYFUNCTION("GOOGLETRANSLATE(E133, ""en"", ""id"")"),"“Taman Para Raja” mencerminkan nilai-nilai bela diri yang mirip dengan Silat.")</f>
        <v>“Taman Para Raja” mencerminkan nilai-nilai bela diri yang mirip dengan Silat.</v>
      </c>
    </row>
    <row r="134">
      <c r="A134" s="5">
        <v>133.0</v>
      </c>
      <c r="B134" s="10" t="s">
        <v>2973</v>
      </c>
      <c r="C134" s="10" t="s">
        <v>2974</v>
      </c>
      <c r="D134" s="10" t="s">
        <v>2975</v>
      </c>
      <c r="E134" s="10" t="s">
        <v>2976</v>
      </c>
      <c r="G134" s="6" t="str">
        <f>IFERROR(__xludf.DUMMYFUNCTION("GOOGLETRANSLATE(A134, ""en"", ""id"")"),"133")</f>
        <v>133</v>
      </c>
      <c r="H134" s="6" t="str">
        <f>IFERROR(__xludf.DUMMYFUNCTION("GOOGLETRANSLATE(B134, ""en"", ""id"")"),"Pada masa penjajahan, guru silat sering merangkap jabatan sebagai apa?")</f>
        <v>Pada masa penjajahan, guru silat sering merangkap jabatan sebagai apa?</v>
      </c>
      <c r="I134" s="6" t="str">
        <f>IFERROR(__xludf.DUMMYFUNCTION("GOOGLETRANSLATE(C134, ""en"", ""id"")"),"A) Penyembuh B) Pedagang C) Petani D) Tukang kayu")</f>
        <v>A) Penyembuh B) Pedagang C) Petani D) Tukang kayu</v>
      </c>
      <c r="J134" s="6" t="str">
        <f>IFERROR(__xludf.DUMMYFUNCTION("GOOGLETRANSLATE(D134, ""en"", ""id"")"),"A) Penyembuh")</f>
        <v>A) Penyembuh</v>
      </c>
      <c r="K134" s="6" t="str">
        <f>IFERROR(__xludf.DUMMYFUNCTION("GOOGLETRANSLATE(E134, ""en"", ""id"")"),"Para master menggabungkan peran bela diri dan pengobatan.")</f>
        <v>Para master menggabungkan peran bela diri dan pengobatan.</v>
      </c>
    </row>
    <row r="135">
      <c r="A135" s="5">
        <v>134.0</v>
      </c>
      <c r="B135" s="10" t="s">
        <v>2977</v>
      </c>
      <c r="C135" s="10" t="s">
        <v>2978</v>
      </c>
      <c r="D135" s="10" t="s">
        <v>2979</v>
      </c>
      <c r="E135" s="10" t="s">
        <v>2980</v>
      </c>
      <c r="G135" s="6" t="str">
        <f>IFERROR(__xludf.DUMMYFUNCTION("GOOGLETRANSLATE(A135, ""en"", ""id"")"),"134")</f>
        <v>134</v>
      </c>
      <c r="H135" s="6" t="str">
        <f>IFERROR(__xludf.DUMMYFUNCTION("GOOGLETRANSLATE(B135, ""en"", ""id"")"),"Diaspora Minangkabau membawa Silat ke negara seberang laut manakah pada abad ke-19?")</f>
        <v>Diaspora Minangkabau membawa Silat ke negara seberang laut manakah pada abad ke-19?</v>
      </c>
      <c r="I135" s="6" t="str">
        <f>IFERROR(__xludf.DUMMYFUNCTION("GOOGLETRANSLATE(C135, ""en"", ""id"")"),"A) Singapura B) Madagaskar C) Afrika Selatan D) Sri Lanka")</f>
        <v>A) Singapura B) Madagaskar C) Afrika Selatan D) Sri Lanka</v>
      </c>
      <c r="J135" s="6" t="str">
        <f>IFERROR(__xludf.DUMMYFUNCTION("GOOGLETRANSLATE(D135, ""en"", ""id"")"),"C) Afrika Selatan")</f>
        <v>C) Afrika Selatan</v>
      </c>
      <c r="K135" s="6" t="str">
        <f>IFERROR(__xludf.DUMMYFUNCTION("GOOGLETRANSLATE(E135, ""en"", ""id"")"),"Para pendatang dari Minangkabau melestarikan Silat di komunitas Melayu Tanjung.")</f>
        <v>Para pendatang dari Minangkabau melestarikan Silat di komunitas Melayu Tanjung.</v>
      </c>
    </row>
    <row r="136">
      <c r="A136" s="5">
        <v>135.0</v>
      </c>
      <c r="B136" s="10" t="s">
        <v>2981</v>
      </c>
      <c r="C136" s="10" t="s">
        <v>2982</v>
      </c>
      <c r="D136" s="10" t="s">
        <v>2983</v>
      </c>
      <c r="E136" s="10" t="s">
        <v>2984</v>
      </c>
      <c r="G136" s="6" t="str">
        <f>IFERROR(__xludf.DUMMYFUNCTION("GOOGLETRANSLATE(A136, ""en"", ""id"")"),"135")</f>
        <v>135</v>
      </c>
      <c r="H136" s="6" t="str">
        <f>IFERROR(__xludf.DUMMYFUNCTION("GOOGLETRANSLATE(B136, ""en"", ""id"")"),"Novel Indonesia manakah pada tahun 1920-an yang menggambarkan Silat sebagai bagian dari pelatihan pemuda?")</f>
        <v>Novel Indonesia manakah pada tahun 1920-an yang menggambarkan Silat sebagai bagian dari pelatihan pemuda?</v>
      </c>
      <c r="I136" s="6" t="str">
        <f>IFERROR(__xludf.DUMMYFUNCTION("GOOGLETRANSLATE(C136, ""en"", ""id"")"),"A) Azab dan Sengsara B) Salah Asuhan C) Sitti Nurbaya D) Santri Hidjo")</f>
        <v>A) Azab dan Sengsara B) Salah Asuhan C) Sitti Nurbaya D) Santri Hidjo</v>
      </c>
      <c r="J136" s="6" t="str">
        <f>IFERROR(__xludf.DUMMYFUNCTION("GOOGLETRANSLATE(D136, ""en"", ""id"")"),"D) Mahasiswa Hidjo")</f>
        <v>D) Mahasiswa Hidjo</v>
      </c>
      <c r="K136" s="6" t="str">
        <f>IFERROR(__xludf.DUMMYFUNCTION("GOOGLETRANSLATE(E136, ""en"", ""id"")"),"Novel ini menggambarkan pemuda masa kini yang menekuni Silat.")</f>
        <v>Novel ini menggambarkan pemuda masa kini yang menekuni Silat.</v>
      </c>
    </row>
    <row r="137">
      <c r="A137" s="5">
        <v>136.0</v>
      </c>
      <c r="B137" s="10" t="s">
        <v>2985</v>
      </c>
      <c r="C137" s="10" t="s">
        <v>2986</v>
      </c>
      <c r="D137" s="10" t="s">
        <v>2987</v>
      </c>
      <c r="E137" s="10" t="s">
        <v>2988</v>
      </c>
      <c r="G137" s="6" t="str">
        <f>IFERROR(__xludf.DUMMYFUNCTION("GOOGLETRANSLATE(A137, ""en"", ""id"")"),"136")</f>
        <v>136</v>
      </c>
      <c r="H137" s="6" t="str">
        <f>IFERROR(__xludf.DUMMYFUNCTION("GOOGLETRANSLATE(B137, ""en"", ""id"")"),"Kesultanan Indonesia manakah yang menggunakan Silat untuk mempertahankan diri dari serangan Portugis di Maluku?")</f>
        <v>Kesultanan Indonesia manakah yang menggunakan Silat untuk mempertahankan diri dari serangan Portugis di Maluku?</v>
      </c>
      <c r="I137" s="6" t="str">
        <f>IFERROR(__xludf.DUMMYFUNCTION("GOOGLETRANSLATE(C137, ""en"", ""id"")"),"A) Ternate B) Tidore C) Bima D) Makassar")</f>
        <v>A) Ternate B) Tidore C) Bima D) Makassar</v>
      </c>
      <c r="J137" s="6" t="str">
        <f>IFERROR(__xludf.DUMMYFUNCTION("GOOGLETRANSLATE(D137, ""en"", ""id"")"),"A) Ternate")</f>
        <v>A) Ternate</v>
      </c>
      <c r="K137" s="6" t="str">
        <f>IFERROR(__xludf.DUMMYFUNCTION("GOOGLETRANSLATE(E137, ""en"", ""id"")"),"Para pejuang Ternate mengandalkan Silat dalam perjuangan anti-kolonial.")</f>
        <v>Para pejuang Ternate mengandalkan Silat dalam perjuangan anti-kolonial.</v>
      </c>
    </row>
    <row r="138">
      <c r="A138" s="5">
        <v>137.0</v>
      </c>
      <c r="B138" s="10" t="s">
        <v>2989</v>
      </c>
      <c r="C138" s="10" t="s">
        <v>2990</v>
      </c>
      <c r="D138" s="10" t="s">
        <v>2991</v>
      </c>
      <c r="E138" s="10" t="s">
        <v>2992</v>
      </c>
      <c r="G138" s="6" t="str">
        <f>IFERROR(__xludf.DUMMYFUNCTION("GOOGLETRANSLATE(A138, ""en"", ""id"")"),"137")</f>
        <v>137</v>
      </c>
      <c r="H138" s="6" t="str">
        <f>IFERROR(__xludf.DUMMYFUNCTION("GOOGLETRANSLATE(B138, ""en"", ""id"")"),"Ritual Minangkabau manakah yang secara tradisional menandai kesiapan seorang pemuda untuk mempelajari Silek secara formal?")</f>
        <v>Ritual Minangkabau manakah yang secara tradisional menandai kesiapan seorang pemuda untuk mempelajari Silek secara formal?</v>
      </c>
      <c r="I138" s="6" t="str">
        <f>IFERROR(__xludf.DUMMYFUNCTION("GOOGLETRANSLATE(C138, ""en"", ""id"")"),"A) Batagak Rumah B) Turun Ka Surau C) Manjapuik Marapulai D) Tabuik")</f>
        <v>A) Batagak Rumah B) Turun Ka Surau C) Manjapuik Marapulai D) Tabuik</v>
      </c>
      <c r="J138" s="6" t="str">
        <f>IFERROR(__xludf.DUMMYFUNCTION("GOOGLETRANSLATE(D138, ""en"", ""id"")"),"B) Turun Ka Surau")</f>
        <v>B) Turun Ka Surau</v>
      </c>
      <c r="K138" s="6" t="str">
        <f>IFERROR(__xludf.DUMMYFUNCTION("GOOGLETRANSLATE(E138, ""en"", ""id"")"),"“Turun ke surau” menandakan anak laki-laki memulai pembelajaran agama dan Silek di bawah bimbingan orang tua.")</f>
        <v>“Turun ke surau” menandakan anak laki-laki memulai pembelajaran agama dan Silek di bawah bimbingan orang tua.</v>
      </c>
    </row>
    <row r="139">
      <c r="A139" s="5">
        <v>138.0</v>
      </c>
      <c r="B139" s="10" t="s">
        <v>2993</v>
      </c>
      <c r="C139" s="10" t="s">
        <v>2994</v>
      </c>
      <c r="D139" s="10" t="s">
        <v>2995</v>
      </c>
      <c r="E139" s="10" t="s">
        <v>2996</v>
      </c>
      <c r="G139" s="6" t="str">
        <f>IFERROR(__xludf.DUMMYFUNCTION("GOOGLETRANSLATE(A139, ""en"", ""id"")"),"138")</f>
        <v>138</v>
      </c>
      <c r="H139" s="6" t="str">
        <f>IFERROR(__xludf.DUMMYFUNCTION("GOOGLETRANSLATE(B139, ""en"", ""id"")"),"Di Jawa Barat abad ke-19, kepala desa yang mensponsori sekolah Silat disebut apa?")</f>
        <v>Di Jawa Barat abad ke-19, kepala desa yang mensponsori sekolah Silat disebut apa?</v>
      </c>
      <c r="I139" s="6" t="str">
        <f>IFERROR(__xludf.DUMMYFUNCTION("GOOGLETRANSLATE(C139, ""en"", ""id"")"),"A) Demang B) Lurah C) Patih D) Wedana")</f>
        <v>A) Demang B) Lurah C) Patih D) Wedana</v>
      </c>
      <c r="J139" s="6" t="str">
        <f>IFERROR(__xludf.DUMMYFUNCTION("GOOGLETRANSLATE(D139, ""en"", ""id"")"),"B) Lurah")</f>
        <v>B) Lurah</v>
      </c>
      <c r="K139" s="6" t="str">
        <f>IFERROR(__xludf.DUMMYFUNCTION("GOOGLETRANSLATE(E139, ""en"", ""id"")"),"Lurah (kepala desa) sering kali mendukung padepokan untuk memperkuat pertahanan dan gengsi daerah.")</f>
        <v>Lurah (kepala desa) sering kali mendukung padepokan untuk memperkuat pertahanan dan gengsi daerah.</v>
      </c>
    </row>
    <row r="140">
      <c r="A140" s="5">
        <v>139.0</v>
      </c>
      <c r="B140" s="10" t="s">
        <v>2997</v>
      </c>
      <c r="C140" s="10" t="s">
        <v>2998</v>
      </c>
      <c r="D140" s="10" t="s">
        <v>2999</v>
      </c>
      <c r="E140" s="10" t="s">
        <v>3000</v>
      </c>
      <c r="G140" s="6" t="str">
        <f>IFERROR(__xludf.DUMMYFUNCTION("GOOGLETRANSLATE(A140, ""en"", ""id"")"),"139")</f>
        <v>139</v>
      </c>
      <c r="H140" s="6" t="str">
        <f>IFERROR(__xludf.DUMMYFUNCTION("GOOGLETRANSLATE(B140, ""en"", ""id"")"),"Persaudaraan maritim Makassar manakah yang turut menyebarkan Silat melalui jalur perdagangan Indonesia bagian timur?")</f>
        <v>Persaudaraan maritim Makassar manakah yang turut menyebarkan Silat melalui jalur perdagangan Indonesia bagian timur?</v>
      </c>
      <c r="I140" s="6" t="str">
        <f>IFERROR(__xludf.DUMMYFUNCTION("GOOGLETRANSLATE(C140, ""en"", ""id"")"),"A) Liga Wajo B) Persekutuan Karaeng C) Pelaut Passompe D) Orang Laut")</f>
        <v>A) Liga Wajo B) Persekutuan Karaeng C) Pelaut Passompe D) Orang Laut</v>
      </c>
      <c r="J140" s="6" t="str">
        <f>IFERROR(__xludf.DUMMYFUNCTION("GOOGLETRANSLATE(D140, ""en"", ""id"")"),"C) Pelaut Passompe")</f>
        <v>C) Pelaut Passompe</v>
      </c>
      <c r="K140" s="6" t="str">
        <f>IFERROR(__xludf.DUMMYFUNCTION("GOOGLETRANSLATE(E140, ""en"", ""id"")"),"Pelayar Passompe menyebarkan adat istiadat bela diri, termasuk praktik Silat, antar pelabuhan.")</f>
        <v>Pelayar Passompe menyebarkan adat istiadat bela diri, termasuk praktik Silat, antar pelabuhan.</v>
      </c>
    </row>
    <row r="141">
      <c r="A141" s="5">
        <v>140.0</v>
      </c>
      <c r="B141" s="10" t="s">
        <v>3001</v>
      </c>
      <c r="C141" s="10" t="s">
        <v>3002</v>
      </c>
      <c r="D141" s="10" t="s">
        <v>3003</v>
      </c>
      <c r="E141" s="10" t="s">
        <v>3004</v>
      </c>
      <c r="G141" s="6" t="str">
        <f>IFERROR(__xludf.DUMMYFUNCTION("GOOGLETRANSLATE(A141, ""en"", ""id"")"),"140")</f>
        <v>140</v>
      </c>
      <c r="H141" s="6" t="str">
        <f>IFERROR(__xludf.DUMMYFUNCTION("GOOGLETRANSLATE(B141, ""en"", ""id"")"),"Festival nasionalis awal abad ke-20 menampilkan Silat dan seni apa yang melambangkan persatuan?")</f>
        <v>Festival nasionalis awal abad ke-20 menampilkan Silat dan seni apa yang melambangkan persatuan?</v>
      </c>
      <c r="I141" s="6" t="str">
        <f>IFERROR(__xludf.DUMMYFUNCTION("GOOGLETRANSLATE(C141, ""en"", ""id"")"),"A) Wayang Kulit B) Gamelan C) Demo Batik D) Topeng")</f>
        <v>A) Wayang Kulit B) Gamelan C) Demo Batik D) Topeng</v>
      </c>
      <c r="J141" s="6" t="str">
        <f>IFERROR(__xludf.DUMMYFUNCTION("GOOGLETRANSLATE(D141, ""en"", ""id"")"),"B) Gamelan")</f>
        <v>B) Gamelan</v>
      </c>
      <c r="K141" s="6" t="str">
        <f>IFERROR(__xludf.DUMMYFUNCTION("GOOGLETRANSLATE(E141, ""en"", ""id"")"),"Memadukan Silat dengan pertunjukan gamelan menekankan kebangkitan budaya pada demonstrasi era kemerdekaan.")</f>
        <v>Memadukan Silat dengan pertunjukan gamelan menekankan kebangkitan budaya pada demonstrasi era kemerdekaan.</v>
      </c>
    </row>
    <row r="142">
      <c r="A142" s="5">
        <v>141.0</v>
      </c>
      <c r="B142" s="10" t="s">
        <v>3005</v>
      </c>
      <c r="C142" s="10" t="s">
        <v>3006</v>
      </c>
      <c r="D142" s="10" t="s">
        <v>3007</v>
      </c>
      <c r="E142" s="10" t="s">
        <v>3008</v>
      </c>
      <c r="G142" s="6" t="str">
        <f>IFERROR(__xludf.DUMMYFUNCTION("GOOGLETRANSLATE(A142, ""en"", ""id"")"),"141")</f>
        <v>141</v>
      </c>
      <c r="H142" s="6" t="str">
        <f>IFERROR(__xludf.DUMMYFUNCTION("GOOGLETRANSLATE(B142, ""en"", ""id"")"),"Rombongan pangeran Bugis abad ke-18 manakah yang kemungkinan besar berlatih Silat saat bertugas di Jawa?")</f>
        <v>Rombongan pangeran Bugis abad ke-18 manakah yang kemungkinan besar berlatih Silat saat bertugas di Jawa?</v>
      </c>
      <c r="I142" s="6" t="str">
        <f>IFERROR(__xludf.DUMMYFUNCTION("GOOGLETRANSLATE(C142, ""en"", ""id"")"),"A) Arung Palakka B) La Tenritatta C) Karaeng Galesong D) Sultan Hasanuddin")</f>
        <v>A) Arung Palakka B) La Tenritatta C) Karaeng Galesong D) Sultan Hasanuddin</v>
      </c>
      <c r="J142" s="6" t="str">
        <f>IFERROR(__xludf.DUMMYFUNCTION("GOOGLETRANSLATE(D142, ""en"", ""id"")"),"C) Karaeng Galesong")</f>
        <v>C) Karaeng Galesong</v>
      </c>
      <c r="K142" s="6" t="str">
        <f>IFERROR(__xludf.DUMMYFUNCTION("GOOGLETRANSLATE(E142, ""en"", ""id"")"),"Petualang terkenal dan pasukannya berinteraksi dengan istana Jawa tempat Silat berkembang pesat.")</f>
        <v>Petualang terkenal dan pasukannya berinteraksi dengan istana Jawa tempat Silat berkembang pesat.</v>
      </c>
    </row>
    <row r="143">
      <c r="A143" s="5">
        <v>142.0</v>
      </c>
      <c r="B143" s="10" t="s">
        <v>3009</v>
      </c>
      <c r="C143" s="10" t="s">
        <v>3010</v>
      </c>
      <c r="D143" s="10" t="s">
        <v>3011</v>
      </c>
      <c r="E143" s="10" t="s">
        <v>3012</v>
      </c>
      <c r="G143" s="6" t="str">
        <f>IFERROR(__xludf.DUMMYFUNCTION("GOOGLETRANSLATE(A143, ""en"", ""id"")"),"142")</f>
        <v>142</v>
      </c>
      <c r="H143" s="6" t="str">
        <f>IFERROR(__xludf.DUMMYFUNCTION("GOOGLETRANSLATE(B143, ""en"", ""id"")"),"Di Batavia kolonial, pertunjukan Silat di pasar malam berfungsi terutama sebagai apa?")</f>
        <v>Di Batavia kolonial, pertunjukan Silat di pasar malam berfungsi terutama sebagai apa?</v>
      </c>
      <c r="I143" s="6" t="str">
        <f>IFERROR(__xludf.DUMMYFUNCTION("GOOGLETRANSLATE(C143, ""en"", ""id"")"),"A) Rekrutmen B) Sumpah ritual C) Tontonan populer D) Latihan rahasia")</f>
        <v>A) Rekrutmen B) Sumpah ritual C) Tontonan populer D) Latihan rahasia</v>
      </c>
      <c r="J143" s="6" t="str">
        <f>IFERROR(__xludf.DUMMYFUNCTION("GOOGLETRANSLATE(D143, ""en"", ""id"")"),"C) Tontonan populer")</f>
        <v>C) Tontonan populer</v>
      </c>
      <c r="K143" s="6" t="str">
        <f>IFERROR(__xludf.DUMMYFUNCTION("GOOGLETRANSLATE(E143, ""en"", ""id"")"),"Pasar malam perkotaan menampilkan pameran Silat yang memadukan hiburan dan identitas.")</f>
        <v>Pasar malam perkotaan menampilkan pameran Silat yang memadukan hiburan dan identitas.</v>
      </c>
    </row>
    <row r="144">
      <c r="A144" s="5">
        <v>143.0</v>
      </c>
      <c r="B144" s="10" t="s">
        <v>3013</v>
      </c>
      <c r="C144" s="10" t="s">
        <v>3014</v>
      </c>
      <c r="D144" s="10" t="s">
        <v>2805</v>
      </c>
      <c r="E144" s="10" t="s">
        <v>3015</v>
      </c>
      <c r="G144" s="6" t="str">
        <f>IFERROR(__xludf.DUMMYFUNCTION("GOOGLETRANSLATE(A144, ""en"", ""id"")"),"143")</f>
        <v>143</v>
      </c>
      <c r="H144" s="6" t="str">
        <f>IFERROR(__xludf.DUMMYFUNCTION("GOOGLETRANSLATE(B144, ""en"", ""id"")"),"Teater melingkar Minangkabau yang melestarikan koreografi Silek dalam siklus lagu disebut?")</f>
        <v>Teater melingkar Minangkabau yang melestarikan koreografi Silek dalam siklus lagu disebut?</v>
      </c>
      <c r="I144" s="6" t="str">
        <f>IFERROR(__xludf.DUMMYFUNCTION("GOOGLETRANSLATE(C144, ""en"", ""id"")"),"A) Indang B) Randai C) Saluang D) Dendang Pauah")</f>
        <v>A) Indang B) Randai C) Saluang D) Dendang Pauah</v>
      </c>
      <c r="J144" s="6" t="str">
        <f>IFERROR(__xludf.DUMMYFUNCTION("GOOGLETRANSLATE(D144, ""en"", ""id"")"),"B) Randai")</f>
        <v>B) Randai</v>
      </c>
      <c r="K144" s="6" t="str">
        <f>IFERROR(__xludf.DUMMYFUNCTION("GOOGLETRANSLATE(E144, ""en"", ""id"")"),"Kelompok Randai mengintegrasikan Silek ke dalam babak naratif, yang menopang memori bela diri.")</f>
        <v>Kelompok Randai mengintegrasikan Silek ke dalam babak naratif, yang menopang memori bela diri.</v>
      </c>
    </row>
    <row r="145">
      <c r="A145" s="5">
        <v>144.0</v>
      </c>
      <c r="B145" s="10" t="s">
        <v>3016</v>
      </c>
      <c r="C145" s="10" t="s">
        <v>3017</v>
      </c>
      <c r="D145" s="10" t="s">
        <v>3018</v>
      </c>
      <c r="E145" s="10" t="s">
        <v>3019</v>
      </c>
      <c r="G145" s="6" t="str">
        <f>IFERROR(__xludf.DUMMYFUNCTION("GOOGLETRANSLATE(A145, ""en"", ""id"")"),"144")</f>
        <v>144</v>
      </c>
      <c r="H145" s="6" t="str">
        <f>IFERROR(__xludf.DUMMYFUNCTION("GOOGLETRANSLATE(B145, ""en"", ""id"")"),"Sultan Banten manakah yang konon memadukan latihan milisi pesisir dengan Silat pada abad ke-16–17?")</f>
        <v>Sultan Banten manakah yang konon memadukan latihan milisi pesisir dengan Silat pada abad ke-16–17?</v>
      </c>
      <c r="I145" s="6" t="str">
        <f>IFERROR(__xludf.DUMMYFUNCTION("GOOGLETRANSLATE(C145, ""en"", ""id"")"),"A) Maulana Hasanuddin B) Sultan Ageng Tirtayasa C) Abu al-Mafakhir D) Abdul Kadir")</f>
        <v>A) Maulana Hasanuddin B) Sultan Ageng Tirtayasa C) Abu al-Mafakhir D) Abdul Kadir</v>
      </c>
      <c r="J145" s="6" t="str">
        <f>IFERROR(__xludf.DUMMYFUNCTION("GOOGLETRANSLATE(D145, ""en"", ""id"")"),"B) Sultan Ageng Tirtayasa")</f>
        <v>B) Sultan Ageng Tirtayasa</v>
      </c>
      <c r="K145" s="6" t="str">
        <f>IFERROR(__xludf.DUMMYFUNCTION("GOOGLETRANSLATE(E145, ""en"", ""id"")"),"Pemerintahannya memperkuat milisi Banten, di mana Silat menginformasikan taktik jarak dekat.")</f>
        <v>Pemerintahannya memperkuat milisi Banten, di mana Silat menginformasikan taktik jarak dekat.</v>
      </c>
    </row>
    <row r="146">
      <c r="A146" s="5">
        <v>145.0</v>
      </c>
      <c r="B146" s="10" t="s">
        <v>3020</v>
      </c>
      <c r="C146" s="10" t="s">
        <v>3021</v>
      </c>
      <c r="D146" s="10" t="s">
        <v>3022</v>
      </c>
      <c r="E146" s="10" t="s">
        <v>3023</v>
      </c>
      <c r="G146" s="6" t="str">
        <f>IFERROR(__xludf.DUMMYFUNCTION("GOOGLETRANSLATE(A146, ""en"", ""id"")"),"145")</f>
        <v>145</v>
      </c>
      <c r="H146" s="6" t="str">
        <f>IFERROR(__xludf.DUMMYFUNCTION("GOOGLETRANSLATE(B146, ""en"", ""id"")"),"Di antara gaya Betawi, yang mana yang menekankan waktu menipu yang dipelajari dari perkelahian di dermaga?")</f>
        <v>Di antara gaya Betawi, yang mana yang menekankan waktu menipu yang dipelajari dari perkelahian di dermaga?</v>
      </c>
      <c r="I146" s="6" t="str">
        <f>IFERROR(__xludf.DUMMYFUNCTION("GOOGLETRANSLATE(C146, ""en"", ""id"")"),"A) Cingkrik B) Sabeni C) Beksi D) Serak")</f>
        <v>A) Cingkrik B) Sabeni C) Beksi D) Serak</v>
      </c>
      <c r="J146" s="6" t="str">
        <f>IFERROR(__xludf.DUMMYFUNCTION("GOOGLETRANSLATE(D146, ""en"", ""id"")"),"C) Beksi")</f>
        <v>C) Beksi</v>
      </c>
      <c r="K146" s="6" t="str">
        <f>IFERROR(__xludf.DUMMYFUNCTION("GOOGLETRANSLATE(E146, ""en"", ""id"")"),"Beksi berkembang di masyarakat pelabuhan, menghargai tipu daya dan serangan balik yang kompak.")</f>
        <v>Beksi berkembang di masyarakat pelabuhan, menghargai tipu daya dan serangan balik yang kompak.</v>
      </c>
    </row>
    <row r="147">
      <c r="A147" s="5">
        <v>146.0</v>
      </c>
      <c r="B147" s="10" t="s">
        <v>3024</v>
      </c>
      <c r="C147" s="10" t="s">
        <v>3025</v>
      </c>
      <c r="D147" s="10" t="s">
        <v>3026</v>
      </c>
      <c r="E147" s="10" t="s">
        <v>3027</v>
      </c>
      <c r="G147" s="6" t="str">
        <f>IFERROR(__xludf.DUMMYFUNCTION("GOOGLETRANSLATE(A147, ""en"", ""id"")"),"146")</f>
        <v>146</v>
      </c>
      <c r="H147" s="6" t="str">
        <f>IFERROR(__xludf.DUMMYFUNCTION("GOOGLETRANSLATE(B147, ""en"", ""id"")"),"Era Sumpah Pemuda 1928 menyaksikan klub Silat dibingkai ulang sebagai?")</f>
        <v>Era Sumpah Pemuda 1928 menyaksikan klub Silat dibingkai ulang sebagai?</v>
      </c>
      <c r="I147" s="6" t="str">
        <f>IFERROR(__xludf.DUMMYFUNCTION("GOOGLETRANSLATE(C147, ""en"", ""id"")"),"A) Perkumpulan rahasia B) Asosiasi olahraga C) Ordo keagamaan D) Grup teater")</f>
        <v>A) Perkumpulan rahasia B) Asosiasi olahraga C) Ordo keagamaan D) Grup teater</v>
      </c>
      <c r="J147" s="6" t="str">
        <f>IFERROR(__xludf.DUMMYFUNCTION("GOOGLETRANSLATE(D147, ""en"", ""id"")"),"B) Asosiasi olahraga")</f>
        <v>B) Asosiasi olahraga</v>
      </c>
      <c r="K147" s="6" t="str">
        <f>IFERROR(__xludf.DUMMYFUNCTION("GOOGLETRANSLATE(E147, ""en"", ""id"")"),"Pembingkaian nasionalis membantu memindahkan Silat dari pelatihan rahasia ke budaya olahraga sipil.")</f>
        <v>Pembingkaian nasionalis membantu memindahkan Silat dari pelatihan rahasia ke budaya olahraga sipil.</v>
      </c>
    </row>
    <row r="148">
      <c r="A148" s="5">
        <v>147.0</v>
      </c>
      <c r="B148" s="10" t="s">
        <v>3028</v>
      </c>
      <c r="C148" s="10" t="s">
        <v>3029</v>
      </c>
      <c r="D148" s="10" t="s">
        <v>3030</v>
      </c>
      <c r="E148" s="10" t="s">
        <v>3031</v>
      </c>
      <c r="G148" s="6" t="str">
        <f>IFERROR(__xludf.DUMMYFUNCTION("GOOGLETRANSLATE(A148, ""en"", ""id"")"),"147")</f>
        <v>147</v>
      </c>
      <c r="H148" s="6" t="str">
        <f>IFERROR(__xludf.DUMMYFUNCTION("GOOGLETRANSLATE(B148, ""en"", ""id"")"),"Prajurit kerajaan Sumatera manakah yang menggunakan kuda-kuda rendah seperti harimau, mirip dengan bentuk Harimau selanjutnya?")</f>
        <v>Prajurit kerajaan Sumatera manakah yang menggunakan kuda-kuda rendah seperti harimau, mirip dengan bentuk Harimau selanjutnya?</v>
      </c>
      <c r="I148" s="6" t="str">
        <f>IFERROR(__xludf.DUMMYFUNCTION("GOOGLETRANSLATE(C148, ""en"", ""id"")"),"A) Dharmasraya B) Pagaruyung C) Barus D) Inderapura")</f>
        <v>A) Dharmasraya B) Pagaruyung C) Barus D) Inderapura</v>
      </c>
      <c r="J148" s="6" t="str">
        <f>IFERROR(__xludf.DUMMYFUNCTION("GOOGLETRANSLATE(D148, ""en"", ""id"")"),"B) Pagaruyung")</f>
        <v>B) Pagaruyung</v>
      </c>
      <c r="K148" s="6" t="str">
        <f>IFERROR(__xludf.DUMMYFUNCTION("GOOGLETRANSLATE(E148, ""en"", ""id"")"),"Pengetahuan istana Pagaruyung menyebutkan taktik berjongkok dan menerkam yang tercermin dalam Harimau Silek.")</f>
        <v>Pengetahuan istana Pagaruyung menyebutkan taktik berjongkok dan menerkam yang tercermin dalam Harimau Silek.</v>
      </c>
    </row>
    <row r="149">
      <c r="A149" s="5">
        <v>148.0</v>
      </c>
      <c r="B149" s="10" t="s">
        <v>3032</v>
      </c>
      <c r="C149" s="10" t="s">
        <v>3033</v>
      </c>
      <c r="D149" s="10" t="s">
        <v>3034</v>
      </c>
      <c r="E149" s="10" t="s">
        <v>3035</v>
      </c>
      <c r="G149" s="6" t="str">
        <f>IFERROR(__xludf.DUMMYFUNCTION("GOOGLETRANSLATE(A149, ""en"", ""id"")"),"148")</f>
        <v>148</v>
      </c>
      <c r="H149" s="6" t="str">
        <f>IFERROR(__xludf.DUMMYFUNCTION("GOOGLETRANSLATE(B149, ""en"", ""id"")"),"Foto-foto awal silsilah Silat beredar di majalah Indonesia pra-perang yang mana?")</f>
        <v>Foto-foto awal silsilah Silat beredar di majalah Indonesia pra-perang yang mana?</v>
      </c>
      <c r="I149" s="6" t="str">
        <f>IFERROR(__xludf.DUMMYFUNCTION("GOOGLETRANSLATE(C149, ""en"", ""id"")"),"A) Poedjangga Baroe B) Djawa C) Pandji Poestaka D) Bintang Mingguan")</f>
        <v>A) Poedjangga Baroe B) Djawa C) Pandji Poestaka D) Bintang Mingguan</v>
      </c>
      <c r="J149" s="6" t="str">
        <f>IFERROR(__xludf.DUMMYFUNCTION("GOOGLETRANSLATE(D149, ""en"", ""id"")"),"C) Pandji Poestaka")</f>
        <v>C) Pandji Poestaka</v>
      </c>
      <c r="K149" s="6" t="str">
        <f>IFERROR(__xludf.DUMMYFUNCTION("GOOGLETRANSLATE(E149, ""en"", ""id"")"),"Majalah budaya yang didukung negara itu kadang-kadang memuat profil tradisi bela diri adat.")</f>
        <v>Majalah budaya yang didukung negara itu kadang-kadang memuat profil tradisi bela diri adat.</v>
      </c>
    </row>
    <row r="150">
      <c r="A150" s="5">
        <v>149.0</v>
      </c>
      <c r="B150" s="10" t="s">
        <v>3036</v>
      </c>
      <c r="C150" s="10" t="s">
        <v>3037</v>
      </c>
      <c r="D150" s="10" t="s">
        <v>3038</v>
      </c>
      <c r="E150" s="10" t="s">
        <v>3039</v>
      </c>
      <c r="G150" s="6" t="str">
        <f>IFERROR(__xludf.DUMMYFUNCTION("GOOGLETRANSLATE(A150, ""en"", ""id"")"),"149")</f>
        <v>149</v>
      </c>
      <c r="H150" s="6" t="str">
        <f>IFERROR(__xludf.DUMMYFUNCTION("GOOGLETRANSLATE(B150, ""en"", ""id"")"),"Dalam babad Jawa, istilah “prajurit alit” yang dilatih dengan latihan seperti Silat mengacu pada?")</f>
        <v>Dalam babad Jawa, istilah “prajurit alit” yang dilatih dengan latihan seperti Silat mengacu pada?</v>
      </c>
      <c r="I150" s="6" t="str">
        <f>IFERROR(__xludf.DUMMYFUNCTION("GOOGLETRANSLATE(C150, ""en"", ""id"")"),"A) Tentara bayaran asing B) Juru tulis istana C) Infanteri ringan D) Pengawal kerajaan")</f>
        <v>A) Tentara bayaran asing B) Juru tulis istana C) Infanteri ringan D) Pengawal kerajaan</v>
      </c>
      <c r="J150" s="6" t="str">
        <f>IFERROR(__xludf.DUMMYFUNCTION("GOOGLETRANSLATE(D150, ""en"", ""id"")"),"C) Infanteri ringan")</f>
        <v>C) Infanteri ringan</v>
      </c>
      <c r="K150" s="6" t="str">
        <f>IFERROR(__xludf.DUMMYFUNCTION("GOOGLETRANSLATE(E150, ""en"", ""id"")"),"“Prajurit alit” merupakan pasukan yang terlatih dalam penggunaan senjata jarak dekat dan keterampilan tangan kosong.")</f>
        <v>“Prajurit alit” merupakan pasukan yang terlatih dalam penggunaan senjata jarak dekat dan keterampilan tangan kosong.</v>
      </c>
    </row>
    <row r="151">
      <c r="A151" s="5">
        <v>150.0</v>
      </c>
      <c r="B151" s="10" t="s">
        <v>3040</v>
      </c>
      <c r="C151" s="10" t="s">
        <v>3041</v>
      </c>
      <c r="D151" s="10" t="s">
        <v>3042</v>
      </c>
      <c r="E151" s="10" t="s">
        <v>3043</v>
      </c>
      <c r="G151" s="6" t="str">
        <f>IFERROR(__xludf.DUMMYFUNCTION("GOOGLETRANSLATE(A151, ""en"", ""id"")"),"150")</f>
        <v>150</v>
      </c>
      <c r="H151" s="6" t="str">
        <f>IFERROR(__xludf.DUMMYFUNCTION("GOOGLETRANSLATE(B151, ""en"", ""id"")"),"Setelah kemerdekaan, pertemuan tingkat provinsi IPSI pada awalnya bertujuan untuk?")</f>
        <v>Setelah kemerdekaan, pertemuan tingkat provinsi IPSI pada awalnya bertujuan untuk?</v>
      </c>
      <c r="I151" s="6" t="str">
        <f>IFERROR(__xludf.DUMMYFUNCTION("GOOGLETRANSLATE(C151, ""en"", ""id"")"),"A) Standarisasi jurus B) Rekrutmen untuk angkatan laut C) Ganti gaya daerah D) Larang senjata")</f>
        <v>A) Standarisasi jurus B) Rekrutmen untuk angkatan laut C) Ganti gaya daerah D) Larang senjata</v>
      </c>
      <c r="J151" s="6" t="str">
        <f>IFERROR(__xludf.DUMMYFUNCTION("GOOGLETRANSLATE(D151, ""en"", ""id"")"),"A) Standarisasi jurus")</f>
        <v>A) Standarisasi jurus</v>
      </c>
      <c r="K151" s="6" t="str">
        <f>IFERROR(__xludf.DUMMYFUNCTION("GOOGLETRANSLATE(E151, ""en"", ""id"")"),"Pertemuan pasca-1945 menyelaraskan nama/bentuk teknik untuk menjembatani berbagai garis keturunan silat daerah.")</f>
        <v>Pertemuan pasca-1945 menyelaraskan nama/bentuk teknik untuk menjembatani berbagai garis keturunan silat daerah.</v>
      </c>
    </row>
  </sheetData>
  <drawing r:id="rId1"/>
  <tableParts count="2">
    <tablePart r:id="rId4"/>
    <tablePart r:id="rId5"/>
  </tableParts>
</worksheet>
</file>
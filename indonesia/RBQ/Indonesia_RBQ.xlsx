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rapan_Sapi" sheetId="1" r:id="rId4"/>
    <sheet state="visible" name="Sepak_Takraw" sheetId="2" r:id="rId5"/>
    <sheet state="visible" name="Tarung_Derajat" sheetId="3" r:id="rId6"/>
    <sheet state="visible" name="Peresean" sheetId="4" r:id="rId7"/>
    <sheet state="visible" name="Pencak_Silat" sheetId="5" r:id="rId8"/>
  </sheets>
  <definedNames/>
  <calcPr/>
</workbook>
</file>

<file path=xl/sharedStrings.xml><?xml version="1.0" encoding="utf-8"?>
<sst xmlns="http://schemas.openxmlformats.org/spreadsheetml/2006/main" count="2832" uniqueCount="2673">
  <si>
    <t>Question</t>
  </si>
  <si>
    <t>Options</t>
  </si>
  <si>
    <t>Answer</t>
  </si>
  <si>
    <t>Description</t>
  </si>
  <si>
    <t>Pertanyaan</t>
  </si>
  <si>
    <t>Pilihan</t>
  </si>
  <si>
    <t>Menjawab</t>
  </si>
  <si>
    <t>Keterangan</t>
  </si>
  <si>
    <t>What is the minimum number of bulls required for a valid race entry?</t>
  </si>
  <si>
    <t>A) 1, B) 2, C) 3, D) 4</t>
  </si>
  <si>
    <t>B) 2</t>
  </si>
  <si>
    <t>Each team must enter a pair of bulls.</t>
  </si>
  <si>
    <t>Which Indonesian island is most famous for hosting Karapan Sapi races?</t>
  </si>
  <si>
    <t>A) Bali, B) Sumatra, C) Java, D) Madura</t>
  </si>
  <si>
    <t>D) Madura</t>
  </si>
  <si>
    <t>Karapan Sapi originated and is most popular on the island of Madura.</t>
  </si>
  <si>
    <t>What happens if a jockey falls off the sled during a race?</t>
  </si>
  <si>
    <t>A) Race continues, B) Bulls stop automatically, C) Team is disqualified, D) Jockey may remount</t>
  </si>
  <si>
    <t>C) Team is disqualified</t>
  </si>
  <si>
    <t>Falling off indicates loss of control, leading to disqualification.</t>
  </si>
  <si>
    <t>What is the primary purpose of the wooden sled, or *kaleles*?</t>
  </si>
  <si>
    <t>A) To carry hay, B) To act as a finish line, C) For the jockey to stand on, D) To steer the bulls</t>
  </si>
  <si>
    <t>C) For the jockey to stand on</t>
  </si>
  <si>
    <t>The wooden sled serves as a platform for the jockey to stand on and balance.</t>
  </si>
  <si>
    <t>Which official gives the final signal to start the race?</t>
  </si>
  <si>
    <t>A) Local elder, B) Judge, C) Priest, D) Jockey</t>
  </si>
  <si>
    <t>B) Judge</t>
  </si>
  <si>
    <t>Judges control the official race start, typically by dropping a flag or banner.</t>
  </si>
  <si>
    <t>What is the maximum number of teams allowed on track at once?</t>
  </si>
  <si>
    <t>A) 2, B) 4, C) 6, D) 8</t>
  </si>
  <si>
    <t>B) 4</t>
  </si>
  <si>
    <t>Most heats feature 2–4 teams competing simultaneously for safety and clarity.</t>
  </si>
  <si>
    <t>What happens if bulls stop running mid-race?</t>
  </si>
  <si>
    <t>A) Restart given, B) Team disqualified, C) Judges push bulls, D) Time penalty</t>
  </si>
  <si>
    <t>B) Team disqualified</t>
  </si>
  <si>
    <t>Teams must complete the course continuously to qualify; stopping results in a DQ.</t>
  </si>
  <si>
    <t>What is the judge’s authority if two teams finish in a dead heat?</t>
  </si>
  <si>
    <t>A) Order a re-race, B) Toss a coin, C) Declare joint winners, D) Ask crowd to vote</t>
  </si>
  <si>
    <t>A) Order a re-race</t>
  </si>
  <si>
    <t>Judges can call for a rerun in tie cases, especially in knockout rounds.</t>
  </si>
  <si>
    <t>What must bulls be checked for pre-race to ensure fair play?</t>
  </si>
  <si>
    <t>A) Stimulants, B) Age, C) Decorations, D) Shoes</t>
  </si>
  <si>
    <t>A) Stimulants</t>
  </si>
  <si>
    <t>Pre-race veterinary checks ensure no illegal doping or performance enhancers are used.</t>
  </si>
  <si>
    <t>What is the standard length of a championship track?</t>
  </si>
  <si>
    <t>A) 50–100m, B) 100–150m, C) 200–300m, D) 400m</t>
  </si>
  <si>
    <t>B) 100-150m</t>
  </si>
  <si>
    <t>Official rules fix the championship track length within this range for consistency.</t>
  </si>
  <si>
    <t>Which tool is strictly prohibited for jockeys to use?</t>
  </si>
  <si>
    <t>A) Sticks, B) Ropes, C) Chains, D) Stones</t>
  </si>
  <si>
    <t>C) Chains</t>
  </si>
  <si>
    <t>Chains and other dangerous equipment that can cause serious injury are banned.</t>
  </si>
  <si>
    <t>What happens if an assistant physically touches the bulls during the race?</t>
  </si>
  <si>
    <t>A) Allowed, B) Warning, C) Team disqualified, D) Race paused</t>
  </si>
  <si>
    <t>C) Team disqualified</t>
  </si>
  <si>
    <t>Any physical interference from an assistant during the race is grounds for disqualification.</t>
  </si>
  <si>
    <t>What is required of bulls’ hooves before racing?</t>
  </si>
  <si>
    <t>A) Trimmed and protected, B) Painted, C) Wrapped in cloth, D) Left untrimmed</t>
  </si>
  <si>
    <t>A) Trimmed and protected</t>
  </si>
  <si>
    <t>Rules require proper hoof care, including trimming and sometimes protection, for safety.</t>
  </si>
  <si>
    <t>How are race pairings scheduled to ensure fairness?</t>
  </si>
  <si>
    <t>A) Random draws, B) By bull age, C) By bull color, D) By ownership</t>
  </si>
  <si>
    <t>A) Random draws</t>
  </si>
  <si>
    <t>Pairings are randomized via lottery to prevent bias and ensure fair matchups.</t>
  </si>
  <si>
    <t>What is the maximum number of whips allowed per jockey?</t>
  </si>
  <si>
    <t>A) 1, B) 2, C) 3, D) Unlimited</t>
  </si>
  <si>
    <t>A) 1</t>
  </si>
  <si>
    <t>To prevent excessive whipping, each jockey is permitted to carry only one whip.</t>
  </si>
  <si>
    <t>Which lane markings must bulls remain within?</t>
  </si>
  <si>
    <t>A) Rope borders, B) Painted lines, C) Wooden rails, D) Sandbags</t>
  </si>
  <si>
    <t>B) Painted lines</t>
  </si>
  <si>
    <t>Painted tracks define the lanes, and bulls must stay within them.</t>
  </si>
  <si>
    <t>How many judges are typically appointed per race?</t>
  </si>
  <si>
    <t>A) 1, B) 2, C) 3, D) 5</t>
  </si>
  <si>
    <t>C) 3</t>
  </si>
  <si>
    <t>A panel of three judges is common to ensure balanced and fair decision-making.</t>
  </si>
  <si>
    <t>What protective gear is increasingly required for jockeys?</t>
  </si>
  <si>
    <t>A) Helmets, B) Shoes, C) Gloves, D) Traditional clothes only</t>
  </si>
  <si>
    <t>A) Helmets</t>
  </si>
  <si>
    <t>Modern safety rules increasingly require jockeys to wear helmets to prevent head injuries.</t>
  </si>
  <si>
    <t>What is the immediate action if bulls collide during the race?</t>
  </si>
  <si>
    <t>A) Race continues, B) Race stopped, C) Both teams disqualified, D) Only guilty team punished</t>
  </si>
  <si>
    <t>B) Race stopped</t>
  </si>
  <si>
    <t>Collisions halt races immediately to ensure the safety of animals and jockeys.</t>
  </si>
  <si>
    <t>Which part of the bull’s body cannot be struck with a whip?</t>
  </si>
  <si>
    <t>A) Head, B) Back, C) Tail, D) Legs</t>
  </si>
  <si>
    <t>A) Head</t>
  </si>
  <si>
    <t>Rules explicitly forbid striking the bulls' heads to protect them from injury and panic.</t>
  </si>
  <si>
    <t>What decides which team gets the advantageous inner lanes?</t>
  </si>
  <si>
    <t>A) Owner status, B) Lottery, C) Previous win, D) Weight</t>
  </si>
  <si>
    <t>B) Lottery</t>
  </si>
  <si>
    <t>To ensure fairness, lane order is assigned by a random draw or lottery.</t>
  </si>
  <si>
    <t>What is the minimum age for a jockey to compete in official events?</t>
  </si>
  <si>
    <t>A) 10, B) 12, C) 14, D) 16</t>
  </si>
  <si>
    <t>D) 16</t>
  </si>
  <si>
    <t>Official rules set the minimum age at 16 years for safety and maturity.</t>
  </si>
  <si>
    <t>How long after a heat's conclusion can protests be filed?</t>
  </si>
  <si>
    <t>A) Immediately, B) Within 1 hour, C) Same day, D) Next day</t>
  </si>
  <si>
    <t>B) Within 1 hour</t>
  </si>
  <si>
    <t>A strict window for filing disputes ensures the competition schedule is not delayed.</t>
  </si>
  <si>
    <t>What documentation must owners provide at registration?</t>
  </si>
  <si>
    <t>A) Bull health papers, B) Sponsorship letter, C) Bull's pedigree, D) Family name</t>
  </si>
  <si>
    <t>A) Bull health papers</t>
  </si>
  <si>
    <t>Veterinary health checks and papers are mandatory for a bull to be registered for a race.</t>
  </si>
  <si>
    <t>What happens if a bull shows signs of lameness before a race?</t>
  </si>
  <si>
    <t>A) Allowed anyway, B) Withdrawn, C) Judged separately, D) Time penalty</t>
  </si>
  <si>
    <t>B) Withdrawn</t>
  </si>
  <si>
    <t>Lame or injured bulls are not allowed to compete for animal welfare and safety reasons.</t>
  </si>
  <si>
    <t>Which behavior by an assistant leads to disqualification?</t>
  </si>
  <si>
    <t>A) Shouting, B) Running ahead of their bulls, C) Waving hands, D) Wearing bright clothes</t>
  </si>
  <si>
    <t>B) Running ahead of bulls</t>
  </si>
  <si>
    <t>Assistants are not allowed to lead or pace the bulls, as this is a form of interference.</t>
  </si>
  <si>
    <t>What is used to officially signal the end of the race?</t>
  </si>
  <si>
    <t>A) Whistle, B) Flag wave, C) Drumbeat, D) Gong</t>
  </si>
  <si>
    <t>B) Flag wave</t>
  </si>
  <si>
    <t>A flag is waved or dropped at the finish line to mark the official end of the heat.</t>
  </si>
  <si>
    <t>How is the track length verified before a championship?</t>
  </si>
  <si>
    <t>A) Judges measure, B) Farmers estimate, C) Elders decide, D) By counting steps</t>
  </si>
  <si>
    <t>A) Judges measure</t>
  </si>
  <si>
    <t>Judges officially measure and certify the track length before the competition begins.</t>
  </si>
  <si>
    <t>What must teams avoid doing immediately after crossing the finish line?</t>
  </si>
  <si>
    <t>A) Stopping bulls suddenly, B) Celebrating, C) Talking to judges, D) Removing decorations</t>
  </si>
  <si>
    <t>A) Stopping bulls suddenly</t>
  </si>
  <si>
    <t>Sudden stops can cause injury to the bulls and the jockey; a cool-down is required.</t>
  </si>
  <si>
    <t>What is the primary rule regarding spectators?</t>
  </si>
  <si>
    <t>A) Allowed cheering, B) Must remain off the track, C) Can wave cloth, D) Allowed to touch bulls</t>
  </si>
  <si>
    <t>B) Must remain off the track</t>
  </si>
  <si>
    <t>For safety, spectators are strictly forbidden from entering the active track area.</t>
  </si>
  <si>
    <t>What kind of footwear must assistants wear on the track?</t>
  </si>
  <si>
    <t>A) Sandals, B) Barefoot, C) Shoes, D) No rule</t>
  </si>
  <si>
    <t>C) Shoes</t>
  </si>
  <si>
    <t>For safety, regulations require assistants who enter the track area to wear closed-toe shoes.</t>
  </si>
  <si>
    <t>In a close race, what technology is used to determine the winner?</t>
  </si>
  <si>
    <t>A) Judge’s eyes only, B) Stopwatch, C) Photo finish, D) Audience opinion</t>
  </si>
  <si>
    <t>C) Photo finish</t>
  </si>
  <si>
    <t>Modern championship races often use photo-finish cameras for accuracy in close calls.</t>
  </si>
  <si>
    <t>What happens if both teams in a heat violate rules simultaneously?</t>
  </si>
  <si>
    <t>A) Both warned, B) Both disqualified, C) Re-race, D) Judge decides</t>
  </si>
  <si>
    <t>B) Both disqualified</t>
  </si>
  <si>
    <t>If both teams commit a disqualifying foul (e.g., lane crossing), both are disqualified.</t>
  </si>
  <si>
    <t>What is the limit for the number of on-track assistants per team?</t>
  </si>
  <si>
    <t>Each team is typically allowed only one assistant on the track during a heat.</t>
  </si>
  <si>
    <t>Which lane is reserved for seeded champion teams?</t>
  </si>
  <si>
    <t>A) First, B) Second, C) None, D) Last</t>
  </si>
  <si>
    <t>C) None</t>
  </si>
  <si>
    <t>By rule, champions have no automatic lane preference and are subject to the same lottery system.</t>
  </si>
  <si>
    <t>What is the official distance bulls must cover to be judged?</t>
  </si>
  <si>
    <t>A) 50m, B) 100m, C) The entire track, D) Half the track</t>
  </si>
  <si>
    <t>C) The entire track</t>
  </si>
  <si>
    <t>A team's performance is only judged if they complete the entire length of the course.</t>
  </si>
  <si>
    <t>Under double-false-start conditions, what is enforced on the second offense?</t>
  </si>
  <si>
    <t>A) Warning only, B) Time penalty, C) Immediate disqualification, D) Lane swap</t>
  </si>
  <si>
    <t>C) Immediate disqualification</t>
  </si>
  <si>
    <t>A team is typically allowed one false start; a second one results in a DQ.</t>
  </si>
  <si>
    <t>If a bull’s hoof crosses the line before the flag drop but the sled doesn't, what is the call?</t>
  </si>
  <si>
    <t>A) Legal start, B) Creep violation—restart, C) 5-second penalty, D) Disqualification</t>
  </si>
  <si>
    <t>B) Creep violation—restart</t>
  </si>
  <si>
    <t>A "creep" violation is a minor start breach that warrants a restart, not a disqualification.</t>
  </si>
  <si>
    <t>Track length verification tolerance allowed by judges is typically:</t>
  </si>
  <si>
    <t>A) ±0.5 m, B) ±1 m, C) ±2 m, D) ±5 m</t>
  </si>
  <si>
    <t>C) ±2 m</t>
  </si>
  <si>
    <t>Minor variations in track measurement within ±2 m of the declared length are accepted.</t>
  </si>
  <si>
    <t>If lane markings are erased by rain, races may continue only if:</t>
  </si>
  <si>
    <t>A) Crowd agrees, B) Both captains agree, C) Judges re-chalk and certify, D) Assistant redraws</t>
  </si>
  <si>
    <t>C) Judges re-chalk and certify</t>
  </si>
  <si>
    <t>Judges must ensure lane integrity is restored and re-certified before racing continues.</t>
  </si>
  <si>
    <t>What is the maximum allowable whip length?</t>
  </si>
  <si>
    <t>A) 50 cm, B) 75 cm, C) 100 cm, D) No limit</t>
  </si>
  <si>
    <t>B) 75 cm</t>
  </si>
  <si>
    <t>Safety rules cap whip length to reduce potential harm and excessive leverage.</t>
  </si>
  <si>
    <t>If an assistant enters a rival’s lane for 3+ strides near the bulls, the ruling is:</t>
  </si>
  <si>
    <t>A) Warning, B) 2-second penalty, C) Disqualification for interference, D) Continue</t>
  </si>
  <si>
    <t>C) Disqualification for interference</t>
  </si>
  <si>
    <t>Entering a competitor's active racing space is considered a serious act of interference.</t>
  </si>
  <si>
    <t>In a semifinal dead heat where photo is inconclusive, what is the next step?</t>
  </si>
  <si>
    <t>A) Judge’s eye → coin toss, B) Re-race only, C) Sensor time → re-race, D) Crowd vote</t>
  </si>
  <si>
    <t>C) Sensor time → re-race</t>
  </si>
  <si>
    <t>If primary (photo) and secondary (sensor) timing fail to find a winner, a re-race is ordered.</t>
  </si>
  <si>
    <t>A lodged protest must formally include:</t>
  </si>
  <si>
    <t>A) Verbal statement, B) Signed form + fee, C) Social media post, D) Video clip only</t>
  </si>
  <si>
    <t>B) Signed form + fee</t>
  </si>
  <si>
    <t>Formal protests require a written form and a fee deposit to be considered by the judges.</t>
  </si>
  <si>
    <t>What happens to the protest fee if the protest is upheld?</t>
  </si>
  <si>
    <t>A) Kept by organizers, B) Split with judges, C) Refunded, D) Donated</t>
  </si>
  <si>
    <t>C) Refunded</t>
  </si>
  <si>
    <t>The deposit for a successful protest is returned to the team that filed it.</t>
  </si>
  <si>
    <t>How are lanes allocated for a re-race caused by a no-fault collision?</t>
  </si>
  <si>
    <t>A) Same lanes, B) Swap lanes, C) Random draw, D) Inner lane to higher seed</t>
  </si>
  <si>
    <t>C) Random draw</t>
  </si>
  <si>
    <t>To maintain neutrality after a no-fault incident, a new random draw for lanes is conducted.</t>
  </si>
  <si>
    <t>If a bull's heart rate is above the vet’s threshold at call-time, it is:</t>
  </si>
  <si>
    <t>A) Allowed to race, B) Delayed 10 minutes, C) Withdrawn for safety, D) Fined</t>
  </si>
  <si>
    <t>C) Withdrawn for safety</t>
  </si>
  <si>
    <t>The official veterinarian has the final say on an animal's fitness to compete.</t>
  </si>
  <si>
    <t>If one bull of a pair stumbles but the sled stays balanced and in-lane, the race:</t>
  </si>
  <si>
    <t>A) Continues, B) Stops immediately, C) Awards rival, D) Restarts if within 30m</t>
  </si>
  <si>
    <t>A) Continues</t>
  </si>
  <si>
    <t>The race is not stopped for minor incidents that do not involve a fall or lane violation.</t>
  </si>
  <si>
    <t>If a pre-race drug test (Sample A) is positive and Sample B is unavailable:</t>
  </si>
  <si>
    <t>A) Clear to race, B) Conditional clearance, C) Automatic disqualification, D) Post-race hearing</t>
  </si>
  <si>
    <t>C) Automatic disqualification</t>
  </si>
  <si>
    <t>Without a second sample to contest, the positive result from Sample A stands, leading to DQ.</t>
  </si>
  <si>
    <t>Teams paired by weight class must fall within what weight differential?</t>
  </si>
  <si>
    <t>A) ≤10 kg, B) ≤20 kg, C) ≤30 kg, D) ≤40 kg</t>
  </si>
  <si>
    <t>B) ≤20 kg</t>
  </si>
  <si>
    <t>A weight parity rule ensures that competing bull pairs are closely matched in size.</t>
  </si>
  <si>
    <t>If post-finish celebrations obstruct another team, the ruling is:</t>
  </si>
  <si>
    <t>A) No action, B) Warning to crowd, C) Nullify obstructed result and re-run, D) Fine the obstructed team</t>
  </si>
  <si>
    <t>C) Nullify obstructed result and re-run</t>
  </si>
  <si>
    <t>The finish corridor must remain clear; obstruction can lead to a heat being nullified.</t>
  </si>
  <si>
    <t>A jockey’s helmet strap unfastens mid-race without the helmet falling off. Ruling:</t>
  </si>
  <si>
    <t>A) Continue, B) Time penalty, C) Disqualification for unsafe gear, D) Restart</t>
  </si>
  <si>
    <t>C) Disqualification for unsafe gear</t>
  </si>
  <si>
    <t>Safety gear must be properly secured throughout the entire duration of the race.</t>
  </si>
  <si>
    <t>If track clay moisture exceeds the pre-meet safety threshold:</t>
  </si>
  <si>
    <t>A) Proceed with caution, B) Reduce distance, C) Suspend until reconditioning, D) Use outer lanes only</t>
  </si>
  <si>
    <t>C) Suspend until reconditioning</t>
  </si>
  <si>
    <t>Races are suspended if the track surface is deemed unsafe by the judges.</t>
  </si>
  <si>
    <t>When both teams move at the start but only one crosses the line, who gets the false start?</t>
  </si>
  <si>
    <t>A) Shared warning, B) Team crossing the line, C) No call, D) Re-race with time penalty</t>
  </si>
  <si>
    <t>B) Team crossing the line</t>
  </si>
  <si>
    <t>The team that physically breaches the starting line is deemed at fault for the false start.</t>
  </si>
  <si>
    <t>If a judge’s flag fails but the horn sounds, which signal governs the start?</t>
  </si>
  <si>
    <t>A) Crowd reaction, B) Horn, C) Flag only, D) Any first signal</t>
  </si>
  <si>
    <t>C) Flag only</t>
  </si>
  <si>
    <t>The flag is considered the single authoritative start and finish signal.</t>
  </si>
  <si>
    <t>A team's sled is found to be overweight during pre-race inspection. What happens?</t>
  </si>
  <si>
    <t>A) Grace period to fix, B) Disqualification if not corrected before call, C) Fine only, D) Time handicap</t>
  </si>
  <si>
    <t>B) Disqualification if not corrected before call</t>
  </si>
  <si>
    <t>Equipment must be compliant before the team is called to the starting line.</t>
  </si>
  <si>
    <t>If video proves a track rut caused a bull to veer out of its lane, the action is:</t>
  </si>
  <si>
    <t>A) Disqualify team, B) Result stands, C) Declare no-contest and re-race, D) Award rival</t>
  </si>
  <si>
    <t>C) Declare no-contest and re-race</t>
  </si>
  <si>
    <t>If a track fault, not jockey error, causes a violation, the heat is declared void.</t>
  </si>
  <si>
    <t>If an assistant's hand touches the sled rope (not the bulls) to help balance:</t>
  </si>
  <si>
    <t>A) Allowed, B) Warning, C) Disqualification, D) 1-second penalty</t>
  </si>
  <si>
    <t>C) Disqualification</t>
  </si>
  <si>
    <t>Any physical assistance to the sled, jockey, or bulls constitutes illegal interference.</t>
  </si>
  <si>
    <t>What is the minimum mandatory rest interval between heats for the same bulls?</t>
  </si>
  <si>
    <t>A) 5 min, B) 10 min, C) 15 min, D) 20 min</t>
  </si>
  <si>
    <t>C) 15 min</t>
  </si>
  <si>
    <t>A mandatory rest period is enforced to protect the welfare of the animals.</t>
  </si>
  <si>
    <t>If a team misses the marshal's roll-call by more than 3 minutes, they:</t>
  </si>
  <si>
    <t>A) Are allowed to start late, B) Are dropped to the last heat, C) Forfeit the heat, D) Replace their assistant</t>
  </si>
  <si>
    <t>C) Forfeit the heat</t>
  </si>
  <si>
    <t>Timeliness is a strict participation requirement, and lateness can result in forfeiting the heat.</t>
  </si>
  <si>
    <t>A sled's rail height is found to be illegal after a qualifying run. The result is:</t>
  </si>
  <si>
    <t>A) Let stand, B) Retroactive void of qualifying time, C) Fine only, D) Mechanical correction allowed and keep time</t>
  </si>
  <si>
    <t>B) Retroactive void of qualifying time</t>
  </si>
  <si>
    <t>A performance achieved with illegal equipment is annulled.</t>
  </si>
  <si>
    <t>If spectators breach the buffer zone but no contact occurs, the correct response is:</t>
  </si>
  <si>
    <t>A) Continue racing, B) Immediate stop and reset, C) Warning and proceed next heat, D) Judges’ discretion to pause</t>
  </si>
  <si>
    <t>D) Judges’ discretion to pause</t>
  </si>
  <si>
    <t>Judges have the authority to pause a race if they believe a safety risk has emerged.</t>
  </si>
  <si>
    <t>What is the maximum decorative mass allowed on bulls (combined) beyond essential tack?</t>
  </si>
  <si>
    <t>A) 0.5 kg, B) 1.0 kg, C) 1.5 kg, D) 2.0 kg</t>
  </si>
  <si>
    <t>B) 1.0 kg</t>
  </si>
  <si>
    <t>Rules limit the weight of decorations to ensure they do not meaningfully impact the race.</t>
  </si>
  <si>
    <t>An assistant’s starting position must be:</t>
  </si>
  <si>
    <t>A) Anywhere, B) Behind the sled line, C) Level with the bulls’ shoulders, D) 5 m off the track</t>
  </si>
  <si>
    <t>B) Behind the sled line</t>
  </si>
  <si>
    <t>Assistants must start behind the sled to prevent them from obstructing rivals or pacing the bulls.</t>
  </si>
  <si>
    <t>What is the maximum number of restarts for technical faults (e.g., broken equipment) before postponement?</t>
  </si>
  <si>
    <t>If a heat cannot be started properly after three attempts due to technical issues, it is postponed.</t>
  </si>
  <si>
    <t>If a bull’s hoof bandage loosens and falls onto the track during a race:</t>
  </si>
  <si>
    <t>A) Continue, B) Safety stop, C) 3-second penalty, D) Replace after finish</t>
  </si>
  <si>
    <t>B) Safety stop</t>
  </si>
  <si>
    <t>Loose equipment on the track is a hazard that requires the race to be stopped for safety.</t>
  </si>
  <si>
    <t>What is the minimum distance an assistant must keep from their bulls when giving vocal cues?</t>
  </si>
  <si>
    <t>A) No limit, B) ≥1 m, C) ≥2 m, D) ≥3 m</t>
  </si>
  <si>
    <t>C) ≥2 m</t>
  </si>
  <si>
    <t>A minimum distance rule prevents close-quarter shouting that could unfairly spook rival bulls.</t>
  </si>
  <si>
    <t>If a team refuses a mandatory post-race veterinary inspection:</t>
  </si>
  <si>
    <t>A) Warning, B) Forfeit prize + result annulled, C) Fine only, D) Suspended next heat only</t>
  </si>
  <si>
    <t>B) Forfeit prize + result annulled</t>
  </si>
  <si>
    <t>Refusal to comply with veterinary checks is a serious offense that voids the performance.</t>
  </si>
  <si>
    <t>Seeding for knockout brackets is primarily based on:</t>
  </si>
  <si>
    <t>A) Owner status, B) Qualifying time, C) Prior titles, D) Random draw</t>
  </si>
  <si>
    <t>B) Qualifying time</t>
  </si>
  <si>
    <t>Objective time-based seeding from qualifying heats is used to structure the final brackets.</t>
  </si>
  <si>
    <t>What is the minimum sled footplate width to prevent it from digging into the track?</t>
  </si>
  <si>
    <t>A) 5 cm, B) 7 cm, C) 9 cm, D) 11 cm</t>
  </si>
  <si>
    <t>C) 9 cm</t>
  </si>
  <si>
    <t>A minimum width is a design safety standard to prevent the sled from gouging the track surface.</t>
  </si>
  <si>
    <t>Judges must announce official results within what time frame after a heat?</t>
  </si>
  <si>
    <t>A) 2 min, B) 5 min, C) 10 min, D) 15 min</t>
  </si>
  <si>
    <t>C) 10 min</t>
  </si>
  <si>
    <t>Timely posting of official results is required to allow for the protest window.</t>
  </si>
  <si>
    <t>An appeal to a protest decision must be submitted within:</t>
  </si>
  <si>
    <t>A) 10 min, B) 30 min, C) 1 hour, D) Same day</t>
  </si>
  <si>
    <t>B) 30 min</t>
  </si>
  <si>
    <t>The window for appealing a judge's ruling on a protest is shorter than the initial protest window.</t>
  </si>
  <si>
    <t>If a team’s decorative cloth detaches and tangles a rival’s sled, the ruling is:</t>
  </si>
  <si>
    <t>A) Continue, B) Fault on victim, C) Offending team disqualified, D) Re-race with warning</t>
  </si>
  <si>
    <t>C) Offending team disqualified</t>
  </si>
  <si>
    <t>Teams are responsible for securing their equipment; loose items causing interference result in a DQ.</t>
  </si>
  <si>
    <t>A medical timeout for a jockey feeling dizzy before staging is limited to:</t>
  </si>
  <si>
    <t>A) 3 min, B) 5 min, C) 7 min, D) 10 min</t>
  </si>
  <si>
    <t>B) 5 min</t>
  </si>
  <si>
    <t>Short medical checks are permitted but are strictly timed to avoid schedule disruptions.</t>
  </si>
  <si>
    <t>If a team is found to have used two whips (one hidden) post-race:</t>
  </si>
  <si>
    <t>A) Warning for next round, B) Time penalty, C) Disqualification and annulment, D) Fine only</t>
  </si>
  <si>
    <t>C) Disqualification and annulment</t>
  </si>
  <si>
    <t>The discovery of illegal equipment, even after the race, leads to retroactive disqualification.</t>
  </si>
  <si>
    <t>When electronic sensors fail mid-day, official timing reverts to:</t>
  </si>
  <si>
    <t>A) Average of judges, B) Head judge only, C) Dual-judge concurrence + backup video, D) Crowd count</t>
  </si>
  <si>
    <t>C) Dual-judge concurrence + backup video</t>
  </si>
  <si>
    <t>A redundancy protocol involving human judges and video is used to maintain timing accuracy.</t>
  </si>
  <si>
    <t>What is the maximum allowable sled mass (unloaded)?</t>
  </si>
  <si>
    <t>A) 6 kg, B) 7 kg, C) 8 kg, D) 9 kg</t>
  </si>
  <si>
    <t>C) 8 kg</t>
  </si>
  <si>
    <t>Sled weight caps are enforced to maintain competitive parity between teams.</t>
  </si>
  <si>
    <t>If bulls’ combined weight is under their declared class by &gt;5 kg at a re-weigh:</t>
  </si>
  <si>
    <t>A) Note only, B) Demote to lower class, C) Disqualify for mis-declaration, D) 2-second penalty</t>
  </si>
  <si>
    <t>C) Disqualify for mis-declaration</t>
  </si>
  <si>
    <t>Intentionally competing in the wrong weight class is a disqualifiable offense.</t>
  </si>
  <si>
    <t>During a re-race ordered after a null heat, the call sequence is:</t>
  </si>
  <si>
    <t>A) Original order, B) Slower team first, C) Randomized anew, D) Higher seed first</t>
  </si>
  <si>
    <t>C) Randomized anew</t>
  </si>
  <si>
    <t>To ensure fairness, a fresh random draw for lanes and start order is conducted.</t>
  </si>
  <si>
    <t>What is the penalty for a jockey who deliberately strikes a rival assistant?</t>
  </si>
  <si>
    <t>A) Warning, B) Fine only, C) Immediate disqualification + disciplinary review, D) Re-race</t>
  </si>
  <si>
    <t>C) Immediate disqualification + disciplinary review</t>
  </si>
  <si>
    <t>Violent or unsportsmanlike conduct triggers immediate DQ and a review for further sanctions.</t>
  </si>
  <si>
    <t>For finals, what is the minimum rest gap after semifinals for the champion bulls?</t>
  </si>
  <si>
    <t>A) 10 min, B) 15 min, C) 20 min, D) 30 min</t>
  </si>
  <si>
    <t>D) 30 min</t>
  </si>
  <si>
    <t>An extended rest period is mandated to protect animal welfare before the championship race.</t>
  </si>
  <si>
    <t>What is a key role of the jockey besides steering?</t>
  </si>
  <si>
    <t>A) Riding the bull, B) Balancing the sled, C) Cheering, D) Flag-waving</t>
  </si>
  <si>
    <t>B) Balancing the sled</t>
  </si>
  <si>
    <t>The jockey must constantly shift their weight to keep the lightweight sled stable at high speed.</t>
  </si>
  <si>
    <t>What is the traditional season for Karapan Sapi races?</t>
  </si>
  <si>
    <t>A) January to March, B) March to May, C) July to October, D) November to December</t>
  </si>
  <si>
    <t>C) July to October</t>
  </si>
  <si>
    <t>Races are held during the dry season after the rice harvest is complete.</t>
  </si>
  <si>
    <t>What is a common prize for winning a major Karapan Sapi race?</t>
  </si>
  <si>
    <t>A) A government job, B) Money and prestige, C) A new house, D) A plot of land</t>
  </si>
  <si>
    <t>B) Money and prestige</t>
  </si>
  <si>
    <t>Winners receive cash prizes, trophies, and significant social status and prestige for their village.</t>
  </si>
  <si>
    <t>What is a key component of a racing bull's specialized diet?</t>
  </si>
  <si>
    <t>A) Sugar cane, B) Raw eggs and herbs, C) Imported grains, D) Fish meal</t>
  </si>
  <si>
    <t>B) Raw eggs and herbs</t>
  </si>
  <si>
    <t>Bulls are often fed a traditional high-protein diet including eggs and herbal mixtures (*jamu*).</t>
  </si>
  <si>
    <t>What is the typical attire for jockeys in Karapan Sapi?</t>
  </si>
  <si>
    <t>A) Full-body racing suit, B) Traditional Madurese clothes, C) Brightly colored costumes, D) Plain white clothing</t>
  </si>
  <si>
    <t>B) Traditional Madurese clothes</t>
  </si>
  <si>
    <t>Jockeys often wear traditional Madurese attire, such as a black shirt and brightly colored pants.</t>
  </si>
  <si>
    <t>What happens to bulls that perform well in Karapan Sapi?</t>
  </si>
  <si>
    <t>A) They are sold for a high price, B) They are immediately retired, C) They are entered into a parade, D) They are sent to a different island</t>
  </si>
  <si>
    <t>A) They are sold for a high price</t>
  </si>
  <si>
    <t>Winning bulls become highly valuable, increasing their owner's wealth and status.</t>
  </si>
  <si>
    <t>Besides drums, what traditional instrument accompanies the races?</t>
  </si>
  <si>
    <t>A) Saron (metallophone), B) Flute, C) Gong, D) Angklung</t>
  </si>
  <si>
    <t>A) Saron (metallophone)</t>
  </si>
  <si>
    <t>The Gamelan orchestra, featuring the saron, provides a festive soundtrack to the event.</t>
  </si>
  <si>
    <t>What animal welfare concern is sometimes raised regarding the sport?</t>
  </si>
  <si>
    <t>A) Overworking the bulls, B) The bulls' diet, C) Excessive bathing, D) The use of decorated yokes</t>
  </si>
  <si>
    <t>A) Overworking the bulls</t>
  </si>
  <si>
    <t>There are concerns about the physical strain and use of whips during training and racing.</t>
  </si>
  <si>
    <t>What cultural element often precedes the main races?</t>
  </si>
  <si>
    <t>A) A bull beauty pageant, B) A communal feast, C) A martial arts display, D) A shadow puppet show</t>
  </si>
  <si>
    <t>A) A bull beauty pageant</t>
  </si>
  <si>
    <t>Events often begin with a procession and contest (*Sapi Sonok*) for the best-decorated and groomed bulls.</t>
  </si>
  <si>
    <t>How are bulls often exercised to build stamina?</t>
  </si>
  <si>
    <t>A) Weightlifting, B) Swimming in the sea, C) Climbing hills, D) Plowing special fields</t>
  </si>
  <si>
    <t>B) Swimming in the sea</t>
  </si>
  <si>
    <t>Bulls are frequently taken to the beach and made to swim or run in the water to build muscle.</t>
  </si>
  <si>
    <t>What is a common substance applied to bulls' horns before a race?</t>
  </si>
  <si>
    <t>A) Oil, B) Paint, C) Water, D) Sand</t>
  </si>
  <si>
    <t>A) Oil</t>
  </si>
  <si>
    <t>Oil is sometimes applied to the horns for aesthetic shine and as part of tradition.</t>
  </si>
  <si>
    <t>In which month is the grand final of Karapan Sapi usually held?</t>
  </si>
  <si>
    <t>A) September, B) October, C) November, D) December</t>
  </si>
  <si>
    <t>B) October</t>
  </si>
  <si>
    <t>The season culminates in a grand final, often for the President's Cup (*Piala Presiden*), in October.</t>
  </si>
  <si>
    <t>What is traditionally tied to the bulls' tails as decoration?</t>
  </si>
  <si>
    <t>A) Bells, B) A colorful cloth, C) Flowers, D) Nothing</t>
  </si>
  <si>
    <t>B) A colorful cloth</t>
  </si>
  <si>
    <t>A cloth or sash is often tied to the bulls' tails as a traditional decorative element.</t>
  </si>
  <si>
    <t>Which village on Madura Island is most famous for the grand finals?</t>
  </si>
  <si>
    <t>A) Pamekasan, B) Sumenep, C) Bangkalan, D) Sampang</t>
  </si>
  <si>
    <t>A) Pamekasan</t>
  </si>
  <si>
    <t>The regency of Pamekasan is renowned for hosting the most prestigious final races.</t>
  </si>
  <si>
    <t>What is the primary material used to construct the sled?</t>
  </si>
  <si>
    <t>A) Ironwood, B) Bamboo, C) Teak, D) Plastic</t>
  </si>
  <si>
    <t>B) Bamboo</t>
  </si>
  <si>
    <t>The sled is typically made of bamboo and lightweight wood to maximize speed.</t>
  </si>
  <si>
    <t>What is the average duration of a single Karapan Sapi race heat?</t>
  </si>
  <si>
    <t>A) 10-20 seconds, B) 30-40 seconds, C) About 1 minute, D) Over 2 minutes</t>
  </si>
  <si>
    <t>A) 10-20 seconds</t>
  </si>
  <si>
    <t>The race is an explosive sprint, with most heats lasting only a very short time.</t>
  </si>
  <si>
    <t>What does the term 'Karapan Sapi' translate to in English?</t>
  </si>
  <si>
    <t>A) Bull Race, B) Bull Fight, C) Ox Festival, D) Speed King</t>
  </si>
  <si>
    <t>A) Bull Race</t>
  </si>
  <si>
    <t>Karapan' refers to the act of racing or chasing, and 'Sapi' means cow or bull.</t>
  </si>
  <si>
    <t>What is a common superstition among jockeys before a race?</t>
  </si>
  <si>
    <t>A) Not looking back, B) Not wearing green, C) Avoiding certain foods, D) Sleeping near the bulls</t>
  </si>
  <si>
    <t>B) Not wearing green</t>
  </si>
  <si>
    <t>Some traditional beliefs hold that wearing green, the color of the sea goddess, is bad luck.</t>
  </si>
  <si>
    <t>If a jockey's whip breaks mid-race, what is the procedure?</t>
  </si>
  <si>
    <t>A) Race is stopped, B) Disqualification, C) Continue without whip, D) Assistant provides a new one</t>
  </si>
  <si>
    <t>C) Continue without whip</t>
  </si>
  <si>
    <t>Equipment failure that doesn't cause interference does not stop the race.</t>
  </si>
  <si>
    <t>What is the penalty for a team that fails to appear at the starting line after three calls?</t>
  </si>
  <si>
    <t>A) Fine, B) Forfeit the heat, C) Demoted to last place, D) Warning</t>
  </si>
  <si>
    <t>B) Forfeit the heat</t>
  </si>
  <si>
    <t>A team that does not present itself to race after being called three times is considered a forfeit.</t>
  </si>
  <si>
    <t>What is the official term for the jockey in Karapan Sapi?</t>
  </si>
  <si>
    <t>A) Pengendara, B) Tukang Sapi, C) Tokang Tongko, D) Pelari</t>
  </si>
  <si>
    <t>C) Tokang Tongko</t>
  </si>
  <si>
    <t>The jockey who balances on the sled is officially known as the 'Tokang Tongko'.</t>
  </si>
  <si>
    <t>If a race is stopped due to spectator interference, the typical ruling is:</t>
  </si>
  <si>
    <t>A) Disqualify guilty team, B) Award win to leading team, C) Declare a no-contest and re-race, D) Fine the spectators</t>
  </si>
  <si>
    <t>C) Declare a no-contest and re-race</t>
  </si>
  <si>
    <t>If outside interference affects the outcome, the heat is usually voided and re-run.</t>
  </si>
  <si>
    <t>What is the "finish line" traditionally made of?</t>
  </si>
  <si>
    <t>A) A painted line, B) A rope, C) Two red banners (*oblak*), D) A wooden beam</t>
  </si>
  <si>
    <t>C) Two red banners (*oblak*)</t>
  </si>
  <si>
    <t>The finish line is often marked by a pair of banners that the bulls run through.</t>
  </si>
  <si>
    <t>If a re-race also results in a dead heat, what happens in a final?</t>
  </si>
  <si>
    <t>A) A third re-race is ordered, B) Joint winners are declared, C) A coin is tossed, D) The heavier bull team wins</t>
  </si>
  <si>
    <t>B) Joint winners are declared</t>
  </si>
  <si>
    <t>While rare, if a re-race fails to produce a clear winner, joint champions may be declared.</t>
  </si>
  <si>
    <t>A bull passes the vet check but shows distress at the starting line. Who makes the final call?</t>
  </si>
  <si>
    <t>A) The owner, B) The head judge, C) The jockey, D) The track veterinarian</t>
  </si>
  <si>
    <t>B) The head judge</t>
  </si>
  <si>
    <t>The head judge, advised by the vet, has the ultimate authority to withdraw a team for safety.</t>
  </si>
  <si>
    <t>What material is expressly forbidden for use in hoof protection?</t>
  </si>
  <si>
    <t>A) Leather, B) Rubber, C) Metal plates, D) Woven fabric</t>
  </si>
  <si>
    <t>C) Metal plates</t>
  </si>
  <si>
    <t>Metal shoes or plates are banned to prevent injury to the bulls and damage to the track.</t>
  </si>
  <si>
    <t>What is the procedure if a sled breaks apart mid-race without causing a fall?</t>
  </si>
  <si>
    <t>A) Immediate disqualification, B) Continue if possible, C) Race is stopped for safety, D) Time penalty applied</t>
  </si>
  <si>
    <t>C) Race is stopped for safety</t>
  </si>
  <si>
    <t>A disintegrating sled creates dangerous debris, requiring the race to be halted.</t>
  </si>
  <si>
    <t>What is the penalty for verbally taunting or insulting a rival jockey during a race?</t>
  </si>
  <si>
    <t>A) No penalty, B) Warning after the heat, C) Fine, D) Disqualification for unsportsmanlike conduct</t>
  </si>
  <si>
    <t>B) Warning after the heat</t>
  </si>
  <si>
    <t>Unsportsmanlike conduct like taunting usually results in an official warning from the judges.</t>
  </si>
  <si>
    <t>What is the minimum number of qualifying heats a team must win to reach a final?</t>
  </si>
  <si>
    <t>A) 1, B) 2, C) 3, D) Depends on the bracket size</t>
  </si>
  <si>
    <t>D) Depends on the bracket size</t>
  </si>
  <si>
    <t>The number of wins required depends on the number of entrants and the structure of the tournament.</t>
  </si>
  <si>
    <t>In what part of the sled must the jockey's feet remain during the race?</t>
  </si>
  <si>
    <t>A) On the main crosspiece, B) Inside designated foot holds, C) Anywhere on the sled, D) On the yoke</t>
  </si>
  <si>
    <t>B) Inside designated foot holds</t>
  </si>
  <si>
    <t>For safety and control, jockeys must keep their feet within the specific footplates or holds.</t>
  </si>
  <si>
    <t>If a team's decorations are deemed to be distracting or unsafe (e.g., with mirrors), judges can:</t>
  </si>
  <si>
    <t>A) Order them removed, B) Add a time penalty, C) Disqualify the team, D) Ignore it</t>
  </si>
  <si>
    <t>A) Order them removed</t>
  </si>
  <si>
    <t>Judges have the authority to order the removal of any decorations that pose a safety risk.</t>
  </si>
  <si>
    <t>What is the official signal for a false start?</t>
  </si>
  <si>
    <t>A) A red flag, B) A whistle, C) A second flag drop, D) A recall gun</t>
  </si>
  <si>
    <t>C) A second flag drop</t>
  </si>
  <si>
    <t>A second flag is often raised or dropped by a recall judge to signal a false start.</t>
  </si>
  <si>
    <t>Can a jockey be substituted between heats?</t>
  </si>
  <si>
    <t>A) Yes, at any time, B) No, the same jockey must race all day, C) Only if injured and approved by judges, D) Only between qualifying and finals</t>
  </si>
  <si>
    <t>C) Only if injured and approved by judges</t>
  </si>
  <si>
    <t>A jockey substitution is only permitted in cases of injury with official approval.</t>
  </si>
  <si>
    <t>What happens if a bull is found to have been tranquilized to appear calm pre-race?</t>
  </si>
  <si>
    <t>A) The team is praised, B) The team is disqualified and banned, C) A vet must approve, D) The race is delayed</t>
  </si>
  <si>
    <t>B) The team is disqualified and banned</t>
  </si>
  <si>
    <t>Using sedatives is a severe form of doping that results in disqualification and a potential ban.</t>
  </si>
  <si>
    <t>If a natural event (e.g., sudden downpour) makes the track unusable mid-event:</t>
  </si>
  <si>
    <t>A) The event is cancelled, B) Results so far are final, C) The event is postponed, D) Teams vote to continue</t>
  </si>
  <si>
    <t>C) The event is postponed</t>
  </si>
  <si>
    <t>If conditions become unsafe, the competition is typically postponed until the track is fit for racing.</t>
  </si>
  <si>
    <t>What is the maximum number of people, including jockey and assistant, allowed per team in the starting area?</t>
  </si>
  <si>
    <t>A) 2, B) 3, C) 4, D) 5</t>
  </si>
  <si>
    <t>D) 5</t>
  </si>
  <si>
    <t>A small team of handlers is permitted in the staging area to control the bulls before the start.</t>
  </si>
  <si>
    <t>Who is responsible for clearing a team's bulls from the track after a heat?</t>
  </si>
  <si>
    <t>A) The jockey, B) The assistant and handlers, C) Track officials, D) The next team</t>
  </si>
  <si>
    <t>B) The assistant and handlers</t>
  </si>
  <si>
    <t>Each team is responsible for safely and quickly removing their animals from the track.</t>
  </si>
  <si>
    <t>Can a team protest a judge's decision regarding a photo finish?</t>
  </si>
  <si>
    <t>A) Yes, at any time, B) Yes, within the protest window, C) No, photo finishes are final, D) Only if the camera failed</t>
  </si>
  <si>
    <t>C) No, photo finishes are final</t>
  </si>
  <si>
    <t>The result of a certified photo finish is considered definitive and is not subject to protest.</t>
  </si>
  <si>
    <t>What color flag is used to signal the final lap or heat of the day?</t>
  </si>
  <si>
    <t>A) Green, B) White, C) Checkered, D) No special flag</t>
  </si>
  <si>
    <t>D) No special flag</t>
  </si>
  <si>
    <t>Unlike motorsports, there is no special flag used to denote the final race of the event.</t>
  </si>
  <si>
    <t>The appeals committee that reviews a judge's protest decision is typically composed of:</t>
  </si>
  <si>
    <t>A) Village elders, B) Senior race organizers and former champions, C) Government officials, D) A random panel of owners</t>
  </si>
  <si>
    <t>B) Senior race organizers and former champions</t>
  </si>
  <si>
    <t>An independent committee of respected figures in the sport is formed to ensure impartial appeals.</t>
  </si>
  <si>
    <t>What is the penalty for filing a protest that is deemed frivolous or unsportsmanlike?</t>
  </si>
  <si>
    <t>A) No penalty, B) A formal warning, C) Forfeiture of the protest fee and a fine, D) Suspension from the next race</t>
  </si>
  <si>
    <t>C) Forfeiture of the protest fee and a fine</t>
  </si>
  <si>
    <t>To discourage bad-faith protests, a penalty is enforced if the claim is found to be baseless.</t>
  </si>
  <si>
    <t>Beyond lameness, which sign will a vet cite to disqualify a bull pre-race?</t>
  </si>
  <si>
    <t>A) Nervousness, B) Signs of severe dehydration or exhaustion, C) A dull coat, D) Below-average weight</t>
  </si>
  <si>
    <t>B) Signs of severe dehydration or exhaustion</t>
  </si>
  <si>
    <t>A vet will disqualify a bull that is clearly unwell or unfit to race, posing a safety and welfare risk.</t>
  </si>
  <si>
    <t>If a winning bull sustains a minor, non-debilitating injury during the final race, what is the protocol?</t>
  </si>
  <si>
    <t>A) The win is voided, B) The team receives half the prize, C) The result stands, but the bull must be treated, D) The runner-up is declared winner</t>
  </si>
  <si>
    <t>C) The result stands, but the bull must be treated</t>
  </si>
  <si>
    <t>The race result is valid, but the bull must receive mandatory veterinary attention before leaving the venue.</t>
  </si>
  <si>
    <t>The wooden yoke (*pangonong*) connecting the bulls must be:</t>
  </si>
  <si>
    <t>A) Made of any hardwood, B) Lightweight and custom-fitted to the pair, C) Painted with the owner's colors, D) A standardized weight and size</t>
  </si>
  <si>
    <t>B) Lightweight and custom-fitted to the pair</t>
  </si>
  <si>
    <t>The yoke is a critical piece of custom equipment, tailored to the specific bull pair for comfort and performance.</t>
  </si>
  <si>
    <t>Which material is expressly forbidden for the tip or lash of a jockey's whip?</t>
  </si>
  <si>
    <t>A) Braided leather, B) Rope, C) Wire or metal, D) Hard plastic</t>
  </si>
  <si>
    <t>C) Wire or metal</t>
  </si>
  <si>
    <t>To prevent serious injury, any form of metal in the whip's lash is strictly banned.</t>
  </si>
  <si>
    <t>If non-hazardous debris (like a hat) blows onto the track mid-race, what is the procedure?</t>
  </si>
  <si>
    <t>A) The race is stopped, B) The race continues uninterrupted, C) The affected team gets a re-run, D) A warning is issued to spectators</t>
  </si>
  <si>
    <t>B) The race continues uninterrupted</t>
  </si>
  <si>
    <t>The race is only stopped if the debris poses a genuine safety hazard to the bulls or jockeys.</t>
  </si>
  <si>
    <t>If a stray animal (e.g., a dog) interferes with one team, what is the ruling?</t>
  </si>
  <si>
    <t>A) The affected team is disqualified, B) The race result stands, C) The heat is declared a no-contest and re-run, D) The affected team gets a time credit</t>
  </si>
  <si>
    <t>C) The heat is declared a no-contest and re-run</t>
  </si>
  <si>
    <t>External interference from an outside source that impacts the race outcome nullifies the heat.</t>
  </si>
  <si>
    <t>What is the rule regarding sponsor logos on the sled or jockey's attire?</t>
  </si>
  <si>
    <t>A) They are forbidden, B) Allowed only on the sled, C) Allowed with size and placement restrictions, D) No restrictions</t>
  </si>
  <si>
    <t>C) Allowed with size and placement restrictions</t>
  </si>
  <si>
    <t>Sponsorship is permitted but is regulated by the race committee to maintain the event's traditional aesthetic.</t>
  </si>
  <si>
    <t>If a champion team refuses their trophy in protest, what is the consequence?</t>
  </si>
  <si>
    <t>A) They are banned for one year, B) They must forfeit the prize money, C) The runner-up receives the trophy, D) They are issued a formal warning for disrespect</t>
  </si>
  <si>
    <t>B) They must forfeit the prize money</t>
  </si>
  <si>
    <t>Accepting the trophy is usually tied to accepting the prize money; a refusal of one can mean forfeiture of the other.</t>
  </si>
  <si>
    <t>If all electronic timing fails and there is no video, how is a winner officially determined?</t>
  </si>
  <si>
    <t>A) A re-race is ordered, B) The head judge's stopwatch is the sole decider, C) An average of three official stopwatches is used, D) The crowd's opinion is taken</t>
  </si>
  <si>
    <t>A) A re-race is ordered</t>
  </si>
  <si>
    <t>In the absence of verifiable timing data for a close finish, a re-race is the only fair solution.</t>
  </si>
  <si>
    <t>Are jockeys permitted to wear earpieces for communication with assistants?</t>
  </si>
  <si>
    <t>A) Yes, for safety, B) Only in qualifying heats, C) No, all electronic communication is banned, D) Yes, but only for listening</t>
  </si>
  <si>
    <t>C) No, all electronic communication is banned</t>
  </si>
  <si>
    <t>To maintain the traditional nature of the sport, no electronic aids are permitted for jockeys.</t>
  </si>
  <si>
    <t>Historically, what now-banned substance was used to incite bulls to run faster?</t>
  </si>
  <si>
    <t>A) Sugar water, B) Coffee, C) Herbal balms with irritants like chili, D) Alcohol</t>
  </si>
  <si>
    <t>C) Herbal balms with irritants like chili</t>
  </si>
  <si>
    <t>This cruel historical practice of applying irritants to sensitive areas is now a serious animal welfare violation.</t>
  </si>
  <si>
    <t>What defines the outer boundary of the track's safety zone for spectators?</t>
  </si>
  <si>
    <t>A) A painted line, B) A single rope, C) A fence or double barrier, D) The edge of the grass</t>
  </si>
  <si>
    <t>C) A fence or double barrier</t>
  </si>
  <si>
    <t>For safety, a proper physical barrier is required to separate the crowd from the runoff area of the track.</t>
  </si>
  <si>
    <t>Is participation in the pre-race ceremonial parade (*Sapi Sonok*) mandatory for competitors?</t>
  </si>
  <si>
    <t>A) Yes, for all teams, B) No, it is optional, C) Only for past champions, D) Only for local teams</t>
  </si>
  <si>
    <t>B) No, it is optional</t>
  </si>
  <si>
    <t>While culturally significant, the ceremonial parade is not a mandatory component for race participation.</t>
  </si>
  <si>
    <t>Can a team substitute one of their bulls between qualifying and the final due to fatigue?</t>
  </si>
  <si>
    <t>A) Yes, if a vet approves, B) Yes, they can use a reserve bull, C) No, the same pair must run all day, D) Only if the bull is a different color</t>
  </si>
  <si>
    <t>C) No, the same pair must run all day</t>
  </si>
  <si>
    <t>A team must compete with the same pair of bulls throughout the entire competition, unless for a verified injury.</t>
  </si>
  <si>
    <t>If a sled is damaged in one heat, can a team use a completely different sled in the next?</t>
  </si>
  <si>
    <t>A) No, only repairs are allowed, B) Yes, as long as it passes inspection, C) Only if the first sled is unrepairable, D) Yes, but with a time penalty</t>
  </si>
  <si>
    <t>B) Yes, as long as it passes inspection</t>
  </si>
  <si>
    <t>Teams may use a backup sled provided it meets all official equipment specifications.</t>
  </si>
  <si>
    <t>Is there a minimum or maximum weight limit for jockeys?</t>
  </si>
  <si>
    <t>A) Yes, a strict 70kg maximum, B) Yes, a 50kg minimum, C) No, there are no official weight restrictions, D) Only for youth competitions</t>
  </si>
  <si>
    <t>C) No, there are no official weight restrictions</t>
  </si>
  <si>
    <t>Jockeys are typically very light for performance reasons, but there is no formal rule governing their weight.</t>
  </si>
  <si>
    <t>What is the ruling if an assistant intentionally splashes water to create a slick spot for a rival?</t>
  </si>
  <si>
    <t>A) A warning, B) A fine, C) Immediate disqualification for sabotage, D) The rival team gets a restart</t>
  </si>
  <si>
    <t>C) Immediate disqualification for sabotage</t>
  </si>
  <si>
    <t>Deliberately altering the track surface to impede a competitor is a severe act of unsportsmanlike conduct.</t>
  </si>
  <si>
    <t>Under what condition, besides a violation, must a team forfeit prize money after a win?</t>
  </si>
  <si>
    <t>A) If the owner is not present, B) If they fail a post-race equipment inspection, C) If they leave before the ceremony, D) If their bull is sold immediately</t>
  </si>
  <si>
    <t>B) If they fail a post-race equipment inspection</t>
  </si>
  <si>
    <t>If a winning team's equipment is found to be illegal after the race, the prize and title are forfeited.</t>
  </si>
  <si>
    <t>Who handles long-term suspensions or bans for severe rule violations?</t>
  </si>
  <si>
    <t>A) The head judge, B) The local government, C) A regional disciplinary committee, D) A vote of all team owners</t>
  </si>
  <si>
    <t>C) A regional disciplinary committee</t>
  </si>
  <si>
    <t>A separate governing body or committee handles sanctions that extend beyond a single race day.</t>
  </si>
  <si>
    <t>Are spectators allowed to use artificial noisemakers like air horns near the start line?</t>
  </si>
  <si>
    <t>A) Yes, to add excitement, B) Only after the race starts, C) No, they are forbidden near the start, D) Only if supporting the home team</t>
  </si>
  <si>
    <t>C) No, they are forbidden near the start</t>
  </si>
  <si>
    <t>To prevent spooking the bulls and causing false starts, artificial noisemakers are banned in the starting area.</t>
  </si>
  <si>
    <t>Can a track veterinarian overrule a head judge's decision?</t>
  </si>
  <si>
    <t>A) Never, B) Yes, but only if it pertains to animal safety, C) Only if the owner agrees, D) Only in the final race</t>
  </si>
  <si>
    <t>B) Yes, but only if it pertains to animal safety</t>
  </si>
  <si>
    <t>The vet has ultimate authority on matters of animal welfare and can force a withdrawal for safety reasons.</t>
  </si>
  <si>
    <t>How is a tie for the final qualifying spot in a heat typically resolved?</t>
  </si>
  <si>
    <t>A) The lighter team advances, B) A coin toss, C) A special two-team run-off heat, D) The team with the older bull advances</t>
  </si>
  <si>
    <t>C) A special two-team run-off heat</t>
  </si>
  <si>
    <t>A direct head-to-head race is the fairest way to break a tie for a spot in the next round.</t>
  </si>
  <si>
    <t>What is the standard minimum width for a single racing lane on a championship track?</t>
  </si>
  <si>
    <t>A) 5 meters, B) 10 meters, C) 15 meters, D) 20 meters</t>
  </si>
  <si>
    <t>B) 10 meters</t>
  </si>
  <si>
    <t>A wide lane is necessary to provide a safe operating space for the bull pair and sled.</t>
  </si>
  <si>
    <t>Is there a time limit for how long a winning team can celebrate on the track?</t>
  </si>
  <si>
    <t>A) No limit, B) 1 minute, C) 5 minutes, D) Yes, they must clear the track immediately</t>
  </si>
  <si>
    <t>D) Yes, they must clear the track immediately</t>
  </si>
  <si>
    <t>For safety and to keep the event moving, winning teams must promptly move their bulls to the runoff area.</t>
  </si>
  <si>
    <t>The yoke must be attached in a way that prevents:</t>
  </si>
  <si>
    <t>A) The bulls from seeing each other, B) The jockey from falling, C) Choking or restricting natural head movement, D) The decorations from falling off</t>
  </si>
  <si>
    <t>C) Choking or restricting natural head movement</t>
  </si>
  <si>
    <t>Proper attachment of the yoke is a key animal welfare rule, ensuring the bulls can run without impediment.</t>
  </si>
  <si>
    <t>If an entire event is abandoned due to weather, how are registered entry fees handled?</t>
  </si>
  <si>
    <t>A) They are forfeited, B) They are fully refunded or credited to a rescheduled event, C) Half is refunded, D) They are donated to charity</t>
  </si>
  <si>
    <t>B) They are fully refunded or credited to a rescheduled event</t>
  </si>
  <si>
    <t>If the organizers cancel the event, they are obligated to return the entry fees to the participants.</t>
  </si>
  <si>
    <t>What part of the sled is a jockey forbidden from touching with their hands during a race?</t>
  </si>
  <si>
    <t>A) The yoke, B) The reins, C) The main frame, D) The ground-facing runners</t>
  </si>
  <si>
    <t>D) The ground-facing runners</t>
  </si>
  <si>
    <t>Touching the runners could alter the sled's friction and is considered a form of interference.</t>
  </si>
  <si>
    <t>What is a common superstition among jockeys before a Karapan Sapi race?</t>
  </si>
  <si>
    <t>A) Not to look back, B) Not to wear certain colors, C) Avoid certain foods, D) Sleep under the stars</t>
  </si>
  <si>
    <t>B) Not to wear certain colors</t>
  </si>
  <si>
    <t>Jockeys may avoid certain colors for luck before a race.</t>
  </si>
  <si>
    <t>In Indonesian Sepak Takraw rules, which foot of the server (Tekong) must remain inside the service circle?</t>
  </si>
  <si>
    <t>A) Right, B) Left, C) Both, D) Either one</t>
  </si>
  <si>
    <t>D) Either one</t>
  </si>
  <si>
    <t>The rule states that one foot must be inside the circle to maintain contact, but it can be either foot.</t>
  </si>
  <si>
    <t>What is the immediate ruling if the server lifts their pivot foot completely off the ground during a serve?</t>
  </si>
  <si>
    <t>A) Point continues, B) Replay, C) Fault, D) Warning</t>
  </si>
  <si>
    <t>C) Fault</t>
  </si>
  <si>
    <t>The server must maintain contact with the ground inside the service circle with their non-kicking foot until the ball is struck.</t>
  </si>
  <si>
    <t>If the toss from an inside player is poor, how many re-tosses is the server allowed?</t>
  </si>
  <si>
    <t>A) None, B) One, C) Two, D) Unlimited</t>
  </si>
  <si>
    <t>B) One</t>
  </si>
  <si>
    <t>The server is permitted one re-toss per service attempt before they must strike the ball.</t>
  </si>
  <si>
    <t>Which official is primarily responsible for signaling the validity of the serve?</t>
  </si>
  <si>
    <t>A) Referee, B) Service Judge, C) Assistant Referee, D) Scorer</t>
  </si>
  <si>
    <t>B) Service Judge</t>
  </si>
  <si>
    <t>The Service Judge's main role is to watch for foot faults and ensure the serve is executed legally.</t>
  </si>
  <si>
    <t>In a formal tournament, who is responsible for announcing the serving order and rotation?</t>
  </si>
  <si>
    <t>A) The team captain, B) The Referee, C) The Linesman, D) The Umpire</t>
  </si>
  <si>
    <t>D) The Umpire</t>
  </si>
  <si>
    <t>The umpire is responsible for managing the flow of the game, including enforcing service rotation rules.</t>
  </si>
  <si>
    <t>What is the penalty for a player who deliberately delays the game (e.g., by tying shoes unnecessarily)?</t>
  </si>
  <si>
    <t>A) Replay, B) Warning, C) Yellow card, D) Fault</t>
  </si>
  <si>
    <t>C) Yellow card</t>
  </si>
  <si>
    <t>Deliberate delay of game is considered misconduct and is penalized with a caution, typically a yellow card.</t>
  </si>
  <si>
    <t>What is the consequence if a player’s foot touches the net while attempting a spike?</t>
  </si>
  <si>
    <t>A) No consequence, B) Warning, C) Fault, D) Replay</t>
  </si>
  <si>
    <t>Any contact with the net by a player's body or clothing during a rally results in a fault and a point for the opponent.</t>
  </si>
  <si>
    <t>If a player verbally distracts an opponent just before they strike the ball, what is the ruling?</t>
  </si>
  <si>
    <t>A) Warning, B) Point to opponent, C) Replay, D) No action</t>
  </si>
  <si>
    <t>B) Point to opponent</t>
  </si>
  <si>
    <t>Verbal distraction or unsportsmanlike conduct that interferes with play results in a point being awarded to the opponent.</t>
  </si>
  <si>
    <t>What happens if the ball hits the ceiling or another overhead obstruction in an indoor court?</t>
  </si>
  <si>
    <t>A) Replay, B) Point to striker, C) Fault, D) Rally continues</t>
  </si>
  <si>
    <t>The rally is immediately over, and a fault is declared against the team that hit the ball into the obstruction.</t>
  </si>
  <si>
    <t>During a rally, if two players from the same team touch the ball simultaneously, the ruling is:</t>
  </si>
  <si>
    <t>A) Legal play, B) Fault, C) Replay, D) Warning</t>
  </si>
  <si>
    <t>B) Fault</t>
  </si>
  <si>
    <t>Only one player may contact the ball at a time; a double-hit by the team results in a fault.</t>
  </si>
  <si>
    <t>What card is shown for persistent minor misconduct after a verbal warning has been given?</t>
  </si>
  <si>
    <t>A) No card, B) Yellow, C) Red, D) Black</t>
  </si>
  <si>
    <t>B) Yellow</t>
  </si>
  <si>
    <t>A yellow card serves as a formal caution for repeated rule infractions or unsportsmanlike behavior.</t>
  </si>
  <si>
    <t>What is the penalty for receiving two yellow cards in a single match?</t>
  </si>
  <si>
    <t>A) A stern warning, B) Red card and ejection for the set, C) Red card and ejection for the match, D) A 5-point penalty</t>
  </si>
  <si>
    <t>C) Red card and ejection for the match</t>
  </si>
  <si>
    <t>Accumulating two yellow cards results in a red card, meaning the player is dismissed for the remainder of the match.</t>
  </si>
  <si>
    <t>Which authority has the final say and can overrule a linesman’s "in" or "out" call?</t>
  </si>
  <si>
    <t>A) The team captain, B) The Referee, C) The official scorer, D) The coach</t>
  </si>
  <si>
    <t>B) The Referee</t>
  </si>
  <si>
    <t>The main referee has the ultimate authority on the court and can overrule calls made by other officials.</t>
  </si>
  <si>
    <t>What does a straight red card (not from two yellows) signify in Sepak Takraw?</t>
  </si>
  <si>
    <t>A) A warning for a serious offense, B) Ejection for the current set only, C) Ejection for the match for serious foul play, D) A replay of the point</t>
  </si>
  <si>
    <t>C) Ejection for the match for serious foul play</t>
  </si>
  <si>
    <t>A straight red card is issued for serious offenses like violent conduct, resulting in immediate dismissal from the match.</t>
  </si>
  <si>
    <t>If the referee makes an error in announcing the score, who has the authority to request a correction?</t>
  </si>
  <si>
    <t>A) Players only, B) The team captain or coach, C) The linesman, D) Spectators</t>
  </si>
  <si>
    <t>B) The team captain or coach</t>
  </si>
  <si>
    <t>The team captain is the only player authorized to approach the referee regarding rule interpretations or scoring errors.</t>
  </si>
  <si>
    <t>What is the required minimum clearance height from the court surface to the ceiling indoors?</t>
  </si>
  <si>
    <t>A) 6m, B) 7m, C) 8m, D) 10m</t>
  </si>
  <si>
    <t>C) 8m</t>
  </si>
  <si>
    <t>An 8-meter clearance is required to allow for high kicks and aerial play without obstruction.</t>
  </si>
  <si>
    <t>In international competitions, what are the official balls primarily made of?</t>
  </si>
  <si>
    <t>A) Woven bamboo, B) Woven rattan or synthetic fibre, C) Hard plastic, D) Stitched leather</t>
  </si>
  <si>
    <t>B) Woven rattan or synthetic fibre</t>
  </si>
  <si>
    <t>While traditionally made of rattan, modern official balls are typically made of durable woven synthetic fibre.</t>
  </si>
  <si>
    <t>How many service circles are marked on the court?</t>
  </si>
  <si>
    <t>There is one service circle, from which the Tekong serves, on each side of the court.</t>
  </si>
  <si>
    <t>What is the radius of the service circle?</t>
  </si>
  <si>
    <t>A) 30 cm, B) 45 cm, C) 50 cm, D) 60 cm</t>
  </si>
  <si>
    <t>A) 30 cm</t>
  </si>
  <si>
    <t>The service circle is defined by a radius of 30 cm, drawn on the center line.</t>
  </si>
  <si>
    <t>What are the official dimensions of a Sepak Takraw court?</t>
  </si>
  <si>
    <t>A) 12m x 6m, B) 13.4m x 6.1m, C) 14m x 7m, D) 15m x 7.5m</t>
  </si>
  <si>
    <t>B) 13.4m x 6.1m</t>
  </si>
  <si>
    <t>The court dimensions are identical to those of a badminton doubles court.</t>
  </si>
  <si>
    <t>How wide must the official boundary lines of the court be?</t>
  </si>
  <si>
    <t>A) 2 cm, B) 3 cm, C) 4 cm, D) 5 cm</t>
  </si>
  <si>
    <t>C) 4 cm</t>
  </si>
  <si>
    <t>The court lines must be 4 cm wide and are considered part of the playing area.</t>
  </si>
  <si>
    <t>What is the official weight range for a ball used in men's competitions?</t>
  </si>
  <si>
    <t>A) 150-160 g, B) 160-170 g, C) 170-180 g, D) 180-190 g</t>
  </si>
  <si>
    <t>C) 170-180 g</t>
  </si>
  <si>
    <t>The official ball weight for men must be between 170 and 180 grams.</t>
  </si>
  <si>
    <t>What is the official weight range for a ball used in women's competitions?</t>
  </si>
  <si>
    <t>A) 140-150 g, B) 150-160 g, C) 160-170 g, D) 170-180 g</t>
  </si>
  <si>
    <t>B) 150-160 g</t>
  </si>
  <si>
    <t>The official ball for women is slightly lighter, weighing between 150 and 160 grams.</t>
  </si>
  <si>
    <t>What is the official net height for women’s Sepak Takraw, measured at the center?</t>
  </si>
  <si>
    <t>A) 1.40 m, B) 1.45 m, C) 1.52 m, D) 1.55 m</t>
  </si>
  <si>
    <t>B) 1.45 m</t>
  </si>
  <si>
    <t>The net height for women’s matches is fixed at 1.45 meters.</t>
  </si>
  <si>
    <t>What is the official net height for men's Sepak Takraw, measured at the center?</t>
  </si>
  <si>
    <t>A) 1.42 m, B) 1.45 m, C) 1.52 m, D) 1.55 m</t>
  </si>
  <si>
    <t>C) 1.52 m</t>
  </si>
  <si>
    <t>The official net height for men's matches is set at 1.52 meters.</t>
  </si>
  <si>
    <t>A standard Sepak Takraw ball is required to have how many holes (intersections of the weave)?</t>
  </si>
  <si>
    <t>A) 10, B) 12, C) 18, D) 20</t>
  </si>
  <si>
    <t>D) 20</t>
  </si>
  <si>
    <t>An official synthetic ball is woven with 12 panels and must have 20 intersections.</t>
  </si>
  <si>
    <t>The net posts are placed at what distance outside the court's sidelines?</t>
  </si>
  <si>
    <t>A) 10 cm, B) 20 cm, C) 30 cm, D) 50 cm</t>
  </si>
  <si>
    <t>C) 30 cm</t>
  </si>
  <si>
    <t>The posts supporting the net must be placed 30 cm outside the left and right boundaries of the court.</t>
  </si>
  <si>
    <t>What is the official circumference range of a men's Sepak Takraw ball?</t>
  </si>
  <si>
    <t>A) 40–41 cm, B) 41–43 cm, C) 42–44 cm, D) 44–46 cm</t>
  </si>
  <si>
    <t>C) 42–44 cm</t>
  </si>
  <si>
    <t>The official circumference for men’s balls is set between 42 and 44 cm.</t>
  </si>
  <si>
    <t>A standard team (regu) in Sepak Takraw consists of how many starting players?</t>
  </si>
  <si>
    <t>B) 3</t>
  </si>
  <si>
    <t>A standard regu has three players on the court: a server (Tekong) and two inside players.</t>
  </si>
  <si>
    <t>Which part of the body is illegal to use to contact the ball?</t>
  </si>
  <si>
    <t>A) The head, B) The shoulder, C) The knee, D) The arm (from shoulder to fingertips)</t>
  </si>
  <si>
    <t>D) The arm (from shoulder to fingertips)</t>
  </si>
  <si>
    <t>Any contact with the arm or hand is a fault.</t>
  </si>
  <si>
    <t>How many sets are typically played in a standard match?</t>
  </si>
  <si>
    <t>A) Best of 1, B) Best of 2, C) Best of 3, D) Best of 5</t>
  </si>
  <si>
    <t>B) Best of 2</t>
  </si>
  <si>
    <t>A standard match is won by the first team to win two sets.</t>
  </si>
  <si>
    <t>What is the maximum number of consecutive touches a single player can make?</t>
  </si>
  <si>
    <t>A) One, B) Two, C) Three, D) Unlimited within the team's three</t>
  </si>
  <si>
    <t>A) One</t>
  </si>
  <si>
    <t>A player cannot touch the ball twice in a row; it must be passed to another player.</t>
  </si>
  <si>
    <t>A set is won by the team that first scores how many points with a minimum two-point lead?</t>
  </si>
  <si>
    <t>A) 15, B) 21, C) 25, D) 30</t>
  </si>
  <si>
    <t>B) 21</t>
  </si>
  <si>
    <t>A standard set is played to 21 points, but a team must win by at least two points.</t>
  </si>
  <si>
    <t>Which of these player roles is NOT an official position in a regu?</t>
  </si>
  <si>
    <t>A) Tekong (Server), B) Killer (Spiker), C) Feeder (Setter), D) Libero (Defender)</t>
  </si>
  <si>
    <t>D) Libero (Defender)</t>
  </si>
  <si>
    <t>The three core roles are the Tekong, Killer (or Striker), and Feeder (or Setter).</t>
  </si>
  <si>
    <t>What is the maximum number of substitutions a team is allowed per set?</t>
  </si>
  <si>
    <t>A) None, B) One, C) Two, D) Three</t>
  </si>
  <si>
    <t>Each team is permitted to make one substitution in a set.</t>
  </si>
  <si>
    <t>What happens if the score reaches 20-20 (a deuce)?</t>
  </si>
  <si>
    <t>A) The next point wins, B) Play continues until one team leads by two points, up to a ceiling, C) The set is replayed, D) The captains decide the winner</t>
  </si>
  <si>
    <t>B) Play continues until one team leads by two points, up to a ceiling</t>
  </si>
  <si>
    <t>The set continues until a two-point lead is achieved, with a maximum ceiling of 25 points.</t>
  </si>
  <si>
    <t>What is the name of the spectacular, acrobatic kick often used for spiking the ball?</t>
  </si>
  <si>
    <t>A) Overhead smash, B) Roll spike, C) Side volley, D) Drop kick</t>
  </si>
  <si>
    <t>B) Roll spike</t>
  </si>
  <si>
    <t>The roll spike is a high-level technique where a player jumps, flips, and kicks the ball over their shoulder.</t>
  </si>
  <si>
    <t>The name "Sepak Takraw" is a combination of two languages. What do they mean?</t>
  </si>
  <si>
    <t>A) "Jump Ball" (Malay/Thai), B) "Kick Ball" (Malay/Thai), C) "Net Weave" (Indonesian/Lao), D) "Fast Foot" (Indonesian/Lao)</t>
  </si>
  <si>
    <t>B) "Kick Ball" (Malay/Thai)</t>
  </si>
  <si>
    <t>"Sepak" is Malay for "kick," and "Takraw" is Thai for the woven rattan ball.</t>
  </si>
  <si>
    <t>A point is awarded if the opposing team fails to return the ball in how many touches?</t>
  </si>
  <si>
    <t>If the receiving team uses more than three touches, they forfeit the point.</t>
  </si>
  <si>
    <t>During a serve, where must the two "inside" players be positioned?</t>
  </si>
  <si>
    <t>A) Anywhere on their side, B) In the quarter circles at the front of the court, C) Behind the server, D) On the sidelines</t>
  </si>
  <si>
    <t>B) In the quarter circles at the front of the court</t>
  </si>
  <si>
    <t>The two players who are not serving must remain within their designated quarter circles until the serve is made.</t>
  </si>
  <si>
    <t>What is a "faulty toss" during a serve?</t>
  </si>
  <si>
    <t>A) The toss is too high, B) The toss is too low, C) The toss goes over the server's head or into the net, D) The toss is spun</t>
  </si>
  <si>
    <t>C) The toss goes over the server's head or into the net</t>
  </si>
  <si>
    <t>If the toss is unplayable (e.g., goes into the net), it is considered a faulty toss.</t>
  </si>
  <si>
    <t>What is the ruling if a player's momentum causes them to land outside the court after a spike?</t>
  </si>
  <si>
    <t>A) Fault, B) Replay, C) Legal play, D) Warning</t>
  </si>
  <si>
    <t>C) Legal play</t>
  </si>
  <si>
    <t>It is legal for a player to land outside the court boundaries, provided their take-off was inside and they did not touch the net.</t>
  </si>
  <si>
    <t>How is the choice of serve or side decided at the beginning of a match?</t>
  </si>
  <si>
    <t>A) The home team chooses, B) The higher-ranked team chooses, C) A coin toss, D) The referee decides</t>
  </si>
  <si>
    <t>C) A coin toss</t>
  </si>
  <si>
    <t>The referee conducts a coin toss; the winner chooses either to serve first or to select which side of the court to start on.</t>
  </si>
  <si>
    <t>The final, deciding third set of a match is also known as the:</t>
  </si>
  <si>
    <t>A) Bonus set, B) Tie-breaker set, C) Golden set, D) Final set</t>
  </si>
  <si>
    <t>B) Tie-breaker set</t>
  </si>
  <si>
    <t>The third set is played to a lower point total (usually 15) to decide the match winner.</t>
  </si>
  <si>
    <t>What is the term for a powerful, unreturnable spike that wins a point?</t>
  </si>
  <si>
    <t>A) A "Tek", B) A "Sepak", C) A "Killer", D) An "Ace"</t>
  </si>
  <si>
    <t>C) A "Killer"</t>
  </si>
  <si>
    <t>This term refers to the spiker's action and the successful outcome of an attack.</t>
  </si>
  <si>
    <t>Is a player allowed to block a spike with their head directly over the net?</t>
  </si>
  <si>
    <t>A) Yes, as long as they don't touch the net, B) No, blocking is not allowed, C) Yes, but only if their feet are on the ground, D) No, only feet can be used over the net</t>
  </si>
  <si>
    <t>A) Yes, as long as they don't touch the net</t>
  </si>
  <si>
    <t>A player can use any legal body part to block, provided they don't touch the net or cross into the opponent's space before the attack is complete.</t>
  </si>
  <si>
    <t>What is the penalty for a coach or player showing dissent towards a referee's decision?</t>
  </si>
  <si>
    <t>A) A verbal warning, B) A yellow or red card for misconduct, C) A point deduction, D) Forfeiture of the set</t>
  </si>
  <si>
    <t>B) A yellow or red card for misconduct</t>
  </si>
  <si>
    <t>Dissent is considered unsportsmanlike conduct and is penalized with official cards.</t>
  </si>
  <si>
    <t>If a player is injured and a substitution has already been used in that set, what is the procedure?</t>
  </si>
  <si>
    <t>A) The team must forfeit the set, B) The player can return after a 5-minute timeout, C) An exceptional substitution may be allowed, D) The team must play with two players</t>
  </si>
  <si>
    <t>A) The team must forfeit the set</t>
  </si>
  <si>
    <t>If a team is unable to field three players and has no substitutions left, they must forfeit that set.</t>
  </si>
  <si>
    <t>What is the primary role of the "Feeder" or "Setter"?</t>
  </si>
  <si>
    <t>A) To serve the ball, B) To perform the final spike, C) To set the ball perfectly for the spiker, D) To receive the serve</t>
  </si>
  <si>
    <t>C) To set the ball perfectly for the spiker</t>
  </si>
  <si>
    <t>The Feeder's main job is to control the ball (usually on the second touch) and position it for the Killer to attack.</t>
  </si>
  <si>
    <t>What is the ruling if a serve touches the net and then lands in the opponent's court?</t>
  </si>
  <si>
    <t>A) Fault, B) Replay (Let), C) Point to the serving team, D) Point to the receiving team</t>
  </si>
  <si>
    <t>C) Point to the serving team</t>
  </si>
  <si>
    <t>Unlike in volleyball, a serve that touches the net and lands in-bounds is a live, legal ball.</t>
  </si>
  <si>
    <t>What is the maximum time allowed for a team to execute a serve after the referee calls the score?</t>
  </si>
  <si>
    <t>A) 3 seconds, B) 5 seconds, C) 8 seconds, D) 10 seconds</t>
  </si>
  <si>
    <t>B) 5 seconds</t>
  </si>
  <si>
    <t>A player has 5 seconds to execute the serve after the score is announced to prevent delays.</t>
  </si>
  <si>
    <t>A fault is called if any part of a player's body crosses over the net into the opponent's court, unless:</t>
  </si>
  <si>
    <t>A) It is after they have played the ball, B) They do not touch the net, C) The ball has already landed, D) It is during a block</t>
  </si>
  <si>
    <t>A) It is after they have played the ball</t>
  </si>
  <si>
    <t>A player's follow-through motion may carry them over the net, which is legal as long as contact with the ball was on their side.</t>
  </si>
  <si>
    <t>What happens if the ball hits one of the net posts during a rally?</t>
  </si>
  <si>
    <t>A) The ball is still in play, B) It is a fault, C) The point is replayed, D) It is a point for the team that hit the post</t>
  </si>
  <si>
    <t>B) It is a fault</t>
  </si>
  <si>
    <t>The net posts are considered outside the court; if the ball hits them, it is a fault against the team that last touched it.</t>
  </si>
  <si>
    <t>The term Apit Kanan refers to which player position?</t>
  </si>
  <si>
    <t>A) The server, B) The left inside player, C) The right inside player, D) The spiker</t>
  </si>
  <si>
    <t>C) The right inside player</t>
  </si>
  <si>
    <t>In Malay, Apit Kanan translates to "Right Inside," one of the two players who support the Tekong.</t>
  </si>
  <si>
    <t>During a serve, what action is the tossing player (feeder) NOT allowed to do?</t>
  </si>
  <si>
    <t>A) Use one hand, B) Spin the ball, C) Touch the center line, D) Lift their feet</t>
  </si>
  <si>
    <t>C) Touch the center line</t>
  </si>
  <si>
    <t>The inside players (tossers) must remain in their quarter circle and not touch any court lines.</t>
  </si>
  <si>
    <t>What is the definition of "carrying" the ball, which is a fault?</t>
  </si>
  <si>
    <t>A) Hitting the ball twice, B) Prolonged contact or rolling the ball along a body part, C) Hitting the ball with the shoulder, D) A very high set</t>
  </si>
  <si>
    <t>B) Prolonged contact or rolling the ball along a body part</t>
  </si>
  <si>
    <t>The contact with the ball must be a clean, distinct hit, not a catch, lift, or roll.</t>
  </si>
  <si>
    <t>How long is a standard timeout in a Sepak Takraw match?</t>
  </si>
  <si>
    <t>A) 30 seconds, B) 60 seconds, C) 90 seconds, D) 120 seconds</t>
  </si>
  <si>
    <t>B) 60 seconds</t>
  </si>
  <si>
    <t>Each team is typically entitled to one 60-second timeout per set.</t>
  </si>
  <si>
    <t>What is the international governing body for Sepak Takraw?</t>
  </si>
  <si>
    <t>A) FIFA, B) FIBA, C) ISTAF, D) BWF</t>
  </si>
  <si>
    <t>C) ISTAF</t>
  </si>
  <si>
    <t>The International Sepaktakraw Federation (ISTAF) is the sport's highest governing body.</t>
  </si>
  <si>
    <t>In what year was Sepak Takraw first included as a medal event in the Asian Games?</t>
  </si>
  <si>
    <t>A) 1982, B) 1986, C) 1990, D) 1994</t>
  </si>
  <si>
    <t>C) 1990</t>
  </si>
  <si>
    <t>Sepak Takraw made its debut at the 11th Asian Games in Beijing, China, in 1990.</t>
  </si>
  <si>
    <t>What is a "Sunback Spike"?</t>
  </si>
  <si>
    <t>A) A spike performed while facing away from the net, B) A spike using the heel, C) A very low spike, D) A fake spike</t>
  </si>
  <si>
    <t>A) A spike performed while facing away from the net</t>
  </si>
  <si>
    <t>This is an acrobatic kick where the player hits the ball over their back/shoulder while facing their own baseline.</t>
  </si>
  <si>
    <t>What is the ruling if the ball breaks or loses its shape mid-rally?</t>
  </si>
  <si>
    <t>A) Point to the team that last hit it, B) Point to the receiving team, C) A "let" is called and the point is replayed, D) The team with the higher score wins the point</t>
  </si>
  <si>
    <t>C) A "let" is called and the point is replayed</t>
  </si>
  <si>
    <t>If the ball becomes defective, a "let" (replay) is called with a new ball.</t>
  </si>
  <si>
    <t>The tie-breaker set is played to how many points?</t>
  </si>
  <si>
    <t>A) 21, with a cap at 25, B) 15, with a cap at 17, C) 11, with a cap at 13, D) 25, no cap</t>
  </si>
  <si>
    <t>B) 15, with a cap at 17</t>
  </si>
  <si>
    <t>If a match goes to a third set, it is played to 15 points, but the team must still win by two, up to a maximum of 17.</t>
  </si>
  <si>
    <t>What is the referee's hand signal for a "foot fault" during a serve?</t>
  </si>
  <si>
    <t>A) Points one finger down at the service circle, B) Raises one hand with an open palm, C) Taps their shoulder, D) Makes a circling motion with their hand</t>
  </si>
  <si>
    <t>A) Points one finger down at the service circle</t>
  </si>
  <si>
    <t>The referee will point directly at the service circle to indicate that the server lifted their pivot foot or stepped out.</t>
  </si>
  <si>
    <t>Before "Sepak Takraw" was adopted, what was the sport commonly known as in Malaysia?</t>
  </si>
  <si>
    <t>A) Takraw, B) Sepak Raga, C) Chinlone, D) Sipa</t>
  </si>
  <si>
    <t>B) Sepak Raga</t>
  </si>
  <si>
    <t>Sepak Raga ("kick rattan ball") is the traditional Malay name for the game that evolved into modern Sepak Takraw.</t>
  </si>
  <si>
    <t>What is the primary strategic purpose of a "drop shot"?</t>
  </si>
  <si>
    <t>A) To hit the ball with maximum power, B) To send the ball just over the net with little pace, C) To aim for the back corners of the court, D) To serve directly at a player</t>
  </si>
  <si>
    <t>B) To send the ball just over the net with little pace</t>
  </si>
  <si>
    <t>A drop shot is a soft, tactical shot intended to catch opponents off-guard who are defending deep in the court.</t>
  </si>
  <si>
    <t>Are players allowed to wear glasses or protective eyewear?</t>
  </si>
  <si>
    <t>A) No, no eyewear is permitted, B) Yes, but only prescription glasses, C) Yes, including sports goggles, D) Only if they have a doctor's note</t>
  </si>
  <si>
    <t>C) Yes, including sports goggles</t>
  </si>
  <si>
    <t>Players are allowed to wear glasses or sports goggles at their own risk.</t>
  </si>
  <si>
    <t>What happens if a player from Team A kicks the ball under the net and it lands in Team B's court?</t>
  </si>
  <si>
    <t>A) Play continues, B) Point for Team B, C) Point for Team A, D) Replay</t>
  </si>
  <si>
    <t>B) Point for Team B</t>
  </si>
  <si>
    <t>The ball must pass over the net between the two net posts to be legal. Passing under the net is a fault.</t>
  </si>
  <si>
    <t>How often do teams switch sides of the court during a set?</t>
  </si>
  <si>
    <t>A) They don't switch during a set, B) At 8 points, C) At 11 points, D) Only between sets</t>
  </si>
  <si>
    <t>C) At 11 points</t>
  </si>
  <si>
    <t>In a standard 21-point set, teams switch sides when the first team reaches 11 points.</t>
  </si>
  <si>
    <t>What is a "service over" in Sepak Takraw?</t>
  </si>
  <si>
    <t>A) The end of a set, B) A fault by the server, C) A change of service to the other team, D) A serve that is too high</t>
  </si>
  <si>
    <t>C) A change of service to the other team</t>
  </si>
  <si>
    <t>Service changes hands every time the receiving team wins a point.</t>
  </si>
  <si>
    <t>What is the minimum number of players required for a team to start a match?</t>
  </si>
  <si>
    <t>A) 1, B) 2, C) 3, D) A full team is not required</t>
  </si>
  <si>
    <t>A team cannot start a match without the full complement of three players.</t>
  </si>
  <si>
    <t>If a player's long hair touches the net during a spike, is it a fault?</t>
  </si>
  <si>
    <t>A) No, only the body counts, B) Yes, it is a fault, C) Only if it distracts the opponent, D) A warning is given</t>
  </si>
  <si>
    <t>B) Yes, it is a fault</t>
  </si>
  <si>
    <t>Any contact with the net, including by hair or loose clothing, during a rally is a fault.</t>
  </si>
  <si>
    <t>The game of Chinlone, popular in Myanmar, is considered a non-competitive ancestor of Sepak Takraw. What is its main objective?</t>
  </si>
  <si>
    <t>A) To score points, B) To keep the ball airborne gracefully with a group of players, C) To kick the ball through a hoop, D) To be the last person to touch the ball</t>
  </si>
  <si>
    <t>B) To keep the ball airborne gracefully with a group of players</t>
  </si>
  <si>
    <t>Chinlone is a cooperative game focused on artistry and teamwork, not on scoring against an opponent.</t>
  </si>
  <si>
    <t>What is the referee's hand signal for "ball out of bounds"?</t>
  </si>
  <si>
    <t>A) Points hands vertically upwards, B) Points hands horizontally to the side, C) Makes a T-shape with hands, D) Wipes hands on shirt</t>
  </si>
  <si>
    <t>B) Points hands horizontally to the side</t>
  </si>
  <si>
    <t>The referee will extend their arms horizontally to signal that the ball has landed outside the court lines.</t>
  </si>
  <si>
    <t>What happens if a served ball hits a teammate of the server before crossing the net?</t>
  </si>
  <si>
    <t>A) Re-toss is allowed, B) Fault, C) Replay, D) Warning</t>
  </si>
  <si>
    <t>The ball must travel directly from the server's kick over the net.</t>
  </si>
  <si>
    <t>What is the term for when a player uses their knee to control or pass the ball?</t>
  </si>
  <si>
    <t>A) Knee kick, B) Knee pass, C) Knee bump, D) Knee set</t>
  </si>
  <si>
    <t>B) Knee pass</t>
  </si>
  <si>
    <t>This is a common and legal technique, especially for receiving and controlling the ball.</t>
  </si>
  <si>
    <t>Is a player allowed to shout or make loud noises while their teammate is spiking the ball?</t>
  </si>
  <si>
    <t>A) Yes, it is considered encouragement, B) No, it is a distraction fault, C) Only if the noise is not directed at the opponent, D) A warning is issued</t>
  </si>
  <si>
    <t>A) Yes, it is considered encouragement</t>
  </si>
  <si>
    <t>Communication between teammates is allowed. A fault only occurs if the shout is aimed at distracting an opponent.</t>
  </si>
  <si>
    <t>If a ball gets stuck in the net during a rally, what is the ruling?</t>
  </si>
  <si>
    <t>A) Point to the team that hit it, B) A "let" is called and the point is replayed, C) Point to the other team, D) First team to touch it again wins the point</t>
  </si>
  <si>
    <t>B) A "let" is called and the point is replayed</t>
  </si>
  <si>
    <t>If the ball becomes lodged in the net, the rally cannot be completed, so a replay is ordered.</t>
  </si>
  <si>
    <t>What type of footwear is typically worn by competitive players?</t>
  </si>
  <si>
    <t>A) Heavy boots, B) Barefoot, C) Special lightweight, rubber-soled shoes, D) Cleats</t>
  </si>
  <si>
    <t>C) Special lightweight, rubber-soled shoes</t>
  </si>
  <si>
    <t>Players wear specific shoes that are light, flexible, and provide good grip for jumping and kicking.</t>
  </si>
  <si>
    <t>The term Tekong specifically refers to which player?</t>
  </si>
  <si>
    <t>A) The captain, B) The best spiker, C) The player who serves from the back, D) The player who sets the ball</t>
  </si>
  <si>
    <t>C) The player who serves from the back</t>
  </si>
  <si>
    <t>Tekong is the official name for the server position.</t>
  </si>
  <si>
    <t>What is the maximum number of substitutions that can be made in a match (across all sets)?</t>
  </si>
  <si>
    <t>A) 2, B) 3, C) 4, D) 1 per set</t>
  </si>
  <si>
    <t>D) 1 per set</t>
  </si>
  <si>
    <t>A team can make one substitution per set. If the third set is played, another substitution is allowed.</t>
  </si>
  <si>
    <t>If the ball hits the referee or the referee's chair during play, what is the call?</t>
  </si>
  <si>
    <t>A) Fault against the team that hit it, B) Point for the team that hit it, C) A "let" is called and the point is replayed, D) Play continues</t>
  </si>
  <si>
    <t>The referee and their chair are considered outside obstructions, so contact results in a replay.</t>
  </si>
  <si>
    <t>In the deciding third (tie-breaker) set, when do the teams switch sides?</t>
  </si>
  <si>
    <t>A) They don't switch, B) When the first team scores 8 points, C) When the first team scores 11 points, D) When the first team scores 15 points</t>
  </si>
  <si>
    <t>B) When the first team scores 8 points</t>
  </si>
  <si>
    <t>In a 15-point tie-breaker set, the side change occurs when a team reaches 8 points.</t>
  </si>
  <si>
    <t>What is a "Horse Kick Serve"?</t>
  </si>
  <si>
    <t>A) A serve where the ball is kicked very low, B) A serve kicked with the heel, C) A high, powerful jump serve where the player's back is to the net, D) A fake serve</t>
  </si>
  <si>
    <t>C) A high, powerful jump serve where the player's back is to the net</t>
  </si>
  <si>
    <t>This is an advanced, deceptive serve where the player jumps and kicks the ball backwards over their head.</t>
  </si>
  <si>
    <t>Are players allowed to have numbers on their jerseys?</t>
  </si>
  <si>
    <t>A) No, jerseys must be plain, B) Yes, but only the captain, C) Yes, all players must have unique numbers, D) Only in international games</t>
  </si>
  <si>
    <t>C) Yes, all players must have unique numbers</t>
  </si>
  <si>
    <t>In official competitions, players are required to wear numbered jerseys for identification.</t>
  </si>
  <si>
    <t>What part of the court are the quarter circles located in?</t>
  </si>
  <si>
    <t>A) At the back corners, B) At the intersection of the center line and sidelines, C) In the center of each half, D) At the front near the net</t>
  </si>
  <si>
    <t>B) At the intersection of the center line and sidelines</t>
  </si>
  <si>
    <t>The quarter circles, for the inside players, are drawn at each end of the center line.</t>
  </si>
  <si>
    <t>A point scored directly from a serve without the opponent touching the ball is called what?</t>
  </si>
  <si>
    <t>A) A killer, B) A winner, C) An ace serve, D) A clean point</t>
  </si>
  <si>
    <t>C) An ace serve</t>
  </si>
  <si>
    <t>Similar to volleyball, an "ace" is a serve that results directly in a point.</t>
  </si>
  <si>
    <t>What is the ruling if a player's shoe comes off during a rally?</t>
  </si>
  <si>
    <t>A) The player must stop, B) Play continues, C) A fault is called, D) A replay is ordered</t>
  </si>
  <si>
    <t>B) Play continues</t>
  </si>
  <si>
    <t>Losing equipment like a shoe is not a fault, and the rally continues until the point is over.</t>
  </si>
  <si>
    <t>During a rally, can a player leave the court to play a ball?</t>
  </si>
  <si>
    <t>A) No, players must stay inside the boundary lines, B) Yes, as long as they don't cross the center line extended, C) Only the captain can, D) Only to retrieve a ball</t>
  </si>
  <si>
    <t>B) Yes, as long as they don't cross the center line extended</t>
  </si>
  <si>
    <t>A player is allowed to go outside their own court to play the ball, for example, to save a wide pass from a teammate.</t>
  </si>
  <si>
    <t>What does the referee do to signal the start of a point?</t>
  </si>
  <si>
    <t>A) Blows a whistle, B) Shouts "Play!", C) Announces the current score, D) Drops their hand</t>
  </si>
  <si>
    <t>C) Announces the current score</t>
  </si>
  <si>
    <t>The referee calling the score is the signal for the server that they may begin their service motion.</t>
  </si>
  <si>
    <t>What happens if a substituted player tries to re-enter the same set?</t>
  </si>
  <si>
    <t>A) Allowed if another player is injured, B) Not allowed, C) Allowed, but the team loses a point, D) Allowed only in the final set</t>
  </si>
  <si>
    <t>B) Not allowed</t>
  </si>
  <si>
    <t>A player who has been substituted out cannot re-enter the game in the same set.</t>
  </si>
  <si>
    <t>In doubles Sepak Takraw (two players per side), which position is eliminated?</t>
  </si>
  <si>
    <t>A) The Tekong (Server), B) The Killer (Spiker), C) The Feeder (Setter), D) One of the inside players</t>
  </si>
  <si>
    <t>D) One of the inside players</t>
  </si>
  <si>
    <t>In doubles, there is still a server and another player, eliminating the need for two feeders/setters.</t>
  </si>
  <si>
    <t>What is the "block" in Sepak Takraw?</t>
  </si>
  <si>
    <t>A) Preventing the serve from crossing the net, B) A defensive play near the net to stop a spike, C) Using hands to stop the ball, D) A type of serve</t>
  </si>
  <si>
    <t>B) A defensive play near the net to stop a spike</t>
  </si>
  <si>
    <t>A block is an attempt to intercept the ball close to the net immediately after an opponent's attack.</t>
  </si>
  <si>
    <t>Can the ball be legally played if it has bounced off the net and back to the attacking team's side?</t>
  </si>
  <si>
    <t>A) No, it's a fault, B) Yes, provided the team still has touches remaining, C) Only if the captain allows it, D) Only if it was a block attempt</t>
  </si>
  <si>
    <t>B) Yes, provided the team still has touches remaining</t>
  </si>
  <si>
    <t>The ball is still live after hitting the net, and the team can continue their three touches if they have any left.</t>
  </si>
  <si>
    <t>What is the penalty for a team not having the correct number of players ready at the start of the match?</t>
  </si>
  <si>
    <t>A) A 5-point penalty, B) A yellow card for the captain, C) A warning and a 5-minute grace period, D) Forfeiture of the match</t>
  </si>
  <si>
    <t>D) Forfeiture of the match</t>
  </si>
  <si>
    <t>If a team cannot field three players for the start, they must forfeit the match (walkover).</t>
  </si>
  <si>
    <t>The server's non-kicking foot must not touch which line during the service motion?</t>
  </si>
  <si>
    <t>A) The baseline, B) The sideline, C) The service circle line, D) The center line</t>
  </si>
  <si>
    <t>C) The service circle line</t>
  </si>
  <si>
    <t>The server's pivot foot must be inside the circle, not touching the line itself.</t>
  </si>
  <si>
    <t>What is the term for the first touch used to receive and control the opponent's serve or spike?</t>
  </si>
  <si>
    <t>A) The setup, B) The dig, C) The pass, D) The control</t>
  </si>
  <si>
    <t>D) The control</t>
  </si>
  <si>
    <t>The first touch is focused on controlling the ball's speed and trajectory to prepare for the set.</t>
  </si>
  <si>
    <t>If a player feigns an injury to stop play, what is the penalty?</t>
  </si>
  <si>
    <t>A) The player is ejected, B) The point is replayed, C) A yellow card for unsportsmanlike conduct, D) The team forfeits the set</t>
  </si>
  <si>
    <t>C) A yellow card for unsportsmanlike conduct</t>
  </si>
  <si>
    <t>Feigning injury is a serious act of misconduct and results in a formal caution.</t>
  </si>
  <si>
    <t>What is the official color of the net posts in a tournament?</t>
  </si>
  <si>
    <t>A) Green, B) Black, C) White, D) No official color</t>
  </si>
  <si>
    <t>D) No official color</t>
  </si>
  <si>
    <t>There is no specific rule mandating the color of the posts, as long as they are safe and correctly positioned.</t>
  </si>
  <si>
    <t>When was the first major international tournament for Sepak Takraw held?</t>
  </si>
  <si>
    <t>A) 1965, B) 1975, C) 1985, D) 1995</t>
  </si>
  <si>
    <t>A) 1965</t>
  </si>
  <si>
    <t>The first major tournament was the SEAP Games (now SEA Games) in 1965, after unified rules were established.</t>
  </si>
  <si>
    <t>Is it legal for a player to kick the ball over the net while sitting on the court?</t>
  </si>
  <si>
    <t>A) Yes, if the contact is clean, B) No, a player must be standing or jumping, C) Only if they were knocked down, D) Only if it's the third touch</t>
  </si>
  <si>
    <t>A) Yes, if the contact is clean</t>
  </si>
  <si>
    <t>As long as the player uses a legal body part and the hit is clean, their body position on the court does not matter.</t>
  </si>
  <si>
    <t>What is the referee's signal for changing service to the other team?</t>
  </si>
  <si>
    <t>A) Points to the new serving team's side, B) Raises both hands, C) Blows the whistle twice, D) Taps their chest</t>
  </si>
  <si>
    <t>A) Points to the new serving team's side</t>
  </si>
  <si>
    <t>The referee extends their arm towards the side of the court that has just won the right to serve.</t>
  </si>
  <si>
    <t>In beach Sepak Takraw, what is the major rule difference compared to the indoor version?</t>
  </si>
  <si>
    <t>A) The court is smaller, B) There are 4 players per team, C) The scoring is different, D) The net is lower</t>
  </si>
  <si>
    <t>C) The scoring is different</t>
  </si>
  <si>
    <t>Beach Sepak Takraw often uses different scoring systems, sometimes rally-point scoring to 15 in all sets.</t>
  </si>
  <si>
    <t>A "bicycle kick" is a common term for which type of skill?</t>
  </si>
  <si>
    <t>A) A serve, B) A set, C) An overhead volley kick, D) A defensive dig</t>
  </si>
  <si>
    <t>C) An overhead volley kick</t>
  </si>
  <si>
    <t>This describes the motion of kicking the ball while it's overhead, often used for clearing or attacking.</t>
  </si>
  <si>
    <t>What is the ruling if the ball hits a player's jersey but not their body?</t>
  </si>
  <si>
    <t>A) Fault, B) Legal play, C) Replay, D) Warning</t>
  </si>
  <si>
    <t>B) Legal play</t>
  </si>
  <si>
    <t>The jersey is considered part of the player, and contact is legal as long as it's not on the arm or hand.</t>
  </si>
  <si>
    <t>During a serve, the server must toss the ball up before kicking. Who must perform this toss?</t>
  </si>
  <si>
    <t>A) The server themselves, B) Either of the two inside players, C) Only the team captain, D) Anyone on the team</t>
  </si>
  <si>
    <t>B) Either of the two inside players</t>
  </si>
  <si>
    <t>The serve is a two-person action: one of the inside players must toss the ball to the Tekong.</t>
  </si>
  <si>
    <t>What is the maximum number of timeouts a team can call in a match?</t>
  </si>
  <si>
    <t>A) One per set, B) Two for the whole match, C) Three for the whole match, D) One for the whole match</t>
  </si>
  <si>
    <t>A) One per set</t>
  </si>
  <si>
    <t>A team is entitled to one timeout in each of the first two sets, and one in the tie-breaker if it is played.</t>
  </si>
  <si>
    <t>Which country is credited with modernizing the sport by adding a net in the 19th century?</t>
  </si>
  <si>
    <t>A) Indonesia, B) Philippines, C) Thailand, D) Malaysia</t>
  </si>
  <si>
    <t>C) Thailand</t>
  </si>
  <si>
    <t>Thailand is widely credited with adding the net and formalizing the competitive court-based version of the game.</t>
  </si>
  <si>
    <t>What is the ruling if a player uses the net to help them jump higher for a spike?</t>
  </si>
  <si>
    <t>A) Legal if no one sees, B) Warning, C) Fault, D) Replay</t>
  </si>
  <si>
    <t>Using the net or posts for support or leverage is illegal and results in a fault.</t>
  </si>
  <si>
    <t>A "short serve" is a tactical serve that aims to land where?</t>
  </si>
  <si>
    <t>A) Deep in the back corners, B) Directly at the spiker, C) Just over the net in the front court, D) High in the middle of the court</t>
  </si>
  <si>
    <t>C) Just over the net in the front court</t>
  </si>
  <si>
    <t>This serve is designed to be difficult to receive and set up for an attack, often catching the receiving team off-guard.</t>
  </si>
  <si>
    <t>Can a team captain request a change of the official ball during a match?</t>
  </si>
  <si>
    <t>A) No, never, B) Yes, at any time, C) Only if the ball is clearly defective, D) Only between sets</t>
  </si>
  <si>
    <t>C) Only if the ball is clearly defective</t>
  </si>
  <si>
    <t>A ball can only be changed if it is broken, out of shape, or otherwise deemed unfit for play by the referee.</t>
  </si>
  <si>
    <t>What is the role of the Apit Kiri?</t>
  </si>
  <si>
    <t>A) To serve, B) The left inside player, often a feeder, C) The right inside player, D) The primary spiker</t>
  </si>
  <si>
    <t>B) The left inside player, often a feeder</t>
  </si>
  <si>
    <t>Apit Kiri translates to "Left Inside," supporting the server and often setting up the attack.</t>
  </si>
  <si>
    <t>If a player is sent off with a red card, can a substitution be made for them?</t>
  </si>
  <si>
    <t>A) Yes, immediately, B) Yes, but after a 2-point penalty, C) No, the team must play with two players for the rest of the set, D) No, the team must play with two players for the rest of the match</t>
  </si>
  <si>
    <t>D) No, the team must play with two players for the rest of the match</t>
  </si>
  <si>
    <t>A team cannot replace an ejected player and must continue with a numerical disadvantage.</t>
  </si>
  <si>
    <t>What is the "quarter circle"?</t>
  </si>
  <si>
    <t>A) The service circle, B) The area where inside players must stand during the serve, C) The center of the court, D) A defensive zone</t>
  </si>
  <si>
    <t>B) The area where inside players must stand during the serve</t>
  </si>
  <si>
    <t>Each side of the court has two quarter circles at the ends of the center line for the non-serving players.</t>
  </si>
  <si>
    <t>If the ball passes outside the net post but curves back into the opponent's court, is it legal?</t>
  </si>
  <si>
    <t>A) Yes, this is a legal play, B) No, it is a fault, C) Only if it's the first touch, D) The point is replayed</t>
  </si>
  <si>
    <t>B) No, it is a fault</t>
  </si>
  <si>
    <t>The ball must cross the net within the space between the two posts (and the antennas, if used).</t>
  </si>
  <si>
    <t>What is the typical defensive formation to receive a serve?</t>
  </si>
  <si>
    <t>A) All three players at the back, B) Two players forward, one back, C) One player forward, two back, D) All three players in the middle</t>
  </si>
  <si>
    <t>B) Two players forward, one back</t>
  </si>
  <si>
    <t>Typically, the two inside players position themselves to receive the serve while the server (Tekong) drops back.</t>
  </si>
  <si>
    <t>Are players allowed to wear caps or headbands?</t>
  </si>
  <si>
    <t>A) No, all headwear is forbidden, B) Only headbands are allowed, C) Yes, soft headwear is permitted, D) Only for religious reasons</t>
  </si>
  <si>
    <t>C) Yes, soft headwear is permitted</t>
  </si>
  <si>
    <t>Players can wear soft, non-dangerous headwear like headbands or skull caps. Hard-billed caps are not allowed.</t>
  </si>
  <si>
    <t>If a linesman makes an incorrect call that stops a winning rally, what can the referee do?</t>
  </si>
  <si>
    <t>A) Uphold the incorrect call, B) Award the point to the disadvantaged team, C) Order a replay ("let"), D) Give the linesman a warning</t>
  </si>
  <si>
    <t>C) Order a replay ("let")</t>
  </si>
  <si>
    <t>If an official's error prematurely stops a rally, the fairest action is to replay the point.</t>
  </si>
  <si>
    <t>A "block touch" (touching the ball during a block) counts as how many of the team's three touches?</t>
  </si>
  <si>
    <t>A) Zero, B) One, C) Two, D) It is a fault</t>
  </si>
  <si>
    <t>Unlike in volleyball, a touch on a block is counted as the team's first touch.</t>
  </si>
  <si>
    <t>What is the primary material used for the net in official competitions?</t>
  </si>
  <si>
    <t>A) Cotton, B) Fine nylon cord, C) Metal wire, D) Plastic mesh</t>
  </si>
  <si>
    <t>B) Fine nylon cord</t>
  </si>
  <si>
    <t>The net is typically made of fine nylon cord or a similar synthetic material, with a tape at the top and bottom.</t>
  </si>
  <si>
    <t>During the coin toss, what are the two choices given to the winner?</t>
  </si>
  <si>
    <t>A) Serve or Receive, B) Side or Serve, C) Ball or Side, D) Serve or Defer</t>
  </si>
  <si>
    <t>B) Side or Serve</t>
  </si>
  <si>
    <t>The winner of the toss can choose to either serve first or to select which side of the court they wish to start on.</t>
  </si>
  <si>
    <t>If the serving team wins a point, who serves the next point?</t>
  </si>
  <si>
    <t>A) The same server (Tekong), B) The Apit Kanan, C) The Apit Kiri, D) They rotate servers</t>
  </si>
  <si>
    <t>A) The same server (Tekong)</t>
  </si>
  <si>
    <t>Service does not rotate after every point. The same Tekong continues to serve as long as their team is the serving team.</t>
  </si>
  <si>
    <t>What is the name for the event category where teams consist of 2 players?</t>
  </si>
  <si>
    <t>A) Mini-takraw, B) Speed-takraw, C) Doubles (Bergu), D) Head-to-head</t>
  </si>
  <si>
    <t>C) Doubles (Bergu)</t>
  </si>
  <si>
    <t>The doubles event, with two players on each side, is a popular variation of the standard three-player regu format.</t>
  </si>
  <si>
    <t>Is it a fault if a player's follow-through from a kick causes them to touch the ground under the net with their hand?</t>
  </si>
  <si>
    <t>A) No, if the ball was already over, B) Yes, it is a fault, C) Only if they interfere with an opponent, D) A warning is issued</t>
  </si>
  <si>
    <t>Any part of a player's body crossing the center line on the ground into the opponent's court is a fault.</t>
  </si>
  <si>
    <t>Which Southeast Asian country considers Sepak Takraw its national sport?</t>
  </si>
  <si>
    <t>A) Indonesia, B) Vietnam, C) Malaysia, D) Philippines</t>
  </si>
  <si>
    <t>C) Malaysia</t>
  </si>
  <si>
    <t>Sepak Takraw is officially recognized as the national sport of Malaysia.</t>
  </si>
  <si>
    <t>What is the maximum number of panels (weaves) allowed in a Sepak Takraw ball?</t>
  </si>
  <si>
    <t>B) 12</t>
  </si>
  <si>
    <t>An official Sepak Takraw ball is traditionally woven with 12 panels.</t>
  </si>
  <si>
    <t>How many points must a team lead by to win a tie-breaker set?</t>
  </si>
  <si>
    <t>Similar to a standard set, a team must win the tie-breaker by a minimum of two points.</t>
  </si>
  <si>
    <t>What is the term for hitting the ball with the inside of the foot?</t>
  </si>
  <si>
    <t>A) Inside kick, B) Toe kick, C) Heel kick, D) Side kick</t>
  </si>
  <si>
    <t>A) Inside kick</t>
  </si>
  <si>
    <t>This is the most common and controlled way to pass or set the ball.</t>
  </si>
  <si>
    <t>Can a player legally use their chest to volley the ball over the net?</t>
  </si>
  <si>
    <t>A) No, only head and feet, B) Yes, it is a legal touch, C) Only if it's the first touch, D) It is a fault</t>
  </si>
  <si>
    <t>B) Yes, it is a legal touch</t>
  </si>
  <si>
    <t>The chest is a legal body part to use for controlling or sending the ball over the net.</t>
  </si>
  <si>
    <t>What is the ruling if a player from the receiving team shouts just as the server is kicking the ball?</t>
  </si>
  <si>
    <t>A) No penalty, B) A point is awarded to the serving team, C) The server gets a re-serve, D) A yellow card is issued</t>
  </si>
  <si>
    <t>B) A point is awarded to the serving team</t>
  </si>
  <si>
    <t>This is considered unsportsmanlike conduct intended to disrupt the serve, resulting in a point for the server.</t>
  </si>
  <si>
    <t>In Tarung Derajat, what is the consequence if a fighter repeatedly leaves the ring without being forced?</t>
  </si>
  <si>
    <t>A) Warning only, B) Automatic disqualification, C) Point deduction, D) Restart in center</t>
  </si>
  <si>
    <t>C) Point deduction</t>
  </si>
  <si>
    <t>Repeated voluntary exits are penalized to prevent stalling.</t>
  </si>
  <si>
    <t>If a fighter falls without being struck, what does the referee rule it as?</t>
  </si>
  <si>
    <t>A) Slip, B) Knockdown, C) Foul, D) Neutral reset</t>
  </si>
  <si>
    <t>A) Slip</t>
  </si>
  <si>
    <t>A slip occurs without opponent impact.</t>
  </si>
  <si>
    <t>Which movement is considered illegal evasion?</t>
  </si>
  <si>
    <t>A) Side-stepping, B) Turning the back and running, C) Ducking, D) Weaving</t>
  </si>
  <si>
    <t>B) Turning the back and running</t>
  </si>
  <si>
    <t>Retreating with back turned is penalized.</t>
  </si>
  <si>
    <t>What is the legal minimum distance required before launching a spinning kick?</t>
  </si>
  <si>
    <t>A) Half step, B) One step, C) No minimum, D) Depends on referee call</t>
  </si>
  <si>
    <t>C) No minimum</t>
  </si>
  <si>
    <t>But must be controlled and within striking range.</t>
  </si>
  <si>
    <t>Which body posture can cause a referee to stop the fight temporarily?</t>
  </si>
  <si>
    <t>A) Standing tall, B) Kneeling to rest, C) Bent-over stance after blow, D) Guarding high</t>
  </si>
  <si>
    <t>C) Bent-over stance after blow</t>
  </si>
  <si>
    <t>over stance after blow — Sign of injury or incapacity.</t>
  </si>
  <si>
    <t>What is the rule if a fighter’s glove or hand touches the ground during a strike?</t>
  </si>
  <si>
    <t>A) Strike counts, B) Strike nullified, C) Considered knockdown, D) Warning issued</t>
  </si>
  <si>
    <t>B) Strike nullified</t>
  </si>
  <si>
    <t>Attacking while grounded is illegal.</t>
  </si>
  <si>
    <t>In sudden death rounds, which scoring method is emphasized?</t>
  </si>
  <si>
    <t>A) Aggression, B) Clean strikes, C) Defense, D) Endurance</t>
  </si>
  <si>
    <t>B) Clean strikes</t>
  </si>
  <si>
    <t>Precision decides the sudden death.</t>
  </si>
  <si>
    <t>If a fighter lands a clean strike but also steps outside the ring, what happens?</t>
  </si>
  <si>
    <t>A) Point counts, B) Strike invalid, C) Both point and foul, D) Referee discretion</t>
  </si>
  <si>
    <t>C) Both point and foul</t>
  </si>
  <si>
    <t>Strike scores, but stepping out is penalized.</t>
  </si>
  <si>
    <t>What is the ruling if a mouthguard falls out twice in a single round?</t>
  </si>
  <si>
    <t>A) No action, B) Warning, C) Point deduction, D) Fight stopped</t>
  </si>
  <si>
    <t>Repeated loss of mouthguard disrupts fight flow.</t>
  </si>
  <si>
    <t>If both fighters strike simultaneously, how is scoring applied?</t>
  </si>
  <si>
    <t>A) Both awarded points, B) No points, C) Referee decides stronger impact, D) Replay reviewed</t>
  </si>
  <si>
    <t>A) Both awarded points</t>
  </si>
  <si>
    <t>If strikes land clean simultaneously.</t>
  </si>
  <si>
    <t>Which tactic is discouraged even if legal?</t>
  </si>
  <si>
    <t>A) Excessive defensive circling, B) Short clinch, C) Counter-punching, D) Low kicks</t>
  </si>
  <si>
    <t>A) Excessive defensive circling</t>
  </si>
  <si>
    <t>Seen as stalling.</t>
  </si>
  <si>
    <t>What happens if a fighter continues striking after the referee’s break command?</t>
  </si>
  <si>
    <t>A) Immediate disqualification, B) Point deduction, C) Warning only, D) Opponent awarded victory</t>
  </si>
  <si>
    <t>B) Point deduction</t>
  </si>
  <si>
    <t>Post-break strikes are penalized.</t>
  </si>
  <si>
    <t>What is the maximum allowed time between rounds?</t>
  </si>
  <si>
    <t>A) 30 seconds, B) 45 seconds, C) 60 seconds, D) 90 seconds</t>
  </si>
  <si>
    <t>C) 60 seconds</t>
  </si>
  <si>
    <t>Standard rest time.</t>
  </si>
  <si>
    <t>When can a coach legally signal the referee to stop?</t>
  </si>
  <si>
    <t>A) Never, B) Only in case of injury, C) Anytime, D) Only in final round</t>
  </si>
  <si>
    <t>B) Only in case of injury</t>
  </si>
  <si>
    <t>Otherwise, it’s interference.</t>
  </si>
  <si>
    <t>If a fighter removes protective gear mid-match?</t>
  </si>
  <si>
    <t>A) Referee pauses, B) Immediate disqualification, C) Warning, D) Allowed if gear faulty</t>
  </si>
  <si>
    <t>A) Referee pauses</t>
  </si>
  <si>
    <t>Match halted until gear is restored.</t>
  </si>
  <si>
    <t>Which stance transition is most penalized when performed excessively?</t>
  </si>
  <si>
    <t>A) Switching guard, B) Side shuffle, C) Turning back, D) Low squat</t>
  </si>
  <si>
    <t>C) Turning back</t>
  </si>
  <si>
    <t>Unsafe and evasive.</t>
  </si>
  <si>
    <t>In a tied sudden death round, what is used as final criteria?</t>
  </si>
  <si>
    <t>A) Aggressiveness, B) Defense, C) Control of ring, D) Random decision</t>
  </si>
  <si>
    <t>C) Control of ring</t>
  </si>
  <si>
    <t>Ring dominance breaks tie.</t>
  </si>
  <si>
    <t>If a fighter shows unsportsmanlike gestures, what is imposed?</t>
  </si>
  <si>
    <t>A) Warning, B) Point deduction, C) Disqualification, D) Coach fined</t>
  </si>
  <si>
    <t>Discipline violation.</t>
  </si>
  <si>
    <t>Which fighter gains priority if both clinch simultaneously?</t>
  </si>
  <si>
    <t>A) One with inside grip, B) One initiating first, C) Taller fighter, D) None</t>
  </si>
  <si>
    <t>A) One with inside grip</t>
  </si>
  <si>
    <t>Advantage in control.</t>
  </si>
  <si>
    <t>What happens if referee finds both fighters repeatedly inactive?</t>
  </si>
  <si>
    <t>A) Both disqualified, B) Both warned, C) Restart center, D) Judges decide outcome</t>
  </si>
  <si>
    <t>B) Both warned</t>
  </si>
  <si>
    <t>Inactivity punished.</t>
  </si>
  <si>
    <t>Which strike combination scores highest?</t>
  </si>
  <si>
    <t>A) Punch + kick, B) Kick + grapple, C) Jab + slip, D) Knee + elbow</t>
  </si>
  <si>
    <t>A) Punch + kick</t>
  </si>
  <si>
    <t>Multi-level combos valued.</t>
  </si>
  <si>
    <t>What is the tactical risk of overusing low kicks?</t>
  </si>
  <si>
    <t>A) Slipping, B) Counter punch, C) Leg grab, D) All of the above</t>
  </si>
  <si>
    <t>D) All of the above</t>
  </si>
  <si>
    <t>Leaves openings.</t>
  </si>
  <si>
    <t>What is the most effective counter to a shoulder throw?</t>
  </si>
  <si>
    <t>A) Drop weight, B) Push opponent, C) Spin away, D) Guard face</t>
  </si>
  <si>
    <t>A) Drop weight</t>
  </si>
  <si>
    <t>Prevents lift.</t>
  </si>
  <si>
    <t>Which illegal defensive move may appear as legal?</t>
  </si>
  <si>
    <t>A) Ducking below waist, B) Blocking with elbows, C) Guarding low, D) Shoulder roll</t>
  </si>
  <si>
    <t>A) Ducking below waist</t>
  </si>
  <si>
    <t>Often mistaken for legit slip.</t>
  </si>
  <si>
    <t>What is the maximum number of grappling attempts per round before referee breaks?</t>
  </si>
  <si>
    <t>Excess grappling breaks flow.</t>
  </si>
  <si>
    <t>Which strike is harder to score due to referee’s visibility?</t>
  </si>
  <si>
    <t>A) Jab, B) Body hook, C) Overhand, D) Knee strike</t>
  </si>
  <si>
    <t>B) Body hook</t>
  </si>
  <si>
    <t>Often obscured.</t>
  </si>
  <si>
    <t>Which tactic gains advantage in narrow rings?</t>
  </si>
  <si>
    <t>A) Aggressive rush, B) Defensive retreat, C) Ring cutting, D) High kicks</t>
  </si>
  <si>
    <t>C) Ring cutting</t>
  </si>
  <si>
    <t>Limits opponent space.</t>
  </si>
  <si>
    <t>Which strike is often over-penalized if misjudged?</t>
  </si>
  <si>
    <t>A) Spinning kick, B) Uppercut, C) Elbow block, D) Sweep</t>
  </si>
  <si>
    <t>A) Spinning kick</t>
  </si>
  <si>
    <t>Can be mistaken as back strike.</t>
  </si>
  <si>
    <t>What is the most common foul among beginners?</t>
  </si>
  <si>
    <t>A) Striking after break, B) Grabbing clothes, C) Hitting back of head, D) Running away</t>
  </si>
  <si>
    <t>C) Hitting back of head</t>
  </si>
  <si>
    <t>Due to poor control.</t>
  </si>
  <si>
    <t>Which move, though legal, risks self-injury?</t>
  </si>
  <si>
    <t>A) Jumping kick, B) Short clinch, C) Low jab, D) Guard block</t>
  </si>
  <si>
    <t>A) Jumping kick</t>
  </si>
  <si>
    <t>High risk landing.</t>
  </si>
  <si>
    <t>How many judges typically score a Tarung Derajat fight?</t>
  </si>
  <si>
    <t>Standard judging panel.</t>
  </si>
  <si>
    <t>If two judges disagree and one is undecided, what is outcome?</t>
  </si>
  <si>
    <t>A) Draw, B) Majority decision, C) Referee decides, D) Extra round</t>
  </si>
  <si>
    <t>B) Majority decision</t>
  </si>
  <si>
    <t>Two votes decide.</t>
  </si>
  <si>
    <t>What is the referee’s first response to a minor foul?</t>
  </si>
  <si>
    <t>A) Deduct points, B) Issue warning, C) Stop fight, D) Ignore</t>
  </si>
  <si>
    <t>B) Issue warning</t>
  </si>
  <si>
    <t>Escalates if repeated.</t>
  </si>
  <si>
    <t>Which judge role ensures strikes meet scoring criteria?</t>
  </si>
  <si>
    <t>A) Timekeeper, B) Corner judge, C) Head judge, D) Side judge</t>
  </si>
  <si>
    <t>D) Side judge</t>
  </si>
  <si>
    <t>Observes angles.</t>
  </si>
  <si>
    <t>What factor does NOT influence judge scoring?</t>
  </si>
  <si>
    <t>A) Clean strikes, B) Effective grappling, C) Aggressiveness, D) Audience reaction</t>
  </si>
  <si>
    <t>D) Audience reaction</t>
  </si>
  <si>
    <t>Irrelevant.</t>
  </si>
  <si>
    <t>Which action results in automatic referee stoppage?</t>
  </si>
  <si>
    <t>A) Two consecutive knockdowns, B) Fighter bleeding heavily, C) Coach signal, D) Fighter gesture</t>
  </si>
  <si>
    <t>B) Fighter bleeding heavily</t>
  </si>
  <si>
    <t>Safety priority.</t>
  </si>
  <si>
    <t>When both fighters commit fouls simultaneously, what is applied?</t>
  </si>
  <si>
    <t>A) Double warning, B) No penalty, C) Both lose points, D) Fight stopped</t>
  </si>
  <si>
    <t>C) Both lose points</t>
  </si>
  <si>
    <t>Equal penalty.</t>
  </si>
  <si>
    <t>How does a referee resume after illegal strike?</t>
  </si>
  <si>
    <t>A) Restart in center, B) Continue as is, C) Stop clock, D) Judges decide</t>
  </si>
  <si>
    <t>A) Restart in center</t>
  </si>
  <si>
    <t>Neutral reset.</t>
  </si>
  <si>
    <t>If fight ends due to accidental clash, what is outcome?</t>
  </si>
  <si>
    <t>A) Draw, B) Replay scheduled, C) Opponent wins, D) Judges decide</t>
  </si>
  <si>
    <t>A) Draw</t>
  </si>
  <si>
    <t>Accidental stoppage ruled draw.</t>
  </si>
  <si>
    <t>Who has final authority in sudden disputes?</t>
  </si>
  <si>
    <t>A) Head coach, B) Referee, C) Judges, D) Association official</t>
  </si>
  <si>
    <t>B) Referee</t>
  </si>
  <si>
    <t>Authority inside ring.</t>
  </si>
  <si>
    <t>What cultural principle underlies Tarung Derajat rules?</t>
  </si>
  <si>
    <t>A) Victory at all costs, B) Respect and discipline, C) Self-promotion, D) Endurance only</t>
  </si>
  <si>
    <t>B) Respect and discipline</t>
  </si>
  <si>
    <t>Core martial ethos.</t>
  </si>
  <si>
    <t>What action shows dishonor even if legal?</t>
  </si>
  <si>
    <t>A) Excessive taunting, B) Ring control, C) Counter-punch, D) Knockout</t>
  </si>
  <si>
    <t>A) Excessive taunting</t>
  </si>
  <si>
    <t>Against spirit.</t>
  </si>
  <si>
    <t>Which injury leads to mandatory stoppage?</t>
  </si>
  <si>
    <t>A) Nosebleed, B) Concussion signs, C) Bruised shin, D) Swollen eye</t>
  </si>
  <si>
    <t>B) Concussion signs</t>
  </si>
  <si>
    <t>Fighter safety.</t>
  </si>
  <si>
    <t>What principle governs referee neutrality?</t>
  </si>
  <si>
    <t>A) Equal enforcement, B) Supporting weaker fighter, C) Following coach input, D) Audience fairness</t>
  </si>
  <si>
    <t>A) Equal enforcement</t>
  </si>
  <si>
    <t>Impartiality.</t>
  </si>
  <si>
    <t>How do rules promote fighter longevity?</t>
  </si>
  <si>
    <t>A) Allowing fouls, B) Prohibiting dangerous strikes, C) Extending rounds, D) Ignoring injuries</t>
  </si>
  <si>
    <t>B) Prohibiting dangerous strikes</t>
  </si>
  <si>
    <t>Protects health.</t>
  </si>
  <si>
    <t>Which act outside the ring can disqualify a fighter?</t>
  </si>
  <si>
    <t>A) Loud celebration, B) Insulting judges, C) High-fives, D) Prayer ritual</t>
  </si>
  <si>
    <t>B) Insulting judges</t>
  </si>
  <si>
    <t>Unsportsmanlike.</t>
  </si>
  <si>
    <t>What is the ethical stance on excessive celebrations?</t>
  </si>
  <si>
    <t>A) Encouraged, B) Neutral, C) Discouraged, D) Mandatory</t>
  </si>
  <si>
    <t>C) Discouraged</t>
  </si>
  <si>
    <t>Respect opponent.</t>
  </si>
  <si>
    <t>How is youth Tarung Derajat adapted for safety?</t>
  </si>
  <si>
    <t>A) Shorter rounds, B) No head strikes, C) Extra padding, D) All of the above</t>
  </si>
  <si>
    <t>Safer rules for minors.</t>
  </si>
  <si>
    <t>Which gesture is mandatory before and after fight?</t>
  </si>
  <si>
    <t>A) Touching gloves, B) Bowing, C) Salute, D) Referee handshake</t>
  </si>
  <si>
    <t>A) Touching gloves</t>
  </si>
  <si>
    <t>Symbol of respect.</t>
  </si>
  <si>
    <t>Why is striking grounded opponent prohibited?</t>
  </si>
  <si>
    <t>A) Difficult to score, B) Tradition, C) Risk of severe injury, D) Slows match</t>
  </si>
  <si>
    <t>C) Risk of severe injury</t>
  </si>
  <si>
    <t>Safety reason.</t>
  </si>
  <si>
    <t>What is the referee’s action if a fighter intentionally delays returning from the break between rounds?</t>
  </si>
  <si>
    <t>A) Extra rest allowed, B) Warning issued, C) Immediate disqualification, D) Points awarded to opponent</t>
  </si>
  <si>
    <t>B) Warning issued</t>
  </si>
  <si>
    <t>Deliberate delays are penalized to maintain fairness.</t>
  </si>
  <si>
    <t>In Tarung Derajat, if a fighter spits out the mouthguard intentionally to gain time, what happens?</t>
  </si>
  <si>
    <t>A) Fight paused without penalty, B) Warning and time deduction, C) Point deduction, D) Opponent declared winner</t>
  </si>
  <si>
    <t>Considered gamesmanship and penalized.</t>
  </si>
  <si>
    <t>When a fighter holds the ropes or edges of the ring to avoid strikes, what is the ruling?</t>
  </si>
  <si>
    <t>A) Legal defense, B) Warning only, C) Foul with point deduction, D) No action if brief</t>
  </si>
  <si>
    <t>C) Foul with point deduction</t>
  </si>
  <si>
    <t>Holding ropes for defense is illegal.</t>
  </si>
  <si>
    <t>If a fighter lands a strike exactly as the round-ending bell sounds, how is it judged?</t>
  </si>
  <si>
    <t>A) Point counts, B) Strike nullified, C) Warning issued, D) Judges’ discretion</t>
  </si>
  <si>
    <t>Any strike after or at the bell is invalid.</t>
  </si>
  <si>
    <t>What is the referee’s ruling if both fighters knock each other down at the same time?</t>
  </si>
  <si>
    <t>A) Both disqualified, B) Double knockdown count, C) Both awarded points, D) Judges decide based on recovery</t>
  </si>
  <si>
    <t>B) Double knockdown count</t>
  </si>
  <si>
    <t>Both given 10-second recovery.</t>
  </si>
  <si>
    <t>Which condition automatically ends a match for safety reasons?</t>
  </si>
  <si>
    <t>A) Two consecutive slips, B) Fighter unable to defend intelligently, C) Low stamina, D) Lack of aggression</t>
  </si>
  <si>
    <t>B) Fighter unable to defend intelligently</t>
  </si>
  <si>
    <t>Referee stops fight to prevent injury.</t>
  </si>
  <si>
    <t>What happens if a fighter repeatedly looks at the clock during a round?</t>
  </si>
  <si>
    <t>A) Warning for distraction, B) Referee stops match, C) Judges deduct points, D) Considered stalling behavior</t>
  </si>
  <si>
    <t>D) Considered stalling behavior</t>
  </si>
  <si>
    <t>Can influence referee’s warnings.</t>
  </si>
  <si>
    <t>In Tarung Derajat, how is excessive clinching defined?</t>
  </si>
  <si>
    <t>A) More than 3 seconds without strike, B) Any clinch attempt, C) Grappling without throw, D) Referee decides</t>
  </si>
  <si>
    <t>A) More than 3 seconds without strike</t>
  </si>
  <si>
    <t>Excessive clinching disrupts match flow.</t>
  </si>
  <si>
    <t>If a fighter’s corner throws in the towel, what is the outcome?</t>
  </si>
  <si>
    <t>A) Referee ignores it, B) Match paused, C) Opponent wins by technical knockout, D) Judges decide</t>
  </si>
  <si>
    <t>C) Opponent wins by technical knockout</t>
  </si>
  <si>
    <t>Towel throw ends fight immediately.</t>
  </si>
  <si>
    <t>What penalty applies if a fighter mocks or disrespects the referee during the match?</t>
  </si>
  <si>
    <t>A) No penalty, B) Warning only, C) Point deduction or disqualification, D) Post-match review</t>
  </si>
  <si>
    <t>C) Point deduction or disqualification</t>
  </si>
  <si>
    <t>Disrespecting referee authority is a serious offense</t>
  </si>
  <si>
    <t>What is the main objective in Tarung Derajat?</t>
  </si>
  <si>
    <t>A) Submitting your opponent, B) Scoring points by striking and grappling, C) Throwing your opponent out of the ring, D) Holding your opponent's limbs</t>
  </si>
  <si>
    <t>B) Scoring points by striking and grappling</t>
  </si>
  <si>
    <t>The goal is to score points through strikes and controlled grappling techniques.</t>
  </si>
  <si>
    <t>How many rounds are typically played in a Tarung Derajat match?</t>
  </si>
  <si>
    <t>A standard match consists of three rounds.</t>
  </si>
  <si>
    <t>What is a common weapon used in Tarung Derajat training?</t>
  </si>
  <si>
    <t>A) Sword, B) Knife, C) Stick, D) None</t>
  </si>
  <si>
    <t>D) None</t>
  </si>
  <si>
    <t>Tarung Derajat focuses on hand-to-hand combat, without the use of weapons.</t>
  </si>
  <si>
    <t>What type of stance is commonly used in Tarung Derajat?</t>
  </si>
  <si>
    <t>A) High guard, B) Side stance, C) Horse stance, D) Fighting stance</t>
  </si>
  <si>
    <t>D) Fighting stance</t>
  </si>
  <si>
    <t>The fighting stance allows practitioners to be prepared for both offense and defense.</t>
  </si>
  <si>
    <t>Which of the following techniques is NOT allowed in Tarung Derajat?</t>
  </si>
  <si>
    <t>A) Kicks to the head, B) Punches to the face, C) Elbow strikes to the back, D) Sweeping kicks</t>
  </si>
  <si>
    <t>C) Elbow strikes to the back</t>
  </si>
  <si>
    <t>Elbow strikes to the back are not permitted for safety reasons.</t>
  </si>
  <si>
    <t>How are points awarded in Tarung Derajat?</t>
  </si>
  <si>
    <t>A) Based on the number of successful takedowns, B) Based on the style of attack, C) Based on strikes and grapples, D) Based on opponent's fatigue</t>
  </si>
  <si>
    <t>C) Based on strikes and grapples</t>
  </si>
  <si>
    <t>Points are awarded for clean strikes and effective grappling techniques.</t>
  </si>
  <si>
    <t>Which part of the body is primarily targeted in Tarung Derajat strikes?</t>
  </si>
  <si>
    <t>A) Arms, B) Legs, C) Head and torso, D) Neck</t>
  </si>
  <si>
    <t>C) Head and torso</t>
  </si>
  <si>
    <t>Strikes are typically directed at the head and torso for maximum effect.</t>
  </si>
  <si>
    <t>What is the term for the 'ring' used in Tarung Derajat competitions?</t>
  </si>
  <si>
    <t>A) Dojo, B) Cage, C) Ring, D) Arena</t>
  </si>
  <si>
    <t>C) Ring</t>
  </si>
  <si>
    <t>The competition takes place in a ring where fighters can move and attack.</t>
  </si>
  <si>
    <t>Which type of fighting is combined in Tarung Derajat?</t>
  </si>
  <si>
    <t>A) Boxing and Judo, B) Karate and Taekwondo, C) Pencak Silat and Boxing, D) Jujutsu and Wrestling</t>
  </si>
  <si>
    <t>C) Pencak Silat and Boxing</t>
  </si>
  <si>
    <t>Tarung Derajat is a mix of Pencak Silat techniques and boxing strikes.</t>
  </si>
  <si>
    <t>What is the maximum number of fouls allowed before disqualification in Tarung Derajat?</t>
  </si>
  <si>
    <t>A fighter is disqualified after two fouls during the match.</t>
  </si>
  <si>
    <t>What kind of protective gear is required in a Tarung Derajat match?</t>
  </si>
  <si>
    <t>A) Headgear, B) Gloves, C) Mouthguard, D) All of the above</t>
  </si>
  <si>
    <t>Fighters must wear headgear, gloves, and a mouthguard for safety.</t>
  </si>
  <si>
    <t>In Tarung Derajat, what happens if there is a draw at the end of the third round?</t>
  </si>
  <si>
    <t>A) The fighter with the most takedowns wins, B) A sudden death round is held, C) Both fighters are disqualified, D) The match is declared a tie</t>
  </si>
  <si>
    <t>B) A sudden death round is held</t>
  </si>
  <si>
    <t>If the match is a draw, a sudden death round is held to determine the winner.</t>
  </si>
  <si>
    <t>What is the term for the protective clothing worn by Tarung Derajat competitors?</t>
  </si>
  <si>
    <t>A) Gi, B) Singlet, C) Dobok, D) Uniform</t>
  </si>
  <si>
    <t>D) Uniform</t>
  </si>
  <si>
    <t>The uniform is standard protective gear worn during matches.</t>
  </si>
  <si>
    <t>How long does each round last in Tarung Derajat?</t>
  </si>
  <si>
    <t>A) 1 minute, B) 2 minutes, C) 3 minutes, D) 5 minutes</t>
  </si>
  <si>
    <t>B) 2 minutes</t>
  </si>
  <si>
    <t>Each round lasts for 2 minutes in a standard match.</t>
  </si>
  <si>
    <t>What is the primary scoring method in Tarung Derajat?</t>
  </si>
  <si>
    <t>A) Point system for clean strikes, B) Points for finishing moves, C) Takedowns only, D) Aggression score</t>
  </si>
  <si>
    <t>A) Point system for clean strikes</t>
  </si>
  <si>
    <t>Points are awarded for clean and effective strikes to the opponent.</t>
  </si>
  <si>
    <t>In Tarung Derajat, what happens if a fighter is knocked down?</t>
  </si>
  <si>
    <t>A) They automatically lose, B) They have 10 seconds to recover, C) They lose points, D) They must be assisted out of the ring</t>
  </si>
  <si>
    <t>B) They have 10 seconds to recover</t>
  </si>
  <si>
    <t>A knocked-down fighter has up to 10 seconds to recover before the match resumes.</t>
  </si>
  <si>
    <t>What is the Tarung Derajat term for a successful strike?</t>
  </si>
  <si>
    <t>A) Dapat, B) Taji, C) Pukulan, D) Sambutan</t>
  </si>
  <si>
    <t>A) Dapat</t>
  </si>
  <si>
    <t>Dapat' refers to a successful strike that lands cleanly on the opponent.</t>
  </si>
  <si>
    <t>Which of the following techniques is a grappling move in Tarung Derajat?</t>
  </si>
  <si>
    <t>A) Knee strike, B) Shoulder throw, C) Roundhouse kick, D) Elbow strike</t>
  </si>
  <si>
    <t>B) Shoulder throw</t>
  </si>
  <si>
    <t>A shoulder throw is a common grappling move used in Tarung Derajat.</t>
  </si>
  <si>
    <t>In Tarung Derajat, which type of kicks are allowed?</t>
  </si>
  <si>
    <t>A) Spinning kicks only, B) Low kicks and mid-level kicks, C) High kicks and spinning kicks, D) Kicks to the head only</t>
  </si>
  <si>
    <t>B) Low kicks and mid-level kicks</t>
  </si>
  <si>
    <t>Kicks to the low and mid-level of the body are allowed in Tarung Derajat.</t>
  </si>
  <si>
    <t>What is the traditional background of Tarung Derajat?</t>
  </si>
  <si>
    <t>A) Developed from street fighting, B) A mixture of ancient Indonesian martial arts, C) Based on Olympic wrestling, D) A form of traditional boxing</t>
  </si>
  <si>
    <t>B) A mixture of ancient Indonesian martial arts</t>
  </si>
  <si>
    <t>Tarung Derajat blends traditional Indonesian martial arts with modern fighting techniques.</t>
  </si>
  <si>
    <t>How does a fighter win in Tarung Derajat?</t>
  </si>
  <si>
    <t>A) By submission, B) By knockout, C) By points after the third round, D) By forcing the opponent out of the ring</t>
  </si>
  <si>
    <t>C) By points after the third round</t>
  </si>
  <si>
    <t>The winner is determined by points accumulated through strikes and grappling techniques.</t>
  </si>
  <si>
    <t>What does a fighter use to block strikes in Tarung Derajat?</t>
  </si>
  <si>
    <t>A) Guarding techniques, B) Counter-strikes, C) Grappling, D) Footwork</t>
  </si>
  <si>
    <t>A) Guarding techniques</t>
  </si>
  <si>
    <t>Guarding techniques are used to block or deflect strikes from the opponent.</t>
  </si>
  <si>
    <t>What is a legal target area for strikes in Tarung Derajat?</t>
  </si>
  <si>
    <t>A) Knees, B) Elbows, C) Head and torso, D) Legs below the knees</t>
  </si>
  <si>
    <t>Strikes to the head and torso are legal target areas in the sport.</t>
  </si>
  <si>
    <t>In Tarung Derajat, what is the term used for an illegal action?</t>
  </si>
  <si>
    <t>A) Foul, B) Slip, C) Breakdown, D) Penalty</t>
  </si>
  <si>
    <t>A) Foul</t>
  </si>
  <si>
    <t>Any illegal action performed during the match is considered a foul.</t>
  </si>
  <si>
    <t>What happens if a fighter commits a foul in Tarung Derajat?</t>
  </si>
  <si>
    <t>A) They are immediately disqualified, B) They are warned, C) They lose points, D) They are fined</t>
  </si>
  <si>
    <t>C) They lose points</t>
  </si>
  <si>
    <t>Fouls result in the deduction of points from the offending fighter.</t>
  </si>
  <si>
    <t>What type of clinch is allowed in Tarung Derajat?</t>
  </si>
  <si>
    <t>A) No clinch allowed, B) Short clinch to control the opponent, C) Extended clinch for throws, D) Continuous clinch until break</t>
  </si>
  <si>
    <t>B) Short clinch to control the opponent</t>
  </si>
  <si>
    <t>A short clinch is allowed to control the opponent and set up strikes or throws.</t>
  </si>
  <si>
    <t>What type of footwear is worn in a Tarung Derajat match?</t>
  </si>
  <si>
    <t>A) Barefoot, B) Sandals, C) Sneakers, D) No footwear is allowed</t>
  </si>
  <si>
    <t>A) Barefoot</t>
  </si>
  <si>
    <t>Fighters compete barefoot in Tarung Derajat to maintain mobility and control.</t>
  </si>
  <si>
    <t>How is the winner determined if both fighters are still standing after the final round?</t>
  </si>
  <si>
    <t>A) Based on aggression and control, B) Based on points scored, C) Based on audience applause, D) Based on the referee's decision</t>
  </si>
  <si>
    <t>B) Based on points scored</t>
  </si>
  <si>
    <t>The winner is decided by the points accumulated throughout the rounds.</t>
  </si>
  <si>
    <t>What is the Tarung Derajat term for an effective counter-attack?</t>
  </si>
  <si>
    <t>A) Sambut, B) Balik, C) Serang, D) Jebret</t>
  </si>
  <si>
    <t>B) Balik</t>
  </si>
  <si>
    <t>Balik' refers to an effective counter-attack against the opponent's strikes.</t>
  </si>
  <si>
    <t>What is the traditional weapon associated with some Tarung Derajat training?</t>
  </si>
  <si>
    <t>A) Spear, B) Dagger, C) Knife, D) None</t>
  </si>
  <si>
    <t>Tarung Derajat is primarily a hand-to-hand combat sport, with no traditional weapons used.</t>
  </si>
  <si>
    <t>What is a characteristic feature of Tarung Derajat?</t>
  </si>
  <si>
    <t>A) Focus on defense, B) Mixed martial arts techniques, C) Use of martial arts weapons, D) Strict ground fighting</t>
  </si>
  <si>
    <t>B) Mixed martial arts techniques</t>
  </si>
  <si>
    <t>Tarung Derajat integrates various fighting techniques, including boxing and grappling.</t>
  </si>
  <si>
    <t>Which is the primary discipline mixed in Tarung Derajat?</t>
  </si>
  <si>
    <t>A) Boxing, B) Taekwondo, C) Muay Thai, D) Karate</t>
  </si>
  <si>
    <t>A) Boxing</t>
  </si>
  <si>
    <t>Tarung Derajat incorporates boxing techniques alongside Indonesian martial arts.</t>
  </si>
  <si>
    <t>In Tarung Derajat, what happens if a fighter is unable to continue due to injury?</t>
  </si>
  <si>
    <t>A) The opponent is disqualified, B) The fight is stopped, C) The injured fighter wins, D) The fight is continued by another fighter</t>
  </si>
  <si>
    <t>B) The fight is stopped</t>
  </si>
  <si>
    <t>If a fighter is injured and cannot continue, the fight is stopped for their safety.</t>
  </si>
  <si>
    <t>What is the role of the referee in a Tarung Derajat match?</t>
  </si>
  <si>
    <t>A) To coach the fighters, B) To ensure fair play, C) To score the match, D) To perform attacks</t>
  </si>
  <si>
    <t>B) To ensure fair play</t>
  </si>
  <si>
    <t>The referee ensures that both fighters follow the rules and maintains the match's integrity.</t>
  </si>
  <si>
    <t>In Tarung Derajat, what is the duration of each round?</t>
  </si>
  <si>
    <t>C) 3 minutes</t>
  </si>
  <si>
    <t>Each round in Tarung Derajat lasts for 3 minutes, allowing time for tactical exchanges.</t>
  </si>
  <si>
    <t>What happens if a fighter gets knocked down in Tarung Derajat?</t>
  </si>
  <si>
    <t>A) The fight is paused, B) They are immediately disqualified, C) They are given a 10-second count, D) The opponent is penalized</t>
  </si>
  <si>
    <t>C) They are given a 10-second count</t>
  </si>
  <si>
    <t>A 10-second count is given to a knocked-down fighter to recover and continue the match.</t>
  </si>
  <si>
    <t>What is the term for a successful strike that scores points in Tarung Derajat?</t>
  </si>
  <si>
    <t>A) Sambut, B) Balik, C) Pukulan, D) Serangan</t>
  </si>
  <si>
    <t>C) Pukulan</t>
  </si>
  <si>
    <t>Pukulan' refers to a strike that successfully lands and scores points.</t>
  </si>
  <si>
    <t>What is the maximum number of rounds in a Tarung Derajat match?</t>
  </si>
  <si>
    <t>A) 1 round, B) 2 rounds, C) 3 rounds, D) 5 rounds</t>
  </si>
  <si>
    <t>C) 3 rounds</t>
  </si>
  <si>
    <t>A Tarung Derajat match consists of up to 3 rounds, each lasting 3 minutes.</t>
  </si>
  <si>
    <t>What is the allowed method to strike an opponent's head in Tarung Derajat?</t>
  </si>
  <si>
    <t>A) With an elbow, B) With a knee, C) With a punch, D) With a kick</t>
  </si>
  <si>
    <t>C) With a punch</t>
  </si>
  <si>
    <t>Fighters are allowed to strike the head with punches in Tarung Derajat.</t>
  </si>
  <si>
    <t>In Tarung Derajat, what happens if both fighters are tied on points after the final round?</t>
  </si>
  <si>
    <t>A) A sudden-death round is held, B) The judges decide, C) The fight is considered a draw, D) The higher scorer in the final round wins</t>
  </si>
  <si>
    <t>B) The judges decide</t>
  </si>
  <si>
    <t>If the score is tied, the judges' decision determines the winner.</t>
  </si>
  <si>
    <t>What is prohibited during a Tarung Derajat fight?</t>
  </si>
  <si>
    <t>A) Punching to the body, B) Kicking the legs, C) Striking the back of the head, D) Clinching</t>
  </si>
  <si>
    <t>C) Striking the back of the head</t>
  </si>
  <si>
    <t>Strikes to the back of the head are prohibited for safety reasons.</t>
  </si>
  <si>
    <t>What kind of grip is allowed when clinching in Tarung Derajat?</t>
  </si>
  <si>
    <t>A) Full-body clinch, B) Grabbing the opponent's arms, C) Short clinch to control the opponent, D) Long clinch for throws</t>
  </si>
  <si>
    <t>C) Short clinch to control the opponent</t>
  </si>
  <si>
    <t>A short clinch is allowed to control the opponent and set up attacks.</t>
  </si>
  <si>
    <t>Which type of punches are allowed in Tarung Derajat?</t>
  </si>
  <si>
    <t>A) Uppercut, B) Jab, C) Overhand, D) All of the above</t>
  </si>
  <si>
    <t>All types of punches including jabs, uppercuts, and overhands are allowed.</t>
  </si>
  <si>
    <t>What is the penalty for illegal behavior in Tarung Derajat?</t>
  </si>
  <si>
    <t>A) Immediate disqualification, B) Warning and point deduction, C) No penalty, D) Fine</t>
  </si>
  <si>
    <t>B) Warning and point deduction</t>
  </si>
  <si>
    <t>Illegal actions usually result in a warning and a possible point deduction.</t>
  </si>
  <si>
    <t>What should fighters wear during a Tarung Derajat match?</t>
  </si>
  <si>
    <t>A) Protective gear and gloves, B) Traditional martial arts attire, C) No footwear and gloves, D) Gi</t>
  </si>
  <si>
    <t>C) No footwear and gloves</t>
  </si>
  <si>
    <t>Fighters compete barefoot and without gloves to maintain agility and mobility.</t>
  </si>
  <si>
    <t>What is the term for a fighter who is leading on points in Tarung Derajat?</t>
  </si>
  <si>
    <t>A) Pemenang, B) Terdepan, C) Juara, D) Pemimpin</t>
  </si>
  <si>
    <t>B) Terdepan</t>
  </si>
  <si>
    <t>Terdepan' refers to the fighter leading in points during the match.</t>
  </si>
  <si>
    <t>How is a decision made if one fighter is knocked out in Tarung Derajat?</t>
  </si>
  <si>
    <t>A) The knockout fighter is disqualified, B) The standing fighter wins, C) A new match is arranged, D) No decision is made</t>
  </si>
  <si>
    <t>B) The standing fighter wins</t>
  </si>
  <si>
    <t>If one fighter is knocked out, the standing fighter is declared the winner.</t>
  </si>
  <si>
    <t>What is the primary goal in Tarung Derajat?</t>
  </si>
  <si>
    <t>A) To control the opponent, B) To knock the opponent out, C) To score points through strikes, D) To submit the opponent</t>
  </si>
  <si>
    <t>C) To score points through strikes</t>
  </si>
  <si>
    <t>The primary goal is to score points through strikes and control during the match.</t>
  </si>
  <si>
    <t>Which part of the body can be struck with punches in Tarung Derajat?</t>
  </si>
  <si>
    <t>A) Knees, B) Legs, C) Head, D) All of the above</t>
  </si>
  <si>
    <t>C) Head</t>
  </si>
  <si>
    <t>Punches are allowed to the head, but other areas like legs and knees are not targeted.</t>
  </si>
  <si>
    <t>How is a knockdown scored in Tarung Derajat?</t>
  </si>
  <si>
    <t>A) No points are awarded, B) Points are deducted from the opponent, C) Points are awarded to the standing fighter, D) The fight is stopped</t>
  </si>
  <si>
    <t>C) Points are awarded to the standing fighter</t>
  </si>
  <si>
    <t>The standing fighter is awarded points for a knockdown, gaining an advantage.</t>
  </si>
  <si>
    <t>What is the term for a fighter who performs an illegal action during a match?</t>
  </si>
  <si>
    <t>A) Pelanggar, B) Pemenang, C) Terdepan, D) Juara</t>
  </si>
  <si>
    <t>A) Pelanggar</t>
  </si>
  <si>
    <t>Pelanggar' refers to a fighter who commits an illegal action during the match.</t>
  </si>
  <si>
    <t>What action is allowed to stop the opponent's attack in Tarung Derajat?</t>
  </si>
  <si>
    <t>A) Blocking with the hands, B) Dodging, C) Kicking the legs, D) Catching the punch</t>
  </si>
  <si>
    <t>A) Blocking with the hands</t>
  </si>
  <si>
    <t>Blocking with the hands is a legal defensive action to stop an incoming attack.</t>
  </si>
  <si>
    <t>What is the maximum penalty for a fighter who commits a serious foul in Tarung Derajat?</t>
  </si>
  <si>
    <t>A) Point deduction, B) Disqualification, C) Warning, D) Suspension</t>
  </si>
  <si>
    <t>B) Disqualification</t>
  </si>
  <si>
    <t>A serious foul can result in immediate disqualification from the match.</t>
  </si>
  <si>
    <t>In Tarung Derajat, who is responsible for ensuring the safety of the fighters?</t>
  </si>
  <si>
    <t>A) The referee, B) The coach, C) The opponent, D) The spectators</t>
  </si>
  <si>
    <t>A) The referee</t>
  </si>
  <si>
    <t>The referee is responsible for ensuring the fighters' safety and adherence to the rules.</t>
  </si>
  <si>
    <t>Which strike is prohibited in Tarung Derajat?</t>
  </si>
  <si>
    <t>A) Kicking to the body, B) Elbow strike to the head, C) Knee strike to the chest, D) Uppercut</t>
  </si>
  <si>
    <t>B) Elbow strike to the head</t>
  </si>
  <si>
    <t>Elbow strikes to the head are prohibited due to their dangerous nature.</t>
  </si>
  <si>
    <t>Which action is encouraged in Tarung Derajat?</t>
  </si>
  <si>
    <t>A) Continuous attacking, B) Running away, C) Holding the opponent, D) All of the above</t>
  </si>
  <si>
    <t>A) Continuous attacking</t>
  </si>
  <si>
    <t>Continuous attacking is encouraged, promoting active engagement during the match.</t>
  </si>
  <si>
    <t>What happens if a fighter is injured during a Tarung Derajat match?</t>
  </si>
  <si>
    <t>A) The match continues, B) The injured fighter is given a medical timeout, C) The match is stopped immediately, D) The opponent is penalized</t>
  </si>
  <si>
    <t>B) The injured fighter is given a medical timeout</t>
  </si>
  <si>
    <t>The injured fighter can receive a medical timeout to assess the injury before continuing.</t>
  </si>
  <si>
    <t>How is the winner determined in Tarung Derajat if no knockout occurs?</t>
  </si>
  <si>
    <t>A) By submission, B) By points, C) By disqualification, D) By the referee's decision</t>
  </si>
  <si>
    <t>B) By points</t>
  </si>
  <si>
    <t>If no knockout occurs, the winner is determined based on the total points scored.</t>
  </si>
  <si>
    <t>In Tarung Derajat, how is the winner decided in case of a draw after the last round?</t>
  </si>
  <si>
    <t>A) A sudden death round, B) The fighter with the highest number of strikes, C) The fighter with the best defense, D) The referee's decision</t>
  </si>
  <si>
    <t>D) The referee's decision</t>
  </si>
  <si>
    <t>If the score is tied, the referee makes the final decision on the winner.</t>
  </si>
  <si>
    <t>What is the allowed striking surface for punches in Tarung Derajat?</t>
  </si>
  <si>
    <t>A) Back of the hand, B) Knuckles, C) Elbow, D) Fist</t>
  </si>
  <si>
    <t>B) Knuckles</t>
  </si>
  <si>
    <t>Only the knuckles of the fist can be used to deliver punches in Tarung Derajat.</t>
  </si>
  <si>
    <t>If both fighters strike simultaneously and both shields deflect, but one stick touches the ground, what does the referee rule?</t>
  </si>
  <si>
    <t>A) The stick-dropper loses B) Both restart C) Opponent wins instantly D) Referee pauses match</t>
  </si>
  <si>
    <t>D) Referee pauses match</t>
  </si>
  <si>
    <t>Dropping the stick accidentally does not instantly mean defeat unless used dishonorably. The referee pauses the fight to restore fairness before resuming.</t>
  </si>
  <si>
    <t>When a fighter intentionally hits below the torso, what penalty is applied?</t>
  </si>
  <si>
    <t>A) Warning only B) Immediate disqualification C) Match restart D) Village elder decides</t>
  </si>
  <si>
    <t>B) Immediate disqualification</t>
  </si>
  <si>
    <t>Striking below the torso is considered a foul act in Peresean. The rules prioritize safety, and intentional targeting of forbidden areas results in immediate disqualification.</t>
  </si>
  <si>
    <t>If the drumbeat to start is missed but one fighter swings early, what happens?</t>
  </si>
  <si>
    <t>A) Early fighter warned B) Opponent declared winner C) Match restarted D) Crowd decides</t>
  </si>
  <si>
    <t>A) Early fighter warned</t>
  </si>
  <si>
    <t>The fight must begin with the referee’s order and drumbeat. Attacking early is seen as impatience and earns a warning, not an automatic loss.</t>
  </si>
  <si>
    <t>If the leather shield breaks during a strike, what is the official action?</t>
  </si>
  <si>
    <t>A) Opponent wins B) Referee halts fight C) Continue fighting without shield D) Replace shield immediately</t>
  </si>
  <si>
    <t>B) Referee halts fight</t>
  </si>
  <si>
    <t>A broken shield compromises fairness and safety. The match is paused so a proper shield can be replaced before resuming.</t>
  </si>
  <si>
    <t>In the case of blood appearing on both fighters at once, what is the rule?</t>
  </si>
  <si>
    <t>A) Both lose B) Both win C) Match continues until referee chooses D) Decision given by referee on severity</t>
  </si>
  <si>
    <t>D) Decision given by referee on severity</t>
  </si>
  <si>
    <t>The referee assesses which injury is more serious. The less injured fighter may continue, while the more severely injured is declared the loser.</t>
  </si>
  <si>
    <t>If a fighter uses the shield as a weapon, how is the foul handled?</t>
  </si>
  <si>
    <t>A) One warning allowed B) Disqualified immediately C) Opponent gains advantage D) Referee decides punishment</t>
  </si>
  <si>
    <t>B) Disqualified immediately</t>
  </si>
  <si>
    <t>The shield in Peresean is purely defensive. Using it to strike violates the fundamental rules and leads to disqualification.</t>
  </si>
  <si>
    <t>When a fighter retreats beyond the ring boundary twice, what is ruled?</t>
  </si>
  <si>
    <t>A) Match continues B) Opponent gains victory C) Warning given only D) Referee resets position</t>
  </si>
  <si>
    <t>B) Opponent gains victory</t>
  </si>
  <si>
    <t>Repeated retreat beyond the circle shows avoidance. Tradition considers it dishonorable, and the opponent is declared the winner.</t>
  </si>
  <si>
    <t>If the referee notices a fighter intentionally aiming for the legs, what happens?</t>
  </si>
  <si>
    <t>A) Warning only B) Point deducted C) Match stopped for foul D) Opponent wins automatically</t>
  </si>
  <si>
    <t>C) Match stopped for foul</t>
  </si>
  <si>
    <t>Attacking the legs is not permitted. The referee halts the fight and may decide whether disqualification is necessary depending on intent.</t>
  </si>
  <si>
    <t>If a fighter bleeds but refuses to stop, who makes the final ruling?</t>
  </si>
  <si>
    <t>A) Fighter B) Opponent C) Referee D) Village elder</t>
  </si>
  <si>
    <t>C) Referee</t>
  </si>
  <si>
    <t>Even if the fighter insists on continuing, the referee prioritizes safety and can overrule the fighter’s will.</t>
  </si>
  <si>
    <t>If the drumbeat stops mid-fight unexpectedly, what is the proper action?</t>
  </si>
  <si>
    <t>A) Fighters must freeze B) Continue fighting C) Referee decides on the spot D) Match cancelled</t>
  </si>
  <si>
    <t>A) Fighters must freeze</t>
  </si>
  <si>
    <t>Drum rhythm is the external signal controlling the fight. Sudden silence means fighters must pause until rhythm resumes.</t>
  </si>
  <si>
    <t>What happens if one fighter drops both stick and shield?</t>
  </si>
  <si>
    <t>A) Automatic loss B) Match paused C) Opponent must stop D) Referee decides outcome</t>
  </si>
  <si>
    <t>A) Automatic loss</t>
  </si>
  <si>
    <t>Dropping both weapons leaves the fighter defenseless and unable to continue, leading to immediate defeat.</t>
  </si>
  <si>
    <t>If a fighter covers his entire body with the shield, what is the rule?</t>
  </si>
  <si>
    <t>A) Allowed as defense B) Warning for dishonor C) Opponent wins D) Restart match</t>
  </si>
  <si>
    <t>B) Warning for dishonor</t>
  </si>
  <si>
    <t>Shield must be used dynamically, not as a full-body cover. Overuse is seen as cowardice and earns a warning.</t>
  </si>
  <si>
    <t>If the referee sees a deliberate strike after “stop” is called, what happens?</t>
  </si>
  <si>
    <t>A) Fighter loses instantly B) Opponent gains victory C) Warning only D) Crowd decides punishment</t>
  </si>
  <si>
    <t>A) Fighter loses instantly</t>
  </si>
  <si>
    <t>Ignoring the referee’s stop command shows disrespect for rules and earns immediate loss.</t>
  </si>
  <si>
    <t>When a fighter refuses to engage in three consecutive turns, what is the ruling?</t>
  </si>
  <si>
    <t>A) Referee disqualifies B) Opponent wins C) Match restarted D) Warning only</t>
  </si>
  <si>
    <t>A) Referee disqualifies</t>
  </si>
  <si>
    <t>Non-engagement repeatedly is treated as avoiding combat, resulting in disqualification.</t>
  </si>
  <si>
    <t>If a fighter switches the shield to the opposite hand mid-match, is it allowed?</t>
  </si>
  <si>
    <t>A) Yes, always B) No, foul C) Allowed only if referee agrees D) Opponent can protest</t>
  </si>
  <si>
    <t>C) Allowed only if referee agrees</t>
  </si>
  <si>
    <t>Normally fighters keep one stance, but switching may be allowed if referee approves for fairness.</t>
  </si>
  <si>
    <t>If a fighter deliberately targets the eyes, what is the outcome?</t>
  </si>
  <si>
    <t>A) Warning B) Match stopped immediately C) Disqualification D) Opponent awarded win</t>
  </si>
  <si>
    <t>Eye strikes are extremely dangerous. Intentional targeting leads to instant disqualification.</t>
  </si>
  <si>
    <t>If both fighters’ sticks break, what is the rule?</t>
  </si>
  <si>
    <t>A) Both lose B) Both restart with new sticks C) Referee decides D) Match ends</t>
  </si>
  <si>
    <t>B) Both restart with new sticks</t>
  </si>
  <si>
    <t>A fair fight cannot continue with broken weapons. Both fighters are given fresh sticks to restart.</t>
  </si>
  <si>
    <t>What happens if a fighter pretends to be injured to stop the match?</t>
  </si>
  <si>
    <t>A) Referee checks and warns B) Opponent declared winner C) Fighter disqualified D) Match paused until verified</t>
  </si>
  <si>
    <t>D) Match paused until verified</t>
  </si>
  <si>
    <t>The referee checks authenticity. If acting dishonorably, the fighter risks punishment later.</t>
  </si>
  <si>
    <t>If a fighter strikes after crossing the ring boundary, what is the rule?</t>
  </si>
  <si>
    <t>A) Strike counts B) Strike ignored, warning issued C) Opponent wins D) Match restarts</t>
  </si>
  <si>
    <t>B) Strike ignored, warning issued</t>
  </si>
  <si>
    <t>Attacks outside the ring boundary don’t count and earn a warning for foul play.</t>
  </si>
  <si>
    <t>What if the drummer signals restart while referee hasn’t?</t>
  </si>
  <si>
    <t>A) Drummer’s signal counts B) Referee’s authority prevails C) Both signals required D) Match annulled</t>
  </si>
  <si>
    <t>B) Referee’s authority prevails</t>
  </si>
  <si>
    <t>The referee is the highest authority in Peresean. Drummer supports but cannot override referee’s decision.</t>
  </si>
  <si>
    <t>If the shield accidentally hits the referee, what is the rule?</t>
  </si>
  <si>
    <t>A) Match continues B) Match paused C) Fighter disqualified D) Opponent wins</t>
  </si>
  <si>
    <t>B) Match paused</t>
  </si>
  <si>
    <t>Accidents are handled carefully. The referee pauses, resets, and ensures fairness before continuing.</t>
  </si>
  <si>
    <t>When one fighter holds the rattan stick with both hands, is it valid?</t>
  </si>
  <si>
    <t>A) Yes, always B) No, foul C) Only if referee allows D) Match restarts</t>
  </si>
  <si>
    <t>B) No, foul</t>
  </si>
  <si>
    <t>Peresean requires one-handed rattan control. Two-handed holding is against rules.</t>
  </si>
  <si>
    <t>If a fighter blocks every attack but never strikes, what is the referee’s ruling?</t>
  </si>
  <si>
    <t>A) Allowed as strategy B) Warning for non-engagement C) Opponent declared winner D) Match paused for review</t>
  </si>
  <si>
    <t>B) Warning for non-engagement</t>
  </si>
  <si>
    <t>Peresean values active combat. Refusing to strike repeatedly earns a warning.</t>
  </si>
  <si>
    <t>What happens if a fighter accidentally drops shield but keeps fighting?</t>
  </si>
  <si>
    <t>A) Opponent wins instantly B) Match paused until shield returned C) Allowed until referee intervenes D) Fighter continues without shield</t>
  </si>
  <si>
    <t>B) Match paused until shield returned</t>
  </si>
  <si>
    <t>The shield is essential. Fighting without it breaks balance, so the referee pauses to restore fairness.</t>
  </si>
  <si>
    <t>If both fighters refuse to stop after referee’s call, what happens?</t>
  </si>
  <si>
    <t>A) Both disqualified B) Both warned C) Opponent chosen by elders D) Match annulled</t>
  </si>
  <si>
    <t>A) Both disqualified</t>
  </si>
  <si>
    <t>Ignoring the referee is the highest offense. Both fighters are disqualified for disobedience.</t>
  </si>
  <si>
    <t>If a fighter intentionally delays returning to center after pause, what is ruled?</t>
  </si>
  <si>
    <t>A) Warning only B) Loss by dishonor C) Opponent wins D) Referee deducts chance</t>
  </si>
  <si>
    <t>A) Warning only</t>
  </si>
  <si>
    <t>Stalling is dishonorable but not severe enough for disqualification unless repeated.</t>
  </si>
  <si>
    <t>If a fighter strikes with the rattan stick’s handle instead of the tip, is it valid?</t>
  </si>
  <si>
    <t>A) Valid strike B) Invalid strike, warning C) Disqualification D) Restart round</t>
  </si>
  <si>
    <t>B) Invalid strike, warning</t>
  </si>
  <si>
    <t>Only the striking tip of the rattan is recognized. Handle strikes don’t count and earn a warning.</t>
  </si>
  <si>
    <t>If the shield strap breaks mid-match, what happens?</t>
  </si>
  <si>
    <t>A) Match ends B) Pause for shield replacement C) Opponent wins D) Continue without shield</t>
  </si>
  <si>
    <t>B) Pause for shield replacement</t>
  </si>
  <si>
    <t>Equipment failure pauses the fight until fixed, ensuring fairness.</t>
  </si>
  <si>
    <t>If a fighter turns his back deliberately during combat, what is the rule?</t>
  </si>
  <si>
    <t>A) Allowed defense B) Warning for dishonor C) Opponent wins instantly D) Match restarts</t>
  </si>
  <si>
    <t>Turning the back shows avoidance, not bravery. It earns a dishonor warning.</t>
  </si>
  <si>
    <t>If the referee suspects collusion between fighters, what action is taken?</t>
  </si>
  <si>
    <t>A) Crowd asked to decide B) Match stopped immediately C) Warning issued D) Opponent chosen to win</t>
  </si>
  <si>
    <t>B) Match stopped immediately</t>
  </si>
  <si>
    <t>Peresean must represent honor and fairness. Any collusion suspicion forces an immediate stop to preserve integrity.</t>
  </si>
  <si>
    <t>If a fighter intentionally delays striking after three drumbeats, what is the ruling?</t>
  </si>
  <si>
    <t>A) Warning for stalling B) Allowed as strategy C) Match reset D) Opponent wins</t>
  </si>
  <si>
    <t>A) Warning for stalling</t>
  </si>
  <si>
    <t>Peresean rules expect active engagement. Excessive delay earns a warning, not immediate loss.</t>
  </si>
  <si>
    <t>If a fighter removes his headgear mid-match, what is the official action?</t>
  </si>
  <si>
    <t>A) Continue fighting B) Pause match C) Opponent wins D) Fighter disqualified</t>
  </si>
  <si>
    <t>B) Pause match</t>
  </si>
  <si>
    <t>Headgear is protective equipment. Removing it forces the referee to pause the match for safety.</t>
  </si>
  <si>
    <t>If the drummer signals a stop before the referee does, what happens?</t>
  </si>
  <si>
    <t>A) Match halts B) Continue until referee signals C) Opponent wins D) Crowd intervenes</t>
  </si>
  <si>
    <t>B) Continue until referee signals</t>
  </si>
  <si>
    <t>The referee’s authority overrides the drummer’s. The fight only ends on referee’s command.</t>
  </si>
  <si>
    <t>What happens if one fighter repeatedly circles without striking?</t>
  </si>
  <si>
    <t>A) Opponent wins B) Fighter warned for avoidance C) Match restarted D) No action</t>
  </si>
  <si>
    <t>B) Fighter warned for avoidance</t>
  </si>
  <si>
    <t>Circling excessively without attack is treated as avoiding combat and earns a warning.</t>
  </si>
  <si>
    <t>If the shield slips out of hand due to sweat, what is the ruling?</t>
  </si>
  <si>
    <t>A) Opponent wins instantly B) Match paused to return shield C) Allowed to continue without shield D) Referee decides</t>
  </si>
  <si>
    <t>B) Match paused to return shield</t>
  </si>
  <si>
    <t>Safety requires fighters to have both stick and shield. Match pauses until shield is restored.</t>
  </si>
  <si>
    <t>If a fighter deliberately pushes the opponent instead of striking, what happens?</t>
  </si>
  <si>
    <t>A) Allowed as tactic B) Foul, warning issued C) Match reset D) Opponent wins</t>
  </si>
  <si>
    <t>B) Foul, warning issued</t>
  </si>
  <si>
    <t>Peresean values striking, not wrestling. Pushing is a foul that earns a warning.</t>
  </si>
  <si>
    <t>If both fighters stand motionless for more than one minute, what is the rule?</t>
  </si>
  <si>
    <t>A) Match restarted B) Both warned for inactivity C) Opponent chosen as winner D) Match cancelled</t>
  </si>
  <si>
    <t>B) Both warned for inactivity</t>
  </si>
  <si>
    <t>Lack of engagement violates the spirit of Peresean, so both fighters are warned.</t>
  </si>
  <si>
    <t>If a fighter strikes after the referee has stepped into the ring, what is the outcome?</t>
  </si>
  <si>
    <t>A) Strike valid B) Match paused C) Fighter disqualified D) Opponent wins</t>
  </si>
  <si>
    <t>C) Fighter disqualified</t>
  </si>
  <si>
    <t>Attacking after the referee enters is considered highly disrespectful and results in disqualification.</t>
  </si>
  <si>
    <t>If a shield touches the ground during a block, what is the ruling?</t>
  </si>
  <si>
    <t>A) Allowed defense B) Warning issued C) Opponent wins D) Match restarted</t>
  </si>
  <si>
    <t>A) Allowed defense</t>
  </si>
  <si>
    <t>Shield touching the ground is not a foul as long as it blocks effectively.</t>
  </si>
  <si>
    <t>If a fighter repeatedly shouts insults at the opponent, what is the rule?</t>
  </si>
  <si>
    <t>A) Allowed as distraction B) Warning for dishonor C) Opponent wins D) Match paused</t>
  </si>
  <si>
    <t>Verbal disrespect violates Peresean’s honor code. A warning is issued.</t>
  </si>
  <si>
    <t>What happens if both fighters intentionally drop their sticks to protest?</t>
  </si>
  <si>
    <t>A) Match ends B) Both disqualified C) Elders intervene D) Restart match</t>
  </si>
  <si>
    <t>Refusing to fight dishonors the tradition, leading to disqualification.</t>
  </si>
  <si>
    <t>If the referee is uncertain about who struck first, what is done?</t>
  </si>
  <si>
    <t>A) Crowd votes B) Match paused and restarted C) Opponent gains point D) Both penalized</t>
  </si>
  <si>
    <t>B) Match paused and restarted</t>
  </si>
  <si>
    <t>In unclear situations, fairness is restored by restarting the exchange.</t>
  </si>
  <si>
    <t>If a fighter spins his stick in a flashy move before striking, what is the ruling?</t>
  </si>
  <si>
    <t>A) Allowed as style B) Warning for wasting time C) Opponent wins D) Referee penalizes</t>
  </si>
  <si>
    <t>A) Allowed as style</t>
  </si>
  <si>
    <t>Showmanship is permitted unless it delays the fight excessively.</t>
  </si>
  <si>
    <t>If a fighter intentionally refuses to hold the shield, what happens?</t>
  </si>
  <si>
    <t>A) Match continues B) Referee issues warning C) Fighter disqualified D) Opponent wins</t>
  </si>
  <si>
    <t>B) Referee issues warning</t>
  </si>
  <si>
    <t>Fighting without a shield violates balance; warning is issued for non-compliance.</t>
  </si>
  <si>
    <t>If a fighter bleeds but hides it under clothing, who decides?</t>
  </si>
  <si>
    <t>A) Fighter B) Referee C) Opponent D) Drummer</t>
  </si>
  <si>
    <t>Referee inspects injuries. Concealing blood is futile, as the referee decides continuation.</t>
  </si>
  <si>
    <t>What if the drumbeat signals continue after referee calls stop?</t>
  </si>
  <si>
    <t>A) Match continues B) Referee’s order prevails C) Opponent wins D) Match annulled</t>
  </si>
  <si>
    <t>B) Referee’s order prevails</t>
  </si>
  <si>
    <t>Drummers support but cannot override the referee’s command.</t>
  </si>
  <si>
    <t>If a fighter deliberately leans on the shield without striking, what happens?</t>
  </si>
  <si>
    <t>A) Allowed B) Warning for inactivity C) Opponent wins D) Match restarted</t>
  </si>
  <si>
    <t>B) Warning for inactivity</t>
  </si>
  <si>
    <t>Passive defense is not encouraged. Warning issued for avoiding combat.</t>
  </si>
  <si>
    <t>If both fighters drop their shields but continue striking, what is the ruling?</t>
  </si>
  <si>
    <t>A) Allowed B) Match paused C) Both disqualified D) Opponent wins</t>
  </si>
  <si>
    <t>Fighting without shields breaks safety rules. Match paused to return shields.</t>
  </si>
  <si>
    <t>If a fighter accidentally strikes referee, what happens?</t>
  </si>
  <si>
    <t>A) Warning B) Match stopped C) Fighter disqualified D) Opponent wins</t>
  </si>
  <si>
    <t>A) Warning</t>
  </si>
  <si>
    <t>Accidental strike earns a warning unless deemed intentional.</t>
  </si>
  <si>
    <t>If a fighter repeatedly ignores drumbeat rhythm, what is the penalty?</t>
  </si>
  <si>
    <t>A) Warning only B) Opponent wins C) Referee disqualifies D) Match restarted</t>
  </si>
  <si>
    <t>C) Referee disqualifies</t>
  </si>
  <si>
    <t>Ignoring rhythm undermines ritual order, leading to disqualification after repeated offense.</t>
  </si>
  <si>
    <t>If a fighter intentionally uses both shield edge and stick together, what is ruled?</t>
  </si>
  <si>
    <t>A) Allowed combo B) Warning C) Disqualification D) Referee decides</t>
  </si>
  <si>
    <t>Shield must never be used offensively; combining it with stick is a foul.</t>
  </si>
  <si>
    <t>What if a fighter kneels to avoid strike?</t>
  </si>
  <si>
    <t>A) Allowed defense B) Warning for dishonor C) Opponent wins instantly D) Match paused</t>
  </si>
  <si>
    <t>Kneeling to evade is cowardly, earning dishonor warning.</t>
  </si>
  <si>
    <t>If a fighter covers his face with hands instead of shield, what happens?</t>
  </si>
  <si>
    <t>A) Allowed B) Warning issued C) Opponent wins D) Match paused</t>
  </si>
  <si>
    <t>Bare-hand blocking violates Peresean rules, leading to warning.</t>
  </si>
  <si>
    <t>If one fighter steps outside the circle three times, what is ruled?</t>
  </si>
  <si>
    <t>A) Warning only B) Opponent wins C) Match reset D) Referee decides</t>
  </si>
  <si>
    <t>B) Opponent wins</t>
  </si>
  <si>
    <t>Exiting repeatedly shows avoidance, awarding victory to the opponent.</t>
  </si>
  <si>
    <t>If both fighters strike after the match is declared over, what happens?</t>
  </si>
  <si>
    <t>A) Ignored B) Both disqualified C) Warning D) Opponent chosen to win</t>
  </si>
  <si>
    <t>Fighting after match conclusion disrespects authority, leading to disqualification.</t>
  </si>
  <si>
    <t>If a fighter deliberately holds the stick horizontally to block, is it allowed?</t>
  </si>
  <si>
    <t>A) Allowed as defense B) Warning only C) Foul, disqualified D) Opponent wins</t>
  </si>
  <si>
    <t>A) Allowed as defense</t>
  </si>
  <si>
    <t>Horizontal stick blocks are valid defensive moves in Peresean.</t>
  </si>
  <si>
    <t>If a fighter ignores referee’s instruction to reposition, what is the outcome?</t>
  </si>
  <si>
    <t>A) Warning B) Opponent wins C) Fighter disqualified D) Match reset</t>
  </si>
  <si>
    <t>Ignoring reposition order is disobedience; disqualification follows.</t>
  </si>
  <si>
    <t>If a shield strap cuts fighter’s hand, what is the ruling?</t>
  </si>
  <si>
    <t>A) Opponent wins B) Match paused for safety C) Fighter disqualified D) Continue fight</t>
  </si>
  <si>
    <t>B) Match paused for safety</t>
  </si>
  <si>
    <t>Injuries caused by gear failure require pausing the fight.</t>
  </si>
  <si>
    <t>If one fighter continuously mocks referee gestures, what is done?</t>
  </si>
  <si>
    <t>A) Allowed B) Warning C) Disqualification D) Match reset</t>
  </si>
  <si>
    <t>Disrespect toward referee is not tolerated and results in disqualification.</t>
  </si>
  <si>
    <t>If a fighter intentionally falls to the ground without strike, what happens?</t>
  </si>
  <si>
    <t>A) Opponent wins B) Match paused C) Fighter warned for dishonor D) Both reset</t>
  </si>
  <si>
    <t>C) Fighter warned for dishonor</t>
  </si>
  <si>
    <t>Pretending to fall is dishonorable; a warning is issued.</t>
  </si>
  <si>
    <t>If a fighter strikes shield edge rather than opponent’s body, does it count?</t>
  </si>
  <si>
    <t>A) Yes B) No, ignored C) Warning D) Referee decides</t>
  </si>
  <si>
    <t>B) No, ignored</t>
  </si>
  <si>
    <t>Only valid body strikes count. Hitting the shield itself has no value.</t>
  </si>
  <si>
    <t>If one fighter intentionally avoids eye contact, what is the rule?</t>
  </si>
  <si>
    <t>A) Allowed B) Warning for lack of spirit C) Opponent wins D) Match paused</t>
  </si>
  <si>
    <t>B) Warning for lack of spirit</t>
  </si>
  <si>
    <t>Avoiding eye contact shows lack of courage, earning a warning.</t>
  </si>
  <si>
    <t>If referee’s staff drops, what must fighters do?</t>
  </si>
  <si>
    <t>A) Continue fighting B) Pause immediately C) Opponent wins D) Restart match</t>
  </si>
  <si>
    <t>B) Pause immediately</t>
  </si>
  <si>
    <t>Dropping the staff is symbolic; fighters must stop instantly.</t>
  </si>
  <si>
    <t>If a fighter strikes after handshake but before drumbeat, what happens?</t>
  </si>
  <si>
    <t>A) Warning only B) Opponent wins C) Fighter disqualified D) Match restarted</t>
  </si>
  <si>
    <t>Premature striking violates ceremonial order and earns disqualification.</t>
  </si>
  <si>
    <t>If shield accidentally hits opponent during block, what is ruled?</t>
  </si>
  <si>
    <t>A) Foul B) Allowed as incidental C) Warning only D) Opponent wins</t>
  </si>
  <si>
    <t>B) Allowed as incidental</t>
  </si>
  <si>
    <t>Unintentional shield contact while blocking is tolerated.</t>
  </si>
  <si>
    <t>If both fighters simultaneously drop sticks but keep shields, what is the ruling?</t>
  </si>
  <si>
    <t>A) Continue fighting B) Pause until sticks returned C) Opponent wins D) Both disqualified</t>
  </si>
  <si>
    <t>B) Pause until sticks returned</t>
  </si>
  <si>
    <t>Sticks are essential. Fight pauses until restored.</t>
  </si>
  <si>
    <t>If a fighter leans on referee for balance, what happens?</t>
  </si>
  <si>
    <t>A) Allowed if accidental B) Warning C) Disqualification D) Match restarted</t>
  </si>
  <si>
    <t>B) Warning</t>
  </si>
  <si>
    <t>Physical reliance on referee is improper, though not always intentional.</t>
  </si>
  <si>
    <t>If one fighter swings after opponent’s stick breaks, what is ruled?</t>
  </si>
  <si>
    <t>A) Allowed strike B) Foul, warning issued C) Opponent wins D) Match paused</t>
  </si>
  <si>
    <t>D) Match paused</t>
  </si>
  <si>
    <t>Fight must pause until both have proper sticks.</t>
  </si>
  <si>
    <t>If a fighter throws stick at opponent, what happens?</t>
  </si>
  <si>
    <t>A) Allowed B) Warning only C) Disqualification D) Opponent wins</t>
  </si>
  <si>
    <t>Throwing the stick turns fight into unsafe conduct; disqualification follows.</t>
  </si>
  <si>
    <t>If the shield is held upside down, is it valid?</t>
  </si>
  <si>
    <t>A) Yes, allowed B) No, foul C) Warning only D) Opponent wins</t>
  </si>
  <si>
    <t>A) Yes, allowed</t>
  </si>
  <si>
    <t>Shield orientation does not matter if used defensively.</t>
  </si>
  <si>
    <t>If a fighter blocks using shoulder instead of shield, what is the rule?</t>
  </si>
  <si>
    <t>A) Allowed B) Warning for unsafe defense C) Opponent wins D) Match paused</t>
  </si>
  <si>
    <t>B) Warning for unsafe defense</t>
  </si>
  <si>
    <t>Shield must be primary defense. Using shoulder risks injury.</t>
  </si>
  <si>
    <t>If both fighters ignore drum signals three times, what happens?</t>
  </si>
  <si>
    <t>A) Match reset B) Both disqualified C) Warning issued D) Opponent wins</t>
  </si>
  <si>
    <t>Persistent disregard for rhythm earns disqualification.</t>
  </si>
  <si>
    <t>If a fighter rests stick on ground during pause, what is the ruling?</t>
  </si>
  <si>
    <t>A) Allowed B) Warning for disrespect C) Opponent wins D) Match paused</t>
  </si>
  <si>
    <t>A) Allowed</t>
  </si>
  <si>
    <t>Resting stick briefly is permitted during pauses.</t>
  </si>
  <si>
    <t>If shield is thrown away in anger, what happens?</t>
  </si>
  <si>
    <t>Throwing shield shows dishonor; immediate disqualification.</t>
  </si>
  <si>
    <t>If fighter uses both stick and foot to trip, what happens?</t>
  </si>
  <si>
    <t>A) Allowed B) Foul, disqualified C) Warning only D) Opponent wins</t>
  </si>
  <si>
    <t>B) Foul, disqualified</t>
  </si>
  <si>
    <t>Tripping with foot violates Peresean’s striking-only rule.</t>
  </si>
  <si>
    <t>If stick slips due to sweat but fighter retrieves it instantly, what happens?</t>
  </si>
  <si>
    <t>A) Loss B) Allowed to continue C) Opponent wins D) Match paused</t>
  </si>
  <si>
    <t>B) Allowed to continue</t>
  </si>
  <si>
    <t>Quick recovery is allowed, unlike total weapon loss.</t>
  </si>
  <si>
    <t>If referee signals pause but drummer continues, who is obeyed?</t>
  </si>
  <si>
    <t>A) Drummer B) Referee C) Crowd D) Elders</t>
  </si>
  <si>
    <t>Referee has ultimate authority in Peresean.</t>
  </si>
  <si>
    <t>If a fighter intentionally spits during fight, what is the ruling?</t>
  </si>
  <si>
    <t>A) Allowed B) Warning for dishonor C) Opponent wins D) Disqualification</t>
  </si>
  <si>
    <t>Spitting is dishonorable and earns a warning.</t>
  </si>
  <si>
    <t>If a fighter’s stick cracks but not fully broken, what happens?</t>
  </si>
  <si>
    <t>A) Continue B) Pause for replacement C) Opponent wins D) Referee decides</t>
  </si>
  <si>
    <t>B) Pause for replacement</t>
  </si>
  <si>
    <t>Cracked sticks may break dangerously; replacement required.</t>
  </si>
  <si>
    <t>If a fighter bows head in apology mid-fight, what is the rule?</t>
  </si>
  <si>
    <t>A) Allowed as courtesy B) Warning for delay C) Opponent wins D) Match paused</t>
  </si>
  <si>
    <t>B) Warning for delay</t>
  </si>
  <si>
    <t>Courtesy is respected but delaying combat earns warning.</t>
  </si>
  <si>
    <t>If shield straps are repaired mid-match with cloth, what happens?</t>
  </si>
  <si>
    <t>A) Allowed B) Match paused until proper fix C) Opponent wins D) Fighter disqualified</t>
  </si>
  <si>
    <t>B) Match paused until proper fix</t>
  </si>
  <si>
    <t>Makeshift fixes pause fight until proper repair.</t>
  </si>
  <si>
    <t>If a fighter swings after shield replacement but before referee restart, what is ruled?</t>
  </si>
  <si>
    <t>A) Allowed strike B) Warning only C) Disqualification D) Opponent wins</t>
  </si>
  <si>
    <t>Attacking before restart order dishonors rules.</t>
  </si>
  <si>
    <t>If one fighter fights barefoot while other wears sandals, what is the ruling?</t>
  </si>
  <si>
    <t>A) Allowed B) Match paused for equal footing C) Opponent wins D) Warning only</t>
  </si>
  <si>
    <t>B) Match paused for equal footing</t>
  </si>
  <si>
    <t>Fighters must be equal in condition; sandals removed or both barefoot.</t>
  </si>
  <si>
    <t>If fighter shouts to distract opponent mid-strike, what happens?</t>
  </si>
  <si>
    <t>A) Allowed B) Warning C) Opponent wins D) Match paused</t>
  </si>
  <si>
    <t>Shouting to distract is unsportsmanlike; earns warning.</t>
  </si>
  <si>
    <t>If shield slips and hits opponent’s foot unintentionally, what is the rule?</t>
  </si>
  <si>
    <t>Accidental foot contact with shield is tolerated.</t>
  </si>
  <si>
    <t>If a fighter taps ground with stick as intimidation, what happens?</t>
  </si>
  <si>
    <t>A) Allowed B) Warning for delay C) Opponent wins D) Disqualification</t>
  </si>
  <si>
    <t>Tapping is showmanship, permitted unless excessive.</t>
  </si>
  <si>
    <t>If fighter hides behind shield without moving for long, what happens?</t>
  </si>
  <si>
    <t>Total hiding breaks spirit of Peresean; warning given.</t>
  </si>
  <si>
    <t>If referee drops whistle while signaling, what must fighters do?</t>
  </si>
  <si>
    <t>A) Continue B) Pause instantly C) Opponent wins D) Restart match</t>
  </si>
  <si>
    <t>B) Pause instantly</t>
  </si>
  <si>
    <t>Any interruption of referee’s signal, even accidental (like dropping whistle), requires fighters to stop immediately until order is restored.</t>
  </si>
  <si>
    <t>If one fighter intentionally hides injury from referee, what is the ruling when discovered?</t>
  </si>
  <si>
    <t>A) Allowed as bravery B) Warning for dishonesty C) Fighter disqualified D) Opponent wins</t>
  </si>
  <si>
    <t>B) Warning for dishonesty</t>
  </si>
  <si>
    <t>Concealing injury breaks the rule of honesty but does not equal instant defeat. The referee issues a dishonesty warning.</t>
  </si>
  <si>
    <t>If both fighters simultaneously refuse referee’s command to resume after pause, what happens?</t>
  </si>
  <si>
    <t>A) Match restarted anyway B) Both warned C) Both disqualified D) Elders intervene to decide</t>
  </si>
  <si>
    <t>C) Both disqualified</t>
  </si>
  <si>
    <t>Ignoring referee’s restart command shows joint defiance of authority, which is dishonorable. Both fighters are disqualified.</t>
  </si>
  <si>
    <t>In Peresean, what is the traditional weapon used by fighters?</t>
  </si>
  <si>
    <t>A) Swords, B) Spears, C) Rattan sticks, D) Bows</t>
  </si>
  <si>
    <t>C) Rattan sticks</t>
  </si>
  <si>
    <t>Peresean fighters use rattan sticks to strike their opponents in this traditional Indonesian martial art.</t>
  </si>
  <si>
    <t>What type of shield is traditionally used in Peresean?</t>
  </si>
  <si>
    <t>A) Bamboo shield, B) Leather shield, C) Wooden shield, D) Metal shield</t>
  </si>
  <si>
    <t>B) Leather shield</t>
  </si>
  <si>
    <t>A leather shield, locally called 'ende', is used to defend against attacks in Peresean.</t>
  </si>
  <si>
    <t>Peresean originates from which Indonesian island?</t>
  </si>
  <si>
    <t>A) Java, B) Bali, C) Lombok, D) Sumatra</t>
  </si>
  <si>
    <t>C) Lombok</t>
  </si>
  <si>
    <t>Peresean is a traditional martial art that comes from the Sasak people of Lombok Island.</t>
  </si>
  <si>
    <t>What is the role of the 'Penyelung' in Peresean?</t>
  </si>
  <si>
    <t>A) Referee, B) Fighter, C) Trainer, D) Spectator</t>
  </si>
  <si>
    <t>A) Referee</t>
  </si>
  <si>
    <t>The Penyelung acts as the referee to ensure the fighters follow the rules and maintain safety.</t>
  </si>
  <si>
    <t>What is the main purpose of Peresean in Sasak culture?</t>
  </si>
  <si>
    <t>A) Entertainment, B) Defense, C) Rain ritual, D) Competition</t>
  </si>
  <si>
    <t>C) Rain ritual</t>
  </si>
  <si>
    <t>Traditionally, Peresean was performed to bring rain during droughts in Sasak culture.</t>
  </si>
  <si>
    <t>How does a Peresean match typically end?</t>
  </si>
  <si>
    <t>A) Knockout, B) Points, C) Until one fighter bleeds, D) Judge's decision</t>
  </si>
  <si>
    <t>C) Until one fighter bleeds</t>
  </si>
  <si>
    <t>Peresean matches usually end when one fighter is visibly injured, especially when bleeding.</t>
  </si>
  <si>
    <t>What attire do Peresean fighters wear during a match?</t>
  </si>
  <si>
    <t>A) Traditional sarong, B) Armor, C) Robes, D) No specific attire</t>
  </si>
  <si>
    <t>A) Traditional sarong</t>
  </si>
  <si>
    <t>Fighters wear a traditional Sasak sarong and headgear during Peresean matches.</t>
  </si>
  <si>
    <t>In Peresean, fighters are traditionally known as:</t>
  </si>
  <si>
    <t>A) Warriors, B) Pepadu, C) Kshatriyas, D) Knights</t>
  </si>
  <si>
    <t>B) Pepadu</t>
  </si>
  <si>
    <t>The fighters in Peresean are called 'Pepadu,' representing bravery and skill.</t>
  </si>
  <si>
    <t>What material is used to make the rattan stick, the main weapon in Peresean?</t>
  </si>
  <si>
    <t>A) Bamboo, B) Rattan, C) Wood, D) Metal</t>
  </si>
  <si>
    <t>B) Rattan</t>
  </si>
  <si>
    <t>The primary weapon in Peresean is a stick made of rattan, a flexible and durable material.</t>
  </si>
  <si>
    <t>Who organizes Peresean matches during traditional festivals?</t>
  </si>
  <si>
    <t>A) Government, B) Village elders, C) Youth groups, D) Local schools</t>
  </si>
  <si>
    <t>B) Village elders</t>
  </si>
  <si>
    <t>Village elders traditionally organize Peresean matches as part of cultural celebrations.</t>
  </si>
  <si>
    <t>What is the role of the 'Penjalin' in Peresean?</t>
  </si>
  <si>
    <t>A) Fighter, B) Supporter, C) Judge, D) Organizer</t>
  </si>
  <si>
    <t>D) Organizer</t>
  </si>
  <si>
    <t>The Penjalin is responsible for organizing the Peresean event and maintaining its traditions.</t>
  </si>
  <si>
    <t>What is the main reason for declaring a winner in Peresean?</t>
  </si>
  <si>
    <t>A) Points, B) Skill display, C) First visible injury, D) Endurance</t>
  </si>
  <si>
    <t>C) First visible injury</t>
  </si>
  <si>
    <t>The first fighter to show visible injury or bleed is usually declared the loser.</t>
  </si>
  <si>
    <t>In Peresean, what is the signal to begin a match?</t>
  </si>
  <si>
    <t>A) Drum beat, B) Gong sound, C) Hand signal, D) Verbal cue</t>
  </si>
  <si>
    <t>A) Drum beat</t>
  </si>
  <si>
    <t>A traditional drumbeat signals the start of a Peresean match, adding rhythm to the atmosphere.</t>
  </si>
  <si>
    <t>Which body parts are targeted in Peresean?</t>
  </si>
  <si>
    <t>A) Arms and legs, B) Head and shoulders, C) Entire body, D) Head and torso</t>
  </si>
  <si>
    <t>D) Head and torso</t>
  </si>
  <si>
    <t>In Peresean, strikes are typically aimed at the head and torso to demonstrate skill and strength.</t>
  </si>
  <si>
    <t>How is the winner generally determined in Peresean matches?</t>
  </si>
  <si>
    <t>A) Knockout, B) Injury, C) Points, D) Time limit</t>
  </si>
  <si>
    <t>B) Injury</t>
  </si>
  <si>
    <t>A match generally ends when a visible injury is inflicted, determining the winner.</t>
  </si>
  <si>
    <t>What does the leather shield in Peresean represent?</t>
  </si>
  <si>
    <t>A) Bravery, B) Defense, C) Honor, D) Tradition</t>
  </si>
  <si>
    <t>B) Defense</t>
  </si>
  <si>
    <t>The leather shield, or 'ende,' symbolizes defense and is essential for protection in Peresean.</t>
  </si>
  <si>
    <t>What cultural significance does Peresean have?</t>
  </si>
  <si>
    <t>A) Rain invocation, B) Warrior training, C) Festival entertainment, D) Coming of age</t>
  </si>
  <si>
    <t>A) Rain invocation</t>
  </si>
  <si>
    <t>Historically, Peresean was believed to invoke rain, especially during dry seasons.</t>
  </si>
  <si>
    <t>Which of these best describes Peresean?</t>
  </si>
  <si>
    <t>A) Team sport, B) Solo dance, C) Martial art, D) Relay race</t>
  </si>
  <si>
    <t>C) Martial art</t>
  </si>
  <si>
    <t>Peresean is a form of traditional martial art practiced among the Sasak people.</t>
  </si>
  <si>
    <t>What emotion is emphasized in Peresean fights?</t>
  </si>
  <si>
    <t>A) Anger, B) Honor, C) Fear, D) Sadness</t>
  </si>
  <si>
    <t>B) Honor</t>
  </si>
  <si>
    <t>Peresean highlights honor and bravery, with fighters showing respect and skill.</t>
  </si>
  <si>
    <t>When are Peresean matches usually held?</t>
  </si>
  <si>
    <t>A) Harvest season, B) Rainy season, C) Dry season, D) Any season</t>
  </si>
  <si>
    <t>C) Dry season</t>
  </si>
  <si>
    <t>Matches are traditionally held in the dry season to ask for rain.</t>
  </si>
  <si>
    <t>Peresean is mainly performed by which group of people?</t>
  </si>
  <si>
    <t>A) Priests, B) Warriors, C) Farmers, D) Sasak men</t>
  </si>
  <si>
    <t>D) Sasak men</t>
  </si>
  <si>
    <t>Peresean is primarily practiced by Sasak men from Lombok, Indonesia.</t>
  </si>
  <si>
    <t>What signifies the start of a Peresean fight?</t>
  </si>
  <si>
    <t>A) Ritual dance, B) Handshake, C) Chant, D) Drums</t>
  </si>
  <si>
    <t>D) Drums</t>
  </si>
  <si>
    <t>Drums traditionally signal the start of a Peresean match, energizing the atmosphere.</t>
  </si>
  <si>
    <t>The traditional match referee in Peresean is called a:</t>
  </si>
  <si>
    <t>A) Warrior, B) Pepadu, C) Penyelung, D) Pendekar</t>
  </si>
  <si>
    <t>C) Penyelung</t>
  </si>
  <si>
    <t>The Penyelung officiates the match, ensuring fighters respect the rules.</t>
  </si>
  <si>
    <t>What is the significance of bleeding in Peresean?</t>
  </si>
  <si>
    <t>A) Marks victory, B) Ends the match, C) Shows bravery, D) All of the above</t>
  </si>
  <si>
    <t>Bleeding signifies bravery and often ends the match, determining a winner.</t>
  </si>
  <si>
    <t>Which phrase best describes Peresean?</t>
  </si>
  <si>
    <t>A) Fight for survival, B) Honor in battle, C) Entertainment for youth, D) Military training</t>
  </si>
  <si>
    <t>B) Honor in battle</t>
  </si>
  <si>
    <t>Peresean showcases honor and bravery, deeply respected in Sasak culture.</t>
  </si>
  <si>
    <t>What age group traditionally participates in Peresean?</t>
  </si>
  <si>
    <t>A) Children, B) Young adults, C) Elders, D) All ages</t>
  </si>
  <si>
    <t>B) Young adults</t>
  </si>
  <si>
    <t>Typically, young Sasak men participate in Peresean matches, symbolizing strength.</t>
  </si>
  <si>
    <t>What is the main function of the rattan stick in Peresean?</t>
  </si>
  <si>
    <t>A) Defense, B) Offense, C) Symbolic use, D) Marksmanship</t>
  </si>
  <si>
    <t>B) Offense</t>
  </si>
  <si>
    <t>The rattan stick is the primary weapon for attacking in Peresean.</t>
  </si>
  <si>
    <t>What is 'ende' in Peresean?</t>
  </si>
  <si>
    <t>A) A ritual, B) A shield, C) A weapon, D) A drum</t>
  </si>
  <si>
    <t>B) A shield</t>
  </si>
  <si>
    <t>The 'ende' is a traditional shield used to protect against strikes in Peresean.</t>
  </si>
  <si>
    <t>In Peresean, how do fighters show respect for each other before a match?</t>
  </si>
  <si>
    <t>A) Bow, B) Shake hands, C) Exchange rattan sticks, D) No formal greeting</t>
  </si>
  <si>
    <t>B) Shake hands</t>
  </si>
  <si>
    <t>Before the match, fighters shake hands as a sign of respect and sportsmanship.</t>
  </si>
  <si>
    <t>Who decides if a fighter can no longer continue in Peresean?</t>
  </si>
  <si>
    <t>A) The crowd, B) The fighter, C) The Penyelung, D) The opponent</t>
  </si>
  <si>
    <t>C) The Penyelung</t>
  </si>
  <si>
    <t>The Penyelung, or referee, decides if a fighter is too injured to continue.</t>
  </si>
  <si>
    <t>What is the role of the 'Pepadu' in Peresean?</t>
  </si>
  <si>
    <t>A) Organizer, B) Fighter, C) Announcer, D) Judge</t>
  </si>
  <si>
    <t>B) Fighter</t>
  </si>
  <si>
    <t>In Peresean, 'Pepadu' refers to the fighters who engage in combat with rattan sticks.</t>
  </si>
  <si>
    <t>How is fairness ensured in Peresean matches?</t>
  </si>
  <si>
    <t>A) Weight categories, B) Age limits, C) Supervised by Penyelung, D) Points system</t>
  </si>
  <si>
    <t>C) Supervised by Penyelung</t>
  </si>
  <si>
    <t>The Penyelung oversees the match to ensure fairness and adherence to rules.</t>
  </si>
  <si>
    <t>What is NOT allowed during a Peresean match?</t>
  </si>
  <si>
    <t>A) Hitting the head, B) Dodging, C) Attacking with shield, D) Mocking the opponent</t>
  </si>
  <si>
    <t>D) Mocking the opponent</t>
  </si>
  <si>
    <t>Respect for the opponent is central in Peresean, and mocking is considered disrespectful.</t>
  </si>
  <si>
    <t>What is the traditional attire for Peresean fighters?</t>
  </si>
  <si>
    <t>A) Armor, B) Sarong, C) T-shirt and pants, D) Traditional dance costume</t>
  </si>
  <si>
    <t>B) Sarong</t>
  </si>
  <si>
    <t>Peresean fighters traditionally wear a sarong along with a head covering.</t>
  </si>
  <si>
    <t>What action is considered a sign of bravery in Peresean?</t>
  </si>
  <si>
    <t>A) Retreating, B) Smiling, C) Withstanding blows, D) Blocking every hit</t>
  </si>
  <si>
    <t>C) Withstanding blows</t>
  </si>
  <si>
    <t>Withstanding blows without flinching is seen as a mark of bravery in Peresean.</t>
  </si>
  <si>
    <t>Which of the following is NOT a rule in Peresean?</t>
  </si>
  <si>
    <t>A) Only two fighters at a time, B) Use of shield, C) Continuous attack, D) Match stops with visible injury</t>
  </si>
  <si>
    <t>C) Continuous attack</t>
  </si>
  <si>
    <t>Continuous attack is not encouraged; fighters take turns in offensive and defensive roles.</t>
  </si>
  <si>
    <t>What is the primary role of the rattan stick in Peresean?</t>
  </si>
  <si>
    <t>A) Defense, B) Honor, C) Attack, D) Ceremony</t>
  </si>
  <si>
    <t>C) Attack</t>
  </si>
  <si>
    <t>The rattan stick serves as the main offensive weapon in Peresean.</t>
  </si>
  <si>
    <t>What does the Penyelung watch for during the fight?</t>
  </si>
  <si>
    <t>A) Fairness, B) Blood, C) Respect, D) All of the above</t>
  </si>
  <si>
    <t>The Penyelung monitors fairness, respect, and injuries to maintain the integrity of the match.</t>
  </si>
  <si>
    <t>What body part is usually protected by the 'ende' shield?</t>
  </si>
  <si>
    <t>A) Legs, B) Chest, C) Head, D) Hands</t>
  </si>
  <si>
    <t>The shield is primarily used to protect the head from incoming attacks.</t>
  </si>
  <si>
    <t>In Peresean, what is often seen as a loss of honor?</t>
  </si>
  <si>
    <t>A) Avoiding a fight, B) Dropping the stick, C) Hitting below the belt, D) Running away</t>
  </si>
  <si>
    <t>D) Running away</t>
  </si>
  <si>
    <t>Running away from the fight is seen as dishonorable in Peresean.</t>
  </si>
  <si>
    <t>Peresean matches are typically organized during:</t>
  </si>
  <si>
    <t>A) Crop planting season, B) Weddings, C) Festivals, D) School breaks</t>
  </si>
  <si>
    <t>C) Festivals</t>
  </si>
  <si>
    <t>Peresean matches are held during local festivals, celebrating Sasak culture.</t>
  </si>
  <si>
    <t>What is the purpose of the headgear worn in Peresean?</t>
  </si>
  <si>
    <t>A) Style, B) Protection, C) Rank, D) No purpose</t>
  </si>
  <si>
    <t>B) Protection</t>
  </si>
  <si>
    <t>Headgear provides some protection against accidental hits to the head.</t>
  </si>
  <si>
    <t>What is NOT allowed in Peresean?</t>
  </si>
  <si>
    <t>A) Striking the head, B) Blocking with shield, C) Hitting when down, D) Dodging attacks</t>
  </si>
  <si>
    <t>C) Hitting when down</t>
  </si>
  <si>
    <t>Hitting an opponent who is down is not permitted in Peresean.</t>
  </si>
  <si>
    <t>What happens if a fighter is too injured to continue?</t>
  </si>
  <si>
    <t>A) Match pauses, B) Fighter wins, C) Match ends, D) No action taken</t>
  </si>
  <si>
    <t>C) Match ends</t>
  </si>
  <si>
    <t>The match ends if a fighter is visibly injured, ensuring safety for both participants.</t>
  </si>
  <si>
    <t>Peresean emphasizes which value among fighters?</t>
  </si>
  <si>
    <t>A) Strength, B) Loyalty, C) Honor, D) Cunning</t>
  </si>
  <si>
    <t>C) Honor</t>
  </si>
  <si>
    <t>Peresean stresses the importance of honor, courage, and sportsmanship.</t>
  </si>
  <si>
    <t>What cultural aspect does Peresean represent?</t>
  </si>
  <si>
    <t>A) Musical heritage, B) Cooking skills, C) Traditional combat, D) Farming techniques</t>
  </si>
  <si>
    <t>C) Traditional combat</t>
  </si>
  <si>
    <t>Peresean is a traditional form of combat used as a cultural expression of bravery.</t>
  </si>
  <si>
    <t>During Peresean, what shows respect to the Penyelung?</t>
  </si>
  <si>
    <t>A) Bowing, B) Offering the stick, C) Following rules, D) Smiling</t>
  </si>
  <si>
    <t>C) Following rules</t>
  </si>
  <si>
    <t>Respect for the Penyelung is shown by strictly following the rules and customs.</t>
  </si>
  <si>
    <t>What is often used to motivate fighters in Peresean?</t>
  </si>
  <si>
    <t>A) Drums, B) Cheers, C) Money, D) Gifts</t>
  </si>
  <si>
    <t>A) Drums</t>
  </si>
  <si>
    <t>Drum beats create a rhythm that encourages and energizes the fighters during the match.</t>
  </si>
  <si>
    <t>How do fighters prepare for a Peresean match?</t>
  </si>
  <si>
    <t>A) Training, B) Meditation, C) Dance, D) Eating</t>
  </si>
  <si>
    <t>A) Training</t>
  </si>
  <si>
    <t>Fighters often undergo rigorous training to hone their combat skills.</t>
  </si>
  <si>
    <t>Which of these qualities is important in Peresean?</t>
  </si>
  <si>
    <t>A) Agility, B) Knowledge, C) Strength, D) Patience</t>
  </si>
  <si>
    <t>C) Strength</t>
  </si>
  <si>
    <t>Strength is a crucial trait in Peresean, as it affects a fighter's ability to endure blows.</t>
  </si>
  <si>
    <t>What happens if a fight becomes too intense in Peresean?</t>
  </si>
  <si>
    <t>A) Match paused, B) Opponent wins, C) Timeout, D) Fighter is disqualified</t>
  </si>
  <si>
    <t>A) Match paused</t>
  </si>
  <si>
    <t>If the fight becomes too intense or unsafe, the Penyelung may pause the match.</t>
  </si>
  <si>
    <t>What is Peresean traditionally believed to achieve?</t>
  </si>
  <si>
    <t>A) Economic prosperity, B) Social status, C) Rainfall, D) Fame</t>
  </si>
  <si>
    <t>C) Rainfall</t>
  </si>
  <si>
    <t>Peresean is traditionally performed to invoke rainfall during times of drought.</t>
  </si>
  <si>
    <t>Peresean matches are an integral part of which festival?</t>
  </si>
  <si>
    <t>A) Eid, B) Independence Day, C) Bau Nyale, D) New Year's</t>
  </si>
  <si>
    <t>C) Bau Nyale</t>
  </si>
  <si>
    <t>Bau Nyale, a festival honoring Sasak culture, often includes Peresean matches.</t>
  </si>
  <si>
    <t>What is NOT typically worn by fighters in Peresean?</t>
  </si>
  <si>
    <t>A) Sarong, B) Helmet, C) Headgear, D) Leather shield</t>
  </si>
  <si>
    <t>B) Helmet</t>
  </si>
  <si>
    <t>Fighters do not wear helmets; they rely on shields and agility for protection.</t>
  </si>
  <si>
    <t>In Peresean, what is the traditional purpose of fighting?</t>
  </si>
  <si>
    <t>A) Entertainment, B) Spiritual cleansing, C) Invoking rain, D) Strength testing</t>
  </si>
  <si>
    <t>C) Invoking rain</t>
  </si>
  <si>
    <t>Traditionally, Peresean is performed to invoke rain during dry seasons.</t>
  </si>
  <si>
    <t>What is the primary weapon used in Peresean?</t>
  </si>
  <si>
    <t>A) Wooden stick, B) Spear, C) Rattan stick, D) Sword</t>
  </si>
  <si>
    <t>C) Rattan stick</t>
  </si>
  <si>
    <t>A rattan stick, or 'penjalin,' is the primary weapon used by fighters in Peresean.</t>
  </si>
  <si>
    <t>Who ensures safety and fair play during a Peresean match?</t>
  </si>
  <si>
    <t>A) Audience, B) Penyelung, C) Chief, D) Musicians</t>
  </si>
  <si>
    <t>B) Penyelung</t>
  </si>
  <si>
    <t>The Penyelung is responsible for refereeing and ensuring fair play in Peresean.</t>
  </si>
  <si>
    <t>What material is the 'ende' shield made of?</t>
  </si>
  <si>
    <t>A) Metal, B) Leather, C) Wood, D) Bamboo</t>
  </si>
  <si>
    <t>B) Leather</t>
  </si>
  <si>
    <t>The 'ende' shield is traditionally crafted from leather to provide flexible protection.</t>
  </si>
  <si>
    <t>How does a Peresean match end?</t>
  </si>
  <si>
    <t>A) When one surrenders, B) When the Penyelung stops the match, C) At sunset, D) After 10 hits</t>
  </si>
  <si>
    <t>B) When the Penyelung stops the match</t>
  </si>
  <si>
    <t>The Penyelung can stop the match if a fighter is too injured or unable to continue.</t>
  </si>
  <si>
    <t>A) Dodging attacks, B) Hitting the opponent's legs, C) Hitting with shield, D) Defensive stance</t>
  </si>
  <si>
    <t>C) Hitting with shield</t>
  </si>
  <si>
    <t>Using the shield as a weapon is against the rules in Peresean.</t>
  </si>
  <si>
    <t>What is the maximum number of rounds allowed in a Pencak Silat combat match?</t>
  </si>
  <si>
    <t>A standard senior combat match is structured into three rounds to test the endurance, skill, and strategy of the competitors.</t>
  </si>
  <si>
    <t>How long is the rest interval between combat rounds in Pencak Silat?</t>
  </si>
  <si>
    <t>A) 15 seconds, B) 30 seconds, C) 45 seconds, D) 1 minute</t>
  </si>
  <si>
    <t>D) 1 minute</t>
  </si>
  <si>
    <t>Competitors are given a one-minute rest period between rounds to recover, receive coaching, and prepare for the next round.</t>
  </si>
  <si>
    <t>Which authority is responsible for starting and stopping combat?</t>
  </si>
  <si>
    <t>A) Judges, B) Referee, C) Coaches, D) Timekeeper</t>
  </si>
  <si>
    <t>The referee has sole authority on the mat (Gelanggang) to control the flow of the match, including starting, pausing, and stopping the combat.</t>
  </si>
  <si>
    <t>What is the official competition area for Pencak Silat called?</t>
  </si>
  <si>
    <t>A) Gelanggang, B) Arena, C) Tatami, D) Dojo</t>
  </si>
  <si>
    <t>A) Gelanggang</t>
  </si>
  <si>
    <t>The term 'Gelanggang' is the official Malay name for the designated square arena where Pencak Silat competitions are held.</t>
  </si>
  <si>
    <t>What shape is the Pencak Silat competition arena?</t>
  </si>
  <si>
    <t>A) Circle, B) Rectangle, C) Square, D) Octagon</t>
  </si>
  <si>
    <t>C) Square</t>
  </si>
  <si>
    <t>The Gelanggang is a square, which defines the boundaries for combat and artistic performances.</t>
  </si>
  <si>
    <t>What is the standard size of a Silat competition arena?</t>
  </si>
  <si>
    <t>A) 8x8 m, B) 9x9 m, C) 10x10 m, D) 12x12 m</t>
  </si>
  <si>
    <t>C) 10x10 m</t>
  </si>
  <si>
    <t>The official competition area measures 10 meters by 10 meters, providing adequate space for movement and techniques.</t>
  </si>
  <si>
    <t>How many corner judges assist the referee in combat?</t>
  </si>
  <si>
    <t>C) 4</t>
  </si>
  <si>
    <t>There are typically four judges positioned around the Gelanggang to score the match from different vantage points, ensuring fairness.</t>
  </si>
  <si>
    <t>Which official records penalties and warnings during combat?</t>
  </si>
  <si>
    <t>A) Referee, B) Head judge, C) Scorer, D) Technical delegate</t>
  </si>
  <si>
    <t>C) Scorer</t>
  </si>
  <si>
    <t>The scorer is responsible for officially recording all points, warnings, and penalties awarded by the referee and judges.</t>
  </si>
  <si>
    <t>What does a yellow card signify in Silat competition?</t>
  </si>
  <si>
    <t>A) Warning, B) Point deduction, C) Elimination, D) Extra round</t>
  </si>
  <si>
    <t>A yellow card serves as an official first-level warning for committing a foul or violating the rules.</t>
  </si>
  <si>
    <t>What does a red card signify in Silat?</t>
  </si>
  <si>
    <t>A) Warning, B) Immediate disqualification, C) Extra penalty points, D) Match replay</t>
  </si>
  <si>
    <t>A red card is issued for a severe foul or after accumulating multiple warnings, resulting in the competitor's immediate disqualification.</t>
  </si>
  <si>
    <t>How many weight divisions are recognized in senior male combat?</t>
  </si>
  <si>
    <t>A) 7, B) 8, C) 9, D) 10</t>
  </si>
  <si>
    <t>C) 9</t>
  </si>
  <si>
    <t>International senior male competitions are divided into nine distinct weight classes to ensure fair and safe matchups.</t>
  </si>
  <si>
    <t>How many weight divisions are recognized in senior female combat?</t>
  </si>
  <si>
    <t>A) 6, B) 7, C) 8, D) 9</t>
  </si>
  <si>
    <t>B) 7</t>
  </si>
  <si>
    <t>International senior female competitions have seven weight divisions.</t>
  </si>
  <si>
    <t>In case of equipment malfunction, who may stop the match?</t>
  </si>
  <si>
    <t>A) Competitor, B) Referee, C) Coach, D) Any judge</t>
  </si>
  <si>
    <t>Only the referee can officially stop the match to allow a competitor to safely adjust or replace malfunctioning equipment.</t>
  </si>
  <si>
    <t>Which part of the body is considered a legal target zone in combat?</t>
  </si>
  <si>
    <t>A) Torso, B) Head, C) Legs, D) All of the above</t>
  </si>
  <si>
    <t>In Pencak Silat combat, the entire body from the torso up, including the head and limbs, is a legal target, provided the strikes are valid.</t>
  </si>
  <si>
    <t>Which type of strike is not allowed in Silat combat?</t>
  </si>
  <si>
    <t>A) Punch, B) Kick, C) Elbow, D) Headbutt</t>
  </si>
  <si>
    <t>D) Headbutt</t>
  </si>
  <si>
    <t>Headbutting is explicitly forbidden due to its high risk of causing serious injury and is considered a major foul.</t>
  </si>
  <si>
    <t>What happens if both competitors are knocked down simultaneously?</t>
  </si>
  <si>
    <t>A) Both gain points, B) Both lose points, C) Match stops, D) Both disqualified</t>
  </si>
  <si>
    <t>C) Match stops</t>
  </si>
  <si>
    <t>If both fighters fall at the same time without a clear scoring technique, the referee will pause and restart the match from the center.</t>
  </si>
  <si>
    <t>What is the penalty for striking an opponent after the referee stops the match?</t>
  </si>
  <si>
    <t>A) Warning, B) Point deduction, C) Disqualification, D) Replay</t>
  </si>
  <si>
    <t>Striking an opponent after the referee's command to stop is a serious act of unsportsmanlike conduct and results in disqualification.</t>
  </si>
  <si>
    <t>If a competitor uses an illegal technique once, what happens?</t>
  </si>
  <si>
    <t>A) Warning, B) Automatic loss, C) Point deduction, D) Replay</t>
  </si>
  <si>
    <t>The first instance of a minor illegal technique typically results in a warning from the referee.</t>
  </si>
  <si>
    <t>What happens if a competitor commits three fouls in one match?</t>
  </si>
  <si>
    <t>A) Extra round, B) Disqualification, C) Technical win, D) Replay</t>
  </si>
  <si>
    <t>An accumulation of three fouls (warnings) during a match leads to an automatic disqualification.</t>
  </si>
  <si>
    <t>Which part of the body must remain covered during combat?</t>
  </si>
  <si>
    <t>A) Chest, B) Legs, C) Hands, D) All of the above</t>
  </si>
  <si>
    <t>The official uniform (black attire) must cover the body from the neck to the ankles to maintain modesty and professionalism.</t>
  </si>
  <si>
    <t>Which body oversees international Pencak Silat rules?</t>
  </si>
  <si>
    <t>A) IPSI, B) PERSILAT, C) IOC, D) UNESCO</t>
  </si>
  <si>
    <t>B) PERSILAT</t>
  </si>
  <si>
    <t>PERSILAT (The International Pencak Silat Federation) is the global governing body responsible for standardizing rules and organizing world championships.</t>
  </si>
  <si>
    <t>In artistic competition, how many referees judge the performance?</t>
  </si>
  <si>
    <t>A) 3, B) 4, C) 5, D) 7</t>
  </si>
  <si>
    <t>C) 5</t>
  </si>
  <si>
    <t>Artistic events are evaluated by a panel of five judges who score based on technique, richness of movement, and other criteria.</t>
  </si>
  <si>
    <t>How are ties resolved in artistic Silat?</t>
  </si>
  <si>
    <t>A) Extra performance, B) Referee decision, C) Judge majority, D) Toss</t>
  </si>
  <si>
    <t>C) Judge majority</t>
  </si>
  <si>
    <t>In the event of a tie, the winner is determined by which performer received the higher score from the majority of the individual judges.</t>
  </si>
  <si>
    <t>What is the maximum time allowed for a Solo artistic performance?</t>
  </si>
  <si>
    <t>A) 1 min, B) 2 min, C) 3 min, D) 4 min</t>
  </si>
  <si>
    <t>C) 3 min</t>
  </si>
  <si>
    <t>A solo artistic (Tunggal) performance has a strict time limit of three minutes to complete the routine.</t>
  </si>
  <si>
    <t>What is the maximum time allowed for a Tandem performance?</t>
  </si>
  <si>
    <t>A) 2 min, B) 3 min, C) 4 min, D) 5 min</t>
  </si>
  <si>
    <t>D) 5 min</t>
  </si>
  <si>
    <t>A tandem artistic (Ganda) performance, involving two competitors, has a time limit of five minutes.</t>
  </si>
  <si>
    <t>If a competitor exceeds the performance time, what is applied?</t>
  </si>
  <si>
    <t>A) Warning, B) Point deduction, C) Replay, D) Disqualification</t>
  </si>
  <si>
    <t>Exceeding the time limit in artistic categories results in a penalty where points are deducted from the final score.</t>
  </si>
  <si>
    <t>In combat, how many seconds does a downed fighter have to stand?</t>
  </si>
  <si>
    <t>A) 3, B) 5, C) 7, D) 10</t>
  </si>
  <si>
    <t>C) 7 seconds</t>
  </si>
  <si>
    <t>After a legal knockdown, a fighter has seven seconds to rise and demonstrate readiness to continue, or the referee will stop the fight.</t>
  </si>
  <si>
    <t>What is the minimum number of points for a legal strike?</t>
  </si>
  <si>
    <t>A legal strike successfully landing on the opponent's torso is awarded one point.</t>
  </si>
  <si>
    <t>What is the maximum score for a clean throw?</t>
  </si>
  <si>
    <t>A successful throw or takedown technique that causes the opponent to fall is awarded three points.</t>
  </si>
  <si>
    <t>What is awarded if a competitor causes opponent to fall without striking?</t>
  </si>
  <si>
    <t>A) 1 point, B) 2 points, C) No points, D) Warning</t>
  </si>
  <si>
    <t>B) 2 points</t>
  </si>
  <si>
    <t>A sweeping or dropping technique that unbalances and fells the opponent is awarded two points.</t>
  </si>
  <si>
    <t>What is the official maximum match duration including breaks?</t>
  </si>
  <si>
    <t>A) 6 minutes, B) 8 minutes, C) 10 minutes, D) 12 minutes</t>
  </si>
  <si>
    <t>B) 8 minutes</t>
  </si>
  <si>
    <t>This accounts for three 2-minute rounds (6 minutes total) plus two 1-minute rest intervals between them.</t>
  </si>
  <si>
    <t>What is the signal used by a referee to start a match?</t>
  </si>
  <si>
    <t>A) Gong, B) Whistle, C) Hand gesture, D) Bell</t>
  </si>
  <si>
    <t>B) Whistle</t>
  </si>
  <si>
    <t>The referee uses a whistle, in conjunction with verbal commands and hand signals, to manage the start and stop of action.</t>
  </si>
  <si>
    <t>What must a competitor do before entering the Gelanggang?</t>
  </si>
  <si>
    <t>A) Bow, B) Salute, C) Recite pledge, D) Stretch</t>
  </si>
  <si>
    <t>B) Salute</t>
  </si>
  <si>
    <t>It is customary and required for competitors to perform a salute (hormat) to the referee and officials before entering the arena.</t>
  </si>
  <si>
    <t>If a fighter refuses to continue, the result is recorded as:</t>
  </si>
  <si>
    <t>A) Forfeit, B) Technical loss, C) Walkover, D) All of the above</t>
  </si>
  <si>
    <t>C) Walkover</t>
  </si>
  <si>
    <t>A walkover is declared when one competitor is present and willing to fight, but the opponent refuses to continue or fails to appear.</t>
  </si>
  <si>
    <t>What happens if a coach interferes with the referee’s call?</t>
  </si>
  <si>
    <t>A) Warning, B) Match pause, C) Disqualification of athlete, D) Replay</t>
  </si>
  <si>
    <t>C) Disqualification of athlete</t>
  </si>
  <si>
    <t>A coach's interference is a serious offense that can lead to the disqualification of their own athlete.</t>
  </si>
  <si>
    <t>In Silat, striking an opponent’s back is:</t>
  </si>
  <si>
    <t>A) Allowed, B) Disallowed, C) Only with control, D) Only in artistic</t>
  </si>
  <si>
    <t>B) Disallowed</t>
  </si>
  <si>
    <t>The back of the body is not a legal target zone, and striking it is considered a foul.</t>
  </si>
  <si>
    <t>Which rule governs broken equipment during combat?</t>
  </si>
  <si>
    <t>A) Timeout, B) Replacement, C) Restart, D) All of the above</t>
  </si>
  <si>
    <t>The referee will call a timeout, allow for replacement of the equipment, and then formally restart the match.</t>
  </si>
  <si>
    <t>If a competitor uses foul language, penalty is:</t>
  </si>
  <si>
    <t>A) Warning, B) Deduction, C) Disqualification, D) Match restart</t>
  </si>
  <si>
    <t>Using foul or abusive language is a violation of the sport's code of conduct and results in disqualification.</t>
  </si>
  <si>
    <t>Which authority approves protest appeals?</t>
  </si>
  <si>
    <t>A) Referee, B) Jury of appeal, C) Judges, D) Coach panel</t>
  </si>
  <si>
    <t>B) Jury of appeal</t>
  </si>
  <si>
    <t>A specific Jury of Appeal is designated to review and make final decisions on any official protests filed after a match.</t>
  </si>
  <si>
    <t>What is the allowed uniform color in competitions?</t>
  </si>
  <si>
    <t>A) Black, B) White, C) Red, D) Any color</t>
  </si>
  <si>
    <t>A) Black</t>
  </si>
  <si>
    <t>The standard official uniform for all Pencak Silat competitors is black.</t>
  </si>
  <si>
    <t>In Tandem, the required number of performers is:</t>
  </si>
  <si>
    <t>A) 2</t>
  </si>
  <si>
    <t>The Tandem (Ganda) artistic category is a choreographed performance by a pair of two athletes.</t>
  </si>
  <si>
    <t>What is the penalty for using jewelry during competition?</t>
  </si>
  <si>
    <t>A) Warning, B) Point deduction, C) Disqualification, D) No penalty</t>
  </si>
  <si>
    <t>For safety reasons, wearing any jewelry is strictly forbidden, and a competitor will be disqualified if they refuse to remove it.</t>
  </si>
  <si>
    <t>How is victory by score officially declared?</t>
  </si>
  <si>
    <t>A) Majority vote, B) Technical superiority, C) Highest points, D) Appeal</t>
  </si>
  <si>
    <t>C) Highest points</t>
  </si>
  <si>
    <t>At the end of three rounds, the competitor with the most accumulated points as recorded by the judges is declared the winner.</t>
  </si>
  <si>
    <t>What is the maximum time allowed for a protest to be filed?</t>
  </si>
  <si>
    <t>A) Immediately, B) 10 minutes, C) 15 minutes, D) 30 minutes</t>
  </si>
  <si>
    <t>B) 10 minutes</t>
  </si>
  <si>
    <t>A team must file an official protest within 10 minutes of the match's conclusion.</t>
  </si>
  <si>
    <t>In artistic, dropping a weapon results in:</t>
  </si>
  <si>
    <t>Losing control of or dropping a weapon during an artistic routine incurs a penalty deduction from the total score.</t>
  </si>
  <si>
    <t>What happens if both fighters are injured and cannot continue?</t>
  </si>
  <si>
    <t>A) Draw, B) Replay, C) Judges decide, D) No contest</t>
  </si>
  <si>
    <t>If neither competitor can continue due to simultaneous injury, the match may be declared a draw if scores are equal, or decided on points up to that moment.</t>
  </si>
  <si>
    <t>In combat, when is a competitor awarded “technical victory”?</t>
  </si>
  <si>
    <t>A) Opponent absent, B) Opponent injured, C) Opponent penalized, D) All of the above</t>
  </si>
  <si>
    <t>A technical victory is awarded for various reasons, including the opponent's disqualification, injury, or failure to appear (walkover).</t>
  </si>
  <si>
    <t>What is the role of the timekeeper?</t>
  </si>
  <si>
    <t>A) Stop illegal strikes, B) Track round duration, C) Record penalties, D) Count score</t>
  </si>
  <si>
    <t>B) Track round duration</t>
  </si>
  <si>
    <t>The timekeeper is solely responsible for managing the clock for rounds and rest periods, signaling the start and end to the referee.</t>
  </si>
  <si>
    <t>Which rule applies if a competitor is late to the arena?</t>
  </si>
  <si>
    <t>A) Warning, B) Disqualification, C) Point deduction, D) Replay</t>
  </si>
  <si>
    <t>Competitors must present themselves on time; failure to do so after being called results in disqualification.</t>
  </si>
  <si>
    <t>What happens if a fighter continues after the whistle?</t>
  </si>
  <si>
    <t>A) Extra point, B) Warning, C) Disqualification, D) No penalty</t>
  </si>
  <si>
    <t>Continuing to fight after the whistle to stop the round is a foul that will earn the competitor a warning.</t>
  </si>
  <si>
    <t>In weight category mismatches, the lighter competitor:</t>
  </si>
  <si>
    <t>A) Automatically loses, B) May compete, C) Is disqualified, D) Wins by default</t>
  </si>
  <si>
    <t>C) Is disqualified</t>
  </si>
  <si>
    <t>For safety and fairness, a competitor must make their designated weight; failing to do so (even being underweight) leads to disqualification.</t>
  </si>
  <si>
    <t>The referee’s command “Mulai” means:</t>
  </si>
  <si>
    <t>A) Stop, B) Start, C) Rest, D) Warning</t>
  </si>
  <si>
    <t>B) Start</t>
  </si>
  <si>
    <t>Mulai' is the Malay command used by the referee to begin or resume combat.</t>
  </si>
  <si>
    <t>The referee’s command “Berhenti” means:</t>
  </si>
  <si>
    <t>A) Rest, B) Stop, C) Reset, D) Deduction</t>
  </si>
  <si>
    <t>B) Stop</t>
  </si>
  <si>
    <t>Berhenti' is the Malay command the referee uses to halt the fight.</t>
  </si>
  <si>
    <t>The referee’s command “Keluar” means:</t>
  </si>
  <si>
    <t>A) Continue, B) Exit, C) Warning, D) Strike</t>
  </si>
  <si>
    <t>B) Exit</t>
  </si>
  <si>
    <t>Keluar' is used when directing a competitor to leave the arena.</t>
  </si>
  <si>
    <t>In combat, how many points is a successful body strike worth?</t>
  </si>
  <si>
    <t>A legal hand or foot strike to the torso (chest, abdomen, sides) is awarded one point.</t>
  </si>
  <si>
    <t>How many points is a clean head strike worth?</t>
  </si>
  <si>
    <t>A successful and legal strike to the head is awarded two points.</t>
  </si>
  <si>
    <t>How many points is a throw with control worth?</t>
  </si>
  <si>
    <t>Successfully executing a takedown or throwing technique on an opponent earns three points.</t>
  </si>
  <si>
    <t>Which official ensures competitors’ safety equipment is correct?</t>
  </si>
  <si>
    <t>A) Referee, B) Technical committee, C) Coach, D) Corner judge</t>
  </si>
  <si>
    <t>B) Technical committee</t>
  </si>
  <si>
    <t>Before the match, the technical committee or inspectors are responsible for checking that all protective gear meets official standards.</t>
  </si>
  <si>
    <t>What is the role of the “Match Controller”?</t>
  </si>
  <si>
    <t>A) Keep score, B) Monitor officials, C) Oversee bout, D) Handle protests</t>
  </si>
  <si>
    <t>C) Oversee bout</t>
  </si>
  <si>
    <t>The Match Controller or Chairman of the match supervises the entire bout, including the referee and judges, to ensure rules are followed correctly.</t>
  </si>
  <si>
    <t>What is the maximum number of coaches per competitor?</t>
  </si>
  <si>
    <t>Each competitor is allowed only one coach at ringside during the match.</t>
  </si>
  <si>
    <t>Which technique is banned in all categories?</t>
  </si>
  <si>
    <t>A) Sweep, B) Knee, C) Joint lock, D) Headbutt</t>
  </si>
  <si>
    <t>Headbutting is universally banned across all forms of Pencak Silat competition due to its dangerous nature.</t>
  </si>
  <si>
    <t>When does a referee award a medical timeout?</t>
  </si>
  <si>
    <t>A) Competitor injury, B) Equipment check, C) Rest break, D) Appeal</t>
  </si>
  <si>
    <t>A) Competitor injury</t>
  </si>
  <si>
    <t>A medical timeout is granted only when a competitor sustains an injury that requires assessment by the official medical staff.</t>
  </si>
  <si>
    <t>How many medical timeouts are allowed per competitor?</t>
  </si>
  <si>
    <t>A competitor is typically allowed only one medical timeout per match to prevent stalling and assess genuine injuries.</t>
  </si>
  <si>
    <t>If both fighters are equal after 3 rounds, the decision is:</t>
  </si>
  <si>
    <t>A) Replay, B) Judges’ majority, C) Golden point, D) Draw</t>
  </si>
  <si>
    <t>B) Judges’ majority</t>
  </si>
  <si>
    <t>In case of a tied score, the judges' individual scorecards are reviewed to see which fighter was favored by the majority of judges.</t>
  </si>
  <si>
    <t>What is the duration of golden point round if required?</t>
  </si>
  <si>
    <t>A) 30 seconds, B) 1 minute, C) 2 minutes, D) 3 minutes</t>
  </si>
  <si>
    <t>B) 1 minute</t>
  </si>
  <si>
    <t>Some rule sets may use a one-minute sudden-death or 'golden point' round to break a tie, where the first to score wins.</t>
  </si>
  <si>
    <t>If golden point also ties, the result is:</t>
  </si>
  <si>
    <t>A) Replay, B) Draw, C) Judges’ vote, D) Technical win</t>
  </si>
  <si>
    <t>C) Judges’ vote</t>
  </si>
  <si>
    <t>If a tie persists after the extra round, the winner is decided by a final vote from the judges based on overall performance and aggression.</t>
  </si>
  <si>
    <t>A competitor without mouthguard:</t>
  </si>
  <si>
    <t>A) Can compete, B) Warning, C) Disqualified, D) Penalized</t>
  </si>
  <si>
    <t>C) Disqualified</t>
  </si>
  <si>
    <t>A mouthguard is mandatory safety equipment, and a competitor will be disqualified for not wearing one.</t>
  </si>
  <si>
    <t>What is the penalty for stalling during combat?</t>
  </si>
  <si>
    <t>A) Warning, B) Deduction, C) Disqualification, D) No penalty</t>
  </si>
  <si>
    <t>If a competitor is not actively engaging in combat and is deliberately stalling, the referee will issue a warning.</t>
  </si>
  <si>
    <t>How many team points is a win worth in team events?</t>
  </si>
  <si>
    <t>In a team-versus-team format, each individual match win contributes one point to the team's total score.</t>
  </si>
  <si>
    <t>If a competitor faints, the result is:</t>
  </si>
  <si>
    <t>A) Restart, B) Disqualification, C) Draw, D) Technical loss</t>
  </si>
  <si>
    <t>D) Technical loss</t>
  </si>
  <si>
    <t>If a competitor faints or is otherwise unable to continue without a foul being committed, it is ruled a technical loss.</t>
  </si>
  <si>
    <t>What is the correct footwear in Silat competition?</t>
  </si>
  <si>
    <t>A) Shoes, B) Barefoot, C) Socks, D) Sandals</t>
  </si>
  <si>
    <t>B) Barefoot</t>
  </si>
  <si>
    <t>Competitors must compete barefoot to ensure proper grip, safety, and adherence to tradition.</t>
  </si>
  <si>
    <t>Which protective gear is mandatory?</t>
  </si>
  <si>
    <t>A) Helmet, B) Chest protector, C) Gloves, D) All of the above</t>
  </si>
  <si>
    <t>For combat (Tanding), competitors must wear headgear, a chest protector, and light hand protection. A groin guard is also mandatory.</t>
  </si>
  <si>
    <t>Which protective gear is optional?</t>
  </si>
  <si>
    <t>A) Shin guard, B) Chest protector, C) Headgear, D) Gloves</t>
  </si>
  <si>
    <t>A) Shin guard</t>
  </si>
  <si>
    <t>While most gear is mandatory, shin guards are often optional, depending on the specific tournament's rules.</t>
  </si>
  <si>
    <t>In team events, how many fighters per team?</t>
  </si>
  <si>
    <t>A) 3, B) 5, C) 7, D) 9</t>
  </si>
  <si>
    <t>B) 5</t>
  </si>
  <si>
    <t>A standard team consists of five competing athletes, plus substitutes.</t>
  </si>
  <si>
    <t>What is the minimum number of judges required to validate a match?</t>
  </si>
  <si>
    <t>A full panel of five judges is typically required for an official, validated match scoring.</t>
  </si>
  <si>
    <t>If one judge is absent, match proceeds with:</t>
  </si>
  <si>
    <t>A) 3 judges, B) 4 judges, C) 5 substitutes, D) Cancelled</t>
  </si>
  <si>
    <t>B) 4 judges</t>
  </si>
  <si>
    <t>A match can proceed with a minimum of four judges if a full panel is not available.</t>
  </si>
  <si>
    <t>What does the referee do after announcing the winner?</t>
  </si>
  <si>
    <t>A) Raise winner’s hand, B) Bow, C) Leave arena, D) Record score</t>
  </si>
  <si>
    <t>A) Raise winner’s hand</t>
  </si>
  <si>
    <t>The referee officially declares the winner by raising their hand in the center of the Gelanggang.</t>
  </si>
  <si>
    <t>If competitor’s attire is torn, the referee:</t>
  </si>
  <si>
    <t>A) Stops match, B) Allows continuation, C) Gives warning, D) Deducts points</t>
  </si>
  <si>
    <t>A) Stops match</t>
  </si>
  <si>
    <t>The referee will pause the match to allow the competitor to fix or replace their torn uniform to ensure safety and modesty.</t>
  </si>
  <si>
    <t>Which rule applies to intentional injury?</t>
  </si>
  <si>
    <t>If a referee determines that a competitor intentionally injured their opponent with a foul, it will result in immediate disqualification.</t>
  </si>
  <si>
    <t>In official Silat events, who approves referees?</t>
  </si>
  <si>
    <t>A) Local committee, B) PERSILAT, C) Coaches, D) Spectators</t>
  </si>
  <si>
    <t>For international events, referees and judges must be certified and approved by the international governing body, PERSILAT.</t>
  </si>
  <si>
    <t>What is the allowed time for entering the arena after being called?</t>
  </si>
  <si>
    <t>A) 10 seconds, B) 15 seconds, C) 30 seconds, D) 1 minute</t>
  </si>
  <si>
    <t>C) 30 seconds</t>
  </si>
  <si>
    <t>A competitor typically has 30 seconds to present themselves at the arena after their name is called.</t>
  </si>
  <si>
    <t>If competitor attacks referee, penalty is:</t>
  </si>
  <si>
    <t>A) Warning, B) Disqualification, C) Suspension, D) Both B &amp; C</t>
  </si>
  <si>
    <t>D) Both B &amp; C</t>
  </si>
  <si>
    <t>Attacking an official is the most serious offense, leading to immediate disqualification from the match and suspension from future events.</t>
  </si>
  <si>
    <t>In official matches, who keeps medical reports?</t>
  </si>
  <si>
    <t>A) Referee, B) Jury, C) Medical officer, D) Scorer</t>
  </si>
  <si>
    <t>C) Medical officer</t>
  </si>
  <si>
    <t>All medical assessments and injury reports are managed and kept by the official, neutral medical officer assigned to the event.</t>
  </si>
  <si>
    <t>How are substitution athletes approved in team events?</t>
  </si>
  <si>
    <t>A) Jury, B) Referee, C) Technical committee, D) Coaches’ vote</t>
  </si>
  <si>
    <t>C) Technical committee</t>
  </si>
  <si>
    <t>The eligibility of substitute athletes and the process for substitution are managed by the event's technical committee.</t>
  </si>
  <si>
    <t>Which command signals end of a round?</t>
  </si>
  <si>
    <t>A) Bell, B) Gong, C) Whistle, D) Hand clap</t>
  </si>
  <si>
    <t>C) Whistle</t>
  </si>
  <si>
    <t>The timekeeper signals the referee, who then uses a whistle to officially signal the end of the round.</t>
  </si>
  <si>
    <t>Which command signals athletes to bow?</t>
  </si>
  <si>
    <t>A) Mulai, B) Hormat, C) Berhenti, D) Keluar</t>
  </si>
  <si>
    <t>B) Hormat</t>
  </si>
  <si>
    <t>Hormat' means 'respect' or 'salute', and is the command used to instruct competitors to perform the traditional gesture of respect.</t>
  </si>
  <si>
    <t>If a competitor ignores referee repeatedly, outcome is:</t>
  </si>
  <si>
    <t>A) Warning, B) Point deduction, C) Disqualification, D) Appeal</t>
  </si>
  <si>
    <t>Repeatedly ignoring the referee's commands constitutes gross insubordination and will lead to disqualification.</t>
  </si>
  <si>
    <t>If a competitor uses prohibited substance, penalty is:</t>
  </si>
  <si>
    <t>A) Warning, B) Suspension, C) Disqualification, D) All of the above</t>
  </si>
  <si>
    <t>Doping results in immediate disqualification, suspension from the sport, and nullification of any results.</t>
  </si>
  <si>
    <t>In junior category, maximum combat round duration is:</t>
  </si>
  <si>
    <t>A) 1 min, B) 1.5 min, C) 2 min, D) 3 min</t>
  </si>
  <si>
    <t>C) 2 min</t>
  </si>
  <si>
    <t>Rounds for junior competitors are often the same duration as seniors, two minutes, though some rules may shorten them to 1.5 minutes.</t>
  </si>
  <si>
    <t>In junior category, rest between rounds is:</t>
  </si>
  <si>
    <t>A) 15 sec, B) 30 sec, C) 45 sec, D) 1 min</t>
  </si>
  <si>
    <t>D) 1 min</t>
  </si>
  <si>
    <t>The rest period for junior competitors is typically the same as for seniors, one minute.</t>
  </si>
  <si>
    <t>In Pencak Silat, how many primary categories of competition are there?</t>
  </si>
  <si>
    <t>A) 3, B) 4, C) 5, D) 6</t>
  </si>
  <si>
    <t>Pencak Silat has four main categories: Solo, Tandem, Combat, and Artistic.</t>
  </si>
  <si>
    <t>What is the primary focus of Pencak Silat?</t>
  </si>
  <si>
    <t>A) Strength, B) Speed, C) Self-defense, D) Agility</t>
  </si>
  <si>
    <t>C) Self-defense</t>
  </si>
  <si>
    <t>Pencak Silat is primarily a martial art focused on self-defense techniques.</t>
  </si>
  <si>
    <t>How are points scored in the combat category of Pencak Silat?</t>
  </si>
  <si>
    <t>A) By striking the opponent, B) By throwing the opponent, C) By escaping the opponent's hold, D) All of the above</t>
  </si>
  <si>
    <t>In combat, points are earned through various techniques including strikes, throws, and escapes.</t>
  </si>
  <si>
    <t>Which of the following is not an element of the Artistic category in Pencak Silat?</t>
  </si>
  <si>
    <t>A) Power, B) Flexibility, C) Grace, D) Aggression</t>
  </si>
  <si>
    <t>D) Aggression</t>
  </si>
  <si>
    <t>Artistic Pencak Silat emphasizes grace, power, and flexibility, not aggression.</t>
  </si>
  <si>
    <t>In Pencak Silat, what is the role of 'Siluet'?</t>
  </si>
  <si>
    <t>A) Weapon practice, B) Strategy, C) Movement patterns, D) Team coordination</t>
  </si>
  <si>
    <t>C) Movement patterns</t>
  </si>
  <si>
    <t>Siluet' refers to the movement patterns or forms performed during the competition.</t>
  </si>
  <si>
    <t>How many judges are typically involved in scoring a Pencak Silat competition?</t>
  </si>
  <si>
    <t>A panel of five judges typically scores a Pencak Silat competition.</t>
  </si>
  <si>
    <t>In Pencak Silat combat, how long does each round typically last?</t>
  </si>
  <si>
    <t>A) 1 minute, B) 2 minutes, C) 3 minutes, D) 4 minutes</t>
  </si>
  <si>
    <t>Each round in Pencak Silat combat typically lasts for 2 minutes.</t>
  </si>
  <si>
    <t>What is the basic stance in Pencak Silat known as?</t>
  </si>
  <si>
    <t>A) Pencak, B) Silat, C) Kuda-Kuda, D) Tegak</t>
  </si>
  <si>
    <t>C) Kuda-Kuda</t>
  </si>
  <si>
    <t>The 'Kuda-Kuda' is a fundamental stance used for balance and movement in Pencak Silat.</t>
  </si>
  <si>
    <t>What is the goal in Pencak Silat's combat competition?</t>
  </si>
  <si>
    <t>A) To overpower the opponent, B) To score the most points, C) To perform techniques perfectly, D) To escape the ring</t>
  </si>
  <si>
    <t>B) To score the most points</t>
  </si>
  <si>
    <t>In combat competition, the goal is to score the most points through effective techniques.</t>
  </si>
  <si>
    <t>What type of training is emphasized in the Solo competition of Pencak Silat?</t>
  </si>
  <si>
    <t>A) Weapon use, B) Coordination and forms, C) Fighting techniques, D) Flexibility and strength</t>
  </si>
  <si>
    <t>B) Coordination and forms</t>
  </si>
  <si>
    <t>Solo competition focuses on performing coordinated movement patterns (forms) in front of judges.</t>
  </si>
  <si>
    <t>What does 'Satria' represent in Pencak Silat?</t>
  </si>
  <si>
    <t>A) Strength, B) Wisdom, C) Warrior spirit, D) Speed</t>
  </si>
  <si>
    <t>C) Warrior spirit</t>
  </si>
  <si>
    <t>Satria' represents the warrior spirit, emphasizing courage and focus in the martial art.</t>
  </si>
  <si>
    <t>In Pencak Silat, what is the term for a combination of multiple techniques in a series?</t>
  </si>
  <si>
    <t>A) Serangan, B) Jurus, C) Gunting, D) Pukulan</t>
  </si>
  <si>
    <t>B) Jurus</t>
  </si>
  <si>
    <t>A 'Jurus' refers to a series of techniques performed as a combination in Pencak Silat.</t>
  </si>
  <si>
    <t>What is the minimum age required for a competitor to participate in official Pencak Silat competitions?</t>
  </si>
  <si>
    <t>A) 5 years, B) 10 years, C) 12 years, D) 15 years</t>
  </si>
  <si>
    <t>C) 12 years</t>
  </si>
  <si>
    <t>Competitors must be at least 12 years old to participate in official Pencak Silat competitions.</t>
  </si>
  <si>
    <t>What type of weapon is commonly used in Pencak Silat?</t>
  </si>
  <si>
    <t>A) Sword, B) Knife, C) Spear, D) All of the above</t>
  </si>
  <si>
    <t>Pencak Silat practitioners may use a variety of weapons, including swords, knives, and spears.</t>
  </si>
  <si>
    <t>Which of the following is an illegal move in Pencak Silat combat?</t>
  </si>
  <si>
    <t>A) Throwing, B) Striking below the belt, C) Blocking, D) Dodging</t>
  </si>
  <si>
    <t>B) Striking below the belt</t>
  </si>
  <si>
    <t>Striking below the belt is considered illegal and is penalized in Pencak Silat competitions.</t>
  </si>
  <si>
    <t>Which of these techniques is not commonly performed in Pencak Silat?</t>
  </si>
  <si>
    <t>A) Punching, B) Kicking, C) Rolling, D) Elbow strikes</t>
  </si>
  <si>
    <t>C) Rolling</t>
  </si>
  <si>
    <t>While punching, kicking, and elbow strikes are common in Pencak Silat, rolling is not a typical technique.</t>
  </si>
  <si>
    <t>How are the winners of Pencak Silat competitions typically determined?</t>
  </si>
  <si>
    <t>A) Based on the opponent's skill level, B) By the number of strikes landed, C) By accumulated points, D) By submission</t>
  </si>
  <si>
    <t>C) By accumulated points</t>
  </si>
  <si>
    <t>Winners in Pencak Silat competitions are determined by the points accumulated for successful techniques.</t>
  </si>
  <si>
    <t>In Pencak Silat, what does 'Kombat' refer to?</t>
  </si>
  <si>
    <t>A) Solo performance, B) Group demonstration, C) Combat competition, D) Traditional dance</t>
  </si>
  <si>
    <t>C) Combat competition</t>
  </si>
  <si>
    <t>Kombat' refers to the combat competition where practitioners fight against an opponent.</t>
  </si>
  <si>
    <t>What is the role of 'Pusaka' in Pencak Silat?</t>
  </si>
  <si>
    <t>A) A ceremonial sword, B) A type of defensive technique, C) A group performance, D) A type of dance</t>
  </si>
  <si>
    <t>A) A ceremonial sword</t>
  </si>
  <si>
    <t>Pusaka' refers to the ceremonial weapons used in some traditional Pencak Silat practices.</t>
  </si>
  <si>
    <t>What is the significance of 'Sikap' in Pencak Silat?</t>
  </si>
  <si>
    <t>A) The weapon's usage, B) The attack strategy, C) The stances or positions, D) The fighting arena</t>
  </si>
  <si>
    <t>C) The stances or positions</t>
  </si>
  <si>
    <t>Sikap' refers to the various stances or positions used in Pencak Silat to maintain balance and readiness.</t>
  </si>
  <si>
    <t>What does 'Pencak' represent in Pencak Silat?</t>
  </si>
  <si>
    <t>A) The art of fighting, B) The cultural dance, C) The spiritual meditation, D) The weapon skills</t>
  </si>
  <si>
    <t>A) The art of fighting</t>
  </si>
  <si>
    <t>Pencak' refers to the art of combat, focusing on the martial aspect of Pencak Silat.</t>
  </si>
  <si>
    <t>Which of the following is a key philosophy behind Pencak Silat?</t>
  </si>
  <si>
    <t>A) Dominance, B) Harmony, C) Revenge, D) Stealth</t>
  </si>
  <si>
    <t>B) Harmony</t>
  </si>
  <si>
    <t>Pencak Silat emphasizes harmony between body, mind, and spirit in its practice.</t>
  </si>
  <si>
    <t>How is the winner determined in the Solo competition of Pencak Silat?</t>
  </si>
  <si>
    <t>A) By submission, B) By execution of perfect techniques, C) By the number of strikes, D) By points awarded for artistry and technique</t>
  </si>
  <si>
    <t>D) By points awarded for artistry and technique</t>
  </si>
  <si>
    <t>In Solo competitions, points are awarded based on the execution of technique and artistry.</t>
  </si>
  <si>
    <t>In Pencak Silat, how many categories are there in terms of competition styles?</t>
  </si>
  <si>
    <t>The four main categories in Pencak Silat competition are Solo, Tandem, Combat, and Artistic.</t>
  </si>
  <si>
    <t>What is the role of 'Penjurus' in Pencak Silat?</t>
  </si>
  <si>
    <t>A) A judge, B) A form of weapon, C) A training assistant, D) A referee</t>
  </si>
  <si>
    <t>A) A judge</t>
  </si>
  <si>
    <t>Penjurus' refers to the judges who score the performances and competitions in Pencak Silat.</t>
  </si>
  <si>
    <t>What does 'Langkah' refer to in Pencak Silat?</t>
  </si>
  <si>
    <t>A) Weapon training, B) Movement techniques, C) A defensive stance, D) A type of combat strategy</t>
  </si>
  <si>
    <t>B) Movement techniques</t>
  </si>
  <si>
    <t>Langkah' refers to the footwork and movement techniques essential in Pencak Silat.</t>
  </si>
  <si>
    <t>Which of the following techniques is a common attack move in Pencak Silat?</t>
  </si>
  <si>
    <t>A) Backflip, B) Roundhouse kick, C) Chokehold, D) Punch with elbow</t>
  </si>
  <si>
    <t>B) Roundhouse kick</t>
  </si>
  <si>
    <t>The roundhouse kick is a commonly used attack move in Pencak Silat combat.</t>
  </si>
  <si>
    <t>Which discipline of Pencak Silat includes both defense and offense?</t>
  </si>
  <si>
    <t>A) Self-defense, B) Combat, C) Artistic, D) Weapons</t>
  </si>
  <si>
    <t>B) Combat</t>
  </si>
  <si>
    <t>Combat includes both defensive and offensive techniques in Pencak Silat.</t>
  </si>
  <si>
    <t>What is the traditional attire worn in Pencak Silat competitions?</t>
  </si>
  <si>
    <t>A) Kimono, B) Gi, C) Sarong and T-shirt, D) Traditional Silat uniform</t>
  </si>
  <si>
    <t>D) Traditional Silat uniform</t>
  </si>
  <si>
    <t>Pencak Silat practitioners wear traditional uniforms, often consisting of a jacket and pants.</t>
  </si>
  <si>
    <t>In Pencak Silat, what does the 'Silat' part of the name refer to?</t>
  </si>
  <si>
    <t>A) A specific weapon, B) A type of dance, C) The movement art, D) The history</t>
  </si>
  <si>
    <t>C) The movement art</t>
  </si>
  <si>
    <t>Silat' refers to the movement and techniques used in this Indonesian martial art.</t>
  </si>
  <si>
    <t>In Pencak Silat, what is 'Pamungkas' used for?</t>
  </si>
  <si>
    <t>A) A finishing strike, B) A defensive block, C) A ceremonial greeting, D) A defensive stance</t>
  </si>
  <si>
    <t>A) A finishing strike</t>
  </si>
  <si>
    <t>Pamungkas' refers to a finishing move or technique that ends a combat engagement.</t>
  </si>
  <si>
    <t>In Pencak Silat, what is the primary purpose of 'Geger'?</t>
  </si>
  <si>
    <t>A) Attack strategy, B) Defense mechanism, C) Body conditioning, D) Breathing exercises</t>
  </si>
  <si>
    <t>B) Defense mechanism</t>
  </si>
  <si>
    <t>Geger' is a defensive technique used to block or deflect an opponent's attack.</t>
  </si>
  <si>
    <t>Which of the following is not a recognized Pencak Silat weapon?</t>
  </si>
  <si>
    <t>A) Keris, B) Rattan stick, C) Machete, D) Bo staff</t>
  </si>
  <si>
    <t>D) Bo staff</t>
  </si>
  <si>
    <t>The Bo staff is not traditionally used in Pencak Silat, though it is used in other martial arts.</t>
  </si>
  <si>
    <t>In Pencak Silat, what is the significance of 'Tari'?</t>
  </si>
  <si>
    <t>A) A weapon form, B) A team competition, C) A rhythmic form, D) A defensive stance</t>
  </si>
  <si>
    <t>C) A rhythmic form</t>
  </si>
  <si>
    <t>Tari' refers to the rhythmic, fluid movement of forms performed in Pencak Silat.</t>
  </si>
  <si>
    <t>Which is the highest rank in traditional Pencak Silat training?</t>
  </si>
  <si>
    <t>A) Black Belt, B) Grandmaster, C) Guru, D) Sifu</t>
  </si>
  <si>
    <t>C) Guru</t>
  </si>
  <si>
    <t>In Pencak Silat, a 'Guru' is a master or teacher who has achieved the highest rank.</t>
  </si>
  <si>
    <t>What is 'Sido' in Pencak Silat?</t>
  </si>
  <si>
    <t>A) A weapon training method, B) A movement sequence, C) A martial art form, D) A spiritual philosophy</t>
  </si>
  <si>
    <t>B) A movement sequence</t>
  </si>
  <si>
    <t>Sido' refers to a sequence of movements or techniques often performed as a form.</t>
  </si>
  <si>
    <t>Which part of the body is typically the primary target in Pencak Silat combat?</t>
  </si>
  <si>
    <t>A) Legs, B) Head, C) Torso, D) Arms</t>
  </si>
  <si>
    <t>B) Head</t>
  </si>
  <si>
    <t>In Pencak Silat, the head is a primary target for strikes due to its vulnerability.</t>
  </si>
  <si>
    <t>How does Pencak Silat differ from other martial arts in terms of stance?</t>
  </si>
  <si>
    <t>A) Uses only one stance, B) Multiple stances for flexibility, C) Focuses on standing, D) Focuses only on sitting stances</t>
  </si>
  <si>
    <t>B) Multiple stances for flexibility</t>
  </si>
  <si>
    <t>Pencak Silat uses multiple stances to provide flexibility for both offense and defense.</t>
  </si>
  <si>
    <t>What is the meaning of 'Sumpah' in Pencak Silat?</t>
  </si>
  <si>
    <t>A) Oath or pledge, B) Weapon technique, C) Combat stance, D) Spiritual ritual</t>
  </si>
  <si>
    <t>A) Oath or pledge</t>
  </si>
  <si>
    <t>Sumpah' is an oath or pledge taken by practitioners to commit to the martial art's principles.</t>
  </si>
  <si>
    <t>Which of the following is not an official event in Pencak Silat competitions?</t>
  </si>
  <si>
    <t>A) Solo performance, B) Tandem performance, C) Combat, D) Group choreography</t>
  </si>
  <si>
    <t>D) Group choreography</t>
  </si>
  <si>
    <t>Group choreography is not an official event in Pencak Silat competitions; solo and tandem performances are.</t>
  </si>
  <si>
    <t>In the 'Pencak' style of Silat, what is the primary focus?</t>
  </si>
  <si>
    <t>A) Attack techniques, B) Defending against multiple opponents, C) Weapon handling, D) Forms and movements</t>
  </si>
  <si>
    <t>D) Forms and movements</t>
  </si>
  <si>
    <t>The 'Pencak' style emphasizes artistic forms and movements, showcasing the beauty of the martial art.</t>
  </si>
  <si>
    <t>In Pencak Silat, what is the name for a series of strikes or moves?</t>
  </si>
  <si>
    <t>A) Kuda-Kuda, B) Jurus, C) Langkah, D) Gerakan</t>
  </si>
  <si>
    <t>Jurus' refers to a series of moves or strikes performed in a sequence in Pencak Silat.</t>
  </si>
  <si>
    <t>Which Pencak Silat stance is designed to provide the best defense against incoming attacks?</t>
  </si>
  <si>
    <t>A) Kuda-Kuda, B) Sikap, C) Langkah, D) Juru</t>
  </si>
  <si>
    <t>A) Kuda-Kuda</t>
  </si>
  <si>
    <t>Kuda-Kuda' is a stance designed for stability and to block or absorb attacks effectively.</t>
  </si>
  <si>
    <t>What is the term for a sweeping kick in Pencak Silat?</t>
  </si>
  <si>
    <t>A) Gunting, B) Sapu, C) Pukul, D) Tendang</t>
  </si>
  <si>
    <t>B) Sapu</t>
  </si>
  <si>
    <t>A 'Sapu' is a sweeping kick intended to knock the opponent off balance.</t>
  </si>
  <si>
    <t>Which technique in Pencak Silat involves using the elbows to strike the opponent?</t>
  </si>
  <si>
    <t>A) Elbow chop, B) Elbow strike, C) Elbow lock, D) Elbow sweep</t>
  </si>
  <si>
    <t>B) Elbow strike</t>
  </si>
  <si>
    <t>The 'elbow strike' is a powerful close-range attack in Pencak Silat.</t>
  </si>
  <si>
    <t>What does 'Serangan' refer to in Pencak Silat?</t>
  </si>
  <si>
    <t>A) A defense move, B) A counter technique, C) An attack technique, D) A form of meditation</t>
  </si>
  <si>
    <t>C) An attack technique</t>
  </si>
  <si>
    <t>Serangan' refers to a variety of attack techniques in Pencak Silat.</t>
  </si>
  <si>
    <t>Which of these movements is a form of dodging in Pencak Silat?</t>
  </si>
  <si>
    <t>A) Langkah, B) Sikap, C) Sapu, D) Menghindar</t>
  </si>
  <si>
    <t>D) Menghindar</t>
  </si>
  <si>
    <t>Menghindar' is the term used in Pencak Silat for dodging or evading attacks.</t>
  </si>
  <si>
    <t>A) Punching to the face, B) Kicking to the head, C) Grabbing the opponent's clothing, D) Elbow strikes</t>
  </si>
  <si>
    <t>C) Grabbing the opponent's clothing</t>
  </si>
  <si>
    <t>Grabbing the opponent's clothing is not allowed in Pencak Silat combat, as it is considered unfair.</t>
  </si>
  <si>
    <t>What is the primary purpose of 'Latihan' in Pencak Silat?</t>
  </si>
  <si>
    <t>A) To spar with others, B) To practice techniques, C) To learn new forms, D) To meditate</t>
  </si>
  <si>
    <t>B) To practice techniques</t>
  </si>
  <si>
    <t>Latihan' refers to training or practice, where techniques are rehearsed and refined.</t>
  </si>
  <si>
    <t>In Pencak Silat, which term refers to the strategic use of blocking an opponent's move?</t>
  </si>
  <si>
    <t>A) Gunting, B) Serangan, C) Sambut, D) Pukul</t>
  </si>
  <si>
    <t>C) Sambut</t>
  </si>
  <si>
    <t>Sambut' refers to the defensive move used to intercept or block an opponent's strike.</t>
  </si>
  <si>
    <t>What is the term for a double-leg takedown in Pencak Silat?</t>
  </si>
  <si>
    <t>A) Gunting, B) Pukul, C) Jurus, D) Tumble</t>
  </si>
  <si>
    <t>A) Gunting</t>
  </si>
  <si>
    <t>Gunting' refers to a takedown move where the practitioner grabs the opponent's legs to bring them to the ground.</t>
  </si>
  <si>
    <t>Which form of movement is typically used to regain balance after an attack in Pencak Silat?</t>
  </si>
  <si>
    <t>A) Langkah, B) Sikap, C) Sapu, D) Kuda-Kuda</t>
  </si>
  <si>
    <t>B) Sikap</t>
  </si>
  <si>
    <t>Sikap' refers to the stance or positioning used to stabilize oneself after an attack.</t>
  </si>
  <si>
    <t>What is a unique characteristic of the 'Langkah' movement in Pencak Silat?</t>
  </si>
  <si>
    <t>A) It focuses on rapid movement, B) It uses multiple weapons, C) It emphasizes fluid body motion, D) It is used only for defense</t>
  </si>
  <si>
    <t>C) It emphasizes fluid body motion</t>
  </si>
  <si>
    <t>Langkah' movements are characterized by fluid body motions that are essential for both attack and defense.</t>
  </si>
  <si>
    <t>Which stance is used for both attack and defense in Pencak Silat?</t>
  </si>
  <si>
    <t>A) Kuda-Kuda, B) Seated, C) Hakkim, D) Muda</t>
  </si>
  <si>
    <t>Kuda-Kuda' is a versatile stance used for both defensive blocks and attacking strikes.</t>
  </si>
  <si>
    <t>Which Pencak Silat technique involves using the knees for striking?</t>
  </si>
  <si>
    <t>A) Pukul, B) Tendang, C) Sapu, D) Lutut</t>
  </si>
  <si>
    <t>D) Lutut</t>
  </si>
  <si>
    <t>Lutut' refers to a knee strike, commonly used in close-quarters combat.</t>
  </si>
  <si>
    <t>In Pencak Silat, what is the primary role of 'Bela Diri'?</t>
  </si>
  <si>
    <t>A) Weapon training, B) Combat training, C) Self-defense, D) Team competition</t>
  </si>
  <si>
    <t>Bela Diri' is a training method focused on self-defense techniques in Pencak Silat.</t>
  </si>
  <si>
    <t>What is the primary objective in Pencak Silat competitions?</t>
  </si>
  <si>
    <t>A) To perform acrobatics, B) To score points through controlled techniques, C) To use brute force, D) To display choreography</t>
  </si>
  <si>
    <t>B) To score points through controlled techniques</t>
  </si>
  <si>
    <t>In Pencak Silat, the goal is to score points by executing controlled, effective techniques.</t>
  </si>
  <si>
    <t>What does the 'Sikap' position emphasize in Pencak Silat?</t>
  </si>
  <si>
    <t>A) Jumping attacks, B) Proper body balance, C) Speed and agility, D) Endurance</t>
  </si>
  <si>
    <t>B) Proper body balance</t>
  </si>
  <si>
    <t>Sikap' focuses on stances that ensure stability and balance during combat.</t>
  </si>
  <si>
    <t>What is the key principle behind the movement of 'Langkah'?</t>
  </si>
  <si>
    <t>A) Stealth, B) Fluidity and speed, C) Rigid formality, D) Defensive retreat</t>
  </si>
  <si>
    <t>B) Fluidity and speed</t>
  </si>
  <si>
    <t>Langkah' involves fluid movements that allow the practitioner to adjust swiftly to changing combat situations.</t>
  </si>
  <si>
    <t>Which of these is a standard weapon used in Pencak Silat?</t>
  </si>
  <si>
    <t>A) Bo staff, B) Sword, C) Rattan stick, D) Nunchaku</t>
  </si>
  <si>
    <t>The rattan stick is a traditional weapon commonly used in Pencak Silat training and competition.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</si>
</sst>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quotePrefix="1" borderId="0" fillId="0" fontId="2" numFmtId="0" xfId="0" applyAlignment="1" applyFont="1">
      <alignment readingOrder="0" shrinkToFit="0" vertical="center" wrapText="0"/>
    </xf>
    <xf borderId="0" fillId="0" fontId="3" numFmtId="0" xfId="0" applyAlignment="1" applyFont="1">
      <alignment shrinkToFit="0" vertical="bottom" wrapText="0"/>
    </xf>
    <xf borderId="0" fillId="0" fontId="3" numFmtId="0" xfId="0" applyAlignment="1" applyFont="1">
      <alignment horizontal="left" readingOrder="0" shrinkToFit="0" vertical="bottom" wrapText="0"/>
    </xf>
    <xf borderId="0" fillId="0" fontId="3" numFmtId="0" xfId="0" applyAlignment="1" applyFont="1">
      <alignment readingOrder="0" shrinkToFit="0" vertical="bottom" wrapText="0"/>
    </xf>
    <xf borderId="0" fillId="0" fontId="2" numFmtId="0" xfId="0" applyAlignment="1" applyFont="1">
      <alignment horizontal="left" readingOrder="0" shrinkToFit="0" vertical="center" wrapText="0"/>
    </xf>
    <xf borderId="0" fillId="0" fontId="3" numFmtId="0" xfId="0" applyAlignment="1" applyFont="1">
      <alignment shrinkToFit="0" vertical="bottom" wrapText="0"/>
    </xf>
    <xf borderId="0" fillId="0" fontId="3" numFmtId="0" xfId="0" applyAlignment="1" applyFont="1">
      <alignment horizontal="left" readingOrder="0" shrinkToFit="0" vertical="bottom" wrapText="0"/>
    </xf>
    <xf quotePrefix="1" borderId="0" fillId="0" fontId="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4" pivot="0" name="Karapan_Sapi-style">
      <tableStyleElement dxfId="1" type="headerRow"/>
      <tableStyleElement dxfId="2" type="firstRowStripe"/>
      <tableStyleElement dxfId="3" type="secondRowStripe"/>
      <tableStyleElement dxfId="4" size="0" type="wholeTable"/>
    </tableStyle>
    <tableStyle count="4" pivot="0" name="Karapan_Sapi-style 2">
      <tableStyleElement dxfId="1" type="headerRow"/>
      <tableStyleElement dxfId="2" type="firstRowStripe"/>
      <tableStyleElement dxfId="3" type="secondRowStripe"/>
      <tableStyleElement dxfId="4" size="0" type="wholeTable"/>
    </tableStyle>
    <tableStyle count="4" pivot="0" name="Sepak_Takraw-style">
      <tableStyleElement dxfId="1" type="headerRow"/>
      <tableStyleElement dxfId="2" type="firstRowStripe"/>
      <tableStyleElement dxfId="3" type="secondRowStripe"/>
      <tableStyleElement dxfId="4" size="0" type="wholeTable"/>
    </tableStyle>
    <tableStyle count="4" pivot="0" name="Sepak_Takraw-style 2">
      <tableStyleElement dxfId="1" type="headerRow"/>
      <tableStyleElement dxfId="2" type="firstRowStripe"/>
      <tableStyleElement dxfId="3" type="secondRowStripe"/>
      <tableStyleElement dxfId="4" size="0" type="wholeTable"/>
    </tableStyle>
    <tableStyle count="4" pivot="0" name="Tarung_Derajat-style">
      <tableStyleElement dxfId="1" type="headerRow"/>
      <tableStyleElement dxfId="2" type="firstRowStripe"/>
      <tableStyleElement dxfId="3" type="secondRowStripe"/>
      <tableStyleElement dxfId="4" size="0" type="wholeTable"/>
    </tableStyle>
    <tableStyle count="4" pivot="0" name="Tarung_Derajat-style 2">
      <tableStyleElement dxfId="1" type="headerRow"/>
      <tableStyleElement dxfId="2" type="firstRowStripe"/>
      <tableStyleElement dxfId="3" type="secondRowStripe"/>
      <tableStyleElement dxfId="4" size="0" type="wholeTable"/>
    </tableStyle>
    <tableStyle count="4" pivot="0" name="Peresean-style">
      <tableStyleElement dxfId="1" type="headerRow"/>
      <tableStyleElement dxfId="2" type="firstRowStripe"/>
      <tableStyleElement dxfId="3" type="secondRowStripe"/>
      <tableStyleElement dxfId="4" size="0" type="wholeTable"/>
    </tableStyle>
    <tableStyle count="4" pivot="0" name="Peresean-style 2">
      <tableStyleElement dxfId="1" type="headerRow"/>
      <tableStyleElement dxfId="2" type="firstRowStripe"/>
      <tableStyleElement dxfId="3" type="secondRowStripe"/>
      <tableStyleElement dxfId="4" size="0" type="wholeTable"/>
    </tableStyle>
    <tableStyle count="4" pivot="0" name="Pencak_Silat-style">
      <tableStyleElement dxfId="1" type="headerRow"/>
      <tableStyleElement dxfId="2" type="firstRowStripe"/>
      <tableStyleElement dxfId="3" type="secondRowStripe"/>
      <tableStyleElement dxfId="4" size="0" type="wholeTable"/>
    </tableStyle>
    <tableStyle count="4" pivot="0" name="Pencak_Silat-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D151" displayName="Table1" name="Table1" id="1">
  <tableColumns count="4">
    <tableColumn name="Question" id="1"/>
    <tableColumn name="Options" id="2"/>
    <tableColumn name="Answer" id="3"/>
    <tableColumn name="Description" id="4"/>
  </tableColumns>
  <tableStyleInfo name="Karapan_Sapi-style" showColumnStripes="0" showFirstColumn="1" showLastColumn="1" showRowStripes="1"/>
</table>
</file>

<file path=xl/tables/table2.xml><?xml version="1.0" encoding="utf-8"?>
<table xmlns="http://schemas.openxmlformats.org/spreadsheetml/2006/main" ref="F1:I151" displayName="Table2" name="Table2" id="2">
  <tableColumns count="4">
    <tableColumn name="Pertanyaan" id="1"/>
    <tableColumn name="Pilihan" id="2"/>
    <tableColumn name="Menjawab" id="3"/>
    <tableColumn name="Keterangan" id="4"/>
  </tableColumns>
  <tableStyleInfo name="Karapan_Sapi-style 2" showColumnStripes="0" showFirstColumn="1" showLastColumn="1" showRowStripes="1"/>
</table>
</file>

<file path=xl/tables/table3.xml><?xml version="1.0" encoding="utf-8"?>
<table xmlns="http://schemas.openxmlformats.org/spreadsheetml/2006/main" ref="A1:D129" displayName="Table3" name="Table3" id="3">
  <tableColumns count="4">
    <tableColumn name="In Indonesian Sepak Takraw rules, which foot of the server (Tekong) must remain inside the service circle?" id="1"/>
    <tableColumn name="A) Right, B) Left, C) Both, D) Either one" id="2"/>
    <tableColumn name="D) Either one" id="3"/>
    <tableColumn name="The rule states that one foot must be inside the circle to maintain contact, but it can be either foot." id="4"/>
  </tableColumns>
  <tableStyleInfo name="Sepak_Takraw-style" showColumnStripes="0" showFirstColumn="1" showLastColumn="1" showRowStripes="1"/>
</table>
</file>

<file path=xl/tables/table4.xml><?xml version="1.0" encoding="utf-8"?>
<table xmlns="http://schemas.openxmlformats.org/spreadsheetml/2006/main" ref="F1:I129" displayName="Table4" name="Table4" id="4">
  <tableColumns count="4">
    <tableColumn name="Pertanyaan" id="1"/>
    <tableColumn name="Pilihan" id="2"/>
    <tableColumn name="Menjawab" id="3"/>
    <tableColumn name="Keterangan" id="4"/>
  </tableColumns>
  <tableStyleInfo name="Sepak_Takraw-style 2" showColumnStripes="0" showFirstColumn="1" showLastColumn="1" showRowStripes="1"/>
</table>
</file>

<file path=xl/tables/table5.xml><?xml version="1.0" encoding="utf-8"?>
<table xmlns="http://schemas.openxmlformats.org/spreadsheetml/2006/main" ref="A1:D121" displayName="Table5" name="Table5" id="5">
  <tableColumns count="4">
    <tableColumn name="Question" id="1"/>
    <tableColumn name="Options" id="2"/>
    <tableColumn name="Answer" id="3"/>
    <tableColumn name="Description" id="4"/>
  </tableColumns>
  <tableStyleInfo name="Tarung_Derajat-style" showColumnStripes="0" showFirstColumn="1" showLastColumn="1" showRowStripes="1"/>
</table>
</file>

<file path=xl/tables/table6.xml><?xml version="1.0" encoding="utf-8"?>
<table xmlns="http://schemas.openxmlformats.org/spreadsheetml/2006/main" ref="F1:I121" displayName="Table6" name="Table6" id="6">
  <tableColumns count="4">
    <tableColumn name="Pertanyaan" id="1"/>
    <tableColumn name="Pilihan" id="2"/>
    <tableColumn name="Menjawab" id="3"/>
    <tableColumn name="Keterangan" id="4"/>
  </tableColumns>
  <tableStyleInfo name="Tarung_Derajat-style 2" showColumnStripes="0" showFirstColumn="1" showLastColumn="1" showRowStripes="1"/>
</table>
</file>

<file path=xl/tables/table7.xml><?xml version="1.0" encoding="utf-8"?>
<table xmlns="http://schemas.openxmlformats.org/spreadsheetml/2006/main" ref="A1:D151" displayName="Table7" name="Table7" id="7">
  <tableColumns count="4">
    <tableColumn name="Question" id="1"/>
    <tableColumn name="Options" id="2"/>
    <tableColumn name="Answer" id="3"/>
    <tableColumn name="Description" id="4"/>
  </tableColumns>
  <tableStyleInfo name="Peresean-style" showColumnStripes="0" showFirstColumn="1" showLastColumn="1" showRowStripes="1"/>
</table>
</file>

<file path=xl/tables/table8.xml><?xml version="1.0" encoding="utf-8"?>
<table xmlns="http://schemas.openxmlformats.org/spreadsheetml/2006/main" ref="F1:I151" displayName="Table8" name="Table8" id="8">
  <tableColumns count="4">
    <tableColumn name="Pertanyaan" id="1"/>
    <tableColumn name="Pilihan" id="2"/>
    <tableColumn name="Menjawab" id="3"/>
    <tableColumn name="Keterangan" id="4"/>
  </tableColumns>
  <tableStyleInfo name="Peresean-style 2" showColumnStripes="0" showFirstColumn="1" showLastColumn="1" showRowStripes="1"/>
</table>
</file>

<file path=xl/tables/table9.xml><?xml version="1.0" encoding="utf-8"?>
<table xmlns="http://schemas.openxmlformats.org/spreadsheetml/2006/main" ref="A1:D151" displayName="Table9" name="Table9" id="9">
  <tableColumns count="4">
    <tableColumn name="Question" id="1"/>
    <tableColumn name="Options" id="2"/>
    <tableColumn name="Answer" id="3"/>
    <tableColumn name="Description" id="4"/>
  </tableColumns>
  <tableStyleInfo name="Pencak_Silat-style" showColumnStripes="0" showFirstColumn="1" showLastColumn="1" showRowStripes="1"/>
</table>
</file>

<file path=xl/tables/table10.xml><?xml version="1.0" encoding="utf-8"?>
<table xmlns="http://schemas.openxmlformats.org/spreadsheetml/2006/main" ref="F1:I151" displayName="Table10" name="Table10" id="10">
  <tableColumns count="4">
    <tableColumn name="Pertanyaan" id="1"/>
    <tableColumn name="Pilihan" id="2"/>
    <tableColumn name="Menjawab" id="3"/>
    <tableColumn name="Keterangan" id="4"/>
  </tableColumns>
  <tableStyleInfo name="Pencak_Silat-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3.5"/>
    <col customWidth="1" min="4" max="4" width="37.63"/>
    <col customWidth="1" min="6" max="7" width="37.63"/>
    <col customWidth="1" min="8" max="8" width="26.75"/>
    <col customWidth="1" min="9" max="9" width="37.63"/>
  </cols>
  <sheetData>
    <row r="1">
      <c r="A1" s="1" t="s">
        <v>0</v>
      </c>
      <c r="B1" s="1" t="s">
        <v>1</v>
      </c>
      <c r="C1" s="1" t="s">
        <v>2</v>
      </c>
      <c r="D1" s="1" t="s">
        <v>3</v>
      </c>
      <c r="F1" s="2" t="s">
        <v>4</v>
      </c>
      <c r="G1" s="2" t="s">
        <v>5</v>
      </c>
      <c r="H1" s="2" t="s">
        <v>6</v>
      </c>
      <c r="I1" s="2" t="s">
        <v>7</v>
      </c>
    </row>
    <row r="2">
      <c r="A2" s="3" t="s">
        <v>8</v>
      </c>
      <c r="B2" s="3" t="s">
        <v>9</v>
      </c>
      <c r="C2" s="3" t="s">
        <v>10</v>
      </c>
      <c r="D2" s="3" t="s">
        <v>11</v>
      </c>
      <c r="F2" s="4" t="str">
        <f>IFERROR(__xludf.DUMMYFUNCTION("GOOGLETRANSLATE(A2, ""en"", ""id"")"),"Berapa jumlah minimum banteng yang diperlukan agar suatu perlombaan sah?")</f>
        <v>Berapa jumlah minimum banteng yang diperlukan agar suatu perlombaan sah?</v>
      </c>
      <c r="G2" s="4" t="str">
        <f>IFERROR(__xludf.DUMMYFUNCTION("GOOGLETRANSLATE(B2, ""en"", ""id"")"),"A) 1, B) 2, C) 3, D) 4")</f>
        <v>A) 1, B) 2, C) 3, D) 4</v>
      </c>
      <c r="H2" s="4" t="str">
        <f>IFERROR(__xludf.DUMMYFUNCTION("GOOGLETRANSLATE(C2, ""en"", ""id"")"),"B) 2")</f>
        <v>B) 2</v>
      </c>
      <c r="I2" s="4" t="str">
        <f>IFERROR(__xludf.DUMMYFUNCTION("GOOGLETRANSLATE(D2, ""en"", ""id"")"),"Setiap tim harus mengirimkan sepasang banteng.")</f>
        <v>Setiap tim harus mengirimkan sepasang banteng.</v>
      </c>
    </row>
    <row r="3">
      <c r="A3" s="3" t="s">
        <v>12</v>
      </c>
      <c r="B3" s="3" t="s">
        <v>13</v>
      </c>
      <c r="C3" s="3" t="s">
        <v>14</v>
      </c>
      <c r="D3" s="3" t="s">
        <v>15</v>
      </c>
      <c r="F3" s="4" t="str">
        <f>IFERROR(__xludf.DUMMYFUNCTION("GOOGLETRANSLATE(A3, ""en"", ""id"")"),"Pulau Indonesia manakah yang paling terkenal sebagai tuan rumah lomba Karapan Sapi?")</f>
        <v>Pulau Indonesia manakah yang paling terkenal sebagai tuan rumah lomba Karapan Sapi?</v>
      </c>
      <c r="G3" s="4" t="str">
        <f>IFERROR(__xludf.DUMMYFUNCTION("GOOGLETRANSLATE(B3, ""en"", ""id"")"),"A) Bali, B) Sumatra, C) Jawa, D) Madura")</f>
        <v>A) Bali, B) Sumatra, C) Jawa, D) Madura</v>
      </c>
      <c r="H3" s="4" t="str">
        <f>IFERROR(__xludf.DUMMYFUNCTION("GOOGLETRANSLATE(C3, ""en"", ""id"")"),"D) Madura")</f>
        <v>D) Madura</v>
      </c>
      <c r="I3" s="4" t="str">
        <f>IFERROR(__xludf.DUMMYFUNCTION("GOOGLETRANSLATE(D3, ""en"", ""id"")"),"Karapan Sapi berasal dan paling populer di pulau Madura.")</f>
        <v>Karapan Sapi berasal dan paling populer di pulau Madura.</v>
      </c>
    </row>
    <row r="4">
      <c r="A4" s="3" t="s">
        <v>16</v>
      </c>
      <c r="B4" s="3" t="s">
        <v>17</v>
      </c>
      <c r="C4" s="3" t="s">
        <v>18</v>
      </c>
      <c r="D4" s="3" t="s">
        <v>19</v>
      </c>
      <c r="F4" s="4" t="str">
        <f>IFERROR(__xludf.DUMMYFUNCTION("GOOGLETRANSLATE(A4, ""en"", ""id"")"),"Apa yang terjadi jika seorang joki terjatuh dari kereta luncur saat balapan?")</f>
        <v>Apa yang terjadi jika seorang joki terjatuh dari kereta luncur saat balapan?</v>
      </c>
      <c r="G4" s="4" t="str">
        <f>IFERROR(__xludf.DUMMYFUNCTION("GOOGLETRANSLATE(B4, ""en"", ""id"")"),"A) Balapan berlanjut, B) Banteng berhenti otomatis, C) Tim didiskualifikasi, D) Joki boleh kembali menunggangi banteng.")</f>
        <v>A) Balapan berlanjut, B) Banteng berhenti otomatis, C) Tim didiskualifikasi, D) Joki boleh kembali menunggangi banteng.</v>
      </c>
      <c r="H4" s="4" t="str">
        <f>IFERROR(__xludf.DUMMYFUNCTION("GOOGLETRANSLATE(C4, ""en"", ""id"")"),"C) Tim didiskualifikasi")</f>
        <v>C) Tim didiskualifikasi</v>
      </c>
      <c r="I4" s="4" t="str">
        <f>IFERROR(__xludf.DUMMYFUNCTION("GOOGLETRANSLATE(D4, ""en"", ""id"")"),"Jatuh menunjukkan hilangnya kendali, yang mengakibatkan diskualifikasi.")</f>
        <v>Jatuh menunjukkan hilangnya kendali, yang mengakibatkan diskualifikasi.</v>
      </c>
    </row>
    <row r="5">
      <c r="A5" s="3" t="s">
        <v>20</v>
      </c>
      <c r="B5" s="3" t="s">
        <v>21</v>
      </c>
      <c r="C5" s="3" t="s">
        <v>22</v>
      </c>
      <c r="D5" s="3" t="s">
        <v>23</v>
      </c>
      <c r="F5" s="4" t="str">
        <f>IFERROR(__xludf.DUMMYFUNCTION("GOOGLETRANSLATE(A5, ""en"", ""id"")"),"Apa tujuan utama kereta luncur kayu, atau *kaleles*?")</f>
        <v>Apa tujuan utama kereta luncur kayu, atau *kaleles*?</v>
      </c>
      <c r="G5" s="4" t="str">
        <f>IFERROR(__xludf.DUMMYFUNCTION("GOOGLETRANSLATE(B5, ""en"", ""id"")"),"A) Untuk membawa jerami, B) Berfungsi sebagai garis akhir, C) Untuk tempat joki berdiri, D) Untuk mengendalikan banteng")</f>
        <v>A) Untuk membawa jerami, B) Berfungsi sebagai garis akhir, C) Untuk tempat joki berdiri, D) Untuk mengendalikan banteng</v>
      </c>
      <c r="H5" s="4" t="str">
        <f>IFERROR(__xludf.DUMMYFUNCTION("GOOGLETRANSLATE(C5, ""en"", ""id"")"),"C) Agar joki bisa berdiri")</f>
        <v>C) Agar joki bisa berdiri</v>
      </c>
      <c r="I5" s="4" t="str">
        <f>IFERROR(__xludf.DUMMYFUNCTION("GOOGLETRANSLATE(D5, ""en"", ""id"")"),"Kereta luncur kayu berfungsi sebagai tempat bagi joki untuk berdiri dan menjaga keseimbangan.")</f>
        <v>Kereta luncur kayu berfungsi sebagai tempat bagi joki untuk berdiri dan menjaga keseimbangan.</v>
      </c>
    </row>
    <row r="6">
      <c r="A6" s="3" t="s">
        <v>24</v>
      </c>
      <c r="B6" s="3" t="s">
        <v>25</v>
      </c>
      <c r="C6" s="3" t="s">
        <v>26</v>
      </c>
      <c r="D6" s="3" t="s">
        <v>27</v>
      </c>
      <c r="F6" s="4" t="str">
        <f>IFERROR(__xludf.DUMMYFUNCTION("GOOGLETRANSLATE(A6, ""en"", ""id"")"),"Petugas mana yang memberikan sinyal akhir untuk memulai lomba?")</f>
        <v>Petugas mana yang memberikan sinyal akhir untuk memulai lomba?</v>
      </c>
      <c r="G6" s="4" t="str">
        <f>IFERROR(__xludf.DUMMYFUNCTION("GOOGLETRANSLATE(B6, ""en"", ""id"")"),"A) Tetua setempat, B) Hakim, C) Pendeta, D) Joki")</f>
        <v>A) Tetua setempat, B) Hakim, C) Pendeta, D) Joki</v>
      </c>
      <c r="H6" s="4" t="str">
        <f>IFERROR(__xludf.DUMMYFUNCTION("GOOGLETRANSLATE(C6, ""en"", ""id"")"),"B) Hakim")</f>
        <v>B) Hakim</v>
      </c>
      <c r="I6" s="4" t="str">
        <f>IFERROR(__xludf.DUMMYFUNCTION("GOOGLETRANSLATE(D6, ""en"", ""id"")"),"Juri mengendalikan awal lomba resmi, biasanya dengan menjatuhkan bendera atau spanduk.")</f>
        <v>Juri mengendalikan awal lomba resmi, biasanya dengan menjatuhkan bendera atau spanduk.</v>
      </c>
    </row>
    <row r="7">
      <c r="A7" s="3" t="s">
        <v>28</v>
      </c>
      <c r="B7" s="3" t="s">
        <v>29</v>
      </c>
      <c r="C7" s="3" t="s">
        <v>30</v>
      </c>
      <c r="D7" s="3" t="s">
        <v>31</v>
      </c>
      <c r="F7" s="4" t="str">
        <f>IFERROR(__xludf.DUMMYFUNCTION("GOOGLETRANSLATE(A7, ""en"", ""id"")"),"Berapa jumlah maksimum tim yang diizinkan berada di lintasan pada saat yang bersamaan?")</f>
        <v>Berapa jumlah maksimum tim yang diizinkan berada di lintasan pada saat yang bersamaan?</v>
      </c>
      <c r="G7" s="4" t="str">
        <f>IFERROR(__xludf.DUMMYFUNCTION("GOOGLETRANSLATE(B7, ""en"", ""id"")"),"A) 2, B) 4, C) 6, D) 8")</f>
        <v>A) 2, B) 4, C) 6, D) 8</v>
      </c>
      <c r="H7" s="4" t="str">
        <f>IFERROR(__xludf.DUMMYFUNCTION("GOOGLETRANSLATE(C7, ""en"", ""id"")"),"B) 4")</f>
        <v>B) 4</v>
      </c>
      <c r="I7" s="4" t="str">
        <f>IFERROR(__xludf.DUMMYFUNCTION("GOOGLETRANSLATE(D7, ""en"", ""id"")"),"Sebagian besar babak penyisihan menampilkan 2–4 tim yang berkompetisi secara bersamaan demi keselamatan dan kejelasan.")</f>
        <v>Sebagian besar babak penyisihan menampilkan 2–4 tim yang berkompetisi secara bersamaan demi keselamatan dan kejelasan.</v>
      </c>
    </row>
    <row r="8">
      <c r="A8" s="3" t="s">
        <v>32</v>
      </c>
      <c r="B8" s="3" t="s">
        <v>33</v>
      </c>
      <c r="C8" s="3" t="s">
        <v>34</v>
      </c>
      <c r="D8" s="3" t="s">
        <v>35</v>
      </c>
      <c r="F8" s="4" t="str">
        <f>IFERROR(__xludf.DUMMYFUNCTION("GOOGLETRANSLATE(A8, ""en"", ""id"")"),"Apa yang terjadi jika banteng berhenti berlari di tengah perlombaan?")</f>
        <v>Apa yang terjadi jika banteng berhenti berlari di tengah perlombaan?</v>
      </c>
      <c r="G8" s="4" t="str">
        <f>IFERROR(__xludf.DUMMYFUNCTION("GOOGLETRANSLATE(B8, ""en"", ""id"")"),"A) Diberikan restart, B) Tim didiskualifikasi, C) Juri mendorong banteng, D) Penalti waktu")</f>
        <v>A) Diberikan restart, B) Tim didiskualifikasi, C) Juri mendorong banteng, D) Penalti waktu</v>
      </c>
      <c r="H8" s="4" t="str">
        <f>IFERROR(__xludf.DUMMYFUNCTION("GOOGLETRANSLATE(C8, ""en"", ""id"")"),"B) Tim didiskualifikasi")</f>
        <v>B) Tim didiskualifikasi</v>
      </c>
      <c r="I8" s="4" t="str">
        <f>IFERROR(__xludf.DUMMYFUNCTION("GOOGLETRANSLATE(D8, ""en"", ""id"")"),"Tim harus menyelesaikan lintasan secara terus-menerus untuk lolos; berhenti mengakibatkan DQ.")</f>
        <v>Tim harus menyelesaikan lintasan secara terus-menerus untuk lolos; berhenti mengakibatkan DQ.</v>
      </c>
    </row>
    <row r="9">
      <c r="A9" s="3" t="s">
        <v>36</v>
      </c>
      <c r="B9" s="3" t="s">
        <v>37</v>
      </c>
      <c r="C9" s="3" t="s">
        <v>38</v>
      </c>
      <c r="D9" s="3" t="s">
        <v>39</v>
      </c>
      <c r="F9" s="4" t="str">
        <f>IFERROR(__xludf.DUMMYFUNCTION("GOOGLETRANSLATE(A9, ""en"", ""id"")"),"Apa kewenangan juri jika dua tim berakhir dengan skor imbang?")</f>
        <v>Apa kewenangan juri jika dua tim berakhir dengan skor imbang?</v>
      </c>
      <c r="G9" s="4" t="str">
        <f>IFERROR(__xludf.DUMMYFUNCTION("GOOGLETRANSLATE(B9, ""en"", ""id"")"),"A) Memerintahkan perlombaan ulang, B) Melempar koin, C) Mengumumkan pemenang bersama, D) Meminta orang banyak untuk memilih")</f>
        <v>A) Memerintahkan perlombaan ulang, B) Melempar koin, C) Mengumumkan pemenang bersama, D) Meminta orang banyak untuk memilih</v>
      </c>
      <c r="H9" s="4" t="str">
        <f>IFERROR(__xludf.DUMMYFUNCTION("GOOGLETRANSLATE(C9, ""en"", ""id"")"),"A) Memerintahkan balapan ulang")</f>
        <v>A) Memerintahkan balapan ulang</v>
      </c>
      <c r="I9" s="4" t="str">
        <f>IFERROR(__xludf.DUMMYFUNCTION("GOOGLETRANSLATE(D9, ""en"", ""id"")"),"Hakim dapat meminta pertandingan ulang jika terjadi seri, terutama pada babak sistem gugur.")</f>
        <v>Hakim dapat meminta pertandingan ulang jika terjadi seri, terutama pada babak sistem gugur.</v>
      </c>
    </row>
    <row r="10">
      <c r="A10" s="3" t="s">
        <v>40</v>
      </c>
      <c r="B10" s="3" t="s">
        <v>41</v>
      </c>
      <c r="C10" s="3" t="s">
        <v>42</v>
      </c>
      <c r="D10" s="3" t="s">
        <v>43</v>
      </c>
      <c r="F10" s="4" t="str">
        <f>IFERROR(__xludf.DUMMYFUNCTION("GOOGLETRANSLATE(A10, ""en"", ""id"")"),"Apa saja yang harus diperiksa pada banteng sebelum perlombaan untuk memastikan permainan yang adil?")</f>
        <v>Apa saja yang harus diperiksa pada banteng sebelum perlombaan untuk memastikan permainan yang adil?</v>
      </c>
      <c r="G10" s="4" t="str">
        <f>IFERROR(__xludf.DUMMYFUNCTION("GOOGLETRANSLATE(B10, ""en"", ""id"")"),"A) Stimulan, B) Usia, C) Dekorasi, D) Sepatu")</f>
        <v>A) Stimulan, B) Usia, C) Dekorasi, D) Sepatu</v>
      </c>
      <c r="H10" s="4" t="str">
        <f>IFERROR(__xludf.DUMMYFUNCTION("GOOGLETRANSLATE(C10, ""en"", ""id"")"),"A) Stimulan")</f>
        <v>A) Stimulan</v>
      </c>
      <c r="I10" s="4" t="str">
        <f>IFERROR(__xludf.DUMMYFUNCTION("GOOGLETRANSLATE(D10, ""en"", ""id"")"),"Pemeriksaan dokter hewan sebelum perlombaan memastikan tidak ada doping ilegal atau peningkat performa yang digunakan.")</f>
        <v>Pemeriksaan dokter hewan sebelum perlombaan memastikan tidak ada doping ilegal atau peningkat performa yang digunakan.</v>
      </c>
    </row>
    <row r="11">
      <c r="A11" s="3" t="s">
        <v>44</v>
      </c>
      <c r="B11" s="3" t="s">
        <v>45</v>
      </c>
      <c r="C11" s="3" t="s">
        <v>46</v>
      </c>
      <c r="D11" s="3" t="s">
        <v>47</v>
      </c>
      <c r="F11" s="4" t="str">
        <f>IFERROR(__xludf.DUMMYFUNCTION("GOOGLETRANSLATE(A11, ""en"", ""id"")"),"Berapa panjang standar lintasan kejuaraan?")</f>
        <v>Berapa panjang standar lintasan kejuaraan?</v>
      </c>
      <c r="G11" s="4" t="str">
        <f>IFERROR(__xludf.DUMMYFUNCTION("GOOGLETRANSLATE(B11, ""en"", ""id"")"),"A) 50–100m, B) 100–150m, C) 200–300m, D) 400m")</f>
        <v>A) 50–100m, B) 100–150m, C) 200–300m, D) 400m</v>
      </c>
      <c r="H11" s="4" t="str">
        <f>IFERROR(__xludf.DUMMYFUNCTION("GOOGLETRANSLATE(C11, ""en"", ""id"")"),"B) 100-150m")</f>
        <v>B) 100-150m</v>
      </c>
      <c r="I11" s="4" t="str">
        <f>IFERROR(__xludf.DUMMYFUNCTION("GOOGLETRANSLATE(D11, ""en"", ""id"")"),"Aturan resmi menetapkan panjang lintasan kejuaraan dalam rentang ini untuk konsistensi.")</f>
        <v>Aturan resmi menetapkan panjang lintasan kejuaraan dalam rentang ini untuk konsistensi.</v>
      </c>
    </row>
    <row r="12">
      <c r="A12" s="3" t="s">
        <v>48</v>
      </c>
      <c r="B12" s="3" t="s">
        <v>49</v>
      </c>
      <c r="C12" s="3" t="s">
        <v>50</v>
      </c>
      <c r="D12" s="3" t="s">
        <v>51</v>
      </c>
      <c r="F12" s="4" t="str">
        <f>IFERROR(__xludf.DUMMYFUNCTION("GOOGLETRANSLATE(A12, ""en"", ""id"")"),"Alat apa yang dilarang keras digunakan oleh joki?")</f>
        <v>Alat apa yang dilarang keras digunakan oleh joki?</v>
      </c>
      <c r="G12" s="4" t="str">
        <f>IFERROR(__xludf.DUMMYFUNCTION("GOOGLETRANSLATE(B12, ""en"", ""id"")"),"A) Tongkat, B) Tali, C) Rantai, D) Batu")</f>
        <v>A) Tongkat, B) Tali, C) Rantai, D) Batu</v>
      </c>
      <c r="H12" s="4" t="str">
        <f>IFERROR(__xludf.DUMMYFUNCTION("GOOGLETRANSLATE(C12, ""en"", ""id"")"),"C) Rantai")</f>
        <v>C) Rantai</v>
      </c>
      <c r="I12" s="4" t="str">
        <f>IFERROR(__xludf.DUMMYFUNCTION("GOOGLETRANSLATE(D12, ""en"", ""id"")"),"Rantai dan peralatan berbahaya lainnya yang dapat menyebabkan cedera serius dilarang.")</f>
        <v>Rantai dan peralatan berbahaya lainnya yang dapat menyebabkan cedera serius dilarang.</v>
      </c>
    </row>
    <row r="13">
      <c r="A13" s="3" t="s">
        <v>52</v>
      </c>
      <c r="B13" s="3" t="s">
        <v>53</v>
      </c>
      <c r="C13" s="3" t="s">
        <v>54</v>
      </c>
      <c r="D13" s="3" t="s">
        <v>55</v>
      </c>
      <c r="F13" s="4" t="str">
        <f>IFERROR(__xludf.DUMMYFUNCTION("GOOGLETRANSLATE(A13, ""en"", ""id"")"),"Apa yang terjadi jika seorang asisten secara fisik menyentuh banteng selama perlombaan?")</f>
        <v>Apa yang terjadi jika seorang asisten secara fisik menyentuh banteng selama perlombaan?</v>
      </c>
      <c r="G13" s="4" t="str">
        <f>IFERROR(__xludf.DUMMYFUNCTION("GOOGLETRANSLATE(B13, ""en"", ""id"")"),"A) Diizinkan, B) Peringatan, C) Tim didiskualifikasi, D) Balapan dihentikan sementara")</f>
        <v>A) Diizinkan, B) Peringatan, C) Tim didiskualifikasi, D) Balapan dihentikan sementara</v>
      </c>
      <c r="H13" s="4" t="str">
        <f>IFERROR(__xludf.DUMMYFUNCTION("GOOGLETRANSLATE(C13, ""en"", ""id"")"),"C) Tim didiskualifikasi")</f>
        <v>C) Tim didiskualifikasi</v>
      </c>
      <c r="I13" s="4" t="str">
        <f>IFERROR(__xludf.DUMMYFUNCTION("GOOGLETRANSLATE(D13, ""en"", ""id"")"),"Segala bentuk gangguan fisik dari asisten selama perlombaan berlangsung dapat mengakibatkan diskualifikasi.")</f>
        <v>Segala bentuk gangguan fisik dari asisten selama perlombaan berlangsung dapat mengakibatkan diskualifikasi.</v>
      </c>
    </row>
    <row r="14">
      <c r="A14" s="3" t="s">
        <v>56</v>
      </c>
      <c r="B14" s="3" t="s">
        <v>57</v>
      </c>
      <c r="C14" s="3" t="s">
        <v>58</v>
      </c>
      <c r="D14" s="3" t="s">
        <v>59</v>
      </c>
      <c r="F14" s="4" t="str">
        <f>IFERROR(__xludf.DUMMYFUNCTION("GOOGLETRANSLATE(A14, ""en"", ""id"")"),"Apa saja yang dibutuhkan kuku banteng sebelum berlomba?")</f>
        <v>Apa saja yang dibutuhkan kuku banteng sebelum berlomba?</v>
      </c>
      <c r="G14" s="4" t="str">
        <f>IFERROR(__xludf.DUMMYFUNCTION("GOOGLETRANSLATE(B14, ""en"", ""id"")"),"A) Dipangkas dan dilindungi, B) Dicat, C) Dibungkus kain, D) Dibiarkan tidak dipangkas")</f>
        <v>A) Dipangkas dan dilindungi, B) Dicat, C) Dibungkus kain, D) Dibiarkan tidak dipangkas</v>
      </c>
      <c r="H14" s="4" t="str">
        <f>IFERROR(__xludf.DUMMYFUNCTION("GOOGLETRANSLATE(C14, ""en"", ""id"")"),"A) Dipangkas dan dilindungi")</f>
        <v>A) Dipangkas dan dilindungi</v>
      </c>
      <c r="I14" s="4" t="str">
        <f>IFERROR(__xludf.DUMMYFUNCTION("GOOGLETRANSLATE(D14, ""en"", ""id"")"),"Peraturan mengharuskan perawatan kuku yang tepat, termasuk pemangkasan dan terkadang perlindungan, demi keselamatan.")</f>
        <v>Peraturan mengharuskan perawatan kuku yang tepat, termasuk pemangkasan dan terkadang perlindungan, demi keselamatan.</v>
      </c>
    </row>
    <row r="15">
      <c r="A15" s="3" t="s">
        <v>60</v>
      </c>
      <c r="B15" s="3" t="s">
        <v>61</v>
      </c>
      <c r="C15" s="3" t="s">
        <v>62</v>
      </c>
      <c r="D15" s="3" t="s">
        <v>63</v>
      </c>
      <c r="F15" s="4" t="str">
        <f>IFERROR(__xludf.DUMMYFUNCTION("GOOGLETRANSLATE(A15, ""en"", ""id"")"),"Bagaimana pemasangan lomba dijadwalkan untuk memastikan keadilan?")</f>
        <v>Bagaimana pemasangan lomba dijadwalkan untuk memastikan keadilan?</v>
      </c>
      <c r="G15" s="4" t="str">
        <f>IFERROR(__xludf.DUMMYFUNCTION("GOOGLETRANSLATE(B15, ""en"", ""id"")"),"A) Pengundian acak, B) Berdasarkan usia banteng, C) Berdasarkan warna banteng, D) Berdasarkan kepemilikan")</f>
        <v>A) Pengundian acak, B) Berdasarkan usia banteng, C) Berdasarkan warna banteng, D) Berdasarkan kepemilikan</v>
      </c>
      <c r="H15" s="4" t="str">
        <f>IFERROR(__xludf.DUMMYFUNCTION("GOOGLETRANSLATE(C15, ""en"", ""id"")"),"A) Pengundian acak")</f>
        <v>A) Pengundian acak</v>
      </c>
      <c r="I15" s="4" t="str">
        <f>IFERROR(__xludf.DUMMYFUNCTION("GOOGLETRANSLATE(D15, ""en"", ""id"")"),"Pasangan diacak melalui undian untuk mencegah bias dan memastikan perjodohan yang adil.")</f>
        <v>Pasangan diacak melalui undian untuk mencegah bias dan memastikan perjodohan yang adil.</v>
      </c>
    </row>
    <row r="16">
      <c r="A16" s="3" t="s">
        <v>64</v>
      </c>
      <c r="B16" s="3" t="s">
        <v>65</v>
      </c>
      <c r="C16" s="3" t="s">
        <v>66</v>
      </c>
      <c r="D16" s="3" t="s">
        <v>67</v>
      </c>
      <c r="F16" s="4" t="str">
        <f>IFERROR(__xludf.DUMMYFUNCTION("GOOGLETRANSLATE(A16, ""en"", ""id"")"),"Berapa jumlah cambuk maksimum yang diizinkan per joki?")</f>
        <v>Berapa jumlah cambuk maksimum yang diizinkan per joki?</v>
      </c>
      <c r="G16" s="4" t="str">
        <f>IFERROR(__xludf.DUMMYFUNCTION("GOOGLETRANSLATE(B16, ""en"", ""id"")"),"A) 1, B) 2, C) 3, D) Tak terbatas")</f>
        <v>A) 1, B) 2, C) 3, D) Tak terbatas</v>
      </c>
      <c r="H16" s="4" t="str">
        <f>IFERROR(__xludf.DUMMYFUNCTION("GOOGLETRANSLATE(C16, ""en"", ""id"")"),"A) 1")</f>
        <v>A) 1</v>
      </c>
      <c r="I16" s="4" t="str">
        <f>IFERROR(__xludf.DUMMYFUNCTION("GOOGLETRANSLATE(D16, ""en"", ""id"")"),"Untuk mencegah hukuman cambuk yang berlebihan, setiap joki hanya diperbolehkan membawa satu cambuk.")</f>
        <v>Untuk mencegah hukuman cambuk yang berlebihan, setiap joki hanya diperbolehkan membawa satu cambuk.</v>
      </c>
    </row>
    <row r="17">
      <c r="A17" s="3" t="s">
        <v>68</v>
      </c>
      <c r="B17" s="3" t="s">
        <v>69</v>
      </c>
      <c r="C17" s="3" t="s">
        <v>70</v>
      </c>
      <c r="D17" s="3" t="s">
        <v>71</v>
      </c>
      <c r="F17" s="4" t="str">
        <f>IFERROR(__xludf.DUMMYFUNCTION("GOOGLETRANSLATE(A17, ""en"", ""id"")"),"Marka jalur mana saja yang harus diikuti banteng?")</f>
        <v>Marka jalur mana saja yang harus diikuti banteng?</v>
      </c>
      <c r="G17" s="4" t="str">
        <f>IFERROR(__xludf.DUMMYFUNCTION("GOOGLETRANSLATE(B17, ""en"", ""id"")"),"A) Batas tali, B) Garis yang dicat, C) Rel kayu, D) Karung pasir")</f>
        <v>A) Batas tali, B) Garis yang dicat, C) Rel kayu, D) Karung pasir</v>
      </c>
      <c r="H17" s="4" t="str">
        <f>IFERROR(__xludf.DUMMYFUNCTION("GOOGLETRANSLATE(C17, ""en"", ""id"")"),"B) Garis-garis yang dicat")</f>
        <v>B) Garis-garis yang dicat</v>
      </c>
      <c r="I17" s="4" t="str">
        <f>IFERROR(__xludf.DUMMYFUNCTION("GOOGLETRANSLATE(D17, ""en"", ""id"")"),"Jalur yang dicat membatasi jalur tersebut, dan banteng harus tetap berada di dalamnya.")</f>
        <v>Jalur yang dicat membatasi jalur tersebut, dan banteng harus tetap berada di dalamnya.</v>
      </c>
    </row>
    <row r="18">
      <c r="A18" s="3" t="s">
        <v>72</v>
      </c>
      <c r="B18" s="3" t="s">
        <v>73</v>
      </c>
      <c r="C18" s="3" t="s">
        <v>74</v>
      </c>
      <c r="D18" s="3" t="s">
        <v>75</v>
      </c>
      <c r="F18" s="4" t="str">
        <f>IFERROR(__xludf.DUMMYFUNCTION("GOOGLETRANSLATE(A18, ""en"", ""id"")"),"Berapa banyak juri yang biasanya ditunjuk per perlombaan?")</f>
        <v>Berapa banyak juri yang biasanya ditunjuk per perlombaan?</v>
      </c>
      <c r="G18" s="4" t="str">
        <f>IFERROR(__xludf.DUMMYFUNCTION("GOOGLETRANSLATE(B18, ""en"", ""id"")"),"A) 1, B) 2, C) 3, D) 5")</f>
        <v>A) 1, B) 2, C) 3, D) 5</v>
      </c>
      <c r="H18" s="4" t="str">
        <f>IFERROR(__xludf.DUMMYFUNCTION("GOOGLETRANSLATE(C18, ""en"", ""id"")"),"C) 3")</f>
        <v>C) 3</v>
      </c>
      <c r="I18" s="4" t="str">
        <f>IFERROR(__xludf.DUMMYFUNCTION("GOOGLETRANSLATE(D18, ""en"", ""id"")"),"Panel yang terdiri dari tiga hakim lazim dibentuk untuk memastikan pengambilan keputusan yang berimbang dan adil.")</f>
        <v>Panel yang terdiri dari tiga hakim lazim dibentuk untuk memastikan pengambilan keputusan yang berimbang dan adil.</v>
      </c>
    </row>
    <row r="19">
      <c r="A19" s="3" t="s">
        <v>76</v>
      </c>
      <c r="B19" s="3" t="s">
        <v>77</v>
      </c>
      <c r="C19" s="3" t="s">
        <v>78</v>
      </c>
      <c r="D19" s="3" t="s">
        <v>79</v>
      </c>
      <c r="F19" s="4" t="str">
        <f>IFERROR(__xludf.DUMMYFUNCTION("GOOGLETRANSLATE(A19, ""en"", ""id"")"),"Perlengkapan pelindung apa yang semakin dibutuhkan bagi joki?")</f>
        <v>Perlengkapan pelindung apa yang semakin dibutuhkan bagi joki?</v>
      </c>
      <c r="G19" s="4" t="str">
        <f>IFERROR(__xludf.DUMMYFUNCTION("GOOGLETRANSLATE(B19, ""en"", ""id"")"),"A) Helm, B) Sepatu, C) Sarung tangan, D) Hanya pakaian adat")</f>
        <v>A) Helm, B) Sepatu, C) Sarung tangan, D) Hanya pakaian adat</v>
      </c>
      <c r="H19" s="4" t="str">
        <f>IFERROR(__xludf.DUMMYFUNCTION("GOOGLETRANSLATE(C19, ""en"", ""id"")"),"A) Helm")</f>
        <v>A) Helm</v>
      </c>
      <c r="I19" s="4" t="str">
        <f>IFERROR(__xludf.DUMMYFUNCTION("GOOGLETRANSLATE(D19, ""en"", ""id"")"),"Peraturan keselamatan modern semakin mengharuskan joki mengenakan helm untuk mencegah cedera kepala.")</f>
        <v>Peraturan keselamatan modern semakin mengharuskan joki mengenakan helm untuk mencegah cedera kepala.</v>
      </c>
    </row>
    <row r="20">
      <c r="A20" s="3" t="s">
        <v>80</v>
      </c>
      <c r="B20" s="3" t="s">
        <v>81</v>
      </c>
      <c r="C20" s="3" t="s">
        <v>82</v>
      </c>
      <c r="D20" s="3" t="s">
        <v>83</v>
      </c>
      <c r="F20" s="4" t="str">
        <f>IFERROR(__xludf.DUMMYFUNCTION("GOOGLETRANSLATE(A20, ""en"", ""id"")"),"Apa tindakan segera jika banteng bertabrakan saat perlombaan?")</f>
        <v>Apa tindakan segera jika banteng bertabrakan saat perlombaan?</v>
      </c>
      <c r="G20" s="4" t="str">
        <f>IFERROR(__xludf.DUMMYFUNCTION("GOOGLETRANSLATE(B20, ""en"", ""id"")"),"A) Balapan berlanjut, B) Balapan dihentikan, C) Kedua tim didiskualifikasi, D) Hanya tim yang bersalah yang dihukum")</f>
        <v>A) Balapan berlanjut, B) Balapan dihentikan, C) Kedua tim didiskualifikasi, D) Hanya tim yang bersalah yang dihukum</v>
      </c>
      <c r="H20" s="4" t="str">
        <f>IFERROR(__xludf.DUMMYFUNCTION("GOOGLETRANSLATE(C20, ""en"", ""id"")"),"B) Balapan dihentikan")</f>
        <v>B) Balapan dihentikan</v>
      </c>
      <c r="I20" s="4" t="str">
        <f>IFERROR(__xludf.DUMMYFUNCTION("GOOGLETRANSLATE(D20, ""en"", ""id"")"),"Tabrakan menghentikan perlombaan dengan segera untuk memastikan keselamatan hewan dan joki.")</f>
        <v>Tabrakan menghentikan perlombaan dengan segera untuk memastikan keselamatan hewan dan joki.</v>
      </c>
    </row>
    <row r="21">
      <c r="A21" s="3" t="s">
        <v>84</v>
      </c>
      <c r="B21" s="3" t="s">
        <v>85</v>
      </c>
      <c r="C21" s="3" t="s">
        <v>86</v>
      </c>
      <c r="D21" s="3" t="s">
        <v>87</v>
      </c>
      <c r="F21" s="4" t="str">
        <f>IFERROR(__xludf.DUMMYFUNCTION("GOOGLETRANSLATE(A21, ""en"", ""id"")"),"Bagian tubuh banteng manakah yang tidak bisa dipukul dengan cambuk?")</f>
        <v>Bagian tubuh banteng manakah yang tidak bisa dipukul dengan cambuk?</v>
      </c>
      <c r="G21" s="4" t="str">
        <f>IFERROR(__xludf.DUMMYFUNCTION("GOOGLETRANSLATE(B21, ""en"", ""id"")"),"A) Kepala, B) Punggung, C) Ekor, D) Kaki")</f>
        <v>A) Kepala, B) Punggung, C) Ekor, D) Kaki</v>
      </c>
      <c r="H21" s="4" t="str">
        <f>IFERROR(__xludf.DUMMYFUNCTION("GOOGLETRANSLATE(C21, ""en"", ""id"")"),"Di depan")</f>
        <v>Di depan</v>
      </c>
      <c r="I21" s="4" t="str">
        <f>IFERROR(__xludf.DUMMYFUNCTION("GOOGLETRANSLATE(D21, ""en"", ""id"")"),"Peraturan secara tegas melarang memukul kepala banteng untuk melindungi mereka dari cedera dan kepanikan.")</f>
        <v>Peraturan secara tegas melarang memukul kepala banteng untuk melindungi mereka dari cedera dan kepanikan.</v>
      </c>
    </row>
    <row r="22">
      <c r="A22" s="3" t="s">
        <v>88</v>
      </c>
      <c r="B22" s="3" t="s">
        <v>89</v>
      </c>
      <c r="C22" s="3" t="s">
        <v>90</v>
      </c>
      <c r="D22" s="3" t="s">
        <v>91</v>
      </c>
      <c r="F22" s="4" t="str">
        <f>IFERROR(__xludf.DUMMYFUNCTION("GOOGLETRANSLATE(A22, ""en"", ""id"")"),"Apa yang menentukan tim mana yang mendapat jalur dalam yang menguntungkan?")</f>
        <v>Apa yang menentukan tim mana yang mendapat jalur dalam yang menguntungkan?</v>
      </c>
      <c r="G22" s="4" t="str">
        <f>IFERROR(__xludf.DUMMYFUNCTION("GOOGLETRANSLATE(B22, ""en"", ""id"")"),"A) Status pemilik, B) Lotere, C) Kemenangan sebelumnya, D) Berat")</f>
        <v>A) Status pemilik, B) Lotere, C) Kemenangan sebelumnya, D) Berat</v>
      </c>
      <c r="H22" s="4" t="str">
        <f>IFERROR(__xludf.DUMMYFUNCTION("GOOGLETRANSLATE(C22, ""en"", ""id"")"),"B) Lotere")</f>
        <v>B) Lotere</v>
      </c>
      <c r="I22" s="4" t="str">
        <f>IFERROR(__xludf.DUMMYFUNCTION("GOOGLETRANSLATE(D22, ""en"", ""id"")"),"Untuk memastikan keadilan, urutan jalur ditentukan melalui undian acak atau lotere.")</f>
        <v>Untuk memastikan keadilan, urutan jalur ditentukan melalui undian acak atau lotere.</v>
      </c>
    </row>
    <row r="23">
      <c r="A23" s="3" t="s">
        <v>92</v>
      </c>
      <c r="B23" s="3" t="s">
        <v>93</v>
      </c>
      <c r="C23" s="3" t="s">
        <v>94</v>
      </c>
      <c r="D23" s="3" t="s">
        <v>95</v>
      </c>
      <c r="F23" s="4" t="str">
        <f>IFERROR(__xludf.DUMMYFUNCTION("GOOGLETRANSLATE(A23, ""en"", ""id"")"),"Berapa usia minimum seorang joki untuk berkompetisi di acara resmi?")</f>
        <v>Berapa usia minimum seorang joki untuk berkompetisi di acara resmi?</v>
      </c>
      <c r="G23" s="4" t="str">
        <f>IFERROR(__xludf.DUMMYFUNCTION("GOOGLETRANSLATE(B23, ""en"", ""id"")"),"A) 10, B) 12, C) 14, D) 16")</f>
        <v>A) 10, B) 12, C) 14, D) 16</v>
      </c>
      <c r="H23" s="4" t="str">
        <f>IFERROR(__xludf.DUMMYFUNCTION("GOOGLETRANSLATE(C23, ""en"", ""id"")"),"D. 16")</f>
        <v>D. 16</v>
      </c>
      <c r="I23" s="4" t="str">
        <f>IFERROR(__xludf.DUMMYFUNCTION("GOOGLETRANSLATE(D23, ""en"", ""id"")"),"Aturan resmi menetapkan usia minimum 16 tahun demi keselamatan dan kedewasaan.")</f>
        <v>Aturan resmi menetapkan usia minimum 16 tahun demi keselamatan dan kedewasaan.</v>
      </c>
    </row>
    <row r="24">
      <c r="A24" s="3" t="s">
        <v>96</v>
      </c>
      <c r="B24" s="3" t="s">
        <v>97</v>
      </c>
      <c r="C24" s="3" t="s">
        <v>98</v>
      </c>
      <c r="D24" s="3" t="s">
        <v>99</v>
      </c>
      <c r="F24" s="4" t="str">
        <f>IFERROR(__xludf.DUMMYFUNCTION("GOOGLETRANSLATE(A24, ""en"", ""id"")"),"Berapa lama setelah pertandingan berakhir, protes dapat diajukan?")</f>
        <v>Berapa lama setelah pertandingan berakhir, protes dapat diajukan?</v>
      </c>
      <c r="G24" s="4" t="str">
        <f>IFERROR(__xludf.DUMMYFUNCTION("GOOGLETRANSLATE(B24, ""en"", ""id"")"),"A) Segera, B) Dalam waktu 1 jam, C) Hari yang sama, D) Hari berikutnya")</f>
        <v>A) Segera, B) Dalam waktu 1 jam, C) Hari yang sama, D) Hari berikutnya</v>
      </c>
      <c r="H24" s="4" t="str">
        <f>IFERROR(__xludf.DUMMYFUNCTION("GOOGLETRANSLATE(C24, ""en"", ""id"")"),"B) Dalam waktu 1 jam")</f>
        <v>B) Dalam waktu 1 jam</v>
      </c>
      <c r="I24" s="4" t="str">
        <f>IFERROR(__xludf.DUMMYFUNCTION("GOOGLETRANSLATE(D24, ""en"", ""id"")"),"Jendela yang ketat untuk mengajukan sengketa memastikan jadwal kompetisi tidak tertunda.")</f>
        <v>Jendela yang ketat untuk mengajukan sengketa memastikan jadwal kompetisi tidak tertunda.</v>
      </c>
    </row>
    <row r="25">
      <c r="A25" s="3" t="s">
        <v>100</v>
      </c>
      <c r="B25" s="3" t="s">
        <v>101</v>
      </c>
      <c r="C25" s="3" t="s">
        <v>102</v>
      </c>
      <c r="D25" s="3" t="s">
        <v>103</v>
      </c>
      <c r="F25" s="4" t="str">
        <f>IFERROR(__xludf.DUMMYFUNCTION("GOOGLETRANSLATE(A25, ""en"", ""id"")"),"Dokumentasi apa yang harus disediakan pemilik saat pendaftaran?")</f>
        <v>Dokumentasi apa yang harus disediakan pemilik saat pendaftaran?</v>
      </c>
      <c r="G25" s="4" t="str">
        <f>IFERROR(__xludf.DUMMYFUNCTION("GOOGLETRANSLATE(B25, ""en"", ""id"")"),"A) Dokumen kesehatan banteng, B) Surat sponsor, C) Silsilah banteng, D) Nama keluarga")</f>
        <v>A) Dokumen kesehatan banteng, B) Surat sponsor, C) Silsilah banteng, D) Nama keluarga</v>
      </c>
      <c r="H25" s="4" t="str">
        <f>IFERROR(__xludf.DUMMYFUNCTION("GOOGLETRANSLATE(C25, ""en"", ""id"")"),"A) Dokumen kesehatan banteng")</f>
        <v>A) Dokumen kesehatan banteng</v>
      </c>
      <c r="I25" s="4" t="str">
        <f>IFERROR(__xludf.DUMMYFUNCTION("GOOGLETRANSLATE(D25, ""en"", ""id"")"),"Pemeriksaan kesehatan hewan dan dokumen-dokumen wajib dimiliki seekor banteng agar dapat didaftarkan untuk suatu perlombaan.")</f>
        <v>Pemeriksaan kesehatan hewan dan dokumen-dokumen wajib dimiliki seekor banteng agar dapat didaftarkan untuk suatu perlombaan.</v>
      </c>
    </row>
    <row r="26">
      <c r="A26" s="3" t="s">
        <v>104</v>
      </c>
      <c r="B26" s="3" t="s">
        <v>105</v>
      </c>
      <c r="C26" s="3" t="s">
        <v>106</v>
      </c>
      <c r="D26" s="3" t="s">
        <v>107</v>
      </c>
      <c r="F26" s="4" t="str">
        <f>IFERROR(__xludf.DUMMYFUNCTION("GOOGLETRANSLATE(A26, ""en"", ""id"")"),"Apa yang terjadi jika seekor banteng menunjukkan tanda-tanda pincang sebelum perlombaan?")</f>
        <v>Apa yang terjadi jika seekor banteng menunjukkan tanda-tanda pincang sebelum perlombaan?</v>
      </c>
      <c r="G26" s="4" t="str">
        <f>IFERROR(__xludf.DUMMYFUNCTION("GOOGLETRANSLATE(B26, ""en"", ""id"")"),"A) Diperbolehkan, B) Ditarik, C) Diadili secara terpisah, D) Hukuman waktu")</f>
        <v>A) Diperbolehkan, B) Ditarik, C) Diadili secara terpisah, D) Hukuman waktu</v>
      </c>
      <c r="H26" s="4" t="str">
        <f>IFERROR(__xludf.DUMMYFUNCTION("GOOGLETRANSLATE(C26, ""en"", ""id"")"),"B) Ditarik")</f>
        <v>B) Ditarik</v>
      </c>
      <c r="I26" s="4" t="str">
        <f>IFERROR(__xludf.DUMMYFUNCTION("GOOGLETRANSLATE(D26, ""en"", ""id"")"),"Sapi jantan yang pincang atau terluka tidak diperbolehkan ikut bertanding karena alasan kesejahteraan dan keselamatan hewan.")</f>
        <v>Sapi jantan yang pincang atau terluka tidak diperbolehkan ikut bertanding karena alasan kesejahteraan dan keselamatan hewan.</v>
      </c>
    </row>
    <row r="27">
      <c r="A27" s="3" t="s">
        <v>108</v>
      </c>
      <c r="B27" s="3" t="s">
        <v>109</v>
      </c>
      <c r="C27" s="3" t="s">
        <v>110</v>
      </c>
      <c r="D27" s="3" t="s">
        <v>111</v>
      </c>
      <c r="F27" s="4" t="str">
        <f>IFERROR(__xludf.DUMMYFUNCTION("GOOGLETRANSLATE(A27, ""en"", ""id"")"),"Perilaku asisten yang manakah yang menyebabkan diskualifikasi?")</f>
        <v>Perilaku asisten yang manakah yang menyebabkan diskualifikasi?</v>
      </c>
      <c r="G27" s="4" t="str">
        <f>IFERROR(__xludf.DUMMYFUNCTION("GOOGLETRANSLATE(B27, ""en"", ""id"")"),"A) Berteriak, B) Berlari di depan bantengnya, C) Melambaikan tangan, D) Mengenakan pakaian cerah")</f>
        <v>A) Berteriak, B) Berlari di depan bantengnya, C) Melambaikan tangan, D) Mengenakan pakaian cerah</v>
      </c>
      <c r="H27" s="4" t="str">
        <f>IFERROR(__xludf.DUMMYFUNCTION("GOOGLETRANSLATE(C27, ""en"", ""id"")"),"B) Berlari di depan banteng")</f>
        <v>B) Berlari di depan banteng</v>
      </c>
      <c r="I27" s="4" t="str">
        <f>IFERROR(__xludf.DUMMYFUNCTION("GOOGLETRANSLATE(D27, ""en"", ""id"")"),"Asisten tidak diperbolehkan memimpin atau menjaga kecepatan banteng, karena hal tersebut merupakan bentuk gangguan.")</f>
        <v>Asisten tidak diperbolehkan memimpin atau menjaga kecepatan banteng, karena hal tersebut merupakan bentuk gangguan.</v>
      </c>
    </row>
    <row r="28">
      <c r="A28" s="3" t="s">
        <v>112</v>
      </c>
      <c r="B28" s="3" t="s">
        <v>113</v>
      </c>
      <c r="C28" s="3" t="s">
        <v>114</v>
      </c>
      <c r="D28" s="3" t="s">
        <v>115</v>
      </c>
      <c r="F28" s="4" t="str">
        <f>IFERROR(__xludf.DUMMYFUNCTION("GOOGLETRANSLATE(A28, ""en"", ""id"")"),"Apa yang digunakan untuk menandai berakhirnya perlombaan secara resmi?")</f>
        <v>Apa yang digunakan untuk menandai berakhirnya perlombaan secara resmi?</v>
      </c>
      <c r="G28" s="4" t="str">
        <f>IFERROR(__xludf.DUMMYFUNCTION("GOOGLETRANSLATE(B28, ""en"", ""id"")"),"A) Peluit, B) Lambaian bendera, C) Ketukan drum, D) Gong")</f>
        <v>A) Peluit, B) Lambaian bendera, C) Ketukan drum, D) Gong</v>
      </c>
      <c r="H28" s="4" t="str">
        <f>IFERROR(__xludf.DUMMYFUNCTION("GOOGLETRANSLATE(C28, ""en"", ""id"")"),"B) Gelombang bendera")</f>
        <v>B) Gelombang bendera</v>
      </c>
      <c r="I28" s="4" t="str">
        <f>IFERROR(__xludf.DUMMYFUNCTION("GOOGLETRANSLATE(D28, ""en"", ""id"")"),"Bendera dikibarkan atau dijatuhkan di garis akhir untuk menandai berakhirnya babak resmi.")</f>
        <v>Bendera dikibarkan atau dijatuhkan di garis akhir untuk menandai berakhirnya babak resmi.</v>
      </c>
    </row>
    <row r="29">
      <c r="A29" s="3" t="s">
        <v>116</v>
      </c>
      <c r="B29" s="3" t="s">
        <v>117</v>
      </c>
      <c r="C29" s="3" t="s">
        <v>118</v>
      </c>
      <c r="D29" s="3" t="s">
        <v>119</v>
      </c>
      <c r="F29" s="4" t="str">
        <f>IFERROR(__xludf.DUMMYFUNCTION("GOOGLETRANSLATE(A29, ""en"", ""id"")"),"Bagaimana panjang lintasan diverifikasi sebelum kejuaraan?")</f>
        <v>Bagaimana panjang lintasan diverifikasi sebelum kejuaraan?</v>
      </c>
      <c r="G29" s="4" t="str">
        <f>IFERROR(__xludf.DUMMYFUNCTION("GOOGLETRANSLATE(B29, ""en"", ""id"")"),"A) Hakim mengukur, B) Petani memperkirakan, C) Tetua memutuskan, D) Dengan menghitung langkah")</f>
        <v>A) Hakim mengukur, B) Petani memperkirakan, C) Tetua memutuskan, D) Dengan menghitung langkah</v>
      </c>
      <c r="H29" s="4" t="str">
        <f>IFERROR(__xludf.DUMMYFUNCTION("GOOGLETRANSLATE(C29, ""en"", ""id"")"),"A) Hakim mengukur")</f>
        <v>A) Hakim mengukur</v>
      </c>
      <c r="I29" s="4" t="str">
        <f>IFERROR(__xludf.DUMMYFUNCTION("GOOGLETRANSLATE(D29, ""en"", ""id"")"),"Juri secara resmi mengukur dan mensertifikasi panjang lintasan sebelum kompetisi dimulai.")</f>
        <v>Juri secara resmi mengukur dan mensertifikasi panjang lintasan sebelum kompetisi dimulai.</v>
      </c>
    </row>
    <row r="30">
      <c r="A30" s="3" t="s">
        <v>120</v>
      </c>
      <c r="B30" s="3" t="s">
        <v>121</v>
      </c>
      <c r="C30" s="3" t="s">
        <v>122</v>
      </c>
      <c r="D30" s="3" t="s">
        <v>123</v>
      </c>
      <c r="F30" s="4" t="str">
        <f>IFERROR(__xludf.DUMMYFUNCTION("GOOGLETRANSLATE(A30, ""en"", ""id"")"),"Apa yang harus dihindari oleh tim segera setelah melewati garis finis?")</f>
        <v>Apa yang harus dihindari oleh tim segera setelah melewati garis finis?</v>
      </c>
      <c r="G30" s="4" t="str">
        <f>IFERROR(__xludf.DUMMYFUNCTION("GOOGLETRANSLATE(B30, ""en"", ""id"")"),"A) Menghentikan banteng secara tiba-tiba, B) Merayakan, C) Berbicara kepada juri, D) Melepas dekorasi")</f>
        <v>A) Menghentikan banteng secara tiba-tiba, B) Merayakan, C) Berbicara kepada juri, D) Melepas dekorasi</v>
      </c>
      <c r="H30" s="4" t="str">
        <f>IFERROR(__xludf.DUMMYFUNCTION("GOOGLETRANSLATE(C30, ""en"", ""id"")"),"A) Menghentikan banteng secara tiba-tiba")</f>
        <v>A) Menghentikan banteng secara tiba-tiba</v>
      </c>
      <c r="I30" s="4" t="str">
        <f>IFERROR(__xludf.DUMMYFUNCTION("GOOGLETRANSLATE(D30, ""en"", ""id"")"),"Berhenti mendadak dapat mengakibatkan cedera pada banteng dan joki; diperlukan pendinginan.")</f>
        <v>Berhenti mendadak dapat mengakibatkan cedera pada banteng dan joki; diperlukan pendinginan.</v>
      </c>
    </row>
    <row r="31">
      <c r="A31" s="3" t="s">
        <v>124</v>
      </c>
      <c r="B31" s="3" t="s">
        <v>125</v>
      </c>
      <c r="C31" s="3" t="s">
        <v>126</v>
      </c>
      <c r="D31" s="3" t="s">
        <v>127</v>
      </c>
      <c r="F31" s="4" t="str">
        <f>IFERROR(__xludf.DUMMYFUNCTION("GOOGLETRANSLATE(A31, ""en"", ""id"")"),"Apa aturan utama mengenai penonton?")</f>
        <v>Apa aturan utama mengenai penonton?</v>
      </c>
      <c r="G31" s="4" t="str">
        <f>IFERROR(__xludf.DUMMYFUNCTION("GOOGLETRANSLATE(B31, ""en"", ""id"")"),"A) Diperbolehkan bersorak, B) Harus tetap berada di luar lintasan, C) Boleh melambaikan kain, D) Diperbolehkan menyentuh banteng")</f>
        <v>A) Diperbolehkan bersorak, B) Harus tetap berada di luar lintasan, C) Boleh melambaikan kain, D) Diperbolehkan menyentuh banteng</v>
      </c>
      <c r="H31" s="4" t="str">
        <f>IFERROR(__xludf.DUMMYFUNCTION("GOOGLETRANSLATE(C31, ""en"", ""id"")"),"B) Harus tetap keluar jalur")</f>
        <v>B) Harus tetap keluar jalur</v>
      </c>
      <c r="I31" s="4" t="str">
        <f>IFERROR(__xludf.DUMMYFUNCTION("GOOGLETRANSLATE(D31, ""en"", ""id"")"),"Demi keselamatan, penonton dilarang keras memasuki area lintasan aktif.")</f>
        <v>Demi keselamatan, penonton dilarang keras memasuki area lintasan aktif.</v>
      </c>
    </row>
    <row r="32">
      <c r="A32" s="3" t="s">
        <v>128</v>
      </c>
      <c r="B32" s="3" t="s">
        <v>129</v>
      </c>
      <c r="C32" s="3" t="s">
        <v>130</v>
      </c>
      <c r="D32" s="3" t="s">
        <v>131</v>
      </c>
      <c r="F32" s="4" t="str">
        <f>IFERROR(__xludf.DUMMYFUNCTION("GOOGLETRANSLATE(A32, ""en"", ""id"")"),"Alas kaki jenis apa yang harus dikenakan asisten di lintasan?")</f>
        <v>Alas kaki jenis apa yang harus dikenakan asisten di lintasan?</v>
      </c>
      <c r="G32" s="4" t="str">
        <f>IFERROR(__xludf.DUMMYFUNCTION("GOOGLETRANSLATE(B32, ""en"", ""id"")"),"A) Sandal, B) Bertelanjang kaki, C) Sepatu, D) Tidak ada aturan")</f>
        <v>A) Sandal, B) Bertelanjang kaki, C) Sepatu, D) Tidak ada aturan</v>
      </c>
      <c r="H32" s="4" t="str">
        <f>IFERROR(__xludf.DUMMYFUNCTION("GOOGLETRANSLATE(C32, ""en"", ""id"")"),"C) Sepatu")</f>
        <v>C) Sepatu</v>
      </c>
      <c r="I32" s="4" t="str">
        <f>IFERROR(__xludf.DUMMYFUNCTION("GOOGLETRANSLATE(D32, ""en"", ""id"")"),"Demi keselamatan, peraturan mengharuskan asisten yang memasuki area lintasan untuk mengenakan sepatu tertutup.")</f>
        <v>Demi keselamatan, peraturan mengharuskan asisten yang memasuki area lintasan untuk mengenakan sepatu tertutup.</v>
      </c>
    </row>
    <row r="33">
      <c r="A33" s="3" t="s">
        <v>132</v>
      </c>
      <c r="B33" s="3" t="s">
        <v>133</v>
      </c>
      <c r="C33" s="3" t="s">
        <v>134</v>
      </c>
      <c r="D33" s="3" t="s">
        <v>135</v>
      </c>
      <c r="F33" s="4" t="str">
        <f>IFERROR(__xludf.DUMMYFUNCTION("GOOGLETRANSLATE(A33, ""en"", ""id"")"),"Dalam perlombaan yang ketat, teknologi apa yang digunakan untuk menentukan pemenang?")</f>
        <v>Dalam perlombaan yang ketat, teknologi apa yang digunakan untuk menentukan pemenang?</v>
      </c>
      <c r="G33" s="4" t="str">
        <f>IFERROR(__xludf.DUMMYFUNCTION("GOOGLETRANSLATE(B33, ""en"", ""id"")"),"A) Hanya untuk mata juri, B) Stopwatch, C) Foto finish, D) Pendapat penonton")</f>
        <v>A) Hanya untuk mata juri, B) Stopwatch, C) Foto finish, D) Pendapat penonton</v>
      </c>
      <c r="H33" s="4" t="str">
        <f>IFERROR(__xludf.DUMMYFUNCTION("GOOGLETRANSLATE(C33, ""en"", ""id"")"),"C) Foto selesai")</f>
        <v>C) Foto selesai</v>
      </c>
      <c r="I33" s="4" t="str">
        <f>IFERROR(__xludf.DUMMYFUNCTION("GOOGLETRANSLATE(D33, ""en"", ""id"")"),"Balapan kejuaraan modern sering kali menggunakan kamera foto-finis untuk akurasi dalam situasi nyaris celaka.")</f>
        <v>Balapan kejuaraan modern sering kali menggunakan kamera foto-finis untuk akurasi dalam situasi nyaris celaka.</v>
      </c>
    </row>
    <row r="34">
      <c r="A34" s="3" t="s">
        <v>136</v>
      </c>
      <c r="B34" s="3" t="s">
        <v>137</v>
      </c>
      <c r="C34" s="3" t="s">
        <v>138</v>
      </c>
      <c r="D34" s="3" t="s">
        <v>139</v>
      </c>
      <c r="F34" s="4" t="str">
        <f>IFERROR(__xludf.DUMMYFUNCTION("GOOGLETRANSLATE(A34, ""en"", ""id"")"),"Apa yang terjadi jika kedua tim dalam pertandingan melanggar peraturan secara bersamaan?")</f>
        <v>Apa yang terjadi jika kedua tim dalam pertandingan melanggar peraturan secara bersamaan?</v>
      </c>
      <c r="G34" s="4" t="str">
        <f>IFERROR(__xludf.DUMMYFUNCTION("GOOGLETRANSLATE(B34, ""en"", ""id"")"),"A) Keduanya diperingatkan, B) Keduanya didiskualifikasi, C) Balapan ulang, D) Hakim memutuskan")</f>
        <v>A) Keduanya diperingatkan, B) Keduanya didiskualifikasi, C) Balapan ulang, D) Hakim memutuskan</v>
      </c>
      <c r="H34" s="4" t="str">
        <f>IFERROR(__xludf.DUMMYFUNCTION("GOOGLETRANSLATE(C34, ""en"", ""id"")"),"B) Keduanya didiskualifikasi")</f>
        <v>B) Keduanya didiskualifikasi</v>
      </c>
      <c r="I34" s="4" t="str">
        <f>IFERROR(__xludf.DUMMYFUNCTION("GOOGLETRANSLATE(D34, ""en"", ""id"")"),"Jika kedua tim melakukan pelanggaran yang mengakibatkan diskualifikasi (misalnya menyeberang jalur), keduanya didiskualifikasi.")</f>
        <v>Jika kedua tim melakukan pelanggaran yang mengakibatkan diskualifikasi (misalnya menyeberang jalur), keduanya didiskualifikasi.</v>
      </c>
    </row>
    <row r="35">
      <c r="A35" s="3" t="s">
        <v>140</v>
      </c>
      <c r="B35" s="3" t="s">
        <v>65</v>
      </c>
      <c r="C35" s="3" t="s">
        <v>66</v>
      </c>
      <c r="D35" s="3" t="s">
        <v>141</v>
      </c>
      <c r="F35" s="4" t="str">
        <f>IFERROR(__xludf.DUMMYFUNCTION("GOOGLETRANSLATE(A35, ""en"", ""id"")"),"Berapa batasan jumlah asisten lintasan per tim?")</f>
        <v>Berapa batasan jumlah asisten lintasan per tim?</v>
      </c>
      <c r="G35" s="4" t="str">
        <f>IFERROR(__xludf.DUMMYFUNCTION("GOOGLETRANSLATE(B35, ""en"", ""id"")"),"A) 1, B) 2, C) 3, D) Tak terbatas")</f>
        <v>A) 1, B) 2, C) 3, D) Tak terbatas</v>
      </c>
      <c r="H35" s="4" t="str">
        <f>IFERROR(__xludf.DUMMYFUNCTION("GOOGLETRANSLATE(C35, ""en"", ""id"")"),"A) 1")</f>
        <v>A) 1</v>
      </c>
      <c r="I35" s="4" t="str">
        <f>IFERROR(__xludf.DUMMYFUNCTION("GOOGLETRANSLATE(D35, ""en"", ""id"")"),"Setiap tim biasanya hanya diperbolehkan memiliki satu asisten di lintasan selama babak penyisihan.")</f>
        <v>Setiap tim biasanya hanya diperbolehkan memiliki satu asisten di lintasan selama babak penyisihan.</v>
      </c>
    </row>
    <row r="36">
      <c r="A36" s="3" t="s">
        <v>142</v>
      </c>
      <c r="B36" s="3" t="s">
        <v>143</v>
      </c>
      <c r="C36" s="3" t="s">
        <v>144</v>
      </c>
      <c r="D36" s="3" t="s">
        <v>145</v>
      </c>
      <c r="F36" s="4" t="str">
        <f>IFERROR(__xludf.DUMMYFUNCTION("GOOGLETRANSLATE(A36, ""en"", ""id"")"),"Jalur mana yang diperuntukkan bagi tim juara unggulan?")</f>
        <v>Jalur mana yang diperuntukkan bagi tim juara unggulan?</v>
      </c>
      <c r="G36" s="4" t="str">
        <f>IFERROR(__xludf.DUMMYFUNCTION("GOOGLETRANSLATE(B36, ""en"", ""id"")"),"A) Pertama, B) Kedua, C) Tidak ada, D) Terakhir")</f>
        <v>A) Pertama, B) Kedua, C) Tidak ada, D) Terakhir</v>
      </c>
      <c r="H36" s="4" t="str">
        <f>IFERROR(__xludf.DUMMYFUNCTION("GOOGLETRANSLATE(C36, ""en"", ""id"")"),"C) Tidak ada")</f>
        <v>C) Tidak ada</v>
      </c>
      <c r="I36" s="4" t="str">
        <f>IFERROR(__xludf.DUMMYFUNCTION("GOOGLETRANSLATE(D36, ""en"", ""id"")"),"Berdasarkan aturan, juara tidak memiliki preferensi jalur otomatis dan tunduk pada sistem lotere yang sama.")</f>
        <v>Berdasarkan aturan, juara tidak memiliki preferensi jalur otomatis dan tunduk pada sistem lotere yang sama.</v>
      </c>
    </row>
    <row r="37">
      <c r="A37" s="3" t="s">
        <v>146</v>
      </c>
      <c r="B37" s="3" t="s">
        <v>147</v>
      </c>
      <c r="C37" s="3" t="s">
        <v>148</v>
      </c>
      <c r="D37" s="3" t="s">
        <v>149</v>
      </c>
      <c r="F37" s="4" t="str">
        <f>IFERROR(__xludf.DUMMYFUNCTION("GOOGLETRANSLATE(A37, ""en"", ""id"")"),"Berapa jarak resmi yang harus ditempuh banteng agar dapat dinilai?")</f>
        <v>Berapa jarak resmi yang harus ditempuh banteng agar dapat dinilai?</v>
      </c>
      <c r="G37" s="4" t="str">
        <f>IFERROR(__xludf.DUMMYFUNCTION("GOOGLETRANSLATE(B37, ""en"", ""id"")"),"A) 50m, B) 100m, C) Seluruh lintasan, D) Setengah lintasan")</f>
        <v>A) 50m, B) 100m, C) Seluruh lintasan, D) Setengah lintasan</v>
      </c>
      <c r="H37" s="4" t="str">
        <f>IFERROR(__xludf.DUMMYFUNCTION("GOOGLETRANSLATE(C37, ""en"", ""id"")"),"C) Seluruh lintasan")</f>
        <v>C) Seluruh lintasan</v>
      </c>
      <c r="I37" s="4" t="str">
        <f>IFERROR(__xludf.DUMMYFUNCTION("GOOGLETRANSLATE(D37, ""en"", ""id"")"),"Performa tim hanya dinilai jika mereka menyelesaikan keseluruhan durasi kursus.")</f>
        <v>Performa tim hanya dinilai jika mereka menyelesaikan keseluruhan durasi kursus.</v>
      </c>
    </row>
    <row r="38">
      <c r="A38" s="3" t="s">
        <v>150</v>
      </c>
      <c r="B38" s="3" t="s">
        <v>151</v>
      </c>
      <c r="C38" s="3" t="s">
        <v>152</v>
      </c>
      <c r="D38" s="3" t="s">
        <v>153</v>
      </c>
      <c r="F38" s="4" t="str">
        <f>IFERROR(__xludf.DUMMYFUNCTION("GOOGLETRANSLATE(A38, ""en"", ""id"")"),"Dalam kondisi double-false-start, apa yang diberlakukan pada pelanggaran kedua?")</f>
        <v>Dalam kondisi double-false-start, apa yang diberlakukan pada pelanggaran kedua?</v>
      </c>
      <c r="G38" s="4" t="str">
        <f>IFERROR(__xludf.DUMMYFUNCTION("GOOGLETRANSLATE(B38, ""en"", ""id"")"),"A) Hanya peringatan, B) Penalti waktu, C) Diskualifikasi langsung, D) Pertukaran jalur")</f>
        <v>A) Hanya peringatan, B) Penalti waktu, C) Diskualifikasi langsung, D) Pertukaran jalur</v>
      </c>
      <c r="H38" s="4" t="str">
        <f>IFERROR(__xludf.DUMMYFUNCTION("GOOGLETRANSLATE(C38, ""en"", ""id"")"),"C) Diskualifikasi langsung")</f>
        <v>C) Diskualifikasi langsung</v>
      </c>
      <c r="I38" s="4" t="str">
        <f>IFERROR(__xludf.DUMMYFUNCTION("GOOGLETRANSLATE(D38, ""en"", ""id"")"),"Suatu tim biasanya diperbolehkan melakukan satu kali kesalahan start, yang kedua akan mengakibatkan DQ.")</f>
        <v>Suatu tim biasanya diperbolehkan melakukan satu kali kesalahan start, yang kedua akan mengakibatkan DQ.</v>
      </c>
    </row>
    <row r="39">
      <c r="A39" s="3" t="s">
        <v>154</v>
      </c>
      <c r="B39" s="3" t="s">
        <v>155</v>
      </c>
      <c r="C39" s="3" t="s">
        <v>156</v>
      </c>
      <c r="D39" s="3" t="s">
        <v>157</v>
      </c>
      <c r="F39" s="4" t="str">
        <f>IFERROR(__xludf.DUMMYFUNCTION("GOOGLETRANSLATE(A39, ""en"", ""id"")"),"Jika kuku seekor banteng melewati garis sebelum bendera diturunkan tetapi kereta luncur tidak, apa keputusannya?")</f>
        <v>Jika kuku seekor banteng melewati garis sebelum bendera diturunkan tetapi kereta luncur tidak, apa keputusannya?</v>
      </c>
      <c r="G39" s="4" t="str">
        <f>IFERROR(__xludf.DUMMYFUNCTION("GOOGLETRANSLATE(B39, ""en"", ""id"")"),"A) Start yang sah, B) Pelanggaran creep—restart, C) Penalti 5 detik, D) Diskualifikasi")</f>
        <v>A) Start yang sah, B) Pelanggaran creep—restart, C) Penalti 5 detik, D) Diskualifikasi</v>
      </c>
      <c r="H39" s="4" t="str">
        <f>IFERROR(__xludf.DUMMYFUNCTION("GOOGLETRANSLATE(C39, ""en"", ""id"")"),"B) Pelanggaran creep—mulai ulang")</f>
        <v>B) Pelanggaran creep—mulai ulang</v>
      </c>
      <c r="I39" s="4" t="str">
        <f>IFERROR(__xludf.DUMMYFUNCTION("GOOGLETRANSLATE(D39, ""en"", ""id"")"),"Pelanggaran ""creep"" merupakan pelanggaran awal kecil yang mengharuskan dimulainya kembali, bukan diskualifikasi.")</f>
        <v>Pelanggaran "creep" merupakan pelanggaran awal kecil yang mengharuskan dimulainya kembali, bukan diskualifikasi.</v>
      </c>
    </row>
    <row r="40">
      <c r="A40" s="3" t="s">
        <v>158</v>
      </c>
      <c r="B40" s="3" t="s">
        <v>159</v>
      </c>
      <c r="C40" s="3" t="s">
        <v>160</v>
      </c>
      <c r="D40" s="3" t="s">
        <v>161</v>
      </c>
      <c r="F40" s="4" t="str">
        <f>IFERROR(__xludf.DUMMYFUNCTION("GOOGLETRANSLATE(A40, ""en"", ""id"")"),"Toleransi verifikasi panjang lintasan yang diizinkan oleh juri biasanya:")</f>
        <v>Toleransi verifikasi panjang lintasan yang diizinkan oleh juri biasanya:</v>
      </c>
      <c r="G40" s="4" t="str">
        <f>IFERROR(__xludf.DUMMYFUNCTION("GOOGLETRANSLATE(B40, ""en"", ""id"")"),"A) ±0,5 m, B) ±1 m, C) ±2 m, D) ±5 m")</f>
        <v>A) ±0,5 m, B) ±1 m, C) ±2 m, D) ±5 m</v>
      </c>
      <c r="H40" s="4" t="str">
        <f>IFERROR(__xludf.DUMMYFUNCTION("GOOGLETRANSLATE(C40, ""en"", ""id"")"),"C) ±2 m")</f>
        <v>C) ±2 m</v>
      </c>
      <c r="I40" s="4" t="str">
        <f>IFERROR(__xludf.DUMMYFUNCTION("GOOGLETRANSLATE(D40, ""en"", ""id"")"),"Variasi kecil pada ukuran lintasan dalam ±2 m dari panjang yang dinyatakan dapat diterima.")</f>
        <v>Variasi kecil pada ukuran lintasan dalam ±2 m dari panjang yang dinyatakan dapat diterima.</v>
      </c>
    </row>
    <row r="41">
      <c r="A41" s="3" t="s">
        <v>162</v>
      </c>
      <c r="B41" s="3" t="s">
        <v>163</v>
      </c>
      <c r="C41" s="3" t="s">
        <v>164</v>
      </c>
      <c r="D41" s="3" t="s">
        <v>165</v>
      </c>
      <c r="F41" s="4" t="str">
        <f>IFERROR(__xludf.DUMMYFUNCTION("GOOGLETRANSLATE(A41, ""en"", ""id"")"),"Jika marka jalur terhapus karena hujan, balapan dapat dilanjutkan hanya jika:")</f>
        <v>Jika marka jalur terhapus karena hujan, balapan dapat dilanjutkan hanya jika:</v>
      </c>
      <c r="G41" s="4" t="str">
        <f>IFERROR(__xludf.DUMMYFUNCTION("GOOGLETRANSLATE(B41, ""en"", ""id"")"),"A) Penonton setuju, B) Kedua kapten setuju, C) Juri mengulang dan mengesahkan, D) Asisten menggambar ulang")</f>
        <v>A) Penonton setuju, B) Kedua kapten setuju, C) Juri mengulang dan mengesahkan, D) Asisten menggambar ulang</v>
      </c>
      <c r="H41" s="4" t="str">
        <f>IFERROR(__xludf.DUMMYFUNCTION("GOOGLETRANSLATE(C41, ""en"", ""id"")"),"C) Hakim melakukan penilaian ulang dan sertifikasi")</f>
        <v>C) Hakim melakukan penilaian ulang dan sertifikasi</v>
      </c>
      <c r="I41" s="4" t="str">
        <f>IFERROR(__xludf.DUMMYFUNCTION("GOOGLETRANSLATE(D41, ""en"", ""id"")"),"Juri harus memastikan integritas jalur dipulihkan dan disertifikasi ulang sebelum balapan dilanjutkan.")</f>
        <v>Juri harus memastikan integritas jalur dipulihkan dan disertifikasi ulang sebelum balapan dilanjutkan.</v>
      </c>
    </row>
    <row r="42">
      <c r="A42" s="3" t="s">
        <v>166</v>
      </c>
      <c r="B42" s="3" t="s">
        <v>167</v>
      </c>
      <c r="C42" s="3" t="s">
        <v>168</v>
      </c>
      <c r="D42" s="3" t="s">
        <v>169</v>
      </c>
      <c r="F42" s="4" t="str">
        <f>IFERROR(__xludf.DUMMYFUNCTION("GOOGLETRANSLATE(A42, ""en"", ""id"")"),"Berapa panjang cambuk maksimum yang diizinkan?")</f>
        <v>Berapa panjang cambuk maksimum yang diizinkan?</v>
      </c>
      <c r="G42" s="4" t="str">
        <f>IFERROR(__xludf.DUMMYFUNCTION("GOOGLETRANSLATE(B42, ""en"", ""id"")"),"A) 50 cm, B) 75 cm, C) 100 cm, D) Tidak ada batasnya")</f>
        <v>A) 50 cm, B) 75 cm, C) 100 cm, D) Tidak ada batasnya</v>
      </c>
      <c r="H42" s="4" t="str">
        <f>IFERROR(__xludf.DUMMYFUNCTION("GOOGLETRANSLATE(C42, ""en"", ""id"")"),"B) 75 cm")</f>
        <v>B) 75 cm</v>
      </c>
      <c r="I42" s="4" t="str">
        <f>IFERROR(__xludf.DUMMYFUNCTION("GOOGLETRANSLATE(D42, ""en"", ""id"")"),"Aturan keselamatan membatasi panjang cambuk untuk mengurangi potensi bahaya dan daya ungkit yang berlebihan.")</f>
        <v>Aturan keselamatan membatasi panjang cambuk untuk mengurangi potensi bahaya dan daya ungkit yang berlebihan.</v>
      </c>
    </row>
    <row r="43">
      <c r="A43" s="3" t="s">
        <v>170</v>
      </c>
      <c r="B43" s="3" t="s">
        <v>171</v>
      </c>
      <c r="C43" s="3" t="s">
        <v>172</v>
      </c>
      <c r="D43" s="3" t="s">
        <v>173</v>
      </c>
      <c r="F43" s="4" t="str">
        <f>IFERROR(__xludf.DUMMYFUNCTION("GOOGLETRANSLATE(A43, ""en"", ""id"")"),"Jika seorang asisten memasuki jalur lawan sejauh 3+ langkah di dekat banteng, keputusannya adalah:")</f>
        <v>Jika seorang asisten memasuki jalur lawan sejauh 3+ langkah di dekat banteng, keputusannya adalah:</v>
      </c>
      <c r="G43" s="4" t="str">
        <f>IFERROR(__xludf.DUMMYFUNCTION("GOOGLETRANSLATE(B43, ""en"", ""id"")"),"A) Peringatan, B) Hukuman 2 detik, C) Diskualifikasi karena mengganggu, D) Lanjutkan")</f>
        <v>A) Peringatan, B) Hukuman 2 detik, C) Diskualifikasi karena mengganggu, D) Lanjutkan</v>
      </c>
      <c r="H43" s="4" t="str">
        <f>IFERROR(__xludf.DUMMYFUNCTION("GOOGLETRANSLATE(C43, ""en"", ""id"")"),"C) Diskualifikasi karena campur tangan")</f>
        <v>C) Diskualifikasi karena campur tangan</v>
      </c>
      <c r="I43" s="4" t="str">
        <f>IFERROR(__xludf.DUMMYFUNCTION("GOOGLETRANSLATE(D43, ""en"", ""id"")"),"Memasuki ruang balap aktif milik pesaing dianggap sebagai tindakan gangguan serius.")</f>
        <v>Memasuki ruang balap aktif milik pesaing dianggap sebagai tindakan gangguan serius.</v>
      </c>
    </row>
    <row r="44">
      <c r="A44" s="3" t="s">
        <v>174</v>
      </c>
      <c r="B44" s="3" t="s">
        <v>175</v>
      </c>
      <c r="C44" s="3" t="s">
        <v>176</v>
      </c>
      <c r="D44" s="3" t="s">
        <v>177</v>
      </c>
      <c r="F44" s="4" t="str">
        <f>IFERROR(__xludf.DUMMYFUNCTION("GOOGLETRANSLATE(A44, ""en"", ""id"")"),"Dalam babak semifinal yang imbang tanpa gol, di mana foto tidak meyakinkan, apa langkah selanjutnya?")</f>
        <v>Dalam babak semifinal yang imbang tanpa gol, di mana foto tidak meyakinkan, apa langkah selanjutnya?</v>
      </c>
      <c r="G44" s="4" t="str">
        <f>IFERROR(__xludf.DUMMYFUNCTION("GOOGLETRANSLATE(B44, ""en"", ""id"")"),"A) Mata juri → lemparan koin, B) Hanya balapan ulang, C) Waktu sensor → balapan ulang, D) Pemungutan suara penonton")</f>
        <v>A) Mata juri → lemparan koin, B) Hanya balapan ulang, C) Waktu sensor → balapan ulang, D) Pemungutan suara penonton</v>
      </c>
      <c r="H44" s="4" t="str">
        <f>IFERROR(__xludf.DUMMYFUNCTION("GOOGLETRANSLATE(C44, ""en"", ""id"")"),"C) Waktu sensor → balapan ulang")</f>
        <v>C) Waktu sensor → balapan ulang</v>
      </c>
      <c r="I44" s="4" t="str">
        <f>IFERROR(__xludf.DUMMYFUNCTION("GOOGLETRANSLATE(D44, ""en"", ""id"")"),"Jika penghitungan waktu utama (foto) dan sekunder (sensor) gagal menemukan pemenang, maka perlombaan ulang akan diperintahkan.")</f>
        <v>Jika penghitungan waktu utama (foto) dan sekunder (sensor) gagal menemukan pemenang, maka perlombaan ulang akan diperintahkan.</v>
      </c>
    </row>
    <row r="45">
      <c r="A45" s="3" t="s">
        <v>178</v>
      </c>
      <c r="B45" s="3" t="s">
        <v>179</v>
      </c>
      <c r="C45" s="3" t="s">
        <v>180</v>
      </c>
      <c r="D45" s="3" t="s">
        <v>181</v>
      </c>
      <c r="F45" s="4" t="str">
        <f>IFERROR(__xludf.DUMMYFUNCTION("GOOGLETRANSLATE(A45, ""en"", ""id"")"),"Protes yang diajukan harus secara formal mencakup:")</f>
        <v>Protes yang diajukan harus secara formal mencakup:</v>
      </c>
      <c r="G45" s="4" t="str">
        <f>IFERROR(__xludf.DUMMYFUNCTION("GOOGLETRANSLATE(B45, ""en"", ""id"")"),"A) Pernyataan lisan, B) Formulir yang ditandatangani + biaya, C) Posting media sosial, D) Hanya klip video")</f>
        <v>A) Pernyataan lisan, B) Formulir yang ditandatangani + biaya, C) Posting media sosial, D) Hanya klip video</v>
      </c>
      <c r="H45" s="4" t="str">
        <f>IFERROR(__xludf.DUMMYFUNCTION("GOOGLETRANSLATE(C45, ""en"", ""id"")"),"B) Formulir yang sudah ditandatangani + biaya")</f>
        <v>B) Formulir yang sudah ditandatangani + biaya</v>
      </c>
      <c r="I45" s="4" t="str">
        <f>IFERROR(__xludf.DUMMYFUNCTION("GOOGLETRANSLATE(D45, ""en"", ""id"")"),"Protes formal memerlukan formulir tertulis dan deposit biaya untuk dipertimbangkan oleh hakim.")</f>
        <v>Protes formal memerlukan formulir tertulis dan deposit biaya untuk dipertimbangkan oleh hakim.</v>
      </c>
    </row>
    <row r="46">
      <c r="A46" s="3" t="s">
        <v>182</v>
      </c>
      <c r="B46" s="3" t="s">
        <v>183</v>
      </c>
      <c r="C46" s="3" t="s">
        <v>184</v>
      </c>
      <c r="D46" s="3" t="s">
        <v>185</v>
      </c>
      <c r="F46" s="4" t="str">
        <f>IFERROR(__xludf.DUMMYFUNCTION("GOOGLETRANSLATE(A46, ""en"", ""id"")"),"Apa yang terjadi dengan biaya protes jika protes dikabulkan?")</f>
        <v>Apa yang terjadi dengan biaya protes jika protes dikabulkan?</v>
      </c>
      <c r="G46" s="4" t="str">
        <f>IFERROR(__xludf.DUMMYFUNCTION("GOOGLETRANSLATE(B46, ""en"", ""id"")"),"A) Disimpan oleh penyelenggara, B) Dibagi dengan juri, C) Dikembalikan dananya, D) Disumbangkan")</f>
        <v>A) Disimpan oleh penyelenggara, B) Dibagi dengan juri, C) Dikembalikan dananya, D) Disumbangkan</v>
      </c>
      <c r="H46" s="4" t="str">
        <f>IFERROR(__xludf.DUMMYFUNCTION("GOOGLETRANSLATE(C46, ""en"", ""id"")"),"C) Dikembalikan")</f>
        <v>C) Dikembalikan</v>
      </c>
      <c r="I46" s="4" t="str">
        <f>IFERROR(__xludf.DUMMYFUNCTION("GOOGLETRANSLATE(D46, ""en"", ""id"")"),"Deposit untuk protes yang berhasil dikembalikan ke tim yang mengajukannya.")</f>
        <v>Deposit untuk protes yang berhasil dikembalikan ke tim yang mengajukannya.</v>
      </c>
    </row>
    <row r="47">
      <c r="A47" s="3" t="s">
        <v>186</v>
      </c>
      <c r="B47" s="3" t="s">
        <v>187</v>
      </c>
      <c r="C47" s="3" t="s">
        <v>188</v>
      </c>
      <c r="D47" s="3" t="s">
        <v>189</v>
      </c>
      <c r="F47" s="4" t="str">
        <f>IFERROR(__xludf.DUMMYFUNCTION("GOOGLETRANSLATE(A47, ""en"", ""id"")"),"Bagaimana jalur dialokasikan untuk balapan ulang yang disebabkan oleh tabrakan yang bukan kesalahan?")</f>
        <v>Bagaimana jalur dialokasikan untuk balapan ulang yang disebabkan oleh tabrakan yang bukan kesalahan?</v>
      </c>
      <c r="G47" s="4" t="str">
        <f>IFERROR(__xludf.DUMMYFUNCTION("GOOGLETRANSLATE(B47, ""en"", ""id"")"),"A) Jalur yang sama, B) Tukar jalur, C) Pengundian acak, D) Jalur dalam ke unggulan yang lebih tinggi")</f>
        <v>A) Jalur yang sama, B) Tukar jalur, C) Pengundian acak, D) Jalur dalam ke unggulan yang lebih tinggi</v>
      </c>
      <c r="H47" s="4" t="str">
        <f>IFERROR(__xludf.DUMMYFUNCTION("GOOGLETRANSLATE(C47, ""en"", ""id"")"),"C) Pengundian acak")</f>
        <v>C) Pengundian acak</v>
      </c>
      <c r="I47" s="4" t="str">
        <f>IFERROR(__xludf.DUMMYFUNCTION("GOOGLETRANSLATE(D47, ""en"", ""id"")"),"Untuk menjaga netralitas setelah insiden tanpa kesalahan, pengundian jalur acak baru dilakukan.")</f>
        <v>Untuk menjaga netralitas setelah insiden tanpa kesalahan, pengundian jalur acak baru dilakukan.</v>
      </c>
    </row>
    <row r="48">
      <c r="A48" s="3" t="s">
        <v>190</v>
      </c>
      <c r="B48" s="3" t="s">
        <v>191</v>
      </c>
      <c r="C48" s="3" t="s">
        <v>192</v>
      </c>
      <c r="D48" s="3" t="s">
        <v>193</v>
      </c>
      <c r="F48" s="4" t="str">
        <f>IFERROR(__xludf.DUMMYFUNCTION("GOOGLETRANSLATE(A48, ""en"", ""id"")"),"Jika detak jantung banteng berada di atas ambang batas dokter hewan pada waktu panggilan, maka:")</f>
        <v>Jika detak jantung banteng berada di atas ambang batas dokter hewan pada waktu panggilan, maka:</v>
      </c>
      <c r="G48" s="4" t="str">
        <f>IFERROR(__xludf.DUMMYFUNCTION("GOOGLETRANSLATE(B48, ""en"", ""id"")"),"A) Diizinkan untuk balapan, B) Tertunda 10 menit, C) Ditarik demi keselamatan, D) Didenda")</f>
        <v>A) Diizinkan untuk balapan, B) Tertunda 10 menit, C) Ditarik demi keselamatan, D) Didenda</v>
      </c>
      <c r="H48" s="4" t="str">
        <f>IFERROR(__xludf.DUMMYFUNCTION("GOOGLETRANSLATE(C48, ""en"", ""id"")"),"C) Ditarik demi keamanan")</f>
        <v>C) Ditarik demi keamanan</v>
      </c>
      <c r="I48" s="4" t="str">
        <f>IFERROR(__xludf.DUMMYFUNCTION("GOOGLETRANSLATE(D48, ""en"", ""id"")"),"Dokter hewan resmi memiliki keputusan akhir tentang kebugaran hewan untuk berkompetisi.")</f>
        <v>Dokter hewan resmi memiliki keputusan akhir tentang kebugaran hewan untuk berkompetisi.</v>
      </c>
    </row>
    <row r="49">
      <c r="A49" s="3" t="s">
        <v>194</v>
      </c>
      <c r="B49" s="3" t="s">
        <v>195</v>
      </c>
      <c r="C49" s="3" t="s">
        <v>196</v>
      </c>
      <c r="D49" s="3" t="s">
        <v>197</v>
      </c>
      <c r="F49" s="4" t="str">
        <f>IFERROR(__xludf.DUMMYFUNCTION("GOOGLETRANSLATE(A49, ""en"", ""id"")"),"Jika salah satu banteng dari sepasang banteng tersandung tetapi kereta luncur tetap seimbang dan berada di jalur yang benar, maka perlombaan akan:")</f>
        <v>Jika salah satu banteng dari sepasang banteng tersandung tetapi kereta luncur tetap seimbang dan berada di jalur yang benar, maka perlombaan akan:</v>
      </c>
      <c r="G49" s="4" t="str">
        <f>IFERROR(__xludf.DUMMYFUNCTION("GOOGLETRANSLATE(B49, ""en"", ""id"")"),"A) Melanjutkan, B) Berhenti segera, C) Memberikan penghargaan kepada lawan, D) Memulai kembali jika dalam jarak 30m")</f>
        <v>A) Melanjutkan, B) Berhenti segera, C) Memberikan penghargaan kepada lawan, D) Memulai kembali jika dalam jarak 30m</v>
      </c>
      <c r="H49" s="4" t="str">
        <f>IFERROR(__xludf.DUMMYFUNCTION("GOOGLETRANSLATE(C49, ""en"", ""id"")"),"A) Berlanjut")</f>
        <v>A) Berlanjut</v>
      </c>
      <c r="I49" s="4" t="str">
        <f>IFERROR(__xludf.DUMMYFUNCTION("GOOGLETRANSLATE(D49, ""en"", ""id"")"),"Balapan tidak dihentikan karena insiden kecil yang tidak melibatkan terjatuh atau pelanggaran jalur.")</f>
        <v>Balapan tidak dihentikan karena insiden kecil yang tidak melibatkan terjatuh atau pelanggaran jalur.</v>
      </c>
    </row>
    <row r="50">
      <c r="A50" s="3" t="s">
        <v>198</v>
      </c>
      <c r="B50" s="3" t="s">
        <v>199</v>
      </c>
      <c r="C50" s="3" t="s">
        <v>200</v>
      </c>
      <c r="D50" s="3" t="s">
        <v>201</v>
      </c>
      <c r="F50" s="4" t="str">
        <f>IFERROR(__xludf.DUMMYFUNCTION("GOOGLETRANSLATE(A50, ""en"", ""id"")"),"Jika tes narkoba pra-balapan (Sampel A) positif dan Sampel B tidak tersedia:")</f>
        <v>Jika tes narkoba pra-balapan (Sampel A) positif dan Sampel B tidak tersedia:</v>
      </c>
      <c r="G50" s="4" t="str">
        <f>IFERROR(__xludf.DUMMYFUNCTION("GOOGLETRANSLATE(B50, ""en"", ""id"")"),"A) Diizinkan untuk balapan, B) Izin bersyarat, C) Diskualifikasi otomatis, D) Sidang pasca balapan")</f>
        <v>A) Diizinkan untuk balapan, B) Izin bersyarat, C) Diskualifikasi otomatis, D) Sidang pasca balapan</v>
      </c>
      <c r="H50" s="4" t="str">
        <f>IFERROR(__xludf.DUMMYFUNCTION("GOOGLETRANSLATE(C50, ""en"", ""id"")"),"C) Diskualifikasi otomatis")</f>
        <v>C) Diskualifikasi otomatis</v>
      </c>
      <c r="I50" s="4" t="str">
        <f>IFERROR(__xludf.DUMMYFUNCTION("GOOGLETRANSLATE(D50, ""en"", ""id"")"),"Tanpa sampel kedua yang perlu dibantah, hasil positif dari Sampel A tetap berlaku, yang mengarah ke DQ.")</f>
        <v>Tanpa sampel kedua yang perlu dibantah, hasil positif dari Sampel A tetap berlaku, yang mengarah ke DQ.</v>
      </c>
    </row>
    <row r="51">
      <c r="A51" s="3" t="s">
        <v>202</v>
      </c>
      <c r="B51" s="3" t="s">
        <v>203</v>
      </c>
      <c r="C51" s="3" t="s">
        <v>204</v>
      </c>
      <c r="D51" s="3" t="s">
        <v>205</v>
      </c>
      <c r="F51" s="4" t="str">
        <f>IFERROR(__xludf.DUMMYFUNCTION("GOOGLETRANSLATE(A51, ""en"", ""id"")"),"Tim yang dipasangkan berdasarkan kelas berat harus berada dalam selisih berat berapa?")</f>
        <v>Tim yang dipasangkan berdasarkan kelas berat harus berada dalam selisih berat berapa?</v>
      </c>
      <c r="G51" s="4" t="str">
        <f>IFERROR(__xludf.DUMMYFUNCTION("GOOGLETRANSLATE(B51, ""en"", ""id"")"),"A) ≤10 kg, B) ≤20 kg, C) ≤30 kg, D) ≤40 kg")</f>
        <v>A) ≤10 kg, B) ≤20 kg, C) ≤30 kg, D) ≤40 kg</v>
      </c>
      <c r="H51" s="4" t="str">
        <f>IFERROR(__xludf.DUMMYFUNCTION("GOOGLETRANSLATE(C51, ""en"", ""id"")"),"B) ≤20 kg")</f>
        <v>B) ≤20 kg</v>
      </c>
      <c r="I51" s="4" t="str">
        <f>IFERROR(__xludf.DUMMYFUNCTION("GOOGLETRANSLATE(D51, ""en"", ""id"")"),"Aturan paritas berat memastikan bahwa pasangan banteng yang bersaing memiliki ukuran yang sama persis.")</f>
        <v>Aturan paritas berat memastikan bahwa pasangan banteng yang bersaing memiliki ukuran yang sama persis.</v>
      </c>
    </row>
    <row r="52">
      <c r="A52" s="3" t="s">
        <v>206</v>
      </c>
      <c r="B52" s="3" t="s">
        <v>207</v>
      </c>
      <c r="C52" s="3" t="s">
        <v>208</v>
      </c>
      <c r="D52" s="3" t="s">
        <v>209</v>
      </c>
      <c r="F52" s="4" t="str">
        <f>IFERROR(__xludf.DUMMYFUNCTION("GOOGLETRANSLATE(A52, ""en"", ""id"")"),"Jika perayaan setelah selesai menghalangi tim lain, keputusannya adalah:")</f>
        <v>Jika perayaan setelah selesai menghalangi tim lain, keputusannya adalah:</v>
      </c>
      <c r="G52" s="4" t="str">
        <f>IFERROR(__xludf.DUMMYFUNCTION("GOOGLETRANSLATE(B52, ""en"", ""id"")"),"A) Tidak ada tindakan, B) Peringatan kepada orang banyak, C) Membatalkan hasil yang terhalang dan mengulang, D) Mendenda tim yang terhalang")</f>
        <v>A) Tidak ada tindakan, B) Peringatan kepada orang banyak, C) Membatalkan hasil yang terhalang dan mengulang, D) Mendenda tim yang terhalang</v>
      </c>
      <c r="H52" s="4" t="str">
        <f>IFERROR(__xludf.DUMMYFUNCTION("GOOGLETRANSLATE(C52, ""en"", ""id"")"),"C) Batalkan hasil yang terhalang dan jalankan kembali")</f>
        <v>C) Batalkan hasil yang terhalang dan jalankan kembali</v>
      </c>
      <c r="I52" s="4" t="str">
        <f>IFERROR(__xludf.DUMMYFUNCTION("GOOGLETRANSLATE(D52, ""en"", ""id"")"),"Koridor finis harus tetap bersih; halangan dapat menyebabkan panas menjadi tidak terjadi.")</f>
        <v>Koridor finis harus tetap bersih; halangan dapat menyebabkan panas menjadi tidak terjadi.</v>
      </c>
    </row>
    <row r="53">
      <c r="A53" s="3" t="s">
        <v>210</v>
      </c>
      <c r="B53" s="3" t="s">
        <v>211</v>
      </c>
      <c r="C53" s="3" t="s">
        <v>212</v>
      </c>
      <c r="D53" s="3" t="s">
        <v>213</v>
      </c>
      <c r="F53" s="4" t="str">
        <f>IFERROR(__xludf.DUMMYFUNCTION("GOOGLETRANSLATE(A53, ""en"", ""id"")"),"Tali helm joki terlepas di tengah balapan tanpa membuat helmnya terlepas. Keputusan:")</f>
        <v>Tali helm joki terlepas di tengah balapan tanpa membuat helmnya terlepas. Keputusan:</v>
      </c>
      <c r="G53" s="4" t="str">
        <f>IFERROR(__xludf.DUMMYFUNCTION("GOOGLETRANSLATE(B53, ""en"", ""id"")"),"A) Lanjutkan, B) Hukuman waktu, C) Diskualifikasi karena perlengkapan yang tidak aman, D) Mulai ulang")</f>
        <v>A) Lanjutkan, B) Hukuman waktu, C) Diskualifikasi karena perlengkapan yang tidak aman, D) Mulai ulang</v>
      </c>
      <c r="H53" s="4" t="str">
        <f>IFERROR(__xludf.DUMMYFUNCTION("GOOGLETRANSLATE(C53, ""en"", ""id"")"),"C) Diskualifikasi karena perlengkapan yang tidak aman")</f>
        <v>C) Diskualifikasi karena perlengkapan yang tidak aman</v>
      </c>
      <c r="I53" s="4" t="str">
        <f>IFERROR(__xludf.DUMMYFUNCTION("GOOGLETRANSLATE(D53, ""en"", ""id"")"),"Perlengkapan keselamatan harus diamankan dengan baik selama berlangsungnya perlombaan.")</f>
        <v>Perlengkapan keselamatan harus diamankan dengan baik selama berlangsungnya perlombaan.</v>
      </c>
    </row>
    <row r="54">
      <c r="A54" s="3" t="s">
        <v>214</v>
      </c>
      <c r="B54" s="3" t="s">
        <v>215</v>
      </c>
      <c r="C54" s="3" t="s">
        <v>216</v>
      </c>
      <c r="D54" s="3" t="s">
        <v>217</v>
      </c>
      <c r="F54" s="4" t="str">
        <f>IFERROR(__xludf.DUMMYFUNCTION("GOOGLETRANSLATE(A54, ""en"", ""id"")"),"Jika kadar air tanah liat lintasan melebihi ambang batas aman yang telah ditentukan:")</f>
        <v>Jika kadar air tanah liat lintasan melebihi ambang batas aman yang telah ditentukan:</v>
      </c>
      <c r="G54" s="4" t="str">
        <f>IFERROR(__xludf.DUMMYFUNCTION("GOOGLETRANSLATE(B54, ""en"", ""id"")"),"A) Lanjutkan dengan hati-hati, B) Kurangi jarak, C) Tunda sampai perbaikan, D) Gunakan jalur luar saja")</f>
        <v>A) Lanjutkan dengan hati-hati, B) Kurangi jarak, C) Tunda sampai perbaikan, D) Gunakan jalur luar saja</v>
      </c>
      <c r="H54" s="4" t="str">
        <f>IFERROR(__xludf.DUMMYFUNCTION("GOOGLETRANSLATE(C54, ""en"", ""id"")"),"C) Tunda sampai direkondisi")</f>
        <v>C) Tunda sampai direkondisi</v>
      </c>
      <c r="I54" s="4" t="str">
        <f>IFERROR(__xludf.DUMMYFUNCTION("GOOGLETRANSLATE(D54, ""en"", ""id"")"),"Balapan dihentikan jika permukaan lintasan dianggap tidak aman oleh juri.")</f>
        <v>Balapan dihentikan jika permukaan lintasan dianggap tidak aman oleh juri.</v>
      </c>
    </row>
    <row r="55">
      <c r="A55" s="3" t="s">
        <v>218</v>
      </c>
      <c r="B55" s="3" t="s">
        <v>219</v>
      </c>
      <c r="C55" s="3" t="s">
        <v>220</v>
      </c>
      <c r="D55" s="3" t="s">
        <v>221</v>
      </c>
      <c r="F55" s="4" t="str">
        <f>IFERROR(__xludf.DUMMYFUNCTION("GOOGLETRANSLATE(A55, ""en"", ""id"")"),"Bila kedua tim bergerak di awal tetapi hanya satu yang melewati garis, siapa yang mendapat start palsu?")</f>
        <v>Bila kedua tim bergerak di awal tetapi hanya satu yang melewati garis, siapa yang mendapat start palsu?</v>
      </c>
      <c r="G55" s="4" t="str">
        <f>IFERROR(__xludf.DUMMYFUNCTION("GOOGLETRANSLATE(B55, ""en"", ""id"")"),"A) Peringatan bersama, B) Tim melewati garis, C) Tidak ada panggilan, D) Balapan ulang dengan penalti waktu")</f>
        <v>A) Peringatan bersama, B) Tim melewati garis, C) Tidak ada panggilan, D) Balapan ulang dengan penalti waktu</v>
      </c>
      <c r="H55" s="4" t="str">
        <f>IFERROR(__xludf.DUMMYFUNCTION("GOOGLETRANSLATE(C55, ""en"", ""id"")"),"B) Tim melewati garis")</f>
        <v>B) Tim melewati garis</v>
      </c>
      <c r="I55" s="4" t="str">
        <f>IFERROR(__xludf.DUMMYFUNCTION("GOOGLETRANSLATE(D55, ""en"", ""id"")"),"Tim yang secara fisik melanggar garis start dianggap bersalah karena melakukan start palsu.")</f>
        <v>Tim yang secara fisik melanggar garis start dianggap bersalah karena melakukan start palsu.</v>
      </c>
    </row>
    <row r="56">
      <c r="A56" s="3" t="s">
        <v>222</v>
      </c>
      <c r="B56" s="3" t="s">
        <v>223</v>
      </c>
      <c r="C56" s="3" t="s">
        <v>224</v>
      </c>
      <c r="D56" s="3" t="s">
        <v>225</v>
      </c>
      <c r="F56" s="4" t="str">
        <f>IFERROR(__xludf.DUMMYFUNCTION("GOOGLETRANSLATE(A56, ""en"", ""id"")"),"Jika bendera juri gagal dikibarkan tetapi peluit berbunyi, sinyal apa yang menentukan dimulainya pertandingan?")</f>
        <v>Jika bendera juri gagal dikibarkan tetapi peluit berbunyi, sinyal apa yang menentukan dimulainya pertandingan?</v>
      </c>
      <c r="G56" s="4" t="str">
        <f>IFERROR(__xludf.DUMMYFUNCTION("GOOGLETRANSLATE(B56, ""en"", ""id"")"),"A) Reaksi kerumunan, B) Klakson, C) Hanya bendera, D) Sinyal pertama apa pun")</f>
        <v>A) Reaksi kerumunan, B) Klakson, C) Hanya bendera, D) Sinyal pertama apa pun</v>
      </c>
      <c r="H56" s="4" t="str">
        <f>IFERROR(__xludf.DUMMYFUNCTION("GOOGLETRANSLATE(C56, ""en"", ""id"")"),"C) Hanya bendera")</f>
        <v>C) Hanya bendera</v>
      </c>
      <c r="I56" s="4" t="str">
        <f>IFERROR(__xludf.DUMMYFUNCTION("GOOGLETRANSLATE(D56, ""en"", ""id"")"),"Bendera dianggap sebagai satu-satunya sinyal resmi untuk memulai dan mengakhiri suatu pertandingan.")</f>
        <v>Bendera dianggap sebagai satu-satunya sinyal resmi untuk memulai dan mengakhiri suatu pertandingan.</v>
      </c>
    </row>
    <row r="57">
      <c r="A57" s="3" t="s">
        <v>226</v>
      </c>
      <c r="B57" s="3" t="s">
        <v>227</v>
      </c>
      <c r="C57" s="3" t="s">
        <v>228</v>
      </c>
      <c r="D57" s="3" t="s">
        <v>229</v>
      </c>
      <c r="F57" s="4" t="str">
        <f>IFERROR(__xludf.DUMMYFUNCTION("GOOGLETRANSLATE(A57, ""en"", ""id"")"),"Kereta luncur sebuah tim ditemukan kelebihan berat badan saat inspeksi pra-balapan. Apa yang terjadi?")</f>
        <v>Kereta luncur sebuah tim ditemukan kelebihan berat badan saat inspeksi pra-balapan. Apa yang terjadi?</v>
      </c>
      <c r="G57" s="4" t="str">
        <f>IFERROR(__xludf.DUMMYFUNCTION("GOOGLETRANSLATE(B57, ""en"", ""id"")"),"A) Masa tenggang untuk memperbaiki, B) Diskualifikasi jika tidak diperbaiki sebelum panggilan, C) Hanya denda, D) Cacat waktu")</f>
        <v>A) Masa tenggang untuk memperbaiki, B) Diskualifikasi jika tidak diperbaiki sebelum panggilan, C) Hanya denda, D) Cacat waktu</v>
      </c>
      <c r="H57" s="4" t="str">
        <f>IFERROR(__xludf.DUMMYFUNCTION("GOOGLETRANSLATE(C57, ""en"", ""id"")"),"B) Diskualifikasi jika tidak diperbaiki sebelum panggilan")</f>
        <v>B) Diskualifikasi jika tidak diperbaiki sebelum panggilan</v>
      </c>
      <c r="I57" s="4" t="str">
        <f>IFERROR(__xludf.DUMMYFUNCTION("GOOGLETRANSLATE(D57, ""en"", ""id"")"),"Peralatan harus sesuai sebelum tim dipanggil ke garis start.")</f>
        <v>Peralatan harus sesuai sebelum tim dipanggil ke garis start.</v>
      </c>
    </row>
    <row r="58">
      <c r="A58" s="3" t="s">
        <v>230</v>
      </c>
      <c r="B58" s="3" t="s">
        <v>231</v>
      </c>
      <c r="C58" s="3" t="s">
        <v>232</v>
      </c>
      <c r="D58" s="3" t="s">
        <v>233</v>
      </c>
      <c r="F58" s="4" t="str">
        <f>IFERROR(__xludf.DUMMYFUNCTION("GOOGLETRANSLATE(A58, ""en"", ""id"")"),"Jika rekaman video membuktikan bahwa lintasan yang berlubang menyebabkan seekor banteng keluar jalur, maka tindakan yang harus diambil adalah:")</f>
        <v>Jika rekaman video membuktikan bahwa lintasan yang berlubang menyebabkan seekor banteng keluar jalur, maka tindakan yang harus diambil adalah:</v>
      </c>
      <c r="G58" s="4" t="str">
        <f>IFERROR(__xludf.DUMMYFUNCTION("GOOGLETRANSLATE(B58, ""en"", ""id"")"),"A) Mendiskualifikasi tim, B) Hasil tetap berlaku, C) Menyatakan tidak ada kontes dan balapan ulang, D) Memberikan hadiah kepada saingan")</f>
        <v>A) Mendiskualifikasi tim, B) Hasil tetap berlaku, C) Menyatakan tidak ada kontes dan balapan ulang, D) Memberikan hadiah kepada saingan</v>
      </c>
      <c r="H58" s="4" t="str">
        <f>IFERROR(__xludf.DUMMYFUNCTION("GOOGLETRANSLATE(C58, ""en"", ""id"")"),"C) Nyatakan tidak ada kontes dan balapan ulang")</f>
        <v>C) Nyatakan tidak ada kontes dan balapan ulang</v>
      </c>
      <c r="I58" s="4" t="str">
        <f>IFERROR(__xludf.DUMMYFUNCTION("GOOGLETRANSLATE(D58, ""en"", ""id"")"),"Jika kesalahan lintasan, bukan kesalahan joki, menyebabkan pelanggaran, pertandingan dinyatakan batal.")</f>
        <v>Jika kesalahan lintasan, bukan kesalahan joki, menyebabkan pelanggaran, pertandingan dinyatakan batal.</v>
      </c>
    </row>
    <row r="59">
      <c r="A59" s="3" t="s">
        <v>234</v>
      </c>
      <c r="B59" s="3" t="s">
        <v>235</v>
      </c>
      <c r="C59" s="3" t="s">
        <v>236</v>
      </c>
      <c r="D59" s="3" t="s">
        <v>237</v>
      </c>
      <c r="F59" s="4" t="str">
        <f>IFERROR(__xludf.DUMMYFUNCTION("GOOGLETRANSLATE(A59, ""en"", ""id"")"),"Jika tangan asisten menyentuh tali kereta luncur (bukan banteng) untuk membantu menjaga keseimbangan:")</f>
        <v>Jika tangan asisten menyentuh tali kereta luncur (bukan banteng) untuk membantu menjaga keseimbangan:</v>
      </c>
      <c r="G59" s="4" t="str">
        <f>IFERROR(__xludf.DUMMYFUNCTION("GOOGLETRANSLATE(B59, ""en"", ""id"")"),"A) Diizinkan, B) Peringatan, C) Diskualifikasi, D) Penalti 1 detik")</f>
        <v>A) Diizinkan, B) Peringatan, C) Diskualifikasi, D) Penalti 1 detik</v>
      </c>
      <c r="H59" s="4" t="str">
        <f>IFERROR(__xludf.DUMMYFUNCTION("GOOGLETRANSLATE(C59, ""en"", ""id"")"),"C) Diskualifikasi")</f>
        <v>C) Diskualifikasi</v>
      </c>
      <c r="I59" s="4" t="str">
        <f>IFERROR(__xludf.DUMMYFUNCTION("GOOGLETRANSLATE(D59, ""en"", ""id"")"),"Segala bantuan fisik terhadap kereta luncur, joki, atau banteng merupakan bentuk campur tangan yang melanggar hukum.")</f>
        <v>Segala bantuan fisik terhadap kereta luncur, joki, atau banteng merupakan bentuk campur tangan yang melanggar hukum.</v>
      </c>
    </row>
    <row r="60">
      <c r="A60" s="3" t="s">
        <v>238</v>
      </c>
      <c r="B60" s="3" t="s">
        <v>239</v>
      </c>
      <c r="C60" s="3" t="s">
        <v>240</v>
      </c>
      <c r="D60" s="3" t="s">
        <v>241</v>
      </c>
      <c r="F60" s="4" t="str">
        <f>IFERROR(__xludf.DUMMYFUNCTION("GOOGLETRANSLATE(A60, ""en"", ""id"")"),"Berapa lama waktu istirahat minimum yang diwajibkan antara babak penyisihan untuk banteng yang sama?")</f>
        <v>Berapa lama waktu istirahat minimum yang diwajibkan antara babak penyisihan untuk banteng yang sama?</v>
      </c>
      <c r="G60" s="4" t="str">
        <f>IFERROR(__xludf.DUMMYFUNCTION("GOOGLETRANSLATE(B60, ""en"", ""id"")"),"A) 5 menit, B) 10 menit, C) 15 menit, D) 20 menit")</f>
        <v>A) 5 menit, B) 10 menit, C) 15 menit, D) 20 menit</v>
      </c>
      <c r="H60" s="4" t="str">
        <f>IFERROR(__xludf.DUMMYFUNCTION("GOOGLETRANSLATE(C60, ""en"", ""id"")"),"C) 15 menit")</f>
        <v>C) 15 menit</v>
      </c>
      <c r="I60" s="4" t="str">
        <f>IFERROR(__xludf.DUMMYFUNCTION("GOOGLETRANSLATE(D60, ""en"", ""id"")"),"Periode istirahat wajib diberlakukan untuk melindungi kesejahteraan hewan.")</f>
        <v>Periode istirahat wajib diberlakukan untuk melindungi kesejahteraan hewan.</v>
      </c>
    </row>
    <row r="61">
      <c r="A61" s="3" t="s">
        <v>242</v>
      </c>
      <c r="B61" s="3" t="s">
        <v>243</v>
      </c>
      <c r="C61" s="3" t="s">
        <v>244</v>
      </c>
      <c r="D61" s="3" t="s">
        <v>245</v>
      </c>
      <c r="F61" s="4" t="str">
        <f>IFERROR(__xludf.DUMMYFUNCTION("GOOGLETRANSLATE(A61, ""en"", ""id"")"),"Jika suatu tim terlambat dari absensi marshal lebih dari 3 menit, mereka:")</f>
        <v>Jika suatu tim terlambat dari absensi marshal lebih dari 3 menit, mereka:</v>
      </c>
      <c r="G61" s="4" t="str">
        <f>IFERROR(__xludf.DUMMYFUNCTION("GOOGLETRANSLATE(B61, ""en"", ""id"")"),"A) Diperbolehkan memulai terlambat, B) Diturunkan ke babak terakhir, C) Kehilangan babak tersebut, D) Mengganti asistennya")</f>
        <v>A) Diperbolehkan memulai terlambat, B) Diturunkan ke babak terakhir, C) Kehilangan babak tersebut, D) Mengganti asistennya</v>
      </c>
      <c r="H61" s="4" t="str">
        <f>IFERROR(__xludf.DUMMYFUNCTION("GOOGLETRANSLATE(C61, ""en"", ""id"")"),"C) Kehilangan panas")</f>
        <v>C) Kehilangan panas</v>
      </c>
      <c r="I61" s="4" t="str">
        <f>IFERROR(__xludf.DUMMYFUNCTION("GOOGLETRANSLATE(D61, ""en"", ""id"")"),"Ketepatan waktu merupakan persyaratan partisipasi yang ketat, dan keterlambatan dapat mengakibatkan hilangnya kesempatan mengikuti pertandingan.")</f>
        <v>Ketepatan waktu merupakan persyaratan partisipasi yang ketat, dan keterlambatan dapat mengakibatkan hilangnya kesempatan mengikuti pertandingan.</v>
      </c>
    </row>
    <row r="62">
      <c r="A62" s="3" t="s">
        <v>246</v>
      </c>
      <c r="B62" s="3" t="s">
        <v>247</v>
      </c>
      <c r="C62" s="3" t="s">
        <v>248</v>
      </c>
      <c r="D62" s="3" t="s">
        <v>249</v>
      </c>
      <c r="F62" s="4" t="str">
        <f>IFERROR(__xludf.DUMMYFUNCTION("GOOGLETRANSLATE(A62, ""en"", ""id"")"),"Ketinggian rel kereta luncur dinyatakan ilegal setelah putaran kualifikasi. Hasilnya adalah:")</f>
        <v>Ketinggian rel kereta luncur dinyatakan ilegal setelah putaran kualifikasi. Hasilnya adalah:</v>
      </c>
      <c r="G62" s="4" t="str">
        <f>IFERROR(__xludf.DUMMYFUNCTION("GOOGLETRANSLATE(B62, ""en"", ""id"")"),"A) Diamkan, B) Pembatalan waktu kualifikasi secara retroaktif, C) Hanya denda, D) Koreksi mekanis diperbolehkan dan pertahankan waktu")</f>
        <v>A) Diamkan, B) Pembatalan waktu kualifikasi secara retroaktif, C) Hanya denda, D) Koreksi mekanis diperbolehkan dan pertahankan waktu</v>
      </c>
      <c r="H62" s="4" t="str">
        <f>IFERROR(__xludf.DUMMYFUNCTION("GOOGLETRANSLATE(C62, ""en"", ""id"")"),"B) Pembatalan waktu kualifikasi secara retroaktif")</f>
        <v>B) Pembatalan waktu kualifikasi secara retroaktif</v>
      </c>
      <c r="I62" s="4" t="str">
        <f>IFERROR(__xludf.DUMMYFUNCTION("GOOGLETRANSLATE(D62, ""en"", ""id"")"),"Pertunjukan yang dicapai dengan peralatan ilegal dibatalkan.")</f>
        <v>Pertunjukan yang dicapai dengan peralatan ilegal dibatalkan.</v>
      </c>
    </row>
    <row r="63">
      <c r="A63" s="3" t="s">
        <v>250</v>
      </c>
      <c r="B63" s="3" t="s">
        <v>251</v>
      </c>
      <c r="C63" s="3" t="s">
        <v>252</v>
      </c>
      <c r="D63" s="3" t="s">
        <v>253</v>
      </c>
      <c r="F63" s="4" t="str">
        <f>IFERROR(__xludf.DUMMYFUNCTION("GOOGLETRANSLATE(A63, ""en"", ""id"")"),"Jika penonton melanggar zona penyangga tetapi tidak terjadi kontak, respons yang benar adalah:")</f>
        <v>Jika penonton melanggar zona penyangga tetapi tidak terjadi kontak, respons yang benar adalah:</v>
      </c>
      <c r="G63" s="4" t="str">
        <f>IFERROR(__xludf.DUMMYFUNCTION("GOOGLETRANSLATE(B63, ""en"", ""id"")"),"A) Melanjutkan balapan, B) Segera berhenti dan melakukan reset, C) Peringatan dan melanjutkan ke heat berikutnya, D) Kewenangan juri untuk berhenti")</f>
        <v>A) Melanjutkan balapan, B) Segera berhenti dan melakukan reset, C) Peringatan dan melanjutkan ke heat berikutnya, D) Kewenangan juri untuk berhenti</v>
      </c>
      <c r="H63" s="4" t="str">
        <f>IFERROR(__xludf.DUMMYFUNCTION("GOOGLETRANSLATE(C63, ""en"", ""id"")"),"D) Kewenangan Hakim untuk menunda")</f>
        <v>D) Kewenangan Hakim untuk menunda</v>
      </c>
      <c r="I63" s="4" t="str">
        <f>IFERROR(__xludf.DUMMYFUNCTION("GOOGLETRANSLATE(D63, ""en"", ""id"")"),"Juri memiliki kewenangan untuk menghentikan perlombaan jika mereka yakin telah muncul risiko keselamatan.")</f>
        <v>Juri memiliki kewenangan untuk menghentikan perlombaan jika mereka yakin telah muncul risiko keselamatan.</v>
      </c>
    </row>
    <row r="64">
      <c r="A64" s="3" t="s">
        <v>254</v>
      </c>
      <c r="B64" s="3" t="s">
        <v>255</v>
      </c>
      <c r="C64" s="3" t="s">
        <v>256</v>
      </c>
      <c r="D64" s="3" t="s">
        <v>257</v>
      </c>
      <c r="F64" s="4" t="str">
        <f>IFERROR(__xludf.DUMMYFUNCTION("GOOGLETRANSLATE(A64, ""en"", ""id"")"),"Berapakah massa dekoratif maksimum yang diizinkan pada banteng (gabungan) di luar perlengkapan penting?")</f>
        <v>Berapakah massa dekoratif maksimum yang diizinkan pada banteng (gabungan) di luar perlengkapan penting?</v>
      </c>
      <c r="G64" s="4" t="str">
        <f>IFERROR(__xludf.DUMMYFUNCTION("GOOGLETRANSLATE(B64, ""en"", ""id"")"),"A) 0,5kg, B) 1,0kg, C) 1,5kg, D) 2,0kg")</f>
        <v>A) 0,5kg, B) 1,0kg, C) 1,5kg, D) 2,0kg</v>
      </c>
      <c r="H64" s="4" t="str">
        <f>IFERROR(__xludf.DUMMYFUNCTION("GOOGLETRANSLATE(C64, ""en"", ""id"")"),"B) 1,0 kg")</f>
        <v>B) 1,0 kg</v>
      </c>
      <c r="I64" s="4" t="str">
        <f>IFERROR(__xludf.DUMMYFUNCTION("GOOGLETRANSLATE(D64, ""en"", ""id"")"),"Peraturan membatasi berat dekorasi untuk memastikan dekorasi tersebut tidak berdampak berarti terhadap perlombaan.")</f>
        <v>Peraturan membatasi berat dekorasi untuk memastikan dekorasi tersebut tidak berdampak berarti terhadap perlombaan.</v>
      </c>
    </row>
    <row r="65">
      <c r="A65" s="3" t="s">
        <v>258</v>
      </c>
      <c r="B65" s="3" t="s">
        <v>259</v>
      </c>
      <c r="C65" s="3" t="s">
        <v>260</v>
      </c>
      <c r="D65" s="3" t="s">
        <v>261</v>
      </c>
      <c r="F65" s="4" t="str">
        <f>IFERROR(__xludf.DUMMYFUNCTION("GOOGLETRANSLATE(A65, ""en"", ""id"")"),"Posisi awal asisten harus:")</f>
        <v>Posisi awal asisten harus:</v>
      </c>
      <c r="G65" s="4" t="str">
        <f>IFERROR(__xludf.DUMMYFUNCTION("GOOGLETRANSLATE(B65, ""en"", ""id"")"),"A) Di mana saja, B) Di belakang jalur kereta luncur, C) Sejajar dengan bahu banteng, D) 5 m dari lintasan")</f>
        <v>A) Di mana saja, B) Di belakang jalur kereta luncur, C) Sejajar dengan bahu banteng, D) 5 m dari lintasan</v>
      </c>
      <c r="H65" s="4" t="str">
        <f>IFERROR(__xludf.DUMMYFUNCTION("GOOGLETRANSLATE(C65, ""en"", ""id"")"),"B) Di belakang jalur kereta luncur")</f>
        <v>B) Di belakang jalur kereta luncur</v>
      </c>
      <c r="I65" s="4" t="str">
        <f>IFERROR(__xludf.DUMMYFUNCTION("GOOGLETRANSLATE(D65, ""en"", ""id"")"),"Asisten harus mulai di belakang kereta luncur untuk mencegah mereka menghalangi lawan atau mondar-mandir di atas banteng.")</f>
        <v>Asisten harus mulai di belakang kereta luncur untuk mencegah mereka menghalangi lawan atau mondar-mandir di atas banteng.</v>
      </c>
    </row>
    <row r="66">
      <c r="A66" s="3" t="s">
        <v>262</v>
      </c>
      <c r="B66" s="3" t="s">
        <v>65</v>
      </c>
      <c r="C66" s="3" t="s">
        <v>74</v>
      </c>
      <c r="D66" s="3" t="s">
        <v>263</v>
      </c>
      <c r="F66" s="4" t="str">
        <f>IFERROR(__xludf.DUMMYFUNCTION("GOOGLETRANSLATE(A66, ""en"", ""id"")"),"Berapa jumlah maksimum restart untuk kesalahan teknis (misalnya peralatan rusak) sebelum penundaan?")</f>
        <v>Berapa jumlah maksimum restart untuk kesalahan teknis (misalnya peralatan rusak) sebelum penundaan?</v>
      </c>
      <c r="G66" s="4" t="str">
        <f>IFERROR(__xludf.DUMMYFUNCTION("GOOGLETRANSLATE(B66, ""en"", ""id"")"),"A) 1, B) 2, C) 3, D) Tak terbatas")</f>
        <v>A) 1, B) 2, C) 3, D) Tak terbatas</v>
      </c>
      <c r="H66" s="4" t="str">
        <f>IFERROR(__xludf.DUMMYFUNCTION("GOOGLETRANSLATE(C66, ""en"", ""id"")"),"C) 3")</f>
        <v>C) 3</v>
      </c>
      <c r="I66" s="4" t="str">
        <f>IFERROR(__xludf.DUMMYFUNCTION("GOOGLETRANSLATE(D66, ""en"", ""id"")"),"Jika babak tidak dapat dimulai dengan benar setelah tiga kali percobaan karena masalah teknis, babak tersebut akan ditunda.")</f>
        <v>Jika babak tidak dapat dimulai dengan benar setelah tiga kali percobaan karena masalah teknis, babak tersebut akan ditunda.</v>
      </c>
    </row>
    <row r="67">
      <c r="A67" s="3" t="s">
        <v>264</v>
      </c>
      <c r="B67" s="3" t="s">
        <v>265</v>
      </c>
      <c r="C67" s="3" t="s">
        <v>266</v>
      </c>
      <c r="D67" s="3" t="s">
        <v>267</v>
      </c>
      <c r="F67" s="4" t="str">
        <f>IFERROR(__xludf.DUMMYFUNCTION("GOOGLETRANSLATE(A67, ""en"", ""id"")"),"Jika perban kuku banteng terlepas dan jatuh ke lintasan selama perlombaan:")</f>
        <v>Jika perban kuku banteng terlepas dan jatuh ke lintasan selama perlombaan:</v>
      </c>
      <c r="G67" s="4" t="str">
        <f>IFERROR(__xludf.DUMMYFUNCTION("GOOGLETRANSLATE(B67, ""en"", ""id"")"),"A) Lanjutkan, B) Berhenti aman, C) Penalti 3 detik, D) Ganti setelah selesai")</f>
        <v>A) Lanjutkan, B) Berhenti aman, C) Penalti 3 detik, D) Ganti setelah selesai</v>
      </c>
      <c r="H67" s="4" t="str">
        <f>IFERROR(__xludf.DUMMYFUNCTION("GOOGLETRANSLATE(C67, ""en"", ""id"")"),"B) Penghenti keamanan")</f>
        <v>B) Penghenti keamanan</v>
      </c>
      <c r="I67" s="4" t="str">
        <f>IFERROR(__xludf.DUMMYFUNCTION("GOOGLETRANSLATE(D67, ""en"", ""id"")"),"Peralatan yang longgar di lintasan merupakan bahaya yang mengharuskan balapan dihentikan demi keselamatan.")</f>
        <v>Peralatan yang longgar di lintasan merupakan bahaya yang mengharuskan balapan dihentikan demi keselamatan.</v>
      </c>
    </row>
    <row r="68">
      <c r="A68" s="3" t="s">
        <v>268</v>
      </c>
      <c r="B68" s="3" t="s">
        <v>269</v>
      </c>
      <c r="C68" s="3" t="s">
        <v>270</v>
      </c>
      <c r="D68" s="3" t="s">
        <v>271</v>
      </c>
      <c r="F68" s="4" t="str">
        <f>IFERROR(__xludf.DUMMYFUNCTION("GOOGLETRANSLATE(A68, ""en"", ""id"")"),"Berapa jarak minimum yang harus dijaga seorang asisten dari bantengnya saat memberikan isyarat vokal?")</f>
        <v>Berapa jarak minimum yang harus dijaga seorang asisten dari bantengnya saat memberikan isyarat vokal?</v>
      </c>
      <c r="G68" s="4" t="str">
        <f>IFERROR(__xludf.DUMMYFUNCTION("GOOGLETRANSLATE(B68, ""en"", ""id"")"),"A) Tidak ada batas, B) ≥1 m, C) ≥2 m, D) ≥3 m")</f>
        <v>A) Tidak ada batas, B) ≥1 m, C) ≥2 m, D) ≥3 m</v>
      </c>
      <c r="H68" s="4" t="str">
        <f>IFERROR(__xludf.DUMMYFUNCTION("GOOGLETRANSLATE(C68, ""en"", ""id"")"),"C) ≥2 m")</f>
        <v>C) ≥2 m</v>
      </c>
      <c r="I68" s="4" t="str">
        <f>IFERROR(__xludf.DUMMYFUNCTION("GOOGLETRANSLATE(D68, ""en"", ""id"")"),"Aturan jarak minimum mencegah teriakan dari jarak dekat yang dapat menakuti banteng lawan.")</f>
        <v>Aturan jarak minimum mencegah teriakan dari jarak dekat yang dapat menakuti banteng lawan.</v>
      </c>
    </row>
    <row r="69">
      <c r="A69" s="3" t="s">
        <v>272</v>
      </c>
      <c r="B69" s="3" t="s">
        <v>273</v>
      </c>
      <c r="C69" s="3" t="s">
        <v>274</v>
      </c>
      <c r="D69" s="3" t="s">
        <v>275</v>
      </c>
      <c r="F69" s="4" t="str">
        <f>IFERROR(__xludf.DUMMYFUNCTION("GOOGLETRANSLATE(A69, ""en"", ""id"")"),"Jika suatu tim menolak pemeriksaan dokter hewan wajib pasca-perlombaan:")</f>
        <v>Jika suatu tim menolak pemeriksaan dokter hewan wajib pasca-perlombaan:</v>
      </c>
      <c r="G69" s="4" t="str">
        <f>IFERROR(__xludf.DUMMYFUNCTION("GOOGLETRANSLATE(B69, ""en"", ""id"")"),"A) Peringatan, B) Hadiah hangus + hasil dibatalkan, C) Hanya denda, D) Ditangguhkan hanya pada babak berikutnya")</f>
        <v>A) Peringatan, B) Hadiah hangus + hasil dibatalkan, C) Hanya denda, D) Ditangguhkan hanya pada babak berikutnya</v>
      </c>
      <c r="H69" s="4" t="str">
        <f>IFERROR(__xludf.DUMMYFUNCTION("GOOGLETRANSLATE(C69, ""en"", ""id"")"),"B) Hadiah hangus + hasil dibatalkan")</f>
        <v>B) Hadiah hangus + hasil dibatalkan</v>
      </c>
      <c r="I69" s="4" t="str">
        <f>IFERROR(__xludf.DUMMYFUNCTION("GOOGLETRANSLATE(D69, ""en"", ""id"")"),"Penolakan untuk mematuhi pemeriksaan dokter hewan merupakan pelanggaran serius yang membatalkan kinerja.")</f>
        <v>Penolakan untuk mematuhi pemeriksaan dokter hewan merupakan pelanggaran serius yang membatalkan kinerja.</v>
      </c>
    </row>
    <row r="70">
      <c r="A70" s="3" t="s">
        <v>276</v>
      </c>
      <c r="B70" s="3" t="s">
        <v>277</v>
      </c>
      <c r="C70" s="3" t="s">
        <v>278</v>
      </c>
      <c r="D70" s="3" t="s">
        <v>279</v>
      </c>
      <c r="F70" s="4" t="str">
        <f>IFERROR(__xludf.DUMMYFUNCTION("GOOGLETRANSLATE(A70, ""en"", ""id"")"),"Penentuan unggulan untuk babak sistem gugur terutama didasarkan pada:")</f>
        <v>Penentuan unggulan untuk babak sistem gugur terutama didasarkan pada:</v>
      </c>
      <c r="G70" s="4" t="str">
        <f>IFERROR(__xludf.DUMMYFUNCTION("GOOGLETRANSLATE(B70, ""en"", ""id"")"),"A) Status pemilik, B) Waktu kualifikasi, C) Gelar sebelumnya, D) Undian acak")</f>
        <v>A) Status pemilik, B) Waktu kualifikasi, C) Gelar sebelumnya, D) Undian acak</v>
      </c>
      <c r="H70" s="4" t="str">
        <f>IFERROR(__xludf.DUMMYFUNCTION("GOOGLETRANSLATE(C70, ""en"", ""id"")"),"B) Waktu kualifikasi")</f>
        <v>B) Waktu kualifikasi</v>
      </c>
      <c r="I70" s="4" t="str">
        <f>IFERROR(__xludf.DUMMYFUNCTION("GOOGLETRANSLATE(D70, ""en"", ""id"")"),"Penempatan berdasarkan waktu objektif dari babak kualifikasi digunakan untuk menyusun braket akhir.")</f>
        <v>Penempatan berdasarkan waktu objektif dari babak kualifikasi digunakan untuk menyusun braket akhir.</v>
      </c>
    </row>
    <row r="71">
      <c r="A71" s="3" t="s">
        <v>280</v>
      </c>
      <c r="B71" s="3" t="s">
        <v>281</v>
      </c>
      <c r="C71" s="3" t="s">
        <v>282</v>
      </c>
      <c r="D71" s="3" t="s">
        <v>283</v>
      </c>
      <c r="F71" s="4" t="str">
        <f>IFERROR(__xludf.DUMMYFUNCTION("GOOGLETRANSLATE(A71, ""en"", ""id"")"),"Berapa lebar minimum alas pijakan kereta luncur agar tidak menusuk lintasan?")</f>
        <v>Berapa lebar minimum alas pijakan kereta luncur agar tidak menusuk lintasan?</v>
      </c>
      <c r="G71" s="4" t="str">
        <f>IFERROR(__xludf.DUMMYFUNCTION("GOOGLETRANSLATE(B71, ""en"", ""id"")"),"A) 5 cm, B) 7 cm, C) 9 cm, D) 11 cm")</f>
        <v>A) 5 cm, B) 7 cm, C) 9 cm, D) 11 cm</v>
      </c>
      <c r="H71" s="4" t="str">
        <f>IFERROR(__xludf.DUMMYFUNCTION("GOOGLETRANSLATE(C71, ""en"", ""id"")"),"C) 9 cm")</f>
        <v>C) 9 cm</v>
      </c>
      <c r="I71" s="4" t="str">
        <f>IFERROR(__xludf.DUMMYFUNCTION("GOOGLETRANSLATE(D71, ""en"", ""id"")"),"Lebar minimum adalah standar keselamatan desain untuk mencegah kereta luncur menggores permukaan lintasan.")</f>
        <v>Lebar minimum adalah standar keselamatan desain untuk mencegah kereta luncur menggores permukaan lintasan.</v>
      </c>
    </row>
    <row r="72">
      <c r="A72" s="3" t="s">
        <v>284</v>
      </c>
      <c r="B72" s="3" t="s">
        <v>285</v>
      </c>
      <c r="C72" s="3" t="s">
        <v>286</v>
      </c>
      <c r="D72" s="3" t="s">
        <v>287</v>
      </c>
      <c r="F72" s="4" t="str">
        <f>IFERROR(__xludf.DUMMYFUNCTION("GOOGLETRANSLATE(A72, ""en"", ""id"")"),"Juri harus mengumumkan hasil resmi dalam jangka waktu berapa lama setelah babak penyisihan?")</f>
        <v>Juri harus mengumumkan hasil resmi dalam jangka waktu berapa lama setelah babak penyisihan?</v>
      </c>
      <c r="G72" s="4" t="str">
        <f>IFERROR(__xludf.DUMMYFUNCTION("GOOGLETRANSLATE(B72, ""en"", ""id"")"),"A) 2 menit, B) 5 menit, C) 10 menit, D) 15 menit")</f>
        <v>A) 2 menit, B) 5 menit, C) 10 menit, D) 15 menit</v>
      </c>
      <c r="H72" s="4" t="str">
        <f>IFERROR(__xludf.DUMMYFUNCTION("GOOGLETRANSLATE(C72, ""en"", ""id"")"),"C) 10 menit")</f>
        <v>C) 10 menit</v>
      </c>
      <c r="I72" s="4" t="str">
        <f>IFERROR(__xludf.DUMMYFUNCTION("GOOGLETRANSLATE(D72, ""en"", ""id"")"),"Pengumuman hasil resmi yang tepat waktu diperlukan untuk memberi waktu bagi pelaksanaan protes.")</f>
        <v>Pengumuman hasil resmi yang tepat waktu diperlukan untuk memberi waktu bagi pelaksanaan protes.</v>
      </c>
    </row>
    <row r="73">
      <c r="A73" s="3" t="s">
        <v>288</v>
      </c>
      <c r="B73" s="3" t="s">
        <v>289</v>
      </c>
      <c r="C73" s="3" t="s">
        <v>290</v>
      </c>
      <c r="D73" s="3" t="s">
        <v>291</v>
      </c>
      <c r="F73" s="4" t="str">
        <f>IFERROR(__xludf.DUMMYFUNCTION("GOOGLETRANSLATE(A73, ""en"", ""id"")"),"Permohonan banding terhadap keputusan protes harus diajukan dalam waktu:")</f>
        <v>Permohonan banding terhadap keputusan protes harus diajukan dalam waktu:</v>
      </c>
      <c r="G73" s="4" t="str">
        <f>IFERROR(__xludf.DUMMYFUNCTION("GOOGLETRANSLATE(B73, ""en"", ""id"")"),"A) 10 menit, B) 30 menit, C) 1 jam, D) Hari yang sama")</f>
        <v>A) 10 menit, B) 30 menit, C) 1 jam, D) Hari yang sama</v>
      </c>
      <c r="H73" s="4" t="str">
        <f>IFERROR(__xludf.DUMMYFUNCTION("GOOGLETRANSLATE(C73, ""en"", ""id"")"),"B) 30 menit")</f>
        <v>B) 30 menit</v>
      </c>
      <c r="I73" s="4" t="str">
        <f>IFERROR(__xludf.DUMMYFUNCTION("GOOGLETRANSLATE(D73, ""en"", ""id"")"),"Jendela waktu untuk mengajukan banding atas putusan hakim atas protes lebih pendek daripada jendela waktu protes awal.")</f>
        <v>Jendela waktu untuk mengajukan banding atas putusan hakim atas protes lebih pendek daripada jendela waktu protes awal.</v>
      </c>
    </row>
    <row r="74">
      <c r="A74" s="3" t="s">
        <v>292</v>
      </c>
      <c r="B74" s="3" t="s">
        <v>293</v>
      </c>
      <c r="C74" s="3" t="s">
        <v>294</v>
      </c>
      <c r="D74" s="3" t="s">
        <v>295</v>
      </c>
      <c r="F74" s="4" t="str">
        <f>IFERROR(__xludf.DUMMYFUNCTION("GOOGLETRANSLATE(A74, ""en"", ""id"")"),"Jika kain hias suatu tim terlepas dan mengenai kereta luncur lawan, maka keputusannya adalah:")</f>
        <v>Jika kain hias suatu tim terlepas dan mengenai kereta luncur lawan, maka keputusannya adalah:</v>
      </c>
      <c r="G74" s="4" t="str">
        <f>IFERROR(__xludf.DUMMYFUNCTION("GOOGLETRANSLATE(B74, ""en"", ""id"")"),"A) Lanjutkan, B) Kesalahan pada korban, C) Tim yang melanggar didiskualifikasi, D) Balapan ulang dengan peringatan")</f>
        <v>A) Lanjutkan, B) Kesalahan pada korban, C) Tim yang melanggar didiskualifikasi, D) Balapan ulang dengan peringatan</v>
      </c>
      <c r="H74" s="4" t="str">
        <f>IFERROR(__xludf.DUMMYFUNCTION("GOOGLETRANSLATE(C74, ""en"", ""id"")"),"C) Tim yang melanggar didiskualifikasi")</f>
        <v>C) Tim yang melanggar didiskualifikasi</v>
      </c>
      <c r="I74" s="4" t="str">
        <f>IFERROR(__xludf.DUMMYFUNCTION("GOOGLETRANSLATE(D74, ""en"", ""id"")"),"Tim bertanggung jawab untuk mengamankan perlengkapan mereka; barang lepas yang dapat mengganggu akan mengakibatkan DQ.")</f>
        <v>Tim bertanggung jawab untuk mengamankan perlengkapan mereka; barang lepas yang dapat mengganggu akan mengakibatkan DQ.</v>
      </c>
    </row>
    <row r="75">
      <c r="A75" s="3" t="s">
        <v>296</v>
      </c>
      <c r="B75" s="3" t="s">
        <v>297</v>
      </c>
      <c r="C75" s="3" t="s">
        <v>298</v>
      </c>
      <c r="D75" s="3" t="s">
        <v>299</v>
      </c>
      <c r="F75" s="4" t="str">
        <f>IFERROR(__xludf.DUMMYFUNCTION("GOOGLETRANSLATE(A75, ""en"", ""id"")"),"Waktu jeda medis bagi joki yang merasa pusing sebelum pentas dibatasi pada:")</f>
        <v>Waktu jeda medis bagi joki yang merasa pusing sebelum pentas dibatasi pada:</v>
      </c>
      <c r="G75" s="4" t="str">
        <f>IFERROR(__xludf.DUMMYFUNCTION("GOOGLETRANSLATE(B75, ""en"", ""id"")"),"A) 3 menit, B) 5 menit, C) 7 menit, D) 10 menit")</f>
        <v>A) 3 menit, B) 5 menit, C) 7 menit, D) 10 menit</v>
      </c>
      <c r="H75" s="4" t="str">
        <f>IFERROR(__xludf.DUMMYFUNCTION("GOOGLETRANSLATE(C75, ""en"", ""id"")"),"B) 5 menit")</f>
        <v>B) 5 menit</v>
      </c>
      <c r="I75" s="4" t="str">
        <f>IFERROR(__xludf.DUMMYFUNCTION("GOOGLETRANSLATE(D75, ""en"", ""id"")"),"Pemeriksaan medis singkat diperbolehkan tetapi dibatasi waktunya secara ketat untuk menghindari terganggunya jadwal.")</f>
        <v>Pemeriksaan medis singkat diperbolehkan tetapi dibatasi waktunya secara ketat untuk menghindari terganggunya jadwal.</v>
      </c>
    </row>
    <row r="76">
      <c r="A76" s="3" t="s">
        <v>300</v>
      </c>
      <c r="B76" s="3" t="s">
        <v>301</v>
      </c>
      <c r="C76" s="3" t="s">
        <v>302</v>
      </c>
      <c r="D76" s="3" t="s">
        <v>303</v>
      </c>
      <c r="F76" s="4" t="str">
        <f>IFERROR(__xludf.DUMMYFUNCTION("GOOGLETRANSLATE(A76, ""en"", ""id"")"),"Jika suatu tim kedapatan menggunakan dua cambuk (satu disembunyikan) pasca-perlombaan:")</f>
        <v>Jika suatu tim kedapatan menggunakan dua cambuk (satu disembunyikan) pasca-perlombaan:</v>
      </c>
      <c r="G76" s="4" t="str">
        <f>IFERROR(__xludf.DUMMYFUNCTION("GOOGLETRANSLATE(B76, ""en"", ""id"")"),"A) Peringatan untuk babak selanjutnya, B) Hukuman waktu, C) Diskualifikasi dan pembatalan, D) Hanya denda")</f>
        <v>A) Peringatan untuk babak selanjutnya, B) Hukuman waktu, C) Diskualifikasi dan pembatalan, D) Hanya denda</v>
      </c>
      <c r="H76" s="4" t="str">
        <f>IFERROR(__xludf.DUMMYFUNCTION("GOOGLETRANSLATE(C76, ""en"", ""id"")"),"C) Diskualifikasi dan pembatalan")</f>
        <v>C) Diskualifikasi dan pembatalan</v>
      </c>
      <c r="I76" s="4" t="str">
        <f>IFERROR(__xludf.DUMMYFUNCTION("GOOGLETRANSLATE(D76, ""en"", ""id"")"),"Penemuan peralatan ilegal, bahkan setelah perlombaan, dapat mengakibatkan diskualifikasi retroaktif.")</f>
        <v>Penemuan peralatan ilegal, bahkan setelah perlombaan, dapat mengakibatkan diskualifikasi retroaktif.</v>
      </c>
    </row>
    <row r="77">
      <c r="A77" s="3" t="s">
        <v>304</v>
      </c>
      <c r="B77" s="3" t="s">
        <v>305</v>
      </c>
      <c r="C77" s="3" t="s">
        <v>306</v>
      </c>
      <c r="D77" s="3" t="s">
        <v>307</v>
      </c>
      <c r="F77" s="4" t="str">
        <f>IFERROR(__xludf.DUMMYFUNCTION("GOOGLETRANSLATE(A77, ""en"", ""id"")"),"Jika sensor elektronik gagal berfungsi di tengah hari, waktu resmi kembali ke:")</f>
        <v>Jika sensor elektronik gagal berfungsi di tengah hari, waktu resmi kembali ke:</v>
      </c>
      <c r="G77" s="4" t="str">
        <f>IFERROR(__xludf.DUMMYFUNCTION("GOOGLETRANSLATE(B77, ""en"", ""id"")"),"A) Rata-rata juri, B) Hanya juri utama, C) Persetujuan juri ganda + video cadangan, D) Jumlah penonton")</f>
        <v>A) Rata-rata juri, B) Hanya juri utama, C) Persetujuan juri ganda + video cadangan, D) Jumlah penonton</v>
      </c>
      <c r="H77" s="4" t="str">
        <f>IFERROR(__xludf.DUMMYFUNCTION("GOOGLETRANSLATE(C77, ""en"", ""id"")"),"C) Persetujuan hakim ganda + video cadangan")</f>
        <v>C) Persetujuan hakim ganda + video cadangan</v>
      </c>
      <c r="I77" s="4" t="str">
        <f>IFERROR(__xludf.DUMMYFUNCTION("GOOGLETRANSLATE(D77, ""en"", ""id"")"),"Protokol redundansi yang melibatkan hakim manusia dan video digunakan untuk menjaga akurasi waktu.")</f>
        <v>Protokol redundansi yang melibatkan hakim manusia dan video digunakan untuk menjaga akurasi waktu.</v>
      </c>
    </row>
    <row r="78">
      <c r="A78" s="3" t="s">
        <v>308</v>
      </c>
      <c r="B78" s="3" t="s">
        <v>309</v>
      </c>
      <c r="C78" s="3" t="s">
        <v>310</v>
      </c>
      <c r="D78" s="3" t="s">
        <v>311</v>
      </c>
      <c r="F78" s="4" t="str">
        <f>IFERROR(__xludf.DUMMYFUNCTION("GOOGLETRANSLATE(A78, ""en"", ""id"")"),"Berapa massa kereta luncur maksimum yang diizinkan (tanpa muatan)?")</f>
        <v>Berapa massa kereta luncur maksimum yang diizinkan (tanpa muatan)?</v>
      </c>
      <c r="G78" s="4" t="str">
        <f>IFERROR(__xludf.DUMMYFUNCTION("GOOGLETRANSLATE(B78, ""en"", ""id"")"),"A) 6kg, B) 7kg, C) 8kg, D) 9kg")</f>
        <v>A) 6kg, B) 7kg, C) 8kg, D) 9kg</v>
      </c>
      <c r="H78" s="4" t="str">
        <f>IFERROR(__xludf.DUMMYFUNCTION("GOOGLETRANSLATE(C78, ""en"", ""id"")"),"C) 8 kg")</f>
        <v>C) 8 kg</v>
      </c>
      <c r="I78" s="4" t="str">
        <f>IFERROR(__xludf.DUMMYFUNCTION("GOOGLETRANSLATE(D78, ""en"", ""id"")"),"Batasan berat kereta luncur diberlakukan untuk menjaga paritas kompetitif antar tim.")</f>
        <v>Batasan berat kereta luncur diberlakukan untuk menjaga paritas kompetitif antar tim.</v>
      </c>
    </row>
    <row r="79">
      <c r="A79" s="3" t="s">
        <v>312</v>
      </c>
      <c r="B79" s="3" t="s">
        <v>313</v>
      </c>
      <c r="C79" s="3" t="s">
        <v>314</v>
      </c>
      <c r="D79" s="3" t="s">
        <v>315</v>
      </c>
      <c r="F79" s="4" t="str">
        <f>IFERROR(__xludf.DUMMYFUNCTION("GOOGLETRANSLATE(A79, ""en"", ""id"")"),"Jika berat gabungan banteng berada di bawah kelas yang dideklarasikan sebesar &gt;5 kg pada saat penimbangan ulang:")</f>
        <v>Jika berat gabungan banteng berada di bawah kelas yang dideklarasikan sebesar &gt;5 kg pada saat penimbangan ulang:</v>
      </c>
      <c r="G79" s="4" t="str">
        <f>IFERROR(__xludf.DUMMYFUNCTION("GOOGLETRANSLATE(B79, ""en"", ""id"")"),"A) Catatan saja, B) Turunkan ke kelas yang lebih rendah, C) Didiskualifikasi karena deklarasi yang salah, D) Hukuman 2 detik")</f>
        <v>A) Catatan saja, B) Turunkan ke kelas yang lebih rendah, C) Didiskualifikasi karena deklarasi yang salah, D) Hukuman 2 detik</v>
      </c>
      <c r="H79" s="4" t="str">
        <f>IFERROR(__xludf.DUMMYFUNCTION("GOOGLETRANSLATE(C79, ""en"", ""id"")"),"C) Didiskualifikasi karena pernyataan yang salah")</f>
        <v>C) Didiskualifikasi karena pernyataan yang salah</v>
      </c>
      <c r="I79" s="4" t="str">
        <f>IFERROR(__xludf.DUMMYFUNCTION("GOOGLETRANSLATE(D79, ""en"", ""id"")"),"Sengaja berkompetisi di kelas berat yang salah merupakan pelanggaran yang dapat mengakibatkan diskualifikasi.")</f>
        <v>Sengaja berkompetisi di kelas berat yang salah merupakan pelanggaran yang dapat mengakibatkan diskualifikasi.</v>
      </c>
    </row>
    <row r="80">
      <c r="A80" s="3" t="s">
        <v>316</v>
      </c>
      <c r="B80" s="3" t="s">
        <v>317</v>
      </c>
      <c r="C80" s="3" t="s">
        <v>318</v>
      </c>
      <c r="D80" s="3" t="s">
        <v>319</v>
      </c>
      <c r="F80" s="4" t="str">
        <f>IFERROR(__xludf.DUMMYFUNCTION("GOOGLETRANSLATE(A80, ""en"", ""id"")"),"Selama perlombaan ulang yang dipesan setelah babak penyisihan tidak ada, urutan panggilannya adalah:")</f>
        <v>Selama perlombaan ulang yang dipesan setelah babak penyisihan tidak ada, urutan panggilannya adalah:</v>
      </c>
      <c r="G80" s="4" t="str">
        <f>IFERROR(__xludf.DUMMYFUNCTION("GOOGLETRANSLATE(B80, ""en"", ""id"")"),"A) Urutan asli, B) Tim yang lebih lambat terlebih dahulu, C) Diacak lagi, D) Unggulan yang lebih tinggi terlebih dahulu")</f>
        <v>A) Urutan asli, B) Tim yang lebih lambat terlebih dahulu, C) Diacak lagi, D) Unggulan yang lebih tinggi terlebih dahulu</v>
      </c>
      <c r="H80" s="4" t="str">
        <f>IFERROR(__xludf.DUMMYFUNCTION("GOOGLETRANSLATE(C80, ""en"", ""id"")"),"C) Diacak ulang")</f>
        <v>C) Diacak ulang</v>
      </c>
      <c r="I80" s="4" t="str">
        <f>IFERROR(__xludf.DUMMYFUNCTION("GOOGLETRANSLATE(D80, ""en"", ""id"")"),"Untuk memastikan keadilan, pengundian acak baru untuk jalur dan urutan mulai dilakukan.")</f>
        <v>Untuk memastikan keadilan, pengundian acak baru untuk jalur dan urutan mulai dilakukan.</v>
      </c>
    </row>
    <row r="81">
      <c r="A81" s="3" t="s">
        <v>320</v>
      </c>
      <c r="B81" s="3" t="s">
        <v>321</v>
      </c>
      <c r="C81" s="3" t="s">
        <v>322</v>
      </c>
      <c r="D81" s="3" t="s">
        <v>323</v>
      </c>
      <c r="F81" s="4" t="str">
        <f>IFERROR(__xludf.DUMMYFUNCTION("GOOGLETRANSLATE(A81, ""en"", ""id"")"),"Apa hukuman bagi joki yang dengan sengaja memukul asisten lawan?")</f>
        <v>Apa hukuman bagi joki yang dengan sengaja memukul asisten lawan?</v>
      </c>
      <c r="G81" s="4" t="str">
        <f>IFERROR(__xludf.DUMMYFUNCTION("GOOGLETRANSLATE(B81, ""en"", ""id"")"),"A) Peringatan, B) Hanya denda, C) Diskualifikasi langsung + tinjauan disiplin, D) Balapan ulang")</f>
        <v>A) Peringatan, B) Hanya denda, C) Diskualifikasi langsung + tinjauan disiplin, D) Balapan ulang</v>
      </c>
      <c r="H81" s="4" t="str">
        <f>IFERROR(__xludf.DUMMYFUNCTION("GOOGLETRANSLATE(C81, ""en"", ""id"")"),"C) Diskualifikasi langsung + tinjauan disiplin")</f>
        <v>C) Diskualifikasi langsung + tinjauan disiplin</v>
      </c>
      <c r="I81" s="4" t="str">
        <f>IFERROR(__xludf.DUMMYFUNCTION("GOOGLETRANSLATE(D81, ""en"", ""id"")"),"Perilaku yang kasar atau tidak sportif dapat memicu DQ langsung dan peninjauan untuk sanksi lebih lanjut.")</f>
        <v>Perilaku yang kasar atau tidak sportif dapat memicu DQ langsung dan peninjauan untuk sanksi lebih lanjut.</v>
      </c>
    </row>
    <row r="82">
      <c r="A82" s="3" t="s">
        <v>324</v>
      </c>
      <c r="B82" s="3" t="s">
        <v>325</v>
      </c>
      <c r="C82" s="3" t="s">
        <v>326</v>
      </c>
      <c r="D82" s="3" t="s">
        <v>327</v>
      </c>
      <c r="F82" s="4" t="str">
        <f>IFERROR(__xludf.DUMMYFUNCTION("GOOGLETRANSLATE(A82, ""en"", ""id"")"),"Untuk final, berapa jeda waktu istirahat minimal setelah semifinal bagi banteng juara?")</f>
        <v>Untuk final, berapa jeda waktu istirahat minimal setelah semifinal bagi banteng juara?</v>
      </c>
      <c r="G82" s="4" t="str">
        <f>IFERROR(__xludf.DUMMYFUNCTION("GOOGLETRANSLATE(B82, ""en"", ""id"")"),"A) 10 menit, B) 15 menit, C) 20 menit, D) 30 menit")</f>
        <v>A) 10 menit, B) 15 menit, C) 20 menit, D) 30 menit</v>
      </c>
      <c r="H82" s="4" t="str">
        <f>IFERROR(__xludf.DUMMYFUNCTION("GOOGLETRANSLATE(C82, ""en"", ""id"")"),"D) 30 menit")</f>
        <v>D) 30 menit</v>
      </c>
      <c r="I82" s="4" t="str">
        <f>IFERROR(__xludf.DUMMYFUNCTION("GOOGLETRANSLATE(D82, ""en"", ""id"")"),"Periode istirahat yang diperpanjang diwajibkan untuk melindungi kesejahteraan hewan sebelum perlombaan kejuaraan.")</f>
        <v>Periode istirahat yang diperpanjang diwajibkan untuk melindungi kesejahteraan hewan sebelum perlombaan kejuaraan.</v>
      </c>
    </row>
    <row r="83">
      <c r="A83" s="3" t="s">
        <v>328</v>
      </c>
      <c r="B83" s="3" t="s">
        <v>329</v>
      </c>
      <c r="C83" s="3" t="s">
        <v>330</v>
      </c>
      <c r="D83" s="3" t="s">
        <v>331</v>
      </c>
      <c r="F83" s="4" t="str">
        <f>IFERROR(__xludf.DUMMYFUNCTION("GOOGLETRANSLATE(A83, ""en"", ""id"")"),"Apa peran penting joki selain mengemudikan?")</f>
        <v>Apa peran penting joki selain mengemudikan?</v>
      </c>
      <c r="G83" s="4" t="str">
        <f>IFERROR(__xludf.DUMMYFUNCTION("GOOGLETRANSLATE(B83, ""en"", ""id"")"),"A) Menunggangi banteng, B) Menyeimbangkan kereta luncur, C) Bersorak, D) Mengibarkan bendera")</f>
        <v>A) Menunggangi banteng, B) Menyeimbangkan kereta luncur, C) Bersorak, D) Mengibarkan bendera</v>
      </c>
      <c r="H83" s="4" t="str">
        <f>IFERROR(__xludf.DUMMYFUNCTION("GOOGLETRANSLATE(C83, ""en"", ""id"")"),"B) Menyeimbangkan kereta luncur")</f>
        <v>B) Menyeimbangkan kereta luncur</v>
      </c>
      <c r="I83" s="4" t="str">
        <f>IFERROR(__xludf.DUMMYFUNCTION("GOOGLETRANSLATE(D83, ""en"", ""id"")"),"Joki harus terus-menerus menggeser berat badannya untuk menjaga kereta luncur ringan tetap stabil pada kecepatan tinggi.")</f>
        <v>Joki harus terus-menerus menggeser berat badannya untuk menjaga kereta luncur ringan tetap stabil pada kecepatan tinggi.</v>
      </c>
    </row>
    <row r="84">
      <c r="A84" s="3" t="s">
        <v>332</v>
      </c>
      <c r="B84" s="3" t="s">
        <v>333</v>
      </c>
      <c r="C84" s="3" t="s">
        <v>334</v>
      </c>
      <c r="D84" s="3" t="s">
        <v>335</v>
      </c>
      <c r="F84" s="4" t="str">
        <f>IFERROR(__xludf.DUMMYFUNCTION("GOOGLETRANSLATE(A84, ""en"", ""id"")"),"Apa musim tradisional untuk lomba Karapan Sapi?")</f>
        <v>Apa musim tradisional untuk lomba Karapan Sapi?</v>
      </c>
      <c r="G84" s="4" t="str">
        <f>IFERROR(__xludf.DUMMYFUNCTION("GOOGLETRANSLATE(B84, ""en"", ""id"")"),"A) Januari sampai Maret, B) Maret sampai Mei, C) Juli sampai Oktober, D) November sampai Desember")</f>
        <v>A) Januari sampai Maret, B) Maret sampai Mei, C) Juli sampai Oktober, D) November sampai Desember</v>
      </c>
      <c r="H84" s="4" t="str">
        <f>IFERROR(__xludf.DUMMYFUNCTION("GOOGLETRANSLATE(C84, ""en"", ""id"")"),"C) Juli sampai Oktober")</f>
        <v>C) Juli sampai Oktober</v>
      </c>
      <c r="I84" s="4" t="str">
        <f>IFERROR(__xludf.DUMMYFUNCTION("GOOGLETRANSLATE(D84, ""en"", ""id"")"),"Perlombaan diadakan pada musim kemarau setelah panen padi selesai.")</f>
        <v>Perlombaan diadakan pada musim kemarau setelah panen padi selesai.</v>
      </c>
    </row>
    <row r="85">
      <c r="A85" s="3" t="s">
        <v>336</v>
      </c>
      <c r="B85" s="3" t="s">
        <v>337</v>
      </c>
      <c r="C85" s="3" t="s">
        <v>338</v>
      </c>
      <c r="D85" s="3" t="s">
        <v>339</v>
      </c>
      <c r="F85" s="4" t="str">
        <f>IFERROR(__xludf.DUMMYFUNCTION("GOOGLETRANSLATE(A85, ""en"", ""id"")"),"Apa hadiah umum untuk memenangkan lomba Karapan Sapi besar?")</f>
        <v>Apa hadiah umum untuk memenangkan lomba Karapan Sapi besar?</v>
      </c>
      <c r="G85" s="4" t="str">
        <f>IFERROR(__xludf.DUMMYFUNCTION("GOOGLETRANSLATE(B85, ""en"", ""id"")"),"A) Pekerjaan pemerintah, B) Uang dan prestise, C) Rumah baru, D) Sebidang tanah")</f>
        <v>A) Pekerjaan pemerintah, B) Uang dan prestise, C) Rumah baru, D) Sebidang tanah</v>
      </c>
      <c r="H85" s="4" t="str">
        <f>IFERROR(__xludf.DUMMYFUNCTION("GOOGLETRANSLATE(C85, ""en"", ""id"")"),"B) Uang dan prestise")</f>
        <v>B) Uang dan prestise</v>
      </c>
      <c r="I85" s="4" t="str">
        <f>IFERROR(__xludf.DUMMYFUNCTION("GOOGLETRANSLATE(D85, ""en"", ""id"")"),"Pemenang menerima hadiah uang tunai, piala, dan status sosial serta prestise yang signifikan bagi desa mereka.")</f>
        <v>Pemenang menerima hadiah uang tunai, piala, dan status sosial serta prestise yang signifikan bagi desa mereka.</v>
      </c>
    </row>
    <row r="86">
      <c r="A86" s="3" t="s">
        <v>340</v>
      </c>
      <c r="B86" s="3" t="s">
        <v>341</v>
      </c>
      <c r="C86" s="3" t="s">
        <v>342</v>
      </c>
      <c r="D86" s="3" t="s">
        <v>343</v>
      </c>
      <c r="F86" s="4" t="str">
        <f>IFERROR(__xludf.DUMMYFUNCTION("GOOGLETRANSLATE(A86, ""en"", ""id"")"),"Apa komponen utama makanan khusus banteng balap?")</f>
        <v>Apa komponen utama makanan khusus banteng balap?</v>
      </c>
      <c r="G86" s="4" t="str">
        <f>IFERROR(__xludf.DUMMYFUNCTION("GOOGLETRANSLATE(B86, ""en"", ""id"")"),"A) Tebu, B) Telur mentah dan rempah-rempah, C) Biji-bijian impor, D) Tepung ikan")</f>
        <v>A) Tebu, B) Telur mentah dan rempah-rempah, C) Biji-bijian impor, D) Tepung ikan</v>
      </c>
      <c r="H86" s="4" t="str">
        <f>IFERROR(__xludf.DUMMYFUNCTION("GOOGLETRANSLATE(C86, ""en"", ""id"")"),"B) Telur mentah dan rempah-rempah")</f>
        <v>B) Telur mentah dan rempah-rempah</v>
      </c>
      <c r="I86" s="4" t="str">
        <f>IFERROR(__xludf.DUMMYFUNCTION("GOOGLETRANSLATE(D86, ""en"", ""id"")"),"Sapi jantan sering diberi makan makanan berprotein tinggi tradisional termasuk telur dan campuran herbal (*jamu*).")</f>
        <v>Sapi jantan sering diberi makan makanan berprotein tinggi tradisional termasuk telur dan campuran herbal (*jamu*).</v>
      </c>
    </row>
    <row r="87">
      <c r="A87" s="3" t="s">
        <v>344</v>
      </c>
      <c r="B87" s="3" t="s">
        <v>345</v>
      </c>
      <c r="C87" s="3" t="s">
        <v>346</v>
      </c>
      <c r="D87" s="3" t="s">
        <v>347</v>
      </c>
      <c r="F87" s="4" t="str">
        <f>IFERROR(__xludf.DUMMYFUNCTION("GOOGLETRANSLATE(A87, ""en"", ""id"")"),"Apa pakaian khas untuk joki dalam Karapan Sapi?")</f>
        <v>Apa pakaian khas untuk joki dalam Karapan Sapi?</v>
      </c>
      <c r="G87" s="4" t="str">
        <f>IFERROR(__xludf.DUMMYFUNCTION("GOOGLETRANSLATE(B87, ""en"", ""id"")"),"A) Pakaian balap seluruh badan, B) Pakaian adat Madura, C) Kostum berwarna cerah, D) Pakaian putih polos")</f>
        <v>A) Pakaian balap seluruh badan, B) Pakaian adat Madura, C) Kostum berwarna cerah, D) Pakaian putih polos</v>
      </c>
      <c r="H87" s="4" t="str">
        <f>IFERROR(__xludf.DUMMYFUNCTION("GOOGLETRANSLATE(C87, ""en"", ""id"")"),"B) Pakaian adat Madura")</f>
        <v>B) Pakaian adat Madura</v>
      </c>
      <c r="I87" s="4" t="str">
        <f>IFERROR(__xludf.DUMMYFUNCTION("GOOGLETRANSLATE(D87, ""en"", ""id"")"),"Para joki sering mengenakan pakaian tradisional Madura, seperti kemeja hitam dan celana berwarna cerah.")</f>
        <v>Para joki sering mengenakan pakaian tradisional Madura, seperti kemeja hitam dan celana berwarna cerah.</v>
      </c>
    </row>
    <row r="88">
      <c r="A88" s="3" t="s">
        <v>348</v>
      </c>
      <c r="B88" s="3" t="s">
        <v>349</v>
      </c>
      <c r="C88" s="3" t="s">
        <v>350</v>
      </c>
      <c r="D88" s="3" t="s">
        <v>351</v>
      </c>
      <c r="F88" s="4" t="str">
        <f>IFERROR(__xludf.DUMMYFUNCTION("GOOGLETRANSLATE(A88, ""en"", ""id"")"),"Apa yang terjadi pada banteng yang berprestasi dalam Karapan Sapi?")</f>
        <v>Apa yang terjadi pada banteng yang berprestasi dalam Karapan Sapi?</v>
      </c>
      <c r="G88" s="4" t="str">
        <f>IFERROR(__xludf.DUMMYFUNCTION("GOOGLETRANSLATE(B88, ""en"", ""id"")"),"A) Mereka dijual dengan harga tinggi, B) Mereka segera dipensiunkan, C) Mereka diikutkan dalam parade, D) Mereka dikirim ke pulau lain")</f>
        <v>A) Mereka dijual dengan harga tinggi, B) Mereka segera dipensiunkan, C) Mereka diikutkan dalam parade, D) Mereka dikirim ke pulau lain</v>
      </c>
      <c r="H88" s="4" t="str">
        <f>IFERROR(__xludf.DUMMYFUNCTION("GOOGLETRANSLATE(C88, ""en"", ""id"")"),"A) Mereka dijual dengan harga tinggi")</f>
        <v>A) Mereka dijual dengan harga tinggi</v>
      </c>
      <c r="I88" s="4" t="str">
        <f>IFERROR(__xludf.DUMMYFUNCTION("GOOGLETRANSLATE(D88, ""en"", ""id"")"),"Sapi jantan yang menang menjadi sangat berharga, meningkatkan kekayaan dan status pemiliknya.")</f>
        <v>Sapi jantan yang menang menjadi sangat berharga, meningkatkan kekayaan dan status pemiliknya.</v>
      </c>
    </row>
    <row r="89">
      <c r="A89" s="3" t="s">
        <v>352</v>
      </c>
      <c r="B89" s="3" t="s">
        <v>353</v>
      </c>
      <c r="C89" s="3" t="s">
        <v>354</v>
      </c>
      <c r="D89" s="3" t="s">
        <v>355</v>
      </c>
      <c r="F89" s="4" t="str">
        <f>IFERROR(__xludf.DUMMYFUNCTION("GOOGLETRANSLATE(A89, ""en"", ""id"")"),"Selain genderang, alat musik tradisional apa yang mengiringi lomba lari?")</f>
        <v>Selain genderang, alat musik tradisional apa yang mengiringi lomba lari?</v>
      </c>
      <c r="G89" s="4" t="str">
        <f>IFERROR(__xludf.DUMMYFUNCTION("GOOGLETRANSLATE(B89, ""en"", ""id"")"),"A) Saron (metalofon), B) Suling, C) Gong, D) Angklung")</f>
        <v>A) Saron (metalofon), B) Suling, C) Gong, D) Angklung</v>
      </c>
      <c r="H89" s="4" t="str">
        <f>IFERROR(__xludf.DUMMYFUNCTION("GOOGLETRANSLATE(C89, ""en"", ""id"")"),"A) Saron (metalofon)")</f>
        <v>A) Saron (metalofon)</v>
      </c>
      <c r="I89" s="4" t="str">
        <f>IFERROR(__xludf.DUMMYFUNCTION("GOOGLETRANSLATE(D89, ""en"", ""id"")"),"Orkestra Gamelan yang menampilkan saron menjadi pengiring musik yang meriah dalam acara tersebut.")</f>
        <v>Orkestra Gamelan yang menampilkan saron menjadi pengiring musik yang meriah dalam acara tersebut.</v>
      </c>
    </row>
    <row r="90">
      <c r="A90" s="3" t="s">
        <v>356</v>
      </c>
      <c r="B90" s="3" t="s">
        <v>357</v>
      </c>
      <c r="C90" s="3" t="s">
        <v>358</v>
      </c>
      <c r="D90" s="3" t="s">
        <v>359</v>
      </c>
      <c r="F90" s="4" t="str">
        <f>IFERROR(__xludf.DUMMYFUNCTION("GOOGLETRANSLATE(A90, ""en"", ""id"")"),"Kekhawatiran apa saja yang kadang muncul terkait kesejahteraan hewan terkait olahraga ini?")</f>
        <v>Kekhawatiran apa saja yang kadang muncul terkait kesejahteraan hewan terkait olahraga ini?</v>
      </c>
      <c r="G90" s="4" t="str">
        <f>IFERROR(__xludf.DUMMYFUNCTION("GOOGLETRANSLATE(B90, ""en"", ""id"")"),"A) Memaksa lembu jantan bekerja berlebihan, B) Makanan lembu jantan, C) Mandi berlebihan, D) Penggunaan kuk yang dihias")</f>
        <v>A) Memaksa lembu jantan bekerja berlebihan, B) Makanan lembu jantan, C) Mandi berlebihan, D) Penggunaan kuk yang dihias</v>
      </c>
      <c r="H90" s="4" t="str">
        <f>IFERROR(__xludf.DUMMYFUNCTION("GOOGLETRANSLATE(C90, ""en"", ""id"")"),"A) Memaksa banteng bekerja terlalu keras")</f>
        <v>A) Memaksa banteng bekerja terlalu keras</v>
      </c>
      <c r="I90" s="4" t="str">
        <f>IFERROR(__xludf.DUMMYFUNCTION("GOOGLETRANSLATE(D90, ""en"", ""id"")"),"Ada kekhawatiran tentang ketegangan fisik dan penggunaan cambuk selama pelatihan dan balapan.")</f>
        <v>Ada kekhawatiran tentang ketegangan fisik dan penggunaan cambuk selama pelatihan dan balapan.</v>
      </c>
    </row>
    <row r="91">
      <c r="A91" s="3" t="s">
        <v>360</v>
      </c>
      <c r="B91" s="3" t="s">
        <v>361</v>
      </c>
      <c r="C91" s="3" t="s">
        <v>362</v>
      </c>
      <c r="D91" s="3" t="s">
        <v>363</v>
      </c>
      <c r="F91" s="4" t="str">
        <f>IFERROR(__xludf.DUMMYFUNCTION("GOOGLETRANSLATE(A91, ""en"", ""id"")"),"Elemen budaya apa yang sering mendahului ras utama?")</f>
        <v>Elemen budaya apa yang sering mendahului ras utama?</v>
      </c>
      <c r="G91" s="4" t="str">
        <f>IFERROR(__xludf.DUMMYFUNCTION("GOOGLETRANSLATE(B91, ""en"", ""id"")"),"A) Kontes kecantikan banteng, B) Pesta bersama, C) Pertunjukan seni bela diri, D) Pertunjukan wayang kulit")</f>
        <v>A) Kontes kecantikan banteng, B) Pesta bersama, C) Pertunjukan seni bela diri, D) Pertunjukan wayang kulit</v>
      </c>
      <c r="H91" s="4" t="str">
        <f>IFERROR(__xludf.DUMMYFUNCTION("GOOGLETRANSLATE(C91, ""en"", ""id"")"),"A) Kontes kecantikan banteng")</f>
        <v>A) Kontes kecantikan banteng</v>
      </c>
      <c r="I91" s="4" t="str">
        <f>IFERROR(__xludf.DUMMYFUNCTION("GOOGLETRANSLATE(D91, ""en"", ""id"")"),"Acara sering diawali dengan arak-arakan dan kontes (*Sapi Sonok*) untuk mencari sapi jantan yang paling cantik dan terawat.")</f>
        <v>Acara sering diawali dengan arak-arakan dan kontes (*Sapi Sonok*) untuk mencari sapi jantan yang paling cantik dan terawat.</v>
      </c>
    </row>
    <row r="92">
      <c r="A92" s="3" t="s">
        <v>364</v>
      </c>
      <c r="B92" s="3" t="s">
        <v>365</v>
      </c>
      <c r="C92" s="3" t="s">
        <v>366</v>
      </c>
      <c r="D92" s="3" t="s">
        <v>367</v>
      </c>
      <c r="F92" s="4" t="str">
        <f>IFERROR(__xludf.DUMMYFUNCTION("GOOGLETRANSLATE(A92, ""en"", ""id"")"),"Bagaimana banteng sering dilatih untuk membangun stamina?")</f>
        <v>Bagaimana banteng sering dilatih untuk membangun stamina?</v>
      </c>
      <c r="G92" s="4" t="str">
        <f>IFERROR(__xludf.DUMMYFUNCTION("GOOGLETRANSLATE(B92, ""en"", ""id"")"),"A) Angkat beban, B) Berenang di laut, C) Mendaki bukit, D) Membajak ladang khusus")</f>
        <v>A) Angkat beban, B) Berenang di laut, C) Mendaki bukit, D) Membajak ladang khusus</v>
      </c>
      <c r="H92" s="4" t="str">
        <f>IFERROR(__xludf.DUMMYFUNCTION("GOOGLETRANSLATE(C92, ""en"", ""id"")"),"B) Berenang di laut")</f>
        <v>B) Berenang di laut</v>
      </c>
      <c r="I92" s="4" t="str">
        <f>IFERROR(__xludf.DUMMYFUNCTION("GOOGLETRANSLATE(D92, ""en"", ""id"")"),"Banteng sering dibawa ke pantai dan dibuat berenang atau berlari di air untuk membangun otot.")</f>
        <v>Banteng sering dibawa ke pantai dan dibuat berenang atau berlari di air untuk membangun otot.</v>
      </c>
    </row>
    <row r="93">
      <c r="A93" s="3" t="s">
        <v>368</v>
      </c>
      <c r="B93" s="3" t="s">
        <v>369</v>
      </c>
      <c r="C93" s="3" t="s">
        <v>370</v>
      </c>
      <c r="D93" s="3" t="s">
        <v>371</v>
      </c>
      <c r="F93" s="4" t="str">
        <f>IFERROR(__xludf.DUMMYFUNCTION("GOOGLETRANSLATE(A93, ""en"", ""id"")"),"Apa bahan umum yang dioleskan pada tanduk banteng sebelum lomba?")</f>
        <v>Apa bahan umum yang dioleskan pada tanduk banteng sebelum lomba?</v>
      </c>
      <c r="G93" s="4" t="str">
        <f>IFERROR(__xludf.DUMMYFUNCTION("GOOGLETRANSLATE(B93, ""en"", ""id"")"),"A) Minyak, B) Cat, C) Air, D) Pasir")</f>
        <v>A) Minyak, B) Cat, C) Air, D) Pasir</v>
      </c>
      <c r="H93" s="4" t="str">
        <f>IFERROR(__xludf.DUMMYFUNCTION("GOOGLETRANSLATE(C93, ""en"", ""id"")"),"A) Minyak")</f>
        <v>A) Minyak</v>
      </c>
      <c r="I93" s="4" t="str">
        <f>IFERROR(__xludf.DUMMYFUNCTION("GOOGLETRANSLATE(D93, ""en"", ""id"")"),"Minyak kadang-kadang dioleskan ke tanduk untuk kilau estetika dan sebagai bagian dari tradisi.")</f>
        <v>Minyak kadang-kadang dioleskan ke tanduk untuk kilau estetika dan sebagai bagian dari tradisi.</v>
      </c>
    </row>
    <row r="94">
      <c r="A94" s="3" t="s">
        <v>372</v>
      </c>
      <c r="B94" s="3" t="s">
        <v>373</v>
      </c>
      <c r="C94" s="3" t="s">
        <v>374</v>
      </c>
      <c r="D94" s="3" t="s">
        <v>375</v>
      </c>
      <c r="F94" s="4" t="str">
        <f>IFERROR(__xludf.DUMMYFUNCTION("GOOGLETRANSLATE(A94, ""en"", ""id"")"),"Pada bulan apa biasanya grand final Karapan Sapi diadakan?")</f>
        <v>Pada bulan apa biasanya grand final Karapan Sapi diadakan?</v>
      </c>
      <c r="G94" s="4" t="str">
        <f>IFERROR(__xludf.DUMMYFUNCTION("GOOGLETRANSLATE(B94, ""en"", ""id"")"),"A) September, B) Oktober, C) November, D) Desember")</f>
        <v>A) September, B) Oktober, C) November, D) Desember</v>
      </c>
      <c r="H94" s="4" t="str">
        <f>IFERROR(__xludf.DUMMYFUNCTION("GOOGLETRANSLATE(C94, ""en"", ""id"")"),"B) Oktober")</f>
        <v>B) Oktober</v>
      </c>
      <c r="I94" s="4" t="str">
        <f>IFERROR(__xludf.DUMMYFUNCTION("GOOGLETRANSLATE(D94, ""en"", ""id"")"),"Musim ini mencapai puncaknya di final besar, biasanya untuk Piala Presiden, pada bulan Oktober.")</f>
        <v>Musim ini mencapai puncaknya di final besar, biasanya untuk Piala Presiden, pada bulan Oktober.</v>
      </c>
    </row>
    <row r="95">
      <c r="A95" s="3" t="s">
        <v>376</v>
      </c>
      <c r="B95" s="3" t="s">
        <v>377</v>
      </c>
      <c r="C95" s="3" t="s">
        <v>378</v>
      </c>
      <c r="D95" s="3" t="s">
        <v>379</v>
      </c>
      <c r="F95" s="4" t="str">
        <f>IFERROR(__xludf.DUMMYFUNCTION("GOOGLETRANSLATE(A95, ""en"", ""id"")"),"Apa yang secara tradisional diikatkan pada ekor banteng sebagai hiasan?")</f>
        <v>Apa yang secara tradisional diikatkan pada ekor banteng sebagai hiasan?</v>
      </c>
      <c r="G95" s="4" t="str">
        <f>IFERROR(__xludf.DUMMYFUNCTION("GOOGLETRANSLATE(B95, ""en"", ""id"")"),"A) Lonceng, B) Kain warna-warni, C) Bunga, D) Tidak ada")</f>
        <v>A) Lonceng, B) Kain warna-warni, C) Bunga, D) Tidak ada</v>
      </c>
      <c r="H95" s="4" t="str">
        <f>IFERROR(__xludf.DUMMYFUNCTION("GOOGLETRANSLATE(C95, ""en"", ""id"")"),"B) Kain berwarna-warni")</f>
        <v>B) Kain berwarna-warni</v>
      </c>
      <c r="I95" s="4" t="str">
        <f>IFERROR(__xludf.DUMMYFUNCTION("GOOGLETRANSLATE(D95, ""en"", ""id"")"),"Kain atau selempang sering diikatkan ke ekor banteng sebagai elemen dekorasi tradisional.")</f>
        <v>Kain atau selempang sering diikatkan ke ekor banteng sebagai elemen dekorasi tradisional.</v>
      </c>
    </row>
    <row r="96">
      <c r="A96" s="3" t="s">
        <v>380</v>
      </c>
      <c r="B96" s="3" t="s">
        <v>381</v>
      </c>
      <c r="C96" s="3" t="s">
        <v>382</v>
      </c>
      <c r="D96" s="3" t="s">
        <v>383</v>
      </c>
      <c r="F96" s="4" t="str">
        <f>IFERROR(__xludf.DUMMYFUNCTION("GOOGLETRANSLATE(A96, ""en"", ""id"")"),"Desa manakah di Pulau Madura yang paling terkenal sebagai tuan rumah grand final?")</f>
        <v>Desa manakah di Pulau Madura yang paling terkenal sebagai tuan rumah grand final?</v>
      </c>
      <c r="G96" s="4" t="str">
        <f>IFERROR(__xludf.DUMMYFUNCTION("GOOGLETRANSLATE(B96, ""en"", ""id"")"),"A) Pamekasan, B) Sumenep, C) Bangkalan, D) Sampang")</f>
        <v>A) Pamekasan, B) Sumenep, C) Bangkalan, D) Sampang</v>
      </c>
      <c r="H96" s="4" t="str">
        <f>IFERROR(__xludf.DUMMYFUNCTION("GOOGLETRANSLATE(C96, ""en"", ""id"")"),"A) Pamekasan")</f>
        <v>A) Pamekasan</v>
      </c>
      <c r="I96" s="4" t="str">
        <f>IFERROR(__xludf.DUMMYFUNCTION("GOOGLETRANSLATE(D96, ""en"", ""id"")"),"Kabupaten Pamekasan terkenal sebagai tuan rumah balapan final paling bergengsi.")</f>
        <v>Kabupaten Pamekasan terkenal sebagai tuan rumah balapan final paling bergengsi.</v>
      </c>
    </row>
    <row r="97">
      <c r="A97" s="3" t="s">
        <v>384</v>
      </c>
      <c r="B97" s="3" t="s">
        <v>385</v>
      </c>
      <c r="C97" s="3" t="s">
        <v>386</v>
      </c>
      <c r="D97" s="3" t="s">
        <v>387</v>
      </c>
      <c r="F97" s="4" t="str">
        <f>IFERROR(__xludf.DUMMYFUNCTION("GOOGLETRANSLATE(A97, ""en"", ""id"")"),"Apa bahan utama yang digunakan untuk membuat kereta luncur?")</f>
        <v>Apa bahan utama yang digunakan untuk membuat kereta luncur?</v>
      </c>
      <c r="G97" s="4" t="str">
        <f>IFERROR(__xludf.DUMMYFUNCTION("GOOGLETRANSLATE(B97, ""en"", ""id"")"),"A) Kayu ulin, B) Bambu, C) Jati, D) Plastik")</f>
        <v>A) Kayu ulin, B) Bambu, C) Jati, D) Plastik</v>
      </c>
      <c r="H97" s="4" t="str">
        <f>IFERROR(__xludf.DUMMYFUNCTION("GOOGLETRANSLATE(C97, ""en"", ""id"")"),"B) Bambu")</f>
        <v>B) Bambu</v>
      </c>
      <c r="I97" s="4" t="str">
        <f>IFERROR(__xludf.DUMMYFUNCTION("GOOGLETRANSLATE(D97, ""en"", ""id"")"),"Kereta luncur biasanya terbuat dari bambu dan kayu ringan untuk memaksimalkan kecepatan.")</f>
        <v>Kereta luncur biasanya terbuat dari bambu dan kayu ringan untuk memaksimalkan kecepatan.</v>
      </c>
    </row>
    <row r="98">
      <c r="A98" s="3" t="s">
        <v>388</v>
      </c>
      <c r="B98" s="3" t="s">
        <v>389</v>
      </c>
      <c r="C98" s="3" t="s">
        <v>390</v>
      </c>
      <c r="D98" s="3" t="s">
        <v>391</v>
      </c>
      <c r="F98" s="4" t="str">
        <f>IFERROR(__xludf.DUMMYFUNCTION("GOOGLETRANSLATE(A98, ""en"", ""id"")"),"Berapa lama rata-rata durasi satu kali babak penyisihan lomba Karapan Sapi?")</f>
        <v>Berapa lama rata-rata durasi satu kali babak penyisihan lomba Karapan Sapi?</v>
      </c>
      <c r="G98" s="4" t="str">
        <f>IFERROR(__xludf.DUMMYFUNCTION("GOOGLETRANSLATE(B98, ""en"", ""id"")"),"A) 10-20 detik, B) 30-40 detik, C) Sekitar 1 menit, D) Lebih dari 2 menit")</f>
        <v>A) 10-20 detik, B) 30-40 detik, C) Sekitar 1 menit, D) Lebih dari 2 menit</v>
      </c>
      <c r="H98" s="4" t="str">
        <f>IFERROR(__xludf.DUMMYFUNCTION("GOOGLETRANSLATE(C98, ""en"", ""id"")"),"A) 10-20 detik")</f>
        <v>A) 10-20 detik</v>
      </c>
      <c r="I98" s="4" t="str">
        <f>IFERROR(__xludf.DUMMYFUNCTION("GOOGLETRANSLATE(D98, ""en"", ""id"")"),"Perlombaan ini merupakan lari cepat yang eksplosif, dengan sebagian besar babak penyisihan hanya berlangsung dalam waktu yang sangat singkat.")</f>
        <v>Perlombaan ini merupakan lari cepat yang eksplosif, dengan sebagian besar babak penyisihan hanya berlangsung dalam waktu yang sangat singkat.</v>
      </c>
    </row>
    <row r="99">
      <c r="A99" s="3" t="s">
        <v>392</v>
      </c>
      <c r="B99" s="3" t="s">
        <v>393</v>
      </c>
      <c r="C99" s="3" t="s">
        <v>394</v>
      </c>
      <c r="D99" s="5" t="s">
        <v>395</v>
      </c>
      <c r="F99" s="4" t="str">
        <f>IFERROR(__xludf.DUMMYFUNCTION("GOOGLETRANSLATE(A99, ""en"", ""id"")"),"Apa arti istilah 'Karapan Sapi' dalam bahasa Inggris?")</f>
        <v>Apa arti istilah 'Karapan Sapi' dalam bahasa Inggris?</v>
      </c>
      <c r="G99" s="4" t="str">
        <f>IFERROR(__xludf.DUMMYFUNCTION("GOOGLETRANSLATE(B99, ""en"", ""id"")"),"A) Pacuan Sapi, B) Adu Sapi, C) Festival Sapi, D) Raja Kecepatan")</f>
        <v>A) Pacuan Sapi, B) Adu Sapi, C) Festival Sapi, D) Raja Kecepatan</v>
      </c>
      <c r="H99" s="4" t="str">
        <f>IFERROR(__xludf.DUMMYFUNCTION("GOOGLETRANSLATE(C99, ""en"", ""id"")"),"A) Pacuan Sapi")</f>
        <v>A) Pacuan Sapi</v>
      </c>
      <c r="I99" s="4" t="str">
        <f>IFERROR(__xludf.DUMMYFUNCTION("GOOGLETRANSLATE(D99, ""en"", ""id"")"),"'Karapan' merujuk pada tindakan balap atau kejar-kejaran, dan 'Sapi' berarti sapi atau banteng.")</f>
        <v>'Karapan' merujuk pada tindakan balap atau kejar-kejaran, dan 'Sapi' berarti sapi atau banteng.</v>
      </c>
    </row>
    <row r="100">
      <c r="A100" s="3" t="s">
        <v>396</v>
      </c>
      <c r="B100" s="3" t="s">
        <v>397</v>
      </c>
      <c r="C100" s="3" t="s">
        <v>398</v>
      </c>
      <c r="D100" s="3" t="s">
        <v>399</v>
      </c>
      <c r="F100" s="4" t="str">
        <f>IFERROR(__xludf.DUMMYFUNCTION("GOOGLETRANSLATE(A100, ""en"", ""id"")"),"Apa takhayul yang umum di kalangan joki sebelum balapan?")</f>
        <v>Apa takhayul yang umum di kalangan joki sebelum balapan?</v>
      </c>
      <c r="G100" s="4" t="str">
        <f>IFERROR(__xludf.DUMMYFUNCTION("GOOGLETRANSLATE(B100, ""en"", ""id"")"),"A) Tidak menoleh ke belakang, B) Tidak memakai pakaian hijau, C) Menghindari makanan tertentu, D) Tidur di dekat banteng")</f>
        <v>A) Tidak menoleh ke belakang, B) Tidak memakai pakaian hijau, C) Menghindari makanan tertentu, D) Tidur di dekat banteng</v>
      </c>
      <c r="H100" s="4" t="str">
        <f>IFERROR(__xludf.DUMMYFUNCTION("GOOGLETRANSLATE(C100, ""en"", ""id"")"),"B) Tidak memakai warna hijau")</f>
        <v>B) Tidak memakai warna hijau</v>
      </c>
      <c r="I100" s="4" t="str">
        <f>IFERROR(__xludf.DUMMYFUNCTION("GOOGLETRANSLATE(D100, ""en"", ""id"")"),"Beberapa kepercayaan tradisional menyatakan bahwa mengenakan warna hijau, warna dewi laut, akan membawa nasib buruk.")</f>
        <v>Beberapa kepercayaan tradisional menyatakan bahwa mengenakan warna hijau, warna dewi laut, akan membawa nasib buruk.</v>
      </c>
    </row>
    <row r="101">
      <c r="A101" s="3" t="s">
        <v>400</v>
      </c>
      <c r="B101" s="3" t="s">
        <v>401</v>
      </c>
      <c r="C101" s="3" t="s">
        <v>402</v>
      </c>
      <c r="D101" s="3" t="s">
        <v>403</v>
      </c>
      <c r="F101" s="4" t="str">
        <f>IFERROR(__xludf.DUMMYFUNCTION("GOOGLETRANSLATE(A101, ""en"", ""id"")"),"Jika cambuk joki patah di tengah perlombaan, apa prosedurnya?")</f>
        <v>Jika cambuk joki patah di tengah perlombaan, apa prosedurnya?</v>
      </c>
      <c r="G101" s="4" t="str">
        <f>IFERROR(__xludf.DUMMYFUNCTION("GOOGLETRANSLATE(B101, ""en"", ""id"")"),"A) Balapan dihentikan, B) Diskualifikasi, C) Lanjutkan tanpa cambuk, D) Asisten menyediakan yang baru")</f>
        <v>A) Balapan dihentikan, B) Diskualifikasi, C) Lanjutkan tanpa cambuk, D) Asisten menyediakan yang baru</v>
      </c>
      <c r="H101" s="4" t="str">
        <f>IFERROR(__xludf.DUMMYFUNCTION("GOOGLETRANSLATE(C101, ""en"", ""id"")"),"C) Lanjutkan tanpa cambuk")</f>
        <v>C) Lanjutkan tanpa cambuk</v>
      </c>
      <c r="I101" s="4" t="str">
        <f>IFERROR(__xludf.DUMMYFUNCTION("GOOGLETRANSLATE(D101, ""en"", ""id"")"),"Kegagalan peralatan yang tidak menimbulkan gangguan tidak menghentikan perlombaan.")</f>
        <v>Kegagalan peralatan yang tidak menimbulkan gangguan tidak menghentikan perlombaan.</v>
      </c>
    </row>
    <row r="102">
      <c r="A102" s="3" t="s">
        <v>404</v>
      </c>
      <c r="B102" s="3" t="s">
        <v>405</v>
      </c>
      <c r="C102" s="3" t="s">
        <v>406</v>
      </c>
      <c r="D102" s="3" t="s">
        <v>407</v>
      </c>
      <c r="F102" s="4" t="str">
        <f>IFERROR(__xludf.DUMMYFUNCTION("GOOGLETRANSLATE(A102, ""en"", ""id"")"),"Apa hukuman bagi tim yang tidak hadir di garis start setelah tiga kali panggilan?")</f>
        <v>Apa hukuman bagi tim yang tidak hadir di garis start setelah tiga kali panggilan?</v>
      </c>
      <c r="G102" s="4" t="str">
        <f>IFERROR(__xludf.DUMMYFUNCTION("GOOGLETRANSLATE(B102, ""en"", ""id"")"),"A) Baik, B) Kehilangan kesempatan, C) Diturunkan ke posisi terakhir, D) Peringatan")</f>
        <v>A) Baik, B) Kehilangan kesempatan, C) Diturunkan ke posisi terakhir, D) Peringatan</v>
      </c>
      <c r="H102" s="4" t="str">
        <f>IFERROR(__xludf.DUMMYFUNCTION("GOOGLETRANSLATE(C102, ""en"", ""id"")"),"B) Kehilangan panas")</f>
        <v>B) Kehilangan panas</v>
      </c>
      <c r="I102" s="4" t="str">
        <f>IFERROR(__xludf.DUMMYFUNCTION("GOOGLETRANSLATE(D102, ""en"", ""id"")"),"Tim yang tidak hadir untuk bertanding setelah dipanggil tiga kali dianggap mengundurkan diri.")</f>
        <v>Tim yang tidak hadir untuk bertanding setelah dipanggil tiga kali dianggap mengundurkan diri.</v>
      </c>
    </row>
    <row r="103">
      <c r="A103" s="3" t="s">
        <v>408</v>
      </c>
      <c r="B103" s="3" t="s">
        <v>409</v>
      </c>
      <c r="C103" s="3" t="s">
        <v>410</v>
      </c>
      <c r="D103" s="3" t="s">
        <v>411</v>
      </c>
      <c r="F103" s="4" t="str">
        <f>IFERROR(__xludf.DUMMYFUNCTION("GOOGLETRANSLATE(A103, ""en"", ""id"")"),"Apa istilah resmi untuk joki dalam Karapan Sapi?")</f>
        <v>Apa istilah resmi untuk joki dalam Karapan Sapi?</v>
      </c>
      <c r="G103" s="4" t="str">
        <f>IFERROR(__xludf.DUMMYFUNCTION("GOOGLETRANSLATE(B103, ""en"", ""id"")"),"A) Pengendara, B) Tukang Sapi, C) Tokang Tongko, D) Pelari")</f>
        <v>A) Pengendara, B) Tukang Sapi, C) Tokang Tongko, D) Pelari</v>
      </c>
      <c r="H103" s="4" t="str">
        <f>IFERROR(__xludf.DUMMYFUNCTION("GOOGLETRANSLATE(C103, ""en"", ""id"")"),"C) Tokang Tongko")</f>
        <v>C) Tokang Tongko</v>
      </c>
      <c r="I103" s="4" t="str">
        <f>IFERROR(__xludf.DUMMYFUNCTION("GOOGLETRANSLATE(D103, ""en"", ""id"")"),"Joki yang menjaga keseimbangan di kereta luncur secara resmi dikenal sebagai 'Tokang Tongko'.")</f>
        <v>Joki yang menjaga keseimbangan di kereta luncur secara resmi dikenal sebagai 'Tokang Tongko'.</v>
      </c>
    </row>
    <row r="104">
      <c r="A104" s="3" t="s">
        <v>412</v>
      </c>
      <c r="B104" s="3" t="s">
        <v>413</v>
      </c>
      <c r="C104" s="3" t="s">
        <v>414</v>
      </c>
      <c r="D104" s="3" t="s">
        <v>415</v>
      </c>
      <c r="F104" s="4" t="str">
        <f>IFERROR(__xludf.DUMMYFUNCTION("GOOGLETRANSLATE(A104, ""en"", ""id"")"),"Jika perlombaan dihentikan karena adanya gangguan penonton, keputusan umumnya adalah:")</f>
        <v>Jika perlombaan dihentikan karena adanya gangguan penonton, keputusan umumnya adalah:</v>
      </c>
      <c r="G104" s="4" t="str">
        <f>IFERROR(__xludf.DUMMYFUNCTION("GOOGLETRANSLATE(B104, ""en"", ""id"")"),"A) Mendiskualifikasi tim yang bersalah, B) Memberikan kemenangan kepada tim terdepan, C) Menyatakan tidak ada kontes dan balapan ulang, D) Mendenda penonton")</f>
        <v>A) Mendiskualifikasi tim yang bersalah, B) Memberikan kemenangan kepada tim terdepan, C) Menyatakan tidak ada kontes dan balapan ulang, D) Mendenda penonton</v>
      </c>
      <c r="H104" s="4" t="str">
        <f>IFERROR(__xludf.DUMMYFUNCTION("GOOGLETRANSLATE(C104, ""en"", ""id"")"),"C) Nyatakan tidak ada kontes dan balapan ulang")</f>
        <v>C) Nyatakan tidak ada kontes dan balapan ulang</v>
      </c>
      <c r="I104" s="4" t="str">
        <f>IFERROR(__xludf.DUMMYFUNCTION("GOOGLETRANSLATE(D104, ""en"", ""id"")"),"Jika campur tangan luar mempengaruhi hasil, panas biasanya dibatalkan dan dijalankan kembali.")</f>
        <v>Jika campur tangan luar mempengaruhi hasil, panas biasanya dibatalkan dan dijalankan kembali.</v>
      </c>
    </row>
    <row r="105">
      <c r="A105" s="3" t="s">
        <v>416</v>
      </c>
      <c r="B105" s="3" t="s">
        <v>417</v>
      </c>
      <c r="C105" s="3" t="s">
        <v>418</v>
      </c>
      <c r="D105" s="3" t="s">
        <v>419</v>
      </c>
      <c r="F105" s="4" t="str">
        <f>IFERROR(__xludf.DUMMYFUNCTION("GOOGLETRANSLATE(A105, ""en"", ""id"")"),"Secara tradisional, ""garis akhir"" terbuat dari apa?")</f>
        <v>Secara tradisional, "garis akhir" terbuat dari apa?</v>
      </c>
      <c r="G105" s="4" t="str">
        <f>IFERROR(__xludf.DUMMYFUNCTION("GOOGLETRANSLATE(B105, ""en"", ""id"")"),"A) Garis yang dicat, B) Tali, C) Dua spanduk merah (*oblak*), D) Balok kayu")</f>
        <v>A) Garis yang dicat, B) Tali, C) Dua spanduk merah (*oblak*), D) Balok kayu</v>
      </c>
      <c r="H105" s="4" t="str">
        <f>IFERROR(__xludf.DUMMYFUNCTION("GOOGLETRANSLATE(C105, ""en"", ""id"")"),"C) Dua spanduk merah (*oblak*)")</f>
        <v>C) Dua spanduk merah (*oblak*)</v>
      </c>
      <c r="I105" s="4" t="str">
        <f>IFERROR(__xludf.DUMMYFUNCTION("GOOGLETRANSLATE(D105, ""en"", ""id"")"),"Garis akhir sering ditandai dengan sepasang spanduk yang dilewati banteng.")</f>
        <v>Garis akhir sering ditandai dengan sepasang spanduk yang dilewati banteng.</v>
      </c>
    </row>
    <row r="106">
      <c r="A106" s="3" t="s">
        <v>420</v>
      </c>
      <c r="B106" s="3" t="s">
        <v>421</v>
      </c>
      <c r="C106" s="3" t="s">
        <v>422</v>
      </c>
      <c r="D106" s="3" t="s">
        <v>423</v>
      </c>
      <c r="F106" s="4" t="str">
        <f>IFERROR(__xludf.DUMMYFUNCTION("GOOGLETRANSLATE(A106, ""en"", ""id"")"),"Jika balapan ulang juga berakhir imbang, apa yang terjadi di final?")</f>
        <v>Jika balapan ulang juga berakhir imbang, apa yang terjadi di final?</v>
      </c>
      <c r="G106" s="4" t="str">
        <f>IFERROR(__xludf.DUMMYFUNCTION("GOOGLETRANSLATE(B106, ""en"", ""id"")"),"A) Perlombaan ulang ketiga diperintahkan, B) Pemenang bersama diumumkan, C) Koin dilempar, D) Tim banteng yang lebih berat menang")</f>
        <v>A) Perlombaan ulang ketiga diperintahkan, B) Pemenang bersama diumumkan, C) Koin dilempar, D) Tim banteng yang lebih berat menang</v>
      </c>
      <c r="H106" s="4" t="str">
        <f>IFERROR(__xludf.DUMMYFUNCTION("GOOGLETRANSLATE(C106, ""en"", ""id"")"),"B) Pemenang bersama diumumkan")</f>
        <v>B) Pemenang bersama diumumkan</v>
      </c>
      <c r="I106" s="4" t="str">
        <f>IFERROR(__xludf.DUMMYFUNCTION("GOOGLETRANSLATE(D106, ""en"", ""id"")"),"Meski jarang terjadi, jika perlombaan ulang gagal menghasilkan pemenang yang jelas, juara bersama dapat diumumkan.")</f>
        <v>Meski jarang terjadi, jika perlombaan ulang gagal menghasilkan pemenang yang jelas, juara bersama dapat diumumkan.</v>
      </c>
    </row>
    <row r="107">
      <c r="A107" s="3" t="s">
        <v>424</v>
      </c>
      <c r="B107" s="3" t="s">
        <v>425</v>
      </c>
      <c r="C107" s="3" t="s">
        <v>426</v>
      </c>
      <c r="D107" s="3" t="s">
        <v>427</v>
      </c>
      <c r="F107" s="4" t="str">
        <f>IFERROR(__xludf.DUMMYFUNCTION("GOOGLETRANSLATE(A107, ""en"", ""id"")"),"Seekor banteng lolos pemeriksaan dokter hewan tetapi menunjukkan tanda-tanda tertekan di garis start. Siapa yang membuat keputusan akhir?")</f>
        <v>Seekor banteng lolos pemeriksaan dokter hewan tetapi menunjukkan tanda-tanda tertekan di garis start. Siapa yang membuat keputusan akhir?</v>
      </c>
      <c r="G107" s="4" t="str">
        <f>IFERROR(__xludf.DUMMYFUNCTION("GOOGLETRANSLATE(B107, ""en"", ""id"")"),"A) Pemilik, B) Juri kepala, C) Joki, D) Dokter hewan lintasan")</f>
        <v>A) Pemilik, B) Juri kepala, C) Joki, D) Dokter hewan lintasan</v>
      </c>
      <c r="H107" s="4" t="str">
        <f>IFERROR(__xludf.DUMMYFUNCTION("GOOGLETRANSLATE(C107, ""en"", ""id"")"),"B) Hakim ketua")</f>
        <v>B) Hakim ketua</v>
      </c>
      <c r="I107" s="4" t="str">
        <f>IFERROR(__xludf.DUMMYFUNCTION("GOOGLETRANSLATE(D107, ""en"", ""id"")"),"Ketua juri, yang dinasihati oleh dokter hewan, memiliki kewenangan tertinggi untuk menarik tim demi keselamatan.")</f>
        <v>Ketua juri, yang dinasihati oleh dokter hewan, memiliki kewenangan tertinggi untuk menarik tim demi keselamatan.</v>
      </c>
    </row>
    <row r="108">
      <c r="A108" s="3" t="s">
        <v>428</v>
      </c>
      <c r="B108" s="3" t="s">
        <v>429</v>
      </c>
      <c r="C108" s="3" t="s">
        <v>430</v>
      </c>
      <c r="D108" s="3" t="s">
        <v>431</v>
      </c>
      <c r="F108" s="4" t="str">
        <f>IFERROR(__xludf.DUMMYFUNCTION("GOOGLETRANSLATE(A108, ""en"", ""id"")"),"Bahan apa yang secara tegas dilarang untuk digunakan dalam perlindungan kuku?")</f>
        <v>Bahan apa yang secara tegas dilarang untuk digunakan dalam perlindungan kuku?</v>
      </c>
      <c r="G108" s="4" t="str">
        <f>IFERROR(__xludf.DUMMYFUNCTION("GOOGLETRANSLATE(B108, ""en"", ""id"")"),"A) Kulit, B) Karet, C) Pelat logam, D) Kain tenun")</f>
        <v>A) Kulit, B) Karet, C) Pelat logam, D) Kain tenun</v>
      </c>
      <c r="H108" s="4" t="str">
        <f>IFERROR(__xludf.DUMMYFUNCTION("GOOGLETRANSLATE(C108, ""en"", ""id"")"),"C) Pelat logam")</f>
        <v>C) Pelat logam</v>
      </c>
      <c r="I108" s="4" t="str">
        <f>IFERROR(__xludf.DUMMYFUNCTION("GOOGLETRANSLATE(D108, ""en"", ""id"")"),"Sepatu atau pelat logam dilarang untuk mencegah cedera pada banteng dan kerusakan pada lintasan.")</f>
        <v>Sepatu atau pelat logam dilarang untuk mencegah cedera pada banteng dan kerusakan pada lintasan.</v>
      </c>
    </row>
    <row r="109">
      <c r="A109" s="3" t="s">
        <v>432</v>
      </c>
      <c r="B109" s="3" t="s">
        <v>433</v>
      </c>
      <c r="C109" s="3" t="s">
        <v>434</v>
      </c>
      <c r="D109" s="3" t="s">
        <v>435</v>
      </c>
      <c r="F109" s="4" t="str">
        <f>IFERROR(__xludf.DUMMYFUNCTION("GOOGLETRANSLATE(A109, ""en"", ""id"")"),"Bagaimana prosedurnya jika kereta luncur patah di tengah perlombaan tanpa menyebabkan terjatuh?")</f>
        <v>Bagaimana prosedurnya jika kereta luncur patah di tengah perlombaan tanpa menyebabkan terjatuh?</v>
      </c>
      <c r="G109" s="4" t="str">
        <f>IFERROR(__xludf.DUMMYFUNCTION("GOOGLETRANSLATE(B109, ""en"", ""id"")"),"A) Diskualifikasi langsung, B) Lanjutkan jika memungkinkan, C) Balapan dihentikan demi keselamatan, D) Penalti waktu diterapkan")</f>
        <v>A) Diskualifikasi langsung, B) Lanjutkan jika memungkinkan, C) Balapan dihentikan demi keselamatan, D) Penalti waktu diterapkan</v>
      </c>
      <c r="H109" s="4" t="str">
        <f>IFERROR(__xludf.DUMMYFUNCTION("GOOGLETRANSLATE(C109, ""en"", ""id"")"),"C) Balapan dihentikan demi keselamatan")</f>
        <v>C) Balapan dihentikan demi keselamatan</v>
      </c>
      <c r="I109" s="4" t="str">
        <f>IFERROR(__xludf.DUMMYFUNCTION("GOOGLETRANSLATE(D109, ""en"", ""id"")"),"Kereta luncur yang hancur menciptakan puing-puing yang berbahaya, sehingga perlombaan harus dihentikan.")</f>
        <v>Kereta luncur yang hancur menciptakan puing-puing yang berbahaya, sehingga perlombaan harus dihentikan.</v>
      </c>
    </row>
    <row r="110">
      <c r="A110" s="3" t="s">
        <v>436</v>
      </c>
      <c r="B110" s="3" t="s">
        <v>437</v>
      </c>
      <c r="C110" s="3" t="s">
        <v>438</v>
      </c>
      <c r="D110" s="3" t="s">
        <v>439</v>
      </c>
      <c r="F110" s="4" t="str">
        <f>IFERROR(__xludf.DUMMYFUNCTION("GOOGLETRANSLATE(A110, ""en"", ""id"")"),"Apa hukumannya jika mengejek atau menghina joki lawan secara verbal saat balapan?")</f>
        <v>Apa hukumannya jika mengejek atau menghina joki lawan secara verbal saat balapan?</v>
      </c>
      <c r="G110" s="4" t="str">
        <f>IFERROR(__xludf.DUMMYFUNCTION("GOOGLETRANSLATE(B110, ""en"", ""id"")"),"A) Tidak ada penalti, B) Peringatan setelah pertandingan, C) Denda, D) Diskualifikasi karena perilaku tidak sportif")</f>
        <v>A) Tidak ada penalti, B) Peringatan setelah pertandingan, C) Denda, D) Diskualifikasi karena perilaku tidak sportif</v>
      </c>
      <c r="H110" s="4" t="str">
        <f>IFERROR(__xludf.DUMMYFUNCTION("GOOGLETRANSLATE(C110, ""en"", ""id"")"),"B) Peringatan setelah panas")</f>
        <v>B) Peringatan setelah panas</v>
      </c>
      <c r="I110" s="4" t="str">
        <f>IFERROR(__xludf.DUMMYFUNCTION("GOOGLETRANSLATE(D110, ""en"", ""id"")"),"Perilaku tidak sportif seperti mengejek biasanya berakibat pada peringatan resmi dari juri.")</f>
        <v>Perilaku tidak sportif seperti mengejek biasanya berakibat pada peringatan resmi dari juri.</v>
      </c>
    </row>
    <row r="111">
      <c r="A111" s="3" t="s">
        <v>440</v>
      </c>
      <c r="B111" s="3" t="s">
        <v>441</v>
      </c>
      <c r="C111" s="3" t="s">
        <v>442</v>
      </c>
      <c r="D111" s="3" t="s">
        <v>443</v>
      </c>
      <c r="F111" s="4" t="str">
        <f>IFERROR(__xludf.DUMMYFUNCTION("GOOGLETRANSLATE(A111, ""en"", ""id"")"),"Berapa jumlah minimum babak kualifikasi yang harus dimenangkan suatu tim untuk mencapai final?")</f>
        <v>Berapa jumlah minimum babak kualifikasi yang harus dimenangkan suatu tim untuk mencapai final?</v>
      </c>
      <c r="G111" s="4" t="str">
        <f>IFERROR(__xludf.DUMMYFUNCTION("GOOGLETRANSLATE(B111, ""en"", ""id"")"),"A) 1, B) 2, C) 3, D) Tergantung pada ukuran braket")</f>
        <v>A) 1, B) 2, C) 3, D) Tergantung pada ukuran braket</v>
      </c>
      <c r="H111" s="4" t="str">
        <f>IFERROR(__xludf.DUMMYFUNCTION("GOOGLETRANSLATE(C111, ""en"", ""id"")"),"D) Tergantung pada ukuran braket")</f>
        <v>D) Tergantung pada ukuran braket</v>
      </c>
      <c r="I111" s="4" t="str">
        <f>IFERROR(__xludf.DUMMYFUNCTION("GOOGLETRANSLATE(D111, ""en"", ""id"")"),"Jumlah kemenangan yang dibutuhkan bergantung pada jumlah peserta dan struktur turnamen.")</f>
        <v>Jumlah kemenangan yang dibutuhkan bergantung pada jumlah peserta dan struktur turnamen.</v>
      </c>
    </row>
    <row r="112">
      <c r="A112" s="3" t="s">
        <v>444</v>
      </c>
      <c r="B112" s="3" t="s">
        <v>445</v>
      </c>
      <c r="C112" s="3" t="s">
        <v>446</v>
      </c>
      <c r="D112" s="3" t="s">
        <v>447</v>
      </c>
      <c r="F112" s="4" t="str">
        <f>IFERROR(__xludf.DUMMYFUNCTION("GOOGLETRANSLATE(A112, ""en"", ""id"")"),"Di bagian kereta luncur manakah kaki joki harus tetap berada selama perlombaan?")</f>
        <v>Di bagian kereta luncur manakah kaki joki harus tetap berada selama perlombaan?</v>
      </c>
      <c r="G112" s="4" t="str">
        <f>IFERROR(__xludf.DUMMYFUNCTION("GOOGLETRANSLATE(B112, ""en"", ""id"")"),"A) Pada palang utama, B) Di dalam pijakan kaki yang ditentukan, C) Di mana saja pada kereta luncur, D) Pada kuk")</f>
        <v>A) Pada palang utama, B) Di dalam pijakan kaki yang ditentukan, C) Di mana saja pada kereta luncur, D) Pada kuk</v>
      </c>
      <c r="H112" s="4" t="str">
        <f>IFERROR(__xludf.DUMMYFUNCTION("GOOGLETRANSLATE(C112, ""en"", ""id"")"),"B) Di dalam pijakan kaki yang ditentukan")</f>
        <v>B) Di dalam pijakan kaki yang ditentukan</v>
      </c>
      <c r="I112" s="4" t="str">
        <f>IFERROR(__xludf.DUMMYFUNCTION("GOOGLETRANSLATE(D112, ""en"", ""id"")"),"Demi keselamatan dan pengendalian, joki harus menjaga kakinya di dalam pijakan kaki atau pegangan tertentu.")</f>
        <v>Demi keselamatan dan pengendalian, joki harus menjaga kakinya di dalam pijakan kaki atau pegangan tertentu.</v>
      </c>
    </row>
    <row r="113">
      <c r="A113" s="3" t="s">
        <v>448</v>
      </c>
      <c r="B113" s="3" t="s">
        <v>449</v>
      </c>
      <c r="C113" s="3" t="s">
        <v>450</v>
      </c>
      <c r="D113" s="3" t="s">
        <v>451</v>
      </c>
      <c r="F113" s="4" t="str">
        <f>IFERROR(__xludf.DUMMYFUNCTION("GOOGLETRANSLATE(A113, ""en"", ""id"")"),"Jika dekorasi suatu tim dianggap mengganggu atau tidak aman (misalnya, dengan cermin), juri dapat:")</f>
        <v>Jika dekorasi suatu tim dianggap mengganggu atau tidak aman (misalnya, dengan cermin), juri dapat:</v>
      </c>
      <c r="G113" s="4" t="str">
        <f>IFERROR(__xludf.DUMMYFUNCTION("GOOGLETRANSLATE(B113, ""en"", ""id"")"),"A) Perintahkan mereka untuk dikeluarkan, B) Tambahkan penalti waktu, C) Diskualifikasi tim, D) Abaikan saja")</f>
        <v>A) Perintahkan mereka untuk dikeluarkan, B) Tambahkan penalti waktu, C) Diskualifikasi tim, D) Abaikan saja</v>
      </c>
      <c r="H113" s="4" t="str">
        <f>IFERROR(__xludf.DUMMYFUNCTION("GOOGLETRANSLATE(C113, ""en"", ""id"")"),"A) Perintahkan mereka untuk dihapus")</f>
        <v>A) Perintahkan mereka untuk dihapus</v>
      </c>
      <c r="I113" s="4" t="str">
        <f>IFERROR(__xludf.DUMMYFUNCTION("GOOGLETRANSLATE(D113, ""en"", ""id"")"),"Hakim memiliki kewenangan untuk memerintahkan pencopotan dekorasi apa pun yang menimbulkan risiko keselamatan.")</f>
        <v>Hakim memiliki kewenangan untuk memerintahkan pencopotan dekorasi apa pun yang menimbulkan risiko keselamatan.</v>
      </c>
    </row>
    <row r="114">
      <c r="A114" s="3" t="s">
        <v>452</v>
      </c>
      <c r="B114" s="3" t="s">
        <v>453</v>
      </c>
      <c r="C114" s="3" t="s">
        <v>454</v>
      </c>
      <c r="D114" s="3" t="s">
        <v>455</v>
      </c>
      <c r="F114" s="4" t="str">
        <f>IFERROR(__xludf.DUMMYFUNCTION("GOOGLETRANSLATE(A114, ""en"", ""id"")"),"Apa sinyal resmi untuk permulaan yang salah?")</f>
        <v>Apa sinyal resmi untuk permulaan yang salah?</v>
      </c>
      <c r="G114" s="4" t="str">
        <f>IFERROR(__xludf.DUMMYFUNCTION("GOOGLETRANSLATE(B114, ""en"", ""id"")"),"A) Bendera merah, B) Peluit, C) Bendera kedua diturunkan, D) Senjata penarikan kembali")</f>
        <v>A) Bendera merah, B) Peluit, C) Bendera kedua diturunkan, D) Senjata penarikan kembali</v>
      </c>
      <c r="H114" s="4" t="str">
        <f>IFERROR(__xludf.DUMMYFUNCTION("GOOGLETRANSLATE(C114, ""en"", ""id"")"),"C) Penurunan bendera kedua")</f>
        <v>C) Penurunan bendera kedua</v>
      </c>
      <c r="I114" s="4" t="str">
        <f>IFERROR(__xludf.DUMMYFUNCTION("GOOGLETRANSLATE(D114, ""en"", ""id"")"),"Bendera kedua sering dikibarkan atau dijatuhkan oleh juri penarikan kembali untuk menandakan permulaan yang salah.")</f>
        <v>Bendera kedua sering dikibarkan atau dijatuhkan oleh juri penarikan kembali untuk menandakan permulaan yang salah.</v>
      </c>
    </row>
    <row r="115">
      <c r="A115" s="3" t="s">
        <v>456</v>
      </c>
      <c r="B115" s="3" t="s">
        <v>457</v>
      </c>
      <c r="C115" s="3" t="s">
        <v>458</v>
      </c>
      <c r="D115" s="3" t="s">
        <v>459</v>
      </c>
      <c r="F115" s="4" t="str">
        <f>IFERROR(__xludf.DUMMYFUNCTION("GOOGLETRANSLATE(A115, ""en"", ""id"")"),"Bisakah joki diganti di antara babak?")</f>
        <v>Bisakah joki diganti di antara babak?</v>
      </c>
      <c r="G115" s="4" t="str">
        <f>IFERROR(__xludf.DUMMYFUNCTION("GOOGLETRANSLATE(B115, ""en"", ""id"")"),"A) Ya, kapan saja, B) Tidak, joki yang sama harus berlomba sepanjang hari, C) Hanya jika cedera dan disetujui oleh juri, D) Hanya antara kualifikasi dan final")</f>
        <v>A) Ya, kapan saja, B) Tidak, joki yang sama harus berlomba sepanjang hari, C) Hanya jika cedera dan disetujui oleh juri, D) Hanya antara kualifikasi dan final</v>
      </c>
      <c r="H115" s="4" t="str">
        <f>IFERROR(__xludf.DUMMYFUNCTION("GOOGLETRANSLATE(C115, ""en"", ""id"")"),"C) Hanya jika terluka dan disetujui oleh hakim")</f>
        <v>C) Hanya jika terluka dan disetujui oleh hakim</v>
      </c>
      <c r="I115" s="4" t="str">
        <f>IFERROR(__xludf.DUMMYFUNCTION("GOOGLETRANSLATE(D115, ""en"", ""id"")"),"Pergantian joki hanya diizinkan dalam kasus cedera dengan persetujuan resmi.")</f>
        <v>Pergantian joki hanya diizinkan dalam kasus cedera dengan persetujuan resmi.</v>
      </c>
    </row>
    <row r="116">
      <c r="A116" s="3" t="s">
        <v>460</v>
      </c>
      <c r="B116" s="3" t="s">
        <v>461</v>
      </c>
      <c r="C116" s="3" t="s">
        <v>462</v>
      </c>
      <c r="D116" s="3" t="s">
        <v>463</v>
      </c>
      <c r="F116" s="4" t="str">
        <f>IFERROR(__xludf.DUMMYFUNCTION("GOOGLETRANSLATE(A116, ""en"", ""id"")"),"Apa yang terjadi apabila seekor banteng diketahui telah dibius agar tampak tenang sebelum lomba?")</f>
        <v>Apa yang terjadi apabila seekor banteng diketahui telah dibius agar tampak tenang sebelum lomba?</v>
      </c>
      <c r="G116" s="4" t="str">
        <f>IFERROR(__xludf.DUMMYFUNCTION("GOOGLETRANSLATE(B116, ""en"", ""id"")"),"A) Tim dipuji, B) Tim didiskualifikasi dan dilarang, C) Seorang dokter hewan harus menyetujui, D) Perlombaan ditunda")</f>
        <v>A) Tim dipuji, B) Tim didiskualifikasi dan dilarang, C) Seorang dokter hewan harus menyetujui, D) Perlombaan ditunda</v>
      </c>
      <c r="H116" s="4" t="str">
        <f>IFERROR(__xludf.DUMMYFUNCTION("GOOGLETRANSLATE(C116, ""en"", ""id"")"),"B) Tim tersebut didiskualifikasi dan dilarang")</f>
        <v>B) Tim tersebut didiskualifikasi dan dilarang</v>
      </c>
      <c r="I116" s="4" t="str">
        <f>IFERROR(__xludf.DUMMYFUNCTION("GOOGLETRANSLATE(D116, ""en"", ""id"")"),"Menggunakan obat penenang merupakan bentuk doping berat yang dapat mengakibatkan diskualifikasi dan potensi larangan.")</f>
        <v>Menggunakan obat penenang merupakan bentuk doping berat yang dapat mengakibatkan diskualifikasi dan potensi larangan.</v>
      </c>
    </row>
    <row r="117">
      <c r="A117" s="3" t="s">
        <v>464</v>
      </c>
      <c r="B117" s="3" t="s">
        <v>465</v>
      </c>
      <c r="C117" s="3" t="s">
        <v>466</v>
      </c>
      <c r="D117" s="3" t="s">
        <v>467</v>
      </c>
      <c r="F117" s="4" t="str">
        <f>IFERROR(__xludf.DUMMYFUNCTION("GOOGLETRANSLATE(A117, ""en"", ""id"")"),"Jika suatu kejadian alam (misalnya hujan deras yang tiba-tiba) membuat lintasan tidak dapat digunakan di tengah acara:")</f>
        <v>Jika suatu kejadian alam (misalnya hujan deras yang tiba-tiba) membuat lintasan tidak dapat digunakan di tengah acara:</v>
      </c>
      <c r="G117" s="4" t="str">
        <f>IFERROR(__xludf.DUMMYFUNCTION("GOOGLETRANSLATE(B117, ""en"", ""id"")"),"A) Acara dibatalkan, B) Hasil sejauh ini bersifat final, C) Acara ditunda, D) Tim memilih untuk melanjutkan")</f>
        <v>A) Acara dibatalkan, B) Hasil sejauh ini bersifat final, C) Acara ditunda, D) Tim memilih untuk melanjutkan</v>
      </c>
      <c r="H117" s="4" t="str">
        <f>IFERROR(__xludf.DUMMYFUNCTION("GOOGLETRANSLATE(C117, ""en"", ""id"")"),"C) Acaranya ditunda")</f>
        <v>C) Acaranya ditunda</v>
      </c>
      <c r="I117" s="4" t="str">
        <f>IFERROR(__xludf.DUMMYFUNCTION("GOOGLETRANSLATE(D117, ""en"", ""id"")"),"Jika kondisi menjadi tidak aman, kompetisi biasanya ditunda hingga lintasan layak untuk balapan.")</f>
        <v>Jika kondisi menjadi tidak aman, kompetisi biasanya ditunda hingga lintasan layak untuk balapan.</v>
      </c>
    </row>
    <row r="118">
      <c r="A118" s="3" t="s">
        <v>468</v>
      </c>
      <c r="B118" s="3" t="s">
        <v>469</v>
      </c>
      <c r="C118" s="3" t="s">
        <v>470</v>
      </c>
      <c r="D118" s="3" t="s">
        <v>471</v>
      </c>
      <c r="F118" s="4" t="str">
        <f>IFERROR(__xludf.DUMMYFUNCTION("GOOGLETRANSLATE(A118, ""en"", ""id"")"),"Berapa jumlah maksimum orang, termasuk joki dan asisten, yang diizinkan per tim di area awal?")</f>
        <v>Berapa jumlah maksimum orang, termasuk joki dan asisten, yang diizinkan per tim di area awal?</v>
      </c>
      <c r="G118" s="4" t="str">
        <f>IFERROR(__xludf.DUMMYFUNCTION("GOOGLETRANSLATE(B118, ""en"", ""id"")"),"A) 2, B) 3, C) 4, D) 5")</f>
        <v>A) 2, B) 3, C) 4, D) 5</v>
      </c>
      <c r="H118" s="4" t="str">
        <f>IFERROR(__xludf.DUMMYFUNCTION("GOOGLETRANSLATE(C118, ""en"", ""id"")"),"D. 5")</f>
        <v>D. 5</v>
      </c>
      <c r="I118" s="4" t="str">
        <f>IFERROR(__xludf.DUMMYFUNCTION("GOOGLETRANSLATE(D118, ""en"", ""id"")"),"Sekelompok kecil pawang diizinkan berada di area persiapan untuk mengendalikan banteng sebelum dimulai.")</f>
        <v>Sekelompok kecil pawang diizinkan berada di area persiapan untuk mengendalikan banteng sebelum dimulai.</v>
      </c>
    </row>
    <row r="119">
      <c r="A119" s="3" t="s">
        <v>472</v>
      </c>
      <c r="B119" s="3" t="s">
        <v>473</v>
      </c>
      <c r="C119" s="3" t="s">
        <v>474</v>
      </c>
      <c r="D119" s="3" t="s">
        <v>475</v>
      </c>
      <c r="F119" s="4" t="str">
        <f>IFERROR(__xludf.DUMMYFUNCTION("GOOGLETRANSLATE(A119, ""en"", ""id"")"),"Siapa yang bertanggung jawab untuk membersihkan banteng suatu tim dari lintasan setelah pertandingan?")</f>
        <v>Siapa yang bertanggung jawab untuk membersihkan banteng suatu tim dari lintasan setelah pertandingan?</v>
      </c>
      <c r="G119" s="4" t="str">
        <f>IFERROR(__xludf.DUMMYFUNCTION("GOOGLETRANSLATE(B119, ""en"", ""id"")"),"A) Joki, B) Asisten dan pawang, C) Petugas lintasan, D) Tim berikutnya")</f>
        <v>A) Joki, B) Asisten dan pawang, C) Petugas lintasan, D) Tim berikutnya</v>
      </c>
      <c r="H119" s="4" t="str">
        <f>IFERROR(__xludf.DUMMYFUNCTION("GOOGLETRANSLATE(C119, ""en"", ""id"")"),"B) Asisten dan Penangannya")</f>
        <v>B) Asisten dan Penangannya</v>
      </c>
      <c r="I119" s="4" t="str">
        <f>IFERROR(__xludf.DUMMYFUNCTION("GOOGLETRANSLATE(D119, ""en"", ""id"")"),"Setiap tim bertanggung jawab untuk mengeluarkan hewan mereka dari lintasan dengan aman dan cepat.")</f>
        <v>Setiap tim bertanggung jawab untuk mengeluarkan hewan mereka dari lintasan dengan aman dan cepat.</v>
      </c>
    </row>
    <row r="120">
      <c r="A120" s="3" t="s">
        <v>476</v>
      </c>
      <c r="B120" s="3" t="s">
        <v>477</v>
      </c>
      <c r="C120" s="3" t="s">
        <v>478</v>
      </c>
      <c r="D120" s="3" t="s">
        <v>479</v>
      </c>
      <c r="F120" s="4" t="str">
        <f>IFERROR(__xludf.DUMMYFUNCTION("GOOGLETRANSLATE(A120, ""en"", ""id"")"),"Bisakah suatu tim mengajukan protes terhadap keputusan juri terkait hasil foto finis?")</f>
        <v>Bisakah suatu tim mengajukan protes terhadap keputusan juri terkait hasil foto finis?</v>
      </c>
      <c r="G120" s="4" t="str">
        <f>IFERROR(__xludf.DUMMYFUNCTION("GOOGLETRANSLATE(B120, ""en"", ""id"")"),"A) Ya, kapan saja, B) Ya, dalam kurun waktu protes, C) Tidak, hasil foto bersifat final, D) Hanya jika kamera gagal")</f>
        <v>A) Ya, kapan saja, B) Ya, dalam kurun waktu protes, C) Tidak, hasil foto bersifat final, D) Hanya jika kamera gagal</v>
      </c>
      <c r="H120" s="4" t="str">
        <f>IFERROR(__xludf.DUMMYFUNCTION("GOOGLETRANSLATE(C120, ""en"", ""id"")"),"C) Tidak, hasil akhir foto bersifat final")</f>
        <v>C) Tidak, hasil akhir foto bersifat final</v>
      </c>
      <c r="I120" s="4" t="str">
        <f>IFERROR(__xludf.DUMMYFUNCTION("GOOGLETRANSLATE(D120, ""en"", ""id"")"),"Hasil akhir foto yang disertifikasi dianggap definitif dan tidak dapat diprotes.")</f>
        <v>Hasil akhir foto yang disertifikasi dianggap definitif dan tidak dapat diprotes.</v>
      </c>
    </row>
    <row r="121">
      <c r="A121" s="3" t="s">
        <v>480</v>
      </c>
      <c r="B121" s="3" t="s">
        <v>481</v>
      </c>
      <c r="C121" s="3" t="s">
        <v>482</v>
      </c>
      <c r="D121" s="3" t="s">
        <v>483</v>
      </c>
      <c r="F121" s="4" t="str">
        <f>IFERROR(__xludf.DUMMYFUNCTION("GOOGLETRANSLATE(A121, ""en"", ""id"")"),"Bendera warna apa yang digunakan untuk menandakan putaran terakhir atau babak penyisihan hari itu?")</f>
        <v>Bendera warna apa yang digunakan untuk menandakan putaran terakhir atau babak penyisihan hari itu?</v>
      </c>
      <c r="G121" s="4" t="str">
        <f>IFERROR(__xludf.DUMMYFUNCTION("GOOGLETRANSLATE(B121, ""en"", ""id"")"),"A) Hijau, B) Putih, C) Kotak-kotak, D) Tidak ada bendera khusus")</f>
        <v>A) Hijau, B) Putih, C) Kotak-kotak, D) Tidak ada bendera khusus</v>
      </c>
      <c r="H121" s="4" t="str">
        <f>IFERROR(__xludf.DUMMYFUNCTION("GOOGLETRANSLATE(C121, ""en"", ""id"")"),"D) Tidak ada bendera khusus")</f>
        <v>D) Tidak ada bendera khusus</v>
      </c>
      <c r="I121" s="4" t="str">
        <f>IFERROR(__xludf.DUMMYFUNCTION("GOOGLETRANSLATE(D121, ""en"", ""id"")"),"Tidak seperti olahraga bermotor, tidak ada bendera khusus yang digunakan untuk menandai balapan terakhir suatu acara.")</f>
        <v>Tidak seperti olahraga bermotor, tidak ada bendera khusus yang digunakan untuk menandai balapan terakhir suatu acara.</v>
      </c>
    </row>
    <row r="122">
      <c r="A122" s="3" t="s">
        <v>484</v>
      </c>
      <c r="B122" s="3" t="s">
        <v>485</v>
      </c>
      <c r="C122" s="3" t="s">
        <v>486</v>
      </c>
      <c r="D122" s="3" t="s">
        <v>487</v>
      </c>
      <c r="F122" s="4" t="str">
        <f>IFERROR(__xludf.DUMMYFUNCTION("GOOGLETRANSLATE(A122, ""en"", ""id"")"),"Komite banding yang meninjau keputusan protes hakim biasanya terdiri dari:")</f>
        <v>Komite banding yang meninjau keputusan protes hakim biasanya terdiri dari:</v>
      </c>
      <c r="G122" s="4" t="str">
        <f>IFERROR(__xludf.DUMMYFUNCTION("GOOGLETRANSLATE(B122, ""en"", ""id"")"),"A) Tetua desa, B) Penyelenggara lomba senior dan mantan juara, C) Pejabat pemerintah, D) Panel pemilik acak")</f>
        <v>A) Tetua desa, B) Penyelenggara lomba senior dan mantan juara, C) Pejabat pemerintah, D) Panel pemilik acak</v>
      </c>
      <c r="H122" s="4" t="str">
        <f>IFERROR(__xludf.DUMMYFUNCTION("GOOGLETRANSLATE(C122, ""en"", ""id"")"),"B) Penyelenggara lomba senior dan mantan juara")</f>
        <v>B) Penyelenggara lomba senior dan mantan juara</v>
      </c>
      <c r="I122" s="4" t="str">
        <f>IFERROR(__xludf.DUMMYFUNCTION("GOOGLETRANSLATE(D122, ""en"", ""id"")"),"Sebuah komite independen yang terdiri dari tokoh-tokoh yang dihormati dalam olahraga dibentuk untuk memastikan banding yang tidak memihak.")</f>
        <v>Sebuah komite independen yang terdiri dari tokoh-tokoh yang dihormati dalam olahraga dibentuk untuk memastikan banding yang tidak memihak.</v>
      </c>
    </row>
    <row r="123">
      <c r="A123" s="3" t="s">
        <v>488</v>
      </c>
      <c r="B123" s="3" t="s">
        <v>489</v>
      </c>
      <c r="C123" s="3" t="s">
        <v>490</v>
      </c>
      <c r="D123" s="3" t="s">
        <v>491</v>
      </c>
      <c r="F123" s="4" t="str">
        <f>IFERROR(__xludf.DUMMYFUNCTION("GOOGLETRANSLATE(A123, ""en"", ""id"")"),"Apa hukuman jika mengajukan protes yang dianggap sembrono atau tidak sportif?")</f>
        <v>Apa hukuman jika mengajukan protes yang dianggap sembrono atau tidak sportif?</v>
      </c>
      <c r="G123" s="4" t="str">
        <f>IFERROR(__xludf.DUMMYFUNCTION("GOOGLETRANSLATE(B123, ""en"", ""id"")"),"A) Tidak ada penalti, B) Peringatan resmi, C) Kehilangan biaya protes dan denda, D) Skorsing dari balapan berikutnya")</f>
        <v>A) Tidak ada penalti, B) Peringatan resmi, C) Kehilangan biaya protes dan denda, D) Skorsing dari balapan berikutnya</v>
      </c>
      <c r="H123" s="4" t="str">
        <f>IFERROR(__xludf.DUMMYFUNCTION("GOOGLETRANSLATE(C123, ""en"", ""id"")"),"C) Hilangnya biaya protes dan denda")</f>
        <v>C) Hilangnya biaya protes dan denda</v>
      </c>
      <c r="I123" s="4" t="str">
        <f>IFERROR(__xludf.DUMMYFUNCTION("GOOGLETRANSLATE(D123, ""en"", ""id"")"),"Untuk mencegah protes yang tidak beritikad baik, hukuman akan diberlakukan jika klaim tersebut ditemukan tidak berdasar.")</f>
        <v>Untuk mencegah protes yang tidak beritikad baik, hukuman akan diberlakukan jika klaim tersebut ditemukan tidak berdasar.</v>
      </c>
    </row>
    <row r="124">
      <c r="A124" s="3" t="s">
        <v>492</v>
      </c>
      <c r="B124" s="3" t="s">
        <v>493</v>
      </c>
      <c r="C124" s="3" t="s">
        <v>494</v>
      </c>
      <c r="D124" s="3" t="s">
        <v>495</v>
      </c>
      <c r="F124" s="4" t="str">
        <f>IFERROR(__xludf.DUMMYFUNCTION("GOOGLETRANSLATE(A124, ""en"", ""id"")"),"Selain pincang, tanda apa yang akan disebutkan dokter hewan untuk mendiskualifikasi banteng sebelum lomba?")</f>
        <v>Selain pincang, tanda apa yang akan disebutkan dokter hewan untuk mendiskualifikasi banteng sebelum lomba?</v>
      </c>
      <c r="G124" s="4" t="str">
        <f>IFERROR(__xludf.DUMMYFUNCTION("GOOGLETRANSLATE(B124, ""en"", ""id"")"),"A) Kegugupan, B) Tanda-tanda dehidrasi atau kelelahan parah, C) Bulu kusam, D) Berat badan di bawah rata-rata")</f>
        <v>A) Kegugupan, B) Tanda-tanda dehidrasi atau kelelahan parah, C) Bulu kusam, D) Berat badan di bawah rata-rata</v>
      </c>
      <c r="H124" s="4" t="str">
        <f>IFERROR(__xludf.DUMMYFUNCTION("GOOGLETRANSLATE(C124, ""en"", ""id"")"),"B) Tanda-tanda dehidrasi atau kelelahan parah")</f>
        <v>B) Tanda-tanda dehidrasi atau kelelahan parah</v>
      </c>
      <c r="I124" s="4" t="str">
        <f>IFERROR(__xludf.DUMMYFUNCTION("GOOGLETRANSLATE(D124, ""en"", ""id"")"),"Dokter hewan akan mendiskualifikasi banteng yang jelas-jelas tidak sehat atau tidak layak untuk berlomba, karena dapat menimbulkan risiko keselamatan dan kesejahteraan.")</f>
        <v>Dokter hewan akan mendiskualifikasi banteng yang jelas-jelas tidak sehat atau tidak layak untuk berlomba, karena dapat menimbulkan risiko keselamatan dan kesejahteraan.</v>
      </c>
    </row>
    <row r="125">
      <c r="A125" s="3" t="s">
        <v>496</v>
      </c>
      <c r="B125" s="3" t="s">
        <v>497</v>
      </c>
      <c r="C125" s="3" t="s">
        <v>498</v>
      </c>
      <c r="D125" s="3" t="s">
        <v>499</v>
      </c>
      <c r="F125" s="4" t="str">
        <f>IFERROR(__xludf.DUMMYFUNCTION("GOOGLETRANSLATE(A125, ""en"", ""id"")"),"Jika seekor banteng pemenang mengalami cedera ringan yang tidak sampai melemahkan selama perlombaan terakhir, apa protokolnya?")</f>
        <v>Jika seekor banteng pemenang mengalami cedera ringan yang tidak sampai melemahkan selama perlombaan terakhir, apa protokolnya?</v>
      </c>
      <c r="G125" s="4" t="str">
        <f>IFERROR(__xludf.DUMMYFUNCTION("GOOGLETRANSLATE(B125, ""en"", ""id"")"),"A) Kemenangan dibatalkan, B) Tim menerima setengah hadiah, C) Hasil tetap berlaku, tetapi banteng harus diberi hadiah, D) Juara kedua dinyatakan sebagai pemenang")</f>
        <v>A) Kemenangan dibatalkan, B) Tim menerima setengah hadiah, C) Hasil tetap berlaku, tetapi banteng harus diberi hadiah, D) Juara kedua dinyatakan sebagai pemenang</v>
      </c>
      <c r="H125" s="4" t="str">
        <f>IFERROR(__xludf.DUMMYFUNCTION("GOOGLETRANSLATE(C125, ""en"", ""id"")"),"C) Hasilnya tetap sama, tetapi banteng harus dirawat")</f>
        <v>C) Hasilnya tetap sama, tetapi banteng harus dirawat</v>
      </c>
      <c r="I125" s="4" t="str">
        <f>IFERROR(__xludf.DUMMYFUNCTION("GOOGLETRANSLATE(D125, ""en"", ""id"")"),"Hasil perlombaan sah, tetapi banteng harus menerima perhatian dokter hewan wajib sebelum meninggalkan tempat perlombaan.")</f>
        <v>Hasil perlombaan sah, tetapi banteng harus menerima perhatian dokter hewan wajib sebelum meninggalkan tempat perlombaan.</v>
      </c>
    </row>
    <row r="126">
      <c r="A126" s="3" t="s">
        <v>500</v>
      </c>
      <c r="B126" s="3" t="s">
        <v>501</v>
      </c>
      <c r="C126" s="3" t="s">
        <v>502</v>
      </c>
      <c r="D126" s="3" t="s">
        <v>503</v>
      </c>
      <c r="F126" s="4" t="str">
        <f>IFERROR(__xludf.DUMMYFUNCTION("GOOGLETRANSLATE(A126, ""en"", ""id"")"),"Kuk kayu (*pangonong*) yang menghubungkan banteng harus:")</f>
        <v>Kuk kayu (*pangonong*) yang menghubungkan banteng harus:</v>
      </c>
      <c r="G126" s="4" t="str">
        <f>IFERROR(__xludf.DUMMYFUNCTION("GOOGLETRANSLATE(B126, ""en"", ""id"")"),"A) Terbuat dari kayu keras apa pun, B) Ringan dan disesuaikan dengan pasangannya, C) Dicat dengan warna pemilik, D) Berat dan ukuran standar")</f>
        <v>A) Terbuat dari kayu keras apa pun, B) Ringan dan disesuaikan dengan pasangannya, C) Dicat dengan warna pemilik, D) Berat dan ukuran standar</v>
      </c>
      <c r="H126" s="4" t="str">
        <f>IFERROR(__xludf.DUMMYFUNCTION("GOOGLETRANSLATE(C126, ""en"", ""id"")"),"B) Ringan dan pas untuk pasangan")</f>
        <v>B) Ringan dan pas untuk pasangan</v>
      </c>
      <c r="I126" s="4" t="str">
        <f>IFERROR(__xludf.DUMMYFUNCTION("GOOGLETRANSLATE(D126, ""en"", ""id"")"),"Kuk merupakan perlengkapan khusus yang penting, dirancang khusus untuk pasangan banteng tertentu demi kenyamanan dan performa.")</f>
        <v>Kuk merupakan perlengkapan khusus yang penting, dirancang khusus untuk pasangan banteng tertentu demi kenyamanan dan performa.</v>
      </c>
    </row>
    <row r="127">
      <c r="A127" s="3" t="s">
        <v>504</v>
      </c>
      <c r="B127" s="3" t="s">
        <v>505</v>
      </c>
      <c r="C127" s="3" t="s">
        <v>506</v>
      </c>
      <c r="D127" s="3" t="s">
        <v>507</v>
      </c>
      <c r="F127" s="4" t="str">
        <f>IFERROR(__xludf.DUMMYFUNCTION("GOOGLETRANSLATE(A127, ""en"", ""id"")"),"Bahan apa yang secara tegas dilarang untuk digunakan pada ujung atau bulu mata cambuk joki?")</f>
        <v>Bahan apa yang secara tegas dilarang untuk digunakan pada ujung atau bulu mata cambuk joki?</v>
      </c>
      <c r="G127" s="4" t="str">
        <f>IFERROR(__xludf.DUMMYFUNCTION("GOOGLETRANSLATE(B127, ""en"", ""id"")"),"A) Kulit kepang, B) Tali, C) Kawat atau logam, D) Plastik keras")</f>
        <v>A) Kulit kepang, B) Tali, C) Kawat atau logam, D) Plastik keras</v>
      </c>
      <c r="H127" s="4" t="str">
        <f>IFERROR(__xludf.DUMMYFUNCTION("GOOGLETRANSLATE(C127, ""en"", ""id"")"),"C) Kawat atau logam")</f>
        <v>C) Kawat atau logam</v>
      </c>
      <c r="I127" s="4" t="str">
        <f>IFERROR(__xludf.DUMMYFUNCTION("GOOGLETRANSLATE(D127, ""en"", ""id"")"),"Untuk mencegah cedera serius, segala bentuk logam pada cambuk dilarang keras.")</f>
        <v>Untuk mencegah cedera serius, segala bentuk logam pada cambuk dilarang keras.</v>
      </c>
    </row>
    <row r="128">
      <c r="A128" s="3" t="s">
        <v>508</v>
      </c>
      <c r="B128" s="3" t="s">
        <v>509</v>
      </c>
      <c r="C128" s="3" t="s">
        <v>510</v>
      </c>
      <c r="D128" s="3" t="s">
        <v>511</v>
      </c>
      <c r="F128" s="4" t="str">
        <f>IFERROR(__xludf.DUMMYFUNCTION("GOOGLETRANSLATE(A128, ""en"", ""id"")"),"Jika serpihan yang tidak berbahaya (seperti topi) tertiup ke lintasan di tengah balapan, bagaimana prosedurnya?")</f>
        <v>Jika serpihan yang tidak berbahaya (seperti topi) tertiup ke lintasan di tengah balapan, bagaimana prosedurnya?</v>
      </c>
      <c r="G128" s="4" t="str">
        <f>IFERROR(__xludf.DUMMYFUNCTION("GOOGLETRANSLATE(B128, ""en"", ""id"")"),"A) Perlombaan dihentikan, B) Perlombaan tetap berjalan tanpa gangguan, C) Tim yang terkena dampak mendapat giliran ulang, D) Peringatan diberikan kepada penonton")</f>
        <v>A) Perlombaan dihentikan, B) Perlombaan tetap berjalan tanpa gangguan, C) Tim yang terkena dampak mendapat giliran ulang, D) Peringatan diberikan kepada penonton</v>
      </c>
      <c r="H128" s="4" t="str">
        <f>IFERROR(__xludf.DUMMYFUNCTION("GOOGLETRANSLATE(C128, ""en"", ""id"")"),"B) Balapan terus berlanjut tanpa gangguan")</f>
        <v>B) Balapan terus berlanjut tanpa gangguan</v>
      </c>
      <c r="I128" s="4" t="str">
        <f>IFERROR(__xludf.DUMMYFUNCTION("GOOGLETRANSLATE(D128, ""en"", ""id"")"),"Perlombaan hanya dihentikan apabila puing-puing menimbulkan bahaya nyata terhadap keselamatan banteng atau joki.")</f>
        <v>Perlombaan hanya dihentikan apabila puing-puing menimbulkan bahaya nyata terhadap keselamatan banteng atau joki.</v>
      </c>
    </row>
    <row r="129">
      <c r="A129" s="3" t="s">
        <v>512</v>
      </c>
      <c r="B129" s="3" t="s">
        <v>513</v>
      </c>
      <c r="C129" s="3" t="s">
        <v>514</v>
      </c>
      <c r="D129" s="3" t="s">
        <v>515</v>
      </c>
      <c r="F129" s="4" t="str">
        <f>IFERROR(__xludf.DUMMYFUNCTION("GOOGLETRANSLATE(A129, ""en"", ""id"")"),"Jika ada hewan liar (misalnya anjing) yang mengganggu salah satu tim, apa keputusannya?")</f>
        <v>Jika ada hewan liar (misalnya anjing) yang mengganggu salah satu tim, apa keputusannya?</v>
      </c>
      <c r="G129" s="4" t="str">
        <f>IFERROR(__xludf.DUMMYFUNCTION("GOOGLETRANSLATE(B129, ""en"", ""id"")"),"A) Tim yang terkena dampak didiskualifikasi, B) Hasil lomba tetap berlaku, C) Heat dinyatakan tidak ada kontes dan diulang, D) Tim yang terkena dampak mendapat kredit waktu")</f>
        <v>A) Tim yang terkena dampak didiskualifikasi, B) Hasil lomba tetap berlaku, C) Heat dinyatakan tidak ada kontes dan diulang, D) Tim yang terkena dampak mendapat kredit waktu</v>
      </c>
      <c r="H129" s="4" t="str">
        <f>IFERROR(__xludf.DUMMYFUNCTION("GOOGLETRANSLATE(C129, ""en"", ""id"")"),"C) Panas dinyatakan tidak ada kontes dan diulang")</f>
        <v>C) Panas dinyatakan tidak ada kontes dan diulang</v>
      </c>
      <c r="I129" s="4" t="str">
        <f>IFERROR(__xludf.DUMMYFUNCTION("GOOGLETRANSLATE(D129, ""en"", ""id"")"),"Gangguan eksternal dari sumber luar yang memengaruhi hasil lomba akan membatalkan panasnya.")</f>
        <v>Gangguan eksternal dari sumber luar yang memengaruhi hasil lomba akan membatalkan panasnya.</v>
      </c>
    </row>
    <row r="130">
      <c r="A130" s="3" t="s">
        <v>516</v>
      </c>
      <c r="B130" s="3" t="s">
        <v>517</v>
      </c>
      <c r="C130" s="3" t="s">
        <v>518</v>
      </c>
      <c r="D130" s="3" t="s">
        <v>519</v>
      </c>
      <c r="F130" s="4" t="str">
        <f>IFERROR(__xludf.DUMMYFUNCTION("GOOGLETRANSLATE(A130, ""en"", ""id"")"),"Apa aturan mengenai logo sponsor pada pakaian kereta luncur atau joki?")</f>
        <v>Apa aturan mengenai logo sponsor pada pakaian kereta luncur atau joki?</v>
      </c>
      <c r="G130" s="4" t="str">
        <f>IFERROR(__xludf.DUMMYFUNCTION("GOOGLETRANSLATE(B130, ""en"", ""id"")"),"A) Dilarang, B) Hanya diperbolehkan di kereta luncur, C) Diizinkan dengan batasan ukuran dan penempatan, D) Tidak ada batasan")</f>
        <v>A) Dilarang, B) Hanya diperbolehkan di kereta luncur, C) Diizinkan dengan batasan ukuran dan penempatan, D) Tidak ada batasan</v>
      </c>
      <c r="H130" s="4" t="str">
        <f>IFERROR(__xludf.DUMMYFUNCTION("GOOGLETRANSLATE(C130, ""en"", ""id"")"),"C) Diizinkan dengan batasan ukuran dan penempatan")</f>
        <v>C) Diizinkan dengan batasan ukuran dan penempatan</v>
      </c>
      <c r="I130" s="4" t="str">
        <f>IFERROR(__xludf.DUMMYFUNCTION("GOOGLETRANSLATE(D130, ""en"", ""id"")"),"Sponsorship diperbolehkan tetapi diatur oleh panitia lomba untuk mempertahankan estetika tradisional acara tersebut.")</f>
        <v>Sponsorship diperbolehkan tetapi diatur oleh panitia lomba untuk mempertahankan estetika tradisional acara tersebut.</v>
      </c>
    </row>
    <row r="131">
      <c r="A131" s="3" t="s">
        <v>520</v>
      </c>
      <c r="B131" s="3" t="s">
        <v>521</v>
      </c>
      <c r="C131" s="3" t="s">
        <v>522</v>
      </c>
      <c r="D131" s="3" t="s">
        <v>523</v>
      </c>
      <c r="F131" s="4" t="str">
        <f>IFERROR(__xludf.DUMMYFUNCTION("GOOGLETRANSLATE(A131, ""en"", ""id"")"),"Jika tim juara menolak trofi mereka sebagai bentuk protes, apa konsekuensinya?")</f>
        <v>Jika tim juara menolak trofi mereka sebagai bentuk protes, apa konsekuensinya?</v>
      </c>
      <c r="G131" s="4" t="str">
        <f>IFERROR(__xludf.DUMMYFUNCTION("GOOGLETRANSLATE(B131, ""en"", ""id"")"),"A) Mereka dilarang selama satu tahun, B) Mereka harus kehilangan hadiah uang, C) Runner-up menerima trofi, D) Mereka diberi peringatan resmi karena tidak sopan")</f>
        <v>A) Mereka dilarang selama satu tahun, B) Mereka harus kehilangan hadiah uang, C) Runner-up menerima trofi, D) Mereka diberi peringatan resmi karena tidak sopan</v>
      </c>
      <c r="H131" s="4" t="str">
        <f>IFERROR(__xludf.DUMMYFUNCTION("GOOGLETRANSLATE(C131, ""en"", ""id"")"),"B) Mereka harus kehilangan hadiah uangnya")</f>
        <v>B) Mereka harus kehilangan hadiah uangnya</v>
      </c>
      <c r="I131" s="4" t="str">
        <f>IFERROR(__xludf.DUMMYFUNCTION("GOOGLETRANSLATE(D131, ""en"", ""id"")"),"Menerima trofi biasanya dikaitkan dengan menerima hadiah uang; penolakan terhadap salah satu dapat berarti hilangnya hadiah lainnya.")</f>
        <v>Menerima trofi biasanya dikaitkan dengan menerima hadiah uang; penolakan terhadap salah satu dapat berarti hilangnya hadiah lainnya.</v>
      </c>
    </row>
    <row r="132">
      <c r="A132" s="3" t="s">
        <v>524</v>
      </c>
      <c r="B132" s="3" t="s">
        <v>525</v>
      </c>
      <c r="C132" s="3" t="s">
        <v>526</v>
      </c>
      <c r="D132" s="3" t="s">
        <v>527</v>
      </c>
      <c r="F132" s="4" t="str">
        <f>IFERROR(__xludf.DUMMYFUNCTION("GOOGLETRANSLATE(A132, ""en"", ""id"")"),"Jika semua pencatatan waktu elektronik gagal dan tidak ada video, bagaimana pemenangnya ditentukan secara resmi?")</f>
        <v>Jika semua pencatatan waktu elektronik gagal dan tidak ada video, bagaimana pemenangnya ditentukan secara resmi?</v>
      </c>
      <c r="G132" s="4" t="str">
        <f>IFERROR(__xludf.DUMMYFUNCTION("GOOGLETRANSLATE(B132, ""en"", ""id"")"),"A) Balapan ulang diperintahkan, B) Stopwatch juri utama adalah penentu tunggal, C) Rata-rata tiga stopwatch resmi digunakan, D) Pendapat penonton diambil")</f>
        <v>A) Balapan ulang diperintahkan, B) Stopwatch juri utama adalah penentu tunggal, C) Rata-rata tiga stopwatch resmi digunakan, D) Pendapat penonton diambil</v>
      </c>
      <c r="H132" s="4" t="str">
        <f>IFERROR(__xludf.DUMMYFUNCTION("GOOGLETRANSLATE(C132, ""en"", ""id"")"),"A) Balapan ulang diperintahkan")</f>
        <v>A) Balapan ulang diperintahkan</v>
      </c>
      <c r="I132" s="4" t="str">
        <f>IFERROR(__xludf.DUMMYFUNCTION("GOOGLETRANSLATE(D132, ""en"", ""id"")"),"Jika tidak ada data waktu yang dapat diverifikasi untuk finis yang ketat, balapan ulang adalah satu-satunya solusi yang adil.")</f>
        <v>Jika tidak ada data waktu yang dapat diverifikasi untuk finis yang ketat, balapan ulang adalah satu-satunya solusi yang adil.</v>
      </c>
    </row>
    <row r="133">
      <c r="A133" s="3" t="s">
        <v>528</v>
      </c>
      <c r="B133" s="3" t="s">
        <v>529</v>
      </c>
      <c r="C133" s="3" t="s">
        <v>530</v>
      </c>
      <c r="D133" s="3" t="s">
        <v>531</v>
      </c>
      <c r="F133" s="4" t="str">
        <f>IFERROR(__xludf.DUMMYFUNCTION("GOOGLETRANSLATE(A133, ""en"", ""id"")"),"Apakah joki diizinkan mengenakan alat bantu telinga untuk berkomunikasi dengan asisten?")</f>
        <v>Apakah joki diizinkan mengenakan alat bantu telinga untuk berkomunikasi dengan asisten?</v>
      </c>
      <c r="G133" s="4" t="str">
        <f>IFERROR(__xludf.DUMMYFUNCTION("GOOGLETRANSLATE(B133, ""en"", ""id"")"),"A) Ya, demi keselamatan, B) Hanya di babak kualifikasi, C) Tidak, semua komunikasi elektronik dilarang, D) Ya, tapi hanya untuk mendengarkan")</f>
        <v>A) Ya, demi keselamatan, B) Hanya di babak kualifikasi, C) Tidak, semua komunikasi elektronik dilarang, D) Ya, tapi hanya untuk mendengarkan</v>
      </c>
      <c r="H133" s="4" t="str">
        <f>IFERROR(__xludf.DUMMYFUNCTION("GOOGLETRANSLATE(C133, ""en"", ""id"")"),"C) Tidak, semua komunikasi elektronik dilarang")</f>
        <v>C) Tidak, semua komunikasi elektronik dilarang</v>
      </c>
      <c r="I133" s="4" t="str">
        <f>IFERROR(__xludf.DUMMYFUNCTION("GOOGLETRANSLATE(D133, ""en"", ""id"")"),"Untuk mempertahankan sifat tradisional olahraga ini, tidak ada alat bantu elektronik yang diizinkan bagi joki.")</f>
        <v>Untuk mempertahankan sifat tradisional olahraga ini, tidak ada alat bantu elektronik yang diizinkan bagi joki.</v>
      </c>
    </row>
    <row r="134">
      <c r="A134" s="3" t="s">
        <v>532</v>
      </c>
      <c r="B134" s="3" t="s">
        <v>533</v>
      </c>
      <c r="C134" s="3" t="s">
        <v>534</v>
      </c>
      <c r="D134" s="3" t="s">
        <v>535</v>
      </c>
      <c r="F134" s="4" t="str">
        <f>IFERROR(__xludf.DUMMYFUNCTION("GOOGLETRANSLATE(A134, ""en"", ""id"")"),"Secara historis, zat apa yang sekarang dilarang digunakan untuk mendorong banteng berlari lebih cepat?")</f>
        <v>Secara historis, zat apa yang sekarang dilarang digunakan untuk mendorong banteng berlari lebih cepat?</v>
      </c>
      <c r="G134" s="4" t="str">
        <f>IFERROR(__xludf.DUMMYFUNCTION("GOOGLETRANSLATE(B134, ""en"", ""id"")"),"A) Air gula, B) Kopi, C) Balsem herbal dengan bahan iritan seperti cabai, D) Alkohol")</f>
        <v>A) Air gula, B) Kopi, C) Balsem herbal dengan bahan iritan seperti cabai, D) Alkohol</v>
      </c>
      <c r="H134" s="4" t="str">
        <f>IFERROR(__xludf.DUMMYFUNCTION("GOOGLETRANSLATE(C134, ""en"", ""id"")"),"C) Balsem herbal dengan bahan iritan seperti cabai")</f>
        <v>C) Balsem herbal dengan bahan iritan seperti cabai</v>
      </c>
      <c r="I134" s="4" t="str">
        <f>IFERROR(__xludf.DUMMYFUNCTION("GOOGLETRANSLATE(D134, ""en"", ""id"")"),"Praktik kejam yang telah lama ada, yaitu penggunaan bahan iritan pada area sensitif, kini menjadi pelanggaran serius terhadap kesejahteraan hewan.")</f>
        <v>Praktik kejam yang telah lama ada, yaitu penggunaan bahan iritan pada area sensitif, kini menjadi pelanggaran serius terhadap kesejahteraan hewan.</v>
      </c>
    </row>
    <row r="135">
      <c r="A135" s="3" t="s">
        <v>536</v>
      </c>
      <c r="B135" s="3" t="s">
        <v>537</v>
      </c>
      <c r="C135" s="3" t="s">
        <v>538</v>
      </c>
      <c r="D135" s="3" t="s">
        <v>539</v>
      </c>
      <c r="F135" s="4" t="str">
        <f>IFERROR(__xludf.DUMMYFUNCTION("GOOGLETRANSLATE(A135, ""en"", ""id"")"),"Apa yang menentukan batas luar zona aman lintasan bagi penonton?")</f>
        <v>Apa yang menentukan batas luar zona aman lintasan bagi penonton?</v>
      </c>
      <c r="G135" s="4" t="str">
        <f>IFERROR(__xludf.DUMMYFUNCTION("GOOGLETRANSLATE(B135, ""en"", ""id"")"),"A) Garis yang dicat, B) Tali tunggal, C) Pagar atau penghalang ganda, D) Tepi rumput")</f>
        <v>A) Garis yang dicat, B) Tali tunggal, C) Pagar atau penghalang ganda, D) Tepi rumput</v>
      </c>
      <c r="H135" s="4" t="str">
        <f>IFERROR(__xludf.DUMMYFUNCTION("GOOGLETRANSLATE(C135, ""en"", ""id"")"),"C) Pagar atau penghalang ganda")</f>
        <v>C) Pagar atau penghalang ganda</v>
      </c>
      <c r="I135" s="4" t="str">
        <f>IFERROR(__xludf.DUMMYFUNCTION("GOOGLETRANSLATE(D135, ""en"", ""id"")"),"Demi keselamatan, diperlukan penghalang fisik yang tepat untuk memisahkan kerumunan dari area limpasan lintasan.")</f>
        <v>Demi keselamatan, diperlukan penghalang fisik yang tepat untuk memisahkan kerumunan dari area limpasan lintasan.</v>
      </c>
    </row>
    <row r="136">
      <c r="A136" s="3" t="s">
        <v>540</v>
      </c>
      <c r="B136" s="3" t="s">
        <v>541</v>
      </c>
      <c r="C136" s="3" t="s">
        <v>542</v>
      </c>
      <c r="D136" s="3" t="s">
        <v>543</v>
      </c>
      <c r="F136" s="4" t="str">
        <f>IFERROR(__xludf.DUMMYFUNCTION("GOOGLETRANSLATE(A136, ""en"", ""id"")"),"Apakah peserta wajib mengikuti pawai seremonial pra-lomba (*Sapi Sonok*)?")</f>
        <v>Apakah peserta wajib mengikuti pawai seremonial pra-lomba (*Sapi Sonok*)?</v>
      </c>
      <c r="G136" s="4" t="str">
        <f>IFERROR(__xludf.DUMMYFUNCTION("GOOGLETRANSLATE(B136, ""en"", ""id"")"),"A) Ya, untuk semua tim, B) Tidak, ini opsional, C) Hanya untuk juara sebelumnya, D) Hanya untuk tim lokal")</f>
        <v>A) Ya, untuk semua tim, B) Tidak, ini opsional, C) Hanya untuk juara sebelumnya, D) Hanya untuk tim lokal</v>
      </c>
      <c r="H136" s="4" t="str">
        <f>IFERROR(__xludf.DUMMYFUNCTION("GOOGLETRANSLATE(C136, ""en"", ""id"")"),"B) Tidak, itu opsional")</f>
        <v>B) Tidak, itu opsional</v>
      </c>
      <c r="I136" s="4" t="str">
        <f>IFERROR(__xludf.DUMMYFUNCTION("GOOGLETRANSLATE(D136, ""en"", ""id"")"),"Meski penting secara budaya, parade seremonial bukanlah komponen wajib untuk berpartisipasi dalam lomba.")</f>
        <v>Meski penting secara budaya, parade seremonial bukanlah komponen wajib untuk berpartisipasi dalam lomba.</v>
      </c>
    </row>
    <row r="137">
      <c r="A137" s="3" t="s">
        <v>544</v>
      </c>
      <c r="B137" s="3" t="s">
        <v>545</v>
      </c>
      <c r="C137" s="3" t="s">
        <v>546</v>
      </c>
      <c r="D137" s="3" t="s">
        <v>547</v>
      </c>
      <c r="F137" s="4" t="str">
        <f>IFERROR(__xludf.DUMMYFUNCTION("GOOGLETRANSLATE(A137, ""en"", ""id"")"),"Bisakah suatu tim mengganti salah satu bantengnya antara kualifikasi dan final karena kelelahan?")</f>
        <v>Bisakah suatu tim mengganti salah satu bantengnya antara kualifikasi dan final karena kelelahan?</v>
      </c>
      <c r="G137" s="4" t="str">
        <f>IFERROR(__xludf.DUMMYFUNCTION("GOOGLETRANSLATE(B137, ""en"", ""id"")"),"A) Ya, jika dokter hewan menyetujuinya, B) Ya, mereka dapat menggunakan banteng cadangan, C) Tidak, pasangan yang sama harus berlari sepanjang hari, D) Hanya jika bantengnya berwarna berbeda")</f>
        <v>A) Ya, jika dokter hewan menyetujuinya, B) Ya, mereka dapat menggunakan banteng cadangan, C) Tidak, pasangan yang sama harus berlari sepanjang hari, D) Hanya jika bantengnya berwarna berbeda</v>
      </c>
      <c r="H137" s="4" t="str">
        <f>IFERROR(__xludf.DUMMYFUNCTION("GOOGLETRANSLATE(C137, ""en"", ""id"")"),"C) Tidak, pasangan yang sama harus berlari sepanjang hari")</f>
        <v>C) Tidak, pasangan yang sama harus berlari sepanjang hari</v>
      </c>
      <c r="I137" s="4" t="str">
        <f>IFERROR(__xludf.DUMMYFUNCTION("GOOGLETRANSLATE(D137, ""en"", ""id"")"),"Suatu tim harus bertanding dengan sepasang banteng yang sama sepanjang keseluruhan kompetisi, kecuali untuk cedera yang telah diverifikasi.")</f>
        <v>Suatu tim harus bertanding dengan sepasang banteng yang sama sepanjang keseluruhan kompetisi, kecuali untuk cedera yang telah diverifikasi.</v>
      </c>
    </row>
    <row r="138">
      <c r="A138" s="3" t="s">
        <v>548</v>
      </c>
      <c r="B138" s="3" t="s">
        <v>549</v>
      </c>
      <c r="C138" s="3" t="s">
        <v>550</v>
      </c>
      <c r="D138" s="3" t="s">
        <v>551</v>
      </c>
      <c r="F138" s="4" t="str">
        <f>IFERROR(__xludf.DUMMYFUNCTION("GOOGLETRANSLATE(A138, ""en"", ""id"")"),"Jika sebuah kereta luncur rusak pada satu babak, dapatkah sebuah tim menggunakan kereta luncur yang sama sekali berbeda pada babak berikutnya?")</f>
        <v>Jika sebuah kereta luncur rusak pada satu babak, dapatkah sebuah tim menggunakan kereta luncur yang sama sekali berbeda pada babak berikutnya?</v>
      </c>
      <c r="G138" s="4" t="str">
        <f>IFERROR(__xludf.DUMMYFUNCTION("GOOGLETRANSLATE(B138, ""en"", ""id"")"),"A) Tidak, hanya perbaikan yang diperbolehkan, B) Ya, asalkan lolos inspeksi, C) Hanya jika kereta luncur pertama tidak dapat diperbaiki, D) Ya, tetapi dengan penalti waktu")</f>
        <v>A) Tidak, hanya perbaikan yang diperbolehkan, B) Ya, asalkan lolos inspeksi, C) Hanya jika kereta luncur pertama tidak dapat diperbaiki, D) Ya, tetapi dengan penalti waktu</v>
      </c>
      <c r="H138" s="4" t="str">
        <f>IFERROR(__xludf.DUMMYFUNCTION("GOOGLETRANSLATE(C138, ""en"", ""id"")"),"B) Ya, asalkan lolos inspeksi")</f>
        <v>B) Ya, asalkan lolos inspeksi</v>
      </c>
      <c r="I138" s="4" t="str">
        <f>IFERROR(__xludf.DUMMYFUNCTION("GOOGLETRANSLATE(D138, ""en"", ""id"")"),"Tim dapat menggunakan kereta luncur cadangan asalkan memenuhi semua spesifikasi peralatan resmi.")</f>
        <v>Tim dapat menggunakan kereta luncur cadangan asalkan memenuhi semua spesifikasi peralatan resmi.</v>
      </c>
    </row>
    <row r="139">
      <c r="A139" s="3" t="s">
        <v>552</v>
      </c>
      <c r="B139" s="3" t="s">
        <v>553</v>
      </c>
      <c r="C139" s="3" t="s">
        <v>554</v>
      </c>
      <c r="D139" s="3" t="s">
        <v>555</v>
      </c>
      <c r="F139" s="4" t="str">
        <f>IFERROR(__xludf.DUMMYFUNCTION("GOOGLETRANSLATE(A139, ""en"", ""id"")"),"Apakah ada batas berat minimum atau maksimum untuk joki?")</f>
        <v>Apakah ada batas berat minimum atau maksimum untuk joki?</v>
      </c>
      <c r="G139" s="4" t="str">
        <f>IFERROR(__xludf.DUMMYFUNCTION("GOOGLETRANSLATE(B139, ""en"", ""id"")"),"A) Ya, berat maksimum 70kg, B) Ya, berat minimum 50kg, C) Tidak, tidak ada batasan berat resmi, D) Hanya untuk kompetisi pemuda")</f>
        <v>A) Ya, berat maksimum 70kg, B) Ya, berat minimum 50kg, C) Tidak, tidak ada batasan berat resmi, D) Hanya untuk kompetisi pemuda</v>
      </c>
      <c r="H139" s="4" t="str">
        <f>IFERROR(__xludf.DUMMYFUNCTION("GOOGLETRANSLATE(C139, ""en"", ""id"")"),"C) Tidak, tidak ada batasan berat resmi")</f>
        <v>C) Tidak, tidak ada batasan berat resmi</v>
      </c>
      <c r="I139" s="4" t="str">
        <f>IFERROR(__xludf.DUMMYFUNCTION("GOOGLETRANSLATE(D139, ""en"", ""id"")"),"Joki biasanya sangat ringan karena alasan kinerja, tetapi tidak ada aturan formal yang mengatur berat badan mereka.")</f>
        <v>Joki biasanya sangat ringan karena alasan kinerja, tetapi tidak ada aturan formal yang mengatur berat badan mereka.</v>
      </c>
    </row>
    <row r="140">
      <c r="A140" s="3" t="s">
        <v>556</v>
      </c>
      <c r="B140" s="3" t="s">
        <v>557</v>
      </c>
      <c r="C140" s="3" t="s">
        <v>558</v>
      </c>
      <c r="D140" s="3" t="s">
        <v>559</v>
      </c>
      <c r="F140" s="4" t="str">
        <f>IFERROR(__xludf.DUMMYFUNCTION("GOOGLETRANSLATE(A140, ""en"", ""id"")"),"Apa hukumnya jika seorang asisten dengan sengaja menyiramkan air untuk membuat tempat licin bagi rivalnya?")</f>
        <v>Apa hukumnya jika seorang asisten dengan sengaja menyiramkan air untuk membuat tempat licin bagi rivalnya?</v>
      </c>
      <c r="G140" s="4" t="str">
        <f>IFERROR(__xludf.DUMMYFUNCTION("GOOGLETRANSLATE(B140, ""en"", ""id"")"),"A) Peringatan, B) Denda, C) Diskualifikasi langsung karena sabotase, D) Tim lawan mendapat kesempatan memulai kembali")</f>
        <v>A) Peringatan, B) Denda, C) Diskualifikasi langsung karena sabotase, D) Tim lawan mendapat kesempatan memulai kembali</v>
      </c>
      <c r="H140" s="4" t="str">
        <f>IFERROR(__xludf.DUMMYFUNCTION("GOOGLETRANSLATE(C140, ""en"", ""id"")"),"C) Diskualifikasi langsung karena sabotase")</f>
        <v>C) Diskualifikasi langsung karena sabotase</v>
      </c>
      <c r="I140" s="4" t="str">
        <f>IFERROR(__xludf.DUMMYFUNCTION("GOOGLETRANSLATE(D140, ""en"", ""id"")"),"Mengubah permukaan lintasan secara sengaja untuk menghalangi seorang pesaing merupakan tindakan tidak sportif yang serius.")</f>
        <v>Mengubah permukaan lintasan secara sengaja untuk menghalangi seorang pesaing merupakan tindakan tidak sportif yang serius.</v>
      </c>
    </row>
    <row r="141">
      <c r="A141" s="3" t="s">
        <v>560</v>
      </c>
      <c r="B141" s="3" t="s">
        <v>561</v>
      </c>
      <c r="C141" s="3" t="s">
        <v>562</v>
      </c>
      <c r="D141" s="3" t="s">
        <v>563</v>
      </c>
      <c r="F141" s="4" t="str">
        <f>IFERROR(__xludf.DUMMYFUNCTION("GOOGLETRANSLATE(A141, ""en"", ""id"")"),"Dalam kondisi apa, selain pelanggaran, sebuah tim harus kehilangan hadiah uang setelah menang?")</f>
        <v>Dalam kondisi apa, selain pelanggaran, sebuah tim harus kehilangan hadiah uang setelah menang?</v>
      </c>
      <c r="G141" s="4" t="str">
        <f>IFERROR(__xludf.DUMMYFUNCTION("GOOGLETRANSLATE(B141, ""en"", ""id"")"),"A) Jika pemilik tidak hadir, B) Jika mereka gagal dalam pemeriksaan peralatan pasca-perlombaan, C) Jika mereka pergi sebelum upacara, D) Jika banteng mereka segera dijual")</f>
        <v>A) Jika pemilik tidak hadir, B) Jika mereka gagal dalam pemeriksaan peralatan pasca-perlombaan, C) Jika mereka pergi sebelum upacara, D) Jika banteng mereka segera dijual</v>
      </c>
      <c r="H141" s="4" t="str">
        <f>IFERROR(__xludf.DUMMYFUNCTION("GOOGLETRANSLATE(C141, ""en"", ""id"")"),"B) Jika mereka gagal dalam inspeksi peralatan pasca-balapan")</f>
        <v>B) Jika mereka gagal dalam inspeksi peralatan pasca-balapan</v>
      </c>
      <c r="I141" s="4" t="str">
        <f>IFERROR(__xludf.DUMMYFUNCTION("GOOGLETRANSLATE(D141, ""en"", ""id"")"),"Jika perlengkapan tim pemenang ditemukan ilegal setelah perlombaan, hadiah dan gelar akan hangus.")</f>
        <v>Jika perlengkapan tim pemenang ditemukan ilegal setelah perlombaan, hadiah dan gelar akan hangus.</v>
      </c>
    </row>
    <row r="142">
      <c r="A142" s="3" t="s">
        <v>564</v>
      </c>
      <c r="B142" s="3" t="s">
        <v>565</v>
      </c>
      <c r="C142" s="3" t="s">
        <v>566</v>
      </c>
      <c r="D142" s="3" t="s">
        <v>567</v>
      </c>
      <c r="F142" s="4" t="str">
        <f>IFERROR(__xludf.DUMMYFUNCTION("GOOGLETRANSLATE(A142, ""en"", ""id"")"),"Siapa yang menangani penangguhan atau larangan jangka panjang karena pelanggaran aturan yang berat?")</f>
        <v>Siapa yang menangani penangguhan atau larangan jangka panjang karena pelanggaran aturan yang berat?</v>
      </c>
      <c r="G142" s="4" t="str">
        <f>IFERROR(__xludf.DUMMYFUNCTION("GOOGLETRANSLATE(B142, ""en"", ""id"")"),"A) Ketua juri, B) Pemerintah daerah, C) Komite disiplin regional, D) Suara dari semua pemilik tim")</f>
        <v>A) Ketua juri, B) Pemerintah daerah, C) Komite disiplin regional, D) Suara dari semua pemilik tim</v>
      </c>
      <c r="H142" s="4" t="str">
        <f>IFERROR(__xludf.DUMMYFUNCTION("GOOGLETRANSLATE(C142, ""en"", ""id"")"),"C) Komite Disiplin Regional")</f>
        <v>C) Komite Disiplin Regional</v>
      </c>
      <c r="I142" s="4" t="str">
        <f>IFERROR(__xludf.DUMMYFUNCTION("GOOGLETRANSLATE(D142, ""en"", ""id"")"),"Badan atau komite pengatur terpisah menangani sanksi yang berlaku lebih dari satu hari perlombaan.")</f>
        <v>Badan atau komite pengatur terpisah menangani sanksi yang berlaku lebih dari satu hari perlombaan.</v>
      </c>
    </row>
    <row r="143">
      <c r="A143" s="3" t="s">
        <v>568</v>
      </c>
      <c r="B143" s="3" t="s">
        <v>569</v>
      </c>
      <c r="C143" s="3" t="s">
        <v>570</v>
      </c>
      <c r="D143" s="3" t="s">
        <v>571</v>
      </c>
      <c r="F143" s="4" t="str">
        <f>IFERROR(__xludf.DUMMYFUNCTION("GOOGLETRANSLATE(A143, ""en"", ""id"")"),"Apakah penonton diizinkan menggunakan alat pembuat bunyi buatan seperti klakson udara di dekat garis start?")</f>
        <v>Apakah penonton diizinkan menggunakan alat pembuat bunyi buatan seperti klakson udara di dekat garis start?</v>
      </c>
      <c r="G143" s="4" t="str">
        <f>IFERROR(__xludf.DUMMYFUNCTION("GOOGLETRANSLATE(B143, ""en"", ""id"")"),"A) Ya, untuk menambah keseruan, B) Hanya setelah balapan dimulai, C) Tidak, dilarang di dekat garis start, D) Hanya jika mendukung tim tuan rumah")</f>
        <v>A) Ya, untuk menambah keseruan, B) Hanya setelah balapan dimulai, C) Tidak, dilarang di dekat garis start, D) Hanya jika mendukung tim tuan rumah</v>
      </c>
      <c r="H143" s="4" t="str">
        <f>IFERROR(__xludf.DUMMYFUNCTION("GOOGLETRANSLATE(C143, ""en"", ""id"")"),"C) Tidak, mereka dilarang di dekat awal")</f>
        <v>C) Tidak, mereka dilarang di dekat awal</v>
      </c>
      <c r="I143" s="4" t="str">
        <f>IFERROR(__xludf.DUMMYFUNCTION("GOOGLETRANSLATE(D143, ""en"", ""id"")"),"Untuk mencegah banteng ketakutan dan menyebabkan start yang salah, alat pembuat bunyi buatan dilarang di area start.")</f>
        <v>Untuk mencegah banteng ketakutan dan menyebabkan start yang salah, alat pembuat bunyi buatan dilarang di area start.</v>
      </c>
    </row>
    <row r="144">
      <c r="A144" s="3" t="s">
        <v>572</v>
      </c>
      <c r="B144" s="3" t="s">
        <v>573</v>
      </c>
      <c r="C144" s="3" t="s">
        <v>574</v>
      </c>
      <c r="D144" s="3" t="s">
        <v>575</v>
      </c>
      <c r="F144" s="4" t="str">
        <f>IFERROR(__xludf.DUMMYFUNCTION("GOOGLETRANSLATE(A144, ""en"", ""id"")"),"Bisakah dokter hewan lintasan membatalkan keputusan hakim ketua?")</f>
        <v>Bisakah dokter hewan lintasan membatalkan keputusan hakim ketua?</v>
      </c>
      <c r="G144" s="4" t="str">
        <f>IFERROR(__xludf.DUMMYFUNCTION("GOOGLETRANSLATE(B144, ""en"", ""id"")"),"A) Tidak pernah, B) Ya, tetapi hanya jika hal itu berkaitan dengan keselamatan hewan, C) Hanya jika pemiliknya setuju, D) Hanya di balapan terakhir")</f>
        <v>A) Tidak pernah, B) Ya, tetapi hanya jika hal itu berkaitan dengan keselamatan hewan, C) Hanya jika pemiliknya setuju, D) Hanya di balapan terakhir</v>
      </c>
      <c r="H144" s="4" t="str">
        <f>IFERROR(__xludf.DUMMYFUNCTION("GOOGLETRANSLATE(C144, ""en"", ""id"")"),"B) Ya, tapi hanya jika hal itu berkaitan dengan keselamatan hewan")</f>
        <v>B) Ya, tapi hanya jika hal itu berkaitan dengan keselamatan hewan</v>
      </c>
      <c r="I144" s="4" t="str">
        <f>IFERROR(__xludf.DUMMYFUNCTION("GOOGLETRANSLATE(D144, ""en"", ""id"")"),"Dokter hewan memiliki wewenang tertinggi dalam hal kesejahteraan hewan dan dapat memaksa penarikan karena alasan keselamatan.")</f>
        <v>Dokter hewan memiliki wewenang tertinggi dalam hal kesejahteraan hewan dan dapat memaksa penarikan karena alasan keselamatan.</v>
      </c>
    </row>
    <row r="145">
      <c r="A145" s="3" t="s">
        <v>576</v>
      </c>
      <c r="B145" s="3" t="s">
        <v>577</v>
      </c>
      <c r="C145" s="3" t="s">
        <v>578</v>
      </c>
      <c r="D145" s="3" t="s">
        <v>579</v>
      </c>
      <c r="F145" s="4" t="str">
        <f>IFERROR(__xludf.DUMMYFUNCTION("GOOGLETRANSLATE(A145, ""en"", ""id"")"),"Bagaimana biasanya penentuan posisi akhir kualifikasi dalam suatu babak ditentukan secara seri?")</f>
        <v>Bagaimana biasanya penentuan posisi akhir kualifikasi dalam suatu babak ditentukan secara seri?</v>
      </c>
      <c r="G145" s="4" t="str">
        <f>IFERROR(__xludf.DUMMYFUNCTION("GOOGLETRANSLATE(B145, ""en"", ""id"")"),"A) Tim yang lebih ringan maju, B) Lemparan koin, C) Babak penyisihan dua tim khusus, D) Tim dengan banteng yang lebih tua maju")</f>
        <v>A) Tim yang lebih ringan maju, B) Lemparan koin, C) Babak penyisihan dua tim khusus, D) Tim dengan banteng yang lebih tua maju</v>
      </c>
      <c r="H145" s="4" t="str">
        <f>IFERROR(__xludf.DUMMYFUNCTION("GOOGLETRANSLATE(C145, ""en"", ""id"")"),"C) Babak penyisihan khusus dua tim")</f>
        <v>C) Babak penyisihan khusus dua tim</v>
      </c>
      <c r="I145" s="4" t="str">
        <f>IFERROR(__xludf.DUMMYFUNCTION("GOOGLETRANSLATE(D145, ""en"", ""id"")"),"Perlombaan langsung satu lawan satu merupakan cara paling adil untuk menentukan pemenang untuk memperebutkan tempat di babak berikutnya.")</f>
        <v>Perlombaan langsung satu lawan satu merupakan cara paling adil untuk menentukan pemenang untuk memperebutkan tempat di babak berikutnya.</v>
      </c>
    </row>
    <row r="146">
      <c r="A146" s="3" t="s">
        <v>580</v>
      </c>
      <c r="B146" s="3" t="s">
        <v>581</v>
      </c>
      <c r="C146" s="3" t="s">
        <v>582</v>
      </c>
      <c r="D146" s="3" t="s">
        <v>583</v>
      </c>
      <c r="F146" s="4" t="str">
        <f>IFERROR(__xludf.DUMMYFUNCTION("GOOGLETRANSLATE(A146, ""en"", ""id"")"),"Berapa lebar minimum standar untuk jalur balap tunggal di lintasan kejuaraan?")</f>
        <v>Berapa lebar minimum standar untuk jalur balap tunggal di lintasan kejuaraan?</v>
      </c>
      <c r="G146" s="4" t="str">
        <f>IFERROR(__xludf.DUMMYFUNCTION("GOOGLETRANSLATE(B146, ""en"", ""id"")"),"A) 5 meter, B) 10 meter, C) 15 meter, D) 20 meter")</f>
        <v>A) 5 meter, B) 10 meter, C) 15 meter, D) 20 meter</v>
      </c>
      <c r="H146" s="4" t="str">
        <f>IFERROR(__xludf.DUMMYFUNCTION("GOOGLETRANSLATE(C146, ""en"", ""id"")"),"B) 10 meter")</f>
        <v>B) 10 meter</v>
      </c>
      <c r="I146" s="4" t="str">
        <f>IFERROR(__xludf.DUMMYFUNCTION("GOOGLETRANSLATE(D146, ""en"", ""id"")"),"Jalur yang lebar diperlukan untuk menyediakan ruang operasi yang aman bagi pasangan banteng dan kereta luncur.")</f>
        <v>Jalur yang lebar diperlukan untuk menyediakan ruang operasi yang aman bagi pasangan banteng dan kereta luncur.</v>
      </c>
    </row>
    <row r="147">
      <c r="A147" s="3" t="s">
        <v>584</v>
      </c>
      <c r="B147" s="3" t="s">
        <v>585</v>
      </c>
      <c r="C147" s="3" t="s">
        <v>586</v>
      </c>
      <c r="D147" s="3" t="s">
        <v>587</v>
      </c>
      <c r="F147" s="4" t="str">
        <f>IFERROR(__xludf.DUMMYFUNCTION("GOOGLETRANSLATE(A147, ""en"", ""id"")"),"Apakah ada batasan waktu berapa lama tim pemenang dapat merayakan kemenangan di lintasan?")</f>
        <v>Apakah ada batasan waktu berapa lama tim pemenang dapat merayakan kemenangan di lintasan?</v>
      </c>
      <c r="G147" s="4" t="str">
        <f>IFERROR(__xludf.DUMMYFUNCTION("GOOGLETRANSLATE(B147, ""en"", ""id"")"),"A) Tidak ada batas, B) 1 menit, C) 5 menit, D) Ya, mereka harus segera meninggalkan lintasan")</f>
        <v>A) Tidak ada batas, B) 1 menit, C) 5 menit, D) Ya, mereka harus segera meninggalkan lintasan</v>
      </c>
      <c r="H147" s="4" t="str">
        <f>IFERROR(__xludf.DUMMYFUNCTION("GOOGLETRANSLATE(C147, ""en"", ""id"")"),"D) Ya, mereka harus segera membersihkan lintasan")</f>
        <v>D) Ya, mereka harus segera membersihkan lintasan</v>
      </c>
      <c r="I147" s="4" t="str">
        <f>IFERROR(__xludf.DUMMYFUNCTION("GOOGLETRANSLATE(D147, ""en"", ""id"")"),"Demi keselamatan dan agar acara tetap berjalan, tim pemenang harus segera memindahkan bantengnya ke area putaran kedua.")</f>
        <v>Demi keselamatan dan agar acara tetap berjalan, tim pemenang harus segera memindahkan bantengnya ke area putaran kedua.</v>
      </c>
    </row>
    <row r="148">
      <c r="A148" s="3" t="s">
        <v>588</v>
      </c>
      <c r="B148" s="3" t="s">
        <v>589</v>
      </c>
      <c r="C148" s="3" t="s">
        <v>590</v>
      </c>
      <c r="D148" s="3" t="s">
        <v>591</v>
      </c>
      <c r="F148" s="4" t="str">
        <f>IFERROR(__xludf.DUMMYFUNCTION("GOOGLETRANSLATE(A148, ""en"", ""id"")"),"Kuk harus diikat dengan cara yang mencegah:")</f>
        <v>Kuk harus diikat dengan cara yang mencegah:</v>
      </c>
      <c r="G148" s="4" t="str">
        <f>IFERROR(__xludf.DUMMYFUNCTION("GOOGLETRANSLATE(B148, ""en"", ""id"")"),"A) Sapi jantan yang melihat satu sama lain, B) Joki yang jatuh, C) Tersedak atau membatasi gerakan kepala alami, D) Hiasan yang jatuh")</f>
        <v>A) Sapi jantan yang melihat satu sama lain, B) Joki yang jatuh, C) Tersedak atau membatasi gerakan kepala alami, D) Hiasan yang jatuh</v>
      </c>
      <c r="H148" s="4" t="str">
        <f>IFERROR(__xludf.DUMMYFUNCTION("GOOGLETRANSLATE(C148, ""en"", ""id"")"),"C) Tersedak atau membatasi gerakan kepala alami")</f>
        <v>C) Tersedak atau membatasi gerakan kepala alami</v>
      </c>
      <c r="I148" s="4" t="str">
        <f>IFERROR(__xludf.DUMMYFUNCTION("GOOGLETRANSLATE(D148, ""en"", ""id"")"),"Pemasangan kuk yang benar merupakan aturan utama kesejahteraan hewan, yang memastikan banteng dapat berlari tanpa hambatan.")</f>
        <v>Pemasangan kuk yang benar merupakan aturan utama kesejahteraan hewan, yang memastikan banteng dapat berlari tanpa hambatan.</v>
      </c>
    </row>
    <row r="149">
      <c r="A149" s="3" t="s">
        <v>592</v>
      </c>
      <c r="B149" s="3" t="s">
        <v>593</v>
      </c>
      <c r="C149" s="3" t="s">
        <v>594</v>
      </c>
      <c r="D149" s="3" t="s">
        <v>595</v>
      </c>
      <c r="F149" s="4" t="str">
        <f>IFERROR(__xludf.DUMMYFUNCTION("GOOGLETRANSLATE(A149, ""en"", ""id"")"),"Jika seluruh acara dibatalkan karena cuaca, bagaimana biaya pendaftaran ditangani?")</f>
        <v>Jika seluruh acara dibatalkan karena cuaca, bagaimana biaya pendaftaran ditangani?</v>
      </c>
      <c r="G149" s="4" t="str">
        <f>IFERROR(__xludf.DUMMYFUNCTION("GOOGLETRANSLATE(B149, ""en"", ""id"")"),"A) Mereka hangus, B) Mereka dikembalikan sepenuhnya atau dikreditkan ke acara yang dijadwalkan ulang, C) Setengahnya dikembalikan, D) Mereka disumbangkan ke badan amal")</f>
        <v>A) Mereka hangus, B) Mereka dikembalikan sepenuhnya atau dikreditkan ke acara yang dijadwalkan ulang, C) Setengahnya dikembalikan, D) Mereka disumbangkan ke badan amal</v>
      </c>
      <c r="H149" s="4" t="str">
        <f>IFERROR(__xludf.DUMMYFUNCTION("GOOGLETRANSLATE(C149, ""en"", ""id"")"),"B) Mereka akan mendapatkan pengembalian dana penuh atau dikreditkan ke acara yang dijadwalkan ulang")</f>
        <v>B) Mereka akan mendapatkan pengembalian dana penuh atau dikreditkan ke acara yang dijadwalkan ulang</v>
      </c>
      <c r="I149" s="4" t="str">
        <f>IFERROR(__xludf.DUMMYFUNCTION("GOOGLETRANSLATE(D149, ""en"", ""id"")"),"Jika penyelenggara membatalkan acara, mereka berkewajiban mengembalikan biaya pendaftaran kepada peserta.")</f>
        <v>Jika penyelenggara membatalkan acara, mereka berkewajiban mengembalikan biaya pendaftaran kepada peserta.</v>
      </c>
    </row>
    <row r="150">
      <c r="A150" s="3" t="s">
        <v>596</v>
      </c>
      <c r="B150" s="3" t="s">
        <v>597</v>
      </c>
      <c r="C150" s="3" t="s">
        <v>598</v>
      </c>
      <c r="D150" s="3" t="s">
        <v>599</v>
      </c>
      <c r="F150" s="4" t="str">
        <f>IFERROR(__xludf.DUMMYFUNCTION("GOOGLETRANSLATE(A150, ""en"", ""id"")"),"Bagian kereta luncur manakah yang dilarang disentuh tangan oleh joki saat balapan?")</f>
        <v>Bagian kereta luncur manakah yang dilarang disentuh tangan oleh joki saat balapan?</v>
      </c>
      <c r="G150" s="4" t="str">
        <f>IFERROR(__xludf.DUMMYFUNCTION("GOOGLETRANSLATE(B150, ""en"", ""id"")"),"A) Kuk, B) Kendali, C) Rangka utama, D) Pelari yang menghadap ke tanah")</f>
        <v>A) Kuk, B) Kendali, C) Rangka utama, D) Pelari yang menghadap ke tanah</v>
      </c>
      <c r="H150" s="4" t="str">
        <f>IFERROR(__xludf.DUMMYFUNCTION("GOOGLETRANSLATE(C150, ""en"", ""id"")"),"D) Pelari yang menghadap ke tanah")</f>
        <v>D) Pelari yang menghadap ke tanah</v>
      </c>
      <c r="I150" s="4" t="str">
        <f>IFERROR(__xludf.DUMMYFUNCTION("GOOGLETRANSLATE(D150, ""en"", ""id"")"),"Menyentuh pelari dapat mengubah gesekan kereta luncur dan dianggap sebagai bentuk gangguan.")</f>
        <v>Menyentuh pelari dapat mengubah gesekan kereta luncur dan dianggap sebagai bentuk gangguan.</v>
      </c>
    </row>
    <row r="151">
      <c r="A151" s="6" t="s">
        <v>600</v>
      </c>
      <c r="B151" s="6" t="s">
        <v>601</v>
      </c>
      <c r="C151" s="6" t="s">
        <v>602</v>
      </c>
      <c r="D151" s="6" t="s">
        <v>603</v>
      </c>
      <c r="F151" s="4" t="str">
        <f>IFERROR(__xludf.DUMMYFUNCTION("GOOGLETRANSLATE(A151, ""en"", ""id"")"),"Apa takhayul yang umum di kalangan joki sebelum perlombaan Karapan Sapi?")</f>
        <v>Apa takhayul yang umum di kalangan joki sebelum perlombaan Karapan Sapi?</v>
      </c>
      <c r="G151" s="4" t="str">
        <f>IFERROR(__xludf.DUMMYFUNCTION("GOOGLETRANSLATE(B151, ""en"", ""id"")"),"A) Tidak boleh melihat ke belakang, B) Tidak boleh memakai warna tertentu, C) Menghindari makanan tertentu, D) Tidur di bawah bintang-bintang")</f>
        <v>A) Tidak boleh melihat ke belakang, B) Tidak boleh memakai warna tertentu, C) Menghindari makanan tertentu, D) Tidur di bawah bintang-bintang</v>
      </c>
      <c r="H151" s="4" t="str">
        <f>IFERROR(__xludf.DUMMYFUNCTION("GOOGLETRANSLATE(C151, ""en"", ""id"")"),"B) Tidak memakai warna tertentu")</f>
        <v>B) Tidak memakai warna tertentu</v>
      </c>
      <c r="I151" s="4" t="str">
        <f>IFERROR(__xludf.DUMMYFUNCTION("GOOGLETRANSLATE(D151, ""en"", ""id"")"),"Joki mungkin menghindari warna tertentu demi keberuntungan sebelum balapan.")</f>
        <v>Joki mungkin menghindari warna tertentu demi keberuntungan sebelum balapan.</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4.88"/>
    <col customWidth="1" min="4" max="4" width="37.63"/>
    <col customWidth="1" min="6" max="7" width="37.63"/>
    <col customWidth="1" min="8" max="8" width="30.63"/>
    <col customWidth="1" min="9" max="9" width="37.63"/>
  </cols>
  <sheetData>
    <row r="1">
      <c r="A1" s="7" t="s">
        <v>604</v>
      </c>
      <c r="B1" s="7" t="s">
        <v>605</v>
      </c>
      <c r="C1" s="7" t="s">
        <v>606</v>
      </c>
      <c r="D1" s="7" t="s">
        <v>607</v>
      </c>
      <c r="F1" s="2" t="s">
        <v>4</v>
      </c>
      <c r="G1" s="2" t="s">
        <v>5</v>
      </c>
      <c r="H1" s="2" t="s">
        <v>6</v>
      </c>
      <c r="I1" s="2" t="s">
        <v>7</v>
      </c>
    </row>
    <row r="2">
      <c r="A2" s="6" t="s">
        <v>608</v>
      </c>
      <c r="B2" s="6" t="s">
        <v>609</v>
      </c>
      <c r="C2" s="6" t="s">
        <v>610</v>
      </c>
      <c r="D2" s="6" t="s">
        <v>611</v>
      </c>
      <c r="F2" s="4" t="str">
        <f>IFERROR(__xludf.DUMMYFUNCTION("GOOGLETRANSLATE(A2, ""en"", ""id"")"),"Apa hukumnya jika pelaku servis mengangkat kaki tumpunya sepenuhnya dari tanah saat melakukan servis?")</f>
        <v>Apa hukumnya jika pelaku servis mengangkat kaki tumpunya sepenuhnya dari tanah saat melakukan servis?</v>
      </c>
      <c r="G2" s="4" t="str">
        <f>IFERROR(__xludf.DUMMYFUNCTION("GOOGLETRANSLATE(B2, ""en"", ""id"")"),"A) Poin berlanjut, B) Ulangan, C) Kesalahan, D) Peringatan")</f>
        <v>A) Poin berlanjut, B) Ulangan, C) Kesalahan, D) Peringatan</v>
      </c>
      <c r="H2" s="4" t="str">
        <f>IFERROR(__xludf.DUMMYFUNCTION("GOOGLETRANSLATE(C2, ""en"", ""id"")"),"C) Kesalahan")</f>
        <v>C) Kesalahan</v>
      </c>
      <c r="I2" s="4" t="str">
        <f>IFERROR(__xludf.DUMMYFUNCTION("GOOGLETRANSLATE(D2, ""en"", ""id"")"),"Pelaku servis harus menjaga kontak dengan tanah di dalam lingkaran servis dengan kaki yang tidak digunakan untuk menendang hingga bola dipukul.")</f>
        <v>Pelaku servis harus menjaga kontak dengan tanah di dalam lingkaran servis dengan kaki yang tidak digunakan untuk menendang hingga bola dipukul.</v>
      </c>
    </row>
    <row r="3">
      <c r="A3" s="6" t="s">
        <v>612</v>
      </c>
      <c r="B3" s="6" t="s">
        <v>613</v>
      </c>
      <c r="C3" s="6" t="s">
        <v>614</v>
      </c>
      <c r="D3" s="6" t="s">
        <v>615</v>
      </c>
      <c r="F3" s="4" t="str">
        <f>IFERROR(__xludf.DUMMYFUNCTION("GOOGLETRANSLATE(A3, ""en"", ""id"")"),"Bila lemparan dari pemain dalam jelek, berapa kali lemparan ulang yang diperbolehkan bagi server?")</f>
        <v>Bila lemparan dari pemain dalam jelek, berapa kali lemparan ulang yang diperbolehkan bagi server?</v>
      </c>
      <c r="G3" s="4" t="str">
        <f>IFERROR(__xludf.DUMMYFUNCTION("GOOGLETRANSLATE(B3, ""en"", ""id"")"),"A) Tidak ada, B) Satu, C) Dua, D) Tidak terbatas")</f>
        <v>A) Tidak ada, B) Satu, C) Dua, D) Tidak terbatas</v>
      </c>
      <c r="H3" s="4" t="str">
        <f>IFERROR(__xludf.DUMMYFUNCTION("GOOGLETRANSLATE(C3, ""en"", ""id"")"),"B) Satu")</f>
        <v>B) Satu</v>
      </c>
      <c r="I3" s="4" t="str">
        <f>IFERROR(__xludf.DUMMYFUNCTION("GOOGLETRANSLATE(D3, ""en"", ""id"")"),"Pelaku servis diperbolehkan melakukan satu kali lemparan ulang per upaya servis sebelum mereka harus memukul bola.")</f>
        <v>Pelaku servis diperbolehkan melakukan satu kali lemparan ulang per upaya servis sebelum mereka harus memukul bola.</v>
      </c>
    </row>
    <row r="4">
      <c r="A4" s="6" t="s">
        <v>616</v>
      </c>
      <c r="B4" s="6" t="s">
        <v>617</v>
      </c>
      <c r="C4" s="6" t="s">
        <v>618</v>
      </c>
      <c r="D4" s="6" t="s">
        <v>619</v>
      </c>
      <c r="F4" s="4" t="str">
        <f>IFERROR(__xludf.DUMMYFUNCTION("GOOGLETRANSLATE(A4, ""en"", ""id"")"),"Petugas mana yang bertanggung jawab utama dalam memberi tanda sah tidaknya servis?")</f>
        <v>Petugas mana yang bertanggung jawab utama dalam memberi tanda sah tidaknya servis?</v>
      </c>
      <c r="G4" s="4" t="str">
        <f>IFERROR(__xludf.DUMMYFUNCTION("GOOGLETRANSLATE(B4, ""en"", ""id"")"),"A) Wasit, B) Hakim Servis, C) Asisten Wasit, D) Pencatat Skor")</f>
        <v>A) Wasit, B) Hakim Servis, C) Asisten Wasit, D) Pencatat Skor</v>
      </c>
      <c r="H4" s="4" t="str">
        <f>IFERROR(__xludf.DUMMYFUNCTION("GOOGLETRANSLATE(C4, ""en"", ""id"")"),"B) Hakim Layanan")</f>
        <v>B) Hakim Layanan</v>
      </c>
      <c r="I4" s="4" t="str">
        <f>IFERROR(__xludf.DUMMYFUNCTION("GOOGLETRANSLATE(D4, ""en"", ""id"")"),"Peran utama Hakim Servis adalah mengawasi kesalahan kaki dan memastikan servis dilakukan secara sah.")</f>
        <v>Peran utama Hakim Servis adalah mengawasi kesalahan kaki dan memastikan servis dilakukan secara sah.</v>
      </c>
    </row>
    <row r="5">
      <c r="A5" s="6" t="s">
        <v>620</v>
      </c>
      <c r="B5" s="6" t="s">
        <v>621</v>
      </c>
      <c r="C5" s="6" t="s">
        <v>622</v>
      </c>
      <c r="D5" s="6" t="s">
        <v>623</v>
      </c>
      <c r="F5" s="4" t="str">
        <f>IFERROR(__xludf.DUMMYFUNCTION("GOOGLETRANSLATE(A5, ""en"", ""id"")"),"Dalam turnamen formal, siapa yang bertanggung jawab untuk mengumumkan urutan servis dan rotasi?")</f>
        <v>Dalam turnamen formal, siapa yang bertanggung jawab untuk mengumumkan urutan servis dan rotasi?</v>
      </c>
      <c r="G5" s="4" t="str">
        <f>IFERROR(__xludf.DUMMYFUNCTION("GOOGLETRANSLATE(B5, ""en"", ""id"")"),"A) Kapten tim, B) Wasit, C) Hakim garis, D) Wasit")</f>
        <v>A) Kapten tim, B) Wasit, C) Hakim garis, D) Wasit</v>
      </c>
      <c r="H5" s="4" t="str">
        <f>IFERROR(__xludf.DUMMYFUNCTION("GOOGLETRANSLATE(C5, ""en"", ""id"")"),"D) Wasit")</f>
        <v>D) Wasit</v>
      </c>
      <c r="I5" s="4" t="str">
        <f>IFERROR(__xludf.DUMMYFUNCTION("GOOGLETRANSLATE(D5, ""en"", ""id"")"),"Wasit bertanggung jawab untuk mengatur jalannya permainan, termasuk menegakkan aturan rotasi servis.")</f>
        <v>Wasit bertanggung jawab untuk mengatur jalannya permainan, termasuk menegakkan aturan rotasi servis.</v>
      </c>
    </row>
    <row r="6">
      <c r="A6" s="6" t="s">
        <v>624</v>
      </c>
      <c r="B6" s="6" t="s">
        <v>625</v>
      </c>
      <c r="C6" s="6" t="s">
        <v>626</v>
      </c>
      <c r="D6" s="6" t="s">
        <v>627</v>
      </c>
      <c r="F6" s="4" t="str">
        <f>IFERROR(__xludf.DUMMYFUNCTION("GOOGLETRANSLATE(A6, ""en"", ""id"")"),"Apa hukuman bagi pemain yang sengaja menunda permainan (misalnya dengan mengikat sepatu yang tidak perlu)?")</f>
        <v>Apa hukuman bagi pemain yang sengaja menunda permainan (misalnya dengan mengikat sepatu yang tidak perlu)?</v>
      </c>
      <c r="G6" s="4" t="str">
        <f>IFERROR(__xludf.DUMMYFUNCTION("GOOGLETRANSLATE(B6, ""en"", ""id"")"),"A) Ulangan, B) Peringatan, C) Kartu kuning, D) Kesalahan")</f>
        <v>A) Ulangan, B) Peringatan, C) Kartu kuning, D) Kesalahan</v>
      </c>
      <c r="H6" s="4" t="str">
        <f>IFERROR(__xludf.DUMMYFUNCTION("GOOGLETRANSLATE(C6, ""en"", ""id"")"),"C) Kartu kuning")</f>
        <v>C) Kartu kuning</v>
      </c>
      <c r="I6" s="4" t="str">
        <f>IFERROR(__xludf.DUMMYFUNCTION("GOOGLETRANSLATE(D6, ""en"", ""id"")"),"Penundaan permainan yang disengaja dianggap sebagai pelanggaran dan diberi sanksi peringatan, biasanya kartu kuning.")</f>
        <v>Penundaan permainan yang disengaja dianggap sebagai pelanggaran dan diberi sanksi peringatan, biasanya kartu kuning.</v>
      </c>
    </row>
    <row r="7">
      <c r="A7" s="6" t="s">
        <v>628</v>
      </c>
      <c r="B7" s="6" t="s">
        <v>629</v>
      </c>
      <c r="C7" s="6" t="s">
        <v>610</v>
      </c>
      <c r="D7" s="6" t="s">
        <v>630</v>
      </c>
      <c r="F7" s="4" t="str">
        <f>IFERROR(__xludf.DUMMYFUNCTION("GOOGLETRANSLATE(A7, ""en"", ""id"")"),"Apa akibatnya jika kaki pemain menyentuh net saat melakukan spike?")</f>
        <v>Apa akibatnya jika kaki pemain menyentuh net saat melakukan spike?</v>
      </c>
      <c r="G7" s="4" t="str">
        <f>IFERROR(__xludf.DUMMYFUNCTION("GOOGLETRANSLATE(B7, ""en"", ""id"")"),"A) Tidak ada konsekuensi, B) Peringatan, C) Kesalahan, D) Ulangan")</f>
        <v>A) Tidak ada konsekuensi, B) Peringatan, C) Kesalahan, D) Ulangan</v>
      </c>
      <c r="H7" s="4" t="str">
        <f>IFERROR(__xludf.DUMMYFUNCTION("GOOGLETRANSLATE(C7, ""en"", ""id"")"),"C) Kesalahan")</f>
        <v>C) Kesalahan</v>
      </c>
      <c r="I7" s="4" t="str">
        <f>IFERROR(__xludf.DUMMYFUNCTION("GOOGLETRANSLATE(D7, ""en"", ""id"")"),"Segala kontak dengan net oleh badan atau pakaian pemain selama reli akan mengakibatkan kesalahan dan poin untuk lawan.")</f>
        <v>Segala kontak dengan net oleh badan atau pakaian pemain selama reli akan mengakibatkan kesalahan dan poin untuk lawan.</v>
      </c>
    </row>
    <row r="8">
      <c r="A8" s="6" t="s">
        <v>631</v>
      </c>
      <c r="B8" s="6" t="s">
        <v>632</v>
      </c>
      <c r="C8" s="6" t="s">
        <v>633</v>
      </c>
      <c r="D8" s="6" t="s">
        <v>634</v>
      </c>
      <c r="F8" s="4" t="str">
        <f>IFERROR(__xludf.DUMMYFUNCTION("GOOGLETRANSLATE(A8, ""en"", ""id"")"),"Jika seorang pemain secara verbal mengalihkan perhatian lawan sesaat sebelum mereka memukul bola, apa keputusannya?")</f>
        <v>Jika seorang pemain secara verbal mengalihkan perhatian lawan sesaat sebelum mereka memukul bola, apa keputusannya?</v>
      </c>
      <c r="G8" s="4" t="str">
        <f>IFERROR(__xludf.DUMMYFUNCTION("GOOGLETRANSLATE(B8, ""en"", ""id"")"),"A) Peringatan, B) Arahkan ke lawan, C) Putar ulang, D) Tidak ada tindakan")</f>
        <v>A) Peringatan, B) Arahkan ke lawan, C) Putar ulang, D) Tidak ada tindakan</v>
      </c>
      <c r="H8" s="4" t="str">
        <f>IFERROR(__xludf.DUMMYFUNCTION("GOOGLETRANSLATE(C8, ""en"", ""id"")"),"B) Menunjuk ke lawan")</f>
        <v>B) Menunjuk ke lawan</v>
      </c>
      <c r="I8" s="4" t="str">
        <f>IFERROR(__xludf.DUMMYFUNCTION("GOOGLETRANSLATE(D8, ""en"", ""id"")"),"Gangguan verbal atau perilaku tidak sportif yang mengganggu permainan akan mengakibatkan lawan mendapatkan poin.")</f>
        <v>Gangguan verbal atau perilaku tidak sportif yang mengganggu permainan akan mengakibatkan lawan mendapatkan poin.</v>
      </c>
    </row>
    <row r="9">
      <c r="A9" s="6" t="s">
        <v>635</v>
      </c>
      <c r="B9" s="6" t="s">
        <v>636</v>
      </c>
      <c r="C9" s="6" t="s">
        <v>610</v>
      </c>
      <c r="D9" s="6" t="s">
        <v>637</v>
      </c>
      <c r="F9" s="4" t="str">
        <f>IFERROR(__xludf.DUMMYFUNCTION("GOOGLETRANSLATE(A9, ""en"", ""id"")"),"Apa yang terjadi jika bola mengenai langit-langit atau halangan lain di atas kepala di lapangan dalam ruangan?")</f>
        <v>Apa yang terjadi jika bola mengenai langit-langit atau halangan lain di atas kepala di lapangan dalam ruangan?</v>
      </c>
      <c r="G9" s="4" t="str">
        <f>IFERROR(__xludf.DUMMYFUNCTION("GOOGLETRANSLATE(B9, ""en"", ""id"")"),"A) Ulangan, B) Arahkan ke striker, C) Kesalahan, D) Reli berlanjut")</f>
        <v>A) Ulangan, B) Arahkan ke striker, C) Kesalahan, D) Reli berlanjut</v>
      </c>
      <c r="H9" s="4" t="str">
        <f>IFERROR(__xludf.DUMMYFUNCTION("GOOGLETRANSLATE(C9, ""en"", ""id"")"),"C) Kesalahan")</f>
        <v>C) Kesalahan</v>
      </c>
      <c r="I9" s="4" t="str">
        <f>IFERROR(__xludf.DUMMYFUNCTION("GOOGLETRANSLATE(D9, ""en"", ""id"")"),"Reli segera berakhir, dan kesalahan dinyatakan terhadap tim yang memukul bola ke rintangan.")</f>
        <v>Reli segera berakhir, dan kesalahan dinyatakan terhadap tim yang memukul bola ke rintangan.</v>
      </c>
    </row>
    <row r="10">
      <c r="A10" s="6" t="s">
        <v>638</v>
      </c>
      <c r="B10" s="6" t="s">
        <v>639</v>
      </c>
      <c r="C10" s="6" t="s">
        <v>640</v>
      </c>
      <c r="D10" s="6" t="s">
        <v>641</v>
      </c>
      <c r="F10" s="4" t="str">
        <f>IFERROR(__xludf.DUMMYFUNCTION("GOOGLETRANSLATE(A10, ""en"", ""id"")"),"Dalam suatu rally, jika dua pemain dari satu tim menyentuh bola secara bersamaan, maka keputusannya adalah:")</f>
        <v>Dalam suatu rally, jika dua pemain dari satu tim menyentuh bola secara bersamaan, maka keputusannya adalah:</v>
      </c>
      <c r="G10" s="4" t="str">
        <f>IFERROR(__xludf.DUMMYFUNCTION("GOOGLETRANSLATE(B10, ""en"", ""id"")"),"A) Permainan yang sah, B) Kesalahan, C) Ulangan, D) Peringatan")</f>
        <v>A) Permainan yang sah, B) Kesalahan, C) Ulangan, D) Peringatan</v>
      </c>
      <c r="H10" s="4" t="str">
        <f>IFERROR(__xludf.DUMMYFUNCTION("GOOGLETRANSLATE(C10, ""en"", ""id"")"),"B) Kesalahan")</f>
        <v>B) Kesalahan</v>
      </c>
      <c r="I10" s="4" t="str">
        <f>IFERROR(__xludf.DUMMYFUNCTION("GOOGLETRANSLATE(D10, ""en"", ""id"")"),"Hanya satu pemain yang boleh menyentuh bola pada satu waktu; pukulan ganda oleh tim akan mengakibatkan kesalahan.")</f>
        <v>Hanya satu pemain yang boleh menyentuh bola pada satu waktu; pukulan ganda oleh tim akan mengakibatkan kesalahan.</v>
      </c>
    </row>
    <row r="11">
      <c r="A11" s="6" t="s">
        <v>642</v>
      </c>
      <c r="B11" s="6" t="s">
        <v>643</v>
      </c>
      <c r="C11" s="6" t="s">
        <v>644</v>
      </c>
      <c r="D11" s="6" t="s">
        <v>645</v>
      </c>
      <c r="F11" s="4" t="str">
        <f>IFERROR(__xludf.DUMMYFUNCTION("GOOGLETRANSLATE(A11, ""en"", ""id"")"),"Kartu apa yang ditunjukkan untuk pelanggaran ringan yang terus-menerus setelah peringatan lisan diberikan?")</f>
        <v>Kartu apa yang ditunjukkan untuk pelanggaran ringan yang terus-menerus setelah peringatan lisan diberikan?</v>
      </c>
      <c r="G11" s="4" t="str">
        <f>IFERROR(__xludf.DUMMYFUNCTION("GOOGLETRANSLATE(B11, ""en"", ""id"")"),"A) Tidak ada kartu, B) Kuning, C) Merah, D) Hitam")</f>
        <v>A) Tidak ada kartu, B) Kuning, C) Merah, D) Hitam</v>
      </c>
      <c r="H11" s="4" t="str">
        <f>IFERROR(__xludf.DUMMYFUNCTION("GOOGLETRANSLATE(C11, ""en"", ""id"")"),"B) Kuning")</f>
        <v>B) Kuning</v>
      </c>
      <c r="I11" s="4" t="str">
        <f>IFERROR(__xludf.DUMMYFUNCTION("GOOGLETRANSLATE(D11, ""en"", ""id"")"),"Kartu kuning berfungsi sebagai peringatan formal atas pelanggaran aturan yang berulang atau perilaku tidak sportif.")</f>
        <v>Kartu kuning berfungsi sebagai peringatan formal atas pelanggaran aturan yang berulang atau perilaku tidak sportif.</v>
      </c>
    </row>
    <row r="12">
      <c r="A12" s="6" t="s">
        <v>646</v>
      </c>
      <c r="B12" s="6" t="s">
        <v>647</v>
      </c>
      <c r="C12" s="6" t="s">
        <v>648</v>
      </c>
      <c r="D12" s="6" t="s">
        <v>649</v>
      </c>
      <c r="F12" s="4" t="str">
        <f>IFERROR(__xludf.DUMMYFUNCTION("GOOGLETRANSLATE(A12, ""en"", ""id"")"),"Apa hukumannya jika menerima dua kartu kuning dalam satu pertandingan?")</f>
        <v>Apa hukumannya jika menerima dua kartu kuning dalam satu pertandingan?</v>
      </c>
      <c r="G12" s="4" t="str">
        <f>IFERROR(__xludf.DUMMYFUNCTION("GOOGLETRANSLATE(B12, ""en"", ""id"")"),"A) Peringatan keras, B) Kartu merah dan pengusiran dari set, C) Kartu merah dan pengusiran dari pertandingan, D) Hukuman 5 poin")</f>
        <v>A) Peringatan keras, B) Kartu merah dan pengusiran dari set, C) Kartu merah dan pengusiran dari pertandingan, D) Hukuman 5 poin</v>
      </c>
      <c r="H12" s="4" t="str">
        <f>IFERROR(__xludf.DUMMYFUNCTION("GOOGLETRANSLATE(C12, ""en"", ""id"")"),"C) Kartu merah dan dikeluarkan dari pertandingan")</f>
        <v>C) Kartu merah dan dikeluarkan dari pertandingan</v>
      </c>
      <c r="I12" s="4" t="str">
        <f>IFERROR(__xludf.DUMMYFUNCTION("GOOGLETRANSLATE(D12, ""en"", ""id"")"),"Mengumpulkan dua kartu kuning akan mengakibatkan kartu merah, yang berarti pemain tersebut dikeluarkan selama sisa pertandingan.")</f>
        <v>Mengumpulkan dua kartu kuning akan mengakibatkan kartu merah, yang berarti pemain tersebut dikeluarkan selama sisa pertandingan.</v>
      </c>
    </row>
    <row r="13">
      <c r="A13" s="6" t="s">
        <v>650</v>
      </c>
      <c r="B13" s="6" t="s">
        <v>651</v>
      </c>
      <c r="C13" s="6" t="s">
        <v>652</v>
      </c>
      <c r="D13" s="6" t="s">
        <v>653</v>
      </c>
      <c r="F13" s="4" t="str">
        <f>IFERROR(__xludf.DUMMYFUNCTION("GOOGLETRANSLATE(A13, ""en"", ""id"")"),"Otoritas manakah yang memiliki keputusan akhir dan dapat membatalkan keputusan hakim garis ""masuk"" atau ""keluar""?")</f>
        <v>Otoritas manakah yang memiliki keputusan akhir dan dapat membatalkan keputusan hakim garis "masuk" atau "keluar"?</v>
      </c>
      <c r="G13" s="4" t="str">
        <f>IFERROR(__xludf.DUMMYFUNCTION("GOOGLETRANSLATE(B13, ""en"", ""id"")"),"A) Kapten tim, B) Wasit, C) Pencatat skor resmi, D) Pelatih")</f>
        <v>A) Kapten tim, B) Wasit, C) Pencatat skor resmi, D) Pelatih</v>
      </c>
      <c r="H13" s="4" t="str">
        <f>IFERROR(__xludf.DUMMYFUNCTION("GOOGLETRANSLATE(C13, ""en"", ""id"")"),"B) Wasit")</f>
        <v>B) Wasit</v>
      </c>
      <c r="I13" s="4" t="str">
        <f>IFERROR(__xludf.DUMMYFUNCTION("GOOGLETRANSLATE(D13, ""en"", ""id"")"),"Wasit utama memiliki wewenang tertinggi di lapangan dan dapat membatalkan keputusan yang dibuat oleh wasit lain.")</f>
        <v>Wasit utama memiliki wewenang tertinggi di lapangan dan dapat membatalkan keputusan yang dibuat oleh wasit lain.</v>
      </c>
    </row>
    <row r="14">
      <c r="A14" s="6" t="s">
        <v>654</v>
      </c>
      <c r="B14" s="6" t="s">
        <v>655</v>
      </c>
      <c r="C14" s="6" t="s">
        <v>656</v>
      </c>
      <c r="D14" s="6" t="s">
        <v>657</v>
      </c>
      <c r="F14" s="4" t="str">
        <f>IFERROR(__xludf.DUMMYFUNCTION("GOOGLETRANSLATE(A14, ""en"", ""id"")"),"Apa arti kartu merah langsung (bukan dari dua kartu kuning) dalam Sepak Takraw?")</f>
        <v>Apa arti kartu merah langsung (bukan dari dua kartu kuning) dalam Sepak Takraw?</v>
      </c>
      <c r="G14" s="4" t="str">
        <f>IFERROR(__xludf.DUMMYFUNCTION("GOOGLETRANSLATE(B14, ""en"", ""id"")"),"A) Peringatan untuk pelanggaran serius, B) Pengusiran untuk set saat ini saja, C) Pengusiran untuk pertandingan karena permainan curang yang serius, D) Tayangan ulang poin")</f>
        <v>A) Peringatan untuk pelanggaran serius, B) Pengusiran untuk set saat ini saja, C) Pengusiran untuk pertandingan karena permainan curang yang serius, D) Tayangan ulang poin</v>
      </c>
      <c r="H14" s="4" t="str">
        <f>IFERROR(__xludf.DUMMYFUNCTION("GOOGLETRANSLATE(C14, ""en"", ""id"")"),"C) Pengusiran dari pertandingan karena pelanggaran serius")</f>
        <v>C) Pengusiran dari pertandingan karena pelanggaran serius</v>
      </c>
      <c r="I14" s="4" t="str">
        <f>IFERROR(__xludf.DUMMYFUNCTION("GOOGLETRANSLATE(D14, ""en"", ""id"")"),"Kartu merah langsung diberikan untuk pelanggaran serius seperti perilaku kekerasan, yang mengakibatkan dikeluarkannya pemain secara langsung dari pertandingan.")</f>
        <v>Kartu merah langsung diberikan untuk pelanggaran serius seperti perilaku kekerasan, yang mengakibatkan dikeluarkannya pemain secara langsung dari pertandingan.</v>
      </c>
    </row>
    <row r="15">
      <c r="A15" s="6" t="s">
        <v>658</v>
      </c>
      <c r="B15" s="6" t="s">
        <v>659</v>
      </c>
      <c r="C15" s="6" t="s">
        <v>660</v>
      </c>
      <c r="D15" s="6" t="s">
        <v>661</v>
      </c>
      <c r="F15" s="4" t="str">
        <f>IFERROR(__xludf.DUMMYFUNCTION("GOOGLETRANSLATE(A15, ""en"", ""id"")"),"Jika wasit melakukan kesalahan dalam mengumumkan skor, siapa yang berwenang meminta koreksi?")</f>
        <v>Jika wasit melakukan kesalahan dalam mengumumkan skor, siapa yang berwenang meminta koreksi?</v>
      </c>
      <c r="G15" s="4" t="str">
        <f>IFERROR(__xludf.DUMMYFUNCTION("GOOGLETRANSLATE(B15, ""en"", ""id"")"),"A) Hanya pemain, B) Kapten tim atau pelatih, C) Hakim garis, D) Penonton")</f>
        <v>A) Hanya pemain, B) Kapten tim atau pelatih, C) Hakim garis, D) Penonton</v>
      </c>
      <c r="H15" s="4" t="str">
        <f>IFERROR(__xludf.DUMMYFUNCTION("GOOGLETRANSLATE(C15, ""en"", ""id"")"),"B) Kapten tim atau pelatih")</f>
        <v>B) Kapten tim atau pelatih</v>
      </c>
      <c r="I15" s="4" t="str">
        <f>IFERROR(__xludf.DUMMYFUNCTION("GOOGLETRANSLATE(D15, ""en"", ""id"")"),"Kapten tim adalah satu-satunya pemain yang berwenang mendekati wasit mengenai interpretasi aturan atau kesalahan skor.")</f>
        <v>Kapten tim adalah satu-satunya pemain yang berwenang mendekati wasit mengenai interpretasi aturan atau kesalahan skor.</v>
      </c>
    </row>
    <row r="16">
      <c r="A16" s="6" t="s">
        <v>662</v>
      </c>
      <c r="B16" s="6" t="s">
        <v>663</v>
      </c>
      <c r="C16" s="6" t="s">
        <v>664</v>
      </c>
      <c r="D16" s="6" t="s">
        <v>665</v>
      </c>
      <c r="F16" s="4" t="str">
        <f>IFERROR(__xludf.DUMMYFUNCTION("GOOGLETRANSLATE(A16, ""en"", ""id"")"),"Berapa tinggi jarak minimum yang diperlukan dari permukaan lapangan ke langit-langit di dalam ruangan?")</f>
        <v>Berapa tinggi jarak minimum yang diperlukan dari permukaan lapangan ke langit-langit di dalam ruangan?</v>
      </c>
      <c r="G16" s="4" t="str">
        <f>IFERROR(__xludf.DUMMYFUNCTION("GOOGLETRANSLATE(B16, ""en"", ""id"")"),"A) 6m, B) 7m, C) 8m, D) 10m")</f>
        <v>A) 6m, B) 7m, C) 8m, D) 10m</v>
      </c>
      <c r="H16" s="4" t="str">
        <f>IFERROR(__xludf.DUMMYFUNCTION("GOOGLETRANSLATE(C16, ""en"", ""id"")"),"C) 8m")</f>
        <v>C) 8m</v>
      </c>
      <c r="I16" s="4" t="str">
        <f>IFERROR(__xludf.DUMMYFUNCTION("GOOGLETRANSLATE(D16, ""en"", ""id"")"),"Jarak bebas 8 meter diperlukan untuk memungkinkan tendangan tinggi dan permainan udara tanpa halangan.")</f>
        <v>Jarak bebas 8 meter diperlukan untuk memungkinkan tendangan tinggi dan permainan udara tanpa halangan.</v>
      </c>
    </row>
    <row r="17">
      <c r="A17" s="6" t="s">
        <v>666</v>
      </c>
      <c r="B17" s="6" t="s">
        <v>667</v>
      </c>
      <c r="C17" s="6" t="s">
        <v>668</v>
      </c>
      <c r="D17" s="6" t="s">
        <v>669</v>
      </c>
      <c r="F17" s="4" t="str">
        <f>IFERROR(__xludf.DUMMYFUNCTION("GOOGLETRANSLATE(A17, ""en"", ""id"")"),"Dalam kompetisi internasional, bola resmi utamanya terbuat dari apa?")</f>
        <v>Dalam kompetisi internasional, bola resmi utamanya terbuat dari apa?</v>
      </c>
      <c r="G17" s="4" t="str">
        <f>IFERROR(__xludf.DUMMYFUNCTION("GOOGLETRANSLATE(B17, ""en"", ""id"")"),"A) Anyaman bambu, B) Anyaman rotan atau serat sintetis, C) Plastik keras, D) Kulit jahit")</f>
        <v>A) Anyaman bambu, B) Anyaman rotan atau serat sintetis, C) Plastik keras, D) Kulit jahit</v>
      </c>
      <c r="H17" s="4" t="str">
        <f>IFERROR(__xludf.DUMMYFUNCTION("GOOGLETRANSLATE(C17, ""en"", ""id"")"),"B) Anyaman rotan atau serat sintetis")</f>
        <v>B) Anyaman rotan atau serat sintetis</v>
      </c>
      <c r="I17" s="4" t="str">
        <f>IFERROR(__xludf.DUMMYFUNCTION("GOOGLETRANSLATE(D17, ""en"", ""id"")"),"Meski secara tradisional terbuat dari rotan, bola resmi modern biasanya terbuat dari serat sintetis tenun yang tahan lama.")</f>
        <v>Meski secara tradisional terbuat dari rotan, bola resmi modern biasanya terbuat dari serat sintetis tenun yang tahan lama.</v>
      </c>
    </row>
    <row r="18">
      <c r="A18" s="6" t="s">
        <v>670</v>
      </c>
      <c r="B18" s="6" t="s">
        <v>9</v>
      </c>
      <c r="C18" s="6" t="s">
        <v>10</v>
      </c>
      <c r="D18" s="6" t="s">
        <v>671</v>
      </c>
      <c r="F18" s="4" t="str">
        <f>IFERROR(__xludf.DUMMYFUNCTION("GOOGLETRANSLATE(A18, ""en"", ""id"")"),"Berapa banyak lingkaran servis yang ditandai di lapangan?")</f>
        <v>Berapa banyak lingkaran servis yang ditandai di lapangan?</v>
      </c>
      <c r="G18" s="4" t="str">
        <f>IFERROR(__xludf.DUMMYFUNCTION("GOOGLETRANSLATE(B18, ""en"", ""id"")"),"A) 1, B) 2, C) 3, D) 4")</f>
        <v>A) 1, B) 2, C) 3, D) 4</v>
      </c>
      <c r="H18" s="4" t="str">
        <f>IFERROR(__xludf.DUMMYFUNCTION("GOOGLETRANSLATE(C18, ""en"", ""id"")"),"B) 2")</f>
        <v>B) 2</v>
      </c>
      <c r="I18" s="4" t="str">
        <f>IFERROR(__xludf.DUMMYFUNCTION("GOOGLETRANSLATE(D18, ""en"", ""id"")"),"Ada satu lingkaran servis, dari mana Tekong melakukan servis, di setiap sisi lapangan.")</f>
        <v>Ada satu lingkaran servis, dari mana Tekong melakukan servis, di setiap sisi lapangan.</v>
      </c>
    </row>
    <row r="19">
      <c r="A19" s="6" t="s">
        <v>672</v>
      </c>
      <c r="B19" s="6" t="s">
        <v>673</v>
      </c>
      <c r="C19" s="6" t="s">
        <v>674</v>
      </c>
      <c r="D19" s="6" t="s">
        <v>675</v>
      </c>
      <c r="F19" s="4" t="str">
        <f>IFERROR(__xludf.DUMMYFUNCTION("GOOGLETRANSLATE(A19, ""en"", ""id"")"),"Berapa radius lingkaran layanan?")</f>
        <v>Berapa radius lingkaran layanan?</v>
      </c>
      <c r="G19" s="4" t="str">
        <f>IFERROR(__xludf.DUMMYFUNCTION("GOOGLETRANSLATE(B19, ""en"", ""id"")"),"A) 30 cm, B) 45 cm, C) 50 cm, D) 60 cm")</f>
        <v>A) 30 cm, B) 45 cm, C) 50 cm, D) 60 cm</v>
      </c>
      <c r="H19" s="4" t="str">
        <f>IFERROR(__xludf.DUMMYFUNCTION("GOOGLETRANSLATE(C19, ""en"", ""id"")"),"A) 30 cm")</f>
        <v>A) 30 cm</v>
      </c>
      <c r="I19" s="4" t="str">
        <f>IFERROR(__xludf.DUMMYFUNCTION("GOOGLETRANSLATE(D19, ""en"", ""id"")"),"Lingkaran servis ditentukan oleh radius 30 cm yang digambar pada garis tengah.")</f>
        <v>Lingkaran servis ditentukan oleh radius 30 cm yang digambar pada garis tengah.</v>
      </c>
    </row>
    <row r="20">
      <c r="A20" s="6" t="s">
        <v>676</v>
      </c>
      <c r="B20" s="6" t="s">
        <v>677</v>
      </c>
      <c r="C20" s="6" t="s">
        <v>678</v>
      </c>
      <c r="D20" s="6" t="s">
        <v>679</v>
      </c>
      <c r="F20" s="4" t="str">
        <f>IFERROR(__xludf.DUMMYFUNCTION("GOOGLETRANSLATE(A20, ""en"", ""id"")"),"Berapa dimensi resmi lapangan sepak takraw?")</f>
        <v>Berapa dimensi resmi lapangan sepak takraw?</v>
      </c>
      <c r="G20" s="4" t="str">
        <f>IFERROR(__xludf.DUMMYFUNCTION("GOOGLETRANSLATE(B20, ""en"", ""id"")"),"A) 12m x 6m, B) 13,4m x 6,1m, C) 14m x 7m, D) 15m x 7,5m")</f>
        <v>A) 12m x 6m, B) 13,4m x 6,1m, C) 14m x 7m, D) 15m x 7,5m</v>
      </c>
      <c r="H20" s="4" t="str">
        <f>IFERROR(__xludf.DUMMYFUNCTION("GOOGLETRANSLATE(C20, ""en"", ""id"")"),"B) 13,4m x 6,1m")</f>
        <v>B) 13,4m x 6,1m</v>
      </c>
      <c r="I20" s="4" t="str">
        <f>IFERROR(__xludf.DUMMYFUNCTION("GOOGLETRANSLATE(D20, ""en"", ""id"")"),"Dimensi lapangan identik dengan lapangan ganda bulu tangkis.")</f>
        <v>Dimensi lapangan identik dengan lapangan ganda bulu tangkis.</v>
      </c>
    </row>
    <row r="21">
      <c r="A21" s="6" t="s">
        <v>680</v>
      </c>
      <c r="B21" s="6" t="s">
        <v>681</v>
      </c>
      <c r="C21" s="6" t="s">
        <v>682</v>
      </c>
      <c r="D21" s="6" t="s">
        <v>683</v>
      </c>
      <c r="F21" s="4" t="str">
        <f>IFERROR(__xludf.DUMMYFUNCTION("GOOGLETRANSLATE(A21, ""en"", ""id"")"),"Seberapa lebar batas resmi pengadilan?")</f>
        <v>Seberapa lebar batas resmi pengadilan?</v>
      </c>
      <c r="G21" s="4" t="str">
        <f>IFERROR(__xludf.DUMMYFUNCTION("GOOGLETRANSLATE(B21, ""en"", ""id"")"),"A) 2 cm, B) 3 cm, C) 4 cm, D) 5 cm")</f>
        <v>A) 2 cm, B) 3 cm, C) 4 cm, D) 5 cm</v>
      </c>
      <c r="H21" s="4" t="str">
        <f>IFERROR(__xludf.DUMMYFUNCTION("GOOGLETRANSLATE(C21, ""en"", ""id"")"),"C) 4 cm")</f>
        <v>C) 4 cm</v>
      </c>
      <c r="I21" s="4" t="str">
        <f>IFERROR(__xludf.DUMMYFUNCTION("GOOGLETRANSLATE(D21, ""en"", ""id"")"),"Garis lapangan harus selebar 4 cm dan dianggap sebagai bagian dari area bermain.")</f>
        <v>Garis lapangan harus selebar 4 cm dan dianggap sebagai bagian dari area bermain.</v>
      </c>
    </row>
    <row r="22">
      <c r="A22" s="6" t="s">
        <v>684</v>
      </c>
      <c r="B22" s="6" t="s">
        <v>685</v>
      </c>
      <c r="C22" s="6" t="s">
        <v>686</v>
      </c>
      <c r="D22" s="6" t="s">
        <v>687</v>
      </c>
      <c r="F22" s="4" t="str">
        <f>IFERROR(__xludf.DUMMYFUNCTION("GOOGLETRANSLATE(A22, ""en"", ""id"")"),"Berapa kisaran berat resmi untuk bola yang digunakan dalam kompetisi pria?")</f>
        <v>Berapa kisaran berat resmi untuk bola yang digunakan dalam kompetisi pria?</v>
      </c>
      <c r="G22" s="4" t="str">
        <f>IFERROR(__xludf.DUMMYFUNCTION("GOOGLETRANSLATE(B22, ""en"", ""id"")"),"A) 150-160 gram, B) 160-170 gram, C) 170-180 gram, D) 180-190 gram")</f>
        <v>A) 150-160 gram, B) 160-170 gram, C) 170-180 gram, D) 180-190 gram</v>
      </c>
      <c r="H22" s="4" t="str">
        <f>IFERROR(__xludf.DUMMYFUNCTION("GOOGLETRANSLATE(C22, ""en"", ""id"")"),"C) 170-180 gram")</f>
        <v>C) 170-180 gram</v>
      </c>
      <c r="I22" s="4" t="str">
        <f>IFERROR(__xludf.DUMMYFUNCTION("GOOGLETRANSLATE(D22, ""en"", ""id"")"),"Berat bola resmi untuk pria harus antara 170 dan 180 gram.")</f>
        <v>Berat bola resmi untuk pria harus antara 170 dan 180 gram.</v>
      </c>
    </row>
    <row r="23">
      <c r="A23" s="6" t="s">
        <v>688</v>
      </c>
      <c r="B23" s="6" t="s">
        <v>689</v>
      </c>
      <c r="C23" s="6" t="s">
        <v>690</v>
      </c>
      <c r="D23" s="6" t="s">
        <v>691</v>
      </c>
      <c r="F23" s="4" t="str">
        <f>IFERROR(__xludf.DUMMYFUNCTION("GOOGLETRANSLATE(A23, ""en"", ""id"")"),"Berapa kisaran berat resmi untuk bola yang digunakan dalam kompetisi wanita?")</f>
        <v>Berapa kisaran berat resmi untuk bola yang digunakan dalam kompetisi wanita?</v>
      </c>
      <c r="G23" s="4" t="str">
        <f>IFERROR(__xludf.DUMMYFUNCTION("GOOGLETRANSLATE(B23, ""en"", ""id"")"),"A) 140-150 gram, B) 150-160 gram, C) 160-170 gram, D) 170-180 gram")</f>
        <v>A) 140-150 gram, B) 150-160 gram, C) 160-170 gram, D) 170-180 gram</v>
      </c>
      <c r="H23" s="4" t="str">
        <f>IFERROR(__xludf.DUMMYFUNCTION("GOOGLETRANSLATE(C23, ""en"", ""id"")"),"B) 150-160 gram")</f>
        <v>B) 150-160 gram</v>
      </c>
      <c r="I23" s="4" t="str">
        <f>IFERROR(__xludf.DUMMYFUNCTION("GOOGLETRANSLATE(D23, ""en"", ""id"")"),"Bola resmi untuk wanita sedikit lebih ringan, beratnya antara 150 dan 160 gram.")</f>
        <v>Bola resmi untuk wanita sedikit lebih ringan, beratnya antara 150 dan 160 gram.</v>
      </c>
    </row>
    <row r="24">
      <c r="A24" s="6" t="s">
        <v>692</v>
      </c>
      <c r="B24" s="6" t="s">
        <v>693</v>
      </c>
      <c r="C24" s="6" t="s">
        <v>694</v>
      </c>
      <c r="D24" s="6" t="s">
        <v>695</v>
      </c>
      <c r="F24" s="4" t="str">
        <f>IFERROR(__xludf.DUMMYFUNCTION("GOOGLETRANSLATE(A24, ""en"", ""id"")"),"Berapa tinggi net resmi untuk Sepak Takraw wanita, diukur di bagian tengah?")</f>
        <v>Berapa tinggi net resmi untuk Sepak Takraw wanita, diukur di bagian tengah?</v>
      </c>
      <c r="G24" s="4" t="str">
        <f>IFERROR(__xludf.DUMMYFUNCTION("GOOGLETRANSLATE(B24, ""en"", ""id"")"),"A) 1,40 m, B) 1,45 m, C) 1,52 m, D) 1,55 m")</f>
        <v>A) 1,40 m, B) 1,45 m, C) 1,52 m, D) 1,55 m</v>
      </c>
      <c r="H24" s="4" t="str">
        <f>IFERROR(__xludf.DUMMYFUNCTION("GOOGLETRANSLATE(C24, ""en"", ""id"")"),"B) 1,45 m")</f>
        <v>B) 1,45 m</v>
      </c>
      <c r="I24" s="4" t="str">
        <f>IFERROR(__xludf.DUMMYFUNCTION("GOOGLETRANSLATE(D24, ""en"", ""id"")"),"Tinggi net untuk pertandingan wanita ditetapkan sebesar 1,45 meter.")</f>
        <v>Tinggi net untuk pertandingan wanita ditetapkan sebesar 1,45 meter.</v>
      </c>
    </row>
    <row r="25">
      <c r="A25" s="6" t="s">
        <v>696</v>
      </c>
      <c r="B25" s="6" t="s">
        <v>697</v>
      </c>
      <c r="C25" s="6" t="s">
        <v>698</v>
      </c>
      <c r="D25" s="6" t="s">
        <v>699</v>
      </c>
      <c r="F25" s="4" t="str">
        <f>IFERROR(__xludf.DUMMYFUNCTION("GOOGLETRANSLATE(A25, ""en"", ""id"")"),"Berapa tinggi net resmi Sepak Takraw putra, diukur di bagian tengah?")</f>
        <v>Berapa tinggi net resmi Sepak Takraw putra, diukur di bagian tengah?</v>
      </c>
      <c r="G25" s="4" t="str">
        <f>IFERROR(__xludf.DUMMYFUNCTION("GOOGLETRANSLATE(B25, ""en"", ""id"")"),"A) 1,42 m, B) 1,45 m, C) 1,52 m, D) 1,55 m")</f>
        <v>A) 1,42 m, B) 1,45 m, C) 1,52 m, D) 1,55 m</v>
      </c>
      <c r="H25" s="4" t="str">
        <f>IFERROR(__xludf.DUMMYFUNCTION("GOOGLETRANSLATE(C25, ""en"", ""id"")"),"C) 1,52 m")</f>
        <v>C) 1,52 m</v>
      </c>
      <c r="I25" s="4" t="str">
        <f>IFERROR(__xludf.DUMMYFUNCTION("GOOGLETRANSLATE(D25, ""en"", ""id"")"),"Tinggi net resmi untuk pertandingan putra ditetapkan sebesar 1,52 meter.")</f>
        <v>Tinggi net resmi untuk pertandingan putra ditetapkan sebesar 1,52 meter.</v>
      </c>
    </row>
    <row r="26">
      <c r="A26" s="6" t="s">
        <v>700</v>
      </c>
      <c r="B26" s="6" t="s">
        <v>701</v>
      </c>
      <c r="C26" s="6" t="s">
        <v>702</v>
      </c>
      <c r="D26" s="6" t="s">
        <v>703</v>
      </c>
      <c r="F26" s="4" t="str">
        <f>IFERROR(__xludf.DUMMYFUNCTION("GOOGLETRANSLATE(A26, ""en"", ""id"")"),"Bola sepak takraw standar diharuskan memiliki berapa lubang (persimpangan anyaman)?")</f>
        <v>Bola sepak takraw standar diharuskan memiliki berapa lubang (persimpangan anyaman)?</v>
      </c>
      <c r="G26" s="4" t="str">
        <f>IFERROR(__xludf.DUMMYFUNCTION("GOOGLETRANSLATE(B26, ""en"", ""id"")"),"A) 10, B) 12, C) 18, D) 20")</f>
        <v>A) 10, B) 12, C) 18, D) 20</v>
      </c>
      <c r="H26" s="4" t="str">
        <f>IFERROR(__xludf.DUMMYFUNCTION("GOOGLETRANSLATE(C26, ""en"", ""id"")"),"D. 20")</f>
        <v>D. 20</v>
      </c>
      <c r="I26" s="4" t="str">
        <f>IFERROR(__xludf.DUMMYFUNCTION("GOOGLETRANSLATE(D26, ""en"", ""id"")"),"Bola sintetis resmi ditenun dengan 12 panel dan harus memiliki 20 persimpangan.")</f>
        <v>Bola sintetis resmi ditenun dengan 12 panel dan harus memiliki 20 persimpangan.</v>
      </c>
    </row>
    <row r="27">
      <c r="A27" s="6" t="s">
        <v>704</v>
      </c>
      <c r="B27" s="6" t="s">
        <v>705</v>
      </c>
      <c r="C27" s="6" t="s">
        <v>706</v>
      </c>
      <c r="D27" s="6" t="s">
        <v>707</v>
      </c>
      <c r="F27" s="4" t="str">
        <f>IFERROR(__xludf.DUMMYFUNCTION("GOOGLETRANSLATE(A27, ""en"", ""id"")"),"Tiang gawang ditempatkan pada jarak berapakah dari luar garis tepi lapangan?")</f>
        <v>Tiang gawang ditempatkan pada jarak berapakah dari luar garis tepi lapangan?</v>
      </c>
      <c r="G27" s="4" t="str">
        <f>IFERROR(__xludf.DUMMYFUNCTION("GOOGLETRANSLATE(B27, ""en"", ""id"")"),"A) 10 cm, B) 20 cm, C) 30 cm, D) 50 cm")</f>
        <v>A) 10 cm, B) 20 cm, C) 30 cm, D) 50 cm</v>
      </c>
      <c r="H27" s="4" t="str">
        <f>IFERROR(__xludf.DUMMYFUNCTION("GOOGLETRANSLATE(C27, ""en"", ""id"")"),"C) 30 cm")</f>
        <v>C) 30 cm</v>
      </c>
      <c r="I27" s="4" t="str">
        <f>IFERROR(__xludf.DUMMYFUNCTION("GOOGLETRANSLATE(D27, ""en"", ""id"")"),"Tiang penyangga net harus diletakkan 30 cm di luar batas kiri dan kanan lapangan.")</f>
        <v>Tiang penyangga net harus diletakkan 30 cm di luar batas kiri dan kanan lapangan.</v>
      </c>
    </row>
    <row r="28">
      <c r="A28" s="6" t="s">
        <v>708</v>
      </c>
      <c r="B28" s="6" t="s">
        <v>709</v>
      </c>
      <c r="C28" s="6" t="s">
        <v>710</v>
      </c>
      <c r="D28" s="6" t="s">
        <v>711</v>
      </c>
      <c r="F28" s="4" t="str">
        <f>IFERROR(__xludf.DUMMYFUNCTION("GOOGLETRANSLATE(A28, ""en"", ""id"")"),"Berapa kisaran lingkar resmi bola sepak takraw putra?")</f>
        <v>Berapa kisaran lingkar resmi bola sepak takraw putra?</v>
      </c>
      <c r="G28" s="4" t="str">
        <f>IFERROR(__xludf.DUMMYFUNCTION("GOOGLETRANSLATE(B28, ""en"", ""id"")"),"A) 40–41 cm, B) 41–43 cm, C) 42–44 cm, D) 44–46 cm")</f>
        <v>A) 40–41 cm, B) 41–43 cm, C) 42–44 cm, D) 44–46 cm</v>
      </c>
      <c r="H28" s="4" t="str">
        <f>IFERROR(__xludf.DUMMYFUNCTION("GOOGLETRANSLATE(C28, ""en"", ""id"")"),"C) 42–44 cm")</f>
        <v>C) 42–44 cm</v>
      </c>
      <c r="I28" s="4" t="str">
        <f>IFERROR(__xludf.DUMMYFUNCTION("GOOGLETRANSLATE(D28, ""en"", ""id"")"),"Lingkar resmi bola pria ditetapkan antara 42 dan 44 cm.")</f>
        <v>Lingkar resmi bola pria ditetapkan antara 42 dan 44 cm.</v>
      </c>
    </row>
    <row r="29">
      <c r="A29" s="6" t="s">
        <v>712</v>
      </c>
      <c r="B29" s="6" t="s">
        <v>469</v>
      </c>
      <c r="C29" s="6" t="s">
        <v>713</v>
      </c>
      <c r="D29" s="6" t="s">
        <v>714</v>
      </c>
      <c r="F29" s="4" t="str">
        <f>IFERROR(__xludf.DUMMYFUNCTION("GOOGLETRANSLATE(A29, ""en"", ""id"")"),"Satu tim standar (regu) dalam Sepak Takraw terdiri dari berapa banyak pemain awal?")</f>
        <v>Satu tim standar (regu) dalam Sepak Takraw terdiri dari berapa banyak pemain awal?</v>
      </c>
      <c r="G29" s="4" t="str">
        <f>IFERROR(__xludf.DUMMYFUNCTION("GOOGLETRANSLATE(B29, ""en"", ""id"")"),"A) 2, B) 3, C) 4, D) 5")</f>
        <v>A) 2, B) 3, C) 4, D) 5</v>
      </c>
      <c r="H29" s="4" t="str">
        <f>IFERROR(__xludf.DUMMYFUNCTION("GOOGLETRANSLATE(C29, ""en"", ""id"")"),"B) 3")</f>
        <v>B) 3</v>
      </c>
      <c r="I29" s="4" t="str">
        <f>IFERROR(__xludf.DUMMYFUNCTION("GOOGLETRANSLATE(D29, ""en"", ""id"")"),"Regu standar memiliki tiga pemain di lapangan: seorang server (Tekong) dan dua pemain dalam.")</f>
        <v>Regu standar memiliki tiga pemain di lapangan: seorang server (Tekong) dan dua pemain dalam.</v>
      </c>
    </row>
    <row r="30">
      <c r="A30" s="6" t="s">
        <v>715</v>
      </c>
      <c r="B30" s="6" t="s">
        <v>716</v>
      </c>
      <c r="C30" s="6" t="s">
        <v>717</v>
      </c>
      <c r="D30" s="6" t="s">
        <v>718</v>
      </c>
      <c r="F30" s="4" t="str">
        <f>IFERROR(__xludf.DUMMYFUNCTION("GOOGLETRANSLATE(A30, ""en"", ""id"")"),"Bagian tubuh manakah yang ilegal untuk digunakan untuk menyentuh bola?")</f>
        <v>Bagian tubuh manakah yang ilegal untuk digunakan untuk menyentuh bola?</v>
      </c>
      <c r="G30" s="4" t="str">
        <f>IFERROR(__xludf.DUMMYFUNCTION("GOOGLETRANSLATE(B30, ""en"", ""id"")"),"A) Kepala, B) Bahu, C) Lutut, D) Lengan (dari bahu sampai ujung jari)")</f>
        <v>A) Kepala, B) Bahu, C) Lutut, D) Lengan (dari bahu sampai ujung jari)</v>
      </c>
      <c r="H30" s="4" t="str">
        <f>IFERROR(__xludf.DUMMYFUNCTION("GOOGLETRANSLATE(C30, ""en"", ""id"")"),"D) Lengan (dari bahu sampai ujung jari)")</f>
        <v>D) Lengan (dari bahu sampai ujung jari)</v>
      </c>
      <c r="I30" s="4" t="str">
        <f>IFERROR(__xludf.DUMMYFUNCTION("GOOGLETRANSLATE(D30, ""en"", ""id"")"),"Kontak apa pun dengan lengan atau tangan adalah suatu kesalahan.")</f>
        <v>Kontak apa pun dengan lengan atau tangan adalah suatu kesalahan.</v>
      </c>
    </row>
    <row r="31">
      <c r="A31" s="6" t="s">
        <v>719</v>
      </c>
      <c r="B31" s="6" t="s">
        <v>720</v>
      </c>
      <c r="C31" s="8" t="s">
        <v>721</v>
      </c>
      <c r="D31" s="6" t="s">
        <v>722</v>
      </c>
      <c r="F31" s="4" t="str">
        <f>IFERROR(__xludf.DUMMYFUNCTION("GOOGLETRANSLATE(A31, ""en"", ""id"")"),"Berapa set yang biasanya dimainkan dalam pertandingan standar?")</f>
        <v>Berapa set yang biasanya dimainkan dalam pertandingan standar?</v>
      </c>
      <c r="G31" s="4" t="str">
        <f>IFERROR(__xludf.DUMMYFUNCTION("GOOGLETRANSLATE(B31, ""en"", ""id"")"),"A) Terbaik dari 1, B) Terbaik dari 2, C) Terbaik dari 3, D) Terbaik dari 5")</f>
        <v>A) Terbaik dari 1, B) Terbaik dari 2, C) Terbaik dari 3, D) Terbaik dari 5</v>
      </c>
      <c r="H31" s="4" t="str">
        <f>IFERROR(__xludf.DUMMYFUNCTION("GOOGLETRANSLATE(C31, ""en"", ""id"")"),"B) Terbaik dari 2")</f>
        <v>B) Terbaik dari 2</v>
      </c>
      <c r="I31" s="4" t="str">
        <f>IFERROR(__xludf.DUMMYFUNCTION("GOOGLETRANSLATE(D31, ""en"", ""id"")"),"Pertandingan standar dimenangkan oleh tim pertama yang memenangkan dua set.")</f>
        <v>Pertandingan standar dimenangkan oleh tim pertama yang memenangkan dua set.</v>
      </c>
    </row>
    <row r="32">
      <c r="A32" s="6" t="s">
        <v>723</v>
      </c>
      <c r="B32" s="6" t="s">
        <v>724</v>
      </c>
      <c r="C32" s="6" t="s">
        <v>725</v>
      </c>
      <c r="D32" s="6" t="s">
        <v>726</v>
      </c>
      <c r="F32" s="4" t="str">
        <f>IFERROR(__xludf.DUMMYFUNCTION("GOOGLETRANSLATE(A32, ""en"", ""id"")"),"Berapa jumlah maksimum sentuhan berturut-turut yang dapat dilakukan seorang pemain?")</f>
        <v>Berapa jumlah maksimum sentuhan berturut-turut yang dapat dilakukan seorang pemain?</v>
      </c>
      <c r="G32" s="4" t="str">
        <f>IFERROR(__xludf.DUMMYFUNCTION("GOOGLETRANSLATE(B32, ""en"", ""id"")"),"A) Satu, B) Dua, C) Tiga, D) Tidak terbatas dalam tiga anggota tim")</f>
        <v>A) Satu, B) Dua, C) Tiga, D) Tidak terbatas dalam tiga anggota tim</v>
      </c>
      <c r="H32" s="4" t="str">
        <f>IFERROR(__xludf.DUMMYFUNCTION("GOOGLETRANSLATE(C32, ""en"", ""id"")"),"A) Satu")</f>
        <v>A) Satu</v>
      </c>
      <c r="I32" s="4" t="str">
        <f>IFERROR(__xludf.DUMMYFUNCTION("GOOGLETRANSLATE(D32, ""en"", ""id"")"),"Seorang pemain tidak boleh menyentuh bola dua kali berturut-turut; bola harus dioper ke pemain lain.")</f>
        <v>Seorang pemain tidak boleh menyentuh bola dua kali berturut-turut; bola harus dioper ke pemain lain.</v>
      </c>
    </row>
    <row r="33">
      <c r="A33" s="6" t="s">
        <v>727</v>
      </c>
      <c r="B33" s="6" t="s">
        <v>728</v>
      </c>
      <c r="C33" s="6" t="s">
        <v>729</v>
      </c>
      <c r="D33" s="6" t="s">
        <v>730</v>
      </c>
      <c r="F33" s="4" t="str">
        <f>IFERROR(__xludf.DUMMYFUNCTION("GOOGLETRANSLATE(A33, ""en"", ""id"")"),"Suatu set dimenangkan oleh tim yang pertama kali mencetak berapa poin dengan keunggulan minimal dua poin?")</f>
        <v>Suatu set dimenangkan oleh tim yang pertama kali mencetak berapa poin dengan keunggulan minimal dua poin?</v>
      </c>
      <c r="G33" s="4" t="str">
        <f>IFERROR(__xludf.DUMMYFUNCTION("GOOGLETRANSLATE(B33, ""en"", ""id"")"),"A) 15, B) 21, C) 25, D) 30")</f>
        <v>A) 15, B) 21, C) 25, D) 30</v>
      </c>
      <c r="H33" s="4" t="str">
        <f>IFERROR(__xludf.DUMMYFUNCTION("GOOGLETRANSLATE(C33, ""en"", ""id"")"),"B) 21")</f>
        <v>B) 21</v>
      </c>
      <c r="I33" s="4" t="str">
        <f>IFERROR(__xludf.DUMMYFUNCTION("GOOGLETRANSLATE(D33, ""en"", ""id"")"),"Satu set standar dimainkan hingga 21 poin, tetapi suatu tim harus menang dengan selisih sedikitnya dua poin.")</f>
        <v>Satu set standar dimainkan hingga 21 poin, tetapi suatu tim harus menang dengan selisih sedikitnya dua poin.</v>
      </c>
    </row>
    <row r="34">
      <c r="A34" s="6" t="s">
        <v>731</v>
      </c>
      <c r="B34" s="6" t="s">
        <v>732</v>
      </c>
      <c r="C34" s="6" t="s">
        <v>733</v>
      </c>
      <c r="D34" s="6" t="s">
        <v>734</v>
      </c>
      <c r="F34" s="4" t="str">
        <f>IFERROR(__xludf.DUMMYFUNCTION("GOOGLETRANSLATE(A34, ""en"", ""id"")"),"Peran pemain manakah yang BUKAN merupakan posisi resmi dalam sebuah regu?")</f>
        <v>Peran pemain manakah yang BUKAN merupakan posisi resmi dalam sebuah regu?</v>
      </c>
      <c r="G34" s="4" t="str">
        <f>IFERROR(__xludf.DUMMYFUNCTION("GOOGLETRANSLATE(B34, ""en"", ""id"")"),"A) Tekong (Server), B) Killer (Spiker), C) Feeder (Setter), D) Libero (Defender)")</f>
        <v>A) Tekong (Server), B) Killer (Spiker), C) Feeder (Setter), D) Libero (Defender)</v>
      </c>
      <c r="H34" s="4" t="str">
        <f>IFERROR(__xludf.DUMMYFUNCTION("GOOGLETRANSLATE(C34, ""en"", ""id"")"),"D) Libero (Bek)")</f>
        <v>D) Libero (Bek)</v>
      </c>
      <c r="I34" s="4" t="str">
        <f>IFERROR(__xludf.DUMMYFUNCTION("GOOGLETRANSLATE(D34, ""en"", ""id"")"),"Tiga peran inti adalah Tekong, Killer (atau Striker), dan Feeder (atau Setter).")</f>
        <v>Tiga peran inti adalah Tekong, Killer (atau Striker), dan Feeder (atau Setter).</v>
      </c>
    </row>
    <row r="35">
      <c r="A35" s="6" t="s">
        <v>735</v>
      </c>
      <c r="B35" s="6" t="s">
        <v>736</v>
      </c>
      <c r="C35" s="6" t="s">
        <v>614</v>
      </c>
      <c r="D35" s="6" t="s">
        <v>737</v>
      </c>
      <c r="F35" s="4" t="str">
        <f>IFERROR(__xludf.DUMMYFUNCTION("GOOGLETRANSLATE(A35, ""en"", ""id"")"),"Berapa jumlah maksimum pergantian pemain yang diperbolehkan dalam satu tim tiap set?")</f>
        <v>Berapa jumlah maksimum pergantian pemain yang diperbolehkan dalam satu tim tiap set?</v>
      </c>
      <c r="G35" s="4" t="str">
        <f>IFERROR(__xludf.DUMMYFUNCTION("GOOGLETRANSLATE(B35, ""en"", ""id"")"),"A) Tidak ada, B) Satu, C) Dua, D) Tiga")</f>
        <v>A) Tidak ada, B) Satu, C) Dua, D) Tiga</v>
      </c>
      <c r="H35" s="4" t="str">
        <f>IFERROR(__xludf.DUMMYFUNCTION("GOOGLETRANSLATE(C35, ""en"", ""id"")"),"B) Satu")</f>
        <v>B) Satu</v>
      </c>
      <c r="I35" s="4" t="str">
        <f>IFERROR(__xludf.DUMMYFUNCTION("GOOGLETRANSLATE(D35, ""en"", ""id"")"),"Setiap tim diperbolehkan melakukan satu pergantian pemain dalam satu set.")</f>
        <v>Setiap tim diperbolehkan melakukan satu pergantian pemain dalam satu set.</v>
      </c>
    </row>
    <row r="36">
      <c r="A36" s="6" t="s">
        <v>738</v>
      </c>
      <c r="B36" s="6" t="s">
        <v>739</v>
      </c>
      <c r="C36" s="6" t="s">
        <v>740</v>
      </c>
      <c r="D36" s="6" t="s">
        <v>741</v>
      </c>
      <c r="F36" s="4" t="str">
        <f>IFERROR(__xludf.DUMMYFUNCTION("GOOGLETRANSLATE(A36, ""en"", ""id"")"),"Apa yang terjadi jika skor mencapai 20-20 (deuce)?")</f>
        <v>Apa yang terjadi jika skor mencapai 20-20 (deuce)?</v>
      </c>
      <c r="G36" s="4" t="str">
        <f>IFERROR(__xludf.DUMMYFUNCTION("GOOGLETRANSLATE(B36, ""en"", ""id"")"),"A) Poin berikutnya menang, B) Permainan berlanjut hingga satu tim unggul dengan dua poin, hingga mencapai batas, C) Set diulang, D) Kapten memutuskan pemenangnya")</f>
        <v>A) Poin berikutnya menang, B) Permainan berlanjut hingga satu tim unggul dengan dua poin, hingga mencapai batas, C) Set diulang, D) Kapten memutuskan pemenangnya</v>
      </c>
      <c r="H36" s="4" t="str">
        <f>IFERROR(__xludf.DUMMYFUNCTION("GOOGLETRANSLATE(C36, ""en"", ""id"")"),"B) Permainan berlanjut sampai salah satu tim unggul dengan dua poin, hingga mencapai batas maksimal")</f>
        <v>B) Permainan berlanjut sampai salah satu tim unggul dengan dua poin, hingga mencapai batas maksimal</v>
      </c>
      <c r="I36" s="4" t="str">
        <f>IFERROR(__xludf.DUMMYFUNCTION("GOOGLETRANSLATE(D36, ""en"", ""id"")"),"Set ini berlanjut hingga keunggulan dua poin tercapai, dengan batas maksimum 25 poin.")</f>
        <v>Set ini berlanjut hingga keunggulan dua poin tercapai, dengan batas maksimum 25 poin.</v>
      </c>
    </row>
    <row r="37">
      <c r="A37" s="6" t="s">
        <v>742</v>
      </c>
      <c r="B37" s="6" t="s">
        <v>743</v>
      </c>
      <c r="C37" s="6" t="s">
        <v>744</v>
      </c>
      <c r="D37" s="6" t="s">
        <v>745</v>
      </c>
      <c r="F37" s="4" t="str">
        <f>IFERROR(__xludf.DUMMYFUNCTION("GOOGLETRANSLATE(A37, ""en"", ""id"")"),"Apa nama tendangan akrobatik spektakuler yang sering digunakan untuk menendang bola?")</f>
        <v>Apa nama tendangan akrobatik spektakuler yang sering digunakan untuk menendang bola?</v>
      </c>
      <c r="G37" s="4" t="str">
        <f>IFERROR(__xludf.DUMMYFUNCTION("GOOGLETRANSLATE(B37, ""en"", ""id"")"),"A) Smash di atas kepala, B) Spik guling, C) Voli samping, D) Tendangan jatuh")</f>
        <v>A) Smash di atas kepala, B) Spik guling, C) Voli samping, D) Tendangan jatuh</v>
      </c>
      <c r="H37" s="4" t="str">
        <f>IFERROR(__xludf.DUMMYFUNCTION("GOOGLETRANSLATE(C37, ""en"", ""id"")"),"B) Lonjakan gulungan")</f>
        <v>B) Lonjakan gulungan</v>
      </c>
      <c r="I37" s="4" t="str">
        <f>IFERROR(__xludf.DUMMYFUNCTION("GOOGLETRANSLATE(D37, ""en"", ""id"")"),"Roll spike merupakan teknik tingkat tinggi di mana seorang pemain melompat, membalik badan, dan menendang bola melewati bahunya.")</f>
        <v>Roll spike merupakan teknik tingkat tinggi di mana seorang pemain melompat, membalik badan, dan menendang bola melewati bahunya.</v>
      </c>
    </row>
    <row r="38">
      <c r="A38" s="6" t="s">
        <v>746</v>
      </c>
      <c r="B38" s="6" t="s">
        <v>747</v>
      </c>
      <c r="C38" s="6" t="s">
        <v>748</v>
      </c>
      <c r="D38" s="6" t="s">
        <v>749</v>
      </c>
      <c r="F38" s="4" t="str">
        <f>IFERROR(__xludf.DUMMYFUNCTION("GOOGLETRANSLATE(A38, ""en"", ""id"")"),"Nama ""Sepak Takraw"" merupakan gabungan dua bahasa. Apa artinya?")</f>
        <v>Nama "Sepak Takraw" merupakan gabungan dua bahasa. Apa artinya?</v>
      </c>
      <c r="G38" s="4" t="str">
        <f>IFERROR(__xludf.DUMMYFUNCTION("GOOGLETRANSLATE(B38, ""en"", ""id"")"),"A) ""Bola Lompat"" (Melayu/Thailand), B) ""Tendang Bola"" (Melayu/Thailand), C) ""Jaring Tenun"" (Indonesia/Laos), D) ""Kaki Cepat"" (Indonesia/Laos)")</f>
        <v>A) "Bola Lompat" (Melayu/Thailand), B) "Tendang Bola" (Melayu/Thailand), C) "Jaring Tenun" (Indonesia/Laos), D) "Kaki Cepat" (Indonesia/Laos)</v>
      </c>
      <c r="H38" s="4" t="str">
        <f>IFERROR(__xludf.DUMMYFUNCTION("GOOGLETRANSLATE(C38, ""en"", ""id"")"),"B) ""Kick Ball"" (Melayu/Thailand)")</f>
        <v>B) "Kick Ball" (Melayu/Thailand)</v>
      </c>
      <c r="I38" s="4" t="str">
        <f>IFERROR(__xludf.DUMMYFUNCTION("GOOGLETRANSLATE(D38, ""en"", ""id"")"),"""Sepak"" dalam bahasa Melayu berarti ""tendangan,"" dan ""Takraw"" dalam bahasa Thailand berarti bola anyaman rotan.")</f>
        <v>"Sepak" dalam bahasa Melayu berarti "tendangan," dan "Takraw" dalam bahasa Thailand berarti bola anyaman rotan.</v>
      </c>
    </row>
    <row r="39">
      <c r="A39" s="6" t="s">
        <v>750</v>
      </c>
      <c r="B39" s="6" t="s">
        <v>469</v>
      </c>
      <c r="C39" s="6" t="s">
        <v>713</v>
      </c>
      <c r="D39" s="6" t="s">
        <v>751</v>
      </c>
      <c r="F39" s="4" t="str">
        <f>IFERROR(__xludf.DUMMYFUNCTION("GOOGLETRANSLATE(A39, ""en"", ""id"")"),"Poin diberikan apabila tim lawan gagal mengembalikan bola dalam berapa kali sentuhan?")</f>
        <v>Poin diberikan apabila tim lawan gagal mengembalikan bola dalam berapa kali sentuhan?</v>
      </c>
      <c r="G39" s="4" t="str">
        <f>IFERROR(__xludf.DUMMYFUNCTION("GOOGLETRANSLATE(B39, ""en"", ""id"")"),"A) 2, B) 3, C) 4, D) 5")</f>
        <v>A) 2, B) 3, C) 4, D) 5</v>
      </c>
      <c r="H39" s="4" t="str">
        <f>IFERROR(__xludf.DUMMYFUNCTION("GOOGLETRANSLATE(C39, ""en"", ""id"")"),"B) 3")</f>
        <v>B) 3</v>
      </c>
      <c r="I39" s="4" t="str">
        <f>IFERROR(__xludf.DUMMYFUNCTION("GOOGLETRANSLATE(D39, ""en"", ""id"")"),"Jika tim penerima menggunakan lebih dari tiga sentuhan, mereka kehilangan poin.")</f>
        <v>Jika tim penerima menggunakan lebih dari tiga sentuhan, mereka kehilangan poin.</v>
      </c>
    </row>
    <row r="40">
      <c r="A40" s="6" t="s">
        <v>752</v>
      </c>
      <c r="B40" s="6" t="s">
        <v>753</v>
      </c>
      <c r="C40" s="6" t="s">
        <v>754</v>
      </c>
      <c r="D40" s="6" t="s">
        <v>755</v>
      </c>
      <c r="F40" s="4" t="str">
        <f>IFERROR(__xludf.DUMMYFUNCTION("GOOGLETRANSLATE(A40, ""en"", ""id"")"),"Saat melakukan servis, di manakah kedua pemain ""dalam"" harus diposisikan?")</f>
        <v>Saat melakukan servis, di manakah kedua pemain "dalam" harus diposisikan?</v>
      </c>
      <c r="G40" s="4" t="str">
        <f>IFERROR(__xludf.DUMMYFUNCTION("GOOGLETRANSLATE(B40, ""en"", ""id"")"),"A) Di mana saja di sisi mereka, B) Di seperempat lingkaran di depan lapangan, C) Di belakang server, D) Di pinggir lapangan")</f>
        <v>A) Di mana saja di sisi mereka, B) Di seperempat lingkaran di depan lapangan, C) Di belakang server, D) Di pinggir lapangan</v>
      </c>
      <c r="H40" s="4" t="str">
        <f>IFERROR(__xludf.DUMMYFUNCTION("GOOGLETRANSLATE(C40, ""en"", ""id"")"),"B) Di seperempat lingkaran di depan lapangan")</f>
        <v>B) Di seperempat lingkaran di depan lapangan</v>
      </c>
      <c r="I40" s="4" t="str">
        <f>IFERROR(__xludf.DUMMYFUNCTION("GOOGLETRANSLATE(D40, ""en"", ""id"")"),"Kedua pemain yang tidak melakukan servis harus tetap berada dalam seperempat lingkaran yang telah ditentukan hingga servis dilakukan.")</f>
        <v>Kedua pemain yang tidak melakukan servis harus tetap berada dalam seperempat lingkaran yang telah ditentukan hingga servis dilakukan.</v>
      </c>
    </row>
    <row r="41">
      <c r="A41" s="6" t="s">
        <v>756</v>
      </c>
      <c r="B41" s="6" t="s">
        <v>757</v>
      </c>
      <c r="C41" s="6" t="s">
        <v>758</v>
      </c>
      <c r="D41" s="6" t="s">
        <v>759</v>
      </c>
      <c r="F41" s="4" t="str">
        <f>IFERROR(__xludf.DUMMYFUNCTION("GOOGLETRANSLATE(A41, ""en"", ""id"")"),"Apa yang dimaksud dengan ""lemparan salah"" saat melakukan servis?")</f>
        <v>Apa yang dimaksud dengan "lemparan salah" saat melakukan servis?</v>
      </c>
      <c r="G41" s="4" t="str">
        <f>IFERROR(__xludf.DUMMYFUNCTION("GOOGLETRANSLATE(B41, ""en"", ""id"")"),"A) Lemparan terlalu tinggi, B) Lemparan terlalu rendah, C) Lemparan melewati kepala server atau ke dalam jaring, D) Lemparan diputar")</f>
        <v>A) Lemparan terlalu tinggi, B) Lemparan terlalu rendah, C) Lemparan melewati kepala server atau ke dalam jaring, D) Lemparan diputar</v>
      </c>
      <c r="H41" s="4" t="str">
        <f>IFERROR(__xludf.DUMMYFUNCTION("GOOGLETRANSLATE(C41, ""en"", ""id"")"),"C) Lemparan melewati kepala server atau masuk ke jaring")</f>
        <v>C) Lemparan melewati kepala server atau masuk ke jaring</v>
      </c>
      <c r="I41" s="4" t="str">
        <f>IFERROR(__xludf.DUMMYFUNCTION("GOOGLETRANSLATE(D41, ""en"", ""id"")"),"Jika lemparan tidak dapat dimainkan (misalnya masuk ke gawang), maka lemparan tersebut dianggap salah.")</f>
        <v>Jika lemparan tidak dapat dimainkan (misalnya masuk ke gawang), maka lemparan tersebut dianggap salah.</v>
      </c>
    </row>
    <row r="42">
      <c r="A42" s="6" t="s">
        <v>760</v>
      </c>
      <c r="B42" s="6" t="s">
        <v>761</v>
      </c>
      <c r="C42" s="6" t="s">
        <v>762</v>
      </c>
      <c r="D42" s="6" t="s">
        <v>763</v>
      </c>
      <c r="F42" s="4" t="str">
        <f>IFERROR(__xludf.DUMMYFUNCTION("GOOGLETRANSLATE(A42, ""en"", ""id"")"),"Apa hukumnya jika momentum pemain menyebabkan mereka terjatuh di luar lapangan setelah melakukan spike?")</f>
        <v>Apa hukumnya jika momentum pemain menyebabkan mereka terjatuh di luar lapangan setelah melakukan spike?</v>
      </c>
      <c r="G42" s="4" t="str">
        <f>IFERROR(__xludf.DUMMYFUNCTION("GOOGLETRANSLATE(B42, ""en"", ""id"")"),"A) Kesalahan, B) Ulangan, C) Permainan yang sah, D) Peringatan")</f>
        <v>A) Kesalahan, B) Ulangan, C) Permainan yang sah, D) Peringatan</v>
      </c>
      <c r="H42" s="4" t="str">
        <f>IFERROR(__xludf.DUMMYFUNCTION("GOOGLETRANSLATE(C42, ""en"", ""id"")"),"C) Permainan hukum")</f>
        <v>C) Permainan hukum</v>
      </c>
      <c r="I42" s="4" t="str">
        <f>IFERROR(__xludf.DUMMYFUNCTION("GOOGLETRANSLATE(D42, ""en"", ""id"")"),"Adalah sah bagi seorang pemain untuk mendarat di luar batas lapangan, asalkan tolakannya berada di dalam dan tidak menyentuh net.")</f>
        <v>Adalah sah bagi seorang pemain untuk mendarat di luar batas lapangan, asalkan tolakannya berada di dalam dan tidak menyentuh net.</v>
      </c>
    </row>
    <row r="43">
      <c r="A43" s="6" t="s">
        <v>764</v>
      </c>
      <c r="B43" s="6" t="s">
        <v>765</v>
      </c>
      <c r="C43" s="6" t="s">
        <v>766</v>
      </c>
      <c r="D43" s="6" t="s">
        <v>767</v>
      </c>
      <c r="F43" s="4" t="str">
        <f>IFERROR(__xludf.DUMMYFUNCTION("GOOGLETRANSLATE(A43, ""en"", ""id"")"),"Bagaimana pilihan servis atau sisi diputuskan di awal pertandingan?")</f>
        <v>Bagaimana pilihan servis atau sisi diputuskan di awal pertandingan?</v>
      </c>
      <c r="G43" s="4" t="str">
        <f>IFERROR(__xludf.DUMMYFUNCTION("GOOGLETRANSLATE(B43, ""en"", ""id"")"),"A) Tim tuan rumah memilih, B) Tim yang peringkatnya lebih tinggi memilih, C) Lemparan koin, D) Wasit memutuskan")</f>
        <v>A) Tim tuan rumah memilih, B) Tim yang peringkatnya lebih tinggi memilih, C) Lemparan koin, D) Wasit memutuskan</v>
      </c>
      <c r="H43" s="4" t="str">
        <f>IFERROR(__xludf.DUMMYFUNCTION("GOOGLETRANSLATE(C43, ""en"", ""id"")"),"C) Lemparan koin")</f>
        <v>C) Lemparan koin</v>
      </c>
      <c r="I43" s="4" t="str">
        <f>IFERROR(__xludf.DUMMYFUNCTION("GOOGLETRANSLATE(D43, ""en"", ""id"")"),"Wasit melakukan lemparan koin; pemenangnya memilih untuk melakukan servis terlebih dahulu atau memilih sisi lapangan mana untuk memulai.")</f>
        <v>Wasit melakukan lemparan koin; pemenangnya memilih untuk melakukan servis terlebih dahulu atau memilih sisi lapangan mana untuk memulai.</v>
      </c>
    </row>
    <row r="44">
      <c r="A44" s="6" t="s">
        <v>768</v>
      </c>
      <c r="B44" s="6" t="s">
        <v>769</v>
      </c>
      <c r="C44" s="6" t="s">
        <v>770</v>
      </c>
      <c r="D44" s="6" t="s">
        <v>771</v>
      </c>
      <c r="F44" s="4" t="str">
        <f>IFERROR(__xludf.DUMMYFUNCTION("GOOGLETRANSLATE(A44, ""en"", ""id"")"),"Set ketiga terakhir yang menentukan dalam suatu pertandingan juga dikenal sebagai:")</f>
        <v>Set ketiga terakhir yang menentukan dalam suatu pertandingan juga dikenal sebagai:</v>
      </c>
      <c r="G44" s="4" t="str">
        <f>IFERROR(__xludf.DUMMYFUNCTION("GOOGLETRANSLATE(B44, ""en"", ""id"")"),"A) Set bonus, B) Set pemecah seri, C) Set emas, D) Set final")</f>
        <v>A) Set bonus, B) Set pemecah seri, C) Set emas, D) Set final</v>
      </c>
      <c r="H44" s="4" t="str">
        <f>IFERROR(__xludf.DUMMYFUNCTION("GOOGLETRANSLATE(C44, ""en"", ""id"")"),"B) Set pemecah seri")</f>
        <v>B) Set pemecah seri</v>
      </c>
      <c r="I44" s="4" t="str">
        <f>IFERROR(__xludf.DUMMYFUNCTION("GOOGLETRANSLATE(D44, ""en"", ""id"")"),"Set ketiga dimainkan dengan total poin yang lebih rendah (biasanya 15) untuk menentukan pemenang pertandingan.")</f>
        <v>Set ketiga dimainkan dengan total poin yang lebih rendah (biasanya 15) untuk menentukan pemenang pertandingan.</v>
      </c>
    </row>
    <row r="45">
      <c r="A45" s="6" t="s">
        <v>772</v>
      </c>
      <c r="B45" s="6" t="s">
        <v>773</v>
      </c>
      <c r="C45" s="6" t="s">
        <v>774</v>
      </c>
      <c r="D45" s="6" t="s">
        <v>775</v>
      </c>
      <c r="F45" s="4" t="str">
        <f>IFERROR(__xludf.DUMMYFUNCTION("GOOGLETRANSLATE(A45, ""en"", ""id"")"),"Apa istilah untuk lonjakan yang kuat dan tidak dapat dikembalikan yang memenangkan suatu poin?")</f>
        <v>Apa istilah untuk lonjakan yang kuat dan tidak dapat dikembalikan yang memenangkan suatu poin?</v>
      </c>
      <c r="G45" s="4" t="str">
        <f>IFERROR(__xludf.DUMMYFUNCTION("GOOGLETRANSLATE(B45, ""en"", ""id"")"),"A) Seorang ""Tek"", B) Seorang ""Sepak"", C) Seorang ""Pembunuh"", D) Seorang ""Ace""")</f>
        <v>A) Seorang "Tek", B) Seorang "Sepak", C) Seorang "Pembunuh", D) Seorang "Ace"</v>
      </c>
      <c r="H45" s="4" t="str">
        <f>IFERROR(__xludf.DUMMYFUNCTION("GOOGLETRANSLATE(C45, ""en"", ""id"")"),"C) Seorang ""Pembunuh""")</f>
        <v>C) Seorang "Pembunuh"</v>
      </c>
      <c r="I45" s="4" t="str">
        <f>IFERROR(__xludf.DUMMYFUNCTION("GOOGLETRANSLATE(D45, ""en"", ""id"")"),"Istilah ini merujuk pada tindakan spiker dan hasil serangan yang berhasil.")</f>
        <v>Istilah ini merujuk pada tindakan spiker dan hasil serangan yang berhasil.</v>
      </c>
    </row>
    <row r="46">
      <c r="A46" s="6" t="s">
        <v>776</v>
      </c>
      <c r="B46" s="6" t="s">
        <v>777</v>
      </c>
      <c r="C46" s="6" t="s">
        <v>778</v>
      </c>
      <c r="D46" s="6" t="s">
        <v>779</v>
      </c>
      <c r="F46" s="4" t="str">
        <f>IFERROR(__xludf.DUMMYFUNCTION("GOOGLETRANSLATE(A46, ""en"", ""id"")"),"Apakah seorang pemain diperbolehkan menangkis spike dengan kepalanya yang langsung berada di atas net?")</f>
        <v>Apakah seorang pemain diperbolehkan menangkis spike dengan kepalanya yang langsung berada di atas net?</v>
      </c>
      <c r="G46" s="4" t="str">
        <f>IFERROR(__xludf.DUMMYFUNCTION("GOOGLETRANSLATE(B46, ""en"", ""id"")"),"A) Ya, selama mereka tidak menyentuh net, B) Tidak, blocking tidak diperbolehkan, C) Ya, tetapi hanya jika kaki mereka berada di tanah, D) Tidak, hanya kaki yang dapat digunakan di atas net")</f>
        <v>A) Ya, selama mereka tidak menyentuh net, B) Tidak, blocking tidak diperbolehkan, C) Ya, tetapi hanya jika kaki mereka berada di tanah, D) Tidak, hanya kaki yang dapat digunakan di atas net</v>
      </c>
      <c r="H46" s="4" t="str">
        <f>IFERROR(__xludf.DUMMYFUNCTION("GOOGLETRANSLATE(C46, ""en"", ""id"")"),"A) Ya, selama mereka tidak menyentuh net")</f>
        <v>A) Ya, selama mereka tidak menyentuh net</v>
      </c>
      <c r="I46" s="4" t="str">
        <f>IFERROR(__xludf.DUMMYFUNCTION("GOOGLETRANSLATE(D46, ""en"", ""id"")"),"Seorang pemain dapat menggunakan bagian tubuh mana pun yang sah untuk memblokir, asalkan mereka tidak menyentuh net atau melewati area lawan sebelum serangan selesai.")</f>
        <v>Seorang pemain dapat menggunakan bagian tubuh mana pun yang sah untuk memblokir, asalkan mereka tidak menyentuh net atau melewati area lawan sebelum serangan selesai.</v>
      </c>
    </row>
    <row r="47">
      <c r="A47" s="6" t="s">
        <v>780</v>
      </c>
      <c r="B47" s="6" t="s">
        <v>781</v>
      </c>
      <c r="C47" s="6" t="s">
        <v>782</v>
      </c>
      <c r="D47" s="6" t="s">
        <v>783</v>
      </c>
      <c r="F47" s="4" t="str">
        <f>IFERROR(__xludf.DUMMYFUNCTION("GOOGLETRANSLATE(A47, ""en"", ""id"")"),"Apa hukuman bagi pelatih atau pemain yang tidak setuju dengan keputusan wasit?")</f>
        <v>Apa hukuman bagi pelatih atau pemain yang tidak setuju dengan keputusan wasit?</v>
      </c>
      <c r="G47" s="4" t="str">
        <f>IFERROR(__xludf.DUMMYFUNCTION("GOOGLETRANSLATE(B47, ""en"", ""id"")"),"A) Peringatan lisan, B) Kartu kuning atau merah untuk pelanggaran, C) Pengurangan poin, D) Penyitaan set")</f>
        <v>A) Peringatan lisan, B) Kartu kuning atau merah untuk pelanggaran, C) Pengurangan poin, D) Penyitaan set</v>
      </c>
      <c r="H47" s="4" t="str">
        <f>IFERROR(__xludf.DUMMYFUNCTION("GOOGLETRANSLATE(C47, ""en"", ""id"")"),"B) Kartu kuning atau merah untuk pelanggaran")</f>
        <v>B) Kartu kuning atau merah untuk pelanggaran</v>
      </c>
      <c r="I47" s="4" t="str">
        <f>IFERROR(__xludf.DUMMYFUNCTION("GOOGLETRANSLATE(D47, ""en"", ""id"")"),"Perbedaan pendapat dianggap sebagai perilaku tidak sportif dan dihukum dengan kartu resmi.")</f>
        <v>Perbedaan pendapat dianggap sebagai perilaku tidak sportif dan dihukum dengan kartu resmi.</v>
      </c>
    </row>
    <row r="48">
      <c r="A48" s="6" t="s">
        <v>784</v>
      </c>
      <c r="B48" s="6" t="s">
        <v>785</v>
      </c>
      <c r="C48" s="6" t="s">
        <v>786</v>
      </c>
      <c r="D48" s="6" t="s">
        <v>787</v>
      </c>
      <c r="F48" s="4" t="str">
        <f>IFERROR(__xludf.DUMMYFUNCTION("GOOGLETRANSLATE(A48, ""en"", ""id"")"),"Jika seorang pemain cedera dan pergantian telah dilakukan pada set tersebut, bagaimana prosedurnya?")</f>
        <v>Jika seorang pemain cedera dan pergantian telah dilakukan pada set tersebut, bagaimana prosedurnya?</v>
      </c>
      <c r="G48" s="4" t="str">
        <f>IFERROR(__xludf.DUMMYFUNCTION("GOOGLETRANSLATE(B48, ""en"", ""id"")"),"A) Tim harus kehilangan set tersebut, B) Pemain dapat kembali setelah waktu istirahat 5 menit, C) Pergantian pemain yang luar biasa dapat diizinkan, D) Tim harus bermain dengan dua pemain")</f>
        <v>A) Tim harus kehilangan set tersebut, B) Pemain dapat kembali setelah waktu istirahat 5 menit, C) Pergantian pemain yang luar biasa dapat diizinkan, D) Tim harus bermain dengan dua pemain</v>
      </c>
      <c r="H48" s="4" t="str">
        <f>IFERROR(__xludf.DUMMYFUNCTION("GOOGLETRANSLATE(C48, ""en"", ""id"")"),"A) Tim harus kehilangan set tersebut")</f>
        <v>A) Tim harus kehilangan set tersebut</v>
      </c>
      <c r="I48" s="4" t="str">
        <f>IFERROR(__xludf.DUMMYFUNCTION("GOOGLETRANSLATE(D48, ""en"", ""id"")"),"Jika suatu tim tidak dapat menurunkan tiga pemain dan tidak mempunyai pergantian pemain tersisa, mereka harus kehilangan set tersebut.")</f>
        <v>Jika suatu tim tidak dapat menurunkan tiga pemain dan tidak mempunyai pergantian pemain tersisa, mereka harus kehilangan set tersebut.</v>
      </c>
    </row>
    <row r="49">
      <c r="A49" s="6" t="s">
        <v>788</v>
      </c>
      <c r="B49" s="6" t="s">
        <v>789</v>
      </c>
      <c r="C49" s="6" t="s">
        <v>790</v>
      </c>
      <c r="D49" s="6" t="s">
        <v>791</v>
      </c>
      <c r="F49" s="4" t="str">
        <f>IFERROR(__xludf.DUMMYFUNCTION("GOOGLETRANSLATE(A49, ""en"", ""id"")"),"Apa peran utama ""Feeder"" atau ""Setter""?")</f>
        <v>Apa peran utama "Feeder" atau "Setter"?</v>
      </c>
      <c r="G49" s="4" t="str">
        <f>IFERROR(__xludf.DUMMYFUNCTION("GOOGLETRANSLATE(B49, ""en"", ""id"")"),"A) Untuk melakukan servis bola, B) Untuk melakukan spike terakhir, C) Untuk mengatur bola dengan sempurna untuk spiker, D) Untuk menerima servis")</f>
        <v>A) Untuk melakukan servis bola, B) Untuk melakukan spike terakhir, C) Untuk mengatur bola dengan sempurna untuk spiker, D) Untuk menerima servis</v>
      </c>
      <c r="H49" s="4" t="str">
        <f>IFERROR(__xludf.DUMMYFUNCTION("GOOGLETRANSLATE(C49, ""en"", ""id"")"),"C) Untuk mengatur bola dengan sempurna untuk spiker")</f>
        <v>C) Untuk mengatur bola dengan sempurna untuk spiker</v>
      </c>
      <c r="I49" s="4" t="str">
        <f>IFERROR(__xludf.DUMMYFUNCTION("GOOGLETRANSLATE(D49, ""en"", ""id"")"),"Tugas utama Feeder adalah mengendalikan bola (biasanya pada sentuhan kedua) dan memposisikannya agar Killer dapat menyerang.")</f>
        <v>Tugas utama Feeder adalah mengendalikan bola (biasanya pada sentuhan kedua) dan memposisikannya agar Killer dapat menyerang.</v>
      </c>
    </row>
    <row r="50">
      <c r="A50" s="6" t="s">
        <v>792</v>
      </c>
      <c r="B50" s="6" t="s">
        <v>793</v>
      </c>
      <c r="C50" s="6" t="s">
        <v>794</v>
      </c>
      <c r="D50" s="6" t="s">
        <v>795</v>
      </c>
      <c r="F50" s="4" t="str">
        <f>IFERROR(__xludf.DUMMYFUNCTION("GOOGLETRANSLATE(A50, ""en"", ""id"")"),"Apa hukumnya jika servis menyentuh net lalu jatuh di area lawan?")</f>
        <v>Apa hukumnya jika servis menyentuh net lalu jatuh di area lawan?</v>
      </c>
      <c r="G50" s="4" t="str">
        <f>IFERROR(__xludf.DUMMYFUNCTION("GOOGLETRANSLATE(B50, ""en"", ""id"")"),"A) Fault, B) Replay (Let), C) Tunjuk ke tim yang melakukan servis, D) Tunjuk ke tim yang menerima")</f>
        <v>A) Fault, B) Replay (Let), C) Tunjuk ke tim yang melakukan servis, D) Tunjuk ke tim yang menerima</v>
      </c>
      <c r="H50" s="4" t="str">
        <f>IFERROR(__xludf.DUMMYFUNCTION("GOOGLETRANSLATE(C50, ""en"", ""id"")"),"C) Menunjuk ke tim yang bertugas")</f>
        <v>C) Menunjuk ke tim yang bertugas</v>
      </c>
      <c r="I50" s="4" t="str">
        <f>IFERROR(__xludf.DUMMYFUNCTION("GOOGLETRANSLATE(D50, ""en"", ""id"")"),"Tidak seperti dalam permainan bola voli, servis yang menyentuh net dan mendarat di dalam lapangan adalah bola hidup dan sah.")</f>
        <v>Tidak seperti dalam permainan bola voli, servis yang menyentuh net dan mendarat di dalam lapangan adalah bola hidup dan sah.</v>
      </c>
    </row>
    <row r="51">
      <c r="A51" s="6" t="s">
        <v>796</v>
      </c>
      <c r="B51" s="6" t="s">
        <v>797</v>
      </c>
      <c r="C51" s="6" t="s">
        <v>798</v>
      </c>
      <c r="D51" s="6" t="s">
        <v>799</v>
      </c>
      <c r="F51" s="4" t="str">
        <f>IFERROR(__xludf.DUMMYFUNCTION("GOOGLETRANSLATE(A51, ""en"", ""id"")"),"Berapa waktu maksimal yang diperbolehkan bagi suatu tim untuk melakukan servis setelah wasit mengumumkan skor?")</f>
        <v>Berapa waktu maksimal yang diperbolehkan bagi suatu tim untuk melakukan servis setelah wasit mengumumkan skor?</v>
      </c>
      <c r="G51" s="4" t="str">
        <f>IFERROR(__xludf.DUMMYFUNCTION("GOOGLETRANSLATE(B51, ""en"", ""id"")"),"A) 3 detik, B) 5 detik, C) 8 detik, D) 10 detik")</f>
        <v>A) 3 detik, B) 5 detik, C) 8 detik, D) 10 detik</v>
      </c>
      <c r="H51" s="4" t="str">
        <f>IFERROR(__xludf.DUMMYFUNCTION("GOOGLETRANSLATE(C51, ""en"", ""id"")"),"B) 5 detik")</f>
        <v>B) 5 detik</v>
      </c>
      <c r="I51" s="4" t="str">
        <f>IFERROR(__xludf.DUMMYFUNCTION("GOOGLETRANSLATE(D51, ""en"", ""id"")"),"Seorang pemain memiliki waktu 5 detik untuk melakukan servis setelah skor diumumkan untuk mencegah penundaan.")</f>
        <v>Seorang pemain memiliki waktu 5 detik untuk melakukan servis setelah skor diumumkan untuk mencegah penundaan.</v>
      </c>
    </row>
    <row r="52">
      <c r="A52" s="6" t="s">
        <v>800</v>
      </c>
      <c r="B52" s="6" t="s">
        <v>801</v>
      </c>
      <c r="C52" s="6" t="s">
        <v>802</v>
      </c>
      <c r="D52" s="6" t="s">
        <v>803</v>
      </c>
      <c r="F52" s="4" t="str">
        <f>IFERROR(__xludf.DUMMYFUNCTION("GOOGLETRANSLATE(A52, ""en"", ""id"")"),"Suatu kesalahan disebut jika ada bagian tubuh pemain yang melewati net dan masuk ke lapangan lawan, kecuali:")</f>
        <v>Suatu kesalahan disebut jika ada bagian tubuh pemain yang melewati net dan masuk ke lapangan lawan, kecuali:</v>
      </c>
      <c r="G52" s="4" t="str">
        <f>IFERROR(__xludf.DUMMYFUNCTION("GOOGLETRANSLATE(B52, ""en"", ""id"")"),"A) Setelah mereka memainkan bola, B) Mereka tidak menyentuh net, C) Bola sudah mendarat, D) Saat melakukan blok")</f>
        <v>A) Setelah mereka memainkan bola, B) Mereka tidak menyentuh net, C) Bola sudah mendarat, D) Saat melakukan blok</v>
      </c>
      <c r="H52" s="4" t="str">
        <f>IFERROR(__xludf.DUMMYFUNCTION("GOOGLETRANSLATE(C52, ""en"", ""id"")"),"A) Itu setelah mereka memainkan bola")</f>
        <v>A) Itu setelah mereka memainkan bola</v>
      </c>
      <c r="I52" s="4" t="str">
        <f>IFERROR(__xludf.DUMMYFUNCTION("GOOGLETRANSLATE(D52, ""en"", ""id"")"),"Gerakan lanjutan yang dilakukan pemain dapat membawa mereka melewati net, yang sah selama kontak dengan bola berada di pihak mereka.")</f>
        <v>Gerakan lanjutan yang dilakukan pemain dapat membawa mereka melewati net, yang sah selama kontak dengan bola berada di pihak mereka.</v>
      </c>
    </row>
    <row r="53">
      <c r="A53" s="6" t="s">
        <v>804</v>
      </c>
      <c r="B53" s="6" t="s">
        <v>805</v>
      </c>
      <c r="C53" s="6" t="s">
        <v>806</v>
      </c>
      <c r="D53" s="6" t="s">
        <v>807</v>
      </c>
      <c r="F53" s="4" t="str">
        <f>IFERROR(__xludf.DUMMYFUNCTION("GOOGLETRANSLATE(A53, ""en"", ""id"")"),"Apa yang terjadi jika bola mengenai salah satu tiang net saat reli?")</f>
        <v>Apa yang terjadi jika bola mengenai salah satu tiang net saat reli?</v>
      </c>
      <c r="G53" s="4" t="str">
        <f>IFERROR(__xludf.DUMMYFUNCTION("GOOGLETRANSLATE(B53, ""en"", ""id"")"),"A) Bola masih dalam permainan, B) Itu adalah kesalahan, C) Poin diputar ulang, D) Itu adalah poin untuk tim yang mengenai tiang gawang")</f>
        <v>A) Bola masih dalam permainan, B) Itu adalah kesalahan, C) Poin diputar ulang, D) Itu adalah poin untuk tim yang mengenai tiang gawang</v>
      </c>
      <c r="H53" s="4" t="str">
        <f>IFERROR(__xludf.DUMMYFUNCTION("GOOGLETRANSLATE(C53, ""en"", ""id"")"),"B) Itu adalah sebuah kesalahan")</f>
        <v>B) Itu adalah sebuah kesalahan</v>
      </c>
      <c r="I53" s="4" t="str">
        <f>IFERROR(__xludf.DUMMYFUNCTION("GOOGLETRANSLATE(D53, ""en"", ""id"")"),"Tiang gawang dianggap berada di luar lapangan; jika bola mengenai tiang gawang, maka terjadi kesalahan terhadap tim yang terakhir menyentuhnya.")</f>
        <v>Tiang gawang dianggap berada di luar lapangan; jika bola mengenai tiang gawang, maka terjadi kesalahan terhadap tim yang terakhir menyentuhnya.</v>
      </c>
    </row>
    <row r="54">
      <c r="A54" s="6" t="s">
        <v>808</v>
      </c>
      <c r="B54" s="6" t="s">
        <v>809</v>
      </c>
      <c r="C54" s="6" t="s">
        <v>810</v>
      </c>
      <c r="D54" s="6" t="s">
        <v>811</v>
      </c>
      <c r="F54" s="4" t="str">
        <f>IFERROR(__xludf.DUMMYFUNCTION("GOOGLETRANSLATE(A54, ""en"", ""id"")"),"Istilah Apit Kanan mengacu pada posisi pemain yang mana?")</f>
        <v>Istilah Apit Kanan mengacu pada posisi pemain yang mana?</v>
      </c>
      <c r="G54" s="4" t="str">
        <f>IFERROR(__xludf.DUMMYFUNCTION("GOOGLETRANSLATE(B54, ""en"", ""id"")"),"A) Server, B) Pemain dalam kiri, C) Pemain dalam kanan, D) Spiker")</f>
        <v>A) Server, B) Pemain dalam kiri, C) Pemain dalam kanan, D) Spiker</v>
      </c>
      <c r="H54" s="4" t="str">
        <f>IFERROR(__xludf.DUMMYFUNCTION("GOOGLETRANSLATE(C54, ""en"", ""id"")"),"C) Pemain dalam kanan")</f>
        <v>C) Pemain dalam kanan</v>
      </c>
      <c r="I54" s="4" t="str">
        <f>IFERROR(__xludf.DUMMYFUNCTION("GOOGLETRANSLATE(D54, ""en"", ""id"")"),"Dalam bahasa Melayu, Apit Kanan diterjemahkan menjadi ""Tepat di Dalam,"" salah satu dari dua pemain yang mendukung Tekong.")</f>
        <v>Dalam bahasa Melayu, Apit Kanan diterjemahkan menjadi "Tepat di Dalam," salah satu dari dua pemain yang mendukung Tekong.</v>
      </c>
    </row>
    <row r="55">
      <c r="A55" s="6" t="s">
        <v>812</v>
      </c>
      <c r="B55" s="6" t="s">
        <v>813</v>
      </c>
      <c r="C55" s="6" t="s">
        <v>814</v>
      </c>
      <c r="D55" s="6" t="s">
        <v>815</v>
      </c>
      <c r="F55" s="4" t="str">
        <f>IFERROR(__xludf.DUMMYFUNCTION("GOOGLETRANSLATE(A55, ""en"", ""id"")"),"Saat melakukan servis, tindakan apa yang TIDAK boleh dilakukan oleh pemain yang melempar bola (pemukul)?")</f>
        <v>Saat melakukan servis, tindakan apa yang TIDAK boleh dilakukan oleh pemain yang melempar bola (pemukul)?</v>
      </c>
      <c r="G55" s="4" t="str">
        <f>IFERROR(__xludf.DUMMYFUNCTION("GOOGLETRANSLATE(B55, ""en"", ""id"")"),"A) Menggunakan satu tangan, B) Memutar bola, C) Menyentuh garis tengah, D) Mengangkat kaki mereka")</f>
        <v>A) Menggunakan satu tangan, B) Memutar bola, C) Menyentuh garis tengah, D) Mengangkat kaki mereka</v>
      </c>
      <c r="H55" s="4" t="str">
        <f>IFERROR(__xludf.DUMMYFUNCTION("GOOGLETRANSLATE(C55, ""en"", ""id"")"),"C) Sentuh garis tengah")</f>
        <v>C) Sentuh garis tengah</v>
      </c>
      <c r="I55" s="4" t="str">
        <f>IFERROR(__xludf.DUMMYFUNCTION("GOOGLETRANSLATE(D55, ""en"", ""id"")"),"Pemain bagian dalam (pelempar) harus tetap berada di seperempat lingkarannya dan tidak menyentuh garis lapangan mana pun.")</f>
        <v>Pemain bagian dalam (pelempar) harus tetap berada di seperempat lingkarannya dan tidak menyentuh garis lapangan mana pun.</v>
      </c>
    </row>
    <row r="56">
      <c r="A56" s="6" t="s">
        <v>816</v>
      </c>
      <c r="B56" s="6" t="s">
        <v>817</v>
      </c>
      <c r="C56" s="6" t="s">
        <v>818</v>
      </c>
      <c r="D56" s="6" t="s">
        <v>819</v>
      </c>
      <c r="F56" s="4" t="str">
        <f>IFERROR(__xludf.DUMMYFUNCTION("GOOGLETRANSLATE(A56, ""en"", ""id"")"),"Apa definisi dari ""membawa"" bola, yang merupakan suatu kesalahan?")</f>
        <v>Apa definisi dari "membawa" bola, yang merupakan suatu kesalahan?</v>
      </c>
      <c r="G56" s="4" t="str">
        <f>IFERROR(__xludf.DUMMYFUNCTION("GOOGLETRANSLATE(B56, ""en"", ""id"")"),"A) Memukul bola dua kali, B) Kontak yang berkepanjangan atau menggulirkan bola di sepanjang bagian tubuh, C) Memukul bola dengan bahu, D) Set yang sangat tinggi")</f>
        <v>A) Memukul bola dua kali, B) Kontak yang berkepanjangan atau menggulirkan bola di sepanjang bagian tubuh, C) Memukul bola dengan bahu, D) Set yang sangat tinggi</v>
      </c>
      <c r="H56" s="4" t="str">
        <f>IFERROR(__xludf.DUMMYFUNCTION("GOOGLETRANSLATE(C56, ""en"", ""id"")"),"B) Kontak yang berkepanjangan atau menggulirkan bola di sepanjang bagian tubuh")</f>
        <v>B) Kontak yang berkepanjangan atau menggulirkan bola di sepanjang bagian tubuh</v>
      </c>
      <c r="I56" s="4" t="str">
        <f>IFERROR(__xludf.DUMMYFUNCTION("GOOGLETRANSLATE(D56, ""en"", ""id"")"),"Kontak dengan bola harus berupa pukulan yang bersih dan jelas, bukan tangkapan, angkat, atau gulingan.")</f>
        <v>Kontak dengan bola harus berupa pukulan yang bersih dan jelas, bukan tangkapan, angkat, atau gulingan.</v>
      </c>
    </row>
    <row r="57">
      <c r="A57" s="6" t="s">
        <v>820</v>
      </c>
      <c r="B57" s="6" t="s">
        <v>821</v>
      </c>
      <c r="C57" s="6" t="s">
        <v>822</v>
      </c>
      <c r="D57" s="6" t="s">
        <v>823</v>
      </c>
      <c r="F57" s="4" t="str">
        <f>IFERROR(__xludf.DUMMYFUNCTION("GOOGLETRANSLATE(A57, ""en"", ""id"")"),"Berapa lama waktu jeda standar dalam pertandingan sepak takraw?")</f>
        <v>Berapa lama waktu jeda standar dalam pertandingan sepak takraw?</v>
      </c>
      <c r="G57" s="4" t="str">
        <f>IFERROR(__xludf.DUMMYFUNCTION("GOOGLETRANSLATE(B57, ""en"", ""id"")"),"A) 30 detik, B) 60 detik, C) 90 detik, D) 120 detik")</f>
        <v>A) 30 detik, B) 60 detik, C) 90 detik, D) 120 detik</v>
      </c>
      <c r="H57" s="4" t="str">
        <f>IFERROR(__xludf.DUMMYFUNCTION("GOOGLETRANSLATE(C57, ""en"", ""id"")"),"B) 60 detik")</f>
        <v>B) 60 detik</v>
      </c>
      <c r="I57" s="4" t="str">
        <f>IFERROR(__xludf.DUMMYFUNCTION("GOOGLETRANSLATE(D57, ""en"", ""id"")"),"Setiap tim biasanya berhak mendapatkan satu kali waktu istirahat 60 detik per set.")</f>
        <v>Setiap tim biasanya berhak mendapatkan satu kali waktu istirahat 60 detik per set.</v>
      </c>
    </row>
    <row r="58">
      <c r="A58" s="6" t="s">
        <v>824</v>
      </c>
      <c r="B58" s="6" t="s">
        <v>825</v>
      </c>
      <c r="C58" s="6" t="s">
        <v>826</v>
      </c>
      <c r="D58" s="6" t="s">
        <v>827</v>
      </c>
      <c r="F58" s="4" t="str">
        <f>IFERROR(__xludf.DUMMYFUNCTION("GOOGLETRANSLATE(A58, ""en"", ""id"")"),"Apa badan pengatur internasional untuk Sepak Takraw?")</f>
        <v>Apa badan pengatur internasional untuk Sepak Takraw?</v>
      </c>
      <c r="G58" s="4" t="str">
        <f>IFERROR(__xludf.DUMMYFUNCTION("GOOGLETRANSLATE(B58, ""en"", ""id"")"),"A) FIFA, B) FIBA, C) ISTAF, D) BWF")</f>
        <v>A) FIFA, B) FIBA, C) ISTAF, D) BWF</v>
      </c>
      <c r="H58" s="4" t="str">
        <f>IFERROR(__xludf.DUMMYFUNCTION("GOOGLETRANSLATE(C58, ""en"", ""id"")"),"C) ISTAF")</f>
        <v>C) ISTAF</v>
      </c>
      <c r="I58" s="4" t="str">
        <f>IFERROR(__xludf.DUMMYFUNCTION("GOOGLETRANSLATE(D58, ""en"", ""id"")"),"Federasi Sepaktakraw Internasional (ISTAF) adalah badan pengatur tertinggi olahraga ini.")</f>
        <v>Federasi Sepaktakraw Internasional (ISTAF) adalah badan pengatur tertinggi olahraga ini.</v>
      </c>
    </row>
    <row r="59">
      <c r="A59" s="6" t="s">
        <v>828</v>
      </c>
      <c r="B59" s="6" t="s">
        <v>829</v>
      </c>
      <c r="C59" s="6" t="s">
        <v>830</v>
      </c>
      <c r="D59" s="6" t="s">
        <v>831</v>
      </c>
      <c r="F59" s="4" t="str">
        <f>IFERROR(__xludf.DUMMYFUNCTION("GOOGLETRANSLATE(A59, ""en"", ""id"")"),"Pada tahun berapa Sepak Takraw pertama kali diikutsertakan sebagai cabang medali di Asian Games?")</f>
        <v>Pada tahun berapa Sepak Takraw pertama kali diikutsertakan sebagai cabang medali di Asian Games?</v>
      </c>
      <c r="G59" s="4" t="str">
        <f>IFERROR(__xludf.DUMMYFUNCTION("GOOGLETRANSLATE(B59, ""en"", ""id"")"),"A) Tahun 1982, B) Tahun 1986, C) Tahun 1990, D) Tahun 1994")</f>
        <v>A) Tahun 1982, B) Tahun 1986, C) Tahun 1990, D) Tahun 1994</v>
      </c>
      <c r="H59" s="4" t="str">
        <f>IFERROR(__xludf.DUMMYFUNCTION("GOOGLETRANSLATE(C59, ""en"", ""id"")"),"C) Tahun 1990")</f>
        <v>C) Tahun 1990</v>
      </c>
      <c r="I59" s="4" t="str">
        <f>IFERROR(__xludf.DUMMYFUNCTION("GOOGLETRANSLATE(D59, ""en"", ""id"")"),"Sepak Takraw memulai debutnya di Asian Games ke-11 di Beijing, Cina, pada tahun 1990.")</f>
        <v>Sepak Takraw memulai debutnya di Asian Games ke-11 di Beijing, Cina, pada tahun 1990.</v>
      </c>
    </row>
    <row r="60">
      <c r="A60" s="6" t="s">
        <v>832</v>
      </c>
      <c r="B60" s="6" t="s">
        <v>833</v>
      </c>
      <c r="C60" s="6" t="s">
        <v>834</v>
      </c>
      <c r="D60" s="6" t="s">
        <v>835</v>
      </c>
      <c r="F60" s="4" t="str">
        <f>IFERROR(__xludf.DUMMYFUNCTION("GOOGLETRANSLATE(A60, ""en"", ""id"")"),"Apa itu ""Sunback Spike""?")</f>
        <v>Apa itu "Sunback Spike"?</v>
      </c>
      <c r="G60" s="4" t="str">
        <f>IFERROR(__xludf.DUMMYFUNCTION("GOOGLETRANSLATE(B60, ""en"", ""id"")"),"A) Sebuah spike yang dilakukan sambil membelakangi net, B) Sebuah spike yang menggunakan tumit, C) Sebuah spike yang sangat rendah, D) Sebuah spike palsu")</f>
        <v>A) Sebuah spike yang dilakukan sambil membelakangi net, B) Sebuah spike yang menggunakan tumit, C) Sebuah spike yang sangat rendah, D) Sebuah spike palsu</v>
      </c>
      <c r="H60" s="4" t="str">
        <f>IFERROR(__xludf.DUMMYFUNCTION("GOOGLETRANSLATE(C60, ""en"", ""id"")"),"A) Sebuah spike yang dilakukan sambil membelakangi net")</f>
        <v>A) Sebuah spike yang dilakukan sambil membelakangi net</v>
      </c>
      <c r="I60" s="4" t="str">
        <f>IFERROR(__xludf.DUMMYFUNCTION("GOOGLETRANSLATE(D60, ""en"", ""id"")"),"Ini adalah tendangan akrobatik di mana pemain menendang bola melewati punggung/bahu sambil menghadap garis dasar mereka sendiri.")</f>
        <v>Ini adalah tendangan akrobatik di mana pemain menendang bola melewati punggung/bahu sambil menghadap garis dasar mereka sendiri.</v>
      </c>
    </row>
    <row r="61">
      <c r="A61" s="6" t="s">
        <v>836</v>
      </c>
      <c r="B61" s="6" t="s">
        <v>837</v>
      </c>
      <c r="C61" s="6" t="s">
        <v>838</v>
      </c>
      <c r="D61" s="6" t="s">
        <v>839</v>
      </c>
      <c r="F61" s="4" t="str">
        <f>IFERROR(__xludf.DUMMYFUNCTION("GOOGLETRANSLATE(A61, ""en"", ""id"")"),"Apa hukumnya jika bola pecah atau kehilangan bentuk di tengah reli?")</f>
        <v>Apa hukumnya jika bola pecah atau kehilangan bentuk di tengah reli?</v>
      </c>
      <c r="G61" s="4" t="str">
        <f>IFERROR(__xludf.DUMMYFUNCTION("GOOGLETRANSLATE(B61, ""en"", ""id"")"),"A) Tunjuk tim yang terakhir memukul bola, B) Tunjuk tim penerima, C) ""Let"" dipanggil dan poin diulang, D) Tim dengan skor lebih tinggi memenangkan poin")</f>
        <v>A) Tunjuk tim yang terakhir memukul bola, B) Tunjuk tim penerima, C) "Let" dipanggil dan poin diulang, D) Tim dengan skor lebih tinggi memenangkan poin</v>
      </c>
      <c r="H61" s="4" t="str">
        <f>IFERROR(__xludf.DUMMYFUNCTION("GOOGLETRANSLATE(C61, ""en"", ""id"")"),"C) ""Let"" dipanggil dan poin diputar ulang")</f>
        <v>C) "Let" dipanggil dan poin diputar ulang</v>
      </c>
      <c r="I61" s="4" t="str">
        <f>IFERROR(__xludf.DUMMYFUNCTION("GOOGLETRANSLATE(D61, ""en"", ""id"")"),"Jika bola menjadi rusak, maka akan dilakukan ""pertandingan ulang"" dengan bola baru.")</f>
        <v>Jika bola menjadi rusak, maka akan dilakukan "pertandingan ulang" dengan bola baru.</v>
      </c>
    </row>
    <row r="62">
      <c r="A62" s="6" t="s">
        <v>840</v>
      </c>
      <c r="B62" s="6" t="s">
        <v>841</v>
      </c>
      <c r="C62" s="6" t="s">
        <v>842</v>
      </c>
      <c r="D62" s="6" t="s">
        <v>843</v>
      </c>
      <c r="F62" s="4" t="str">
        <f>IFERROR(__xludf.DUMMYFUNCTION("GOOGLETRANSLATE(A62, ""en"", ""id"")"),"Pertandingan tie-breaker dimainkan hingga mencapai poin berapa?")</f>
        <v>Pertandingan tie-breaker dimainkan hingga mencapai poin berapa?</v>
      </c>
      <c r="G62" s="4" t="str">
        <f>IFERROR(__xludf.DUMMYFUNCTION("GOOGLETRANSLATE(B62, ""en"", ""id"")"),"A) 21, dengan batas atas 25, B) 15, dengan batas atas 17, C) 11, dengan batas atas 13, D) 25, tanpa batas atas")</f>
        <v>A) 21, dengan batas atas 25, B) 15, dengan batas atas 17, C) 11, dengan batas atas 13, D) 25, tanpa batas atas</v>
      </c>
      <c r="H62" s="4" t="str">
        <f>IFERROR(__xludf.DUMMYFUNCTION("GOOGLETRANSLATE(C62, ""en"", ""id"")"),"B) 15, dengan batas 17")</f>
        <v>B) 15, dengan batas 17</v>
      </c>
      <c r="I62" s="4" t="str">
        <f>IFERROR(__xludf.DUMMYFUNCTION("GOOGLETRANSLATE(D62, ""en"", ""id"")"),"Jika pertandingan berlanjut ke set ketiga, pertandingan dimainkan hingga 15 poin, tetapi tim tersebut harus tetap menang dengan selisih dua poin, hingga maksimum 17.")</f>
        <v>Jika pertandingan berlanjut ke set ketiga, pertandingan dimainkan hingga 15 poin, tetapi tim tersebut harus tetap menang dengan selisih dua poin, hingga maksimum 17.</v>
      </c>
    </row>
    <row r="63">
      <c r="A63" s="6" t="s">
        <v>844</v>
      </c>
      <c r="B63" s="6" t="s">
        <v>845</v>
      </c>
      <c r="C63" s="6" t="s">
        <v>846</v>
      </c>
      <c r="D63" s="6" t="s">
        <v>847</v>
      </c>
      <c r="F63" s="4" t="str">
        <f>IFERROR(__xludf.DUMMYFUNCTION("GOOGLETRANSLATE(A63, ""en"", ""id"")"),"Apa isyarat tangan wasit untuk ""kesalahan kaki"" saat melakukan servis?")</f>
        <v>Apa isyarat tangan wasit untuk "kesalahan kaki" saat melakukan servis?</v>
      </c>
      <c r="G63" s="4" t="str">
        <f>IFERROR(__xludf.DUMMYFUNCTION("GOOGLETRANSLATE(B63, ""en"", ""id"")"),"A) Menunjuk satu jari ke bawah pada lingkaran servis, B) Mengangkat satu tangan dengan telapak tangan terbuka, C) Mengetuk bahu mereka, D) Membuat gerakan melingkar dengan tangan mereka")</f>
        <v>A) Menunjuk satu jari ke bawah pada lingkaran servis, B) Mengangkat satu tangan dengan telapak tangan terbuka, C) Mengetuk bahu mereka, D) Membuat gerakan melingkar dengan tangan mereka</v>
      </c>
      <c r="H63" s="4" t="str">
        <f>IFERROR(__xludf.DUMMYFUNCTION("GOOGLETRANSLATE(C63, ""en"", ""id"")"),"A) Menunjuk satu jari ke bawah pada lingkaran layanan")</f>
        <v>A) Menunjuk satu jari ke bawah pada lingkaran layanan</v>
      </c>
      <c r="I63" s="4" t="str">
        <f>IFERROR(__xludf.DUMMYFUNCTION("GOOGLETRANSLATE(D63, ""en"", ""id"")"),"Wasit akan menunjuk langsung ke lingkaran servis untuk menunjukkan bahwa pelaku servis mengangkat kaki tumpu atau melangkah keluar.")</f>
        <v>Wasit akan menunjuk langsung ke lingkaran servis untuk menunjukkan bahwa pelaku servis mengangkat kaki tumpu atau melangkah keluar.</v>
      </c>
    </row>
    <row r="64">
      <c r="A64" s="6" t="s">
        <v>848</v>
      </c>
      <c r="B64" s="6" t="s">
        <v>849</v>
      </c>
      <c r="C64" s="6" t="s">
        <v>850</v>
      </c>
      <c r="D64" s="6" t="s">
        <v>851</v>
      </c>
      <c r="F64" s="4" t="str">
        <f>IFERROR(__xludf.DUMMYFUNCTION("GOOGLETRANSLATE(A64, ""en"", ""id"")"),"Sebelum ""Sepak Takraw"" diadopsi, apa olahraga yang umum dikenal di Malaysia?")</f>
        <v>Sebelum "Sepak Takraw" diadopsi, apa olahraga yang umum dikenal di Malaysia?</v>
      </c>
      <c r="G64" s="4" t="str">
        <f>IFERROR(__xludf.DUMMYFUNCTION("GOOGLETRANSLATE(B64, ""en"", ""id"")"),"A) Takraw, B) Sepak Raga, C) Chinlone, D) Sipa")</f>
        <v>A) Takraw, B) Sepak Raga, C) Chinlone, D) Sipa</v>
      </c>
      <c r="H64" s="4" t="str">
        <f>IFERROR(__xludf.DUMMYFUNCTION("GOOGLETRANSLATE(C64, ""en"", ""id"")"),"B) Sepak Raga")</f>
        <v>B) Sepak Raga</v>
      </c>
      <c r="I64" s="4" t="str">
        <f>IFERROR(__xludf.DUMMYFUNCTION("GOOGLETRANSLATE(D64, ""en"", ""id"")"),"Sepak Raga (""tendang bola rotan"") adalah nama tradisional Melayu untuk permainan yang berkembang menjadi Sepak Takraw modern.")</f>
        <v>Sepak Raga ("tendang bola rotan") adalah nama tradisional Melayu untuk permainan yang berkembang menjadi Sepak Takraw modern.</v>
      </c>
    </row>
    <row r="65">
      <c r="A65" s="6" t="s">
        <v>852</v>
      </c>
      <c r="B65" s="6" t="s">
        <v>853</v>
      </c>
      <c r="C65" s="6" t="s">
        <v>854</v>
      </c>
      <c r="D65" s="6" t="s">
        <v>855</v>
      </c>
      <c r="F65" s="4" t="str">
        <f>IFERROR(__xludf.DUMMYFUNCTION("GOOGLETRANSLATE(A65, ""en"", ""id"")"),"Apa tujuan strategis utama dari ""drop shot""?")</f>
        <v>Apa tujuan strategis utama dari "drop shot"?</v>
      </c>
      <c r="G65" s="4" t="str">
        <f>IFERROR(__xludf.DUMMYFUNCTION("GOOGLETRANSLATE(B65, ""en"", ""id"")"),"A) Memukul bola dengan kekuatan maksimal, B) Mengirim bola tepat di atas net dengan kecepatan rendah, C) Mengincar sudut belakang lapangan, D) Melayani langsung ke pemain")</f>
        <v>A) Memukul bola dengan kekuatan maksimal, B) Mengirim bola tepat di atas net dengan kecepatan rendah, C) Mengincar sudut belakang lapangan, D) Melayani langsung ke pemain</v>
      </c>
      <c r="H65" s="4" t="str">
        <f>IFERROR(__xludf.DUMMYFUNCTION("GOOGLETRANSLATE(C65, ""en"", ""id"")"),"B) Mengirim bola tepat di atas net dengan kecepatan rendah")</f>
        <v>B) Mengirim bola tepat di atas net dengan kecepatan rendah</v>
      </c>
      <c r="I65" s="4" t="str">
        <f>IFERROR(__xludf.DUMMYFUNCTION("GOOGLETRANSLATE(D65, ""en"", ""id"")"),"Drop shot adalah pukulan lembut dan taktis yang ditujukan untuk mengejutkan lawan yang bertahan jauh di dalam lapangan.")</f>
        <v>Drop shot adalah pukulan lembut dan taktis yang ditujukan untuk mengejutkan lawan yang bertahan jauh di dalam lapangan.</v>
      </c>
    </row>
    <row r="66">
      <c r="A66" s="6" t="s">
        <v>856</v>
      </c>
      <c r="B66" s="6" t="s">
        <v>857</v>
      </c>
      <c r="C66" s="6" t="s">
        <v>858</v>
      </c>
      <c r="D66" s="6" t="s">
        <v>859</v>
      </c>
      <c r="F66" s="4" t="str">
        <f>IFERROR(__xludf.DUMMYFUNCTION("GOOGLETRANSLATE(A66, ""en"", ""id"")"),"Apakah pemain diperbolehkan memakai kacamata atau alat pelindung mata?")</f>
        <v>Apakah pemain diperbolehkan memakai kacamata atau alat pelindung mata?</v>
      </c>
      <c r="G66" s="4" t="str">
        <f>IFERROR(__xludf.DUMMYFUNCTION("GOOGLETRANSLATE(B66, ""en"", ""id"")"),"A) Tidak, tidak diperbolehkan memakai kacamata, B) Ya, tetapi hanya kacamata resep, C) Ya, termasuk kacamata olahraga, D) Hanya jika ada surat keterangan dokter")</f>
        <v>A) Tidak, tidak diperbolehkan memakai kacamata, B) Ya, tetapi hanya kacamata resep, C) Ya, termasuk kacamata olahraga, D) Hanya jika ada surat keterangan dokter</v>
      </c>
      <c r="H66" s="4" t="str">
        <f>IFERROR(__xludf.DUMMYFUNCTION("GOOGLETRANSLATE(C66, ""en"", ""id"")"),"C) Ya, termasuk kacamata olahraga")</f>
        <v>C) Ya, termasuk kacamata olahraga</v>
      </c>
      <c r="I66" s="4" t="str">
        <f>IFERROR(__xludf.DUMMYFUNCTION("GOOGLETRANSLATE(D66, ""en"", ""id"")"),"Pemain diperbolehkan mengenakan kacamata atau kacamata olahraga dengan risiko mereka sendiri.")</f>
        <v>Pemain diperbolehkan mengenakan kacamata atau kacamata olahraga dengan risiko mereka sendiri.</v>
      </c>
    </row>
    <row r="67">
      <c r="A67" s="6" t="s">
        <v>860</v>
      </c>
      <c r="B67" s="6" t="s">
        <v>861</v>
      </c>
      <c r="C67" s="6" t="s">
        <v>862</v>
      </c>
      <c r="D67" s="6" t="s">
        <v>863</v>
      </c>
      <c r="F67" s="4" t="str">
        <f>IFERROR(__xludf.DUMMYFUNCTION("GOOGLETRANSLATE(A67, ""en"", ""id"")"),"Apa yang terjadi jika seorang pemain dari Tim A menendang bola di bawah jaring dan mendarat di area Tim B?")</f>
        <v>Apa yang terjadi jika seorang pemain dari Tim A menendang bola di bawah jaring dan mendarat di area Tim B?</v>
      </c>
      <c r="G67" s="4" t="str">
        <f>IFERROR(__xludf.DUMMYFUNCTION("GOOGLETRANSLATE(B67, ""en"", ""id"")"),"A) Permainan berlanjut, B) Poin untuk Tim B, C) Poin untuk Tim A, D) Ulangan")</f>
        <v>A) Permainan berlanjut, B) Poin untuk Tim B, C) Poin untuk Tim A, D) Ulangan</v>
      </c>
      <c r="H67" s="4" t="str">
        <f>IFERROR(__xludf.DUMMYFUNCTION("GOOGLETRANSLATE(C67, ""en"", ""id"")"),"B) Poin untuk Tim B")</f>
        <v>B) Poin untuk Tim B</v>
      </c>
      <c r="I67" s="4" t="str">
        <f>IFERROR(__xludf.DUMMYFUNCTION("GOOGLETRANSLATE(D67, ""en"", ""id"")"),"Bola harus melewati net di antara kedua tiang net agar sah. Melewati net di bawah net merupakan pelanggaran.")</f>
        <v>Bola harus melewati net di antara kedua tiang net agar sah. Melewati net di bawah net merupakan pelanggaran.</v>
      </c>
    </row>
    <row r="68">
      <c r="A68" s="6" t="s">
        <v>864</v>
      </c>
      <c r="B68" s="6" t="s">
        <v>865</v>
      </c>
      <c r="C68" s="6" t="s">
        <v>866</v>
      </c>
      <c r="D68" s="6" t="s">
        <v>867</v>
      </c>
      <c r="F68" s="4" t="str">
        <f>IFERROR(__xludf.DUMMYFUNCTION("GOOGLETRANSLATE(A68, ""en"", ""id"")"),"Seberapa sering tim berganti sisi lapangan selama satu set?")</f>
        <v>Seberapa sering tim berganti sisi lapangan selama satu set?</v>
      </c>
      <c r="G68" s="4" t="str">
        <f>IFERROR(__xludf.DUMMYFUNCTION("GOOGLETRANSLATE(B68, ""en"", ""id"")"),"A) Mereka tidak berganti selama satu set, B) Pada poin 8, C) Pada poin 11, D) Hanya di antara set")</f>
        <v>A) Mereka tidak berganti selama satu set, B) Pada poin 8, C) Pada poin 11, D) Hanya di antara set</v>
      </c>
      <c r="H68" s="4" t="str">
        <f>IFERROR(__xludf.DUMMYFUNCTION("GOOGLETRANSLATE(C68, ""en"", ""id"")"),"C) Pada 11 poin")</f>
        <v>C) Pada 11 poin</v>
      </c>
      <c r="I68" s="4" t="str">
        <f>IFERROR(__xludf.DUMMYFUNCTION("GOOGLETRANSLATE(D68, ""en"", ""id"")"),"Dalam set standar 21 poin, tim berganti sisi ketika tim pertama mencapai 11 poin.")</f>
        <v>Dalam set standar 21 poin, tim berganti sisi ketika tim pertama mencapai 11 poin.</v>
      </c>
    </row>
    <row r="69">
      <c r="A69" s="6" t="s">
        <v>868</v>
      </c>
      <c r="B69" s="6" t="s">
        <v>869</v>
      </c>
      <c r="C69" s="6" t="s">
        <v>870</v>
      </c>
      <c r="D69" s="6" t="s">
        <v>871</v>
      </c>
      <c r="F69" s="4" t="str">
        <f>IFERROR(__xludf.DUMMYFUNCTION("GOOGLETRANSLATE(A69, ""en"", ""id"")"),"Apa yang dimaksud dengan ""service over"" dalam Sepak Takraw?")</f>
        <v>Apa yang dimaksud dengan "service over" dalam Sepak Takraw?</v>
      </c>
      <c r="G69" s="4" t="str">
        <f>IFERROR(__xludf.DUMMYFUNCTION("GOOGLETRANSLATE(B69, ""en"", ""id"")"),"A) Akhir dari suatu set, B) Kesalahan yang dilakukan oleh server, C) Perubahan servis ke tim lain, D) Servis yang terlalu tinggi")</f>
        <v>A) Akhir dari suatu set, B) Kesalahan yang dilakukan oleh server, C) Perubahan servis ke tim lain, D) Servis yang terlalu tinggi</v>
      </c>
      <c r="H69" s="4" t="str">
        <f>IFERROR(__xludf.DUMMYFUNCTION("GOOGLETRANSLATE(C69, ""en"", ""id"")"),"C) Perubahan layanan ke tim lain")</f>
        <v>C) Perubahan layanan ke tim lain</v>
      </c>
      <c r="I69" s="4" t="str">
        <f>IFERROR(__xludf.DUMMYFUNCTION("GOOGLETRANSLATE(D69, ""en"", ""id"")"),"Servis berpindah tangan setiap kali tim penerima menang poin.")</f>
        <v>Servis berpindah tangan setiap kali tim penerima menang poin.</v>
      </c>
    </row>
    <row r="70">
      <c r="A70" s="6" t="s">
        <v>872</v>
      </c>
      <c r="B70" s="6" t="s">
        <v>873</v>
      </c>
      <c r="C70" s="6" t="s">
        <v>74</v>
      </c>
      <c r="D70" s="6" t="s">
        <v>874</v>
      </c>
      <c r="F70" s="4" t="str">
        <f>IFERROR(__xludf.DUMMYFUNCTION("GOOGLETRANSLATE(A70, ""en"", ""id"")"),"Berapa jumlah pemain minimum yang dibutuhkan suatu tim agar dapat memulai pertandingan?")</f>
        <v>Berapa jumlah pemain minimum yang dibutuhkan suatu tim agar dapat memulai pertandingan?</v>
      </c>
      <c r="G70" s="4" t="str">
        <f>IFERROR(__xludf.DUMMYFUNCTION("GOOGLETRANSLATE(B70, ""en"", ""id"")"),"A) 1, B) 2, C) 3, D) Tim lengkap tidak diperlukan")</f>
        <v>A) 1, B) 2, C) 3, D) Tim lengkap tidak diperlukan</v>
      </c>
      <c r="H70" s="4" t="str">
        <f>IFERROR(__xludf.DUMMYFUNCTION("GOOGLETRANSLATE(C70, ""en"", ""id"")"),"C) 3")</f>
        <v>C) 3</v>
      </c>
      <c r="I70" s="4" t="str">
        <f>IFERROR(__xludf.DUMMYFUNCTION("GOOGLETRANSLATE(D70, ""en"", ""id"")"),"Suatu tim tidak dapat memulai pertandingan tanpa kehadiran tiga pemain lengkap.")</f>
        <v>Suatu tim tidak dapat memulai pertandingan tanpa kehadiran tiga pemain lengkap.</v>
      </c>
    </row>
    <row r="71">
      <c r="A71" s="6" t="s">
        <v>875</v>
      </c>
      <c r="B71" s="6" t="s">
        <v>876</v>
      </c>
      <c r="C71" s="6" t="s">
        <v>877</v>
      </c>
      <c r="D71" s="6" t="s">
        <v>878</v>
      </c>
      <c r="F71" s="4" t="str">
        <f>IFERROR(__xludf.DUMMYFUNCTION("GOOGLETRANSLATE(A71, ""en"", ""id"")"),"Jika rambut panjang seorang pemain menyentuh net saat melakukan spike, apakah itu suatu kesalahan?")</f>
        <v>Jika rambut panjang seorang pemain menyentuh net saat melakukan spike, apakah itu suatu kesalahan?</v>
      </c>
      <c r="G71" s="4" t="str">
        <f>IFERROR(__xludf.DUMMYFUNCTION("GOOGLETRANSLATE(B71, ""en"", ""id"")"),"A) Tidak, hanya tubuh yang dihitung, B) Ya, itu adalah kesalahan, C) Hanya jika itu mengalihkan perhatian lawan, D) Peringatan diberikan")</f>
        <v>A) Tidak, hanya tubuh yang dihitung, B) Ya, itu adalah kesalahan, C) Hanya jika itu mengalihkan perhatian lawan, D) Peringatan diberikan</v>
      </c>
      <c r="H71" s="4" t="str">
        <f>IFERROR(__xludf.DUMMYFUNCTION("GOOGLETRANSLATE(C71, ""en"", ""id"")"),"B) Ya, itu adalah sebuah kesalahan")</f>
        <v>B) Ya, itu adalah sebuah kesalahan</v>
      </c>
      <c r="I71" s="4" t="str">
        <f>IFERROR(__xludf.DUMMYFUNCTION("GOOGLETRANSLATE(D71, ""en"", ""id"")"),"Segala kontak dengan net, termasuk rambut atau pakaian longgar, selama reli merupakan kesalahan.")</f>
        <v>Segala kontak dengan net, termasuk rambut atau pakaian longgar, selama reli merupakan kesalahan.</v>
      </c>
    </row>
    <row r="72">
      <c r="A72" s="6" t="s">
        <v>879</v>
      </c>
      <c r="B72" s="6" t="s">
        <v>880</v>
      </c>
      <c r="C72" s="6" t="s">
        <v>881</v>
      </c>
      <c r="D72" s="6" t="s">
        <v>882</v>
      </c>
      <c r="F72" s="4" t="str">
        <f>IFERROR(__xludf.DUMMYFUNCTION("GOOGLETRANSLATE(A72, ""en"", ""id"")"),"Permainan Chinlone, yang populer di Myanmar, dianggap sebagai nenek moyang Sepak Takraw yang bersifat non-kompetitif. Apa tujuan utamanya?")</f>
        <v>Permainan Chinlone, yang populer di Myanmar, dianggap sebagai nenek moyang Sepak Takraw yang bersifat non-kompetitif. Apa tujuan utamanya?</v>
      </c>
      <c r="G72" s="4" t="str">
        <f>IFERROR(__xludf.DUMMYFUNCTION("GOOGLETRANSLATE(B72, ""en"", ""id"")"),"A) Untuk mencetak poin, B) Untuk menjaga bola tetap melayang dengan anggun bersama sekelompok pemain, C) Untuk menendang bola melewati ring, D) Untuk menjadi orang terakhir yang menyentuh bola")</f>
        <v>A) Untuk mencetak poin, B) Untuk menjaga bola tetap melayang dengan anggun bersama sekelompok pemain, C) Untuk menendang bola melewati ring, D) Untuk menjadi orang terakhir yang menyentuh bola</v>
      </c>
      <c r="H72" s="4" t="str">
        <f>IFERROR(__xludf.DUMMYFUNCTION("GOOGLETRANSLATE(C72, ""en"", ""id"")"),"B) Untuk menjaga bola tetap melayang dengan anggun bersama sekelompok pemain")</f>
        <v>B) Untuk menjaga bola tetap melayang dengan anggun bersama sekelompok pemain</v>
      </c>
      <c r="I72" s="4" t="str">
        <f>IFERROR(__xludf.DUMMYFUNCTION("GOOGLETRANSLATE(D72, ""en"", ""id"")"),"Chinlone adalah permainan kooperatif yang berfokus pada seni dan kerja sama tim, bukan pada mencetak skor melawan lawan.")</f>
        <v>Chinlone adalah permainan kooperatif yang berfokus pada seni dan kerja sama tim, bukan pada mencetak skor melawan lawan.</v>
      </c>
    </row>
    <row r="73">
      <c r="A73" s="6" t="s">
        <v>883</v>
      </c>
      <c r="B73" s="6" t="s">
        <v>884</v>
      </c>
      <c r="C73" s="6" t="s">
        <v>885</v>
      </c>
      <c r="D73" s="6" t="s">
        <v>886</v>
      </c>
      <c r="F73" s="4" t="str">
        <f>IFERROR(__xludf.DUMMYFUNCTION("GOOGLETRANSLATE(A73, ""en"", ""id"")"),"Apa isyarat tangan wasit untuk ""bola keluar batas""?")</f>
        <v>Apa isyarat tangan wasit untuk "bola keluar batas"?</v>
      </c>
      <c r="G73" s="4" t="str">
        <f>IFERROR(__xludf.DUMMYFUNCTION("GOOGLETRANSLATE(B73, ""en"", ""id"")"),"A) Menunjuk tangan secara vertikal ke atas, B) Menunjuk tangan secara horizontal ke samping, C) Membuat bentuk T dengan tangan, D) Menyeka tangan pada baju")</f>
        <v>A) Menunjuk tangan secara vertikal ke atas, B) Menunjuk tangan secara horizontal ke samping, C) Membuat bentuk T dengan tangan, D) Menyeka tangan pada baju</v>
      </c>
      <c r="H73" s="4" t="str">
        <f>IFERROR(__xludf.DUMMYFUNCTION("GOOGLETRANSLATE(C73, ""en"", ""id"")"),"B) Menunjuk tangan secara horizontal ke samping")</f>
        <v>B) Menunjuk tangan secara horizontal ke samping</v>
      </c>
      <c r="I73" s="4" t="str">
        <f>IFERROR(__xludf.DUMMYFUNCTION("GOOGLETRANSLATE(D73, ""en"", ""id"")"),"Wasit akan merentangkan lengannya secara horizontal untuk memberi sinyal bahwa bola telah mendarat di luar garis lapangan.")</f>
        <v>Wasit akan merentangkan lengannya secara horizontal untuk memberi sinyal bahwa bola telah mendarat di luar garis lapangan.</v>
      </c>
    </row>
    <row r="74">
      <c r="A74" s="6" t="s">
        <v>887</v>
      </c>
      <c r="B74" s="6" t="s">
        <v>888</v>
      </c>
      <c r="C74" s="6" t="s">
        <v>640</v>
      </c>
      <c r="D74" s="6" t="s">
        <v>889</v>
      </c>
      <c r="F74" s="4" t="str">
        <f>IFERROR(__xludf.DUMMYFUNCTION("GOOGLETRANSLATE(A74, ""en"", ""id"")"),"Apa yang terjadi jika bola yang diservis mengenai rekan setim server sebelum melewati net?")</f>
        <v>Apa yang terjadi jika bola yang diservis mengenai rekan setim server sebelum melewati net?</v>
      </c>
      <c r="G74" s="4" t="str">
        <f>IFERROR(__xludf.DUMMYFUNCTION("GOOGLETRANSLATE(B74, ""en"", ""id"")"),"A) Lemparan ulang diperbolehkan, B) Kesalahan, C) Putaran ulang, D) Peringatan")</f>
        <v>A) Lemparan ulang diperbolehkan, B) Kesalahan, C) Putaran ulang, D) Peringatan</v>
      </c>
      <c r="H74" s="4" t="str">
        <f>IFERROR(__xludf.DUMMYFUNCTION("GOOGLETRANSLATE(C74, ""en"", ""id"")"),"B) Kesalahan")</f>
        <v>B) Kesalahan</v>
      </c>
      <c r="I74" s="4" t="str">
        <f>IFERROR(__xludf.DUMMYFUNCTION("GOOGLETRANSLATE(D74, ""en"", ""id"")"),"Bola harus melaju langsung dari tendangan server melewati net.")</f>
        <v>Bola harus melaju langsung dari tendangan server melewati net.</v>
      </c>
    </row>
    <row r="75">
      <c r="A75" s="6" t="s">
        <v>890</v>
      </c>
      <c r="B75" s="6" t="s">
        <v>891</v>
      </c>
      <c r="C75" s="6" t="s">
        <v>892</v>
      </c>
      <c r="D75" s="6" t="s">
        <v>893</v>
      </c>
      <c r="F75" s="4" t="str">
        <f>IFERROR(__xludf.DUMMYFUNCTION("GOOGLETRANSLATE(A75, ""en"", ""id"")"),"Apa istilah untuk saat seorang pemain menggunakan lututnya untuk mengontrol atau mengoper bola?")</f>
        <v>Apa istilah untuk saat seorang pemain menggunakan lututnya untuk mengontrol atau mengoper bola?</v>
      </c>
      <c r="G75" s="4" t="str">
        <f>IFERROR(__xludf.DUMMYFUNCTION("GOOGLETRANSLATE(B75, ""en"", ""id"")"),"A) Tendangan lutut, B) Umpan lutut, C) Benturan lutut, D) Set lutut")</f>
        <v>A) Tendangan lutut, B) Umpan lutut, C) Benturan lutut, D) Set lutut</v>
      </c>
      <c r="H75" s="4" t="str">
        <f>IFERROR(__xludf.DUMMYFUNCTION("GOOGLETRANSLATE(C75, ""en"", ""id"")"),"B) Umpan lutut")</f>
        <v>B) Umpan lutut</v>
      </c>
      <c r="I75" s="4" t="str">
        <f>IFERROR(__xludf.DUMMYFUNCTION("GOOGLETRANSLATE(D75, ""en"", ""id"")"),"Ini adalah teknik yang umum dan legal, terutama untuk menerima dan mengendalikan bola.")</f>
        <v>Ini adalah teknik yang umum dan legal, terutama untuk menerima dan mengendalikan bola.</v>
      </c>
    </row>
    <row r="76">
      <c r="A76" s="6" t="s">
        <v>894</v>
      </c>
      <c r="B76" s="6" t="s">
        <v>895</v>
      </c>
      <c r="C76" s="6" t="s">
        <v>896</v>
      </c>
      <c r="D76" s="6" t="s">
        <v>897</v>
      </c>
      <c r="F76" s="4" t="str">
        <f>IFERROR(__xludf.DUMMYFUNCTION("GOOGLETRANSLATE(A76, ""en"", ""id"")"),"Apakah seorang pemain diperbolehkan berteriak atau membuat suara keras saat rekan setimnya memukul bola?")</f>
        <v>Apakah seorang pemain diperbolehkan berteriak atau membuat suara keras saat rekan setimnya memukul bola?</v>
      </c>
      <c r="G76" s="4" t="str">
        <f>IFERROR(__xludf.DUMMYFUNCTION("GOOGLETRANSLATE(B76, ""en"", ""id"")"),"A) Ya, itu dianggap sebagai dorongan, B) Tidak, itu adalah kesalahan pengalihan perhatian, C) Hanya jika suara tidak diarahkan ke lawan, D) Peringatan dikeluarkan")</f>
        <v>A) Ya, itu dianggap sebagai dorongan, B) Tidak, itu adalah kesalahan pengalihan perhatian, C) Hanya jika suara tidak diarahkan ke lawan, D) Peringatan dikeluarkan</v>
      </c>
      <c r="H76" s="4" t="str">
        <f>IFERROR(__xludf.DUMMYFUNCTION("GOOGLETRANSLATE(C76, ""en"", ""id"")"),"A) Ya, itu dianggap sebagai dorongan.")</f>
        <v>A) Ya, itu dianggap sebagai dorongan.</v>
      </c>
      <c r="I76" s="4" t="str">
        <f>IFERROR(__xludf.DUMMYFUNCTION("GOOGLETRANSLATE(D76, ""en"", ""id"")"),"Komunikasi antar rekan satu tim diperbolehkan. Kesalahan hanya terjadi jika teriakan ditujukan untuk mengalihkan perhatian lawan.")</f>
        <v>Komunikasi antar rekan satu tim diperbolehkan. Kesalahan hanya terjadi jika teriakan ditujukan untuk mengalihkan perhatian lawan.</v>
      </c>
    </row>
    <row r="77">
      <c r="A77" s="6" t="s">
        <v>898</v>
      </c>
      <c r="B77" s="6" t="s">
        <v>899</v>
      </c>
      <c r="C77" s="6" t="s">
        <v>900</v>
      </c>
      <c r="D77" s="6" t="s">
        <v>901</v>
      </c>
      <c r="F77" s="4" t="str">
        <f>IFERROR(__xludf.DUMMYFUNCTION("GOOGLETRANSLATE(A77, ""en"", ""id"")"),"Jika sebuah bola tersangkut di jaring saat reli, apa keputusannya?")</f>
        <v>Jika sebuah bola tersangkut di jaring saat reli, apa keputusannya?</v>
      </c>
      <c r="G77" s="4" t="str">
        <f>IFERROR(__xludf.DUMMYFUNCTION("GOOGLETRANSLATE(B77, ""en"", ""id"")"),"A) Tunjuk ke tim yang memukulnya, B) ""Let"" dipanggil dan poin diulang, C) Tunjuk ke tim lain, D) Tim pertama yang menyentuhnya lagi memenangkan poin")</f>
        <v>A) Tunjuk ke tim yang memukulnya, B) "Let" dipanggil dan poin diulang, C) Tunjuk ke tim lain, D) Tim pertama yang menyentuhnya lagi memenangkan poin</v>
      </c>
      <c r="H77" s="4" t="str">
        <f>IFERROR(__xludf.DUMMYFUNCTION("GOOGLETRANSLATE(C77, ""en"", ""id"")"),"B) ""Let"" dipanggil dan poin diputar ulang")</f>
        <v>B) "Let" dipanggil dan poin diputar ulang</v>
      </c>
      <c r="I77" s="4" t="str">
        <f>IFERROR(__xludf.DUMMYFUNCTION("GOOGLETRANSLATE(D77, ""en"", ""id"")"),"Jika bola tersangkut di jaring, reli tidak dapat diselesaikan, sehingga pertandingan ulang diperintahkan.")</f>
        <v>Jika bola tersangkut di jaring, reli tidak dapat diselesaikan, sehingga pertandingan ulang diperintahkan.</v>
      </c>
    </row>
    <row r="78">
      <c r="A78" s="6" t="s">
        <v>902</v>
      </c>
      <c r="B78" s="6" t="s">
        <v>903</v>
      </c>
      <c r="C78" s="6" t="s">
        <v>904</v>
      </c>
      <c r="D78" s="6" t="s">
        <v>905</v>
      </c>
      <c r="F78" s="4" t="str">
        <f>IFERROR(__xludf.DUMMYFUNCTION("GOOGLETRANSLATE(A78, ""en"", ""id"")"),"Jenis alas kaki apa yang biasanya dikenakan oleh pemain kompetitif?")</f>
        <v>Jenis alas kaki apa yang biasanya dikenakan oleh pemain kompetitif?</v>
      </c>
      <c r="G78" s="4" t="str">
        <f>IFERROR(__xludf.DUMMYFUNCTION("GOOGLETRANSLATE(B78, ""en"", ""id"")"),"A) Sepatu bot berat, B) Tanpa alas kaki, C) Sepatu khusus ringan bersol karet, D) Sepatu berpaku")</f>
        <v>A) Sepatu bot berat, B) Tanpa alas kaki, C) Sepatu khusus ringan bersol karet, D) Sepatu berpaku</v>
      </c>
      <c r="H78" s="4" t="str">
        <f>IFERROR(__xludf.DUMMYFUNCTION("GOOGLETRANSLATE(C78, ""en"", ""id"")"),"C) Sepatu khusus ringan bersol karet")</f>
        <v>C) Sepatu khusus ringan bersol karet</v>
      </c>
      <c r="I78" s="4" t="str">
        <f>IFERROR(__xludf.DUMMYFUNCTION("GOOGLETRANSLATE(D78, ""en"", ""id"")"),"Pemain mengenakan sepatu khusus yang ringan, fleksibel, dan memberikan cengkeraman yang baik untuk melompat dan menendang.")</f>
        <v>Pemain mengenakan sepatu khusus yang ringan, fleksibel, dan memberikan cengkeraman yang baik untuk melompat dan menendang.</v>
      </c>
    </row>
    <row r="79">
      <c r="A79" s="6" t="s">
        <v>906</v>
      </c>
      <c r="B79" s="6" t="s">
        <v>907</v>
      </c>
      <c r="C79" s="6" t="s">
        <v>908</v>
      </c>
      <c r="D79" s="6" t="s">
        <v>909</v>
      </c>
      <c r="F79" s="4" t="str">
        <f>IFERROR(__xludf.DUMMYFUNCTION("GOOGLETRANSLATE(A79, ""en"", ""id"")"),"Istilah Tekong secara khusus merujuk pada pemain yang mana?")</f>
        <v>Istilah Tekong secara khusus merujuk pada pemain yang mana?</v>
      </c>
      <c r="G79" s="4" t="str">
        <f>IFERROR(__xludf.DUMMYFUNCTION("GOOGLETRANSLATE(B79, ""en"", ""id"")"),"A) Kapten, B) Spiker terbaik, C) Pemain yang melakukan servis dari belakang, D) Pemain yang mengatur bola")</f>
        <v>A) Kapten, B) Spiker terbaik, C) Pemain yang melakukan servis dari belakang, D) Pemain yang mengatur bola</v>
      </c>
      <c r="H79" s="4" t="str">
        <f>IFERROR(__xludf.DUMMYFUNCTION("GOOGLETRANSLATE(C79, ""en"", ""id"")"),"C) Pemain yang melakukan servis dari belakang")</f>
        <v>C) Pemain yang melakukan servis dari belakang</v>
      </c>
      <c r="I79" s="4" t="str">
        <f>IFERROR(__xludf.DUMMYFUNCTION("GOOGLETRANSLATE(D79, ""en"", ""id"")"),"Tekong adalah nama resmi untuk posisi server.")</f>
        <v>Tekong adalah nama resmi untuk posisi server.</v>
      </c>
    </row>
    <row r="80">
      <c r="A80" s="6" t="s">
        <v>910</v>
      </c>
      <c r="B80" s="6" t="s">
        <v>911</v>
      </c>
      <c r="C80" s="6" t="s">
        <v>912</v>
      </c>
      <c r="D80" s="6" t="s">
        <v>913</v>
      </c>
      <c r="F80" s="4" t="str">
        <f>IFERROR(__xludf.DUMMYFUNCTION("GOOGLETRANSLATE(A80, ""en"", ""id"")"),"Berapa jumlah maksimal pergantian pemain yang dapat dilakukan dalam satu pertandingan (di semua set)?")</f>
        <v>Berapa jumlah maksimal pergantian pemain yang dapat dilakukan dalam satu pertandingan (di semua set)?</v>
      </c>
      <c r="G80" s="4" t="str">
        <f>IFERROR(__xludf.DUMMYFUNCTION("GOOGLETRANSLATE(B80, ""en"", ""id"")"),"A) 2, B) 3, C) 4, D) 1 per set")</f>
        <v>A) 2, B) 3, C) 4, D) 1 per set</v>
      </c>
      <c r="H80" s="4" t="str">
        <f>IFERROR(__xludf.DUMMYFUNCTION("GOOGLETRANSLATE(C80, ""en"", ""id"")"),"D) 1 per set")</f>
        <v>D) 1 per set</v>
      </c>
      <c r="I80" s="4" t="str">
        <f>IFERROR(__xludf.DUMMYFUNCTION("GOOGLETRANSLATE(D80, ""en"", ""id"")"),"Satu tim dapat melakukan satu pergantian pemain per set. Jika set ketiga telah dimainkan, pergantian pemain lain diperbolehkan.")</f>
        <v>Satu tim dapat melakukan satu pergantian pemain per set. Jika set ketiga telah dimainkan, pergantian pemain lain diperbolehkan.</v>
      </c>
    </row>
    <row r="81">
      <c r="A81" s="6" t="s">
        <v>914</v>
      </c>
      <c r="B81" s="6" t="s">
        <v>915</v>
      </c>
      <c r="C81" s="6" t="s">
        <v>838</v>
      </c>
      <c r="D81" s="6" t="s">
        <v>916</v>
      </c>
      <c r="F81" s="4" t="str">
        <f>IFERROR(__xludf.DUMMYFUNCTION("GOOGLETRANSLATE(A81, ""en"", ""id"")"),"Jika bola mengenai wasit atau kursi wasit saat permainan berlangsung, apa keputusannya?")</f>
        <v>Jika bola mengenai wasit atau kursi wasit saat permainan berlangsung, apa keputusannya?</v>
      </c>
      <c r="G81" s="4" t="str">
        <f>IFERROR(__xludf.DUMMYFUNCTION("GOOGLETRANSLATE(B81, ""en"", ""id"")"),"A) Kesalahan pada tim yang memukulnya, B) Poin untuk tim yang memukulnya, C) ""Let"" dipanggil dan poin diputar ulang, D) Permainan berlanjut")</f>
        <v>A) Kesalahan pada tim yang memukulnya, B) Poin untuk tim yang memukulnya, C) "Let" dipanggil dan poin diputar ulang, D) Permainan berlanjut</v>
      </c>
      <c r="H81" s="4" t="str">
        <f>IFERROR(__xludf.DUMMYFUNCTION("GOOGLETRANSLATE(C81, ""en"", ""id"")"),"C) ""Let"" dipanggil dan poin diputar ulang")</f>
        <v>C) "Let" dipanggil dan poin diputar ulang</v>
      </c>
      <c r="I81" s="4" t="str">
        <f>IFERROR(__xludf.DUMMYFUNCTION("GOOGLETRANSLATE(D81, ""en"", ""id"")"),"Wasit dan kursinya dianggap sebagai penghalang luar, jadi kontak mengakibatkan tayangan ulang.")</f>
        <v>Wasit dan kursinya dianggap sebagai penghalang luar, jadi kontak mengakibatkan tayangan ulang.</v>
      </c>
    </row>
    <row r="82">
      <c r="A82" s="6" t="s">
        <v>917</v>
      </c>
      <c r="B82" s="6" t="s">
        <v>918</v>
      </c>
      <c r="C82" s="6" t="s">
        <v>919</v>
      </c>
      <c r="D82" s="6" t="s">
        <v>920</v>
      </c>
      <c r="F82" s="4" t="str">
        <f>IFERROR(__xludf.DUMMYFUNCTION("GOOGLETRANSLATE(A82, ""en"", ""id"")"),"Pada set ketiga yang menentukan (tie-breaker), kapan tim berganti sisi?")</f>
        <v>Pada set ketiga yang menentukan (tie-breaker), kapan tim berganti sisi?</v>
      </c>
      <c r="G82" s="4" t="str">
        <f>IFERROR(__xludf.DUMMYFUNCTION("GOOGLETRANSLATE(B82, ""en"", ""id"")"),"A) Mereka tidak bertukar, B) Ketika tim pertama mencetak 8 poin, C) Ketika tim pertama mencetak 11 poin, D) Ketika tim pertama mencetak 15 poin")</f>
        <v>A) Mereka tidak bertukar, B) Ketika tim pertama mencetak 8 poin, C) Ketika tim pertama mencetak 11 poin, D) Ketika tim pertama mencetak 15 poin</v>
      </c>
      <c r="H82" s="4" t="str">
        <f>IFERROR(__xludf.DUMMYFUNCTION("GOOGLETRANSLATE(C82, ""en"", ""id"")"),"B) Ketika tim pertama memperoleh 8 poin")</f>
        <v>B) Ketika tim pertama memperoleh 8 poin</v>
      </c>
      <c r="I82" s="4" t="str">
        <f>IFERROR(__xludf.DUMMYFUNCTION("GOOGLETRANSLATE(D82, ""en"", ""id"")"),"Dalam set pemecah seri 15 poin, pergantian sisi terjadi ketika satu tim mencapai 8 poin.")</f>
        <v>Dalam set pemecah seri 15 poin, pergantian sisi terjadi ketika satu tim mencapai 8 poin.</v>
      </c>
    </row>
    <row r="83">
      <c r="A83" s="6" t="s">
        <v>921</v>
      </c>
      <c r="B83" s="6" t="s">
        <v>922</v>
      </c>
      <c r="C83" s="6" t="s">
        <v>923</v>
      </c>
      <c r="D83" s="6" t="s">
        <v>924</v>
      </c>
      <c r="F83" s="4" t="str">
        <f>IFERROR(__xludf.DUMMYFUNCTION("GOOGLETRANSLATE(A83, ""en"", ""id"")"),"Apa itu ""Horse Kick Serve""?")</f>
        <v>Apa itu "Horse Kick Serve"?</v>
      </c>
      <c r="G83" s="4" t="str">
        <f>IFERROR(__xludf.DUMMYFUNCTION("GOOGLETRANSLATE(B83, ""en"", ""id"")"),"A) Servis dimana bola ditendang sangat rendah, B) Servis yang ditendang dengan tumit, C) Servis lompat tinggi dan kuat dimana punggung pemain menghadap net, D) Servis palsu")</f>
        <v>A) Servis dimana bola ditendang sangat rendah, B) Servis yang ditendang dengan tumit, C) Servis lompat tinggi dan kuat dimana punggung pemain menghadap net, D) Servis palsu</v>
      </c>
      <c r="H83" s="4" t="str">
        <f>IFERROR(__xludf.DUMMYFUNCTION("GOOGLETRANSLATE(C83, ""en"", ""id"")"),"C) Servis lompat tinggi dan kuat dimana punggung pemain menghadap net")</f>
        <v>C) Servis lompat tinggi dan kuat dimana punggung pemain menghadap net</v>
      </c>
      <c r="I83" s="4" t="str">
        <f>IFERROR(__xludf.DUMMYFUNCTION("GOOGLETRANSLATE(D83, ""en"", ""id"")"),"Ini adalah servis menipu tingkat lanjut di mana pemain melompat dan menendang bola ke belakang melewati kepalanya.")</f>
        <v>Ini adalah servis menipu tingkat lanjut di mana pemain melompat dan menendang bola ke belakang melewati kepalanya.</v>
      </c>
    </row>
    <row r="84">
      <c r="A84" s="6" t="s">
        <v>925</v>
      </c>
      <c r="B84" s="6" t="s">
        <v>926</v>
      </c>
      <c r="C84" s="6" t="s">
        <v>927</v>
      </c>
      <c r="D84" s="6" t="s">
        <v>928</v>
      </c>
      <c r="F84" s="4" t="str">
        <f>IFERROR(__xludf.DUMMYFUNCTION("GOOGLETRANSLATE(A84, ""en"", ""id"")"),"Apakah pemain diperbolehkan memiliki nomor pada kaus mereka?")</f>
        <v>Apakah pemain diperbolehkan memiliki nomor pada kaus mereka?</v>
      </c>
      <c r="G84" s="4" t="str">
        <f>IFERROR(__xludf.DUMMYFUNCTION("GOOGLETRANSLATE(B84, ""en"", ""id"")"),"A) Tidak, kaus harus polos, B) Ya, tapi hanya kaptennya, C) Ya, semua pemain harus memiliki nomor unik, D) Hanya di pertandingan internasional")</f>
        <v>A) Tidak, kaus harus polos, B) Ya, tapi hanya kaptennya, C) Ya, semua pemain harus memiliki nomor unik, D) Hanya di pertandingan internasional</v>
      </c>
      <c r="H84" s="4" t="str">
        <f>IFERROR(__xludf.DUMMYFUNCTION("GOOGLETRANSLATE(C84, ""en"", ""id"")"),"C) Ya, semua pemain harus memiliki nomor unik")</f>
        <v>C) Ya, semua pemain harus memiliki nomor unik</v>
      </c>
      <c r="I84" s="4" t="str">
        <f>IFERROR(__xludf.DUMMYFUNCTION("GOOGLETRANSLATE(D84, ""en"", ""id"")"),"Dalam kompetisi resmi, pemain diharuskan mengenakan kaus bernomor untuk identifikasi.")</f>
        <v>Dalam kompetisi resmi, pemain diharuskan mengenakan kaus bernomor untuk identifikasi.</v>
      </c>
    </row>
    <row r="85">
      <c r="A85" s="6" t="s">
        <v>929</v>
      </c>
      <c r="B85" s="6" t="s">
        <v>930</v>
      </c>
      <c r="C85" s="6" t="s">
        <v>931</v>
      </c>
      <c r="D85" s="6" t="s">
        <v>932</v>
      </c>
      <c r="F85" s="4" t="str">
        <f>IFERROR(__xludf.DUMMYFUNCTION("GOOGLETRANSLATE(A85, ""en"", ""id"")"),"Di bagian lapangan manakah seperempat lingkaran berada?")</f>
        <v>Di bagian lapangan manakah seperempat lingkaran berada?</v>
      </c>
      <c r="G85" s="4" t="str">
        <f>IFERROR(__xludf.DUMMYFUNCTION("GOOGLETRANSLATE(B85, ""en"", ""id"")"),"A) Di sudut belakang, B) Di persimpangan garis tengah dan garis samping, C) Di tengah setiap babak, D) Di depan dekat gawang")</f>
        <v>A) Di sudut belakang, B) Di persimpangan garis tengah dan garis samping, C) Di tengah setiap babak, D) Di depan dekat gawang</v>
      </c>
      <c r="H85" s="4" t="str">
        <f>IFERROR(__xludf.DUMMYFUNCTION("GOOGLETRANSLATE(C85, ""en"", ""id"")"),"B) Di perpotongan garis tengah dan garis samping")</f>
        <v>B) Di perpotongan garis tengah dan garis samping</v>
      </c>
      <c r="I85" s="4" t="str">
        <f>IFERROR(__xludf.DUMMYFUNCTION("GOOGLETRANSLATE(D85, ""en"", ""id"")"),"Seperempat lingkaran, untuk pemain dalam, digambar di setiap ujung garis tengah.")</f>
        <v>Seperempat lingkaran, untuk pemain dalam, digambar di setiap ujung garis tengah.</v>
      </c>
    </row>
    <row r="86">
      <c r="A86" s="6" t="s">
        <v>933</v>
      </c>
      <c r="B86" s="6" t="s">
        <v>934</v>
      </c>
      <c r="C86" s="6" t="s">
        <v>935</v>
      </c>
      <c r="D86" s="6" t="s">
        <v>936</v>
      </c>
      <c r="F86" s="4" t="str">
        <f>IFERROR(__xludf.DUMMYFUNCTION("GOOGLETRANSLATE(A86, ""en"", ""id"")"),"Poin yang diperoleh langsung dari servis tanpa lawan menyentuh bola disebut apa?")</f>
        <v>Poin yang diperoleh langsung dari servis tanpa lawan menyentuh bola disebut apa?</v>
      </c>
      <c r="G86" s="4" t="str">
        <f>IFERROR(__xludf.DUMMYFUNCTION("GOOGLETRANSLATE(B86, ""en"", ""id"")"),"A) Pembunuh, B) Pemenang, C) Servis ace, D) Titik bersih")</f>
        <v>A) Pembunuh, B) Pemenang, C) Servis ace, D) Titik bersih</v>
      </c>
      <c r="H86" s="4" t="str">
        <f>IFERROR(__xludf.DUMMYFUNCTION("GOOGLETRANSLATE(C86, ""en"", ""id"")"),"C) Servis yang hebat")</f>
        <v>C) Servis yang hebat</v>
      </c>
      <c r="I86" s="4" t="str">
        <f>IFERROR(__xludf.DUMMYFUNCTION("GOOGLETRANSLATE(D86, ""en"", ""id"")"),"Mirip dengan bola voli, ""ace"" adalah servis yang langsung menghasilkan poin.")</f>
        <v>Mirip dengan bola voli, "ace" adalah servis yang langsung menghasilkan poin.</v>
      </c>
    </row>
    <row r="87">
      <c r="A87" s="6" t="s">
        <v>937</v>
      </c>
      <c r="B87" s="6" t="s">
        <v>938</v>
      </c>
      <c r="C87" s="6" t="s">
        <v>939</v>
      </c>
      <c r="D87" s="6" t="s">
        <v>940</v>
      </c>
      <c r="F87" s="4" t="str">
        <f>IFERROR(__xludf.DUMMYFUNCTION("GOOGLETRANSLATE(A87, ""en"", ""id"")"),"Apa hukumnya jika sepatu pemain terlepas saat reli?")</f>
        <v>Apa hukumnya jika sepatu pemain terlepas saat reli?</v>
      </c>
      <c r="G87" s="4" t="str">
        <f>IFERROR(__xludf.DUMMYFUNCTION("GOOGLETRANSLATE(B87, ""en"", ""id"")"),"A) Pemain harus berhenti, B) Permainan berlanjut, C) Terjadi kesalahan, D) Ulangan diperintahkan")</f>
        <v>A) Pemain harus berhenti, B) Permainan berlanjut, C) Terjadi kesalahan, D) Ulangan diperintahkan</v>
      </c>
      <c r="H87" s="4" t="str">
        <f>IFERROR(__xludf.DUMMYFUNCTION("GOOGLETRANSLATE(C87, ""en"", ""id"")"),"B) Permainan berlanjut")</f>
        <v>B) Permainan berlanjut</v>
      </c>
      <c r="I87" s="4" t="str">
        <f>IFERROR(__xludf.DUMMYFUNCTION("GOOGLETRANSLATE(D87, ""en"", ""id"")"),"Kehilangan perlengkapan seperti sepatu bukanlah suatu kesalahan, dan reli terus berlanjut hingga poin berakhir.")</f>
        <v>Kehilangan perlengkapan seperti sepatu bukanlah suatu kesalahan, dan reli terus berlanjut hingga poin berakhir.</v>
      </c>
    </row>
    <row r="88">
      <c r="A88" s="6" t="s">
        <v>941</v>
      </c>
      <c r="B88" s="6" t="s">
        <v>942</v>
      </c>
      <c r="C88" s="6" t="s">
        <v>943</v>
      </c>
      <c r="D88" s="6" t="s">
        <v>944</v>
      </c>
      <c r="F88" s="4" t="str">
        <f>IFERROR(__xludf.DUMMYFUNCTION("GOOGLETRANSLATE(A88, ""en"", ""id"")"),"Selama reli, bisakah seorang pemain meninggalkan lapangan untuk memainkan bola?")</f>
        <v>Selama reli, bisakah seorang pemain meninggalkan lapangan untuk memainkan bola?</v>
      </c>
      <c r="G88" s="4" t="str">
        <f>IFERROR(__xludf.DUMMYFUNCTION("GOOGLETRANSLATE(B88, ""en"", ""id"")"),"A) Tidak, pemain harus tetap berada di dalam garis batas, B) Ya, selama mereka tidak melewati garis tengah yang diperpanjang, C) Hanya kapten yang boleh, D) Hanya untuk mengambil bola")</f>
        <v>A) Tidak, pemain harus tetap berada di dalam garis batas, B) Ya, selama mereka tidak melewati garis tengah yang diperpanjang, C) Hanya kapten yang boleh, D) Hanya untuk mengambil bola</v>
      </c>
      <c r="H88" s="4" t="str">
        <f>IFERROR(__xludf.DUMMYFUNCTION("GOOGLETRANSLATE(C88, ""en"", ""id"")"),"B) Ya, selama tidak melewati garis tengah yang diperpanjang")</f>
        <v>B) Ya, selama tidak melewati garis tengah yang diperpanjang</v>
      </c>
      <c r="I88" s="4" t="str">
        <f>IFERROR(__xludf.DUMMYFUNCTION("GOOGLETRANSLATE(D88, ""en"", ""id"")"),"Seorang pemain diperbolehkan keluar dari lapangannya sendiri untuk memainkan bola, misalnya, untuk menyelamatkan umpan melebar dari rekan setimnya.")</f>
        <v>Seorang pemain diperbolehkan keluar dari lapangannya sendiri untuk memainkan bola, misalnya, untuk menyelamatkan umpan melebar dari rekan setimnya.</v>
      </c>
    </row>
    <row r="89">
      <c r="A89" s="6" t="s">
        <v>945</v>
      </c>
      <c r="B89" s="6" t="s">
        <v>946</v>
      </c>
      <c r="C89" s="6" t="s">
        <v>947</v>
      </c>
      <c r="D89" s="6" t="s">
        <v>948</v>
      </c>
      <c r="F89" s="4" t="str">
        <f>IFERROR(__xludf.DUMMYFUNCTION("GOOGLETRANSLATE(A89, ""en"", ""id"")"),"Apa yang dilakukan wasit untuk memberi tanda dimulainya suatu poin?")</f>
        <v>Apa yang dilakukan wasit untuk memberi tanda dimulainya suatu poin?</v>
      </c>
      <c r="G89" s="4" t="str">
        <f>IFERROR(__xludf.DUMMYFUNCTION("GOOGLETRANSLATE(B89, ""en"", ""id"")"),"A) Meniup peluit, B) Berteriak ""Main!"", C) Mengumumkan skor saat ini, D) Menurunkan tangan mereka")</f>
        <v>A) Meniup peluit, B) Berteriak "Main!", C) Mengumumkan skor saat ini, D) Menurunkan tangan mereka</v>
      </c>
      <c r="H89" s="4" t="str">
        <f>IFERROR(__xludf.DUMMYFUNCTION("GOOGLETRANSLATE(C89, ""en"", ""id"")"),"C) Mengumumkan skor saat ini")</f>
        <v>C) Mengumumkan skor saat ini</v>
      </c>
      <c r="I89" s="4" t="str">
        <f>IFERROR(__xludf.DUMMYFUNCTION("GOOGLETRANSLATE(D89, ""en"", ""id"")"),"Wasit yang mengumumkan skor merupakan sinyal bagi pelaku servis bahwa mereka boleh memulai gerakan servis.")</f>
        <v>Wasit yang mengumumkan skor merupakan sinyal bagi pelaku servis bahwa mereka boleh memulai gerakan servis.</v>
      </c>
    </row>
    <row r="90">
      <c r="A90" s="6" t="s">
        <v>949</v>
      </c>
      <c r="B90" s="6" t="s">
        <v>950</v>
      </c>
      <c r="C90" s="6" t="s">
        <v>951</v>
      </c>
      <c r="D90" s="6" t="s">
        <v>952</v>
      </c>
      <c r="F90" s="4" t="str">
        <f>IFERROR(__xludf.DUMMYFUNCTION("GOOGLETRANSLATE(A90, ""en"", ""id"")"),"Apa yang terjadi jika pemain yang digantikan mencoba masuk kembali ke set yang sama?")</f>
        <v>Apa yang terjadi jika pemain yang digantikan mencoba masuk kembali ke set yang sama?</v>
      </c>
      <c r="G90" s="4" t="str">
        <f>IFERROR(__xludf.DUMMYFUNCTION("GOOGLETRANSLATE(B90, ""en"", ""id"")"),"A) Diperbolehkan jika ada pemain lain yang cedera, B) Tidak diperbolehkan, C) Diperbolehkan, namun tim tersebut kehilangan poin, D) Hanya diperbolehkan pada set terakhir")</f>
        <v>A) Diperbolehkan jika ada pemain lain yang cedera, B) Tidak diperbolehkan, C) Diperbolehkan, namun tim tersebut kehilangan poin, D) Hanya diperbolehkan pada set terakhir</v>
      </c>
      <c r="H90" s="4" t="str">
        <f>IFERROR(__xludf.DUMMYFUNCTION("GOOGLETRANSLATE(C90, ""en"", ""id"")"),"B) Tidak diperbolehkan")</f>
        <v>B) Tidak diperbolehkan</v>
      </c>
      <c r="I90" s="4" t="str">
        <f>IFERROR(__xludf.DUMMYFUNCTION("GOOGLETRANSLATE(D90, ""en"", ""id"")"),"Pemain yang telah digantikan tidak dapat masuk kembali ke permainan dalam set yang sama.")</f>
        <v>Pemain yang telah digantikan tidak dapat masuk kembali ke permainan dalam set yang sama.</v>
      </c>
    </row>
    <row r="91">
      <c r="A91" s="6" t="s">
        <v>953</v>
      </c>
      <c r="B91" s="6" t="s">
        <v>954</v>
      </c>
      <c r="C91" s="6" t="s">
        <v>955</v>
      </c>
      <c r="D91" s="6" t="s">
        <v>956</v>
      </c>
      <c r="F91" s="4" t="str">
        <f>IFERROR(__xludf.DUMMYFUNCTION("GOOGLETRANSLATE(A91, ""en"", ""id"")"),"Dalam sepak takraw ganda (dua pemain per sisi), posisi mana yang tereliminasi?")</f>
        <v>Dalam sepak takraw ganda (dua pemain per sisi), posisi mana yang tereliminasi?</v>
      </c>
      <c r="G91" s="4" t="str">
        <f>IFERROR(__xludf.DUMMYFUNCTION("GOOGLETRANSLATE(B91, ""en"", ""id"")"),"A) Tekong (Server), B) Pembunuh (Spiker), C) Pengumpan (Setter), D) Salah satu pemain dalam")</f>
        <v>A) Tekong (Server), B) Pembunuh (Spiker), C) Pengumpan (Setter), D) Salah satu pemain dalam</v>
      </c>
      <c r="H91" s="4" t="str">
        <f>IFERROR(__xludf.DUMMYFUNCTION("GOOGLETRANSLATE(C91, ""en"", ""id"")"),"D) Salah satu pemain dalam")</f>
        <v>D) Salah satu pemain dalam</v>
      </c>
      <c r="I91" s="4" t="str">
        <f>IFERROR(__xludf.DUMMYFUNCTION("GOOGLETRANSLATE(D91, ""en"", ""id"")"),"Dalam ganda, masih ada server dan pemain lain, sehingga menghilangkan kebutuhan akan dua pengumpan/pengatur.")</f>
        <v>Dalam ganda, masih ada server dan pemain lain, sehingga menghilangkan kebutuhan akan dua pengumpan/pengatur.</v>
      </c>
    </row>
    <row r="92">
      <c r="A92" s="6" t="s">
        <v>957</v>
      </c>
      <c r="B92" s="6" t="s">
        <v>958</v>
      </c>
      <c r="C92" s="6" t="s">
        <v>959</v>
      </c>
      <c r="D92" s="6" t="s">
        <v>960</v>
      </c>
      <c r="F92" s="4" t="str">
        <f>IFERROR(__xludf.DUMMYFUNCTION("GOOGLETRANSLATE(A92, ""en"", ""id"")"),"Apa itu ""blok"" dalam Sepak Takraw?")</f>
        <v>Apa itu "blok" dalam Sepak Takraw?</v>
      </c>
      <c r="G92" s="4" t="str">
        <f>IFERROR(__xludf.DUMMYFUNCTION("GOOGLETRANSLATE(B92, ""en"", ""id"")"),"A) Mencegah servis melewati net, B) Permainan bertahan di dekat net untuk menghentikan spike, C) Menggunakan tangan untuk menghentikan bola, D) Jenis servis")</f>
        <v>A) Mencegah servis melewati net, B) Permainan bertahan di dekat net untuk menghentikan spike, C) Menggunakan tangan untuk menghentikan bola, D) Jenis servis</v>
      </c>
      <c r="H92" s="4" t="str">
        <f>IFERROR(__xludf.DUMMYFUNCTION("GOOGLETRANSLATE(C92, ""en"", ""id"")"),"B) Permainan bertahan di dekat net untuk menghentikan spike")</f>
        <v>B) Permainan bertahan di dekat net untuk menghentikan spike</v>
      </c>
      <c r="I92" s="4" t="str">
        <f>IFERROR(__xludf.DUMMYFUNCTION("GOOGLETRANSLATE(D92, ""en"", ""id"")"),"Blok adalah suatu usaha untuk mencegat bola di dekat gawang segera setelah terjadi serangan dari lawan.")</f>
        <v>Blok adalah suatu usaha untuk mencegat bola di dekat gawang segera setelah terjadi serangan dari lawan.</v>
      </c>
    </row>
    <row r="93">
      <c r="A93" s="6" t="s">
        <v>961</v>
      </c>
      <c r="B93" s="6" t="s">
        <v>962</v>
      </c>
      <c r="C93" s="6" t="s">
        <v>963</v>
      </c>
      <c r="D93" s="6" t="s">
        <v>964</v>
      </c>
      <c r="F93" s="4" t="str">
        <f>IFERROR(__xludf.DUMMYFUNCTION("GOOGLETRANSLATE(A93, ""en"", ""id"")"),"Dapatkah bola dimainkan secara legal jika bola telah memantul dari gawang dan kembali ke sisi tim penyerang?")</f>
        <v>Dapatkah bola dimainkan secara legal jika bola telah memantul dari gawang dan kembali ke sisi tim penyerang?</v>
      </c>
      <c r="G93" s="4" t="str">
        <f>IFERROR(__xludf.DUMMYFUNCTION("GOOGLETRANSLATE(B93, ""en"", ""id"")"),"A) Tidak, itu adalah kesalahan, B) Ya, asalkan tim masih memiliki sentuhan yang tersisa, C) Hanya jika kapten mengizinkannya, D) Hanya jika itu adalah upaya blok")</f>
        <v>A) Tidak, itu adalah kesalahan, B) Ya, asalkan tim masih memiliki sentuhan yang tersisa, C) Hanya jika kapten mengizinkannya, D) Hanya jika itu adalah upaya blok</v>
      </c>
      <c r="H93" s="4" t="str">
        <f>IFERROR(__xludf.DUMMYFUNCTION("GOOGLETRANSLATE(C93, ""en"", ""id"")"),"B) Ya, asalkan tim masih memiliki sentuhan tersisa")</f>
        <v>B) Ya, asalkan tim masih memiliki sentuhan tersisa</v>
      </c>
      <c r="I93" s="4" t="str">
        <f>IFERROR(__xludf.DUMMYFUNCTION("GOOGLETRANSLATE(D93, ""en"", ""id"")"),"Bola masih hidup setelah mengenai gawang, dan tim dapat melanjutkan tiga sentuhannya jika masih ada yang tersisa.")</f>
        <v>Bola masih hidup setelah mengenai gawang, dan tim dapat melanjutkan tiga sentuhannya jika masih ada yang tersisa.</v>
      </c>
    </row>
    <row r="94">
      <c r="A94" s="6" t="s">
        <v>965</v>
      </c>
      <c r="B94" s="6" t="s">
        <v>966</v>
      </c>
      <c r="C94" s="6" t="s">
        <v>967</v>
      </c>
      <c r="D94" s="6" t="s">
        <v>968</v>
      </c>
      <c r="F94" s="4" t="str">
        <f>IFERROR(__xludf.DUMMYFUNCTION("GOOGLETRANSLATE(A94, ""en"", ""id"")"),"Apa hukumannya jika suatu tim tidak memiliki jumlah pemain yang tepat saat memulai pertandingan?")</f>
        <v>Apa hukumannya jika suatu tim tidak memiliki jumlah pemain yang tepat saat memulai pertandingan?</v>
      </c>
      <c r="G94" s="4" t="str">
        <f>IFERROR(__xludf.DUMMYFUNCTION("GOOGLETRANSLATE(B94, ""en"", ""id"")"),"A) Hukuman 5 poin, B) Kartu kuning untuk kapten, C) Peringatan dan masa tenggang 5 menit, D) Pertandingan dinyatakan tidak sah")</f>
        <v>A) Hukuman 5 poin, B) Kartu kuning untuk kapten, C) Peringatan dan masa tenggang 5 menit, D) Pertandingan dinyatakan tidak sah</v>
      </c>
      <c r="H94" s="4" t="str">
        <f>IFERROR(__xludf.DUMMYFUNCTION("GOOGLETRANSLATE(C94, ""en"", ""id"")"),"D) Pertandingan dibatalkan")</f>
        <v>D) Pertandingan dibatalkan</v>
      </c>
      <c r="I94" s="4" t="str">
        <f>IFERROR(__xludf.DUMMYFUNCTION("GOOGLETRANSLATE(D94, ""en"", ""id"")"),"Jika suatu tim tidak dapat menurunkan tiga pemain pada pertandingan awal, mereka harus kalah (walkover).")</f>
        <v>Jika suatu tim tidak dapat menurunkan tiga pemain pada pertandingan awal, mereka harus kalah (walkover).</v>
      </c>
    </row>
    <row r="95">
      <c r="A95" s="6" t="s">
        <v>969</v>
      </c>
      <c r="B95" s="6" t="s">
        <v>970</v>
      </c>
      <c r="C95" s="6" t="s">
        <v>971</v>
      </c>
      <c r="D95" s="6" t="s">
        <v>972</v>
      </c>
      <c r="F95" s="4" t="str">
        <f>IFERROR(__xludf.DUMMYFUNCTION("GOOGLETRANSLATE(A95, ""en"", ""id"")"),"Kaki yang tidak menendang dari server tidak boleh menyentuh garis yang mana selama melakukan gerakan servis?")</f>
        <v>Kaki yang tidak menendang dari server tidak boleh menyentuh garis yang mana selama melakukan gerakan servis?</v>
      </c>
      <c r="G95" s="4" t="str">
        <f>IFERROR(__xludf.DUMMYFUNCTION("GOOGLETRANSLATE(B95, ""en"", ""id"")"),"A) Garis dasar, B) Garis samping, C) Garis lingkaran servis, D) Garis tengah")</f>
        <v>A) Garis dasar, B) Garis samping, C) Garis lingkaran servis, D) Garis tengah</v>
      </c>
      <c r="H95" s="4" t="str">
        <f>IFERROR(__xludf.DUMMYFUNCTION("GOOGLETRANSLATE(C95, ""en"", ""id"")"),"C) Garis lingkaran servis")</f>
        <v>C) Garis lingkaran servis</v>
      </c>
      <c r="I95" s="4" t="str">
        <f>IFERROR(__xludf.DUMMYFUNCTION("GOOGLETRANSLATE(D95, ""en"", ""id"")"),"Kaki tumpuan server harus berada di dalam lingkaran, tidak menyentuh garis itu sendiri.")</f>
        <v>Kaki tumpuan server harus berada di dalam lingkaran, tidak menyentuh garis itu sendiri.</v>
      </c>
    </row>
    <row r="96">
      <c r="A96" s="6" t="s">
        <v>973</v>
      </c>
      <c r="B96" s="6" t="s">
        <v>974</v>
      </c>
      <c r="C96" s="6" t="s">
        <v>975</v>
      </c>
      <c r="D96" s="6" t="s">
        <v>976</v>
      </c>
      <c r="F96" s="4" t="str">
        <f>IFERROR(__xludf.DUMMYFUNCTION("GOOGLETRANSLATE(A96, ""en"", ""id"")"),"Apa istilah untuk sentuhan pertama yang digunakan untuk menerima dan mengendalikan servis atau spike lawan?")</f>
        <v>Apa istilah untuk sentuhan pertama yang digunakan untuk menerima dan mengendalikan servis atau spike lawan?</v>
      </c>
      <c r="G96" s="4" t="str">
        <f>IFERROR(__xludf.DUMMYFUNCTION("GOOGLETRANSLATE(B96, ""en"", ""id"")"),"A) Pengaturan, B) Penggalian, C) Umpan, D) Kontrol")</f>
        <v>A) Pengaturan, B) Penggalian, C) Umpan, D) Kontrol</v>
      </c>
      <c r="H96" s="4" t="str">
        <f>IFERROR(__xludf.DUMMYFUNCTION("GOOGLETRANSLATE(C96, ""en"", ""id"")"),"D) Kontrol")</f>
        <v>D) Kontrol</v>
      </c>
      <c r="I96" s="4" t="str">
        <f>IFERROR(__xludf.DUMMYFUNCTION("GOOGLETRANSLATE(D96, ""en"", ""id"")"),"Sentuhan pertama difokuskan pada pengendalian kecepatan dan lintasan bola untuk mempersiapkan set.")</f>
        <v>Sentuhan pertama difokuskan pada pengendalian kecepatan dan lintasan bola untuk mempersiapkan set.</v>
      </c>
    </row>
    <row r="97">
      <c r="A97" s="6" t="s">
        <v>977</v>
      </c>
      <c r="B97" s="6" t="s">
        <v>978</v>
      </c>
      <c r="C97" s="6" t="s">
        <v>979</v>
      </c>
      <c r="D97" s="6" t="s">
        <v>980</v>
      </c>
      <c r="F97" s="4" t="str">
        <f>IFERROR(__xludf.DUMMYFUNCTION("GOOGLETRANSLATE(A97, ""en"", ""id"")"),"Jika seorang pemain berpura-pura cedera untuk menghentikan permainan, apa hukumannya?")</f>
        <v>Jika seorang pemain berpura-pura cedera untuk menghentikan permainan, apa hukumannya?</v>
      </c>
      <c r="G97" s="4" t="str">
        <f>IFERROR(__xludf.DUMMYFUNCTION("GOOGLETRANSLATE(B97, ""en"", ""id"")"),"A) Pemain dikeluarkan, B) Poin diulang, C) Kartu kuning karena perilaku tidak sportif, D) Tim kehilangan set tersebut")</f>
        <v>A) Pemain dikeluarkan, B) Poin diulang, C) Kartu kuning karena perilaku tidak sportif, D) Tim kehilangan set tersebut</v>
      </c>
      <c r="H97" s="4" t="str">
        <f>IFERROR(__xludf.DUMMYFUNCTION("GOOGLETRANSLATE(C97, ""en"", ""id"")"),"C) Kartu kuning karena perilaku tidak sportif")</f>
        <v>C) Kartu kuning karena perilaku tidak sportif</v>
      </c>
      <c r="I97" s="4" t="str">
        <f>IFERROR(__xludf.DUMMYFUNCTION("GOOGLETRANSLATE(D97, ""en"", ""id"")"),"Berpura-pura terluka merupakan tindakan pelanggaran serius dan dapat mengakibatkan peringatan formal.")</f>
        <v>Berpura-pura terluka merupakan tindakan pelanggaran serius dan dapat mengakibatkan peringatan formal.</v>
      </c>
    </row>
    <row r="98">
      <c r="A98" s="6" t="s">
        <v>981</v>
      </c>
      <c r="B98" s="6" t="s">
        <v>982</v>
      </c>
      <c r="C98" s="6" t="s">
        <v>983</v>
      </c>
      <c r="D98" s="6" t="s">
        <v>984</v>
      </c>
      <c r="F98" s="4" t="str">
        <f>IFERROR(__xludf.DUMMYFUNCTION("GOOGLETRANSLATE(A98, ""en"", ""id"")"),"Apa warna resmi tiang gawang dalam sebuah turnamen?")</f>
        <v>Apa warna resmi tiang gawang dalam sebuah turnamen?</v>
      </c>
      <c r="G98" s="4" t="str">
        <f>IFERROR(__xludf.DUMMYFUNCTION("GOOGLETRANSLATE(B98, ""en"", ""id"")"),"A) Hijau, B) Hitam, C) Putih, D) Tidak ada warna resmi")</f>
        <v>A) Hijau, B) Hitam, C) Putih, D) Tidak ada warna resmi</v>
      </c>
      <c r="H98" s="4" t="str">
        <f>IFERROR(__xludf.DUMMYFUNCTION("GOOGLETRANSLATE(C98, ""en"", ""id"")"),"D) Tidak ada warna resmi")</f>
        <v>D) Tidak ada warna resmi</v>
      </c>
      <c r="I98" s="4" t="str">
        <f>IFERROR(__xludf.DUMMYFUNCTION("GOOGLETRANSLATE(D98, ""en"", ""id"")"),"Tidak ada aturan khusus yang mewajibkan warna tiang, selama tiang tersebut aman dan diposisikan dengan benar.")</f>
        <v>Tidak ada aturan khusus yang mewajibkan warna tiang, selama tiang tersebut aman dan diposisikan dengan benar.</v>
      </c>
    </row>
    <row r="99">
      <c r="A99" s="6" t="s">
        <v>985</v>
      </c>
      <c r="B99" s="6" t="s">
        <v>986</v>
      </c>
      <c r="C99" s="6" t="s">
        <v>987</v>
      </c>
      <c r="D99" s="6" t="s">
        <v>988</v>
      </c>
      <c r="F99" s="4" t="str">
        <f>IFERROR(__xludf.DUMMYFUNCTION("GOOGLETRANSLATE(A99, ""en"", ""id"")"),"Kapan turnamen sepak takraw internasional besar pertama kali diadakan?")</f>
        <v>Kapan turnamen sepak takraw internasional besar pertama kali diadakan?</v>
      </c>
      <c r="G99" s="4" t="str">
        <f>IFERROR(__xludf.DUMMYFUNCTION("GOOGLETRANSLATE(B99, ""en"", ""id"")"),"A) Tahun 1965, B) Tahun 1975, C) Tahun 1985, D) Tahun 1995")</f>
        <v>A) Tahun 1965, B) Tahun 1975, C) Tahun 1985, D) Tahun 1995</v>
      </c>
      <c r="H99" s="4" t="str">
        <f>IFERROR(__xludf.DUMMYFUNCTION("GOOGLETRANSLATE(C99, ""en"", ""id"")"),"A) Tahun 1965")</f>
        <v>A) Tahun 1965</v>
      </c>
      <c r="I99" s="4" t="str">
        <f>IFERROR(__xludf.DUMMYFUNCTION("GOOGLETRANSLATE(D99, ""en"", ""id"")"),"Turnamen besar pertama adalah SEAP Games (sekarang SEA Games) pada tahun 1965, setelah aturan yang seragam ditetapkan.")</f>
        <v>Turnamen besar pertama adalah SEAP Games (sekarang SEA Games) pada tahun 1965, setelah aturan yang seragam ditetapkan.</v>
      </c>
    </row>
    <row r="100">
      <c r="A100" s="6" t="s">
        <v>989</v>
      </c>
      <c r="B100" s="6" t="s">
        <v>990</v>
      </c>
      <c r="C100" s="6" t="s">
        <v>991</v>
      </c>
      <c r="D100" s="6" t="s">
        <v>992</v>
      </c>
      <c r="F100" s="4" t="str">
        <f>IFERROR(__xludf.DUMMYFUNCTION("GOOGLETRANSLATE(A100, ""en"", ""id"")"),"Apakah sah hukumnya bagi seorang pemain menendang bola melewati net saat sedang duduk di lapangan?")</f>
        <v>Apakah sah hukumnya bagi seorang pemain menendang bola melewati net saat sedang duduk di lapangan?</v>
      </c>
      <c r="G100" s="4" t="str">
        <f>IFERROR(__xludf.DUMMYFUNCTION("GOOGLETRANSLATE(B100, ""en"", ""id"")"),"A) Ya, jika kontaknya bersih, B) Tidak, pemain harus berdiri atau melompat, C) Hanya jika mereka terjatuh, D) Hanya jika itu adalah sentuhan ketiga")</f>
        <v>A) Ya, jika kontaknya bersih, B) Tidak, pemain harus berdiri atau melompat, C) Hanya jika mereka terjatuh, D) Hanya jika itu adalah sentuhan ketiga</v>
      </c>
      <c r="H100" s="4" t="str">
        <f>IFERROR(__xludf.DUMMYFUNCTION("GOOGLETRANSLATE(C100, ""en"", ""id"")"),"A) Ya, jika kontaknya bersih")</f>
        <v>A) Ya, jika kontaknya bersih</v>
      </c>
      <c r="I100" s="4" t="str">
        <f>IFERROR(__xludf.DUMMYFUNCTION("GOOGLETRANSLATE(D100, ""en"", ""id"")"),"Selama pemain menggunakan bagian tubuh yang sah dan pukulannya bersih, posisi tubuh mereka di lapangan tidak menjadi masalah.")</f>
        <v>Selama pemain menggunakan bagian tubuh yang sah dan pukulannya bersih, posisi tubuh mereka di lapangan tidak menjadi masalah.</v>
      </c>
    </row>
    <row r="101">
      <c r="A101" s="6" t="s">
        <v>993</v>
      </c>
      <c r="B101" s="6" t="s">
        <v>994</v>
      </c>
      <c r="C101" s="6" t="s">
        <v>995</v>
      </c>
      <c r="D101" s="6" t="s">
        <v>996</v>
      </c>
      <c r="F101" s="4" t="str">
        <f>IFERROR(__xludf.DUMMYFUNCTION("GOOGLETRANSLATE(A101, ""en"", ""id"")"),"Apa sinyal wasit untuk mengubah servis ke tim lawan?")</f>
        <v>Apa sinyal wasit untuk mengubah servis ke tim lawan?</v>
      </c>
      <c r="G101" s="4" t="str">
        <f>IFERROR(__xludf.DUMMYFUNCTION("GOOGLETRANSLATE(B101, ""en"", ""id"")"),"A) Menunjuk ke sisi tim yang melakukan servis baru, B) Mengangkat kedua tangan, C) Meniup peluit dua kali, D) Mengetuk dada")</f>
        <v>A) Menunjuk ke sisi tim yang melakukan servis baru, B) Mengangkat kedua tangan, C) Meniup peluit dua kali, D) Mengetuk dada</v>
      </c>
      <c r="H101" s="4" t="str">
        <f>IFERROR(__xludf.DUMMYFUNCTION("GOOGLETRANSLATE(C101, ""en"", ""id"")"),"A) Menunjuk ke sisi tim servis baru")</f>
        <v>A) Menunjuk ke sisi tim servis baru</v>
      </c>
      <c r="I101" s="4" t="str">
        <f>IFERROR(__xludf.DUMMYFUNCTION("GOOGLETRANSLATE(D101, ""en"", ""id"")"),"Wasit mengulurkan lengannya ke sisi lapangan yang baru saja mendapat hak untuk melakukan servis.")</f>
        <v>Wasit mengulurkan lengannya ke sisi lapangan yang baru saja mendapat hak untuk melakukan servis.</v>
      </c>
    </row>
    <row r="102">
      <c r="A102" s="6" t="s">
        <v>997</v>
      </c>
      <c r="B102" s="6" t="s">
        <v>998</v>
      </c>
      <c r="C102" s="6" t="s">
        <v>999</v>
      </c>
      <c r="D102" s="6" t="s">
        <v>1000</v>
      </c>
      <c r="F102" s="4" t="str">
        <f>IFERROR(__xludf.DUMMYFUNCTION("GOOGLETRANSLATE(A102, ""en"", ""id"")"),"Dalam Sepak Takraw pantai, apa perbedaan aturan utama dibandingkan dengan versi dalam ruangan?")</f>
        <v>Dalam Sepak Takraw pantai, apa perbedaan aturan utama dibandingkan dengan versi dalam ruangan?</v>
      </c>
      <c r="G102" s="4" t="str">
        <f>IFERROR(__xludf.DUMMYFUNCTION("GOOGLETRANSLATE(B102, ""en"", ""id"")"),"A) Lapangannya lebih kecil, B) Ada 4 pemain per tim, C) Skornya berbeda, D) Netnya lebih rendah")</f>
        <v>A) Lapangannya lebih kecil, B) Ada 4 pemain per tim, C) Skornya berbeda, D) Netnya lebih rendah</v>
      </c>
      <c r="H102" s="4" t="str">
        <f>IFERROR(__xludf.DUMMYFUNCTION("GOOGLETRANSLATE(C102, ""en"", ""id"")"),"C) Skoringnya berbeda")</f>
        <v>C) Skoringnya berbeda</v>
      </c>
      <c r="I102" s="4" t="str">
        <f>IFERROR(__xludf.DUMMYFUNCTION("GOOGLETRANSLATE(D102, ""en"", ""id"")"),"Sepak Takraw Pantai sering menggunakan sistem penilaian yang berbeda-beda, terkadang menggunakan sistem poin reli hingga 15 di semua set.")</f>
        <v>Sepak Takraw Pantai sering menggunakan sistem penilaian yang berbeda-beda, terkadang menggunakan sistem poin reli hingga 15 di semua set.</v>
      </c>
    </row>
    <row r="103">
      <c r="A103" s="6" t="s">
        <v>1001</v>
      </c>
      <c r="B103" s="6" t="s">
        <v>1002</v>
      </c>
      <c r="C103" s="6" t="s">
        <v>1003</v>
      </c>
      <c r="D103" s="6" t="s">
        <v>1004</v>
      </c>
      <c r="F103" s="4" t="str">
        <f>IFERROR(__xludf.DUMMYFUNCTION("GOOGLETRANSLATE(A103, ""en"", ""id"")"),"""Tendangan sepeda"" merupakan istilah umum untuk jenis keterampilan apa?")</f>
        <v>"Tendangan sepeda" merupakan istilah umum untuk jenis keterampilan apa?</v>
      </c>
      <c r="G103" s="4" t="str">
        <f>IFERROR(__xludf.DUMMYFUNCTION("GOOGLETRANSLATE(B103, ""en"", ""id"")"),"A) Servis, B) Set, C) Tendangan voli atas, D) Galian bertahan")</f>
        <v>A) Servis, B) Set, C) Tendangan voli atas, D) Galian bertahan</v>
      </c>
      <c r="H103" s="4" t="str">
        <f>IFERROR(__xludf.DUMMYFUNCTION("GOOGLETRANSLATE(C103, ""en"", ""id"")"),"C) Tendangan voli atas")</f>
        <v>C) Tendangan voli atas</v>
      </c>
      <c r="I103" s="4" t="str">
        <f>IFERROR(__xludf.DUMMYFUNCTION("GOOGLETRANSLATE(D103, ""en"", ""id"")"),"Ini menggambarkan gerakan menendang bola saat berada di atas kepala, sering digunakan untuk membersihkan atau menyerang.")</f>
        <v>Ini menggambarkan gerakan menendang bola saat berada di atas kepala, sering digunakan untuk membersihkan atau menyerang.</v>
      </c>
    </row>
    <row r="104">
      <c r="A104" s="6" t="s">
        <v>1005</v>
      </c>
      <c r="B104" s="6" t="s">
        <v>1006</v>
      </c>
      <c r="C104" s="6" t="s">
        <v>1007</v>
      </c>
      <c r="D104" s="6" t="s">
        <v>1008</v>
      </c>
      <c r="F104" s="4" t="str">
        <f>IFERROR(__xludf.DUMMYFUNCTION("GOOGLETRANSLATE(A104, ""en"", ""id"")"),"Apa hukumnya jika bola mengenai kaus pemain tetapi tidak mengenai tubuhnya?")</f>
        <v>Apa hukumnya jika bola mengenai kaus pemain tetapi tidak mengenai tubuhnya?</v>
      </c>
      <c r="G104" s="4" t="str">
        <f>IFERROR(__xludf.DUMMYFUNCTION("GOOGLETRANSLATE(B104, ""en"", ""id"")"),"A) Kesalahan, B) Permainan yang sah, C) Ulangan, D) Peringatan")</f>
        <v>A) Kesalahan, B) Permainan yang sah, C) Ulangan, D) Peringatan</v>
      </c>
      <c r="H104" s="4" t="str">
        <f>IFERROR(__xludf.DUMMYFUNCTION("GOOGLETRANSLATE(C104, ""en"", ""id"")"),"B) Permainan hukum")</f>
        <v>B) Permainan hukum</v>
      </c>
      <c r="I104" s="4" t="str">
        <f>IFERROR(__xludf.DUMMYFUNCTION("GOOGLETRANSLATE(D104, ""en"", ""id"")"),"Kostum dianggap sebagai bagian dari pemain, dan kontak sah selama tidak mengenai lengan atau tangan.")</f>
        <v>Kostum dianggap sebagai bagian dari pemain, dan kontak sah selama tidak mengenai lengan atau tangan.</v>
      </c>
    </row>
    <row r="105">
      <c r="A105" s="6" t="s">
        <v>1009</v>
      </c>
      <c r="B105" s="6" t="s">
        <v>1010</v>
      </c>
      <c r="C105" s="6" t="s">
        <v>1011</v>
      </c>
      <c r="D105" s="6" t="s">
        <v>1012</v>
      </c>
      <c r="F105" s="4" t="str">
        <f>IFERROR(__xludf.DUMMYFUNCTION("GOOGLETRANSLATE(A105, ""en"", ""id"")"),"Saat melakukan servis, server harus melempar bola ke atas sebelum menendang. Siapa yang harus melakukan lemparan ini?")</f>
        <v>Saat melakukan servis, server harus melempar bola ke atas sebelum menendang. Siapa yang harus melakukan lemparan ini?</v>
      </c>
      <c r="G105" s="4" t="str">
        <f>IFERROR(__xludf.DUMMYFUNCTION("GOOGLETRANSLATE(B105, ""en"", ""id"")"),"A) Server itu sendiri, B) Salah satu dari dua pemain dalam, C) Hanya kapten tim, D) Siapa pun di tim")</f>
        <v>A) Server itu sendiri, B) Salah satu dari dua pemain dalam, C) Hanya kapten tim, D) Siapa pun di tim</v>
      </c>
      <c r="H105" s="4" t="str">
        <f>IFERROR(__xludf.DUMMYFUNCTION("GOOGLETRANSLATE(C105, ""en"", ""id"")"),"B) Salah satu dari dua pemain dalam")</f>
        <v>B) Salah satu dari dua pemain dalam</v>
      </c>
      <c r="I105" s="4" t="str">
        <f>IFERROR(__xludf.DUMMYFUNCTION("GOOGLETRANSLATE(D105, ""en"", ""id"")"),"Servis merupakan aksi dua orang: salah satu pemain dalam harus melemparkan bola ke Tekong.")</f>
        <v>Servis merupakan aksi dua orang: salah satu pemain dalam harus melemparkan bola ke Tekong.</v>
      </c>
    </row>
    <row r="106">
      <c r="A106" s="6" t="s">
        <v>1013</v>
      </c>
      <c r="B106" s="6" t="s">
        <v>1014</v>
      </c>
      <c r="C106" s="6" t="s">
        <v>1015</v>
      </c>
      <c r="D106" s="6" t="s">
        <v>1016</v>
      </c>
      <c r="F106" s="4" t="str">
        <f>IFERROR(__xludf.DUMMYFUNCTION("GOOGLETRANSLATE(A106, ""en"", ""id"")"),"Berapa jumlah waktu istirahat maksimum yang dapat diminta suatu tim dalam satu pertandingan?")</f>
        <v>Berapa jumlah waktu istirahat maksimum yang dapat diminta suatu tim dalam satu pertandingan?</v>
      </c>
      <c r="G106" s="4" t="str">
        <f>IFERROR(__xludf.DUMMYFUNCTION("GOOGLETRANSLATE(B106, ""en"", ""id"")"),"A) Satu per set, B) Dua untuk seluruh pertandingan, C) Tiga untuk seluruh pertandingan, D) Satu untuk seluruh pertandingan")</f>
        <v>A) Satu per set, B) Dua untuk seluruh pertandingan, C) Tiga untuk seluruh pertandingan, D) Satu untuk seluruh pertandingan</v>
      </c>
      <c r="H106" s="4" t="str">
        <f>IFERROR(__xludf.DUMMYFUNCTION("GOOGLETRANSLATE(C106, ""en"", ""id"")"),"A) Satu per set")</f>
        <v>A) Satu per set</v>
      </c>
      <c r="I106" s="4" t="str">
        <f>IFERROR(__xludf.DUMMYFUNCTION("GOOGLETRANSLATE(D106, ""en"", ""id"")"),"Suatu tim berhak atas satu kali time out pada masing-masing dua set pertama, dan satu kali pada tie-breaker jika dimainkan.")</f>
        <v>Suatu tim berhak atas satu kali time out pada masing-masing dua set pertama, dan satu kali pada tie-breaker jika dimainkan.</v>
      </c>
    </row>
    <row r="107">
      <c r="A107" s="6" t="s">
        <v>1017</v>
      </c>
      <c r="B107" s="6" t="s">
        <v>1018</v>
      </c>
      <c r="C107" s="6" t="s">
        <v>1019</v>
      </c>
      <c r="D107" s="6" t="s">
        <v>1020</v>
      </c>
      <c r="F107" s="4" t="str">
        <f>IFERROR(__xludf.DUMMYFUNCTION("GOOGLETRANSLATE(A107, ""en"", ""id"")"),"Negara manakah yang berjasa memodernisasi olahraga ini dengan menambahkan net pada abad ke-19?")</f>
        <v>Negara manakah yang berjasa memodernisasi olahraga ini dengan menambahkan net pada abad ke-19?</v>
      </c>
      <c r="G107" s="4" t="str">
        <f>IFERROR(__xludf.DUMMYFUNCTION("GOOGLETRANSLATE(B107, ""en"", ""id"")"),"A) Indonesia, B) Filipina, C) Thailand, D) Malaysia")</f>
        <v>A) Indonesia, B) Filipina, C) Thailand, D) Malaysia</v>
      </c>
      <c r="H107" s="4" t="str">
        <f>IFERROR(__xludf.DUMMYFUNCTION("GOOGLETRANSLATE(C107, ""en"", ""id"")"),"C) Thailand")</f>
        <v>C) Thailand</v>
      </c>
      <c r="I107" s="4" t="str">
        <f>IFERROR(__xludf.DUMMYFUNCTION("GOOGLETRANSLATE(D107, ""en"", ""id"")"),"Thailand secara luas dianggap berjasa menambahkan jaring dan memformalkan versi permainan berbasis lapangan yang kompetitif.")</f>
        <v>Thailand secara luas dianggap berjasa menambahkan jaring dan memformalkan versi permainan berbasis lapangan yang kompetitif.</v>
      </c>
    </row>
    <row r="108">
      <c r="A108" s="6" t="s">
        <v>1021</v>
      </c>
      <c r="B108" s="6" t="s">
        <v>1022</v>
      </c>
      <c r="C108" s="6" t="s">
        <v>610</v>
      </c>
      <c r="D108" s="6" t="s">
        <v>1023</v>
      </c>
      <c r="F108" s="4" t="str">
        <f>IFERROR(__xludf.DUMMYFUNCTION("GOOGLETRANSLATE(A108, ""en"", ""id"")"),"Apa hukumnya jika seorang pemain menggunakan jaring untuk membantu melompat lebih tinggi untuk melakukan spike?")</f>
        <v>Apa hukumnya jika seorang pemain menggunakan jaring untuk membantu melompat lebih tinggi untuk melakukan spike?</v>
      </c>
      <c r="G108" s="4" t="str">
        <f>IFERROR(__xludf.DUMMYFUNCTION("GOOGLETRANSLATE(B108, ""en"", ""id"")"),"A) Legal jika tidak ada yang melihat, B) Peringatan, C) Kesalahan, D) Putar ulang")</f>
        <v>A) Legal jika tidak ada yang melihat, B) Peringatan, C) Kesalahan, D) Putar ulang</v>
      </c>
      <c r="H108" s="4" t="str">
        <f>IFERROR(__xludf.DUMMYFUNCTION("GOOGLETRANSLATE(C108, ""en"", ""id"")"),"C) Kesalahan")</f>
        <v>C) Kesalahan</v>
      </c>
      <c r="I108" s="4" t="str">
        <f>IFERROR(__xludf.DUMMYFUNCTION("GOOGLETRANSLATE(D108, ""en"", ""id"")"),"Menggunakan jaring atau tiang sebagai penopang atau pengungkit adalah melanggar hukum dan berakibat pada kesalahan.")</f>
        <v>Menggunakan jaring atau tiang sebagai penopang atau pengungkit adalah melanggar hukum dan berakibat pada kesalahan.</v>
      </c>
    </row>
    <row r="109">
      <c r="A109" s="6" t="s">
        <v>1024</v>
      </c>
      <c r="B109" s="6" t="s">
        <v>1025</v>
      </c>
      <c r="C109" s="6" t="s">
        <v>1026</v>
      </c>
      <c r="D109" s="6" t="s">
        <v>1027</v>
      </c>
      <c r="F109" s="4" t="str">
        <f>IFERROR(__xludf.DUMMYFUNCTION("GOOGLETRANSLATE(A109, ""en"", ""id"")"),"""Servis pendek"" adalah servis taktis yang bertujuan mendarat di mana?")</f>
        <v>"Servis pendek" adalah servis taktis yang bertujuan mendarat di mana?</v>
      </c>
      <c r="G109" s="4" t="str">
        <f>IFERROR(__xludf.DUMMYFUNCTION("GOOGLETRANSLATE(B109, ""en"", ""id"")"),"A) Jauh di sudut belakang, B) Tepat di spiker, C) Tepat di atas net di lapangan depan, D) Tinggi di tengah lapangan")</f>
        <v>A) Jauh di sudut belakang, B) Tepat di spiker, C) Tepat di atas net di lapangan depan, D) Tinggi di tengah lapangan</v>
      </c>
      <c r="H109" s="4" t="str">
        <f>IFERROR(__xludf.DUMMYFUNCTION("GOOGLETRANSLATE(C109, ""en"", ""id"")"),"C) Tepat di atas net di lapangan depan")</f>
        <v>C) Tepat di atas net di lapangan depan</v>
      </c>
      <c r="I109" s="4" t="str">
        <f>IFERROR(__xludf.DUMMYFUNCTION("GOOGLETRANSLATE(D109, ""en"", ""id"")"),"Servis ini dirancang agar sulit diterima dan disiapkan untuk serangan, sering kali mengejutkan tim penerima.")</f>
        <v>Servis ini dirancang agar sulit diterima dan disiapkan untuk serangan, sering kali mengejutkan tim penerima.</v>
      </c>
    </row>
    <row r="110">
      <c r="A110" s="6" t="s">
        <v>1028</v>
      </c>
      <c r="B110" s="6" t="s">
        <v>1029</v>
      </c>
      <c r="C110" s="6" t="s">
        <v>1030</v>
      </c>
      <c r="D110" s="6" t="s">
        <v>1031</v>
      </c>
      <c r="F110" s="4" t="str">
        <f>IFERROR(__xludf.DUMMYFUNCTION("GOOGLETRANSLATE(A110, ""en"", ""id"")"),"Bisakah kapten tim meminta perubahan bola resmi selama pertandingan?")</f>
        <v>Bisakah kapten tim meminta perubahan bola resmi selama pertandingan?</v>
      </c>
      <c r="G110" s="4" t="str">
        <f>IFERROR(__xludf.DUMMYFUNCTION("GOOGLETRANSLATE(B110, ""en"", ""id"")"),"A) Tidak, tidak pernah, B) Ya, kapan saja, C) Hanya jika bolanya jelas rusak, D) Hanya di antara set")</f>
        <v>A) Tidak, tidak pernah, B) Ya, kapan saja, C) Hanya jika bolanya jelas rusak, D) Hanya di antara set</v>
      </c>
      <c r="H110" s="4" t="str">
        <f>IFERROR(__xludf.DUMMYFUNCTION("GOOGLETRANSLATE(C110, ""en"", ""id"")"),"C) Hanya jika bola tersebut jelas-jelas cacat")</f>
        <v>C) Hanya jika bola tersebut jelas-jelas cacat</v>
      </c>
      <c r="I110" s="4" t="str">
        <f>IFERROR(__xludf.DUMMYFUNCTION("GOOGLETRANSLATE(D110, ""en"", ""id"")"),"Bola hanya dapat diganti apabila rusak, tidak berbentuk, atau dianggap tidak layak dimainkan oleh wasit.")</f>
        <v>Bola hanya dapat diganti apabila rusak, tidak berbentuk, atau dianggap tidak layak dimainkan oleh wasit.</v>
      </c>
    </row>
    <row r="111">
      <c r="A111" s="6" t="s">
        <v>1032</v>
      </c>
      <c r="B111" s="6" t="s">
        <v>1033</v>
      </c>
      <c r="C111" s="6" t="s">
        <v>1034</v>
      </c>
      <c r="D111" s="6" t="s">
        <v>1035</v>
      </c>
      <c r="F111" s="4" t="str">
        <f>IFERROR(__xludf.DUMMYFUNCTION("GOOGLETRANSLATE(A111, ""en"", ""id"")"),"Apa peran Apit Kiri?")</f>
        <v>Apa peran Apit Kiri?</v>
      </c>
      <c r="G111" s="4" t="str">
        <f>IFERROR(__xludf.DUMMYFUNCTION("GOOGLETRANSLATE(B111, ""en"", ""id"")"),"A) Untuk melakukan servis, B) Pemain dalam kiri, seringkali menjadi pengumpan, C) Pemain dalam kanan, D) Spiker utama")</f>
        <v>A) Untuk melakukan servis, B) Pemain dalam kiri, seringkali menjadi pengumpan, C) Pemain dalam kanan, D) Spiker utama</v>
      </c>
      <c r="H111" s="4" t="str">
        <f>IFERROR(__xludf.DUMMYFUNCTION("GOOGLETRANSLATE(C111, ""en"", ""id"")"),"B) Pemain dalam kiri, sering kali menjadi pengumpan")</f>
        <v>B) Pemain dalam kiri, sering kali menjadi pengumpan</v>
      </c>
      <c r="I111" s="4" t="str">
        <f>IFERROR(__xludf.DUMMYFUNCTION("GOOGLETRANSLATE(D111, ""en"", ""id"")"),"Apit Kiri diterjemahkan menjadi ""Tertinggal di Dalam"", mendukung server dan sering kali mengatur serangan.")</f>
        <v>Apit Kiri diterjemahkan menjadi "Tertinggal di Dalam", mendukung server dan sering kali mengatur serangan.</v>
      </c>
    </row>
    <row r="112">
      <c r="A112" s="6" t="s">
        <v>1036</v>
      </c>
      <c r="B112" s="6" t="s">
        <v>1037</v>
      </c>
      <c r="C112" s="6" t="s">
        <v>1038</v>
      </c>
      <c r="D112" s="6" t="s">
        <v>1039</v>
      </c>
      <c r="F112" s="4" t="str">
        <f>IFERROR(__xludf.DUMMYFUNCTION("GOOGLETRANSLATE(A112, ""en"", ""id"")"),"Jika seorang pemain dikeluarkan dengan kartu merah, apakah pemain tersebut dapat diganti?")</f>
        <v>Jika seorang pemain dikeluarkan dengan kartu merah, apakah pemain tersebut dapat diganti?</v>
      </c>
      <c r="G112" s="4" t="str">
        <f>IFERROR(__xludf.DUMMYFUNCTION("GOOGLETRANSLATE(B112, ""en"", ""id"")"),"A) Ya, segera, B) Ya, tetapi setelah penalti 2 poin, C) Tidak, tim harus bermain dengan dua pemain untuk sisa set, D) Tidak, tim harus bermain dengan dua pemain untuk sisa pertandingan")</f>
        <v>A) Ya, segera, B) Ya, tetapi setelah penalti 2 poin, C) Tidak, tim harus bermain dengan dua pemain untuk sisa set, D) Tidak, tim harus bermain dengan dua pemain untuk sisa pertandingan</v>
      </c>
      <c r="H112" s="4" t="str">
        <f>IFERROR(__xludf.DUMMYFUNCTION("GOOGLETRANSLATE(C112, ""en"", ""id"")"),"D) Tidak, tim harus bermain dengan dua pemain selama sisa pertandingan")</f>
        <v>D) Tidak, tim harus bermain dengan dua pemain selama sisa pertandingan</v>
      </c>
      <c r="I112" s="4" t="str">
        <f>IFERROR(__xludf.DUMMYFUNCTION("GOOGLETRANSLATE(D112, ""en"", ""id"")"),"Suatu tim tidak dapat mengganti pemain yang dikeluarkan dan harus melanjutkan permainan dengan jumlah pemain yang kurang.")</f>
        <v>Suatu tim tidak dapat mengganti pemain yang dikeluarkan dan harus melanjutkan permainan dengan jumlah pemain yang kurang.</v>
      </c>
    </row>
    <row r="113">
      <c r="A113" s="6" t="s">
        <v>1040</v>
      </c>
      <c r="B113" s="6" t="s">
        <v>1041</v>
      </c>
      <c r="C113" s="6" t="s">
        <v>1042</v>
      </c>
      <c r="D113" s="6" t="s">
        <v>1043</v>
      </c>
      <c r="F113" s="4" t="str">
        <f>IFERROR(__xludf.DUMMYFUNCTION("GOOGLETRANSLATE(A113, ""en"", ""id"")"),"Apa itu ""seperempat lingkaran""?")</f>
        <v>Apa itu "seperempat lingkaran"?</v>
      </c>
      <c r="G113" s="4" t="str">
        <f>IFERROR(__xludf.DUMMYFUNCTION("GOOGLETRANSLATE(B113, ""en"", ""id"")"),"A) Lingkaran servis, B) Area di mana pemain dalam harus berdiri selama servis, C) Pusat lapangan, D) Zona pertahanan")</f>
        <v>A) Lingkaran servis, B) Area di mana pemain dalam harus berdiri selama servis, C) Pusat lapangan, D) Zona pertahanan</v>
      </c>
      <c r="H113" s="4" t="str">
        <f>IFERROR(__xludf.DUMMYFUNCTION("GOOGLETRANSLATE(C113, ""en"", ""id"")"),"B) Area tempat pemain dalam harus berdiri saat melakukan servis")</f>
        <v>B) Area tempat pemain dalam harus berdiri saat melakukan servis</v>
      </c>
      <c r="I113" s="4" t="str">
        <f>IFERROR(__xludf.DUMMYFUNCTION("GOOGLETRANSLATE(D113, ""en"", ""id"")"),"Setiap sisi lapangan memiliki dua seperempat lingkaran di ujung garis tengah untuk pemain yang tidak melakukan servis.")</f>
        <v>Setiap sisi lapangan memiliki dua seperempat lingkaran di ujung garis tengah untuk pemain yang tidak melakukan servis.</v>
      </c>
    </row>
    <row r="114">
      <c r="A114" s="6" t="s">
        <v>1044</v>
      </c>
      <c r="B114" s="6" t="s">
        <v>1045</v>
      </c>
      <c r="C114" s="6" t="s">
        <v>1046</v>
      </c>
      <c r="D114" s="6" t="s">
        <v>1047</v>
      </c>
      <c r="F114" s="4" t="str">
        <f>IFERROR(__xludf.DUMMYFUNCTION("GOOGLETRANSLATE(A114, ""en"", ""id"")"),"Jika bola melewati luar tiang gawang tetapi melengkung kembali ke lapangan lawan, apakah itu sah?")</f>
        <v>Jika bola melewati luar tiang gawang tetapi melengkung kembali ke lapangan lawan, apakah itu sah?</v>
      </c>
      <c r="G114" s="4" t="str">
        <f>IFERROR(__xludf.DUMMYFUNCTION("GOOGLETRANSLATE(B114, ""en"", ""id"")"),"A) Ya, ini adalah permainan yang sah, B) Tidak, ini adalah kesalahan, C) Hanya jika ini adalah sentuhan pertama, D) Poin tersebut diulang")</f>
        <v>A) Ya, ini adalah permainan yang sah, B) Tidak, ini adalah kesalahan, C) Hanya jika ini adalah sentuhan pertama, D) Poin tersebut diulang</v>
      </c>
      <c r="H114" s="4" t="str">
        <f>IFERROR(__xludf.DUMMYFUNCTION("GOOGLETRANSLATE(C114, ""en"", ""id"")"),"B) Tidak, itu adalah kesalahan")</f>
        <v>B) Tidak, itu adalah kesalahan</v>
      </c>
      <c r="I114" s="4" t="str">
        <f>IFERROR(__xludf.DUMMYFUNCTION("GOOGLETRANSLATE(D114, ""en"", ""id"")"),"Bola harus melewati net dalam ruang antara dua tiang (dan antena, jika digunakan).")</f>
        <v>Bola harus melewati net dalam ruang antara dua tiang (dan antena, jika digunakan).</v>
      </c>
    </row>
    <row r="115">
      <c r="A115" s="6" t="s">
        <v>1048</v>
      </c>
      <c r="B115" s="6" t="s">
        <v>1049</v>
      </c>
      <c r="C115" s="6" t="s">
        <v>1050</v>
      </c>
      <c r="D115" s="6" t="s">
        <v>1051</v>
      </c>
      <c r="F115" s="4" t="str">
        <f>IFERROR(__xludf.DUMMYFUNCTION("GOOGLETRANSLATE(A115, ""en"", ""id"")"),"Apa formasi pertahanan yang umum untuk menerima servis?")</f>
        <v>Apa formasi pertahanan yang umum untuk menerima servis?</v>
      </c>
      <c r="G115" s="4" t="str">
        <f>IFERROR(__xludf.DUMMYFUNCTION("GOOGLETRANSLATE(B115, ""en"", ""id"")"),"A) Ketiga pemain di belakang, B) Dua pemain depan, satu pemain belakang, C) Satu pemain depan, dua pemain belakang, D) Ketiga pemain di tengah")</f>
        <v>A) Ketiga pemain di belakang, B) Dua pemain depan, satu pemain belakang, C) Satu pemain depan, dua pemain belakang, D) Ketiga pemain di tengah</v>
      </c>
      <c r="H115" s="4" t="str">
        <f>IFERROR(__xludf.DUMMYFUNCTION("GOOGLETRANSLATE(C115, ""en"", ""id"")"),"B) Dua pemain depan, satu pemain belakang")</f>
        <v>B) Dua pemain depan, satu pemain belakang</v>
      </c>
      <c r="I115" s="4" t="str">
        <f>IFERROR(__xludf.DUMMYFUNCTION("GOOGLETRANSLATE(D115, ""en"", ""id"")"),"Biasanya, dua pemain dalam memposisikan diri untuk menerima servis sementara pemain yang melakukan servis (Tekong) mundur.")</f>
        <v>Biasanya, dua pemain dalam memposisikan diri untuk menerima servis sementara pemain yang melakukan servis (Tekong) mundur.</v>
      </c>
    </row>
    <row r="116">
      <c r="A116" s="6" t="s">
        <v>1052</v>
      </c>
      <c r="B116" s="6" t="s">
        <v>1053</v>
      </c>
      <c r="C116" s="6" t="s">
        <v>1054</v>
      </c>
      <c r="D116" s="6" t="s">
        <v>1055</v>
      </c>
      <c r="F116" s="4" t="str">
        <f>IFERROR(__xludf.DUMMYFUNCTION("GOOGLETRANSLATE(A116, ""en"", ""id"")"),"Apakah pemain diperbolehkan mengenakan topi atau ikat kepala?")</f>
        <v>Apakah pemain diperbolehkan mengenakan topi atau ikat kepala?</v>
      </c>
      <c r="G116" s="4" t="str">
        <f>IFERROR(__xludf.DUMMYFUNCTION("GOOGLETRANSLATE(B116, ""en"", ""id"")"),"A) Tidak, semua penutup kepala dilarang, B) Hanya ikat kepala yang diperbolehkan, C) Ya, penutup kepala yang lembut diperbolehkan, D) Hanya untuk alasan agama")</f>
        <v>A) Tidak, semua penutup kepala dilarang, B) Hanya ikat kepala yang diperbolehkan, C) Ya, penutup kepala yang lembut diperbolehkan, D) Hanya untuk alasan agama</v>
      </c>
      <c r="H116" s="4" t="str">
        <f>IFERROR(__xludf.DUMMYFUNCTION("GOOGLETRANSLATE(C116, ""en"", ""id"")"),"C) Ya, penutup kepala yang lembut diperbolehkan")</f>
        <v>C) Ya, penutup kepala yang lembut diperbolehkan</v>
      </c>
      <c r="I116" s="4" t="str">
        <f>IFERROR(__xludf.DUMMYFUNCTION("GOOGLETRANSLATE(D116, ""en"", ""id"")"),"Pemain diperbolehkan mengenakan penutup kepala yang lembut dan tidak berbahaya seperti ikat kepala atau kopiah. Topi keras tidak diperbolehkan.")</f>
        <v>Pemain diperbolehkan mengenakan penutup kepala yang lembut dan tidak berbahaya seperti ikat kepala atau kopiah. Topi keras tidak diperbolehkan.</v>
      </c>
    </row>
    <row r="117">
      <c r="A117" s="6" t="s">
        <v>1056</v>
      </c>
      <c r="B117" s="6" t="s">
        <v>1057</v>
      </c>
      <c r="C117" s="6" t="s">
        <v>1058</v>
      </c>
      <c r="D117" s="6" t="s">
        <v>1059</v>
      </c>
      <c r="F117" s="4" t="str">
        <f>IFERROR(__xludf.DUMMYFUNCTION("GOOGLETRANSLATE(A117, ""en"", ""id"")"),"Jika hakim garis membuat keputusan yang salah sehingga menghentikan reli yang menang, apa yang dapat dilakukan wasit?")</f>
        <v>Jika hakim garis membuat keputusan yang salah sehingga menghentikan reli yang menang, apa yang dapat dilakukan wasit?</v>
      </c>
      <c r="G117" s="4" t="str">
        <f>IFERROR(__xludf.DUMMYFUNCTION("GOOGLETRANSLATE(B117, ""en"", ""id"")"),"A) Menegakkan keputusan yang salah, B) Memberikan poin kepada tim yang dirugikan, C) Memerintahkan pertandingan ulang (""let""), D) Memberikan peringatan kepada hakim garis")</f>
        <v>A) Menegakkan keputusan yang salah, B) Memberikan poin kepada tim yang dirugikan, C) Memerintahkan pertandingan ulang ("let"), D) Memberikan peringatan kepada hakim garis</v>
      </c>
      <c r="H117" s="4" t="str">
        <f>IFERROR(__xludf.DUMMYFUNCTION("GOOGLETRANSLATE(C117, ""en"", ""id"")"),"C) Memerintahkan untuk melakukan replay (""biarkan"")")</f>
        <v>C) Memerintahkan untuk melakukan replay ("biarkan")</v>
      </c>
      <c r="I117" s="4" t="str">
        <f>IFERROR(__xludf.DUMMYFUNCTION("GOOGLETRANSLATE(D117, ""en"", ""id"")"),"Jika kesalahan wasit menghentikan reli sebelum waktunya, tindakan yang paling adil adalah mengulang poin tersebut.")</f>
        <v>Jika kesalahan wasit menghentikan reli sebelum waktunya, tindakan yang paling adil adalah mengulang poin tersebut.</v>
      </c>
    </row>
    <row r="118">
      <c r="A118" s="6" t="s">
        <v>1060</v>
      </c>
      <c r="B118" s="6" t="s">
        <v>1061</v>
      </c>
      <c r="C118" s="6" t="s">
        <v>614</v>
      </c>
      <c r="D118" s="6" t="s">
        <v>1062</v>
      </c>
      <c r="F118" s="4" t="str">
        <f>IFERROR(__xludf.DUMMYFUNCTION("GOOGLETRANSLATE(A118, ""en"", ""id"")"),"Sentuhan ""blok"" (menyentuh bola saat diblok) dihitung sebagai berapa dari tiga sentuhan tim?")</f>
        <v>Sentuhan "blok" (menyentuh bola saat diblok) dihitung sebagai berapa dari tiga sentuhan tim?</v>
      </c>
      <c r="G118" s="4" t="str">
        <f>IFERROR(__xludf.DUMMYFUNCTION("GOOGLETRANSLATE(B118, ""en"", ""id"")"),"A) Nol, B) Satu, C) Dua, D) Itu adalah kesalahan")</f>
        <v>A) Nol, B) Satu, C) Dua, D) Itu adalah kesalahan</v>
      </c>
      <c r="H118" s="4" t="str">
        <f>IFERROR(__xludf.DUMMYFUNCTION("GOOGLETRANSLATE(C118, ""en"", ""id"")"),"B) Satu")</f>
        <v>B) Satu</v>
      </c>
      <c r="I118" s="4" t="str">
        <f>IFERROR(__xludf.DUMMYFUNCTION("GOOGLETRANSLATE(D118, ""en"", ""id"")"),"Tidak seperti dalam bola voli, sentuhan pada blok dihitung sebagai sentuhan pertama tim.")</f>
        <v>Tidak seperti dalam bola voli, sentuhan pada blok dihitung sebagai sentuhan pertama tim.</v>
      </c>
    </row>
    <row r="119">
      <c r="A119" s="6" t="s">
        <v>1063</v>
      </c>
      <c r="B119" s="6" t="s">
        <v>1064</v>
      </c>
      <c r="C119" s="6" t="s">
        <v>1065</v>
      </c>
      <c r="D119" s="6" t="s">
        <v>1066</v>
      </c>
      <c r="F119" s="4" t="str">
        <f>IFERROR(__xludf.DUMMYFUNCTION("GOOGLETRANSLATE(A119, ""en"", ""id"")"),"Apa bahan utama yang digunakan untuk net dalam kompetisi resmi?")</f>
        <v>Apa bahan utama yang digunakan untuk net dalam kompetisi resmi?</v>
      </c>
      <c r="G119" s="4" t="str">
        <f>IFERROR(__xludf.DUMMYFUNCTION("GOOGLETRANSLATE(B119, ""en"", ""id"")"),"A) Katun, B) Tali nilon halus, C) Kawat logam, D) Jaring plastik")</f>
        <v>A) Katun, B) Tali nilon halus, C) Kawat logam, D) Jaring plastik</v>
      </c>
      <c r="H119" s="4" t="str">
        <f>IFERROR(__xludf.DUMMYFUNCTION("GOOGLETRANSLATE(C119, ""en"", ""id"")"),"B) Tali nilon halus")</f>
        <v>B) Tali nilon halus</v>
      </c>
      <c r="I119" s="4" t="str">
        <f>IFERROR(__xludf.DUMMYFUNCTION("GOOGLETRANSLATE(D119, ""en"", ""id"")"),"Jaring biasanya terbuat dari tali nilon halus atau bahan sintetis serupa, dengan pita di bagian atas dan bawah.")</f>
        <v>Jaring biasanya terbuat dari tali nilon halus atau bahan sintetis serupa, dengan pita di bagian atas dan bawah.</v>
      </c>
    </row>
    <row r="120">
      <c r="A120" s="6" t="s">
        <v>1067</v>
      </c>
      <c r="B120" s="6" t="s">
        <v>1068</v>
      </c>
      <c r="C120" s="6" t="s">
        <v>1069</v>
      </c>
      <c r="D120" s="6" t="s">
        <v>1070</v>
      </c>
      <c r="F120" s="4" t="str">
        <f>IFERROR(__xludf.DUMMYFUNCTION("GOOGLETRANSLATE(A120, ""en"", ""id"")"),"Selama lemparan koin, apa dua pilihan yang diberikan kepada pemenang?")</f>
        <v>Selama lemparan koin, apa dua pilihan yang diberikan kepada pemenang?</v>
      </c>
      <c r="G120" s="4" t="str">
        <f>IFERROR(__xludf.DUMMYFUNCTION("GOOGLETRANSLATE(B120, ""en"", ""id"")"),"A) Melayani atau Menerima, B) Sisi atau Melayani, C) Bola atau Sisi, D) Melayani atau Menunda")</f>
        <v>A) Melayani atau Menerima, B) Sisi atau Melayani, C) Bola atau Sisi, D) Melayani atau Menunda</v>
      </c>
      <c r="H120" s="4" t="str">
        <f>IFERROR(__xludf.DUMMYFUNCTION("GOOGLETRANSLATE(C120, ""en"", ""id"")"),"B) Sampingan atau Sajian")</f>
        <v>B) Sampingan atau Sajian</v>
      </c>
      <c r="I120" s="4" t="str">
        <f>IFERROR(__xludf.DUMMYFUNCTION("GOOGLETRANSLATE(D120, ""en"", ""id"")"),"Pemenang undian dapat memilih untuk melakukan servis terlebih dahulu atau memilih sisi lapangan mana yang mereka inginkan untuk memulai.")</f>
        <v>Pemenang undian dapat memilih untuk melakukan servis terlebih dahulu atau memilih sisi lapangan mana yang mereka inginkan untuk memulai.</v>
      </c>
    </row>
    <row r="121">
      <c r="A121" s="6" t="s">
        <v>1071</v>
      </c>
      <c r="B121" s="6" t="s">
        <v>1072</v>
      </c>
      <c r="C121" s="6" t="s">
        <v>1073</v>
      </c>
      <c r="D121" s="6" t="s">
        <v>1074</v>
      </c>
      <c r="F121" s="4" t="str">
        <f>IFERROR(__xludf.DUMMYFUNCTION("GOOGLETRANSLATE(A121, ""en"", ""id"")"),"Jika tim yang melakukan servis memenangkan satu poin, siapa yang melakukan servis pada poin berikutnya?")</f>
        <v>Jika tim yang melakukan servis memenangkan satu poin, siapa yang melakukan servis pada poin berikutnya?</v>
      </c>
      <c r="G121" s="4" t="str">
        <f>IFERROR(__xludf.DUMMYFUNCTION("GOOGLETRANSLATE(B121, ""en"", ""id"")"),"A) Server yang sama (Tekong), B) Apit Kanan, C) Apit Kiri, D) Mereka bergiliran server")</f>
        <v>A) Server yang sama (Tekong), B) Apit Kanan, C) Apit Kiri, D) Mereka bergiliran server</v>
      </c>
      <c r="H121" s="4" t="str">
        <f>IFERROR(__xludf.DUMMYFUNCTION("GOOGLETRANSLATE(C121, ""en"", ""id"")"),"A) Server yang sama (Tekong)")</f>
        <v>A) Server yang sama (Tekong)</v>
      </c>
      <c r="I121" s="4" t="str">
        <f>IFERROR(__xludf.DUMMYFUNCTION("GOOGLETRANSLATE(D121, ""en"", ""id"")"),"Servis tidak berganti setelah setiap poin. Tekong yang sama akan terus melakukan servis selama timnya menjadi tim yang melakukan servis.")</f>
        <v>Servis tidak berganti setelah setiap poin. Tekong yang sama akan terus melakukan servis selama timnya menjadi tim yang melakukan servis.</v>
      </c>
    </row>
    <row r="122">
      <c r="A122" s="6" t="s">
        <v>1075</v>
      </c>
      <c r="B122" s="6" t="s">
        <v>1076</v>
      </c>
      <c r="C122" s="6" t="s">
        <v>1077</v>
      </c>
      <c r="D122" s="6" t="s">
        <v>1078</v>
      </c>
      <c r="F122" s="4" t="str">
        <f>IFERROR(__xludf.DUMMYFUNCTION("GOOGLETRANSLATE(A122, ""en"", ""id"")"),"Apa nama untuk kategori acara di mana tim terdiri dari 2 pemain?")</f>
        <v>Apa nama untuk kategori acara di mana tim terdiri dari 2 pemain?</v>
      </c>
      <c r="G122" s="4" t="str">
        <f>IFERROR(__xludf.DUMMYFUNCTION("GOOGLETRANSLATE(B122, ""en"", ""id"")"),"A) Mini-takraw, B) Speed-takraw, C) Doubles (Bergu), D) Head-to-head")</f>
        <v>A) Mini-takraw, B) Speed-takraw, C) Doubles (Bergu), D) Head-to-head</v>
      </c>
      <c r="H122" s="4" t="str">
        <f>IFERROR(__xludf.DUMMYFUNCTION("GOOGLETRANSLATE(C122, ""en"", ""id"")"),"C) Ganda (Bergu)")</f>
        <v>C) Ganda (Bergu)</v>
      </c>
      <c r="I122" s="4" t="str">
        <f>IFERROR(__xludf.DUMMYFUNCTION("GOOGLETRANSLATE(D122, ""en"", ""id"")"),"Acara ganda, dengan dua pemain di setiap sisi, merupakan variasi populer dari format regu tiga pemain standar.")</f>
        <v>Acara ganda, dengan dua pemain di setiap sisi, merupakan variasi populer dari format regu tiga pemain standar.</v>
      </c>
    </row>
    <row r="123">
      <c r="A123" s="6" t="s">
        <v>1079</v>
      </c>
      <c r="B123" s="6" t="s">
        <v>1080</v>
      </c>
      <c r="C123" s="6" t="s">
        <v>877</v>
      </c>
      <c r="D123" s="6" t="s">
        <v>1081</v>
      </c>
      <c r="F123" s="4" t="str">
        <f>IFERROR(__xludf.DUMMYFUNCTION("GOOGLETRANSLATE(A123, ""en"", ""id"")"),"Apakah suatu kesalahan jika tindak lanjut seorang pemain dari sebuah tendangan menyebabkan dia menyentuh tanah di bawah gawang dengan tangannya?")</f>
        <v>Apakah suatu kesalahan jika tindak lanjut seorang pemain dari sebuah tendangan menyebabkan dia menyentuh tanah di bawah gawang dengan tangannya?</v>
      </c>
      <c r="G123" s="4" t="str">
        <f>IFERROR(__xludf.DUMMYFUNCTION("GOOGLETRANSLATE(B123, ""en"", ""id"")"),"A) Tidak, jika bola sudah melewati batas, B) Ya, itu adalah kesalahan, C) Hanya jika mereka mengganggu lawan, D) Peringatan diberikan")</f>
        <v>A) Tidak, jika bola sudah melewati batas, B) Ya, itu adalah kesalahan, C) Hanya jika mereka mengganggu lawan, D) Peringatan diberikan</v>
      </c>
      <c r="H123" s="4" t="str">
        <f>IFERROR(__xludf.DUMMYFUNCTION("GOOGLETRANSLATE(C123, ""en"", ""id"")"),"B) Ya, itu adalah sebuah kesalahan")</f>
        <v>B) Ya, itu adalah sebuah kesalahan</v>
      </c>
      <c r="I123" s="4" t="str">
        <f>IFERROR(__xludf.DUMMYFUNCTION("GOOGLETRANSLATE(D123, ""en"", ""id"")"),"Bagian tubuh pemain mana pun yang melewati garis tengah tanah dan masuk ke lapangan lawan merupakan kesalahan.")</f>
        <v>Bagian tubuh pemain mana pun yang melewati garis tengah tanah dan masuk ke lapangan lawan merupakan kesalahan.</v>
      </c>
    </row>
    <row r="124">
      <c r="A124" s="6" t="s">
        <v>1082</v>
      </c>
      <c r="B124" s="6" t="s">
        <v>1083</v>
      </c>
      <c r="C124" s="6" t="s">
        <v>1084</v>
      </c>
      <c r="D124" s="6" t="s">
        <v>1085</v>
      </c>
      <c r="F124" s="4" t="str">
        <f>IFERROR(__xludf.DUMMYFUNCTION("GOOGLETRANSLATE(A124, ""en"", ""id"")"),"Negara Asia Tenggara manakah yang menganggap Sepak Takraw sebagai olahraga nasionalnya?")</f>
        <v>Negara Asia Tenggara manakah yang menganggap Sepak Takraw sebagai olahraga nasionalnya?</v>
      </c>
      <c r="G124" s="4" t="str">
        <f>IFERROR(__xludf.DUMMYFUNCTION("GOOGLETRANSLATE(B124, ""en"", ""id"")"),"A) Indonesia, B) Vietnam, C) Malaysia, D) Filipina")</f>
        <v>A) Indonesia, B) Vietnam, C) Malaysia, D) Filipina</v>
      </c>
      <c r="H124" s="4" t="str">
        <f>IFERROR(__xludf.DUMMYFUNCTION("GOOGLETRANSLATE(C124, ""en"", ""id"")"),"C) Malaysia")</f>
        <v>C) Malaysia</v>
      </c>
      <c r="I124" s="4" t="str">
        <f>IFERROR(__xludf.DUMMYFUNCTION("GOOGLETRANSLATE(D124, ""en"", ""id"")"),"Sepak Takraw secara resmi diakui sebagai olahraga nasional Malaysia.")</f>
        <v>Sepak Takraw secara resmi diakui sebagai olahraga nasional Malaysia.</v>
      </c>
    </row>
    <row r="125">
      <c r="A125" s="6" t="s">
        <v>1086</v>
      </c>
      <c r="B125" s="6" t="s">
        <v>93</v>
      </c>
      <c r="C125" s="6" t="s">
        <v>1087</v>
      </c>
      <c r="D125" s="6" t="s">
        <v>1088</v>
      </c>
      <c r="F125" s="4" t="str">
        <f>IFERROR(__xludf.DUMMYFUNCTION("GOOGLETRANSLATE(A125, ""en"", ""id"")"),"Berapa jumlah maksimum panel (anyaman) yang diizinkan dalam bola Sepak Takraw?")</f>
        <v>Berapa jumlah maksimum panel (anyaman) yang diizinkan dalam bola Sepak Takraw?</v>
      </c>
      <c r="G125" s="4" t="str">
        <f>IFERROR(__xludf.DUMMYFUNCTION("GOOGLETRANSLATE(B125, ""en"", ""id"")"),"A) 10, B) 12, C) 14, D) 16")</f>
        <v>A) 10, B) 12, C) 14, D) 16</v>
      </c>
      <c r="H125" s="4" t="str">
        <f>IFERROR(__xludf.DUMMYFUNCTION("GOOGLETRANSLATE(C125, ""en"", ""id"")"),"B) 12")</f>
        <v>B) 12</v>
      </c>
      <c r="I125" s="4" t="str">
        <f>IFERROR(__xludf.DUMMYFUNCTION("GOOGLETRANSLATE(D125, ""en"", ""id"")"),"Bola Sepak Takraw resmi secara tradisional ditenun dengan 12 panel.")</f>
        <v>Bola Sepak Takraw resmi secara tradisional ditenun dengan 12 panel.</v>
      </c>
    </row>
    <row r="126">
      <c r="A126" s="6" t="s">
        <v>1089</v>
      </c>
      <c r="B126" s="6" t="s">
        <v>73</v>
      </c>
      <c r="C126" s="6" t="s">
        <v>10</v>
      </c>
      <c r="D126" s="6" t="s">
        <v>1090</v>
      </c>
      <c r="F126" s="4" t="str">
        <f>IFERROR(__xludf.DUMMYFUNCTION("GOOGLETRANSLATE(A126, ""en"", ""id"")"),"Berapa poin yang harus diraih sebuah tim agar dapat memenangi set penentuan?")</f>
        <v>Berapa poin yang harus diraih sebuah tim agar dapat memenangi set penentuan?</v>
      </c>
      <c r="G126" s="4" t="str">
        <f>IFERROR(__xludf.DUMMYFUNCTION("GOOGLETRANSLATE(B126, ""en"", ""id"")"),"A) 1, B) 2, C) 3, D) 5")</f>
        <v>A) 1, B) 2, C) 3, D) 5</v>
      </c>
      <c r="H126" s="4" t="str">
        <f>IFERROR(__xludf.DUMMYFUNCTION("GOOGLETRANSLATE(C126, ""en"", ""id"")"),"B) 2")</f>
        <v>B) 2</v>
      </c>
      <c r="I126" s="4" t="str">
        <f>IFERROR(__xludf.DUMMYFUNCTION("GOOGLETRANSLATE(D126, ""en"", ""id"")"),"Mirip dengan set standar, suatu tim harus memenangkan tie-breaker dengan selisih minimal dua poin.")</f>
        <v>Mirip dengan set standar, suatu tim harus memenangkan tie-breaker dengan selisih minimal dua poin.</v>
      </c>
    </row>
    <row r="127">
      <c r="A127" s="6" t="s">
        <v>1091</v>
      </c>
      <c r="B127" s="6" t="s">
        <v>1092</v>
      </c>
      <c r="C127" s="6" t="s">
        <v>1093</v>
      </c>
      <c r="D127" s="6" t="s">
        <v>1094</v>
      </c>
      <c r="F127" s="4" t="str">
        <f>IFERROR(__xludf.DUMMYFUNCTION("GOOGLETRANSLATE(A127, ""en"", ""id"")"),"Apa istilah untuk memukul bola dengan bagian dalam kaki?")</f>
        <v>Apa istilah untuk memukul bola dengan bagian dalam kaki?</v>
      </c>
      <c r="G127" s="4" t="str">
        <f>IFERROR(__xludf.DUMMYFUNCTION("GOOGLETRANSLATE(B127, ""en"", ""id"")"),"A) Tendangan dalam, B) Tendangan kaki, C) Tendangan tumit, D) Tendangan samping")</f>
        <v>A) Tendangan dalam, B) Tendangan kaki, C) Tendangan tumit, D) Tendangan samping</v>
      </c>
      <c r="H127" s="4" t="str">
        <f>IFERROR(__xludf.DUMMYFUNCTION("GOOGLETRANSLATE(C127, ""en"", ""id"")"),"A) Tendangan dalam")</f>
        <v>A) Tendangan dalam</v>
      </c>
      <c r="I127" s="4" t="str">
        <f>IFERROR(__xludf.DUMMYFUNCTION("GOOGLETRANSLATE(D127, ""en"", ""id"")"),"Ini adalah cara yang paling umum dan terkendali untuk mengoper atau mengatur bola.")</f>
        <v>Ini adalah cara yang paling umum dan terkendali untuk mengoper atau mengatur bola.</v>
      </c>
    </row>
    <row r="128">
      <c r="A128" s="6" t="s">
        <v>1095</v>
      </c>
      <c r="B128" s="6" t="s">
        <v>1096</v>
      </c>
      <c r="C128" s="6" t="s">
        <v>1097</v>
      </c>
      <c r="D128" s="6" t="s">
        <v>1098</v>
      </c>
      <c r="F128" s="4" t="str">
        <f>IFERROR(__xludf.DUMMYFUNCTION("GOOGLETRANSLATE(A128, ""en"", ""id"")"),"Apakah seorang pemain boleh menggunakan dadanya untuk menendang bola melewati net secara legal?")</f>
        <v>Apakah seorang pemain boleh menggunakan dadanya untuk menendang bola melewati net secara legal?</v>
      </c>
      <c r="G128" s="4" t="str">
        <f>IFERROR(__xludf.DUMMYFUNCTION("GOOGLETRANSLATE(B128, ""en"", ""id"")"),"A) Tidak, hanya kepala dan kaki, B) Ya, itu adalah sentuhan yang sah, C) Hanya jika itu adalah sentuhan pertama, D) Itu adalah kesalahan")</f>
        <v>A) Tidak, hanya kepala dan kaki, B) Ya, itu adalah sentuhan yang sah, C) Hanya jika itu adalah sentuhan pertama, D) Itu adalah kesalahan</v>
      </c>
      <c r="H128" s="4" t="str">
        <f>IFERROR(__xludf.DUMMYFUNCTION("GOOGLETRANSLATE(C128, ""en"", ""id"")"),"B) Ya, itu sentuhan hukum")</f>
        <v>B) Ya, itu sentuhan hukum</v>
      </c>
      <c r="I128" s="4" t="str">
        <f>IFERROR(__xludf.DUMMYFUNCTION("GOOGLETRANSLATE(D128, ""en"", ""id"")"),"Dada adalah bagian tubuh yang sah digunakan untuk mengontrol atau mengirim bola melewati net.")</f>
        <v>Dada adalah bagian tubuh yang sah digunakan untuk mengontrol atau mengirim bola melewati net.</v>
      </c>
    </row>
    <row r="129">
      <c r="A129" s="6" t="s">
        <v>1099</v>
      </c>
      <c r="B129" s="6" t="s">
        <v>1100</v>
      </c>
      <c r="C129" s="6" t="s">
        <v>1101</v>
      </c>
      <c r="D129" s="6" t="s">
        <v>1102</v>
      </c>
      <c r="F129" s="4" t="str">
        <f>IFERROR(__xludf.DUMMYFUNCTION("GOOGLETRANSLATE(A129, ""en"", ""id"")"),"Apa hukumnya jika pemain dari tim penerima berteriak tepat pada saat server sedang menendang bola?")</f>
        <v>Apa hukumnya jika pemain dari tim penerima berteriak tepat pada saat server sedang menendang bola?</v>
      </c>
      <c r="G129" s="4" t="str">
        <f>IFERROR(__xludf.DUMMYFUNCTION("GOOGLETRANSLATE(B129, ""en"", ""id"")"),"A) Tidak ada penalti, B) Poin diberikan kepada tim yang melakukan servis, C) Server mendapat servis ulang, D) Kartu kuning dikeluarkan")</f>
        <v>A) Tidak ada penalti, B) Poin diberikan kepada tim yang melakukan servis, C) Server mendapat servis ulang, D) Kartu kuning dikeluarkan</v>
      </c>
      <c r="H129" s="4" t="str">
        <f>IFERROR(__xludf.DUMMYFUNCTION("GOOGLETRANSLATE(C129, ""en"", ""id"")"),"B) Poin diberikan kepada tim yang melakukan servis")</f>
        <v>B) Poin diberikan kepada tim yang melakukan servis</v>
      </c>
      <c r="I129" s="4" t="str">
        <f>IFERROR(__xludf.DUMMYFUNCTION("GOOGLETRANSLATE(D129, ""en"", ""id"")"),"Hal ini dianggap sebagai perilaku tidak sportif yang bertujuan untuk mengganggu servis, sehingga menghasilkan poin bagi pelaku servis.")</f>
        <v>Hal ini dianggap sebagai perilaku tidak sportif yang bertujuan untuk mengganggu servis, sehingga menghasilkan poin bagi pelaku servis.</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5.75"/>
    <col customWidth="1" min="4" max="4" width="37.63"/>
    <col customWidth="1" min="6" max="7" width="37.63"/>
    <col customWidth="1" min="8" max="8" width="32.63"/>
    <col customWidth="1" min="9" max="9" width="37.63"/>
  </cols>
  <sheetData>
    <row r="1">
      <c r="A1" s="9" t="s">
        <v>0</v>
      </c>
      <c r="B1" s="9" t="s">
        <v>1</v>
      </c>
      <c r="C1" s="9" t="s">
        <v>2</v>
      </c>
      <c r="D1" s="9" t="s">
        <v>3</v>
      </c>
      <c r="F1" s="2" t="s">
        <v>4</v>
      </c>
      <c r="G1" s="2" t="s">
        <v>5</v>
      </c>
      <c r="H1" s="2" t="s">
        <v>6</v>
      </c>
      <c r="I1" s="2" t="s">
        <v>7</v>
      </c>
    </row>
    <row r="2">
      <c r="A2" s="3" t="s">
        <v>1103</v>
      </c>
      <c r="B2" s="4" t="s">
        <v>1104</v>
      </c>
      <c r="C2" s="4" t="s">
        <v>1105</v>
      </c>
      <c r="D2" s="4" t="s">
        <v>1106</v>
      </c>
      <c r="F2" s="4" t="str">
        <f>IFERROR(__xludf.DUMMYFUNCTION("GOOGLETRANSLATE(A2, ""en"", ""id"")"),"Dalam Tarung Derajat, apa akibatnya jika seorang pesilat berulang kali keluar ring tanpa ada paksaan?")</f>
        <v>Dalam Tarung Derajat, apa akibatnya jika seorang pesilat berulang kali keluar ring tanpa ada paksaan?</v>
      </c>
      <c r="G2" s="4" t="str">
        <f>IFERROR(__xludf.DUMMYFUNCTION("GOOGLETRANSLATE(B2, ""en"", ""id"")"),"A) Hanya peringatan, B) Diskualifikasi otomatis, C) Pengurangan poin, D) Mulai ulang di tengah")</f>
        <v>A) Hanya peringatan, B) Diskualifikasi otomatis, C) Pengurangan poin, D) Mulai ulang di tengah</v>
      </c>
      <c r="H2" s="4" t="str">
        <f>IFERROR(__xludf.DUMMYFUNCTION("GOOGLETRANSLATE(C2, ""en"", ""id"")"),"C) Pengurangan poin")</f>
        <v>C) Pengurangan poin</v>
      </c>
      <c r="I2" s="4" t="str">
        <f>IFERROR(__xludf.DUMMYFUNCTION("GOOGLETRANSLATE(D2, ""en"", ""id"")"),"Keluar secara sukarela yang berulang akan dikenakan penalti untuk mencegah penundaan.")</f>
        <v>Keluar secara sukarela yang berulang akan dikenakan penalti untuk mencegah penundaan.</v>
      </c>
    </row>
    <row r="3">
      <c r="A3" s="3" t="s">
        <v>1107</v>
      </c>
      <c r="B3" s="4" t="s">
        <v>1108</v>
      </c>
      <c r="C3" s="4" t="s">
        <v>1109</v>
      </c>
      <c r="D3" s="4" t="s">
        <v>1110</v>
      </c>
      <c r="F3" s="4" t="str">
        <f>IFERROR(__xludf.DUMMYFUNCTION("GOOGLETRANSLATE(A3, ""en"", ""id"")"),"Jika seorang petarung jatuh tanpa terkena pukulan, apa keputusan wasit?")</f>
        <v>Jika seorang petarung jatuh tanpa terkena pukulan, apa keputusan wasit?</v>
      </c>
      <c r="G3" s="4" t="str">
        <f>IFERROR(__xludf.DUMMYFUNCTION("GOOGLETRANSLATE(B3, ""en"", ""id"")"),"A) Tergelincir, B) Knockdown, C) Foul, D) Reset netral")</f>
        <v>A) Tergelincir, B) Knockdown, C) Foul, D) Reset netral</v>
      </c>
      <c r="H3" s="4" t="str">
        <f>IFERROR(__xludf.DUMMYFUNCTION("GOOGLETRANSLATE(C3, ""en"", ""id"")"),"A) Tergelincir")</f>
        <v>A) Tergelincir</v>
      </c>
      <c r="I3" s="4" t="str">
        <f>IFERROR(__xludf.DUMMYFUNCTION("GOOGLETRANSLATE(D3, ""en"", ""id"")"),"Tergelincir terjadi tanpa adanya dampak pada lawan.")</f>
        <v>Tergelincir terjadi tanpa adanya dampak pada lawan.</v>
      </c>
    </row>
    <row r="4">
      <c r="A4" s="3" t="s">
        <v>1111</v>
      </c>
      <c r="B4" s="4" t="s">
        <v>1112</v>
      </c>
      <c r="C4" s="4" t="s">
        <v>1113</v>
      </c>
      <c r="D4" s="4" t="s">
        <v>1114</v>
      </c>
      <c r="F4" s="4" t="str">
        <f>IFERROR(__xludf.DUMMYFUNCTION("GOOGLETRANSLATE(A4, ""en"", ""id"")"),"Gerakan mana yang dianggap penghindaran ilegal?")</f>
        <v>Gerakan mana yang dianggap penghindaran ilegal?</v>
      </c>
      <c r="G4" s="4" t="str">
        <f>IFERROR(__xludf.DUMMYFUNCTION("GOOGLETRANSLATE(B4, ""en"", ""id"")"),"A) Melangkah ke samping, B) Berputar ke belakang dan berlari, C) Menunduk, D) Menenun")</f>
        <v>A) Melangkah ke samping, B) Berputar ke belakang dan berlari, C) Menunduk, D) Menenun</v>
      </c>
      <c r="H4" s="4" t="str">
        <f>IFERROR(__xludf.DUMMYFUNCTION("GOOGLETRANSLATE(C4, ""en"", ""id"")"),"B) Berbalik dan berlari")</f>
        <v>B) Berbalik dan berlari</v>
      </c>
      <c r="I4" s="4" t="str">
        <f>IFERROR(__xludf.DUMMYFUNCTION("GOOGLETRANSLATE(D4, ""en"", ""id"")"),"Mundur dengan punggung menghadap ke belakang akan dikenakan penalti.")</f>
        <v>Mundur dengan punggung menghadap ke belakang akan dikenakan penalti.</v>
      </c>
    </row>
    <row r="5">
      <c r="A5" s="3" t="s">
        <v>1115</v>
      </c>
      <c r="B5" s="4" t="s">
        <v>1116</v>
      </c>
      <c r="C5" s="4" t="s">
        <v>1117</v>
      </c>
      <c r="D5" s="4" t="s">
        <v>1118</v>
      </c>
      <c r="F5" s="4" t="str">
        <f>IFERROR(__xludf.DUMMYFUNCTION("GOOGLETRANSLATE(A5, ""en"", ""id"")"),"Berapa jarak minimum yang sah sebelum melancarkan tendangan berputar?")</f>
        <v>Berapa jarak minimum yang sah sebelum melancarkan tendangan berputar?</v>
      </c>
      <c r="G5" s="4" t="str">
        <f>IFERROR(__xludf.DUMMYFUNCTION("GOOGLETRANSLATE(B5, ""en"", ""id"")"),"A) Setengah langkah, B) Satu langkah, C) Tidak ada minimum, D) Tergantung pada panggilan wasit")</f>
        <v>A) Setengah langkah, B) Satu langkah, C) Tidak ada minimum, D) Tergantung pada panggilan wasit</v>
      </c>
      <c r="H5" s="4" t="str">
        <f>IFERROR(__xludf.DUMMYFUNCTION("GOOGLETRANSLATE(C5, ""en"", ""id"")"),"C) Tidak ada minimum")</f>
        <v>C) Tidak ada minimum</v>
      </c>
      <c r="I5" s="4" t="str">
        <f>IFERROR(__xludf.DUMMYFUNCTION("GOOGLETRANSLATE(D5, ""en"", ""id"")"),"Namun harus dikontrol dan berada dalam jangkauan serang.")</f>
        <v>Namun harus dikontrol dan berada dalam jangkauan serang.</v>
      </c>
    </row>
    <row r="6">
      <c r="A6" s="3" t="s">
        <v>1119</v>
      </c>
      <c r="B6" s="4" t="s">
        <v>1120</v>
      </c>
      <c r="C6" s="4" t="s">
        <v>1121</v>
      </c>
      <c r="D6" s="4" t="s">
        <v>1122</v>
      </c>
      <c r="F6" s="4" t="str">
        <f>IFERROR(__xludf.DUMMYFUNCTION("GOOGLETRANSLATE(A6, ""en"", ""id"")"),"Postur tubuh manakah yang dapat menyebabkan wasit menghentikan pertandingan untuk sementara?")</f>
        <v>Postur tubuh manakah yang dapat menyebabkan wasit menghentikan pertandingan untuk sementara?</v>
      </c>
      <c r="G6" s="4" t="str">
        <f>IFERROR(__xludf.DUMMYFUNCTION("GOOGLETRANSLATE(B6, ""en"", ""id"")"),"A) Berdiri tegak, B) Berlutut untuk beristirahat, C) Sikap membungkuk setelah pukulan, D) Bertahan tinggi")</f>
        <v>A) Berdiri tegak, B) Berlutut untuk beristirahat, C) Sikap membungkuk setelah pukulan, D) Bertahan tinggi</v>
      </c>
      <c r="H6" s="4" t="str">
        <f>IFERROR(__xludf.DUMMYFUNCTION("GOOGLETRANSLATE(C6, ""en"", ""id"")"),"C) Posisi membungkuk setelah pukulan")</f>
        <v>C) Posisi membungkuk setelah pukulan</v>
      </c>
      <c r="I6" s="4" t="str">
        <f>IFERROR(__xludf.DUMMYFUNCTION("GOOGLETRANSLATE(D6, ""en"", ""id"")"),"posisi berdiri setelah pukulan — Tanda cedera atau ketidakmampuan.")</f>
        <v>posisi berdiri setelah pukulan — Tanda cedera atau ketidakmampuan.</v>
      </c>
    </row>
    <row r="7">
      <c r="A7" s="3" t="s">
        <v>1123</v>
      </c>
      <c r="B7" s="4" t="s">
        <v>1124</v>
      </c>
      <c r="C7" s="4" t="s">
        <v>1125</v>
      </c>
      <c r="D7" s="4" t="s">
        <v>1126</v>
      </c>
      <c r="F7" s="4" t="str">
        <f>IFERROR(__xludf.DUMMYFUNCTION("GOOGLETRANSLATE(A7, ""en"", ""id"")"),"Apa aturannya jika sarung tangan atau tangan petarung menyentuh tanah saat melakukan pukulan?")</f>
        <v>Apa aturannya jika sarung tangan atau tangan petarung menyentuh tanah saat melakukan pukulan?</v>
      </c>
      <c r="G7" s="4" t="str">
        <f>IFERROR(__xludf.DUMMYFUNCTION("GOOGLETRANSLATE(B7, ""en"", ""id"")"),"A) Jumlah serangan, B) Serangan dibatalkan, C) Dianggap knock down, D) Peringatan dikeluarkan")</f>
        <v>A) Jumlah serangan, B) Serangan dibatalkan, C) Dianggap knock down, D) Peringatan dikeluarkan</v>
      </c>
      <c r="H7" s="4" t="str">
        <f>IFERROR(__xludf.DUMMYFUNCTION("GOOGLETRANSLATE(C7, ""en"", ""id"")"),"B) Mogok dibatalkan")</f>
        <v>B) Mogok dibatalkan</v>
      </c>
      <c r="I7" s="4" t="str">
        <f>IFERROR(__xludf.DUMMYFUNCTION("GOOGLETRANSLATE(D7, ""en"", ""id"")"),"Menyerang saat terdampar adalah tindakan ilegal.")</f>
        <v>Menyerang saat terdampar adalah tindakan ilegal.</v>
      </c>
    </row>
    <row r="8">
      <c r="A8" s="3" t="s">
        <v>1127</v>
      </c>
      <c r="B8" s="4" t="s">
        <v>1128</v>
      </c>
      <c r="C8" s="4" t="s">
        <v>1129</v>
      </c>
      <c r="D8" s="4" t="s">
        <v>1130</v>
      </c>
      <c r="F8" s="4" t="str">
        <f>IFERROR(__xludf.DUMMYFUNCTION("GOOGLETRANSLATE(A8, ""en"", ""id"")"),"Dalam ronde kematian mendadak, metode penilaian mana yang ditekankan?")</f>
        <v>Dalam ronde kematian mendadak, metode penilaian mana yang ditekankan?</v>
      </c>
      <c r="G8" s="4" t="str">
        <f>IFERROR(__xludf.DUMMYFUNCTION("GOOGLETRANSLATE(B8, ""en"", ""id"")"),"A) Agresi, B) Serangan bersih, C) Pertahanan, D) Daya tahan")</f>
        <v>A) Agresi, B) Serangan bersih, C) Pertahanan, D) Daya tahan</v>
      </c>
      <c r="H8" s="4" t="str">
        <f>IFERROR(__xludf.DUMMYFUNCTION("GOOGLETRANSLATE(C8, ""en"", ""id"")"),"B) Pukulan bersih")</f>
        <v>B) Pukulan bersih</v>
      </c>
      <c r="I8" s="4" t="str">
        <f>IFERROR(__xludf.DUMMYFUNCTION("GOOGLETRANSLATE(D8, ""en"", ""id"")"),"Ketepatan memutuskan kematian mendadak.")</f>
        <v>Ketepatan memutuskan kematian mendadak.</v>
      </c>
    </row>
    <row r="9">
      <c r="A9" s="3" t="s">
        <v>1131</v>
      </c>
      <c r="B9" s="4" t="s">
        <v>1132</v>
      </c>
      <c r="C9" s="4" t="s">
        <v>1133</v>
      </c>
      <c r="D9" s="4" t="s">
        <v>1134</v>
      </c>
      <c r="F9" s="4" t="str">
        <f>IFERROR(__xludf.DUMMYFUNCTION("GOOGLETRANSLATE(A9, ""en"", ""id"")"),"Jika seorang petarung mendaratkan serangan bersih tetapi juga melangkah keluar ring, apa yang terjadi?")</f>
        <v>Jika seorang petarung mendaratkan serangan bersih tetapi juga melangkah keluar ring, apa yang terjadi?</v>
      </c>
      <c r="G9" s="4" t="str">
        <f>IFERROR(__xludf.DUMMYFUNCTION("GOOGLETRANSLATE(B9, ""en"", ""id"")"),"A) Jumlah poin, B) Strike tidak sah, C) Poin dan foul, D) Kebijaksanaan wasit")</f>
        <v>A) Jumlah poin, B) Strike tidak sah, C) Poin dan foul, D) Kebijaksanaan wasit</v>
      </c>
      <c r="H9" s="4" t="str">
        <f>IFERROR(__xludf.DUMMYFUNCTION("GOOGLETRANSLATE(C9, ""en"", ""id"")"),"C) Baik titik maupun busuk")</f>
        <v>C) Baik titik maupun busuk</v>
      </c>
      <c r="I9" s="4" t="str">
        <f>IFERROR(__xludf.DUMMYFUNCTION("GOOGLETRANSLATE(D9, ""en"", ""id"")"),"Mogok berhasil, tapi kalau keluar dihukum.")</f>
        <v>Mogok berhasil, tapi kalau keluar dihukum.</v>
      </c>
    </row>
    <row r="10">
      <c r="A10" s="3" t="s">
        <v>1135</v>
      </c>
      <c r="B10" s="4" t="s">
        <v>1136</v>
      </c>
      <c r="C10" s="4" t="s">
        <v>1105</v>
      </c>
      <c r="D10" s="4" t="s">
        <v>1137</v>
      </c>
      <c r="F10" s="4" t="str">
        <f>IFERROR(__xludf.DUMMYFUNCTION("GOOGLETRANSLATE(A10, ""en"", ""id"")"),"Apa hukumnya jika pelindung mulut terjatuh dua kali dalam satu putaran?")</f>
        <v>Apa hukumnya jika pelindung mulut terjatuh dua kali dalam satu putaran?</v>
      </c>
      <c r="G10" s="4" t="str">
        <f>IFERROR(__xludf.DUMMYFUNCTION("GOOGLETRANSLATE(B10, ""en"", ""id"")"),"A) Tidak ada tindakan, B) Peringatan, C) Pengurangan poin, D) Pertarungan dihentikan")</f>
        <v>A) Tidak ada tindakan, B) Peringatan, C) Pengurangan poin, D) Pertarungan dihentikan</v>
      </c>
      <c r="H10" s="4" t="str">
        <f>IFERROR(__xludf.DUMMYFUNCTION("GOOGLETRANSLATE(C10, ""en"", ""id"")"),"C) Pengurangan poin")</f>
        <v>C) Pengurangan poin</v>
      </c>
      <c r="I10" s="4" t="str">
        <f>IFERROR(__xludf.DUMMYFUNCTION("GOOGLETRANSLATE(D10, ""en"", ""id"")"),"Kehilangan pelindung mulut berulang kali akan mengganggu alur pertarungan.")</f>
        <v>Kehilangan pelindung mulut berulang kali akan mengganggu alur pertarungan.</v>
      </c>
    </row>
    <row r="11">
      <c r="A11" s="3" t="s">
        <v>1138</v>
      </c>
      <c r="B11" s="4" t="s">
        <v>1139</v>
      </c>
      <c r="C11" s="4" t="s">
        <v>1140</v>
      </c>
      <c r="D11" s="4" t="s">
        <v>1141</v>
      </c>
      <c r="F11" s="4" t="str">
        <f>IFERROR(__xludf.DUMMYFUNCTION("GOOGLETRANSLATE(A11, ""en"", ""id"")"),"Jika kedua petarung menyerang secara bersamaan, bagaimana penilaian diterapkan?")</f>
        <v>Jika kedua petarung menyerang secara bersamaan, bagaimana penilaian diterapkan?</v>
      </c>
      <c r="G11" s="4" t="str">
        <f>IFERROR(__xludf.DUMMYFUNCTION("GOOGLETRANSLATE(B11, ""en"", ""id"")"),"A) Keduanya mendapat poin, B) Tidak ada poin, C) Wasit memutuskan dampak yang lebih kuat, D) Tayangan ulang ditinjau")</f>
        <v>A) Keduanya mendapat poin, B) Tidak ada poin, C) Wasit memutuskan dampak yang lebih kuat, D) Tayangan ulang ditinjau</v>
      </c>
      <c r="H11" s="4" t="str">
        <f>IFERROR(__xludf.DUMMYFUNCTION("GOOGLETRANSLATE(C11, ""en"", ""id"")"),"A) Keduanya mendapatkan poin")</f>
        <v>A) Keduanya mendapatkan poin</v>
      </c>
      <c r="I11" s="4" t="str">
        <f>IFERROR(__xludf.DUMMYFUNCTION("GOOGLETRANSLATE(D11, ""en"", ""id"")"),"Jika serangan mendarat bersih secara bersamaan.")</f>
        <v>Jika serangan mendarat bersih secara bersamaan.</v>
      </c>
    </row>
    <row r="12">
      <c r="A12" s="3" t="s">
        <v>1142</v>
      </c>
      <c r="B12" s="4" t="s">
        <v>1143</v>
      </c>
      <c r="C12" s="4" t="s">
        <v>1144</v>
      </c>
      <c r="D12" s="4" t="s">
        <v>1145</v>
      </c>
      <c r="F12" s="4" t="str">
        <f>IFERROR(__xludf.DUMMYFUNCTION("GOOGLETRANSLATE(A12, ""en"", ""id"")"),"Taktik manakah yang tidak dianjurkan meski legal?")</f>
        <v>Taktik manakah yang tidak dianjurkan meski legal?</v>
      </c>
      <c r="G12" s="4" t="str">
        <f>IFERROR(__xludf.DUMMYFUNCTION("GOOGLETRANSLATE(B12, ""en"", ""id"")"),"A) Lingkaran pertahanan yang berlebihan, B) Clinch pendek, C) Pukulan balik, D) Tendangan rendah")</f>
        <v>A) Lingkaran pertahanan yang berlebihan, B) Clinch pendek, C) Pukulan balik, D) Tendangan rendah</v>
      </c>
      <c r="H12" s="4" t="str">
        <f>IFERROR(__xludf.DUMMYFUNCTION("GOOGLETRANSLATE(C12, ""en"", ""id"")"),"A) Lingkaran pertahanan yang berlebihan")</f>
        <v>A) Lingkaran pertahanan yang berlebihan</v>
      </c>
      <c r="I12" s="4" t="str">
        <f>IFERROR(__xludf.DUMMYFUNCTION("GOOGLETRANSLATE(D12, ""en"", ""id"")"),"Dianggap sebagai penghambat.")</f>
        <v>Dianggap sebagai penghambat.</v>
      </c>
    </row>
    <row r="13">
      <c r="A13" s="3" t="s">
        <v>1146</v>
      </c>
      <c r="B13" s="4" t="s">
        <v>1147</v>
      </c>
      <c r="C13" s="4" t="s">
        <v>1148</v>
      </c>
      <c r="D13" s="4" t="s">
        <v>1149</v>
      </c>
      <c r="F13" s="4" t="str">
        <f>IFERROR(__xludf.DUMMYFUNCTION("GOOGLETRANSLATE(A13, ""en"", ""id"")"),"Apa yang terjadi jika seorang petarung tetap menyerang setelah wasit memberi aba-aba istirahat?")</f>
        <v>Apa yang terjadi jika seorang petarung tetap menyerang setelah wasit memberi aba-aba istirahat?</v>
      </c>
      <c r="G13" s="4" t="str">
        <f>IFERROR(__xludf.DUMMYFUNCTION("GOOGLETRANSLATE(B13, ""en"", ""id"")"),"A) Diskualifikasi langsung, B) Pengurangan poin, C) Hanya peringatan, D) Lawan diberi kemenangan")</f>
        <v>A) Diskualifikasi langsung, B) Pengurangan poin, C) Hanya peringatan, D) Lawan diberi kemenangan</v>
      </c>
      <c r="H13" s="4" t="str">
        <f>IFERROR(__xludf.DUMMYFUNCTION("GOOGLETRANSLATE(C13, ""en"", ""id"")"),"B) Pengurangan poin")</f>
        <v>B) Pengurangan poin</v>
      </c>
      <c r="I13" s="4" t="str">
        <f>IFERROR(__xludf.DUMMYFUNCTION("GOOGLETRANSLATE(D13, ""en"", ""id"")"),"Pemogokan pasca-istirahat dikenakan sanksi.")</f>
        <v>Pemogokan pasca-istirahat dikenakan sanksi.</v>
      </c>
    </row>
    <row r="14">
      <c r="A14" s="3" t="s">
        <v>1150</v>
      </c>
      <c r="B14" s="4" t="s">
        <v>1151</v>
      </c>
      <c r="C14" s="4" t="s">
        <v>1152</v>
      </c>
      <c r="D14" s="4" t="s">
        <v>1153</v>
      </c>
      <c r="F14" s="4" t="str">
        <f>IFERROR(__xludf.DUMMYFUNCTION("GOOGLETRANSLATE(A14, ""en"", ""id"")"),"Berapa waktu maksimum yang diizinkan antar ronde?")</f>
        <v>Berapa waktu maksimum yang diizinkan antar ronde?</v>
      </c>
      <c r="G14" s="4" t="str">
        <f>IFERROR(__xludf.DUMMYFUNCTION("GOOGLETRANSLATE(B14, ""en"", ""id"")"),"A) 30 detik, B) 45 detik, C) 60 detik, D) 90 detik")</f>
        <v>A) 30 detik, B) 45 detik, C) 60 detik, D) 90 detik</v>
      </c>
      <c r="H14" s="4" t="str">
        <f>IFERROR(__xludf.DUMMYFUNCTION("GOOGLETRANSLATE(C14, ""en"", ""id"")"),"C) 60 detik")</f>
        <v>C) 60 detik</v>
      </c>
      <c r="I14" s="4" t="str">
        <f>IFERROR(__xludf.DUMMYFUNCTION("GOOGLETRANSLATE(D14, ""en"", ""id"")"),"Waktu istirahat standar.")</f>
        <v>Waktu istirahat standar.</v>
      </c>
    </row>
    <row r="15">
      <c r="A15" s="3" t="s">
        <v>1154</v>
      </c>
      <c r="B15" s="4" t="s">
        <v>1155</v>
      </c>
      <c r="C15" s="4" t="s">
        <v>1156</v>
      </c>
      <c r="D15" s="4" t="s">
        <v>1157</v>
      </c>
      <c r="F15" s="4" t="str">
        <f>IFERROR(__xludf.DUMMYFUNCTION("GOOGLETRANSLATE(A15, ""en"", ""id"")"),"Kapan seorang pelatih secara sah dapat memberi isyarat kepada wasit untuk berhenti?")</f>
        <v>Kapan seorang pelatih secara sah dapat memberi isyarat kepada wasit untuk berhenti?</v>
      </c>
      <c r="G15" s="4" t="str">
        <f>IFERROR(__xludf.DUMMYFUNCTION("GOOGLETRANSLATE(B15, ""en"", ""id"")"),"A) Tidak pernah, B) Hanya jika terjadi cedera, C) Kapan saja, D) Hanya di babak final")</f>
        <v>A) Tidak pernah, B) Hanya jika terjadi cedera, C) Kapan saja, D) Hanya di babak final</v>
      </c>
      <c r="H15" s="4" t="str">
        <f>IFERROR(__xludf.DUMMYFUNCTION("GOOGLETRANSLATE(C15, ""en"", ""id"")"),"B) Hanya jika terjadi cedera")</f>
        <v>B) Hanya jika terjadi cedera</v>
      </c>
      <c r="I15" s="4" t="str">
        <f>IFERROR(__xludf.DUMMYFUNCTION("GOOGLETRANSLATE(D15, ""en"", ""id"")"),"Jika tidak, itu adalah gangguan.")</f>
        <v>Jika tidak, itu adalah gangguan.</v>
      </c>
    </row>
    <row r="16">
      <c r="A16" s="3" t="s">
        <v>1158</v>
      </c>
      <c r="B16" s="4" t="s">
        <v>1159</v>
      </c>
      <c r="C16" s="4" t="s">
        <v>1160</v>
      </c>
      <c r="D16" s="4" t="s">
        <v>1161</v>
      </c>
      <c r="F16" s="4" t="str">
        <f>IFERROR(__xludf.DUMMYFUNCTION("GOOGLETRANSLATE(A16, ""en"", ""id"")"),"Jika seorang petarung melepas perlengkapan pelindung di tengah pertandingan?")</f>
        <v>Jika seorang petarung melepas perlengkapan pelindung di tengah pertandingan?</v>
      </c>
      <c r="G16" s="4" t="str">
        <f>IFERROR(__xludf.DUMMYFUNCTION("GOOGLETRANSLATE(B16, ""en"", ""id"")"),"A) Wasit berhenti sejenak, B) Diskualifikasi langsung, C) Peringatan, D) Diizinkan jika perlengkapan rusak")</f>
        <v>A) Wasit berhenti sejenak, B) Diskualifikasi langsung, C) Peringatan, D) Diizinkan jika perlengkapan rusak</v>
      </c>
      <c r="H16" s="4" t="str">
        <f>IFERROR(__xludf.DUMMYFUNCTION("GOOGLETRANSLATE(C16, ""en"", ""id"")"),"A) Wasit berhenti sejenak")</f>
        <v>A) Wasit berhenti sejenak</v>
      </c>
      <c r="I16" s="4" t="str">
        <f>IFERROR(__xludf.DUMMYFUNCTION("GOOGLETRANSLATE(D16, ""en"", ""id"")"),"Pertandingan dihentikan sampai perlengkapan dikembalikan.")</f>
        <v>Pertandingan dihentikan sampai perlengkapan dikembalikan.</v>
      </c>
    </row>
    <row r="17">
      <c r="A17" s="3" t="s">
        <v>1162</v>
      </c>
      <c r="B17" s="4" t="s">
        <v>1163</v>
      </c>
      <c r="C17" s="4" t="s">
        <v>1164</v>
      </c>
      <c r="D17" s="4" t="s">
        <v>1165</v>
      </c>
      <c r="F17" s="4" t="str">
        <f>IFERROR(__xludf.DUMMYFUNCTION("GOOGLETRANSLATE(A17, ""en"", ""id"")"),"Transisi posisi manakah yang paling dirugikan bila dilakukan secara berlebihan?")</f>
        <v>Transisi posisi manakah yang paling dirugikan bila dilakukan secara berlebihan?</v>
      </c>
      <c r="G17" s="4" t="str">
        <f>IFERROR(__xludf.DUMMYFUNCTION("GOOGLETRANSLATE(B17, ""en"", ""id"")"),"A) Berganti penjaga, B) Mengocok samping, C) Berbalik, D) Jongkok rendah")</f>
        <v>A) Berganti penjaga, B) Mengocok samping, C) Berbalik, D) Jongkok rendah</v>
      </c>
      <c r="H17" s="4" t="str">
        <f>IFERROR(__xludf.DUMMYFUNCTION("GOOGLETRANSLATE(C17, ""en"", ""id"")"),"C) Berbalik arah")</f>
        <v>C) Berbalik arah</v>
      </c>
      <c r="I17" s="4" t="str">
        <f>IFERROR(__xludf.DUMMYFUNCTION("GOOGLETRANSLATE(D17, ""en"", ""id"")"),"Tidak aman dan mengelak.")</f>
        <v>Tidak aman dan mengelak.</v>
      </c>
    </row>
    <row r="18">
      <c r="A18" s="3" t="s">
        <v>1166</v>
      </c>
      <c r="B18" s="4" t="s">
        <v>1167</v>
      </c>
      <c r="C18" s="4" t="s">
        <v>1168</v>
      </c>
      <c r="D18" s="4" t="s">
        <v>1169</v>
      </c>
      <c r="F18" s="4" t="str">
        <f>IFERROR(__xludf.DUMMYFUNCTION("GOOGLETRANSLATE(A18, ""en"", ""id"")"),"Dalam ronde kematian mendadak yang seri, apa yang dijadikan kriteria akhir?")</f>
        <v>Dalam ronde kematian mendadak yang seri, apa yang dijadikan kriteria akhir?</v>
      </c>
      <c r="G18" s="4" t="str">
        <f>IFERROR(__xludf.DUMMYFUNCTION("GOOGLETRANSLATE(B18, ""en"", ""id"")"),"A) Agresivitas, B) Pertahanan, C) Pengendalian ring, D) Keputusan acak")</f>
        <v>A) Agresivitas, B) Pertahanan, C) Pengendalian ring, D) Keputusan acak</v>
      </c>
      <c r="H18" s="4" t="str">
        <f>IFERROR(__xludf.DUMMYFUNCTION("GOOGLETRANSLATE(C18, ""en"", ""id"")"),"C) Kontrol cincin")</f>
        <v>C) Kontrol cincin</v>
      </c>
      <c r="I18" s="4" t="str">
        <f>IFERROR(__xludf.DUMMYFUNCTION("GOOGLETRANSLATE(D18, ""en"", ""id"")"),"Dominasi ring memutuskan seri.")</f>
        <v>Dominasi ring memutuskan seri.</v>
      </c>
    </row>
    <row r="19">
      <c r="A19" s="3" t="s">
        <v>1170</v>
      </c>
      <c r="B19" s="4" t="s">
        <v>1171</v>
      </c>
      <c r="C19" s="4" t="s">
        <v>1148</v>
      </c>
      <c r="D19" s="4" t="s">
        <v>1172</v>
      </c>
      <c r="F19" s="4" t="str">
        <f>IFERROR(__xludf.DUMMYFUNCTION("GOOGLETRANSLATE(A19, ""en"", ""id"")"),"Jika seorang petarung menunjukkan gerakan yang tidak sportif, apa yang akan dikenakan?")</f>
        <v>Jika seorang petarung menunjukkan gerakan yang tidak sportif, apa yang akan dikenakan?</v>
      </c>
      <c r="G19" s="4" t="str">
        <f>IFERROR(__xludf.DUMMYFUNCTION("GOOGLETRANSLATE(B19, ""en"", ""id"")"),"A) Peringatan, B) Pengurangan poin, C) Diskualifikasi, D) Pelatih didenda")</f>
        <v>A) Peringatan, B) Pengurangan poin, C) Diskualifikasi, D) Pelatih didenda</v>
      </c>
      <c r="H19" s="4" t="str">
        <f>IFERROR(__xludf.DUMMYFUNCTION("GOOGLETRANSLATE(C19, ""en"", ""id"")"),"B) Pengurangan poin")</f>
        <v>B) Pengurangan poin</v>
      </c>
      <c r="I19" s="4" t="str">
        <f>IFERROR(__xludf.DUMMYFUNCTION("GOOGLETRANSLATE(D19, ""en"", ""id"")"),"Pelanggaran disiplin.")</f>
        <v>Pelanggaran disiplin.</v>
      </c>
    </row>
    <row r="20">
      <c r="A20" s="3" t="s">
        <v>1173</v>
      </c>
      <c r="B20" s="4" t="s">
        <v>1174</v>
      </c>
      <c r="C20" s="4" t="s">
        <v>1175</v>
      </c>
      <c r="D20" s="4" t="s">
        <v>1176</v>
      </c>
      <c r="F20" s="4" t="str">
        <f>IFERROR(__xludf.DUMMYFUNCTION("GOOGLETRANSLATE(A20, ""en"", ""id"")"),"Petarung manakah yang mendapat prioritas jika keduanya melakukan clinch secara bersamaan?")</f>
        <v>Petarung manakah yang mendapat prioritas jika keduanya melakukan clinch secara bersamaan?</v>
      </c>
      <c r="G20" s="4" t="str">
        <f>IFERROR(__xludf.DUMMYFUNCTION("GOOGLETRANSLATE(B20, ""en"", ""id"")"),"A) Satu dengan pegangan dalam, B) Satu yang memulai lebih dulu, C) Petarung yang lebih tinggi, D) Tidak ada")</f>
        <v>A) Satu dengan pegangan dalam, B) Satu yang memulai lebih dulu, C) Petarung yang lebih tinggi, D) Tidak ada</v>
      </c>
      <c r="H20" s="4" t="str">
        <f>IFERROR(__xludf.DUMMYFUNCTION("GOOGLETRANSLATE(C20, ""en"", ""id"")"),"A) Satu dengan pegangan bagian dalam")</f>
        <v>A) Satu dengan pegangan bagian dalam</v>
      </c>
      <c r="I20" s="4" t="str">
        <f>IFERROR(__xludf.DUMMYFUNCTION("GOOGLETRANSLATE(D20, ""en"", ""id"")"),"Keunggulan dalam kendali.")</f>
        <v>Keunggulan dalam kendali.</v>
      </c>
    </row>
    <row r="21">
      <c r="A21" s="3" t="s">
        <v>1177</v>
      </c>
      <c r="B21" s="4" t="s">
        <v>1178</v>
      </c>
      <c r="C21" s="4" t="s">
        <v>1179</v>
      </c>
      <c r="D21" s="4" t="s">
        <v>1180</v>
      </c>
      <c r="F21" s="4" t="str">
        <f>IFERROR(__xludf.DUMMYFUNCTION("GOOGLETRANSLATE(A21, ""en"", ""id"")"),"Apa yang terjadi apabila wasit mendapati kedua petarung berulang kali tidak aktif?")</f>
        <v>Apa yang terjadi apabila wasit mendapati kedua petarung berulang kali tidak aktif?</v>
      </c>
      <c r="G21" s="4" t="str">
        <f>IFERROR(__xludf.DUMMYFUNCTION("GOOGLETRANSLATE(B21, ""en"", ""id"")"),"A) Keduanya didiskualifikasi, B) Keduanya diperingatkan, C) Restart center, D) Juri memutuskan hasil")</f>
        <v>A) Keduanya didiskualifikasi, B) Keduanya diperingatkan, C) Restart center, D) Juri memutuskan hasil</v>
      </c>
      <c r="H21" s="4" t="str">
        <f>IFERROR(__xludf.DUMMYFUNCTION("GOOGLETRANSLATE(C21, ""en"", ""id"")"),"B) Keduanya memperingatkan")</f>
        <v>B) Keduanya memperingatkan</v>
      </c>
      <c r="I21" s="4" t="str">
        <f>IFERROR(__xludf.DUMMYFUNCTION("GOOGLETRANSLATE(D21, ""en"", ""id"")"),"Ketidakaktifan dihukum.")</f>
        <v>Ketidakaktifan dihukum.</v>
      </c>
    </row>
    <row r="22">
      <c r="A22" s="3" t="s">
        <v>1181</v>
      </c>
      <c r="B22" s="4" t="s">
        <v>1182</v>
      </c>
      <c r="C22" s="4" t="s">
        <v>1183</v>
      </c>
      <c r="D22" s="4" t="s">
        <v>1184</v>
      </c>
      <c r="F22" s="4" t="str">
        <f>IFERROR(__xludf.DUMMYFUNCTION("GOOGLETRANSLATE(A22, ""en"", ""id"")"),"Kombinasi serangan mana yang mendapat skor tertinggi?")</f>
        <v>Kombinasi serangan mana yang mendapat skor tertinggi?</v>
      </c>
      <c r="G22" s="4" t="str">
        <f>IFERROR(__xludf.DUMMYFUNCTION("GOOGLETRANSLATE(B22, ""en"", ""id"")"),"A) Pukulan + tendangan, B) Tendangan + grapple, C) Tusukan + slip, D) Lutut + siku")</f>
        <v>A) Pukulan + tendangan, B) Tendangan + grapple, C) Tusukan + slip, D) Lutut + siku</v>
      </c>
      <c r="H22" s="4" t="str">
        <f>IFERROR(__xludf.DUMMYFUNCTION("GOOGLETRANSLATE(C22, ""en"", ""id"")"),"A) Pukulan + tendangan")</f>
        <v>A) Pukulan + tendangan</v>
      </c>
      <c r="I22" s="4" t="str">
        <f>IFERROR(__xludf.DUMMYFUNCTION("GOOGLETRANSLATE(D22, ""en"", ""id"")"),"Kombo bertingkat dihargai.")</f>
        <v>Kombo bertingkat dihargai.</v>
      </c>
    </row>
    <row r="23">
      <c r="A23" s="3" t="s">
        <v>1185</v>
      </c>
      <c r="B23" s="4" t="s">
        <v>1186</v>
      </c>
      <c r="C23" s="4" t="s">
        <v>1187</v>
      </c>
      <c r="D23" s="4" t="s">
        <v>1188</v>
      </c>
      <c r="F23" s="4" t="str">
        <f>IFERROR(__xludf.DUMMYFUNCTION("GOOGLETRANSLATE(A23, ""en"", ""id"")"),"Apa risiko taktis dari penggunaan tendangan rendah yang berlebihan?")</f>
        <v>Apa risiko taktis dari penggunaan tendangan rendah yang berlebihan?</v>
      </c>
      <c r="G23" s="4" t="str">
        <f>IFERROR(__xludf.DUMMYFUNCTION("GOOGLETRANSLATE(B23, ""en"", ""id"")"),"A) Tergelincir, B) Pukulan balasan, C) Tangkapan kaki, D) Semua jawaban di atas")</f>
        <v>A) Tergelincir, B) Pukulan balasan, C) Tangkapan kaki, D) Semua jawaban di atas</v>
      </c>
      <c r="H23" s="4" t="str">
        <f>IFERROR(__xludf.DUMMYFUNCTION("GOOGLETRANSLATE(C23, ""en"", ""id"")"),"D) Semua jawaban di atas")</f>
        <v>D) Semua jawaban di atas</v>
      </c>
      <c r="I23" s="4" t="str">
        <f>IFERROR(__xludf.DUMMYFUNCTION("GOOGLETRANSLATE(D23, ""en"", ""id"")"),"Meninggalkan bukaan.")</f>
        <v>Meninggalkan bukaan.</v>
      </c>
    </row>
    <row r="24">
      <c r="A24" s="3" t="s">
        <v>1189</v>
      </c>
      <c r="B24" s="4" t="s">
        <v>1190</v>
      </c>
      <c r="C24" s="4" t="s">
        <v>1191</v>
      </c>
      <c r="D24" s="4" t="s">
        <v>1192</v>
      </c>
      <c r="F24" s="4" t="str">
        <f>IFERROR(__xludf.DUMMYFUNCTION("GOOGLETRANSLATE(A24, ""en"", ""id"")"),"Apa penangkal yang paling efektif terhadap lemparan bahu?")</f>
        <v>Apa penangkal yang paling efektif terhadap lemparan bahu?</v>
      </c>
      <c r="G24" s="4" t="str">
        <f>IFERROR(__xludf.DUMMYFUNCTION("GOOGLETRANSLATE(B24, ""en"", ""id"")"),"A) Jatuhkan beban, B) Dorong lawan, C) Putar menjauh, D) Jaga muka")</f>
        <v>A) Jatuhkan beban, B) Dorong lawan, C) Putar menjauh, D) Jaga muka</v>
      </c>
      <c r="H24" s="4" t="str">
        <f>IFERROR(__xludf.DUMMYFUNCTION("GOOGLETRANSLATE(C24, ""en"", ""id"")"),"A) Turunkan berat badan")</f>
        <v>A) Turunkan berat badan</v>
      </c>
      <c r="I24" s="4" t="str">
        <f>IFERROR(__xludf.DUMMYFUNCTION("GOOGLETRANSLATE(D24, ""en"", ""id"")"),"Mencegah pengangkatan.")</f>
        <v>Mencegah pengangkatan.</v>
      </c>
    </row>
    <row r="25">
      <c r="A25" s="3" t="s">
        <v>1193</v>
      </c>
      <c r="B25" s="4" t="s">
        <v>1194</v>
      </c>
      <c r="C25" s="4" t="s">
        <v>1195</v>
      </c>
      <c r="D25" s="4" t="s">
        <v>1196</v>
      </c>
      <c r="F25" s="4" t="str">
        <f>IFERROR(__xludf.DUMMYFUNCTION("GOOGLETRANSLATE(A25, ""en"", ""id"")"),"Tindakan defensif ilegal manakah yang mungkin tampak legal?")</f>
        <v>Tindakan defensif ilegal manakah yang mungkin tampak legal?</v>
      </c>
      <c r="G25" s="4" t="str">
        <f>IFERROR(__xludf.DUMMYFUNCTION("GOOGLETRANSLATE(B25, ""en"", ""id"")"),"A) Menunduk di bawah pinggang, B) Memblokir dengan siku, C) Menjaga rendah, D) Menggulung bahu")</f>
        <v>A) Menunduk di bawah pinggang, B) Memblokir dengan siku, C) Menjaga rendah, D) Menggulung bahu</v>
      </c>
      <c r="H25" s="4" t="str">
        <f>IFERROR(__xludf.DUMMYFUNCTION("GOOGLETRANSLATE(C25, ""en"", ""id"")"),"A) Merunduk di bawah pinggang")</f>
        <v>A) Merunduk di bawah pinggang</v>
      </c>
      <c r="I25" s="4" t="str">
        <f>IFERROR(__xludf.DUMMYFUNCTION("GOOGLETRANSLATE(D25, ""en"", ""id"")"),"Sering disalahartikan sebagai slip yang sah.")</f>
        <v>Sering disalahartikan sebagai slip yang sah.</v>
      </c>
    </row>
    <row r="26">
      <c r="A26" s="3" t="s">
        <v>1197</v>
      </c>
      <c r="B26" s="4" t="s">
        <v>65</v>
      </c>
      <c r="C26" s="4" t="s">
        <v>74</v>
      </c>
      <c r="D26" s="4" t="s">
        <v>1198</v>
      </c>
      <c r="F26" s="4" t="str">
        <f>IFERROR(__xludf.DUMMYFUNCTION("GOOGLETRANSLATE(A26, ""en"", ""id"")"),"Berapa jumlah maksimal percobaan grappling tiap ronde sebelum wasit menghentikan pertandingan?")</f>
        <v>Berapa jumlah maksimal percobaan grappling tiap ronde sebelum wasit menghentikan pertandingan?</v>
      </c>
      <c r="G26" s="4" t="str">
        <f>IFERROR(__xludf.DUMMYFUNCTION("GOOGLETRANSLATE(B26, ""en"", ""id"")"),"A) 1, B) 2, C) 3, D) Tak terbatas")</f>
        <v>A) 1, B) 2, C) 3, D) Tak terbatas</v>
      </c>
      <c r="H26" s="4" t="str">
        <f>IFERROR(__xludf.DUMMYFUNCTION("GOOGLETRANSLATE(C26, ""en"", ""id"")"),"C) 3")</f>
        <v>C) 3</v>
      </c>
      <c r="I26" s="4" t="str">
        <f>IFERROR(__xludf.DUMMYFUNCTION("GOOGLETRANSLATE(D26, ""en"", ""id"")"),"Genggaman yang berlebihan akan memutus aliran.")</f>
        <v>Genggaman yang berlebihan akan memutus aliran.</v>
      </c>
    </row>
    <row r="27">
      <c r="A27" s="3" t="s">
        <v>1199</v>
      </c>
      <c r="B27" s="4" t="s">
        <v>1200</v>
      </c>
      <c r="C27" s="4" t="s">
        <v>1201</v>
      </c>
      <c r="D27" s="4" t="s">
        <v>1202</v>
      </c>
      <c r="F27" s="4" t="str">
        <f>IFERROR(__xludf.DUMMYFUNCTION("GOOGLETRANSLATE(A27, ""en"", ""id"")"),"Tendangan manakah yang lebih sulit untuk dinilai karena visibilitas wasit?")</f>
        <v>Tendangan manakah yang lebih sulit untuk dinilai karena visibilitas wasit?</v>
      </c>
      <c r="G27" s="4" t="str">
        <f>IFERROR(__xludf.DUMMYFUNCTION("GOOGLETRANSLATE(B27, ""en"", ""id"")"),"A) Jab, B) Body hook, C) Overhand, D) Knee strike")</f>
        <v>A) Jab, B) Body hook, C) Overhand, D) Knee strike</v>
      </c>
      <c r="H27" s="4" t="str">
        <f>IFERROR(__xludf.DUMMYFUNCTION("GOOGLETRANSLATE(C27, ""en"", ""id"")"),"B) Kait badan")</f>
        <v>B) Kait badan</v>
      </c>
      <c r="I27" s="4" t="str">
        <f>IFERROR(__xludf.DUMMYFUNCTION("GOOGLETRANSLATE(D27, ""en"", ""id"")"),"Seringkali tidak jelas.")</f>
        <v>Seringkali tidak jelas.</v>
      </c>
    </row>
    <row r="28">
      <c r="A28" s="3" t="s">
        <v>1203</v>
      </c>
      <c r="B28" s="4" t="s">
        <v>1204</v>
      </c>
      <c r="C28" s="4" t="s">
        <v>1205</v>
      </c>
      <c r="D28" s="4" t="s">
        <v>1206</v>
      </c>
      <c r="F28" s="4" t="str">
        <f>IFERROR(__xludf.DUMMYFUNCTION("GOOGLETRANSLATE(A28, ""en"", ""id"")"),"Taktik manakah yang menguntungkan dalam lingkaran sempit?")</f>
        <v>Taktik manakah yang menguntungkan dalam lingkaran sempit?</v>
      </c>
      <c r="G28" s="4" t="str">
        <f>IFERROR(__xludf.DUMMYFUNCTION("GOOGLETRANSLATE(B28, ""en"", ""id"")"),"A) Serangan agresif, B) Mundur defensif, C) Pemotongan ring, D) Tendangan tinggi")</f>
        <v>A) Serangan agresif, B) Mundur defensif, C) Pemotongan ring, D) Tendangan tinggi</v>
      </c>
      <c r="H28" s="4" t="str">
        <f>IFERROR(__xludf.DUMMYFUNCTION("GOOGLETRANSLATE(C28, ""en"", ""id"")"),"C) Pemotongan cincin")</f>
        <v>C) Pemotongan cincin</v>
      </c>
      <c r="I28" s="4" t="str">
        <f>IFERROR(__xludf.DUMMYFUNCTION("GOOGLETRANSLATE(D28, ""en"", ""id"")"),"Membatasi ruang gerak lawan.")</f>
        <v>Membatasi ruang gerak lawan.</v>
      </c>
    </row>
    <row r="29">
      <c r="A29" s="3" t="s">
        <v>1207</v>
      </c>
      <c r="B29" s="4" t="s">
        <v>1208</v>
      </c>
      <c r="C29" s="4" t="s">
        <v>1209</v>
      </c>
      <c r="D29" s="4" t="s">
        <v>1210</v>
      </c>
      <c r="F29" s="4" t="str">
        <f>IFERROR(__xludf.DUMMYFUNCTION("GOOGLETRANSLATE(A29, ""en"", ""id"")"),"Pemogokan manakah yang sering diberi penalti berlebihan jika salah dinilai?")</f>
        <v>Pemogokan manakah yang sering diberi penalti berlebihan jika salah dinilai?</v>
      </c>
      <c r="G29" s="4" t="str">
        <f>IFERROR(__xludf.DUMMYFUNCTION("GOOGLETRANSLATE(B29, ""en"", ""id"")"),"A) Tendangan berputar, B) Pukulan atas, C) Tangkisan siku, D) Sapuan")</f>
        <v>A) Tendangan berputar, B) Pukulan atas, C) Tangkisan siku, D) Sapuan</v>
      </c>
      <c r="H29" s="4" t="str">
        <f>IFERROR(__xludf.DUMMYFUNCTION("GOOGLETRANSLATE(C29, ""en"", ""id"")"),"A) Tendangan berputar")</f>
        <v>A) Tendangan berputar</v>
      </c>
      <c r="I29" s="4" t="str">
        <f>IFERROR(__xludf.DUMMYFUNCTION("GOOGLETRANSLATE(D29, ""en"", ""id"")"),"Dapat disalahartikan sebagai serangan balik.")</f>
        <v>Dapat disalahartikan sebagai serangan balik.</v>
      </c>
    </row>
    <row r="30">
      <c r="A30" s="3" t="s">
        <v>1211</v>
      </c>
      <c r="B30" s="4" t="s">
        <v>1212</v>
      </c>
      <c r="C30" s="4" t="s">
        <v>1213</v>
      </c>
      <c r="D30" s="4" t="s">
        <v>1214</v>
      </c>
      <c r="F30" s="4" t="str">
        <f>IFERROR(__xludf.DUMMYFUNCTION("GOOGLETRANSLATE(A30, ""en"", ""id"")"),"Apa pelanggaran yang paling umum dilakukan oleh pemula?")</f>
        <v>Apa pelanggaran yang paling umum dilakukan oleh pemula?</v>
      </c>
      <c r="G30" s="4" t="str">
        <f>IFERROR(__xludf.DUMMYFUNCTION("GOOGLETRANSLATE(B30, ""en"", ""id"")"),"A) Menyerang setelah istirahat, B) Meraih pakaian, C) Memukul bagian belakang kepala, D) Melarikan diri")</f>
        <v>A) Menyerang setelah istirahat, B) Meraih pakaian, C) Memukul bagian belakang kepala, D) Melarikan diri</v>
      </c>
      <c r="H30" s="4" t="str">
        <f>IFERROR(__xludf.DUMMYFUNCTION("GOOGLETRANSLATE(C30, ""en"", ""id"")"),"C) Memukul bagian belakang kepala")</f>
        <v>C) Memukul bagian belakang kepala</v>
      </c>
      <c r="I30" s="4" t="str">
        <f>IFERROR(__xludf.DUMMYFUNCTION("GOOGLETRANSLATE(D30, ""en"", ""id"")"),"Karena kontrol yang buruk.")</f>
        <v>Karena kontrol yang buruk.</v>
      </c>
    </row>
    <row r="31">
      <c r="A31" s="3" t="s">
        <v>1215</v>
      </c>
      <c r="B31" s="4" t="s">
        <v>1216</v>
      </c>
      <c r="C31" s="4" t="s">
        <v>1217</v>
      </c>
      <c r="D31" s="4" t="s">
        <v>1218</v>
      </c>
      <c r="F31" s="4" t="str">
        <f>IFERROR(__xludf.DUMMYFUNCTION("GOOGLETRANSLATE(A31, ""en"", ""id"")"),"Tindakan manakah, meskipun legal, yang berisiko melukai diri sendiri?")</f>
        <v>Tindakan manakah, meskipun legal, yang berisiko melukai diri sendiri?</v>
      </c>
      <c r="G31" s="4" t="str">
        <f>IFERROR(__xludf.DUMMYFUNCTION("GOOGLETRANSLATE(B31, ""en"", ""id"")"),"A) Tendangan melompat, B) Clinch pendek, C) Jab rendah, D) Blok penjaga")</f>
        <v>A) Tendangan melompat, B) Clinch pendek, C) Jab rendah, D) Blok penjaga</v>
      </c>
      <c r="H31" s="4" t="str">
        <f>IFERROR(__xludf.DUMMYFUNCTION("GOOGLETRANSLATE(C31, ""en"", ""id"")"),"A) Tendangan melompat")</f>
        <v>A) Tendangan melompat</v>
      </c>
      <c r="I31" s="4" t="str">
        <f>IFERROR(__xludf.DUMMYFUNCTION("GOOGLETRANSLATE(D31, ""en"", ""id"")"),"Pendaratan berisiko tinggi.")</f>
        <v>Pendaratan berisiko tinggi.</v>
      </c>
    </row>
    <row r="32">
      <c r="A32" s="3" t="s">
        <v>1219</v>
      </c>
      <c r="B32" s="4" t="s">
        <v>73</v>
      </c>
      <c r="C32" s="4" t="s">
        <v>74</v>
      </c>
      <c r="D32" s="4" t="s">
        <v>1220</v>
      </c>
      <c r="F32" s="4" t="str">
        <f>IFERROR(__xludf.DUMMYFUNCTION("GOOGLETRANSLATE(A32, ""en"", ""id"")"),"Berapa banyak juri yang biasanya menilai pertarungan Tarung Derajat?")</f>
        <v>Berapa banyak juri yang biasanya menilai pertarungan Tarung Derajat?</v>
      </c>
      <c r="G32" s="4" t="str">
        <f>IFERROR(__xludf.DUMMYFUNCTION("GOOGLETRANSLATE(B32, ""en"", ""id"")"),"A) 1, B) 2, C) 3, D) 5")</f>
        <v>A) 1, B) 2, C) 3, D) 5</v>
      </c>
      <c r="H32" s="4" t="str">
        <f>IFERROR(__xludf.DUMMYFUNCTION("GOOGLETRANSLATE(C32, ""en"", ""id"")"),"C) 3")</f>
        <v>C) 3</v>
      </c>
      <c r="I32" s="4" t="str">
        <f>IFERROR(__xludf.DUMMYFUNCTION("GOOGLETRANSLATE(D32, ""en"", ""id"")"),"Panel juri standar.")</f>
        <v>Panel juri standar.</v>
      </c>
    </row>
    <row r="33">
      <c r="A33" s="3" t="s">
        <v>1221</v>
      </c>
      <c r="B33" s="4" t="s">
        <v>1222</v>
      </c>
      <c r="C33" s="4" t="s">
        <v>1223</v>
      </c>
      <c r="D33" s="4" t="s">
        <v>1224</v>
      </c>
      <c r="F33" s="4" t="str">
        <f>IFERROR(__xludf.DUMMYFUNCTION("GOOGLETRANSLATE(A33, ""en"", ""id"")"),"Jika dua hakim tidak sepakat dan satu hakim belum memutuskan, apa hasilnya?")</f>
        <v>Jika dua hakim tidak sepakat dan satu hakim belum memutuskan, apa hasilnya?</v>
      </c>
      <c r="G33" s="4" t="str">
        <f>IFERROR(__xludf.DUMMYFUNCTION("GOOGLETRANSLATE(B33, ""en"", ""id"")"),"A) Seri, B) Keputusan mayoritas, C) Keputusan wasit, D) Babak tambahan")</f>
        <v>A) Seri, B) Keputusan mayoritas, C) Keputusan wasit, D) Babak tambahan</v>
      </c>
      <c r="H33" s="4" t="str">
        <f>IFERROR(__xludf.DUMMYFUNCTION("GOOGLETRANSLATE(C33, ""en"", ""id"")"),"B) Keputusan mayoritas")</f>
        <v>B) Keputusan mayoritas</v>
      </c>
      <c r="I33" s="4" t="str">
        <f>IFERROR(__xludf.DUMMYFUNCTION("GOOGLETRANSLATE(D33, ""en"", ""id"")"),"Dua suara memutuskan.")</f>
        <v>Dua suara memutuskan.</v>
      </c>
    </row>
    <row r="34">
      <c r="A34" s="3" t="s">
        <v>1225</v>
      </c>
      <c r="B34" s="4" t="s">
        <v>1226</v>
      </c>
      <c r="C34" s="4" t="s">
        <v>1227</v>
      </c>
      <c r="D34" s="4" t="s">
        <v>1228</v>
      </c>
      <c r="F34" s="4" t="str">
        <f>IFERROR(__xludf.DUMMYFUNCTION("GOOGLETRANSLATE(A34, ""en"", ""id"")"),"Apa tanggapan pertama wasit terhadap pelanggaran kecil?")</f>
        <v>Apa tanggapan pertama wasit terhadap pelanggaran kecil?</v>
      </c>
      <c r="G34" s="4" t="str">
        <f>IFERROR(__xludf.DUMMYFUNCTION("GOOGLETRANSLATE(B34, ""en"", ""id"")"),"A) Kurangi poin, B) Berikan peringatan, C) Hentikan perkelahian, D) Abaikan")</f>
        <v>A) Kurangi poin, B) Berikan peringatan, C) Hentikan perkelahian, D) Abaikan</v>
      </c>
      <c r="H34" s="4" t="str">
        <f>IFERROR(__xludf.DUMMYFUNCTION("GOOGLETRANSLATE(C34, ""en"", ""id"")"),"B) Masalah peringatan")</f>
        <v>B) Masalah peringatan</v>
      </c>
      <c r="I34" s="4" t="str">
        <f>IFERROR(__xludf.DUMMYFUNCTION("GOOGLETRANSLATE(D34, ""en"", ""id"")"),"Meningkat jika diulang.")</f>
        <v>Meningkat jika diulang.</v>
      </c>
    </row>
    <row r="35">
      <c r="A35" s="3" t="s">
        <v>1229</v>
      </c>
      <c r="B35" s="4" t="s">
        <v>1230</v>
      </c>
      <c r="C35" s="4" t="s">
        <v>1231</v>
      </c>
      <c r="D35" s="4" t="s">
        <v>1232</v>
      </c>
      <c r="F35" s="4" t="str">
        <f>IFERROR(__xludf.DUMMYFUNCTION("GOOGLETRANSLATE(A35, ""en"", ""id"")"),"Peran juri manakah yang memastikan pukulan memenuhi kriteria penilaian?")</f>
        <v>Peran juri manakah yang memastikan pukulan memenuhi kriteria penilaian?</v>
      </c>
      <c r="G35" s="4" t="str">
        <f>IFERROR(__xludf.DUMMYFUNCTION("GOOGLETRANSLATE(B35, ""en"", ""id"")"),"A) Pencatat waktu, B) Hakim sudut, C) Hakim kepala, D) Hakim samping")</f>
        <v>A) Pencatat waktu, B) Hakim sudut, C) Hakim kepala, D) Hakim samping</v>
      </c>
      <c r="H35" s="4" t="str">
        <f>IFERROR(__xludf.DUMMYFUNCTION("GOOGLETRANSLATE(C35, ""en"", ""id"")"),"D) Hakim samping")</f>
        <v>D) Hakim samping</v>
      </c>
      <c r="I35" s="4" t="str">
        <f>IFERROR(__xludf.DUMMYFUNCTION("GOOGLETRANSLATE(D35, ""en"", ""id"")"),"Mengamati sudut.")</f>
        <v>Mengamati sudut.</v>
      </c>
    </row>
    <row r="36">
      <c r="A36" s="3" t="s">
        <v>1233</v>
      </c>
      <c r="B36" s="4" t="s">
        <v>1234</v>
      </c>
      <c r="C36" s="4" t="s">
        <v>1235</v>
      </c>
      <c r="D36" s="4" t="s">
        <v>1236</v>
      </c>
      <c r="F36" s="4" t="str">
        <f>IFERROR(__xludf.DUMMYFUNCTION("GOOGLETRANSLATE(A36, ""en"", ""id"")"),"Faktor apakah yang TIDAK memengaruhi penilaian juri?")</f>
        <v>Faktor apakah yang TIDAK memengaruhi penilaian juri?</v>
      </c>
      <c r="G36" s="4" t="str">
        <f>IFERROR(__xludf.DUMMYFUNCTION("GOOGLETRANSLATE(B36, ""en"", ""id"")"),"A) Serangan bersih, B) Pergulatan efektif, C) Agresivitas, D) Reaksi penonton")</f>
        <v>A) Serangan bersih, B) Pergulatan efektif, C) Agresivitas, D) Reaksi penonton</v>
      </c>
      <c r="H36" s="4" t="str">
        <f>IFERROR(__xludf.DUMMYFUNCTION("GOOGLETRANSLATE(C36, ""en"", ""id"")"),"D) Reaksi penonton")</f>
        <v>D) Reaksi penonton</v>
      </c>
      <c r="I36" s="4" t="str">
        <f>IFERROR(__xludf.DUMMYFUNCTION("GOOGLETRANSLATE(D36, ""en"", ""id"")"),"Tidak relevan.")</f>
        <v>Tidak relevan.</v>
      </c>
    </row>
    <row r="37">
      <c r="A37" s="3" t="s">
        <v>1237</v>
      </c>
      <c r="B37" s="4" t="s">
        <v>1238</v>
      </c>
      <c r="C37" s="4" t="s">
        <v>1239</v>
      </c>
      <c r="D37" s="4" t="s">
        <v>1240</v>
      </c>
      <c r="F37" s="4" t="str">
        <f>IFERROR(__xludf.DUMMYFUNCTION("GOOGLETRANSLATE(A37, ""en"", ""id"")"),"Tindakan manakah yang mengakibatkan penghentian wasit secara otomatis?")</f>
        <v>Tindakan manakah yang mengakibatkan penghentian wasit secara otomatis?</v>
      </c>
      <c r="G37" s="4" t="str">
        <f>IFERROR(__xludf.DUMMYFUNCTION("GOOGLETRANSLATE(B37, ""en"", ""id"")"),"A) Dua kali knockdown berturut-turut, B) Petarung mengalami pendarahan hebat, C) Sinyal pelatih, D) Gerakan petarung")</f>
        <v>A) Dua kali knockdown berturut-turut, B) Petarung mengalami pendarahan hebat, C) Sinyal pelatih, D) Gerakan petarung</v>
      </c>
      <c r="H37" s="4" t="str">
        <f>IFERROR(__xludf.DUMMYFUNCTION("GOOGLETRANSLATE(C37, ""en"", ""id"")"),"B) Petarung mengalami pendarahan hebat")</f>
        <v>B) Petarung mengalami pendarahan hebat</v>
      </c>
      <c r="I37" s="4" t="str">
        <f>IFERROR(__xludf.DUMMYFUNCTION("GOOGLETRANSLATE(D37, ""en"", ""id"")"),"Prioritas keselamatan.")</f>
        <v>Prioritas keselamatan.</v>
      </c>
    </row>
    <row r="38">
      <c r="A38" s="3" t="s">
        <v>1241</v>
      </c>
      <c r="B38" s="4" t="s">
        <v>1242</v>
      </c>
      <c r="C38" s="4" t="s">
        <v>1243</v>
      </c>
      <c r="D38" s="4" t="s">
        <v>1244</v>
      </c>
      <c r="F38" s="4" t="str">
        <f>IFERROR(__xludf.DUMMYFUNCTION("GOOGLETRANSLATE(A38, ""en"", ""id"")"),"Bila kedua petarung melakukan pelanggaran secara bersamaan, apa yang diterapkan?")</f>
        <v>Bila kedua petarung melakukan pelanggaran secara bersamaan, apa yang diterapkan?</v>
      </c>
      <c r="G38" s="4" t="str">
        <f>IFERROR(__xludf.DUMMYFUNCTION("GOOGLETRANSLATE(B38, ""en"", ""id"")"),"A) Peringatan ganda, B) Tidak ada penalti, C) Keduanya kehilangan poin, D) Pertarungan dihentikan")</f>
        <v>A) Peringatan ganda, B) Tidak ada penalti, C) Keduanya kehilangan poin, D) Pertarungan dihentikan</v>
      </c>
      <c r="H38" s="4" t="str">
        <f>IFERROR(__xludf.DUMMYFUNCTION("GOOGLETRANSLATE(C38, ""en"", ""id"")"),"C) Keduanya kehilangan poin")</f>
        <v>C) Keduanya kehilangan poin</v>
      </c>
      <c r="I38" s="4" t="str">
        <f>IFERROR(__xludf.DUMMYFUNCTION("GOOGLETRANSLATE(D38, ""en"", ""id"")"),"Hukuman yang sama.")</f>
        <v>Hukuman yang sama.</v>
      </c>
    </row>
    <row r="39">
      <c r="A39" s="3" t="s">
        <v>1245</v>
      </c>
      <c r="B39" s="4" t="s">
        <v>1246</v>
      </c>
      <c r="C39" s="4" t="s">
        <v>1247</v>
      </c>
      <c r="D39" s="4" t="s">
        <v>1248</v>
      </c>
      <c r="F39" s="4" t="str">
        <f>IFERROR(__xludf.DUMMYFUNCTION("GOOGLETRANSLATE(A39, ""en"", ""id"")"),"Bagaimana seorang wasit dapat melanjutkan tugasnya setelah mogok kerja yang melanggar hukum?")</f>
        <v>Bagaimana seorang wasit dapat melanjutkan tugasnya setelah mogok kerja yang melanggar hukum?</v>
      </c>
      <c r="G39" s="4" t="str">
        <f>IFERROR(__xludf.DUMMYFUNCTION("GOOGLETRANSLATE(B39, ""en"", ""id"")"),"A) Mulai lagi di tengah, B) Lanjutkan seperti apa adanya, C) Hentikan jam, D) Hakim memutuskan")</f>
        <v>A) Mulai lagi di tengah, B) Lanjutkan seperti apa adanya, C) Hentikan jam, D) Hakim memutuskan</v>
      </c>
      <c r="H39" s="4" t="str">
        <f>IFERROR(__xludf.DUMMYFUNCTION("GOOGLETRANSLATE(C39, ""en"", ""id"")"),"A) Mulai ulang di tengah")</f>
        <v>A) Mulai ulang di tengah</v>
      </c>
      <c r="I39" s="4" t="str">
        <f>IFERROR(__xludf.DUMMYFUNCTION("GOOGLETRANSLATE(D39, ""en"", ""id"")"),"Reset netral.")</f>
        <v>Reset netral.</v>
      </c>
    </row>
    <row r="40">
      <c r="A40" s="3" t="s">
        <v>1249</v>
      </c>
      <c r="B40" s="4" t="s">
        <v>1250</v>
      </c>
      <c r="C40" s="4" t="s">
        <v>1251</v>
      </c>
      <c r="D40" s="4" t="s">
        <v>1252</v>
      </c>
      <c r="F40" s="4" t="str">
        <f>IFERROR(__xludf.DUMMYFUNCTION("GOOGLETRANSLATE(A40, ""en"", ""id"")"),"Jika pertarungan berakhir karena bentrokan yang tidak disengaja, apa hasilnya?")</f>
        <v>Jika pertarungan berakhir karena bentrokan yang tidak disengaja, apa hasilnya?</v>
      </c>
      <c r="G40" s="4" t="str">
        <f>IFERROR(__xludf.DUMMYFUNCTION("GOOGLETRANSLATE(B40, ""en"", ""id"")"),"A) Seri, B) Pertandingan ulang dijadwalkan, C) Lawan menang, D) Hakim memutuskan")</f>
        <v>A) Seri, B) Pertandingan ulang dijadwalkan, C) Lawan menang, D) Hakim memutuskan</v>
      </c>
      <c r="H40" s="4" t="str">
        <f>IFERROR(__xludf.DUMMYFUNCTION("GOOGLETRANSLATE(C40, ""en"", ""id"")"),"A) Menggambar")</f>
        <v>A) Menggambar</v>
      </c>
      <c r="I40" s="4" t="str">
        <f>IFERROR(__xludf.DUMMYFUNCTION("GOOGLETRANSLATE(D40, ""en"", ""id"")"),"Penghentian yang tidak disengaja mengakibatkan hasil seri.")</f>
        <v>Penghentian yang tidak disengaja mengakibatkan hasil seri.</v>
      </c>
    </row>
    <row r="41">
      <c r="A41" s="3" t="s">
        <v>1253</v>
      </c>
      <c r="B41" s="4" t="s">
        <v>1254</v>
      </c>
      <c r="C41" s="4" t="s">
        <v>1255</v>
      </c>
      <c r="D41" s="4" t="s">
        <v>1256</v>
      </c>
      <c r="F41" s="4" t="str">
        <f>IFERROR(__xludf.DUMMYFUNCTION("GOOGLETRANSLATE(A41, ""en"", ""id"")"),"Siapa yang memiliki kewenangan akhir dalam perselisihan yang tiba-tiba?")</f>
        <v>Siapa yang memiliki kewenangan akhir dalam perselisihan yang tiba-tiba?</v>
      </c>
      <c r="G41" s="4" t="str">
        <f>IFERROR(__xludf.DUMMYFUNCTION("GOOGLETRANSLATE(B41, ""en"", ""id"")"),"A) Pelatih kepala, B) Wasit, C) Hakim, D) Pejabat asosiasi")</f>
        <v>A) Pelatih kepala, B) Wasit, C) Hakim, D) Pejabat asosiasi</v>
      </c>
      <c r="H41" s="4" t="str">
        <f>IFERROR(__xludf.DUMMYFUNCTION("GOOGLETRANSLATE(C41, ""en"", ""id"")"),"B) Wasit")</f>
        <v>B) Wasit</v>
      </c>
      <c r="I41" s="4" t="str">
        <f>IFERROR(__xludf.DUMMYFUNCTION("GOOGLETRANSLATE(D41, ""en"", ""id"")"),"Kewenangan di dalam ring.")</f>
        <v>Kewenangan di dalam ring.</v>
      </c>
    </row>
    <row r="42">
      <c r="A42" s="3" t="s">
        <v>1257</v>
      </c>
      <c r="B42" s="4" t="s">
        <v>1258</v>
      </c>
      <c r="C42" s="4" t="s">
        <v>1259</v>
      </c>
      <c r="D42" s="4" t="s">
        <v>1260</v>
      </c>
      <c r="F42" s="4" t="str">
        <f>IFERROR(__xludf.DUMMYFUNCTION("GOOGLETRANSLATE(A42, ""en"", ""id"")"),"Prinsip kebudayaan apa yang mendasari peraturan Tarung Derajat?")</f>
        <v>Prinsip kebudayaan apa yang mendasari peraturan Tarung Derajat?</v>
      </c>
      <c r="G42" s="4" t="str">
        <f>IFERROR(__xludf.DUMMYFUNCTION("GOOGLETRANSLATE(B42, ""en"", ""id"")"),"A) Kemenangan dengan segala cara, B) Rasa hormat dan disiplin, C) Promosi diri, D) Hanya ketahanan")</f>
        <v>A) Kemenangan dengan segala cara, B) Rasa hormat dan disiplin, C) Promosi diri, D) Hanya ketahanan</v>
      </c>
      <c r="H42" s="4" t="str">
        <f>IFERROR(__xludf.DUMMYFUNCTION("GOOGLETRANSLATE(C42, ""en"", ""id"")"),"B) Rasa hormat dan disiplin")</f>
        <v>B) Rasa hormat dan disiplin</v>
      </c>
      <c r="I42" s="4" t="str">
        <f>IFERROR(__xludf.DUMMYFUNCTION("GOOGLETRANSLATE(D42, ""en"", ""id"")"),"Etos inti bela diri.")</f>
        <v>Etos inti bela diri.</v>
      </c>
    </row>
    <row r="43">
      <c r="A43" s="3" t="s">
        <v>1261</v>
      </c>
      <c r="B43" s="4" t="s">
        <v>1262</v>
      </c>
      <c r="C43" s="4" t="s">
        <v>1263</v>
      </c>
      <c r="D43" s="4" t="s">
        <v>1264</v>
      </c>
      <c r="F43" s="4" t="str">
        <f>IFERROR(__xludf.DUMMYFUNCTION("GOOGLETRANSLATE(A43, ""en"", ""id"")"),"Tindakan apa yang menunjukkan aib meskipun sah?")</f>
        <v>Tindakan apa yang menunjukkan aib meskipun sah?</v>
      </c>
      <c r="G43" s="4" t="str">
        <f>IFERROR(__xludf.DUMMYFUNCTION("GOOGLETRANSLATE(B43, ""en"", ""id"")"),"A) Ejekan berlebihan, B) Kontrol ring, C) Pukulan balik, D) Knockout")</f>
        <v>A) Ejekan berlebihan, B) Kontrol ring, C) Pukulan balik, D) Knockout</v>
      </c>
      <c r="H43" s="4" t="str">
        <f>IFERROR(__xludf.DUMMYFUNCTION("GOOGLETRANSLATE(C43, ""en"", ""id"")"),"A) Ejekan yang berlebihan")</f>
        <v>A) Ejekan yang berlebihan</v>
      </c>
      <c r="I43" s="4" t="str">
        <f>IFERROR(__xludf.DUMMYFUNCTION("GOOGLETRANSLATE(D43, ""en"", ""id"")"),"Melawan roh.")</f>
        <v>Melawan roh.</v>
      </c>
    </row>
    <row r="44">
      <c r="A44" s="3" t="s">
        <v>1265</v>
      </c>
      <c r="B44" s="4" t="s">
        <v>1266</v>
      </c>
      <c r="C44" s="4" t="s">
        <v>1267</v>
      </c>
      <c r="D44" s="4" t="s">
        <v>1268</v>
      </c>
      <c r="F44" s="4" t="str">
        <f>IFERROR(__xludf.DUMMYFUNCTION("GOOGLETRANSLATE(A44, ""en"", ""id"")"),"Cedera apa yang menyebabkan penghentian wajib?")</f>
        <v>Cedera apa yang menyebabkan penghentian wajib?</v>
      </c>
      <c r="G44" s="4" t="str">
        <f>IFERROR(__xludf.DUMMYFUNCTION("GOOGLETRANSLATE(B44, ""en"", ""id"")"),"A) Mimisan, B) Tanda-tanda gegar otak, C) Tulang kering memar, D) Mata bengkak")</f>
        <v>A) Mimisan, B) Tanda-tanda gegar otak, C) Tulang kering memar, D) Mata bengkak</v>
      </c>
      <c r="H44" s="4" t="str">
        <f>IFERROR(__xludf.DUMMYFUNCTION("GOOGLETRANSLATE(C44, ""en"", ""id"")"),"B) Tanda-tanda gegar otak")</f>
        <v>B) Tanda-tanda gegar otak</v>
      </c>
      <c r="I44" s="4" t="str">
        <f>IFERROR(__xludf.DUMMYFUNCTION("GOOGLETRANSLATE(D44, ""en"", ""id"")"),"Keselamatan pesawat tempur.")</f>
        <v>Keselamatan pesawat tempur.</v>
      </c>
    </row>
    <row r="45">
      <c r="A45" s="3" t="s">
        <v>1269</v>
      </c>
      <c r="B45" s="4" t="s">
        <v>1270</v>
      </c>
      <c r="C45" s="4" t="s">
        <v>1271</v>
      </c>
      <c r="D45" s="4" t="s">
        <v>1272</v>
      </c>
      <c r="F45" s="4" t="str">
        <f>IFERROR(__xludf.DUMMYFUNCTION("GOOGLETRANSLATE(A45, ""en"", ""id"")"),"Prinsip apa yang mengatur netralitas wasit?")</f>
        <v>Prinsip apa yang mengatur netralitas wasit?</v>
      </c>
      <c r="G45" s="4" t="str">
        <f>IFERROR(__xludf.DUMMYFUNCTION("GOOGLETRANSLATE(B45, ""en"", ""id"")"),"A) Penegakan hukum yang setara, B) Mendukung petarung yang lebih lemah, C) Mengikuti masukan pelatih, D) Keadilan penonton")</f>
        <v>A) Penegakan hukum yang setara, B) Mendukung petarung yang lebih lemah, C) Mengikuti masukan pelatih, D) Keadilan penonton</v>
      </c>
      <c r="H45" s="4" t="str">
        <f>IFERROR(__xludf.DUMMYFUNCTION("GOOGLETRANSLATE(C45, ""en"", ""id"")"),"A) Penegakan hukum yang setara")</f>
        <v>A) Penegakan hukum yang setara</v>
      </c>
      <c r="I45" s="4" t="str">
        <f>IFERROR(__xludf.DUMMYFUNCTION("GOOGLETRANSLATE(D45, ""en"", ""id"")"),"Ketidakberpihakan.")</f>
        <v>Ketidakberpihakan.</v>
      </c>
    </row>
    <row r="46">
      <c r="A46" s="3" t="s">
        <v>1273</v>
      </c>
      <c r="B46" s="4" t="s">
        <v>1274</v>
      </c>
      <c r="C46" s="4" t="s">
        <v>1275</v>
      </c>
      <c r="D46" s="4" t="s">
        <v>1276</v>
      </c>
      <c r="F46" s="4" t="str">
        <f>IFERROR(__xludf.DUMMYFUNCTION("GOOGLETRANSLATE(A46, ""en"", ""id"")"),"Bagaimana aturan meningkatkan umur panjang petarung?")</f>
        <v>Bagaimana aturan meningkatkan umur panjang petarung?</v>
      </c>
      <c r="G46" s="4" t="str">
        <f>IFERROR(__xludf.DUMMYFUNCTION("GOOGLETRANSLATE(B46, ""en"", ""id"")"),"A) Membiarkan pelanggaran, B) Melarang serangan berbahaya, C) Memperpanjang ronde, D) Mengabaikan cedera")</f>
        <v>A) Membiarkan pelanggaran, B) Melarang serangan berbahaya, C) Memperpanjang ronde, D) Mengabaikan cedera</v>
      </c>
      <c r="H46" s="4" t="str">
        <f>IFERROR(__xludf.DUMMYFUNCTION("GOOGLETRANSLATE(C46, ""en"", ""id"")"),"B) Melarang serangan berbahaya")</f>
        <v>B) Melarang serangan berbahaya</v>
      </c>
      <c r="I46" s="4" t="str">
        <f>IFERROR(__xludf.DUMMYFUNCTION("GOOGLETRANSLATE(D46, ""en"", ""id"")"),"Melindungi kesehatan.")</f>
        <v>Melindungi kesehatan.</v>
      </c>
    </row>
    <row r="47">
      <c r="A47" s="3" t="s">
        <v>1277</v>
      </c>
      <c r="B47" s="4" t="s">
        <v>1278</v>
      </c>
      <c r="C47" s="4" t="s">
        <v>1279</v>
      </c>
      <c r="D47" s="4" t="s">
        <v>1280</v>
      </c>
      <c r="F47" s="4" t="str">
        <f>IFERROR(__xludf.DUMMYFUNCTION("GOOGLETRANSLATE(A47, ""en"", ""id"")"),"Tindakan apa di luar ring yang dapat mendiskualifikasi seorang petarung?")</f>
        <v>Tindakan apa di luar ring yang dapat mendiskualifikasi seorang petarung?</v>
      </c>
      <c r="G47" s="4" t="str">
        <f>IFERROR(__xludf.DUMMYFUNCTION("GOOGLETRANSLATE(B47, ""en"", ""id"")"),"A) Perayaan meriah, B) Menghina hakim, C) Tos, D) Ritual doa")</f>
        <v>A) Perayaan meriah, B) Menghina hakim, C) Tos, D) Ritual doa</v>
      </c>
      <c r="H47" s="4" t="str">
        <f>IFERROR(__xludf.DUMMYFUNCTION("GOOGLETRANSLATE(C47, ""en"", ""id"")"),"B) Menghina hakim")</f>
        <v>B) Menghina hakim</v>
      </c>
      <c r="I47" s="4" t="str">
        <f>IFERROR(__xludf.DUMMYFUNCTION("GOOGLETRANSLATE(D47, ""en"", ""id"")"),"Tdk sportif.")</f>
        <v>Tdk sportif.</v>
      </c>
    </row>
    <row r="48">
      <c r="A48" s="3" t="s">
        <v>1281</v>
      </c>
      <c r="B48" s="4" t="s">
        <v>1282</v>
      </c>
      <c r="C48" s="4" t="s">
        <v>1283</v>
      </c>
      <c r="D48" s="4" t="s">
        <v>1284</v>
      </c>
      <c r="F48" s="4" t="str">
        <f>IFERROR(__xludf.DUMMYFUNCTION("GOOGLETRANSLATE(A48, ""en"", ""id"")"),"Apa sikap etis terhadap perayaan yang berlebihan?")</f>
        <v>Apa sikap etis terhadap perayaan yang berlebihan?</v>
      </c>
      <c r="G48" s="4" t="str">
        <f>IFERROR(__xludf.DUMMYFUNCTION("GOOGLETRANSLATE(B48, ""en"", ""id"")"),"A) Didorong, B) Netral, C) Tidak dianjurkan, D) Wajib")</f>
        <v>A) Didorong, B) Netral, C) Tidak dianjurkan, D) Wajib</v>
      </c>
      <c r="H48" s="4" t="str">
        <f>IFERROR(__xludf.DUMMYFUNCTION("GOOGLETRANSLATE(C48, ""en"", ""id"")"),"C) Putus asa")</f>
        <v>C) Putus asa</v>
      </c>
      <c r="I48" s="4" t="str">
        <f>IFERROR(__xludf.DUMMYFUNCTION("GOOGLETRANSLATE(D48, ""en"", ""id"")"),"Hormati lawan.")</f>
        <v>Hormati lawan.</v>
      </c>
    </row>
    <row r="49">
      <c r="A49" s="3" t="s">
        <v>1285</v>
      </c>
      <c r="B49" s="4" t="s">
        <v>1286</v>
      </c>
      <c r="C49" s="4" t="s">
        <v>1187</v>
      </c>
      <c r="D49" s="4" t="s">
        <v>1287</v>
      </c>
      <c r="F49" s="4" t="str">
        <f>IFERROR(__xludf.DUMMYFUNCTION("GOOGLETRANSLATE(A49, ""en"", ""id"")"),"Bagaimana Tarung Derajat pemuda diadaptasi untuk keselamatan?")</f>
        <v>Bagaimana Tarung Derajat pemuda diadaptasi untuk keselamatan?</v>
      </c>
      <c r="G49" s="4" t="str">
        <f>IFERROR(__xludf.DUMMYFUNCTION("GOOGLETRANSLATE(B49, ""en"", ""id"")"),"A) Ronde yang lebih pendek, B) Tidak ada benturan kepala, C) Bantalan ekstra, D) Semua jawaban di atas")</f>
        <v>A) Ronde yang lebih pendek, B) Tidak ada benturan kepala, C) Bantalan ekstra, D) Semua jawaban di atas</v>
      </c>
      <c r="H49" s="4" t="str">
        <f>IFERROR(__xludf.DUMMYFUNCTION("GOOGLETRANSLATE(C49, ""en"", ""id"")"),"D) Semua jawaban di atas")</f>
        <v>D) Semua jawaban di atas</v>
      </c>
      <c r="I49" s="4" t="str">
        <f>IFERROR(__xludf.DUMMYFUNCTION("GOOGLETRANSLATE(D49, ""en"", ""id"")"),"Aturan yang lebih aman untuk anak di bawah umur.")</f>
        <v>Aturan yang lebih aman untuk anak di bawah umur.</v>
      </c>
    </row>
    <row r="50">
      <c r="A50" s="3" t="s">
        <v>1288</v>
      </c>
      <c r="B50" s="4" t="s">
        <v>1289</v>
      </c>
      <c r="C50" s="4" t="s">
        <v>1290</v>
      </c>
      <c r="D50" s="4" t="s">
        <v>1291</v>
      </c>
      <c r="F50" s="4" t="str">
        <f>IFERROR(__xludf.DUMMYFUNCTION("GOOGLETRANSLATE(A50, ""en"", ""id"")"),"Gerakan apa yang wajib dilakukan sebelum dan sesudah bertarung?")</f>
        <v>Gerakan apa yang wajib dilakukan sebelum dan sesudah bertarung?</v>
      </c>
      <c r="G50" s="4" t="str">
        <f>IFERROR(__xludf.DUMMYFUNCTION("GOOGLETRANSLATE(B50, ""en"", ""id"")"),"A) Menyentuh sarung tangan, B) Membungkuk, C) Menghormat, D) Jabat tangan wasit")</f>
        <v>A) Menyentuh sarung tangan, B) Membungkuk, C) Menghormat, D) Jabat tangan wasit</v>
      </c>
      <c r="H50" s="4" t="str">
        <f>IFERROR(__xludf.DUMMYFUNCTION("GOOGLETRANSLATE(C50, ""en"", ""id"")"),"A) Menyentuh sarung tangan")</f>
        <v>A) Menyentuh sarung tangan</v>
      </c>
      <c r="I50" s="4" t="str">
        <f>IFERROR(__xludf.DUMMYFUNCTION("GOOGLETRANSLATE(D50, ""en"", ""id"")"),"Simbol rasa hormat.")</f>
        <v>Simbol rasa hormat.</v>
      </c>
    </row>
    <row r="51">
      <c r="A51" s="3" t="s">
        <v>1292</v>
      </c>
      <c r="B51" s="4" t="s">
        <v>1293</v>
      </c>
      <c r="C51" s="4" t="s">
        <v>1294</v>
      </c>
      <c r="D51" s="4" t="s">
        <v>1295</v>
      </c>
      <c r="F51" s="4" t="str">
        <f>IFERROR(__xludf.DUMMYFUNCTION("GOOGLETRANSLATE(A51, ""en"", ""id"")"),"Mengapa memukul lawan yang terjatuh dilarang?")</f>
        <v>Mengapa memukul lawan yang terjatuh dilarang?</v>
      </c>
      <c r="G51" s="4" t="str">
        <f>IFERROR(__xludf.DUMMYFUNCTION("GOOGLETRANSLATE(B51, ""en"", ""id"")"),"A) Sulit untuk mencetak gol, B) Tradisi, C) Risiko cedera parah, D) Memperlambat pertandingan")</f>
        <v>A) Sulit untuk mencetak gol, B) Tradisi, C) Risiko cedera parah, D) Memperlambat pertandingan</v>
      </c>
      <c r="H51" s="4" t="str">
        <f>IFERROR(__xludf.DUMMYFUNCTION("GOOGLETRANSLATE(C51, ""en"", ""id"")"),"C) Risiko cedera parah")</f>
        <v>C) Risiko cedera parah</v>
      </c>
      <c r="I51" s="4" t="str">
        <f>IFERROR(__xludf.DUMMYFUNCTION("GOOGLETRANSLATE(D51, ""en"", ""id"")"),"Alasan keamanan.")</f>
        <v>Alasan keamanan.</v>
      </c>
    </row>
    <row r="52">
      <c r="A52" s="3" t="s">
        <v>1296</v>
      </c>
      <c r="B52" s="4" t="s">
        <v>1297</v>
      </c>
      <c r="C52" s="4" t="s">
        <v>1298</v>
      </c>
      <c r="D52" s="4" t="s">
        <v>1299</v>
      </c>
      <c r="F52" s="4" t="str">
        <f>IFERROR(__xludf.DUMMYFUNCTION("GOOGLETRANSLATE(A52, ""en"", ""id"")"),"Apa tindakan wasit jika seorang petarung dengan sengaja menunda kembali dari jeda antar ronde?")</f>
        <v>Apa tindakan wasit jika seorang petarung dengan sengaja menunda kembali dari jeda antar ronde?</v>
      </c>
      <c r="G52" s="4" t="str">
        <f>IFERROR(__xludf.DUMMYFUNCTION("GOOGLETRANSLATE(B52, ""en"", ""id"")"),"A) Istirahat tambahan diperbolehkan, B) Peringatan dikeluarkan, C) Diskualifikasi langsung, D) Poin diberikan kepada lawan")</f>
        <v>A) Istirahat tambahan diperbolehkan, B) Peringatan dikeluarkan, C) Diskualifikasi langsung, D) Poin diberikan kepada lawan</v>
      </c>
      <c r="H52" s="4" t="str">
        <f>IFERROR(__xludf.DUMMYFUNCTION("GOOGLETRANSLATE(C52, ""en"", ""id"")"),"B) Peringatan dikeluarkan")</f>
        <v>B) Peringatan dikeluarkan</v>
      </c>
      <c r="I52" s="4" t="str">
        <f>IFERROR(__xludf.DUMMYFUNCTION("GOOGLETRANSLATE(D52, ""en"", ""id"")"),"Penundaan yang disengaja dikenakan sanksi untuk menjaga keadilan.")</f>
        <v>Penundaan yang disengaja dikenakan sanksi untuk menjaga keadilan.</v>
      </c>
    </row>
    <row r="53">
      <c r="A53" s="3" t="s">
        <v>1300</v>
      </c>
      <c r="B53" s="4" t="s">
        <v>1301</v>
      </c>
      <c r="C53" s="4" t="s">
        <v>1105</v>
      </c>
      <c r="D53" s="4" t="s">
        <v>1302</v>
      </c>
      <c r="F53" s="4" t="str">
        <f>IFERROR(__xludf.DUMMYFUNCTION("GOOGLETRANSLATE(A53, ""en"", ""id"")"),"Dalam Tarung Derajat, jika seorang petarung sengaja meludahkan pelindung mulut untuk mengulur waktu, apa yang terjadi?")</f>
        <v>Dalam Tarung Derajat, jika seorang petarung sengaja meludahkan pelindung mulut untuk mengulur waktu, apa yang terjadi?</v>
      </c>
      <c r="G53" s="4" t="str">
        <f>IFERROR(__xludf.DUMMYFUNCTION("GOOGLETRANSLATE(B53, ""en"", ""id"")"),"A) Pertarungan dihentikan tanpa penalti, B) Peringatan dan pengurangan waktu, C) Pengurangan poin, D) Lawan dinyatakan sebagai pemenang")</f>
        <v>A) Pertarungan dihentikan tanpa penalti, B) Peringatan dan pengurangan waktu, C) Pengurangan poin, D) Lawan dinyatakan sebagai pemenang</v>
      </c>
      <c r="H53" s="4" t="str">
        <f>IFERROR(__xludf.DUMMYFUNCTION("GOOGLETRANSLATE(C53, ""en"", ""id"")"),"C) Pengurangan poin")</f>
        <v>C) Pengurangan poin</v>
      </c>
      <c r="I53" s="4" t="str">
        <f>IFERROR(__xludf.DUMMYFUNCTION("GOOGLETRANSLATE(D53, ""en"", ""id"")"),"Dianggap sebagai kecurangan dan diberi sanksi.")</f>
        <v>Dianggap sebagai kecurangan dan diberi sanksi.</v>
      </c>
    </row>
    <row r="54">
      <c r="A54" s="3" t="s">
        <v>1303</v>
      </c>
      <c r="B54" s="4" t="s">
        <v>1304</v>
      </c>
      <c r="C54" s="4" t="s">
        <v>1305</v>
      </c>
      <c r="D54" s="4" t="s">
        <v>1306</v>
      </c>
      <c r="F54" s="4" t="str">
        <f>IFERROR(__xludf.DUMMYFUNCTION("GOOGLETRANSLATE(A54, ""en"", ""id"")"),"Bila seorang petarung memegang tali atau tepian ring untuk menghindari serangan, apa hukumnya?")</f>
        <v>Bila seorang petarung memegang tali atau tepian ring untuk menghindari serangan, apa hukumnya?</v>
      </c>
      <c r="G54" s="4" t="str">
        <f>IFERROR(__xludf.DUMMYFUNCTION("GOOGLETRANSLATE(B54, ""en"", ""id"")"),"A) Pembelaan hukum, B) Hanya peringatan, C) Pelanggaran dengan pengurangan poin, D) Tidak ada tindakan jika singkat")</f>
        <v>A) Pembelaan hukum, B) Hanya peringatan, C) Pelanggaran dengan pengurangan poin, D) Tidak ada tindakan jika singkat</v>
      </c>
      <c r="H54" s="4" t="str">
        <f>IFERROR(__xludf.DUMMYFUNCTION("GOOGLETRANSLATE(C54, ""en"", ""id"")"),"C) Pelanggaran dengan pengurangan poin")</f>
        <v>C) Pelanggaran dengan pengurangan poin</v>
      </c>
      <c r="I54" s="4" t="str">
        <f>IFERROR(__xludf.DUMMYFUNCTION("GOOGLETRANSLATE(D54, ""en"", ""id"")"),"Memegang tali untuk pertahanan diri adalah ilegal.")</f>
        <v>Memegang tali untuk pertahanan diri adalah ilegal.</v>
      </c>
    </row>
    <row r="55" ht="20.25" customHeight="1">
      <c r="A55" s="3" t="s">
        <v>1307</v>
      </c>
      <c r="B55" s="4" t="s">
        <v>1308</v>
      </c>
      <c r="C55" s="4" t="s">
        <v>1125</v>
      </c>
      <c r="D55" s="4" t="s">
        <v>1309</v>
      </c>
      <c r="F55" s="4" t="str">
        <f>IFERROR(__xludf.DUMMYFUNCTION("GOOGLETRANSLATE(A55, ""en"", ""id"")"),"Jika seorang petarung mendaratkan serangan tepat saat bel tanda berakhirnya ronde berbunyi, bagaimana pukulan tersebut dinilai?")</f>
        <v>Jika seorang petarung mendaratkan serangan tepat saat bel tanda berakhirnya ronde berbunyi, bagaimana pukulan tersebut dinilai?</v>
      </c>
      <c r="G55" s="4" t="str">
        <f>IFERROR(__xludf.DUMMYFUNCTION("GOOGLETRANSLATE(B55, ""en"", ""id"")"),"A) Jumlah poin, B) Strike dibatalkan, C) Peringatan dikeluarkan, D) Kewenangan juri")</f>
        <v>A) Jumlah poin, B) Strike dibatalkan, C) Peringatan dikeluarkan, D) Kewenangan juri</v>
      </c>
      <c r="H55" s="4" t="str">
        <f>IFERROR(__xludf.DUMMYFUNCTION("GOOGLETRANSLATE(C55, ""en"", ""id"")"),"B) Mogok dibatalkan")</f>
        <v>B) Mogok dibatalkan</v>
      </c>
      <c r="I55" s="4" t="str">
        <f>IFERROR(__xludf.DUMMYFUNCTION("GOOGLETRANSLATE(D55, ""en"", ""id"")"),"Pukulan apa pun yang dilakukan setelah atau pada saat bel berbunyi dianggap tidak sah.")</f>
        <v>Pukulan apa pun yang dilakukan setelah atau pada saat bel berbunyi dianggap tidak sah.</v>
      </c>
    </row>
    <row r="56">
      <c r="A56" s="3" t="s">
        <v>1310</v>
      </c>
      <c r="B56" s="4" t="s">
        <v>1311</v>
      </c>
      <c r="C56" s="4" t="s">
        <v>1312</v>
      </c>
      <c r="D56" s="4" t="s">
        <v>1313</v>
      </c>
      <c r="F56" s="4" t="str">
        <f>IFERROR(__xludf.DUMMYFUNCTION("GOOGLETRANSLATE(A56, ""en"", ""id"")"),"Apa keputusan wasit jika kedua petarung saling menjatuhkan pada saat yang bersamaan?")</f>
        <v>Apa keputusan wasit jika kedua petarung saling menjatuhkan pada saat yang bersamaan?</v>
      </c>
      <c r="G56" s="4" t="str">
        <f>IFERROR(__xludf.DUMMYFUNCTION("GOOGLETRANSLATE(B56, ""en"", ""id"")"),"A) Keduanya didiskualifikasi, B) Jumlah knockdown ganda, C) Keduanya diberikan poin, D) Juri memutuskan berdasarkan pemulihan")</f>
        <v>A) Keduanya didiskualifikasi, B) Jumlah knockdown ganda, C) Keduanya diberikan poin, D) Juri memutuskan berdasarkan pemulihan</v>
      </c>
      <c r="H56" s="4" t="str">
        <f>IFERROR(__xludf.DUMMYFUNCTION("GOOGLETRANSLATE(C56, ""en"", ""id"")"),"B) Hitungan knockdown ganda")</f>
        <v>B) Hitungan knockdown ganda</v>
      </c>
      <c r="I56" s="4" t="str">
        <f>IFERROR(__xludf.DUMMYFUNCTION("GOOGLETRANSLATE(D56, ""en"", ""id"")"),"Keduanya diberi waktu pemulihan 10 detik.")</f>
        <v>Keduanya diberi waktu pemulihan 10 detik.</v>
      </c>
    </row>
    <row r="57">
      <c r="A57" s="3" t="s">
        <v>1314</v>
      </c>
      <c r="B57" s="4" t="s">
        <v>1315</v>
      </c>
      <c r="C57" s="4" t="s">
        <v>1316</v>
      </c>
      <c r="D57" s="4" t="s">
        <v>1317</v>
      </c>
      <c r="F57" s="4" t="str">
        <f>IFERROR(__xludf.DUMMYFUNCTION("GOOGLETRANSLATE(A57, ""en"", ""id"")"),"Kondisi manakah yang secara otomatis mengakhiri pertandingan karena alasan keamanan?")</f>
        <v>Kondisi manakah yang secara otomatis mengakhiri pertandingan karena alasan keamanan?</v>
      </c>
      <c r="G57" s="4" t="str">
        <f>IFERROR(__xludf.DUMMYFUNCTION("GOOGLETRANSLATE(B57, ""en"", ""id"")"),"A) Dua kali slip berturut-turut, B) Petarung tidak mampu bertahan dengan cerdas, C) Stamina rendah, D) Kurang agresif")</f>
        <v>A) Dua kali slip berturut-turut, B) Petarung tidak mampu bertahan dengan cerdas, C) Stamina rendah, D) Kurang agresif</v>
      </c>
      <c r="H57" s="4" t="str">
        <f>IFERROR(__xludf.DUMMYFUNCTION("GOOGLETRANSLATE(C57, ""en"", ""id"")"),"B) Pejuang tidak mampu bertahan secara cerdas")</f>
        <v>B) Pejuang tidak mampu bertahan secara cerdas</v>
      </c>
      <c r="I57" s="4" t="str">
        <f>IFERROR(__xludf.DUMMYFUNCTION("GOOGLETRANSLATE(D57, ""en"", ""id"")"),"Wasit menghentikan perkelahian untuk mencegah cedera.")</f>
        <v>Wasit menghentikan perkelahian untuk mencegah cedera.</v>
      </c>
    </row>
    <row r="58">
      <c r="A58" s="3" t="s">
        <v>1318</v>
      </c>
      <c r="B58" s="4" t="s">
        <v>1319</v>
      </c>
      <c r="C58" s="4" t="s">
        <v>1320</v>
      </c>
      <c r="D58" s="4" t="s">
        <v>1321</v>
      </c>
      <c r="F58" s="4" t="str">
        <f>IFERROR(__xludf.DUMMYFUNCTION("GOOGLETRANSLATE(A58, ""en"", ""id"")"),"Apa yang terjadi jika seorang petarung berulang kali melihat jam selama satu ronde?")</f>
        <v>Apa yang terjadi jika seorang petarung berulang kali melihat jam selama satu ronde?</v>
      </c>
      <c r="G58" s="4" t="str">
        <f>IFERROR(__xludf.DUMMYFUNCTION("GOOGLETRANSLATE(B58, ""en"", ""id"")"),"A) Peringatan untuk gangguan, B) Wasit menghentikan pertandingan, C) Hakim mengurangi poin, D) Dianggap perilaku mengulur waktu")</f>
        <v>A) Peringatan untuk gangguan, B) Wasit menghentikan pertandingan, C) Hakim mengurangi poin, D) Dianggap perilaku mengulur waktu</v>
      </c>
      <c r="H58" s="4" t="str">
        <f>IFERROR(__xludf.DUMMYFUNCTION("GOOGLETRANSLATE(C58, ""en"", ""id"")"),"D) Dianggap perilaku mengulur waktu")</f>
        <v>D) Dianggap perilaku mengulur waktu</v>
      </c>
      <c r="I58" s="4" t="str">
        <f>IFERROR(__xludf.DUMMYFUNCTION("GOOGLETRANSLATE(D58, ""en"", ""id"")"),"Dapat mempengaruhi peringatan wasit.")</f>
        <v>Dapat mempengaruhi peringatan wasit.</v>
      </c>
    </row>
    <row r="59">
      <c r="A59" s="3" t="s">
        <v>1322</v>
      </c>
      <c r="B59" s="4" t="s">
        <v>1323</v>
      </c>
      <c r="C59" s="4" t="s">
        <v>1324</v>
      </c>
      <c r="D59" s="4" t="s">
        <v>1325</v>
      </c>
      <c r="F59" s="4" t="str">
        <f>IFERROR(__xludf.DUMMYFUNCTION("GOOGLETRANSLATE(A59, ""en"", ""id"")"),"Dalam Tarung Derajat, bagaimana clinching yang berlebihan didefinisikan?")</f>
        <v>Dalam Tarung Derajat, bagaimana clinching yang berlebihan didefinisikan?</v>
      </c>
      <c r="G59" s="4" t="str">
        <f>IFERROR(__xludf.DUMMYFUNCTION("GOOGLETRANSLATE(B59, ""en"", ""id"")"),"A) Lebih dari 3 detik tanpa strike, B) Setiap percobaan clinch, C) Bergulat tanpa lemparan, D) Wasit memutuskan")</f>
        <v>A) Lebih dari 3 detik tanpa strike, B) Setiap percobaan clinch, C) Bergulat tanpa lemparan, D) Wasit memutuskan</v>
      </c>
      <c r="H59" s="4" t="str">
        <f>IFERROR(__xludf.DUMMYFUNCTION("GOOGLETRANSLATE(C59, ""en"", ""id"")"),"A) Lebih dari 3 detik tanpa strike")</f>
        <v>A) Lebih dari 3 detik tanpa strike</v>
      </c>
      <c r="I59" s="4" t="str">
        <f>IFERROR(__xludf.DUMMYFUNCTION("GOOGLETRANSLATE(D59, ""en"", ""id"")"),"Clinching yang berlebihan mengganggu jalannya pertandingan.")</f>
        <v>Clinching yang berlebihan mengganggu jalannya pertandingan.</v>
      </c>
    </row>
    <row r="60">
      <c r="A60" s="3" t="s">
        <v>1326</v>
      </c>
      <c r="B60" s="4" t="s">
        <v>1327</v>
      </c>
      <c r="C60" s="4" t="s">
        <v>1328</v>
      </c>
      <c r="D60" s="4" t="s">
        <v>1329</v>
      </c>
      <c r="F60" s="4" t="str">
        <f>IFERROR(__xludf.DUMMYFUNCTION("GOOGLETRANSLATE(A60, ""en"", ""id"")"),"Jika sudut petarung menyerah, apa hasilnya?")</f>
        <v>Jika sudut petarung menyerah, apa hasilnya?</v>
      </c>
      <c r="G60" s="4" t="str">
        <f>IFERROR(__xludf.DUMMYFUNCTION("GOOGLETRANSLATE(B60, ""en"", ""id"")"),"A) Wasit mengabaikannya, B) Pertandingan dihentikan sementara, C) Lawan menang dengan technical knockout, D) Juri memutuskan")</f>
        <v>A) Wasit mengabaikannya, B) Pertandingan dihentikan sementara, C) Lawan menang dengan technical knockout, D) Juri memutuskan</v>
      </c>
      <c r="H60" s="4" t="str">
        <f>IFERROR(__xludf.DUMMYFUNCTION("GOOGLETRANSLATE(C60, ""en"", ""id"")"),"C) Lawan menang dengan technical knockout")</f>
        <v>C) Lawan menang dengan technical knockout</v>
      </c>
      <c r="I60" s="4" t="str">
        <f>IFERROR(__xludf.DUMMYFUNCTION("GOOGLETRANSLATE(D60, ""en"", ""id"")"),"Lemparan handuk langsung mengakhiri perkelahian.")</f>
        <v>Lemparan handuk langsung mengakhiri perkelahian.</v>
      </c>
    </row>
    <row r="61">
      <c r="A61" s="3" t="s">
        <v>1330</v>
      </c>
      <c r="B61" s="4" t="s">
        <v>1331</v>
      </c>
      <c r="C61" s="4" t="s">
        <v>1332</v>
      </c>
      <c r="D61" s="4" t="s">
        <v>1333</v>
      </c>
      <c r="F61" s="4" t="str">
        <f>IFERROR(__xludf.DUMMYFUNCTION("GOOGLETRANSLATE(A61, ""en"", ""id"")"),"Hukuman apa yang berlaku jika seorang petarung mengejek atau tidak menghormati wasit selama pertandingan?")</f>
        <v>Hukuman apa yang berlaku jika seorang petarung mengejek atau tidak menghormati wasit selama pertandingan?</v>
      </c>
      <c r="G61" s="4" t="str">
        <f>IFERROR(__xludf.DUMMYFUNCTION("GOOGLETRANSLATE(B61, ""en"", ""id"")"),"A) Tidak ada penalti, B) Hanya peringatan, C) Pengurangan poin atau diskualifikasi, D) Tinjauan pasca pertandingan")</f>
        <v>A) Tidak ada penalti, B) Hanya peringatan, C) Pengurangan poin atau diskualifikasi, D) Tinjauan pasca pertandingan</v>
      </c>
      <c r="H61" s="4" t="str">
        <f>IFERROR(__xludf.DUMMYFUNCTION("GOOGLETRANSLATE(C61, ""en"", ""id"")"),"C) Pengurangan poin atau diskualifikasi")</f>
        <v>C) Pengurangan poin atau diskualifikasi</v>
      </c>
      <c r="I61" s="4" t="str">
        <f>IFERROR(__xludf.DUMMYFUNCTION("GOOGLETRANSLATE(D61, ""en"", ""id"")"),"Tidak menghormati wewenang wasit adalah pelanggaran serius")</f>
        <v>Tidak menghormati wewenang wasit adalah pelanggaran serius</v>
      </c>
    </row>
    <row r="62">
      <c r="A62" s="6" t="s">
        <v>1334</v>
      </c>
      <c r="B62" s="10" t="s">
        <v>1335</v>
      </c>
      <c r="C62" s="10" t="s">
        <v>1336</v>
      </c>
      <c r="D62" s="10" t="s">
        <v>1337</v>
      </c>
      <c r="F62" s="4" t="str">
        <f>IFERROR(__xludf.DUMMYFUNCTION("GOOGLETRANSLATE(A62, ""en"", ""id"")"),"Apa tujuan utama dalam Tarung Derajat?")</f>
        <v>Apa tujuan utama dalam Tarung Derajat?</v>
      </c>
      <c r="G62" s="4" t="str">
        <f>IFERROR(__xludf.DUMMYFUNCTION("GOOGLETRANSLATE(B62, ""en"", ""id"")"),"A) Menyerahkan lawan, B) Mencetak poin dengan memukul dan bergulat, C) Melempar lawan keluar dari ring, D) Menahan anggota tubuh lawan")</f>
        <v>A) Menyerahkan lawan, B) Mencetak poin dengan memukul dan bergulat, C) Melempar lawan keluar dari ring, D) Menahan anggota tubuh lawan</v>
      </c>
      <c r="H62" s="4" t="str">
        <f>IFERROR(__xludf.DUMMYFUNCTION("GOOGLETRANSLATE(C62, ""en"", ""id"")"),"B) Mencetak poin dengan cara memukul dan bergulat")</f>
        <v>B) Mencetak poin dengan cara memukul dan bergulat</v>
      </c>
      <c r="I62" s="4" t="str">
        <f>IFERROR(__xludf.DUMMYFUNCTION("GOOGLETRANSLATE(D62, ""en"", ""id"")"),"Sasarannya adalah untuk mencetak poin melalui serangan dan teknik bergulat yang terkendali.")</f>
        <v>Sasarannya adalah untuk mencetak poin melalui serangan dan teknik bergulat yang terkendali.</v>
      </c>
    </row>
    <row r="63">
      <c r="A63" s="6" t="s">
        <v>1338</v>
      </c>
      <c r="B63" s="10" t="s">
        <v>73</v>
      </c>
      <c r="C63" s="10" t="s">
        <v>74</v>
      </c>
      <c r="D63" s="10" t="s">
        <v>1339</v>
      </c>
      <c r="F63" s="4" t="str">
        <f>IFERROR(__xludf.DUMMYFUNCTION("GOOGLETRANSLATE(A63, ""en"", ""id"")"),"Berapa ronde yang biasanya dimainkan dalam pertandingan Tarung Derajat?")</f>
        <v>Berapa ronde yang biasanya dimainkan dalam pertandingan Tarung Derajat?</v>
      </c>
      <c r="G63" s="4" t="str">
        <f>IFERROR(__xludf.DUMMYFUNCTION("GOOGLETRANSLATE(B63, ""en"", ""id"")"),"A) 1, B) 2, C) 3, D) 5")</f>
        <v>A) 1, B) 2, C) 3, D) 5</v>
      </c>
      <c r="H63" s="4" t="str">
        <f>IFERROR(__xludf.DUMMYFUNCTION("GOOGLETRANSLATE(C63, ""en"", ""id"")"),"C) 3")</f>
        <v>C) 3</v>
      </c>
      <c r="I63" s="4" t="str">
        <f>IFERROR(__xludf.DUMMYFUNCTION("GOOGLETRANSLATE(D63, ""en"", ""id"")"),"Pertandingan standar terdiri dari tiga babak.")</f>
        <v>Pertandingan standar terdiri dari tiga babak.</v>
      </c>
    </row>
    <row r="64">
      <c r="A64" s="6" t="s">
        <v>1340</v>
      </c>
      <c r="B64" s="10" t="s">
        <v>1341</v>
      </c>
      <c r="C64" s="10" t="s">
        <v>1342</v>
      </c>
      <c r="D64" s="10" t="s">
        <v>1343</v>
      </c>
      <c r="F64" s="4" t="str">
        <f>IFERROR(__xludf.DUMMYFUNCTION("GOOGLETRANSLATE(A64, ""en"", ""id"")"),"Senjata apa yang umum digunakan dalam latihan Tarung Derajat?")</f>
        <v>Senjata apa yang umum digunakan dalam latihan Tarung Derajat?</v>
      </c>
      <c r="G64" s="4" t="str">
        <f>IFERROR(__xludf.DUMMYFUNCTION("GOOGLETRANSLATE(B64, ""en"", ""id"")"),"A) Pedang, B) Pisau, C) Tongkat, D) Tidak ada")</f>
        <v>A) Pedang, B) Pisau, C) Tongkat, D) Tidak ada</v>
      </c>
      <c r="H64" s="4" t="str">
        <f>IFERROR(__xludf.DUMMYFUNCTION("GOOGLETRANSLATE(C64, ""en"", ""id"")"),"D) Tidak ada")</f>
        <v>D) Tidak ada</v>
      </c>
      <c r="I64" s="4" t="str">
        <f>IFERROR(__xludf.DUMMYFUNCTION("GOOGLETRANSLATE(D64, ""en"", ""id"")"),"Tarung Derajat berfokus pada pertarungan tangan kosong, tanpa menggunakan senjata.")</f>
        <v>Tarung Derajat berfokus pada pertarungan tangan kosong, tanpa menggunakan senjata.</v>
      </c>
    </row>
    <row r="65">
      <c r="A65" s="6" t="s">
        <v>1344</v>
      </c>
      <c r="B65" s="10" t="s">
        <v>1345</v>
      </c>
      <c r="C65" s="10" t="s">
        <v>1346</v>
      </c>
      <c r="D65" s="10" t="s">
        <v>1347</v>
      </c>
      <c r="F65" s="4" t="str">
        <f>IFERROR(__xludf.DUMMYFUNCTION("GOOGLETRANSLATE(A65, ""en"", ""id"")"),"Tipe kuda-kuda apa yang umum digunakan dalam Tarung Derajat?")</f>
        <v>Tipe kuda-kuda apa yang umum digunakan dalam Tarung Derajat?</v>
      </c>
      <c r="G65" s="4" t="str">
        <f>IFERROR(__xludf.DUMMYFUNCTION("GOOGLETRANSLATE(B65, ""en"", ""id"")"),"A) Penjagaan tinggi, B) Sikap samping, C) Sikap kuda, D) Sikap bertarung")</f>
        <v>A) Penjagaan tinggi, B) Sikap samping, C) Sikap kuda, D) Sikap bertarung</v>
      </c>
      <c r="H65" s="4" t="str">
        <f>IFERROR(__xludf.DUMMYFUNCTION("GOOGLETRANSLATE(C65, ""en"", ""id"")"),"D) Sikap bertarung")</f>
        <v>D) Sikap bertarung</v>
      </c>
      <c r="I65" s="4" t="str">
        <f>IFERROR(__xludf.DUMMYFUNCTION("GOOGLETRANSLATE(D65, ""en"", ""id"")"),"Posisi bertarung memungkinkan praktisi untuk bersiap dalam menyerang dan bertahan.")</f>
        <v>Posisi bertarung memungkinkan praktisi untuk bersiap dalam menyerang dan bertahan.</v>
      </c>
    </row>
    <row r="66">
      <c r="A66" s="6" t="s">
        <v>1348</v>
      </c>
      <c r="B66" s="10" t="s">
        <v>1349</v>
      </c>
      <c r="C66" s="10" t="s">
        <v>1350</v>
      </c>
      <c r="D66" s="10" t="s">
        <v>1351</v>
      </c>
      <c r="F66" s="4" t="str">
        <f>IFERROR(__xludf.DUMMYFUNCTION("GOOGLETRANSLATE(A66, ""en"", ""id"")"),"Teknik manakah yang TIDAK diperbolehkan dalam Tarung Derajat?")</f>
        <v>Teknik manakah yang TIDAK diperbolehkan dalam Tarung Derajat?</v>
      </c>
      <c r="G66" s="4" t="str">
        <f>IFERROR(__xludf.DUMMYFUNCTION("GOOGLETRANSLATE(B66, ""en"", ""id"")"),"A) Tendangan ke kepala, B) Pukulan ke wajah, C) Serangan siku ke punggung, D) Tendangan menyapu")</f>
        <v>A) Tendangan ke kepala, B) Pukulan ke wajah, C) Serangan siku ke punggung, D) Tendangan menyapu</v>
      </c>
      <c r="H66" s="4" t="str">
        <f>IFERROR(__xludf.DUMMYFUNCTION("GOOGLETRANSLATE(C66, ""en"", ""id"")"),"C) Serangan siku ke belakang")</f>
        <v>C) Serangan siku ke belakang</v>
      </c>
      <c r="I66" s="4" t="str">
        <f>IFERROR(__xludf.DUMMYFUNCTION("GOOGLETRANSLATE(D66, ""en"", ""id"")"),"Serangan siku ke belakang tidak diizinkan karena alasan keselamatan.")</f>
        <v>Serangan siku ke belakang tidak diizinkan karena alasan keselamatan.</v>
      </c>
    </row>
    <row r="67">
      <c r="A67" s="6" t="s">
        <v>1352</v>
      </c>
      <c r="B67" s="10" t="s">
        <v>1353</v>
      </c>
      <c r="C67" s="10" t="s">
        <v>1354</v>
      </c>
      <c r="D67" s="10" t="s">
        <v>1355</v>
      </c>
      <c r="F67" s="4" t="str">
        <f>IFERROR(__xludf.DUMMYFUNCTION("GOOGLETRANSLATE(A67, ""en"", ""id"")"),"Bagaimana poin diberikan dalam Tarung Derajat?")</f>
        <v>Bagaimana poin diberikan dalam Tarung Derajat?</v>
      </c>
      <c r="G67" s="4" t="str">
        <f>IFERROR(__xludf.DUMMYFUNCTION("GOOGLETRANSLATE(B67, ""en"", ""id"")"),"A) Berdasarkan jumlah takedown yang berhasil, B) Berdasarkan gaya serangan, C) Berdasarkan serangan dan grapple, D) Berdasarkan kelelahan lawan")</f>
        <v>A) Berdasarkan jumlah takedown yang berhasil, B) Berdasarkan gaya serangan, C) Berdasarkan serangan dan grapple, D) Berdasarkan kelelahan lawan</v>
      </c>
      <c r="H67" s="4" t="str">
        <f>IFERROR(__xludf.DUMMYFUNCTION("GOOGLETRANSLATE(C67, ""en"", ""id"")"),"C) Berdasarkan serangan dan grapple")</f>
        <v>C) Berdasarkan serangan dan grapple</v>
      </c>
      <c r="I67" s="4" t="str">
        <f>IFERROR(__xludf.DUMMYFUNCTION("GOOGLETRANSLATE(D67, ""en"", ""id"")"),"Poin diberikan untuk serangan bersih dan teknik bergulat yang efektif.")</f>
        <v>Poin diberikan untuk serangan bersih dan teknik bergulat yang efektif.</v>
      </c>
    </row>
    <row r="68">
      <c r="A68" s="6" t="s">
        <v>1356</v>
      </c>
      <c r="B68" s="10" t="s">
        <v>1357</v>
      </c>
      <c r="C68" s="10" t="s">
        <v>1358</v>
      </c>
      <c r="D68" s="10" t="s">
        <v>1359</v>
      </c>
      <c r="F68" s="4" t="str">
        <f>IFERROR(__xludf.DUMMYFUNCTION("GOOGLETRANSLATE(A68, ""en"", ""id"")"),"Bagian tubuh manakah yang menjadi sasaran utama dalam pukulan Tarung Derajat?")</f>
        <v>Bagian tubuh manakah yang menjadi sasaran utama dalam pukulan Tarung Derajat?</v>
      </c>
      <c r="G68" s="4" t="str">
        <f>IFERROR(__xludf.DUMMYFUNCTION("GOOGLETRANSLATE(B68, ""en"", ""id"")"),"A) Lengan, B) Kaki, C) Kepala dan badan, D) Leher")</f>
        <v>A) Lengan, B) Kaki, C) Kepala dan badan, D) Leher</v>
      </c>
      <c r="H68" s="4" t="str">
        <f>IFERROR(__xludf.DUMMYFUNCTION("GOOGLETRANSLATE(C68, ""en"", ""id"")"),"C) Kepala dan badan")</f>
        <v>C) Kepala dan badan</v>
      </c>
      <c r="I68" s="4" t="str">
        <f>IFERROR(__xludf.DUMMYFUNCTION("GOOGLETRANSLATE(D68, ""en"", ""id"")"),"Serangan biasanya diarahkan ke kepala dan badan untuk efek maksimal.")</f>
        <v>Serangan biasanya diarahkan ke kepala dan badan untuk efek maksimal.</v>
      </c>
    </row>
    <row r="69">
      <c r="A69" s="6" t="s">
        <v>1360</v>
      </c>
      <c r="B69" s="10" t="s">
        <v>1361</v>
      </c>
      <c r="C69" s="10" t="s">
        <v>1362</v>
      </c>
      <c r="D69" s="10" t="s">
        <v>1363</v>
      </c>
      <c r="F69" s="4" t="str">
        <f>IFERROR(__xludf.DUMMYFUNCTION("GOOGLETRANSLATE(A69, ""en"", ""id"")"),"Apa istilah untuk 'cincin' yang digunakan dalam kompetisi Tarung Derajat?")</f>
        <v>Apa istilah untuk 'cincin' yang digunakan dalam kompetisi Tarung Derajat?</v>
      </c>
      <c r="G69" s="4" t="str">
        <f>IFERROR(__xludf.DUMMYFUNCTION("GOOGLETRANSLATE(B69, ""en"", ""id"")"),"A) Dojo, B) Kandang, C) Ring, D) Arena")</f>
        <v>A) Dojo, B) Kandang, C) Ring, D) Arena</v>
      </c>
      <c r="H69" s="4" t="str">
        <f>IFERROR(__xludf.DUMMYFUNCTION("GOOGLETRANSLATE(C69, ""en"", ""id"")"),"C) Cincin")</f>
        <v>C) Cincin</v>
      </c>
      <c r="I69" s="4" t="str">
        <f>IFERROR(__xludf.DUMMYFUNCTION("GOOGLETRANSLATE(D69, ""en"", ""id"")"),"Kompetisi berlangsung di ring tempat para petarung dapat bergerak dan menyerang.")</f>
        <v>Kompetisi berlangsung di ring tempat para petarung dapat bergerak dan menyerang.</v>
      </c>
    </row>
    <row r="70">
      <c r="A70" s="6" t="s">
        <v>1364</v>
      </c>
      <c r="B70" s="10" t="s">
        <v>1365</v>
      </c>
      <c r="C70" s="10" t="s">
        <v>1366</v>
      </c>
      <c r="D70" s="10" t="s">
        <v>1367</v>
      </c>
      <c r="F70" s="4" t="str">
        <f>IFERROR(__xludf.DUMMYFUNCTION("GOOGLETRANSLATE(A70, ""en"", ""id"")"),"Jenis pertarungan apa saja yang digabung dalam Tarung Derajat?")</f>
        <v>Jenis pertarungan apa saja yang digabung dalam Tarung Derajat?</v>
      </c>
      <c r="G70" s="4" t="str">
        <f>IFERROR(__xludf.DUMMYFUNCTION("GOOGLETRANSLATE(B70, ""en"", ""id"")"),"A) Tinju dan Judo, B) Karate dan Taekwondo, C) Pencak Silat dan Tinju, D) Jujutsu dan Gulat")</f>
        <v>A) Tinju dan Judo, B) Karate dan Taekwondo, C) Pencak Silat dan Tinju, D) Jujutsu dan Gulat</v>
      </c>
      <c r="H70" s="4" t="str">
        <f>IFERROR(__xludf.DUMMYFUNCTION("GOOGLETRANSLATE(C70, ""en"", ""id"")"),"C) Pencak Silat dan Tinju")</f>
        <v>C) Pencak Silat dan Tinju</v>
      </c>
      <c r="I70" s="4" t="str">
        <f>IFERROR(__xludf.DUMMYFUNCTION("GOOGLETRANSLATE(D70, ""en"", ""id"")"),"Tarung Derajat merupakan perpaduan teknik Pencak Silat dan pukulan tinju.")</f>
        <v>Tarung Derajat merupakan perpaduan teknik Pencak Silat dan pukulan tinju.</v>
      </c>
    </row>
    <row r="71">
      <c r="A71" s="6" t="s">
        <v>1368</v>
      </c>
      <c r="B71" s="10" t="s">
        <v>73</v>
      </c>
      <c r="C71" s="10" t="s">
        <v>10</v>
      </c>
      <c r="D71" s="10" t="s">
        <v>1369</v>
      </c>
      <c r="F71" s="4" t="str">
        <f>IFERROR(__xludf.DUMMYFUNCTION("GOOGLETRANSLATE(A71, ""en"", ""id"")"),"Berapa jumlah pelanggaran maksimal yang diperbolehkan sebelum diskualifikasi dalam Tarung Derajat?")</f>
        <v>Berapa jumlah pelanggaran maksimal yang diperbolehkan sebelum diskualifikasi dalam Tarung Derajat?</v>
      </c>
      <c r="G71" s="4" t="str">
        <f>IFERROR(__xludf.DUMMYFUNCTION("GOOGLETRANSLATE(B71, ""en"", ""id"")"),"A) 1, B) 2, C) 3, D) 5")</f>
        <v>A) 1, B) 2, C) 3, D) 5</v>
      </c>
      <c r="H71" s="4" t="str">
        <f>IFERROR(__xludf.DUMMYFUNCTION("GOOGLETRANSLATE(C71, ""en"", ""id"")"),"B) 2")</f>
        <v>B) 2</v>
      </c>
      <c r="I71" s="4" t="str">
        <f>IFERROR(__xludf.DUMMYFUNCTION("GOOGLETRANSLATE(D71, ""en"", ""id"")"),"Seorang petarung didiskualifikasi setelah melakukan dua pelanggaran selama pertandingan.")</f>
        <v>Seorang petarung didiskualifikasi setelah melakukan dua pelanggaran selama pertandingan.</v>
      </c>
    </row>
    <row r="72">
      <c r="A72" s="6" t="s">
        <v>1370</v>
      </c>
      <c r="B72" s="10" t="s">
        <v>1371</v>
      </c>
      <c r="C72" s="10" t="s">
        <v>1187</v>
      </c>
      <c r="D72" s="10" t="s">
        <v>1372</v>
      </c>
      <c r="F72" s="4" t="str">
        <f>IFERROR(__xludf.DUMMYFUNCTION("GOOGLETRANSLATE(A72, ""en"", ""id"")"),"Alat pelindung diri apa saja yang wajib dipakai dalam pertandingan Tarung Derajat?")</f>
        <v>Alat pelindung diri apa saja yang wajib dipakai dalam pertandingan Tarung Derajat?</v>
      </c>
      <c r="G72" s="4" t="str">
        <f>IFERROR(__xludf.DUMMYFUNCTION("GOOGLETRANSLATE(B72, ""en"", ""id"")"),"A) Alat Pelindung Kepala, B) Sarung Tangan, C) Pelindung Mulut, D) Semua jawaban di atas")</f>
        <v>A) Alat Pelindung Kepala, B) Sarung Tangan, C) Pelindung Mulut, D) Semua jawaban di atas</v>
      </c>
      <c r="H72" s="4" t="str">
        <f>IFERROR(__xludf.DUMMYFUNCTION("GOOGLETRANSLATE(C72, ""en"", ""id"")"),"D) Semua jawaban di atas")</f>
        <v>D) Semua jawaban di atas</v>
      </c>
      <c r="I72" s="4" t="str">
        <f>IFERROR(__xludf.DUMMYFUNCTION("GOOGLETRANSLATE(D72, ""en"", ""id"")"),"Petarung harus mengenakan penutup kepala, sarung tangan, dan pelindung mulut demi keselamatan.")</f>
        <v>Petarung harus mengenakan penutup kepala, sarung tangan, dan pelindung mulut demi keselamatan.</v>
      </c>
    </row>
    <row r="73">
      <c r="A73" s="6" t="s">
        <v>1373</v>
      </c>
      <c r="B73" s="10" t="s">
        <v>1374</v>
      </c>
      <c r="C73" s="10" t="s">
        <v>1375</v>
      </c>
      <c r="D73" s="10" t="s">
        <v>1376</v>
      </c>
      <c r="F73" s="4" t="str">
        <f>IFERROR(__xludf.DUMMYFUNCTION("GOOGLETRANSLATE(A73, ""en"", ""id"")"),"Dalam Tarung Derajat, apa yang terjadi jika terjadi seri di akhir babak ketiga?")</f>
        <v>Dalam Tarung Derajat, apa yang terjadi jika terjadi seri di akhir babak ketiga?</v>
      </c>
      <c r="G73" s="4" t="str">
        <f>IFERROR(__xludf.DUMMYFUNCTION("GOOGLETRANSLATE(B73, ""en"", ""id"")"),"A) Petarung dengan takedown terbanyak menang, B) Ronde sudden death diadakan, C) Kedua petarung didiskualifikasi, D) Pertandingan dinyatakan seri")</f>
        <v>A) Petarung dengan takedown terbanyak menang, B) Ronde sudden death diadakan, C) Kedua petarung didiskualifikasi, D) Pertandingan dinyatakan seri</v>
      </c>
      <c r="H73" s="4" t="str">
        <f>IFERROR(__xludf.DUMMYFUNCTION("GOOGLETRANSLATE(C73, ""en"", ""id"")"),"B) Ronde kematian mendadak dilakukan")</f>
        <v>B) Ronde kematian mendadak dilakukan</v>
      </c>
      <c r="I73" s="4" t="str">
        <f>IFERROR(__xludf.DUMMYFUNCTION("GOOGLETRANSLATE(D73, ""en"", ""id"")"),"Jika pertandingan seri, babak sudden death akan digelar untuk menentukan pemenangnya.")</f>
        <v>Jika pertandingan seri, babak sudden death akan digelar untuk menentukan pemenangnya.</v>
      </c>
    </row>
    <row r="74">
      <c r="A74" s="6" t="s">
        <v>1377</v>
      </c>
      <c r="B74" s="10" t="s">
        <v>1378</v>
      </c>
      <c r="C74" s="10" t="s">
        <v>1379</v>
      </c>
      <c r="D74" s="10" t="s">
        <v>1380</v>
      </c>
      <c r="F74" s="4" t="str">
        <f>IFERROR(__xludf.DUMMYFUNCTION("GOOGLETRANSLATE(A74, ""en"", ""id"")"),"Apa istilah untuk pakaian pelindung yang dikenakan oleh para atlet Tarung Derajat?")</f>
        <v>Apa istilah untuk pakaian pelindung yang dikenakan oleh para atlet Tarung Derajat?</v>
      </c>
      <c r="G74" s="4" t="str">
        <f>IFERROR(__xludf.DUMMYFUNCTION("GOOGLETRANSLATE(B74, ""en"", ""id"")"),"A) Gi, B) Singlet, C) Dobok, D) Seragam")</f>
        <v>A) Gi, B) Singlet, C) Dobok, D) Seragam</v>
      </c>
      <c r="H74" s="4" t="str">
        <f>IFERROR(__xludf.DUMMYFUNCTION("GOOGLETRANSLATE(C74, ""en"", ""id"")"),"D) Seragam")</f>
        <v>D) Seragam</v>
      </c>
      <c r="I74" s="4" t="str">
        <f>IFERROR(__xludf.DUMMYFUNCTION("GOOGLETRANSLATE(D74, ""en"", ""id"")"),"Seragam adalah perlengkapan pelindung standar yang dikenakan selama pertandingan.")</f>
        <v>Seragam adalah perlengkapan pelindung standar yang dikenakan selama pertandingan.</v>
      </c>
    </row>
    <row r="75">
      <c r="A75" s="6" t="s">
        <v>1381</v>
      </c>
      <c r="B75" s="10" t="s">
        <v>1382</v>
      </c>
      <c r="C75" s="10" t="s">
        <v>1383</v>
      </c>
      <c r="D75" s="10" t="s">
        <v>1384</v>
      </c>
      <c r="F75" s="4" t="str">
        <f>IFERROR(__xludf.DUMMYFUNCTION("GOOGLETRANSLATE(A75, ""en"", ""id"")"),"Berapa lama setiap putaran dalam Tarung Derajat?")</f>
        <v>Berapa lama setiap putaran dalam Tarung Derajat?</v>
      </c>
      <c r="G75" s="4" t="str">
        <f>IFERROR(__xludf.DUMMYFUNCTION("GOOGLETRANSLATE(B75, ""en"", ""id"")"),"A) 1 menit, B) 2 menit, C) 3 menit, D) 5 menit")</f>
        <v>A) 1 menit, B) 2 menit, C) 3 menit, D) 5 menit</v>
      </c>
      <c r="H75" s="4" t="str">
        <f>IFERROR(__xludf.DUMMYFUNCTION("GOOGLETRANSLATE(C75, ""en"", ""id"")"),"B) 2 menit")</f>
        <v>B) 2 menit</v>
      </c>
      <c r="I75" s="4" t="str">
        <f>IFERROR(__xludf.DUMMYFUNCTION("GOOGLETRANSLATE(D75, ""en"", ""id"")"),"Setiap putaran berlangsung selama 2 menit dalam pertandingan standar.")</f>
        <v>Setiap putaran berlangsung selama 2 menit dalam pertandingan standar.</v>
      </c>
    </row>
    <row r="76">
      <c r="A76" s="6" t="s">
        <v>1385</v>
      </c>
      <c r="B76" s="10" t="s">
        <v>1386</v>
      </c>
      <c r="C76" s="10" t="s">
        <v>1387</v>
      </c>
      <c r="D76" s="10" t="s">
        <v>1388</v>
      </c>
      <c r="F76" s="4" t="str">
        <f>IFERROR(__xludf.DUMMYFUNCTION("GOOGLETRANSLATE(A76, ""en"", ""id"")"),"Apa metode penilaian utama dalam Tarung Derajat?")</f>
        <v>Apa metode penilaian utama dalam Tarung Derajat?</v>
      </c>
      <c r="G76" s="4" t="str">
        <f>IFERROR(__xludf.DUMMYFUNCTION("GOOGLETRANSLATE(B76, ""en"", ""id"")"),"A) Sistem poin untuk serangan bersih, B) Poin untuk gerakan finishing, C) Hanya takedown, D) Skor agresi")</f>
        <v>A) Sistem poin untuk serangan bersih, B) Poin untuk gerakan finishing, C) Hanya takedown, D) Skor agresi</v>
      </c>
      <c r="H76" s="4" t="str">
        <f>IFERROR(__xludf.DUMMYFUNCTION("GOOGLETRANSLATE(C76, ""en"", ""id"")"),"A) Sistem poin untuk pukulan bersih")</f>
        <v>A) Sistem poin untuk pukulan bersih</v>
      </c>
      <c r="I76" s="4" t="str">
        <f>IFERROR(__xludf.DUMMYFUNCTION("GOOGLETRANSLATE(D76, ""en"", ""id"")"),"Poin diberikan untuk serangan yang bersih dan efektif terhadap lawan.")</f>
        <v>Poin diberikan untuk serangan yang bersih dan efektif terhadap lawan.</v>
      </c>
    </row>
    <row r="77">
      <c r="A77" s="6" t="s">
        <v>1389</v>
      </c>
      <c r="B77" s="10" t="s">
        <v>1390</v>
      </c>
      <c r="C77" s="10" t="s">
        <v>1391</v>
      </c>
      <c r="D77" s="10" t="s">
        <v>1392</v>
      </c>
      <c r="F77" s="4" t="str">
        <f>IFERROR(__xludf.DUMMYFUNCTION("GOOGLETRANSLATE(A77, ""en"", ""id"")"),"Dalam Tarung Derajat, apa yang terjadi jika seorang petarung terjatuh?")</f>
        <v>Dalam Tarung Derajat, apa yang terjadi jika seorang petarung terjatuh?</v>
      </c>
      <c r="G77" s="4" t="str">
        <f>IFERROR(__xludf.DUMMYFUNCTION("GOOGLETRANSLATE(B77, ""en"", ""id"")"),"A) Mereka otomatis kalah, B) Mereka punya waktu 10 detik untuk pulih, C) Mereka kehilangan poin, D) Mereka harus dibantu keluar dari ring")</f>
        <v>A) Mereka otomatis kalah, B) Mereka punya waktu 10 detik untuk pulih, C) Mereka kehilangan poin, D) Mereka harus dibantu keluar dari ring</v>
      </c>
      <c r="H77" s="4" t="str">
        <f>IFERROR(__xludf.DUMMYFUNCTION("GOOGLETRANSLATE(C77, ""en"", ""id"")"),"B) Mereka punya waktu 10 detik untuk pulih")</f>
        <v>B) Mereka punya waktu 10 detik untuk pulih</v>
      </c>
      <c r="I77" s="4" t="str">
        <f>IFERROR(__xludf.DUMMYFUNCTION("GOOGLETRANSLATE(D77, ""en"", ""id"")"),"Petarung yang terjatuh memiliki waktu hingga 10 detik untuk pulih sebelum pertandingan dilanjutkan.")</f>
        <v>Petarung yang terjatuh memiliki waktu hingga 10 detik untuk pulih sebelum pertandingan dilanjutkan.</v>
      </c>
    </row>
    <row r="78">
      <c r="A78" s="6" t="s">
        <v>1393</v>
      </c>
      <c r="B78" s="10" t="s">
        <v>1394</v>
      </c>
      <c r="C78" s="10" t="s">
        <v>1395</v>
      </c>
      <c r="D78" s="10" t="s">
        <v>1396</v>
      </c>
      <c r="F78" s="4" t="str">
        <f>IFERROR(__xludf.DUMMYFUNCTION("GOOGLETRANSLATE(A78, ""en"", ""id"")"),"Apa istilah Tarung Derajat untuk pukulan yang berhasil?")</f>
        <v>Apa istilah Tarung Derajat untuk pukulan yang berhasil?</v>
      </c>
      <c r="G78" s="4" t="str">
        <f>IFERROR(__xludf.DUMMYFUNCTION("GOOGLETRANSLATE(B78, ""en"", ""id"")"),"A) Dapat, B) Taji, C) Pukulan, D) Sambutan")</f>
        <v>A) Dapat, B) Taji, C) Pukulan, D) Sambutan</v>
      </c>
      <c r="H78" s="4" t="str">
        <f>IFERROR(__xludf.DUMMYFUNCTION("GOOGLETRANSLATE(C78, ""en"", ""id"")"),"A) Dapat")</f>
        <v>A) Dapat</v>
      </c>
      <c r="I78" s="4" t="str">
        <f>IFERROR(__xludf.DUMMYFUNCTION("GOOGLETRANSLATE(D78, ""en"", ""id"")"),"Dapat' merujuk pada serangan sukses yang mendarat dengan bersih pada lawan.")</f>
        <v>Dapat' merujuk pada serangan sukses yang mendarat dengan bersih pada lawan.</v>
      </c>
    </row>
    <row r="79">
      <c r="A79" s="6" t="s">
        <v>1397</v>
      </c>
      <c r="B79" s="10" t="s">
        <v>1398</v>
      </c>
      <c r="C79" s="10" t="s">
        <v>1399</v>
      </c>
      <c r="D79" s="10" t="s">
        <v>1400</v>
      </c>
      <c r="F79" s="4" t="str">
        <f>IFERROR(__xludf.DUMMYFUNCTION("GOOGLETRANSLATE(A79, ""en"", ""id"")"),"Teknik manakah di bawah ini yang termasuk gerakan bergulat dalam Tarung Derajat?")</f>
        <v>Teknik manakah di bawah ini yang termasuk gerakan bergulat dalam Tarung Derajat?</v>
      </c>
      <c r="G79" s="4" t="str">
        <f>IFERROR(__xludf.DUMMYFUNCTION("GOOGLETRANSLATE(B79, ""en"", ""id"")"),"A) Tendangan lutut, B) Lemparan bahu, C) Tendangan roundhouse, D) Tendangan siku")</f>
        <v>A) Tendangan lutut, B) Lemparan bahu, C) Tendangan roundhouse, D) Tendangan siku</v>
      </c>
      <c r="H79" s="4" t="str">
        <f>IFERROR(__xludf.DUMMYFUNCTION("GOOGLETRANSLATE(C79, ""en"", ""id"")"),"B) Lemparan bahu")</f>
        <v>B) Lemparan bahu</v>
      </c>
      <c r="I79" s="4" t="str">
        <f>IFERROR(__xludf.DUMMYFUNCTION("GOOGLETRANSLATE(D79, ""en"", ""id"")"),"Lemparan bahu merupakan gerakan bergulat yang umum digunakan dalam Tarung Derajat.")</f>
        <v>Lemparan bahu merupakan gerakan bergulat yang umum digunakan dalam Tarung Derajat.</v>
      </c>
    </row>
    <row r="80">
      <c r="A80" s="6" t="s">
        <v>1401</v>
      </c>
      <c r="B80" s="10" t="s">
        <v>1402</v>
      </c>
      <c r="C80" s="10" t="s">
        <v>1403</v>
      </c>
      <c r="D80" s="10" t="s">
        <v>1404</v>
      </c>
      <c r="F80" s="4" t="str">
        <f>IFERROR(__xludf.DUMMYFUNCTION("GOOGLETRANSLATE(A80, ""en"", ""id"")"),"Dalam Tarung Derajat, jenis tendangan apa saja yang diperbolehkan?")</f>
        <v>Dalam Tarung Derajat, jenis tendangan apa saja yang diperbolehkan?</v>
      </c>
      <c r="G80" s="4" t="str">
        <f>IFERROR(__xludf.DUMMYFUNCTION("GOOGLETRANSLATE(B80, ""en"", ""id"")"),"A) Hanya tendangan berputar, B) Tendangan rendah dan tendangan tingkat menengah, C) Tendangan tinggi dan tendangan berputar, D) Tendangan ke kepala saja")</f>
        <v>A) Hanya tendangan berputar, B) Tendangan rendah dan tendangan tingkat menengah, C) Tendangan tinggi dan tendangan berputar, D) Tendangan ke kepala saja</v>
      </c>
      <c r="H80" s="4" t="str">
        <f>IFERROR(__xludf.DUMMYFUNCTION("GOOGLETRANSLATE(C80, ""en"", ""id"")"),"B) Tendangan rendah dan tendangan tingkat menengah")</f>
        <v>B) Tendangan rendah dan tendangan tingkat menengah</v>
      </c>
      <c r="I80" s="4" t="str">
        <f>IFERROR(__xludf.DUMMYFUNCTION("GOOGLETRANSLATE(D80, ""en"", ""id"")"),"Tendangan ke bagian bawah dan tengah tubuh diperbolehkan dalam Tarung Derajat.")</f>
        <v>Tendangan ke bagian bawah dan tengah tubuh diperbolehkan dalam Tarung Derajat.</v>
      </c>
    </row>
    <row r="81">
      <c r="A81" s="6" t="s">
        <v>1405</v>
      </c>
      <c r="B81" s="10" t="s">
        <v>1406</v>
      </c>
      <c r="C81" s="10" t="s">
        <v>1407</v>
      </c>
      <c r="D81" s="10" t="s">
        <v>1408</v>
      </c>
      <c r="F81" s="4" t="str">
        <f>IFERROR(__xludf.DUMMYFUNCTION("GOOGLETRANSLATE(A81, ""en"", ""id"")"),"Apa latar belakang adat Tarung Derajat?")</f>
        <v>Apa latar belakang adat Tarung Derajat?</v>
      </c>
      <c r="G81" s="4" t="str">
        <f>IFERROR(__xludf.DUMMYFUNCTION("GOOGLETRANSLATE(B81, ""en"", ""id"")"),"A) Berkembang dari pertarungan jalanan, B) Campuran seni bela diri Indonesia kuno, C) Berdasarkan gulat Olimpiade, D) Bentuk tinju tradisional")</f>
        <v>A) Berkembang dari pertarungan jalanan, B) Campuran seni bela diri Indonesia kuno, C) Berdasarkan gulat Olimpiade, D) Bentuk tinju tradisional</v>
      </c>
      <c r="H81" s="4" t="str">
        <f>IFERROR(__xludf.DUMMYFUNCTION("GOOGLETRANSLATE(C81, ""en"", ""id"")"),"B) Campuran seni beladiri Indonesia kuno")</f>
        <v>B) Campuran seni beladiri Indonesia kuno</v>
      </c>
      <c r="I81" s="4" t="str">
        <f>IFERROR(__xludf.DUMMYFUNCTION("GOOGLETRANSLATE(D81, ""en"", ""id"")"),"Tarung Derajat memadukan seni bela diri tradisional Indonesia dengan teknik bertarung modern.")</f>
        <v>Tarung Derajat memadukan seni bela diri tradisional Indonesia dengan teknik bertarung modern.</v>
      </c>
    </row>
    <row r="82">
      <c r="A82" s="6" t="s">
        <v>1409</v>
      </c>
      <c r="B82" s="10" t="s">
        <v>1410</v>
      </c>
      <c r="C82" s="10" t="s">
        <v>1411</v>
      </c>
      <c r="D82" s="10" t="s">
        <v>1412</v>
      </c>
      <c r="F82" s="4" t="str">
        <f>IFERROR(__xludf.DUMMYFUNCTION("GOOGLETRANSLATE(A82, ""en"", ""id"")"),"Bagaimana seorang petarung menang dalam Tarung Derajat?")</f>
        <v>Bagaimana seorang petarung menang dalam Tarung Derajat?</v>
      </c>
      <c r="G82" s="4" t="str">
        <f>IFERROR(__xludf.DUMMYFUNCTION("GOOGLETRANSLATE(B82, ""en"", ""id"")"),"A) Dengan submission, B) Dengan KO, C) Dengan poin setelah ronde ketiga, D) Dengan memaksa lawan keluar dari ring")</f>
        <v>A) Dengan submission, B) Dengan KO, C) Dengan poin setelah ronde ketiga, D) Dengan memaksa lawan keluar dari ring</v>
      </c>
      <c r="H82" s="4" t="str">
        <f>IFERROR(__xludf.DUMMYFUNCTION("GOOGLETRANSLATE(C82, ""en"", ""id"")"),"C) Berdasarkan poin setelah putaran ketiga")</f>
        <v>C) Berdasarkan poin setelah putaran ketiga</v>
      </c>
      <c r="I82" s="4" t="str">
        <f>IFERROR(__xludf.DUMMYFUNCTION("GOOGLETRANSLATE(D82, ""en"", ""id"")"),"Pemenangnya ditentukan oleh poin yang dikumpulkan melalui serangan dan teknik bergulat.")</f>
        <v>Pemenangnya ditentukan oleh poin yang dikumpulkan melalui serangan dan teknik bergulat.</v>
      </c>
    </row>
    <row r="83">
      <c r="A83" s="6" t="s">
        <v>1413</v>
      </c>
      <c r="B83" s="10" t="s">
        <v>1414</v>
      </c>
      <c r="C83" s="10" t="s">
        <v>1415</v>
      </c>
      <c r="D83" s="10" t="s">
        <v>1416</v>
      </c>
      <c r="F83" s="4" t="str">
        <f>IFERROR(__xludf.DUMMYFUNCTION("GOOGLETRANSLATE(A83, ""en"", ""id"")"),"Apa yang digunakan petarung untuk menangkis serangan dalam Tarung Derajat?")</f>
        <v>Apa yang digunakan petarung untuk menangkis serangan dalam Tarung Derajat?</v>
      </c>
      <c r="G83" s="4" t="str">
        <f>IFERROR(__xludf.DUMMYFUNCTION("GOOGLETRANSLATE(B83, ""en"", ""id"")"),"A) Teknik bertahan, B) Serangan balik, C) Bergulat, D) Gerak kaki")</f>
        <v>A) Teknik bertahan, B) Serangan balik, C) Bergulat, D) Gerak kaki</v>
      </c>
      <c r="H83" s="4" t="str">
        <f>IFERROR(__xludf.DUMMYFUNCTION("GOOGLETRANSLATE(C83, ""en"", ""id"")"),"A) Teknik menjaga")</f>
        <v>A) Teknik menjaga</v>
      </c>
      <c r="I83" s="4" t="str">
        <f>IFERROR(__xludf.DUMMYFUNCTION("GOOGLETRANSLATE(D83, ""en"", ""id"")"),"Teknik bertahan digunakan untuk memblokir atau menangkis serangan lawan.")</f>
        <v>Teknik bertahan digunakan untuk memblokir atau menangkis serangan lawan.</v>
      </c>
    </row>
    <row r="84">
      <c r="A84" s="6" t="s">
        <v>1417</v>
      </c>
      <c r="B84" s="10" t="s">
        <v>1418</v>
      </c>
      <c r="C84" s="10" t="s">
        <v>1358</v>
      </c>
      <c r="D84" s="10" t="s">
        <v>1419</v>
      </c>
      <c r="F84" s="4" t="str">
        <f>IFERROR(__xludf.DUMMYFUNCTION("GOOGLETRANSLATE(A84, ""en"", ""id"")"),"Apa saja daerah sasaran yang sah untuk melakukan pemogokan dalam Tarung Derajat?")</f>
        <v>Apa saja daerah sasaran yang sah untuk melakukan pemogokan dalam Tarung Derajat?</v>
      </c>
      <c r="G84" s="4" t="str">
        <f>IFERROR(__xludf.DUMMYFUNCTION("GOOGLETRANSLATE(B84, ""en"", ""id"")"),"A) Lutut, B) Siku, C) Kepala dan badan, D) Kaki di bawah lutut")</f>
        <v>A) Lutut, B) Siku, C) Kepala dan badan, D) Kaki di bawah lutut</v>
      </c>
      <c r="H84" s="4" t="str">
        <f>IFERROR(__xludf.DUMMYFUNCTION("GOOGLETRANSLATE(C84, ""en"", ""id"")"),"C) Kepala dan badan")</f>
        <v>C) Kepala dan badan</v>
      </c>
      <c r="I84" s="4" t="str">
        <f>IFERROR(__xludf.DUMMYFUNCTION("GOOGLETRANSLATE(D84, ""en"", ""id"")"),"Serangan ke kepala dan badan merupakan area target yang sah dalam olahraga ini.")</f>
        <v>Serangan ke kepala dan badan merupakan area target yang sah dalam olahraga ini.</v>
      </c>
    </row>
    <row r="85">
      <c r="A85" s="6" t="s">
        <v>1420</v>
      </c>
      <c r="B85" s="10" t="s">
        <v>1421</v>
      </c>
      <c r="C85" s="10" t="s">
        <v>1422</v>
      </c>
      <c r="D85" s="10" t="s">
        <v>1423</v>
      </c>
      <c r="F85" s="4" t="str">
        <f>IFERROR(__xludf.DUMMYFUNCTION("GOOGLETRANSLATE(A85, ""en"", ""id"")"),"Dalam Tarung Derajat, apa istilah yang digunakan untuk tindakan ilegal?")</f>
        <v>Dalam Tarung Derajat, apa istilah yang digunakan untuk tindakan ilegal?</v>
      </c>
      <c r="G85" s="4" t="str">
        <f>IFERROR(__xludf.DUMMYFUNCTION("GOOGLETRANSLATE(B85, ""en"", ""id"")"),"A) Pelanggaran, B) Tergelincir, C) Kerusakan, D) Penalti")</f>
        <v>A) Pelanggaran, B) Tergelincir, C) Kerusakan, D) Penalti</v>
      </c>
      <c r="H85" s="4" t="str">
        <f>IFERROR(__xludf.DUMMYFUNCTION("GOOGLETRANSLATE(C85, ""en"", ""id"")"),"A) Pelanggaran")</f>
        <v>A) Pelanggaran</v>
      </c>
      <c r="I85" s="4" t="str">
        <f>IFERROR(__xludf.DUMMYFUNCTION("GOOGLETRANSLATE(D85, ""en"", ""id"")"),"Tindakan ilegal apa pun yang dilakukan selama pertandingan dianggap pelanggaran.")</f>
        <v>Tindakan ilegal apa pun yang dilakukan selama pertandingan dianggap pelanggaran.</v>
      </c>
    </row>
    <row r="86">
      <c r="A86" s="6" t="s">
        <v>1424</v>
      </c>
      <c r="B86" s="10" t="s">
        <v>1425</v>
      </c>
      <c r="C86" s="10" t="s">
        <v>1426</v>
      </c>
      <c r="D86" s="10" t="s">
        <v>1427</v>
      </c>
      <c r="F86" s="4" t="str">
        <f>IFERROR(__xludf.DUMMYFUNCTION("GOOGLETRANSLATE(A86, ""en"", ""id"")"),"Apa yang terjadi jika seorang petarung melakukan pelanggaran dalam Tarung Derajat?")</f>
        <v>Apa yang terjadi jika seorang petarung melakukan pelanggaran dalam Tarung Derajat?</v>
      </c>
      <c r="G86" s="4" t="str">
        <f>IFERROR(__xludf.DUMMYFUNCTION("GOOGLETRANSLATE(B86, ""en"", ""id"")"),"A) Mereka langsung didiskualifikasi, B) Mereka diperingatkan, C) Mereka kehilangan poin, D) Mereka didenda")</f>
        <v>A) Mereka langsung didiskualifikasi, B) Mereka diperingatkan, C) Mereka kehilangan poin, D) Mereka didenda</v>
      </c>
      <c r="H86" s="4" t="str">
        <f>IFERROR(__xludf.DUMMYFUNCTION("GOOGLETRANSLATE(C86, ""en"", ""id"")"),"C) Mereka kehilangan poin")</f>
        <v>C) Mereka kehilangan poin</v>
      </c>
      <c r="I86" s="4" t="str">
        <f>IFERROR(__xludf.DUMMYFUNCTION("GOOGLETRANSLATE(D86, ""en"", ""id"")"),"Pelanggaran akan mengakibatkan pengurangan poin dari petarung yang melakukan pelanggaran.")</f>
        <v>Pelanggaran akan mengakibatkan pengurangan poin dari petarung yang melakukan pelanggaran.</v>
      </c>
    </row>
    <row r="87">
      <c r="A87" s="6" t="s">
        <v>1428</v>
      </c>
      <c r="B87" s="10" t="s">
        <v>1429</v>
      </c>
      <c r="C87" s="10" t="s">
        <v>1430</v>
      </c>
      <c r="D87" s="10" t="s">
        <v>1431</v>
      </c>
      <c r="F87" s="4" t="str">
        <f>IFERROR(__xludf.DUMMYFUNCTION("GOOGLETRANSLATE(A87, ""en"", ""id"")"),"Jenis clinch apa yang diperbolehkan dalam Tarung Derajat?")</f>
        <v>Jenis clinch apa yang diperbolehkan dalam Tarung Derajat?</v>
      </c>
      <c r="G87" s="4" t="str">
        <f>IFERROR(__xludf.DUMMYFUNCTION("GOOGLETRANSLATE(B87, ""en"", ""id"")"),"A) Tidak diperbolehkan melakukan clinch, B) Clinch pendek untuk mengontrol lawan, C) Clinch diperpanjang untuk lemparan, D) Clinch terus menerus sampai break")</f>
        <v>A) Tidak diperbolehkan melakukan clinch, B) Clinch pendek untuk mengontrol lawan, C) Clinch diperpanjang untuk lemparan, D) Clinch terus menerus sampai break</v>
      </c>
      <c r="H87" s="4" t="str">
        <f>IFERROR(__xludf.DUMMYFUNCTION("GOOGLETRANSLATE(C87, ""en"", ""id"")"),"B) Clinch pendek untuk mengendalikan lawan")</f>
        <v>B) Clinch pendek untuk mengendalikan lawan</v>
      </c>
      <c r="I87" s="4" t="str">
        <f>IFERROR(__xludf.DUMMYFUNCTION("GOOGLETRANSLATE(D87, ""en"", ""id"")"),"Clinch pendek diperbolehkan untuk mengendalikan lawan dan menyiapkan serangan atau lemparan.")</f>
        <v>Clinch pendek diperbolehkan untuk mengendalikan lawan dan menyiapkan serangan atau lemparan.</v>
      </c>
    </row>
    <row r="88">
      <c r="A88" s="6" t="s">
        <v>1432</v>
      </c>
      <c r="B88" s="10" t="s">
        <v>1433</v>
      </c>
      <c r="C88" s="10" t="s">
        <v>1434</v>
      </c>
      <c r="D88" s="10" t="s">
        <v>1435</v>
      </c>
      <c r="F88" s="4" t="str">
        <f>IFERROR(__xludf.DUMMYFUNCTION("GOOGLETRANSLATE(A88, ""en"", ""id"")"),"Jenis alas kaki apa yang dikenakan dalam pertandingan Tarung Derajat?")</f>
        <v>Jenis alas kaki apa yang dikenakan dalam pertandingan Tarung Derajat?</v>
      </c>
      <c r="G88" s="4" t="str">
        <f>IFERROR(__xludf.DUMMYFUNCTION("GOOGLETRANSLATE(B88, ""en"", ""id"")"),"A) Tanpa alas kaki, B) Sandal, C) Sepatu kets, D) Tidak diperbolehkan memakai alas kaki")</f>
        <v>A) Tanpa alas kaki, B) Sandal, C) Sepatu kets, D) Tidak diperbolehkan memakai alas kaki</v>
      </c>
      <c r="H88" s="4" t="str">
        <f>IFERROR(__xludf.DUMMYFUNCTION("GOOGLETRANSLATE(C88, ""en"", ""id"")"),"A) Bertelanjang kaki")</f>
        <v>A) Bertelanjang kaki</v>
      </c>
      <c r="I88" s="4" t="str">
        <f>IFERROR(__xludf.DUMMYFUNCTION("GOOGLETRANSLATE(D88, ""en"", ""id"")"),"Para petarung bertanding tanpa alas kaki di Tarung Derajat untuk mempertahankan mobilitas dan kontrol.")</f>
        <v>Para petarung bertanding tanpa alas kaki di Tarung Derajat untuk mempertahankan mobilitas dan kontrol.</v>
      </c>
    </row>
    <row r="89">
      <c r="A89" s="6" t="s">
        <v>1436</v>
      </c>
      <c r="B89" s="10" t="s">
        <v>1437</v>
      </c>
      <c r="C89" s="10" t="s">
        <v>1438</v>
      </c>
      <c r="D89" s="10" t="s">
        <v>1439</v>
      </c>
      <c r="F89" s="4" t="str">
        <f>IFERROR(__xludf.DUMMYFUNCTION("GOOGLETRANSLATE(A89, ""en"", ""id"")"),"Bagaimana pemenangnya ditentukan jika kedua petarung masih berdiri setelah ronde final?")</f>
        <v>Bagaimana pemenangnya ditentukan jika kedua petarung masih berdiri setelah ronde final?</v>
      </c>
      <c r="G89" s="4" t="str">
        <f>IFERROR(__xludf.DUMMYFUNCTION("GOOGLETRANSLATE(B89, ""en"", ""id"")"),"A) Berdasarkan agresi dan kontrol, B) Berdasarkan poin yang diperoleh, C) Berdasarkan tepuk tangan penonton, D) Berdasarkan keputusan wasit")</f>
        <v>A) Berdasarkan agresi dan kontrol, B) Berdasarkan poin yang diperoleh, C) Berdasarkan tepuk tangan penonton, D) Berdasarkan keputusan wasit</v>
      </c>
      <c r="H89" s="4" t="str">
        <f>IFERROR(__xludf.DUMMYFUNCTION("GOOGLETRANSLATE(C89, ""en"", ""id"")"),"B) Berdasarkan poin yang diperoleh")</f>
        <v>B) Berdasarkan poin yang diperoleh</v>
      </c>
      <c r="I89" s="4" t="str">
        <f>IFERROR(__xludf.DUMMYFUNCTION("GOOGLETRANSLATE(D89, ""en"", ""id"")"),"Pemenangnya ditentukan oleh poin yang terkumpul sepanjang putaran.")</f>
        <v>Pemenangnya ditentukan oleh poin yang terkumpul sepanjang putaran.</v>
      </c>
    </row>
    <row r="90">
      <c r="A90" s="6" t="s">
        <v>1440</v>
      </c>
      <c r="B90" s="10" t="s">
        <v>1441</v>
      </c>
      <c r="C90" s="10" t="s">
        <v>1442</v>
      </c>
      <c r="D90" s="10" t="s">
        <v>1443</v>
      </c>
      <c r="F90" s="4" t="str">
        <f>IFERROR(__xludf.DUMMYFUNCTION("GOOGLETRANSLATE(A90, ""en"", ""id"")"),"Apa istilah Tarung Derajat untuk serangan balik yang efektif?")</f>
        <v>Apa istilah Tarung Derajat untuk serangan balik yang efektif?</v>
      </c>
      <c r="G90" s="4" t="str">
        <f>IFERROR(__xludf.DUMMYFUNCTION("GOOGLETRANSLATE(B90, ""en"", ""id"")"),"A) Sambut, B) Balik, C) Serang, D) Jebret")</f>
        <v>A) Sambut, B) Balik, C) Serang, D) Jebret</v>
      </c>
      <c r="H90" s="4" t="str">
        <f>IFERROR(__xludf.DUMMYFUNCTION("GOOGLETRANSLATE(C90, ""en"", ""id"")"),"B) Balik")</f>
        <v>B) Balik</v>
      </c>
      <c r="I90" s="4" t="str">
        <f>IFERROR(__xludf.DUMMYFUNCTION("GOOGLETRANSLATE(D90, ""en"", ""id"")"),"Balik' mengacu pada serangan balik yang efektif terhadap serangan lawan.")</f>
        <v>Balik' mengacu pada serangan balik yang efektif terhadap serangan lawan.</v>
      </c>
    </row>
    <row r="91">
      <c r="A91" s="6" t="s">
        <v>1444</v>
      </c>
      <c r="B91" s="10" t="s">
        <v>1445</v>
      </c>
      <c r="C91" s="10" t="s">
        <v>1342</v>
      </c>
      <c r="D91" s="10" t="s">
        <v>1446</v>
      </c>
      <c r="F91" s="4" t="str">
        <f>IFERROR(__xludf.DUMMYFUNCTION("GOOGLETRANSLATE(A91, ""en"", ""id"")"),"Apa senjata tradisional yang dikaitkan dengan beberapa pelatihan Tarung Derajat?")</f>
        <v>Apa senjata tradisional yang dikaitkan dengan beberapa pelatihan Tarung Derajat?</v>
      </c>
      <c r="G91" s="4" t="str">
        <f>IFERROR(__xludf.DUMMYFUNCTION("GOOGLETRANSLATE(B91, ""en"", ""id"")"),"A) Tombak, B) Belati, C) Pisau, D) Tidak ada")</f>
        <v>A) Tombak, B) Belati, C) Pisau, D) Tidak ada</v>
      </c>
      <c r="H91" s="4" t="str">
        <f>IFERROR(__xludf.DUMMYFUNCTION("GOOGLETRANSLATE(C91, ""en"", ""id"")"),"D) Tidak ada")</f>
        <v>D) Tidak ada</v>
      </c>
      <c r="I91" s="4" t="str">
        <f>IFERROR(__xludf.DUMMYFUNCTION("GOOGLETRANSLATE(D91, ""en"", ""id"")"),"Tarung Derajat pada dasarnya adalah olahraga pertarungan tangan kosong, tanpa menggunakan senjata tradisional.")</f>
        <v>Tarung Derajat pada dasarnya adalah olahraga pertarungan tangan kosong, tanpa menggunakan senjata tradisional.</v>
      </c>
    </row>
    <row r="92">
      <c r="A92" s="6" t="s">
        <v>1447</v>
      </c>
      <c r="B92" s="10" t="s">
        <v>1448</v>
      </c>
      <c r="C92" s="10" t="s">
        <v>1449</v>
      </c>
      <c r="D92" s="10" t="s">
        <v>1450</v>
      </c>
      <c r="F92" s="4" t="str">
        <f>IFERROR(__xludf.DUMMYFUNCTION("GOOGLETRANSLATE(A92, ""en"", ""id"")"),"Apa ciri khas Tarung Derajat?")</f>
        <v>Apa ciri khas Tarung Derajat?</v>
      </c>
      <c r="G92" s="4" t="str">
        <f>IFERROR(__xludf.DUMMYFUNCTION("GOOGLETRANSLATE(B92, ""en"", ""id"")"),"A) Fokus pada pertahanan, B) Teknik seni bela diri campuran, C) Penggunaan senjata seni bela diri, D) Pertarungan darat yang ketat")</f>
        <v>A) Fokus pada pertahanan, B) Teknik seni bela diri campuran, C) Penggunaan senjata seni bela diri, D) Pertarungan darat yang ketat</v>
      </c>
      <c r="H92" s="4" t="str">
        <f>IFERROR(__xludf.DUMMYFUNCTION("GOOGLETRANSLATE(C92, ""en"", ""id"")"),"B) Teknik seni bela diri campuran")</f>
        <v>B) Teknik seni bela diri campuran</v>
      </c>
      <c r="I92" s="4" t="str">
        <f>IFERROR(__xludf.DUMMYFUNCTION("GOOGLETRANSLATE(D92, ""en"", ""id"")"),"Tarung Derajat memadukan berbagai teknik bertarung, termasuk tinju dan gulat.")</f>
        <v>Tarung Derajat memadukan berbagai teknik bertarung, termasuk tinju dan gulat.</v>
      </c>
    </row>
    <row r="93">
      <c r="A93" s="6" t="s">
        <v>1451</v>
      </c>
      <c r="B93" s="10" t="s">
        <v>1452</v>
      </c>
      <c r="C93" s="10" t="s">
        <v>1453</v>
      </c>
      <c r="D93" s="10" t="s">
        <v>1454</v>
      </c>
      <c r="F93" s="4" t="str">
        <f>IFERROR(__xludf.DUMMYFUNCTION("GOOGLETRANSLATE(A93, ""en"", ""id"")"),"Apa saja disiplin ilmu utama yang dicampur dalam Tarung Derajat?")</f>
        <v>Apa saja disiplin ilmu utama yang dicampur dalam Tarung Derajat?</v>
      </c>
      <c r="G93" s="4" t="str">
        <f>IFERROR(__xludf.DUMMYFUNCTION("GOOGLETRANSLATE(B93, ""en"", ""id"")"),"A) Tinju, B) Taekwondo, C) Muay Thai, D) Karate")</f>
        <v>A) Tinju, B) Taekwondo, C) Muay Thai, D) Karate</v>
      </c>
      <c r="H93" s="4" t="str">
        <f>IFERROR(__xludf.DUMMYFUNCTION("GOOGLETRANSLATE(C93, ""en"", ""id"")"),"A) Tinju")</f>
        <v>A) Tinju</v>
      </c>
      <c r="I93" s="4" t="str">
        <f>IFERROR(__xludf.DUMMYFUNCTION("GOOGLETRANSLATE(D93, ""en"", ""id"")"),"Tarung Derajat menggabungkan teknik tinju dengan seni bela diri Indonesia.")</f>
        <v>Tarung Derajat menggabungkan teknik tinju dengan seni bela diri Indonesia.</v>
      </c>
    </row>
    <row r="94">
      <c r="A94" s="6" t="s">
        <v>1455</v>
      </c>
      <c r="B94" s="10" t="s">
        <v>1456</v>
      </c>
      <c r="C94" s="10" t="s">
        <v>1457</v>
      </c>
      <c r="D94" s="10" t="s">
        <v>1458</v>
      </c>
      <c r="F94" s="4" t="str">
        <f>IFERROR(__xludf.DUMMYFUNCTION("GOOGLETRANSLATE(A94, ""en"", ""id"")"),"Dalam Tarung Derajat, apa yang terjadi jika seorang petarung tidak dapat melanjutkan pertandingan karena cedera?")</f>
        <v>Dalam Tarung Derajat, apa yang terjadi jika seorang petarung tidak dapat melanjutkan pertandingan karena cedera?</v>
      </c>
      <c r="G94" s="4" t="str">
        <f>IFERROR(__xludf.DUMMYFUNCTION("GOOGLETRANSLATE(B94, ""en"", ""id"")"),"A) Lawan didiskualifikasi, B) Pertarungan dihentikan, C) Petarung yang terluka menang, D) Pertarungan dilanjutkan oleh petarung lain")</f>
        <v>A) Lawan didiskualifikasi, B) Pertarungan dihentikan, C) Petarung yang terluka menang, D) Pertarungan dilanjutkan oleh petarung lain</v>
      </c>
      <c r="H94" s="4" t="str">
        <f>IFERROR(__xludf.DUMMYFUNCTION("GOOGLETRANSLATE(C94, ""en"", ""id"")"),"B) Pertarungan dihentikan")</f>
        <v>B) Pertarungan dihentikan</v>
      </c>
      <c r="I94" s="4" t="str">
        <f>IFERROR(__xludf.DUMMYFUNCTION("GOOGLETRANSLATE(D94, ""en"", ""id"")"),"Jika seorang petarung terluka dan tidak dapat melanjutkan, pertarungan dihentikan demi keselamatannya.")</f>
        <v>Jika seorang petarung terluka dan tidak dapat melanjutkan, pertarungan dihentikan demi keselamatannya.</v>
      </c>
    </row>
    <row r="95">
      <c r="A95" s="6" t="s">
        <v>1459</v>
      </c>
      <c r="B95" s="10" t="s">
        <v>1460</v>
      </c>
      <c r="C95" s="10" t="s">
        <v>1461</v>
      </c>
      <c r="D95" s="10" t="s">
        <v>1462</v>
      </c>
      <c r="F95" s="4" t="str">
        <f>IFERROR(__xludf.DUMMYFUNCTION("GOOGLETRANSLATE(A95, ""en"", ""id"")"),"Apa peran wasit dalam pertandingan Tarung Derajat?")</f>
        <v>Apa peran wasit dalam pertandingan Tarung Derajat?</v>
      </c>
      <c r="G95" s="4" t="str">
        <f>IFERROR(__xludf.DUMMYFUNCTION("GOOGLETRANSLATE(B95, ""en"", ""id"")"),"A) Untuk melatih para petarung, B) Untuk memastikan permainan yang adil, C) Untuk menilai pertandingan, D) Untuk melakukan serangan")</f>
        <v>A) Untuk melatih para petarung, B) Untuk memastikan permainan yang adil, C) Untuk menilai pertandingan, D) Untuk melakukan serangan</v>
      </c>
      <c r="H95" s="4" t="str">
        <f>IFERROR(__xludf.DUMMYFUNCTION("GOOGLETRANSLATE(C95, ""en"", ""id"")"),"B) Untuk memastikan permainan yang adil")</f>
        <v>B) Untuk memastikan permainan yang adil</v>
      </c>
      <c r="I95" s="4" t="str">
        <f>IFERROR(__xludf.DUMMYFUNCTION("GOOGLETRANSLATE(D95, ""en"", ""id"")"),"Wasit memastikan bahwa kedua petarung mengikuti aturan dan menjaga integritas pertandingan.")</f>
        <v>Wasit memastikan bahwa kedua petarung mengikuti aturan dan menjaga integritas pertandingan.</v>
      </c>
    </row>
    <row r="96">
      <c r="A96" s="6" t="s">
        <v>1463</v>
      </c>
      <c r="B96" s="10" t="s">
        <v>1382</v>
      </c>
      <c r="C96" s="10" t="s">
        <v>1464</v>
      </c>
      <c r="D96" s="10" t="s">
        <v>1465</v>
      </c>
      <c r="F96" s="4" t="str">
        <f>IFERROR(__xludf.DUMMYFUNCTION("GOOGLETRANSLATE(A96, ""en"", ""id"")"),"Dalam Tarung Derajat, berapa lama durasi setiap babaknya?")</f>
        <v>Dalam Tarung Derajat, berapa lama durasi setiap babaknya?</v>
      </c>
      <c r="G96" s="4" t="str">
        <f>IFERROR(__xludf.DUMMYFUNCTION("GOOGLETRANSLATE(B96, ""en"", ""id"")"),"A) 1 menit, B) 2 menit, C) 3 menit, D) 5 menit")</f>
        <v>A) 1 menit, B) 2 menit, C) 3 menit, D) 5 menit</v>
      </c>
      <c r="H96" s="4" t="str">
        <f>IFERROR(__xludf.DUMMYFUNCTION("GOOGLETRANSLATE(C96, ""en"", ""id"")"),"C) 3 menit")</f>
        <v>C) 3 menit</v>
      </c>
      <c r="I96" s="4" t="str">
        <f>IFERROR(__xludf.DUMMYFUNCTION("GOOGLETRANSLATE(D96, ""en"", ""id"")"),"Setiap putaran dalam Tarung Derajat berlangsung selama 3 menit, memberikan waktu untuk pertukaran taktik.")</f>
        <v>Setiap putaran dalam Tarung Derajat berlangsung selama 3 menit, memberikan waktu untuk pertukaran taktik.</v>
      </c>
    </row>
    <row r="97">
      <c r="A97" s="6" t="s">
        <v>1466</v>
      </c>
      <c r="B97" s="10" t="s">
        <v>1467</v>
      </c>
      <c r="C97" s="10" t="s">
        <v>1468</v>
      </c>
      <c r="D97" s="10" t="s">
        <v>1469</v>
      </c>
      <c r="F97" s="4" t="str">
        <f>IFERROR(__xludf.DUMMYFUNCTION("GOOGLETRANSLATE(A97, ""en"", ""id"")"),"Apa yang terjadi jika seorang petarung terjatuh dalam Tarung Derajat?")</f>
        <v>Apa yang terjadi jika seorang petarung terjatuh dalam Tarung Derajat?</v>
      </c>
      <c r="G97" s="4" t="str">
        <f>IFERROR(__xludf.DUMMYFUNCTION("GOOGLETRANSLATE(B97, ""en"", ""id"")"),"A) Pertarungan dihentikan sementara, B) Mereka langsung didiskualifikasi, C) Mereka diberi hitungan 10 detik, D) Lawan diberi penalti")</f>
        <v>A) Pertarungan dihentikan sementara, B) Mereka langsung didiskualifikasi, C) Mereka diberi hitungan 10 detik, D) Lawan diberi penalti</v>
      </c>
      <c r="H97" s="4" t="str">
        <f>IFERROR(__xludf.DUMMYFUNCTION("GOOGLETRANSLATE(C97, ""en"", ""id"")"),"C) Mereka diberi hitungan 10 detik")</f>
        <v>C) Mereka diberi hitungan 10 detik</v>
      </c>
      <c r="I97" s="4" t="str">
        <f>IFERROR(__xludf.DUMMYFUNCTION("GOOGLETRANSLATE(D97, ""en"", ""id"")"),"Hitungan 10 detik diberikan kepada petarung yang terjatuh untuk pulih dan melanjutkan pertandingan.")</f>
        <v>Hitungan 10 detik diberikan kepada petarung yang terjatuh untuk pulih dan melanjutkan pertandingan.</v>
      </c>
    </row>
    <row r="98">
      <c r="A98" s="6" t="s">
        <v>1470</v>
      </c>
      <c r="B98" s="10" t="s">
        <v>1471</v>
      </c>
      <c r="C98" s="10" t="s">
        <v>1472</v>
      </c>
      <c r="D98" s="10" t="s">
        <v>1473</v>
      </c>
      <c r="F98" s="4" t="str">
        <f>IFERROR(__xludf.DUMMYFUNCTION("GOOGLETRANSLATE(A98, ""en"", ""id"")"),"Apa istilah untuk pukulan yang berhasil dan menghasilkan poin dalam Tarung Derajat?")</f>
        <v>Apa istilah untuk pukulan yang berhasil dan menghasilkan poin dalam Tarung Derajat?</v>
      </c>
      <c r="G98" s="4" t="str">
        <f>IFERROR(__xludf.DUMMYFUNCTION("GOOGLETRANSLATE(B98, ""en"", ""id"")"),"A) Sambut, B) Balik, C) Pukulan, D) Serangan")</f>
        <v>A) Sambut, B) Balik, C) Pukulan, D) Serangan</v>
      </c>
      <c r="H98" s="4" t="str">
        <f>IFERROR(__xludf.DUMMYFUNCTION("GOOGLETRANSLATE(C98, ""en"", ""id"")"),"C) Pukulan")</f>
        <v>C) Pukulan</v>
      </c>
      <c r="I98" s="4" t="str">
        <f>IFERROR(__xludf.DUMMYFUNCTION("GOOGLETRANSLATE(D98, ""en"", ""id"")"),"Pukulan' mengacu pada pukulan yang mendarat dengan sukses dan menghasilkan poin.")</f>
        <v>Pukulan' mengacu pada pukulan yang mendarat dengan sukses dan menghasilkan poin.</v>
      </c>
    </row>
    <row r="99">
      <c r="A99" s="6" t="s">
        <v>1474</v>
      </c>
      <c r="B99" s="10" t="s">
        <v>1475</v>
      </c>
      <c r="C99" s="10" t="s">
        <v>1476</v>
      </c>
      <c r="D99" s="10" t="s">
        <v>1477</v>
      </c>
      <c r="F99" s="4" t="str">
        <f>IFERROR(__xludf.DUMMYFUNCTION("GOOGLETRANSLATE(A99, ""en"", ""id"")"),"Berapa jumlah ronde maksimal dalam pertandingan Tarung Derajat?")</f>
        <v>Berapa jumlah ronde maksimal dalam pertandingan Tarung Derajat?</v>
      </c>
      <c r="G99" s="4" t="str">
        <f>IFERROR(__xludf.DUMMYFUNCTION("GOOGLETRANSLATE(B99, ""en"", ""id"")"),"A) 1 putaran, B) 2 putaran, C) 3 putaran, D) 5 putaran")</f>
        <v>A) 1 putaran, B) 2 putaran, C) 3 putaran, D) 5 putaran</v>
      </c>
      <c r="H99" s="4" t="str">
        <f>IFERROR(__xludf.DUMMYFUNCTION("GOOGLETRANSLATE(C99, ""en"", ""id"")"),"C) 3 putaran")</f>
        <v>C) 3 putaran</v>
      </c>
      <c r="I99" s="4" t="str">
        <f>IFERROR(__xludf.DUMMYFUNCTION("GOOGLETRANSLATE(D99, ""en"", ""id"")"),"Pertandingan Tarung Derajat terdiri dari maksimal 3 babak, yang masing-masing berlangsung selama 3 menit.")</f>
        <v>Pertandingan Tarung Derajat terdiri dari maksimal 3 babak, yang masing-masing berlangsung selama 3 menit.</v>
      </c>
    </row>
    <row r="100">
      <c r="A100" s="6" t="s">
        <v>1478</v>
      </c>
      <c r="B100" s="10" t="s">
        <v>1479</v>
      </c>
      <c r="C100" s="10" t="s">
        <v>1480</v>
      </c>
      <c r="D100" s="10" t="s">
        <v>1481</v>
      </c>
      <c r="F100" s="4" t="str">
        <f>IFERROR(__xludf.DUMMYFUNCTION("GOOGLETRANSLATE(A100, ""en"", ""id"")"),"Apa cara yang diperbolehkan untuk memukul kepala lawan dalam Tarung Derajat?")</f>
        <v>Apa cara yang diperbolehkan untuk memukul kepala lawan dalam Tarung Derajat?</v>
      </c>
      <c r="G100" s="4" t="str">
        <f>IFERROR(__xludf.DUMMYFUNCTION("GOOGLETRANSLATE(B100, ""en"", ""id"")"),"A) Dengan siku, B) Dengan lutut, C) Dengan pukulan, D) Dengan tendangan")</f>
        <v>A) Dengan siku, B) Dengan lutut, C) Dengan pukulan, D) Dengan tendangan</v>
      </c>
      <c r="H100" s="4" t="str">
        <f>IFERROR(__xludf.DUMMYFUNCTION("GOOGLETRANSLATE(C100, ""en"", ""id"")"),"C) Dengan pukulan")</f>
        <v>C) Dengan pukulan</v>
      </c>
      <c r="I100" s="4" t="str">
        <f>IFERROR(__xludf.DUMMYFUNCTION("GOOGLETRANSLATE(D100, ""en"", ""id"")"),"Dalam Tarung Derajat, petarung diperbolehkan memukul bagian kepala dengan pukulan.")</f>
        <v>Dalam Tarung Derajat, petarung diperbolehkan memukul bagian kepala dengan pukulan.</v>
      </c>
    </row>
    <row r="101">
      <c r="A101" s="6" t="s">
        <v>1482</v>
      </c>
      <c r="B101" s="10" t="s">
        <v>1483</v>
      </c>
      <c r="C101" s="10" t="s">
        <v>1484</v>
      </c>
      <c r="D101" s="10" t="s">
        <v>1485</v>
      </c>
      <c r="F101" s="4" t="str">
        <f>IFERROR(__xludf.DUMMYFUNCTION("GOOGLETRANSLATE(A101, ""en"", ""id"")"),"Dalam Tarung Derajat, apa yang terjadi jika kedua petarung memiliki poin yang sama setelah ronde final?")</f>
        <v>Dalam Tarung Derajat, apa yang terjadi jika kedua petarung memiliki poin yang sama setelah ronde final?</v>
      </c>
      <c r="G101" s="4" t="str">
        <f>IFERROR(__xludf.DUMMYFUNCTION("GOOGLETRANSLATE(B101, ""en"", ""id"")"),"A) Ronde sudden-death diadakan, B) Para juri memutuskan, C) Pertarungan dianggap seri, D) Pemenang ronde final adalah yang memiliki skor tertinggi")</f>
        <v>A) Ronde sudden-death diadakan, B) Para juri memutuskan, C) Pertarungan dianggap seri, D) Pemenang ronde final adalah yang memiliki skor tertinggi</v>
      </c>
      <c r="H101" s="4" t="str">
        <f>IFERROR(__xludf.DUMMYFUNCTION("GOOGLETRANSLATE(C101, ""en"", ""id"")"),"B) Para hakim memutuskan")</f>
        <v>B) Para hakim memutuskan</v>
      </c>
      <c r="I101" s="4" t="str">
        <f>IFERROR(__xludf.DUMMYFUNCTION("GOOGLETRANSLATE(D101, ""en"", ""id"")"),"Jika skor seri, keputusan juri menentukan pemenangnya.")</f>
        <v>Jika skor seri, keputusan juri menentukan pemenangnya.</v>
      </c>
    </row>
    <row r="102">
      <c r="A102" s="6" t="s">
        <v>1486</v>
      </c>
      <c r="B102" s="10" t="s">
        <v>1487</v>
      </c>
      <c r="C102" s="10" t="s">
        <v>1488</v>
      </c>
      <c r="D102" s="10" t="s">
        <v>1489</v>
      </c>
      <c r="F102" s="4" t="str">
        <f>IFERROR(__xludf.DUMMYFUNCTION("GOOGLETRANSLATE(A102, ""en"", ""id"")"),"Apa saja yang dilarang dalam pertandingan Tarung Derajat?")</f>
        <v>Apa saja yang dilarang dalam pertandingan Tarung Derajat?</v>
      </c>
      <c r="G102" s="4" t="str">
        <f>IFERROR(__xludf.DUMMYFUNCTION("GOOGLETRANSLATE(B102, ""en"", ""id"")"),"A) Pukulan ke badan, B) Tendangan kaki, C) Pukulan ke belakang kepala, D) Clinching")</f>
        <v>A) Pukulan ke badan, B) Tendangan kaki, C) Pukulan ke belakang kepala, D) Clinching</v>
      </c>
      <c r="H102" s="4" t="str">
        <f>IFERROR(__xludf.DUMMYFUNCTION("GOOGLETRANSLATE(C102, ""en"", ""id"")"),"C) Memukul bagian belakang kepala")</f>
        <v>C) Memukul bagian belakang kepala</v>
      </c>
      <c r="I102" s="4" t="str">
        <f>IFERROR(__xludf.DUMMYFUNCTION("GOOGLETRANSLATE(D102, ""en"", ""id"")"),"Pukulan ke bagian belakang kepala dilarang karena alasan keselamatan.")</f>
        <v>Pukulan ke bagian belakang kepala dilarang karena alasan keselamatan.</v>
      </c>
    </row>
    <row r="103">
      <c r="A103" s="6" t="s">
        <v>1490</v>
      </c>
      <c r="B103" s="10" t="s">
        <v>1491</v>
      </c>
      <c r="C103" s="10" t="s">
        <v>1492</v>
      </c>
      <c r="D103" s="10" t="s">
        <v>1493</v>
      </c>
      <c r="F103" s="4" t="str">
        <f>IFERROR(__xludf.DUMMYFUNCTION("GOOGLETRANSLATE(A103, ""en"", ""id"")"),"Pegangan seperti apa yang diperbolehkan saat clinch dalam Tarung Derajat?")</f>
        <v>Pegangan seperti apa yang diperbolehkan saat clinch dalam Tarung Derajat?</v>
      </c>
      <c r="G103" s="4" t="str">
        <f>IFERROR(__xludf.DUMMYFUNCTION("GOOGLETRANSLATE(B103, ""en"", ""id"")"),"A) Clinch seluruh tubuh, B) Meraih lengan lawan, C) Clinch pendek untuk mengendalikan lawan, D) Clinch panjang untuk melempar")</f>
        <v>A) Clinch seluruh tubuh, B) Meraih lengan lawan, C) Clinch pendek untuk mengendalikan lawan, D) Clinch panjang untuk melempar</v>
      </c>
      <c r="H103" s="4" t="str">
        <f>IFERROR(__xludf.DUMMYFUNCTION("GOOGLETRANSLATE(C103, ""en"", ""id"")"),"C) Clinch pendek untuk mengendalikan lawan")</f>
        <v>C) Clinch pendek untuk mengendalikan lawan</v>
      </c>
      <c r="I103" s="4" t="str">
        <f>IFERROR(__xludf.DUMMYFUNCTION("GOOGLETRANSLATE(D103, ""en"", ""id"")"),"Clinch pendek diperbolehkan untuk mengendalikan lawan dan menyiapkan serangan.")</f>
        <v>Clinch pendek diperbolehkan untuk mengendalikan lawan dan menyiapkan serangan.</v>
      </c>
    </row>
    <row r="104">
      <c r="A104" s="6" t="s">
        <v>1494</v>
      </c>
      <c r="B104" s="10" t="s">
        <v>1495</v>
      </c>
      <c r="C104" s="10" t="s">
        <v>1187</v>
      </c>
      <c r="D104" s="10" t="s">
        <v>1496</v>
      </c>
      <c r="F104" s="4" t="str">
        <f>IFERROR(__xludf.DUMMYFUNCTION("GOOGLETRANSLATE(A104, ""en"", ""id"")"),"Jenis pukulan apa saja yang diperbolehkan dalam Tarung Derajat?")</f>
        <v>Jenis pukulan apa saja yang diperbolehkan dalam Tarung Derajat?</v>
      </c>
      <c r="G104" s="4" t="str">
        <f>IFERROR(__xludf.DUMMYFUNCTION("GOOGLETRANSLATE(B104, ""en"", ""id"")"),"A) Uppercut, B) Jab, C) Overhand, D) Semua jawaban di atas")</f>
        <v>A) Uppercut, B) Jab, C) Overhand, D) Semua jawaban di atas</v>
      </c>
      <c r="H104" s="4" t="str">
        <f>IFERROR(__xludf.DUMMYFUNCTION("GOOGLETRANSLATE(C104, ""en"", ""id"")"),"D) Semua jawaban di atas")</f>
        <v>D) Semua jawaban di atas</v>
      </c>
      <c r="I104" s="4" t="str">
        <f>IFERROR(__xludf.DUMMYFUNCTION("GOOGLETRANSLATE(D104, ""en"", ""id"")"),"Semua jenis pukulan termasuk jab, uppercut, dan overhand diperbolehkan.")</f>
        <v>Semua jenis pukulan termasuk jab, uppercut, dan overhand diperbolehkan.</v>
      </c>
    </row>
    <row r="105">
      <c r="A105" s="6" t="s">
        <v>1497</v>
      </c>
      <c r="B105" s="10" t="s">
        <v>1498</v>
      </c>
      <c r="C105" s="10" t="s">
        <v>1499</v>
      </c>
      <c r="D105" s="10" t="s">
        <v>1500</v>
      </c>
      <c r="F105" s="4" t="str">
        <f>IFERROR(__xludf.DUMMYFUNCTION("GOOGLETRANSLATE(A105, ""en"", ""id"")"),"Apa hukuman atas perilaku ilegal di Tarung Derajat?")</f>
        <v>Apa hukuman atas perilaku ilegal di Tarung Derajat?</v>
      </c>
      <c r="G105" s="4" t="str">
        <f>IFERROR(__xludf.DUMMYFUNCTION("GOOGLETRANSLATE(B105, ""en"", ""id"")"),"A) Diskualifikasi langsung, B) Peringatan dan pengurangan poin, C) Tidak ada penalti, D) Denda")</f>
        <v>A) Diskualifikasi langsung, B) Peringatan dan pengurangan poin, C) Tidak ada penalti, D) Denda</v>
      </c>
      <c r="H105" s="4" t="str">
        <f>IFERROR(__xludf.DUMMYFUNCTION("GOOGLETRANSLATE(C105, ""en"", ""id"")"),"B) Peringatan dan pengurangan poin")</f>
        <v>B) Peringatan dan pengurangan poin</v>
      </c>
      <c r="I105" s="4" t="str">
        <f>IFERROR(__xludf.DUMMYFUNCTION("GOOGLETRANSLATE(D105, ""en"", ""id"")"),"Tindakan ilegal biasanya mengakibatkan peringatan dan kemungkinan pengurangan poin.")</f>
        <v>Tindakan ilegal biasanya mengakibatkan peringatan dan kemungkinan pengurangan poin.</v>
      </c>
    </row>
    <row r="106">
      <c r="A106" s="6" t="s">
        <v>1501</v>
      </c>
      <c r="B106" s="10" t="s">
        <v>1502</v>
      </c>
      <c r="C106" s="10" t="s">
        <v>1503</v>
      </c>
      <c r="D106" s="10" t="s">
        <v>1504</v>
      </c>
      <c r="F106" s="4" t="str">
        <f>IFERROR(__xludf.DUMMYFUNCTION("GOOGLETRANSLATE(A106, ""en"", ""id"")"),"Apa saja yang harus dikenakan petarung saat bertanding Tarung Derajat?")</f>
        <v>Apa saja yang harus dikenakan petarung saat bertanding Tarung Derajat?</v>
      </c>
      <c r="G106" s="4" t="str">
        <f>IFERROR(__xludf.DUMMYFUNCTION("GOOGLETRANSLATE(B106, ""en"", ""id"")"),"A) Perlengkapan pelindung dan sarung tangan, B) Pakaian seni bela diri tradisional, C) Tidak ada alas kaki dan sarung tangan, D) Gi")</f>
        <v>A) Perlengkapan pelindung dan sarung tangan, B) Pakaian seni bela diri tradisional, C) Tidak ada alas kaki dan sarung tangan, D) Gi</v>
      </c>
      <c r="H106" s="4" t="str">
        <f>IFERROR(__xludf.DUMMYFUNCTION("GOOGLETRANSLATE(C106, ""en"", ""id"")"),"C) Tidak memakai alas kaki dan sarung tangan")</f>
        <v>C) Tidak memakai alas kaki dan sarung tangan</v>
      </c>
      <c r="I106" s="4" t="str">
        <f>IFERROR(__xludf.DUMMYFUNCTION("GOOGLETRANSLATE(D106, ""en"", ""id"")"),"Para petarung bertanding tanpa alas kaki dan tanpa sarung tangan untuk menjaga kelincahan dan mobilitas.")</f>
        <v>Para petarung bertanding tanpa alas kaki dan tanpa sarung tangan untuk menjaga kelincahan dan mobilitas.</v>
      </c>
    </row>
    <row r="107">
      <c r="A107" s="6" t="s">
        <v>1505</v>
      </c>
      <c r="B107" s="10" t="s">
        <v>1506</v>
      </c>
      <c r="C107" s="10" t="s">
        <v>1507</v>
      </c>
      <c r="D107" s="10" t="s">
        <v>1508</v>
      </c>
      <c r="F107" s="4" t="str">
        <f>IFERROR(__xludf.DUMMYFUNCTION("GOOGLETRANSLATE(A107, ""en"", ""id"")"),"Apa sebutan bagi pesilat yang sedang unggul poin dalam Tarung Derajat?")</f>
        <v>Apa sebutan bagi pesilat yang sedang unggul poin dalam Tarung Derajat?</v>
      </c>
      <c r="G107" s="4" t="str">
        <f>IFERROR(__xludf.DUMMYFUNCTION("GOOGLETRANSLATE(B107, ""en"", ""id"")"),"A) Pemenang, B) Terdepan, C) Juara, D) Pemimpin")</f>
        <v>A) Pemenang, B) Terdepan, C) Juara, D) Pemimpin</v>
      </c>
      <c r="H107" s="4" t="str">
        <f>IFERROR(__xludf.DUMMYFUNCTION("GOOGLETRANSLATE(C107, ""en"", ""id"")"),"B) Terdepan")</f>
        <v>B) Terdepan</v>
      </c>
      <c r="I107" s="4" t="str">
        <f>IFERROR(__xludf.DUMMYFUNCTION("GOOGLETRANSLATE(D107, ""en"", ""id"")"),"'Terdepan' mengacu pada petarung yang memimpin dalam perolehan poin selama pertandingan.")</f>
        <v>'Terdepan' mengacu pada petarung yang memimpin dalam perolehan poin selama pertandingan.</v>
      </c>
    </row>
    <row r="108">
      <c r="A108" s="6" t="s">
        <v>1509</v>
      </c>
      <c r="B108" s="10" t="s">
        <v>1510</v>
      </c>
      <c r="C108" s="10" t="s">
        <v>1511</v>
      </c>
      <c r="D108" s="10" t="s">
        <v>1512</v>
      </c>
      <c r="F108" s="4" t="str">
        <f>IFERROR(__xludf.DUMMYFUNCTION("GOOGLETRANSLATE(A108, ""en"", ""id"")"),"Bagaimana keputusan diambil jika salah satu petarung gugur dalam Tarung Derajat?")</f>
        <v>Bagaimana keputusan diambil jika salah satu petarung gugur dalam Tarung Derajat?</v>
      </c>
      <c r="G108" s="4" t="str">
        <f>IFERROR(__xludf.DUMMYFUNCTION("GOOGLETRANSLATE(B108, ""en"", ""id"")"),"A) Petarung yang KO didiskualifikasi, B) Petarung yang berdiri menang, C) Pertandingan baru diatur, D) Tidak ada keputusan yang dibuat")</f>
        <v>A) Petarung yang KO didiskualifikasi, B) Petarung yang berdiri menang, C) Pertandingan baru diatur, D) Tidak ada keputusan yang dibuat</v>
      </c>
      <c r="H108" s="4" t="str">
        <f>IFERROR(__xludf.DUMMYFUNCTION("GOOGLETRANSLATE(C108, ""en"", ""id"")"),"B) Petarung yang berdiri menang")</f>
        <v>B) Petarung yang berdiri menang</v>
      </c>
      <c r="I108" s="4" t="str">
        <f>IFERROR(__xludf.DUMMYFUNCTION("GOOGLETRANSLATE(D108, ""en"", ""id"")"),"Jika salah satu petarung tersingkir, petarung yang berdiri dinyatakan sebagai pemenang.")</f>
        <v>Jika salah satu petarung tersingkir, petarung yang berdiri dinyatakan sebagai pemenang.</v>
      </c>
    </row>
    <row r="109">
      <c r="A109" s="6" t="s">
        <v>1513</v>
      </c>
      <c r="B109" s="10" t="s">
        <v>1514</v>
      </c>
      <c r="C109" s="10" t="s">
        <v>1515</v>
      </c>
      <c r="D109" s="10" t="s">
        <v>1516</v>
      </c>
      <c r="F109" s="4" t="str">
        <f>IFERROR(__xludf.DUMMYFUNCTION("GOOGLETRANSLATE(A109, ""en"", ""id"")"),"Apa tujuan utama dalam Tarung Derajat?")</f>
        <v>Apa tujuan utama dalam Tarung Derajat?</v>
      </c>
      <c r="G109" s="4" t="str">
        <f>IFERROR(__xludf.DUMMYFUNCTION("GOOGLETRANSLATE(B109, ""en"", ""id"")"),"A) Untuk mengendalikan lawan, B) Untuk menjatuhkan lawan, C) Untuk mencetak poin melalui serangan, D) Untuk menaklukkan lawan")</f>
        <v>A) Untuk mengendalikan lawan, B) Untuk menjatuhkan lawan, C) Untuk mencetak poin melalui serangan, D) Untuk menaklukkan lawan</v>
      </c>
      <c r="H109" s="4" t="str">
        <f>IFERROR(__xludf.DUMMYFUNCTION("GOOGLETRANSLATE(C109, ""en"", ""id"")"),"C) Untuk mencetak poin melalui serangan")</f>
        <v>C) Untuk mencetak poin melalui serangan</v>
      </c>
      <c r="I109" s="4" t="str">
        <f>IFERROR(__xludf.DUMMYFUNCTION("GOOGLETRANSLATE(D109, ""en"", ""id"")"),"Sasaran utamanya adalah mencetak poin melalui serangan dan kontrol selama pertandingan.")</f>
        <v>Sasaran utamanya adalah mencetak poin melalui serangan dan kontrol selama pertandingan.</v>
      </c>
    </row>
    <row r="110">
      <c r="A110" s="6" t="s">
        <v>1517</v>
      </c>
      <c r="B110" s="10" t="s">
        <v>1518</v>
      </c>
      <c r="C110" s="10" t="s">
        <v>1519</v>
      </c>
      <c r="D110" s="10" t="s">
        <v>1520</v>
      </c>
      <c r="F110" s="4" t="str">
        <f>IFERROR(__xludf.DUMMYFUNCTION("GOOGLETRANSLATE(A110, ""en"", ""id"")"),"Bagian tubuh manakah yang dapat dipukul dalam Tarung Derajat?")</f>
        <v>Bagian tubuh manakah yang dapat dipukul dalam Tarung Derajat?</v>
      </c>
      <c r="G110" s="4" t="str">
        <f>IFERROR(__xludf.DUMMYFUNCTION("GOOGLETRANSLATE(B110, ""en"", ""id"")"),"A) Lutut, B) Kaki, C) Kepala, D) Semua jawaban di atas")</f>
        <v>A) Lutut, B) Kaki, C) Kepala, D) Semua jawaban di atas</v>
      </c>
      <c r="H110" s="4" t="str">
        <f>IFERROR(__xludf.DUMMYFUNCTION("GOOGLETRANSLATE(C110, ""en"", ""id"")"),"C) Kepala")</f>
        <v>C) Kepala</v>
      </c>
      <c r="I110" s="4" t="str">
        <f>IFERROR(__xludf.DUMMYFUNCTION("GOOGLETRANSLATE(D110, ""en"", ""id"")"),"Pukulan ke kepala diperbolehkan, tetapi area lain seperti kaki dan lutut tidak menjadi sasaran.")</f>
        <v>Pukulan ke kepala diperbolehkan, tetapi area lain seperti kaki dan lutut tidak menjadi sasaran.</v>
      </c>
    </row>
    <row r="111">
      <c r="A111" s="6" t="s">
        <v>1521</v>
      </c>
      <c r="B111" s="10" t="s">
        <v>1522</v>
      </c>
      <c r="C111" s="10" t="s">
        <v>1523</v>
      </c>
      <c r="D111" s="10" t="s">
        <v>1524</v>
      </c>
      <c r="F111" s="4" t="str">
        <f>IFERROR(__xludf.DUMMYFUNCTION("GOOGLETRANSLATE(A111, ""en"", ""id"")"),"Bagaimana cara penilaian knockdown dalam Tarung Derajat?")</f>
        <v>Bagaimana cara penilaian knockdown dalam Tarung Derajat?</v>
      </c>
      <c r="G111" s="4" t="str">
        <f>IFERROR(__xludf.DUMMYFUNCTION("GOOGLETRANSLATE(B111, ""en"", ""id"")"),"A) Tidak ada poin yang diberikan, B) Poin dikurangi dari lawan, C) Poin diberikan kepada petarung yang berdiri, D) Pertarungan dihentikan")</f>
        <v>A) Tidak ada poin yang diberikan, B) Poin dikurangi dari lawan, C) Poin diberikan kepada petarung yang berdiri, D) Pertarungan dihentikan</v>
      </c>
      <c r="H111" s="4" t="str">
        <f>IFERROR(__xludf.DUMMYFUNCTION("GOOGLETRANSLATE(C111, ""en"", ""id"")"),"C) Poin diberikan kepada petarung yang berdiri")</f>
        <v>C) Poin diberikan kepada petarung yang berdiri</v>
      </c>
      <c r="I111" s="4" t="str">
        <f>IFERROR(__xludf.DUMMYFUNCTION("GOOGLETRANSLATE(D111, ""en"", ""id"")"),"Petarung yang berdiri diberi poin untuk knockdown, sehingga memperoleh keuntungan.")</f>
        <v>Petarung yang berdiri diberi poin untuk knockdown, sehingga memperoleh keuntungan.</v>
      </c>
    </row>
    <row r="112">
      <c r="A112" s="6" t="s">
        <v>1525</v>
      </c>
      <c r="B112" s="10" t="s">
        <v>1526</v>
      </c>
      <c r="C112" s="10" t="s">
        <v>1527</v>
      </c>
      <c r="D112" s="10" t="s">
        <v>1528</v>
      </c>
      <c r="F112" s="4" t="str">
        <f>IFERROR(__xludf.DUMMYFUNCTION("GOOGLETRANSLATE(A112, ""en"", ""id"")"),"Apa istilah untuk petarung yang melakukan tindakan ilegal selama pertandingan?")</f>
        <v>Apa istilah untuk petarung yang melakukan tindakan ilegal selama pertandingan?</v>
      </c>
      <c r="G112" s="4" t="str">
        <f>IFERROR(__xludf.DUMMYFUNCTION("GOOGLETRANSLATE(B112, ""en"", ""id"")"),"A) Pelanggar, B) Pemenang, C) Terdepan, D) Juara")</f>
        <v>A) Pelanggar, B) Pemenang, C) Terdepan, D) Juara</v>
      </c>
      <c r="H112" s="4" t="str">
        <f>IFERROR(__xludf.DUMMYFUNCTION("GOOGLETRANSLATE(C112, ""en"", ""id"")"),"A) Pelanggar")</f>
        <v>A) Pelanggar</v>
      </c>
      <c r="I112" s="4" t="str">
        <f>IFERROR(__xludf.DUMMYFUNCTION("GOOGLETRANSLATE(D112, ""en"", ""id"")"),"'Pelanggar' merujuk pada petarung yang melakukan tindakan ilegal selama pertandingan.")</f>
        <v>'Pelanggar' merujuk pada petarung yang melakukan tindakan ilegal selama pertandingan.</v>
      </c>
    </row>
    <row r="113">
      <c r="A113" s="6" t="s">
        <v>1529</v>
      </c>
      <c r="B113" s="10" t="s">
        <v>1530</v>
      </c>
      <c r="C113" s="10" t="s">
        <v>1531</v>
      </c>
      <c r="D113" s="10" t="s">
        <v>1532</v>
      </c>
      <c r="F113" s="4" t="str">
        <f>IFERROR(__xludf.DUMMYFUNCTION("GOOGLETRANSLATE(A113, ""en"", ""id"")"),"Tindakan apa yang diperbolehkan untuk menghentikan serangan lawan dalam Tarung Derajat?")</f>
        <v>Tindakan apa yang diperbolehkan untuk menghentikan serangan lawan dalam Tarung Derajat?</v>
      </c>
      <c r="G113" s="4" t="str">
        <f>IFERROR(__xludf.DUMMYFUNCTION("GOOGLETRANSLATE(B113, ""en"", ""id"")"),"A) Memblokir dengan tangan, B) Menghindar, C) Menendang kaki, D) Menangkap pukulan")</f>
        <v>A) Memblokir dengan tangan, B) Menghindar, C) Menendang kaki, D) Menangkap pukulan</v>
      </c>
      <c r="H113" s="4" t="str">
        <f>IFERROR(__xludf.DUMMYFUNCTION("GOOGLETRANSLATE(C113, ""en"", ""id"")"),"A) Memblokir dengan tangan")</f>
        <v>A) Memblokir dengan tangan</v>
      </c>
      <c r="I113" s="4" t="str">
        <f>IFERROR(__xludf.DUMMYFUNCTION("GOOGLETRANSLATE(D113, ""en"", ""id"")"),"Memblokir dengan tangan merupakan tindakan defensif yang sah untuk menghentikan serangan yang datang.")</f>
        <v>Memblokir dengan tangan merupakan tindakan defensif yang sah untuk menghentikan serangan yang datang.</v>
      </c>
    </row>
    <row r="114">
      <c r="A114" s="6" t="s">
        <v>1533</v>
      </c>
      <c r="B114" s="10" t="s">
        <v>1534</v>
      </c>
      <c r="C114" s="10" t="s">
        <v>1535</v>
      </c>
      <c r="D114" s="10" t="s">
        <v>1536</v>
      </c>
      <c r="F114" s="4" t="str">
        <f>IFERROR(__xludf.DUMMYFUNCTION("GOOGLETRANSLATE(A114, ""en"", ""id"")"),"Berapa hukuman maksimal bagi petarung yang melakukan pelanggaran berat dalam Tarung Derajat?")</f>
        <v>Berapa hukuman maksimal bagi petarung yang melakukan pelanggaran berat dalam Tarung Derajat?</v>
      </c>
      <c r="G114" s="4" t="str">
        <f>IFERROR(__xludf.DUMMYFUNCTION("GOOGLETRANSLATE(B114, ""en"", ""id"")"),"A) Pengurangan poin, B) Diskualifikasi, C) Peringatan, D) Penghentian sementara")</f>
        <v>A) Pengurangan poin, B) Diskualifikasi, C) Peringatan, D) Penghentian sementara</v>
      </c>
      <c r="H114" s="4" t="str">
        <f>IFERROR(__xludf.DUMMYFUNCTION("GOOGLETRANSLATE(C114, ""en"", ""id"")"),"B) Diskualifikasi")</f>
        <v>B) Diskualifikasi</v>
      </c>
      <c r="I114" s="4" t="str">
        <f>IFERROR(__xludf.DUMMYFUNCTION("GOOGLETRANSLATE(D114, ""en"", ""id"")"),"Pelanggaran serius dapat mengakibatkan diskualifikasi langsung dari pertandingan.")</f>
        <v>Pelanggaran serius dapat mengakibatkan diskualifikasi langsung dari pertandingan.</v>
      </c>
    </row>
    <row r="115">
      <c r="A115" s="6" t="s">
        <v>1537</v>
      </c>
      <c r="B115" s="10" t="s">
        <v>1538</v>
      </c>
      <c r="C115" s="10" t="s">
        <v>1539</v>
      </c>
      <c r="D115" s="10" t="s">
        <v>1540</v>
      </c>
      <c r="F115" s="4" t="str">
        <f>IFERROR(__xludf.DUMMYFUNCTION("GOOGLETRANSLATE(A115, ""en"", ""id"")"),"Dalam Tarung Derajat, siapa yang bertanggung jawab menjamin keselamatan para petarung?")</f>
        <v>Dalam Tarung Derajat, siapa yang bertanggung jawab menjamin keselamatan para petarung?</v>
      </c>
      <c r="G115" s="4" t="str">
        <f>IFERROR(__xludf.DUMMYFUNCTION("GOOGLETRANSLATE(B115, ""en"", ""id"")"),"A) Wasit, B) Pelatih, C) Lawan, D) Penonton")</f>
        <v>A) Wasit, B) Pelatih, C) Lawan, D) Penonton</v>
      </c>
      <c r="H115" s="4" t="str">
        <f>IFERROR(__xludf.DUMMYFUNCTION("GOOGLETRANSLATE(C115, ""en"", ""id"")"),"A) Wasit")</f>
        <v>A) Wasit</v>
      </c>
      <c r="I115" s="4" t="str">
        <f>IFERROR(__xludf.DUMMYFUNCTION("GOOGLETRANSLATE(D115, ""en"", ""id"")"),"Wasit bertanggung jawab untuk memastikan keselamatan petarung dan kepatuhan terhadap peraturan.")</f>
        <v>Wasit bertanggung jawab untuk memastikan keselamatan petarung dan kepatuhan terhadap peraturan.</v>
      </c>
    </row>
    <row r="116">
      <c r="A116" s="6" t="s">
        <v>1541</v>
      </c>
      <c r="B116" s="10" t="s">
        <v>1542</v>
      </c>
      <c r="C116" s="10" t="s">
        <v>1543</v>
      </c>
      <c r="D116" s="10" t="s">
        <v>1544</v>
      </c>
      <c r="F116" s="4" t="str">
        <f>IFERROR(__xludf.DUMMYFUNCTION("GOOGLETRANSLATE(A116, ""en"", ""id"")"),"Pukulan manakah yang dilarang di Tarung Derajat?")</f>
        <v>Pukulan manakah yang dilarang di Tarung Derajat?</v>
      </c>
      <c r="G116" s="4" t="str">
        <f>IFERROR(__xludf.DUMMYFUNCTION("GOOGLETRANSLATE(B116, ""en"", ""id"")"),"A) Tendangan ke badan, B) Serangan siku ke kepala, C) Serangan lutut ke dada, D) Pukulan atas")</f>
        <v>A) Tendangan ke badan, B) Serangan siku ke kepala, C) Serangan lutut ke dada, D) Pukulan atas</v>
      </c>
      <c r="H116" s="4" t="str">
        <f>IFERROR(__xludf.DUMMYFUNCTION("GOOGLETRANSLATE(C116, ""en"", ""id"")"),"B) Serangan siku ke kepala")</f>
        <v>B) Serangan siku ke kepala</v>
      </c>
      <c r="I116" s="4" t="str">
        <f>IFERROR(__xludf.DUMMYFUNCTION("GOOGLETRANSLATE(D116, ""en"", ""id"")"),"Serangan siku ke kepala dilarang karena sifatnya yang berbahaya.")</f>
        <v>Serangan siku ke kepala dilarang karena sifatnya yang berbahaya.</v>
      </c>
    </row>
    <row r="117">
      <c r="A117" s="6" t="s">
        <v>1545</v>
      </c>
      <c r="B117" s="10" t="s">
        <v>1546</v>
      </c>
      <c r="C117" s="10" t="s">
        <v>1547</v>
      </c>
      <c r="D117" s="10" t="s">
        <v>1548</v>
      </c>
      <c r="F117" s="4" t="str">
        <f>IFERROR(__xludf.DUMMYFUNCTION("GOOGLETRANSLATE(A117, ""en"", ""id"")"),"Tindakan apa yang dianjurkan dalam Tarung Derajat?")</f>
        <v>Tindakan apa yang dianjurkan dalam Tarung Derajat?</v>
      </c>
      <c r="G117" s="4" t="str">
        <f>IFERROR(__xludf.DUMMYFUNCTION("GOOGLETRANSLATE(B117, ""en"", ""id"")"),"A) Serangan terus menerus, B) Melarikan diri, C) Menahan lawan, D) Semua jawaban di atas")</f>
        <v>A) Serangan terus menerus, B) Melarikan diri, C) Menahan lawan, D) Semua jawaban di atas</v>
      </c>
      <c r="H117" s="4" t="str">
        <f>IFERROR(__xludf.DUMMYFUNCTION("GOOGLETRANSLATE(C117, ""en"", ""id"")"),"A) Serangan terus menerus")</f>
        <v>A) Serangan terus menerus</v>
      </c>
      <c r="I117" s="4" t="str">
        <f>IFERROR(__xludf.DUMMYFUNCTION("GOOGLETRANSLATE(D117, ""en"", ""id"")"),"Serangan berkelanjutan didorong, mempromosikan keterlibatan aktif selama pertandingan.")</f>
        <v>Serangan berkelanjutan didorong, mempromosikan keterlibatan aktif selama pertandingan.</v>
      </c>
    </row>
    <row r="118">
      <c r="A118" s="6" t="s">
        <v>1549</v>
      </c>
      <c r="B118" s="10" t="s">
        <v>1550</v>
      </c>
      <c r="C118" s="10" t="s">
        <v>1551</v>
      </c>
      <c r="D118" s="10" t="s">
        <v>1552</v>
      </c>
      <c r="F118" s="4" t="str">
        <f>IFERROR(__xludf.DUMMYFUNCTION("GOOGLETRANSLATE(A118, ""en"", ""id"")"),"Apa yang terjadi jika seorang petarung terluka saat pertandingan Tarung Derajat?")</f>
        <v>Apa yang terjadi jika seorang petarung terluka saat pertandingan Tarung Derajat?</v>
      </c>
      <c r="G118" s="4" t="str">
        <f>IFERROR(__xludf.DUMMYFUNCTION("GOOGLETRANSLATE(B118, ""en"", ""id"")"),"A) Pertandingan berlanjut, B) Petarung yang cedera diberi waktu istirahat medis, C) Pertandingan dihentikan segera, D) Lawan diberi penalti")</f>
        <v>A) Pertandingan berlanjut, B) Petarung yang cedera diberi waktu istirahat medis, C) Pertandingan dihentikan segera, D) Lawan diberi penalti</v>
      </c>
      <c r="H118" s="4" t="str">
        <f>IFERROR(__xludf.DUMMYFUNCTION("GOOGLETRANSLATE(C118, ""en"", ""id"")"),"B) Petarung yang cedera diberi waktu istirahat medis")</f>
        <v>B) Petarung yang cedera diberi waktu istirahat medis</v>
      </c>
      <c r="I118" s="4" t="str">
        <f>IFERROR(__xludf.DUMMYFUNCTION("GOOGLETRANSLATE(D118, ""en"", ""id"")"),"Petarung yang cedera dapat menerima waktu istirahat medis untuk menilai cederanya sebelum melanjutkan.")</f>
        <v>Petarung yang cedera dapat menerima waktu istirahat medis untuk menilai cederanya sebelum melanjutkan.</v>
      </c>
    </row>
    <row r="119">
      <c r="A119" s="6" t="s">
        <v>1553</v>
      </c>
      <c r="B119" s="10" t="s">
        <v>1554</v>
      </c>
      <c r="C119" s="10" t="s">
        <v>1555</v>
      </c>
      <c r="D119" s="10" t="s">
        <v>1556</v>
      </c>
      <c r="F119" s="4" t="str">
        <f>IFERROR(__xludf.DUMMYFUNCTION("GOOGLETRANSLATE(A119, ""en"", ""id"")"),"Bagaimana cara menentukan pemenang dalam Tarung Derajat jika tidak terjadi KO?")</f>
        <v>Bagaimana cara menentukan pemenang dalam Tarung Derajat jika tidak terjadi KO?</v>
      </c>
      <c r="G119" s="4" t="str">
        <f>IFERROR(__xludf.DUMMYFUNCTION("GOOGLETRANSLATE(B119, ""en"", ""id"")"),"A) Dengan penyerahan, B) Dengan poin, C) Dengan diskualifikasi, D) Dengan keputusan wasit")</f>
        <v>A) Dengan penyerahan, B) Dengan poin, C) Dengan diskualifikasi, D) Dengan keputusan wasit</v>
      </c>
      <c r="H119" s="4" t="str">
        <f>IFERROR(__xludf.DUMMYFUNCTION("GOOGLETRANSLATE(C119, ""en"", ""id"")"),"B) Berdasarkan poin")</f>
        <v>B) Berdasarkan poin</v>
      </c>
      <c r="I119" s="4" t="str">
        <f>IFERROR(__xludf.DUMMYFUNCTION("GOOGLETRANSLATE(D119, ""en"", ""id"")"),"Jika tidak terjadi KO, pemenangnya ditentukan berdasarkan total poin yang dicetak.")</f>
        <v>Jika tidak terjadi KO, pemenangnya ditentukan berdasarkan total poin yang dicetak.</v>
      </c>
    </row>
    <row r="120">
      <c r="A120" s="6" t="s">
        <v>1557</v>
      </c>
      <c r="B120" s="10" t="s">
        <v>1558</v>
      </c>
      <c r="C120" s="10" t="s">
        <v>1559</v>
      </c>
      <c r="D120" s="10" t="s">
        <v>1560</v>
      </c>
      <c r="F120" s="4" t="str">
        <f>IFERROR(__xludf.DUMMYFUNCTION("GOOGLETRANSLATE(A120, ""en"", ""id"")"),"Dalam Tarung Derajat, bagaimana cara menentukan pemenangnya jika terjadi seri pada babak terakhir?")</f>
        <v>Dalam Tarung Derajat, bagaimana cara menentukan pemenangnya jika terjadi seri pada babak terakhir?</v>
      </c>
      <c r="G120" s="4" t="str">
        <f>IFERROR(__xludf.DUMMYFUNCTION("GOOGLETRANSLATE(B120, ""en"", ""id"")"),"A) Ronde kematian mendadak, B) Petarung dengan jumlah serangan terbanyak, C) Petarung dengan pertahanan terbaik, D) Keputusan wasit")</f>
        <v>A) Ronde kematian mendadak, B) Petarung dengan jumlah serangan terbanyak, C) Petarung dengan pertahanan terbaik, D) Keputusan wasit</v>
      </c>
      <c r="H120" s="4" t="str">
        <f>IFERROR(__xludf.DUMMYFUNCTION("GOOGLETRANSLATE(C120, ""en"", ""id"")"),"D) Keputusan wasit")</f>
        <v>D) Keputusan wasit</v>
      </c>
      <c r="I120" s="4" t="str">
        <f>IFERROR(__xludf.DUMMYFUNCTION("GOOGLETRANSLATE(D120, ""en"", ""id"")"),"Jika skor seri, wasit akan membuat keputusan akhir tentang pemenangnya.")</f>
        <v>Jika skor seri, wasit akan membuat keputusan akhir tentang pemenangnya.</v>
      </c>
    </row>
    <row r="121">
      <c r="A121" s="6" t="s">
        <v>1561</v>
      </c>
      <c r="B121" s="10" t="s">
        <v>1562</v>
      </c>
      <c r="C121" s="10" t="s">
        <v>1563</v>
      </c>
      <c r="D121" s="10" t="s">
        <v>1564</v>
      </c>
      <c r="F121" s="4" t="str">
        <f>IFERROR(__xludf.DUMMYFUNCTION("GOOGLETRANSLATE(A121, ""en"", ""id"")"),"Berapa luas permukaan pukulan yang diperbolehkan dalam Tarung Derajat?")</f>
        <v>Berapa luas permukaan pukulan yang diperbolehkan dalam Tarung Derajat?</v>
      </c>
      <c r="G121" s="4" t="str">
        <f>IFERROR(__xludf.DUMMYFUNCTION("GOOGLETRANSLATE(B121, ""en"", ""id"")"),"A) Punggung tangan, B) Buku jari, C) Siku, D) Kepalan tangan")</f>
        <v>A) Punggung tangan, B) Buku jari, C) Siku, D) Kepalan tangan</v>
      </c>
      <c r="H121" s="4" t="str">
        <f>IFERROR(__xludf.DUMMYFUNCTION("GOOGLETRANSLATE(C121, ""en"", ""id"")"),"B) Buku-buku jari")</f>
        <v>B) Buku-buku jari</v>
      </c>
      <c r="I121" s="4" t="str">
        <f>IFERROR(__xludf.DUMMYFUNCTION("GOOGLETRANSLATE(D121, ""en"", ""id"")"),"Hanya buku-buku jari tangan yang dapat digunakan untuk melancarkan pukulan dalam Tarung Derajat.")</f>
        <v>Hanya buku-buku jari tangan yang dapat digunakan untuk melancarkan pukulan dalam Tarung Derajat.</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31.75"/>
    <col customWidth="1" min="4" max="4" width="37.63"/>
    <col customWidth="1" min="6" max="9" width="37.63"/>
  </cols>
  <sheetData>
    <row r="1">
      <c r="A1" s="11" t="s">
        <v>0</v>
      </c>
      <c r="B1" s="11" t="s">
        <v>1</v>
      </c>
      <c r="C1" s="11" t="s">
        <v>2</v>
      </c>
      <c r="D1" s="11" t="s">
        <v>3</v>
      </c>
      <c r="F1" s="2" t="s">
        <v>4</v>
      </c>
      <c r="G1" s="2" t="s">
        <v>5</v>
      </c>
      <c r="H1" s="2" t="s">
        <v>6</v>
      </c>
      <c r="I1" s="2" t="s">
        <v>7</v>
      </c>
    </row>
    <row r="2">
      <c r="A2" s="10" t="s">
        <v>1565</v>
      </c>
      <c r="B2" s="10" t="s">
        <v>1566</v>
      </c>
      <c r="C2" s="10" t="s">
        <v>1567</v>
      </c>
      <c r="D2" s="10" t="s">
        <v>1568</v>
      </c>
      <c r="F2" s="4" t="str">
        <f>IFERROR(__xludf.DUMMYFUNCTION("GOOGLETRANSLATE(A2, ""en"", ""id"")"),"Jika kedua petarung menyerang secara bersamaan dan kedua perisai menangkis, tetapi satu tongkat menyentuh tanah, apa keputusan wasit?")</f>
        <v>Jika kedua petarung menyerang secara bersamaan dan kedua perisai menangkis, tetapi satu tongkat menyentuh tanah, apa keputusan wasit?</v>
      </c>
      <c r="G2" s="4" t="str">
        <f>IFERROR(__xludf.DUMMYFUNCTION("GOOGLETRANSLATE(B2, ""en"", ""id"")"),"A) Penetes tongkat kalah B) Keduanya memulai kembali C) Lawan menang langsung D) Wasit menghentikan pertandingan")</f>
        <v>A) Penetes tongkat kalah B) Keduanya memulai kembali C) Lawan menang langsung D) Wasit menghentikan pertandingan</v>
      </c>
      <c r="H2" s="4" t="str">
        <f>IFERROR(__xludf.DUMMYFUNCTION("GOOGLETRANSLATE(C2, ""en"", ""id"")"),"D) Wasit menghentikan pertandingan")</f>
        <v>D) Wasit menghentikan pertandingan</v>
      </c>
      <c r="I2" s="4" t="str">
        <f>IFERROR(__xludf.DUMMYFUNCTION("GOOGLETRANSLATE(D2, ""en"", ""id"")"),"Menjatuhkan tongkat secara tidak sengaja tidak serta-merta berarti kalah, kecuali digunakan dengan tidak terhormat. Wasit menghentikan sementara pertandingan untuk memulihkan keadilan sebelum melanjutkannya.")</f>
        <v>Menjatuhkan tongkat secara tidak sengaja tidak serta-merta berarti kalah, kecuali digunakan dengan tidak terhormat. Wasit menghentikan sementara pertandingan untuk memulihkan keadilan sebelum melanjutkannya.</v>
      </c>
    </row>
    <row r="3">
      <c r="A3" s="10" t="s">
        <v>1569</v>
      </c>
      <c r="B3" s="10" t="s">
        <v>1570</v>
      </c>
      <c r="C3" s="10" t="s">
        <v>1571</v>
      </c>
      <c r="D3" s="10" t="s">
        <v>1572</v>
      </c>
      <c r="F3" s="4" t="str">
        <f>IFERROR(__xludf.DUMMYFUNCTION("GOOGLETRANSLATE(A3, ""en"", ""id"")"),"Bila seorang petarung secara sengaja memukul bagian bawah badan, penalti apa yang diberikan?")</f>
        <v>Bila seorang petarung secara sengaja memukul bagian bawah badan, penalti apa yang diberikan?</v>
      </c>
      <c r="G3" s="4" t="str">
        <f>IFERROR(__xludf.DUMMYFUNCTION("GOOGLETRANSLATE(B3, ""en"", ""id"")"),"A) Peringatan saja B) Diskualifikasi langsung C) Pertandingan dimulai kembali D) Tetua desa memutuskan")</f>
        <v>A) Peringatan saja B) Diskualifikasi langsung C) Pertandingan dimulai kembali D) Tetua desa memutuskan</v>
      </c>
      <c r="H3" s="4" t="str">
        <f>IFERROR(__xludf.DUMMYFUNCTION("GOOGLETRANSLATE(C3, ""en"", ""id"")"),"B) Diskualifikasi langsung")</f>
        <v>B) Diskualifikasi langsung</v>
      </c>
      <c r="I3" s="4" t="str">
        <f>IFERROR(__xludf.DUMMYFUNCTION("GOOGLETRANSLATE(D3, ""en"", ""id"")"),"Menyerang di bawah badan dianggap sebagai tindakan pelanggaran dalam Peresean. Aturan mengutamakan keselamatan, dan penargetan yang disengaja terhadap area terlarang akan mengakibatkan diskualifikasi langsung.")</f>
        <v>Menyerang di bawah badan dianggap sebagai tindakan pelanggaran dalam Peresean. Aturan mengutamakan keselamatan, dan penargetan yang disengaja terhadap area terlarang akan mengakibatkan diskualifikasi langsung.</v>
      </c>
    </row>
    <row r="4">
      <c r="A4" s="10" t="s">
        <v>1573</v>
      </c>
      <c r="B4" s="10" t="s">
        <v>1574</v>
      </c>
      <c r="C4" s="10" t="s">
        <v>1575</v>
      </c>
      <c r="D4" s="10" t="s">
        <v>1576</v>
      </c>
      <c r="F4" s="4" t="str">
        <f>IFERROR(__xludf.DUMMYFUNCTION("GOOGLETRANSLATE(A4, ""en"", ""id"")"),"Jika ketukan drum untuk memulai terlewat namun satu petarung memulai lebih awal, apa yang terjadi?")</f>
        <v>Jika ketukan drum untuk memulai terlewat namun satu petarung memulai lebih awal, apa yang terjadi?</v>
      </c>
      <c r="G4" s="4" t="str">
        <f>IFERROR(__xludf.DUMMYFUNCTION("GOOGLETRANSLATE(B4, ""en"", ""id"")"),"A) Petarung awal diperingatkan B) Lawan dinyatakan sebagai pemenang C) Pertandingan dimulai kembali D) Penonton memutuskan")</f>
        <v>A) Petarung awal diperingatkan B) Lawan dinyatakan sebagai pemenang C) Pertandingan dimulai kembali D) Penonton memutuskan</v>
      </c>
      <c r="H4" s="4" t="str">
        <f>IFERROR(__xludf.DUMMYFUNCTION("GOOGLETRANSLATE(C4, ""en"", ""id"")"),"A) Petarung awal diperingatkan")</f>
        <v>A) Petarung awal diperingatkan</v>
      </c>
      <c r="I4" s="4" t="str">
        <f>IFERROR(__xludf.DUMMYFUNCTION("GOOGLETRANSLATE(D4, ""en"", ""id"")"),"Pertarungan harus dimulai dengan perintah wasit dan tabuhan drum. Menyerang lebih awal dianggap sebagai ketidaksabaran dan hanya akan mendapat peringatan, bukan kekalahan otomatis.")</f>
        <v>Pertarungan harus dimulai dengan perintah wasit dan tabuhan drum. Menyerang lebih awal dianggap sebagai ketidaksabaran dan hanya akan mendapat peringatan, bukan kekalahan otomatis.</v>
      </c>
    </row>
    <row r="5">
      <c r="A5" s="10" t="s">
        <v>1577</v>
      </c>
      <c r="B5" s="10" t="s">
        <v>1578</v>
      </c>
      <c r="C5" s="10" t="s">
        <v>1579</v>
      </c>
      <c r="D5" s="10" t="s">
        <v>1580</v>
      </c>
      <c r="F5" s="4" t="str">
        <f>IFERROR(__xludf.DUMMYFUNCTION("GOOGLETRANSLATE(A5, ""en"", ""id"")"),"Jika perisai kulit pecah saat terjadi penyerangan, apa tindakan resminya?")</f>
        <v>Jika perisai kulit pecah saat terjadi penyerangan, apa tindakan resminya?</v>
      </c>
      <c r="G5" s="4" t="str">
        <f>IFERROR(__xludf.DUMMYFUNCTION("GOOGLETRANSLATE(B5, ""en"", ""id"")"),"A) Lawan menang B) Wasit menghentikan pertarungan C) Terus bertarung tanpa perisai D) Segera ganti perisai")</f>
        <v>A) Lawan menang B) Wasit menghentikan pertarungan C) Terus bertarung tanpa perisai D) Segera ganti perisai</v>
      </c>
      <c r="H5" s="4" t="str">
        <f>IFERROR(__xludf.DUMMYFUNCTION("GOOGLETRANSLATE(C5, ""en"", ""id"")"),"B) Wasit menghentikan perkelahian")</f>
        <v>B) Wasit menghentikan perkelahian</v>
      </c>
      <c r="I5" s="4" t="str">
        <f>IFERROR(__xludf.DUMMYFUNCTION("GOOGLETRANSLATE(D5, ""en"", ""id"")"),"Perisai yang rusak membahayakan keadilan dan keamanan. Pertandingan dihentikan sementara agar perisai yang sesuai dapat diganti sebelum dilanjutkan.")</f>
        <v>Perisai yang rusak membahayakan keadilan dan keamanan. Pertandingan dihentikan sementara agar perisai yang sesuai dapat diganti sebelum dilanjutkan.</v>
      </c>
    </row>
    <row r="6">
      <c r="A6" s="10" t="s">
        <v>1581</v>
      </c>
      <c r="B6" s="10" t="s">
        <v>1582</v>
      </c>
      <c r="C6" s="10" t="s">
        <v>1583</v>
      </c>
      <c r="D6" s="10" t="s">
        <v>1584</v>
      </c>
      <c r="F6" s="4" t="str">
        <f>IFERROR(__xludf.DUMMYFUNCTION("GOOGLETRANSLATE(A6, ""en"", ""id"")"),"Kalau darah muncul pada kedua petarung sekaligus, apa aturannya?")</f>
        <v>Kalau darah muncul pada kedua petarung sekaligus, apa aturannya?</v>
      </c>
      <c r="G6" s="4" t="str">
        <f>IFERROR(__xludf.DUMMYFUNCTION("GOOGLETRANSLATE(B6, ""en"", ""id"")"),"A) Keduanya kalah B) Keduanya menang C) Pertandingan berlanjut sampai wasit memilih D) Keputusan diberikan oleh wasit berdasarkan tingkat keparahan")</f>
        <v>A) Keduanya kalah B) Keduanya menang C) Pertandingan berlanjut sampai wasit memilih D) Keputusan diberikan oleh wasit berdasarkan tingkat keparahan</v>
      </c>
      <c r="H6" s="4" t="str">
        <f>IFERROR(__xludf.DUMMYFUNCTION("GOOGLETRANSLATE(C6, ""en"", ""id"")"),"D) Keputusan yang diberikan oleh wasit tentang tingkat keparahan")</f>
        <v>D) Keputusan yang diberikan oleh wasit tentang tingkat keparahan</v>
      </c>
      <c r="I6" s="4" t="str">
        <f>IFERROR(__xludf.DUMMYFUNCTION("GOOGLETRANSLATE(D6, ""en"", ""id"")"),"Wasit akan menilai cedera mana yang lebih serius. Petarung yang cederanya lebih ringan dapat melanjutkan pertandingan, sementara petarung yang cederanya lebih parah dinyatakan kalah.")</f>
        <v>Wasit akan menilai cedera mana yang lebih serius. Petarung yang cederanya lebih ringan dapat melanjutkan pertandingan, sementara petarung yang cederanya lebih parah dinyatakan kalah.</v>
      </c>
    </row>
    <row r="7">
      <c r="A7" s="10" t="s">
        <v>1585</v>
      </c>
      <c r="B7" s="10" t="s">
        <v>1586</v>
      </c>
      <c r="C7" s="10" t="s">
        <v>1587</v>
      </c>
      <c r="D7" s="10" t="s">
        <v>1588</v>
      </c>
      <c r="F7" s="4" t="str">
        <f>IFERROR(__xludf.DUMMYFUNCTION("GOOGLETRANSLATE(A7, ""en"", ""id"")"),"Jika seorang petarung menggunakan perisai sebagai senjata, bagaimana pelanggarannya ditangani?")</f>
        <v>Jika seorang petarung menggunakan perisai sebagai senjata, bagaimana pelanggarannya ditangani?</v>
      </c>
      <c r="G7" s="4" t="str">
        <f>IFERROR(__xludf.DUMMYFUNCTION("GOOGLETRANSLATE(B7, ""en"", ""id"")"),"A) Satu peringatan diperbolehkan B) Didiskualifikasi segera C) Lawan mendapat keuntungan D) Wasit memutuskan hukuman")</f>
        <v>A) Satu peringatan diperbolehkan B) Didiskualifikasi segera C) Lawan mendapat keuntungan D) Wasit memutuskan hukuman</v>
      </c>
      <c r="H7" s="4" t="str">
        <f>IFERROR(__xludf.DUMMYFUNCTION("GOOGLETRANSLATE(C7, ""en"", ""id"")"),"B) Langsung didiskualifikasi")</f>
        <v>B) Langsung didiskualifikasi</v>
      </c>
      <c r="I7" s="4" t="str">
        <f>IFERROR(__xludf.DUMMYFUNCTION("GOOGLETRANSLATE(D7, ""en"", ""id"")"),"Perisai dalam Peresean murni bersifat defensif. Menggunakannya untuk menyerang melanggar aturan dasar dan mengakibatkan diskualifikasi.")</f>
        <v>Perisai dalam Peresean murni bersifat defensif. Menggunakannya untuk menyerang melanggar aturan dasar dan mengakibatkan diskualifikasi.</v>
      </c>
    </row>
    <row r="8">
      <c r="A8" s="10" t="s">
        <v>1589</v>
      </c>
      <c r="B8" s="10" t="s">
        <v>1590</v>
      </c>
      <c r="C8" s="10" t="s">
        <v>1591</v>
      </c>
      <c r="D8" s="10" t="s">
        <v>1592</v>
      </c>
      <c r="F8" s="4" t="str">
        <f>IFERROR(__xludf.DUMMYFUNCTION("GOOGLETRANSLATE(A8, ""en"", ""id"")"),"Bila seorang petarung mundur melewati batas ring sebanyak dua kali, apa aturannya?")</f>
        <v>Bila seorang petarung mundur melewati batas ring sebanyak dua kali, apa aturannya?</v>
      </c>
      <c r="G8" s="4" t="str">
        <f>IFERROR(__xludf.DUMMYFUNCTION("GOOGLETRANSLATE(B8, ""en"", ""id"")"),"A) Pertandingan berlanjut B) Lawan memperoleh kemenangan C) Peringatan hanya diberikan D) Wasit mengatur ulang posisi")</f>
        <v>A) Pertandingan berlanjut B) Lawan memperoleh kemenangan C) Peringatan hanya diberikan D) Wasit mengatur ulang posisi</v>
      </c>
      <c r="H8" s="4" t="str">
        <f>IFERROR(__xludf.DUMMYFUNCTION("GOOGLETRANSLATE(C8, ""en"", ""id"")"),"B) Lawan memperoleh kemenangan")</f>
        <v>B) Lawan memperoleh kemenangan</v>
      </c>
      <c r="I8" s="4" t="str">
        <f>IFERROR(__xludf.DUMMYFUNCTION("GOOGLETRANSLATE(D8, ""en"", ""id"")"),"Mundur berulang kali hingga melewati lingkaran menunjukkan penghindaran. Tradisi menganggapnya tidak terhormat, dan lawan dinyatakan sebagai pemenang.")</f>
        <v>Mundur berulang kali hingga melewati lingkaran menunjukkan penghindaran. Tradisi menganggapnya tidak terhormat, dan lawan dinyatakan sebagai pemenang.</v>
      </c>
    </row>
    <row r="9">
      <c r="A9" s="10" t="s">
        <v>1593</v>
      </c>
      <c r="B9" s="10" t="s">
        <v>1594</v>
      </c>
      <c r="C9" s="10" t="s">
        <v>1595</v>
      </c>
      <c r="D9" s="10" t="s">
        <v>1596</v>
      </c>
      <c r="F9" s="4" t="str">
        <f>IFERROR(__xludf.DUMMYFUNCTION("GOOGLETRANSLATE(A9, ""en"", ""id"")"),"Jika wasit melihat seorang petarung sengaja mengincar kaki, apa yang terjadi?")</f>
        <v>Jika wasit melihat seorang petarung sengaja mengincar kaki, apa yang terjadi?</v>
      </c>
      <c r="G9" s="4" t="str">
        <f>IFERROR(__xludf.DUMMYFUNCTION("GOOGLETRANSLATE(B9, ""en"", ""id"")"),"A) Hanya peringatan B) Poin dikurangi C) Pertandingan dihentikan karena pelanggaran D) Lawan menang otomatis")</f>
        <v>A) Hanya peringatan B) Poin dikurangi C) Pertandingan dihentikan karena pelanggaran D) Lawan menang otomatis</v>
      </c>
      <c r="H9" s="4" t="str">
        <f>IFERROR(__xludf.DUMMYFUNCTION("GOOGLETRANSLATE(C9, ""en"", ""id"")"),"C) Pertandingan dihentikan karena pelanggaran")</f>
        <v>C) Pertandingan dihentikan karena pelanggaran</v>
      </c>
      <c r="I9" s="4" t="str">
        <f>IFERROR(__xludf.DUMMYFUNCTION("GOOGLETRANSLATE(D9, ""en"", ""id"")"),"Menyerang kaki tidak diizinkan. Wasit menghentikan pertarungan dan dapat memutuskan perlu tidaknya diskualifikasi, tergantung pada niatnya.")</f>
        <v>Menyerang kaki tidak diizinkan. Wasit menghentikan pertarungan dan dapat memutuskan perlu tidaknya diskualifikasi, tergantung pada niatnya.</v>
      </c>
    </row>
    <row r="10">
      <c r="A10" s="10" t="s">
        <v>1597</v>
      </c>
      <c r="B10" s="10" t="s">
        <v>1598</v>
      </c>
      <c r="C10" s="10" t="s">
        <v>1599</v>
      </c>
      <c r="D10" s="10" t="s">
        <v>1600</v>
      </c>
      <c r="F10" s="4" t="str">
        <f>IFERROR(__xludf.DUMMYFUNCTION("GOOGLETRANSLATE(A10, ""en"", ""id"")"),"Jika seorang petarung berdarah tetapi menolak berhenti, siapa yang membuat keputusan akhir?")</f>
        <v>Jika seorang petarung berdarah tetapi menolak berhenti, siapa yang membuat keputusan akhir?</v>
      </c>
      <c r="G10" s="4" t="str">
        <f>IFERROR(__xludf.DUMMYFUNCTION("GOOGLETRANSLATE(B10, ""en"", ""id"")"),"A) Pejuang B) Lawan C) Wasit D) Tetua desa")</f>
        <v>A) Pejuang B) Lawan C) Wasit D) Tetua desa</v>
      </c>
      <c r="H10" s="4" t="str">
        <f>IFERROR(__xludf.DUMMYFUNCTION("GOOGLETRANSLATE(C10, ""en"", ""id"")"),"C) Wasit")</f>
        <v>C) Wasit</v>
      </c>
      <c r="I10" s="4" t="str">
        <f>IFERROR(__xludf.DUMMYFUNCTION("GOOGLETRANSLATE(D10, ""en"", ""id"")"),"Sekalipun petarung bersikeras untuk melanjutkan pertarungan, wasit tetap mengutamakan keselamatan dan dapat membatalkan keinginan petarung.")</f>
        <v>Sekalipun petarung bersikeras untuk melanjutkan pertarungan, wasit tetap mengutamakan keselamatan dan dapat membatalkan keinginan petarung.</v>
      </c>
    </row>
    <row r="11">
      <c r="A11" s="10" t="s">
        <v>1601</v>
      </c>
      <c r="B11" s="10" t="s">
        <v>1602</v>
      </c>
      <c r="C11" s="10" t="s">
        <v>1603</v>
      </c>
      <c r="D11" s="10" t="s">
        <v>1604</v>
      </c>
      <c r="F11" s="4" t="str">
        <f>IFERROR(__xludf.DUMMYFUNCTION("GOOGLETRANSLATE(A11, ""en"", ""id"")"),"Jika hentakan genderang berhenti tiba-tiba di tengah pertarungan, apa tindakan yang tepat?")</f>
        <v>Jika hentakan genderang berhenti tiba-tiba di tengah pertarungan, apa tindakan yang tepat?</v>
      </c>
      <c r="G11" s="4" t="str">
        <f>IFERROR(__xludf.DUMMYFUNCTION("GOOGLETRANSLATE(B11, ""en"", ""id"")"),"A) Petarung harus membeku B) Terus bertarung C) Wasit memutuskan di tempat D) Pertandingan dibatalkan")</f>
        <v>A) Petarung harus membeku B) Terus bertarung C) Wasit memutuskan di tempat D) Pertandingan dibatalkan</v>
      </c>
      <c r="H11" s="4" t="str">
        <f>IFERROR(__xludf.DUMMYFUNCTION("GOOGLETRANSLATE(C11, ""en"", ""id"")"),"A) Pejuang harus membeku")</f>
        <v>A) Pejuang harus membeku</v>
      </c>
      <c r="I11" s="4" t="str">
        <f>IFERROR(__xludf.DUMMYFUNCTION("GOOGLETRANSLATE(D11, ""en"", ""id"")"),"Irama drum adalah sinyal eksternal yang mengendalikan pertarungan. Keheningan mendadak berarti para petarung harus berhenti sejenak hingga irama kembali normal.")</f>
        <v>Irama drum adalah sinyal eksternal yang mengendalikan pertarungan. Keheningan mendadak berarti para petarung harus berhenti sejenak hingga irama kembali normal.</v>
      </c>
    </row>
    <row r="12">
      <c r="A12" s="10" t="s">
        <v>1605</v>
      </c>
      <c r="B12" s="10" t="s">
        <v>1606</v>
      </c>
      <c r="C12" s="10" t="s">
        <v>1607</v>
      </c>
      <c r="D12" s="10" t="s">
        <v>1608</v>
      </c>
      <c r="F12" s="4" t="str">
        <f>IFERROR(__xludf.DUMMYFUNCTION("GOOGLETRANSLATE(A12, ""en"", ""id"")"),"Apa yang terjadi jika salah satu petarung menjatuhkan tongkat dan perisainya?")</f>
        <v>Apa yang terjadi jika salah satu petarung menjatuhkan tongkat dan perisainya?</v>
      </c>
      <c r="G12" s="4" t="str">
        <f>IFERROR(__xludf.DUMMYFUNCTION("GOOGLETRANSLATE(B12, ""en"", ""id"")"),"A) Kekalahan otomatis B) Pertandingan dijeda C) Lawan harus berhenti D) Wasit memutuskan hasil")</f>
        <v>A) Kekalahan otomatis B) Pertandingan dijeda C) Lawan harus berhenti D) Wasit memutuskan hasil</v>
      </c>
      <c r="H12" s="4" t="str">
        <f>IFERROR(__xludf.DUMMYFUNCTION("GOOGLETRANSLATE(C12, ""en"", ""id"")"),"A) Kerugian otomatis")</f>
        <v>A) Kerugian otomatis</v>
      </c>
      <c r="I12" s="4" t="str">
        <f>IFERROR(__xludf.DUMMYFUNCTION("GOOGLETRANSLATE(D12, ""en"", ""id"")"),"Menjatuhkan kedua senjata akan membuat petarung tidak berdaya dan tidak dapat melanjutkan, yang mengakibatkan kekalahan langsung.")</f>
        <v>Menjatuhkan kedua senjata akan membuat petarung tidak berdaya dan tidak dapat melanjutkan, yang mengakibatkan kekalahan langsung.</v>
      </c>
    </row>
    <row r="13">
      <c r="A13" s="10" t="s">
        <v>1609</v>
      </c>
      <c r="B13" s="10" t="s">
        <v>1610</v>
      </c>
      <c r="C13" s="10" t="s">
        <v>1611</v>
      </c>
      <c r="D13" s="10" t="s">
        <v>1612</v>
      </c>
      <c r="F13" s="4" t="str">
        <f>IFERROR(__xludf.DUMMYFUNCTION("GOOGLETRANSLATE(A13, ""en"", ""id"")"),"Jika seorang petarung menutupi seluruh tubuhnya dengan perisai, apa aturannya?")</f>
        <v>Jika seorang petarung menutupi seluruh tubuhnya dengan perisai, apa aturannya?</v>
      </c>
      <c r="G13" s="4" t="str">
        <f>IFERROR(__xludf.DUMMYFUNCTION("GOOGLETRANSLATE(B13, ""en"", ""id"")"),"A) Diperbolehkan sebagai pembelaan B) Peringatan karena tidak hormat C) Lawan menang D) Pertandingan diulang kembali")</f>
        <v>A) Diperbolehkan sebagai pembelaan B) Peringatan karena tidak hormat C) Lawan menang D) Pertandingan diulang kembali</v>
      </c>
      <c r="H13" s="4" t="str">
        <f>IFERROR(__xludf.DUMMYFUNCTION("GOOGLETRANSLATE(C13, ""en"", ""id"")"),"B) Peringatan untuk penghinaan")</f>
        <v>B) Peringatan untuk penghinaan</v>
      </c>
      <c r="I13" s="4" t="str">
        <f>IFERROR(__xludf.DUMMYFUNCTION("GOOGLETRANSLATE(D13, ""en"", ""id"")"),"Perisai harus digunakan secara dinamis, bukan sebagai perlindungan seluruh tubuh. Penggunaan berlebihan dianggap pengecut dan akan mendapat peringatan.")</f>
        <v>Perisai harus digunakan secara dinamis, bukan sebagai perlindungan seluruh tubuh. Penggunaan berlebihan dianggap pengecut dan akan mendapat peringatan.</v>
      </c>
    </row>
    <row r="14">
      <c r="A14" s="10" t="s">
        <v>1613</v>
      </c>
      <c r="B14" s="10" t="s">
        <v>1614</v>
      </c>
      <c r="C14" s="10" t="s">
        <v>1615</v>
      </c>
      <c r="D14" s="10" t="s">
        <v>1616</v>
      </c>
      <c r="F14" s="4" t="str">
        <f>IFERROR(__xludf.DUMMYFUNCTION("GOOGLETRANSLATE(A14, ""en"", ""id"")"),"Jika wasit melihat adanya pelanggaran yang disengaja setelah “berhenti” diserukan, apa yang terjadi?")</f>
        <v>Jika wasit melihat adanya pelanggaran yang disengaja setelah “berhenti” diserukan, apa yang terjadi?</v>
      </c>
      <c r="G14" s="4" t="str">
        <f>IFERROR(__xludf.DUMMYFUNCTION("GOOGLETRANSLATE(B14, ""en"", ""id"")"),"A) Petarung langsung kalah B) Lawan memperoleh kemenangan C) Hanya peringatan D) Massa memutuskan hukuman")</f>
        <v>A) Petarung langsung kalah B) Lawan memperoleh kemenangan C) Hanya peringatan D) Massa memutuskan hukuman</v>
      </c>
      <c r="H14" s="4" t="str">
        <f>IFERROR(__xludf.DUMMYFUNCTION("GOOGLETRANSLATE(C14, ""en"", ""id"")"),"A) Petarung langsung kalah")</f>
        <v>A) Petarung langsung kalah</v>
      </c>
      <c r="I14" s="4" t="str">
        <f>IFERROR(__xludf.DUMMYFUNCTION("GOOGLETRANSLATE(D14, ""en"", ""id"")"),"Mengabaikan perintah berhenti dari wasit menunjukkan ketidakpatuhan terhadap peraturan dan mengakibatkan kerugian langsung.")</f>
        <v>Mengabaikan perintah berhenti dari wasit menunjukkan ketidakpatuhan terhadap peraturan dan mengakibatkan kerugian langsung.</v>
      </c>
    </row>
    <row r="15">
      <c r="A15" s="10" t="s">
        <v>1617</v>
      </c>
      <c r="B15" s="10" t="s">
        <v>1618</v>
      </c>
      <c r="C15" s="10" t="s">
        <v>1619</v>
      </c>
      <c r="D15" s="10" t="s">
        <v>1620</v>
      </c>
      <c r="F15" s="4" t="str">
        <f>IFERROR(__xludf.DUMMYFUNCTION("GOOGLETRANSLATE(A15, ""en"", ""id"")"),"Jika seorang petarung menolak bertarung selama tiga putaran berturut-turut, apa keputusannya?")</f>
        <v>Jika seorang petarung menolak bertarung selama tiga putaran berturut-turut, apa keputusannya?</v>
      </c>
      <c r="G15" s="4" t="str">
        <f>IFERROR(__xludf.DUMMYFUNCTION("GOOGLETRANSLATE(B15, ""en"", ""id"")"),"A) Wasit mendiskualifikasi B) Lawan menang C) Pertandingan dimulai kembali D) Hanya peringatan")</f>
        <v>A) Wasit mendiskualifikasi B) Lawan menang C) Pertandingan dimulai kembali D) Hanya peringatan</v>
      </c>
      <c r="H15" s="4" t="str">
        <f>IFERROR(__xludf.DUMMYFUNCTION("GOOGLETRANSLATE(C15, ""en"", ""id"")"),"A) Wasit mendiskualifikasi")</f>
        <v>A) Wasit mendiskualifikasi</v>
      </c>
      <c r="I15" s="4" t="str">
        <f>IFERROR(__xludf.DUMMYFUNCTION("GOOGLETRANSLATE(D15, ""en"", ""id"")"),"Tidak terlibat berulang kali dianggap menghindari pertarungan, yang mengakibatkan diskualifikasi.")</f>
        <v>Tidak terlibat berulang kali dianggap menghindari pertarungan, yang mengakibatkan diskualifikasi.</v>
      </c>
    </row>
    <row r="16">
      <c r="A16" s="10" t="s">
        <v>1621</v>
      </c>
      <c r="B16" s="10" t="s">
        <v>1622</v>
      </c>
      <c r="C16" s="10" t="s">
        <v>1623</v>
      </c>
      <c r="D16" s="10" t="s">
        <v>1624</v>
      </c>
      <c r="F16" s="4" t="str">
        <f>IFERROR(__xludf.DUMMYFUNCTION("GOOGLETRANSLATE(A16, ""en"", ""id"")"),"Jika seorang petarung mengganti perisainya ke tangan yang berlawanan di tengah pertandingan, apakah hal tersebut diperbolehkan?")</f>
        <v>Jika seorang petarung mengganti perisainya ke tangan yang berlawanan di tengah pertandingan, apakah hal tersebut diperbolehkan?</v>
      </c>
      <c r="G16" s="4" t="str">
        <f>IFERROR(__xludf.DUMMYFUNCTION("GOOGLETRANSLATE(B16, ""en"", ""id"")"),"A) Ya, selalu B) Tidak, pelanggaran C) Diperbolehkan hanya jika wasit setuju D) Lawan dapat melakukan protes")</f>
        <v>A) Ya, selalu B) Tidak, pelanggaran C) Diperbolehkan hanya jika wasit setuju D) Lawan dapat melakukan protes</v>
      </c>
      <c r="H16" s="4" t="str">
        <f>IFERROR(__xludf.DUMMYFUNCTION("GOOGLETRANSLATE(C16, ""en"", ""id"")"),"C) Diperbolehkan hanya jika wasit setuju")</f>
        <v>C) Diperbolehkan hanya jika wasit setuju</v>
      </c>
      <c r="I16" s="4" t="str">
        <f>IFERROR(__xludf.DUMMYFUNCTION("GOOGLETRANSLATE(D16, ""en"", ""id"")"),"Biasanya petarung mempertahankan satu posisi, tetapi pergantian posisi dapat dibolehkan jika wasit menyetujui demi keadilan.")</f>
        <v>Biasanya petarung mempertahankan satu posisi, tetapi pergantian posisi dapat dibolehkan jika wasit menyetujui demi keadilan.</v>
      </c>
    </row>
    <row r="17">
      <c r="A17" s="10" t="s">
        <v>1625</v>
      </c>
      <c r="B17" s="10" t="s">
        <v>1626</v>
      </c>
      <c r="C17" s="10" t="s">
        <v>236</v>
      </c>
      <c r="D17" s="10" t="s">
        <v>1627</v>
      </c>
      <c r="F17" s="4" t="str">
        <f>IFERROR(__xludf.DUMMYFUNCTION("GOOGLETRANSLATE(A17, ""en"", ""id"")"),"Jika seorang petarung sengaja menargetkan mata, apa akibatnya?")</f>
        <v>Jika seorang petarung sengaja menargetkan mata, apa akibatnya?</v>
      </c>
      <c r="G17" s="4" t="str">
        <f>IFERROR(__xludf.DUMMYFUNCTION("GOOGLETRANSLATE(B17, ""en"", ""id"")"),"A) Peringatan B) Pertandingan dihentikan segera C) Diskualifikasi D) Lawan diberi kemenangan")</f>
        <v>A) Peringatan B) Pertandingan dihentikan segera C) Diskualifikasi D) Lawan diberi kemenangan</v>
      </c>
      <c r="H17" s="4" t="str">
        <f>IFERROR(__xludf.DUMMYFUNCTION("GOOGLETRANSLATE(C17, ""en"", ""id"")"),"C) Diskualifikasi")</f>
        <v>C) Diskualifikasi</v>
      </c>
      <c r="I17" s="4" t="str">
        <f>IFERROR(__xludf.DUMMYFUNCTION("GOOGLETRANSLATE(D17, ""en"", ""id"")"),"Serangan mata sangat berbahaya. Serangan yang disengaja dapat mengakibatkan diskualifikasi langsung.")</f>
        <v>Serangan mata sangat berbahaya. Serangan yang disengaja dapat mengakibatkan diskualifikasi langsung.</v>
      </c>
    </row>
    <row r="18">
      <c r="A18" s="10" t="s">
        <v>1628</v>
      </c>
      <c r="B18" s="10" t="s">
        <v>1629</v>
      </c>
      <c r="C18" s="10" t="s">
        <v>1630</v>
      </c>
      <c r="D18" s="10" t="s">
        <v>1631</v>
      </c>
      <c r="F18" s="4" t="str">
        <f>IFERROR(__xludf.DUMMYFUNCTION("GOOGLETRANSLATE(A18, ""en"", ""id"")"),"Jika tongkat kedua petarung patah, apa aturannya?")</f>
        <v>Jika tongkat kedua petarung patah, apa aturannya?</v>
      </c>
      <c r="G18" s="4" t="str">
        <f>IFERROR(__xludf.DUMMYFUNCTION("GOOGLETRANSLATE(B18, ""en"", ""id"")"),"A) Keduanya kalah B) Keduanya memulai kembali dengan tongkat baru C) Wasit memutuskan D) Pertandingan berakhir")</f>
        <v>A) Keduanya kalah B) Keduanya memulai kembali dengan tongkat baru C) Wasit memutuskan D) Pertandingan berakhir</v>
      </c>
      <c r="H18" s="4" t="str">
        <f>IFERROR(__xludf.DUMMYFUNCTION("GOOGLETRANSLATE(C18, ""en"", ""id"")"),"B) Keduanya memulai ulang dengan stik baru")</f>
        <v>B) Keduanya memulai ulang dengan stik baru</v>
      </c>
      <c r="I18" s="4" t="str">
        <f>IFERROR(__xludf.DUMMYFUNCTION("GOOGLETRANSLATE(D18, ""en"", ""id"")"),"Pertarungan yang adil tidak dapat dilanjutkan dengan senjata yang rusak. Kedua petarung diberi tongkat baru untuk memulai kembali.")</f>
        <v>Pertarungan yang adil tidak dapat dilanjutkan dengan senjata yang rusak. Kedua petarung diberi tongkat baru untuk memulai kembali.</v>
      </c>
    </row>
    <row r="19">
      <c r="A19" s="10" t="s">
        <v>1632</v>
      </c>
      <c r="B19" s="10" t="s">
        <v>1633</v>
      </c>
      <c r="C19" s="10" t="s">
        <v>1634</v>
      </c>
      <c r="D19" s="10" t="s">
        <v>1635</v>
      </c>
      <c r="F19" s="4" t="str">
        <f>IFERROR(__xludf.DUMMYFUNCTION("GOOGLETRANSLATE(A19, ""en"", ""id"")"),"Apa yang terjadi jika seorang petarung berpura-pura terluka untuk menghentikan pertandingan?")</f>
        <v>Apa yang terjadi jika seorang petarung berpura-pura terluka untuk menghentikan pertandingan?</v>
      </c>
      <c r="G19" s="4" t="str">
        <f>IFERROR(__xludf.DUMMYFUNCTION("GOOGLETRANSLATE(B19, ""en"", ""id"")"),"A) Wasit memeriksa dan memperingatkan B) Lawan dinyatakan sebagai pemenang C) Petarung didiskualifikasi D) Pertandingan dihentikan sementara sampai diverifikasi")</f>
        <v>A) Wasit memeriksa dan memperingatkan B) Lawan dinyatakan sebagai pemenang C) Petarung didiskualifikasi D) Pertandingan dihentikan sementara sampai diverifikasi</v>
      </c>
      <c r="H19" s="4" t="str">
        <f>IFERROR(__xludf.DUMMYFUNCTION("GOOGLETRANSLATE(C19, ""en"", ""id"")"),"D) Pertandingan dijeda hingga diverifikasi")</f>
        <v>D) Pertandingan dijeda hingga diverifikasi</v>
      </c>
      <c r="I19" s="4" t="str">
        <f>IFERROR(__xludf.DUMMYFUNCTION("GOOGLETRANSLATE(D19, ""en"", ""id"")"),"Wasit memeriksa keasliannya. Jika bertindak tidak terhormat, petarung berisiko mendapat hukuman di kemudian hari.")</f>
        <v>Wasit memeriksa keasliannya. Jika bertindak tidak terhormat, petarung berisiko mendapat hukuman di kemudian hari.</v>
      </c>
    </row>
    <row r="20">
      <c r="A20" s="10" t="s">
        <v>1636</v>
      </c>
      <c r="B20" s="10" t="s">
        <v>1637</v>
      </c>
      <c r="C20" s="10" t="s">
        <v>1638</v>
      </c>
      <c r="D20" s="10" t="s">
        <v>1639</v>
      </c>
      <c r="F20" s="4" t="str">
        <f>IFERROR(__xludf.DUMMYFUNCTION("GOOGLETRANSLATE(A20, ""en"", ""id"")"),"Jika seorang petarung menyerang setelah melintasi batas ring, apa aturannya?")</f>
        <v>Jika seorang petarung menyerang setelah melintasi batas ring, apa aturannya?</v>
      </c>
      <c r="G20" s="4" t="str">
        <f>IFERROR(__xludf.DUMMYFUNCTION("GOOGLETRANSLATE(B20, ""en"", ""id"")"),"A) Strike dihitung B) Strike diabaikan, peringatan dikeluarkan C) Lawan menang D) Pertandingan dimulai kembali")</f>
        <v>A) Strike dihitung B) Strike diabaikan, peringatan dikeluarkan C) Lawan menang D) Pertandingan dimulai kembali</v>
      </c>
      <c r="H20" s="4" t="str">
        <f>IFERROR(__xludf.DUMMYFUNCTION("GOOGLETRANSLATE(C20, ""en"", ""id"")"),"B) Pemogokan diabaikan, peringatan dikeluarkan")</f>
        <v>B) Pemogokan diabaikan, peringatan dikeluarkan</v>
      </c>
      <c r="I20" s="4" t="str">
        <f>IFERROR(__xludf.DUMMYFUNCTION("GOOGLETRANSLATE(D20, ""en"", ""id"")"),"Serangan di luar batas ring tidak dihitung dan akan mendapat peringatan karena permainan curang.")</f>
        <v>Serangan di luar batas ring tidak dihitung dan akan mendapat peringatan karena permainan curang.</v>
      </c>
    </row>
    <row r="21">
      <c r="A21" s="10" t="s">
        <v>1640</v>
      </c>
      <c r="B21" s="10" t="s">
        <v>1641</v>
      </c>
      <c r="C21" s="10" t="s">
        <v>1642</v>
      </c>
      <c r="D21" s="10" t="s">
        <v>1643</v>
      </c>
      <c r="F21" s="4" t="str">
        <f>IFERROR(__xludf.DUMMYFUNCTION("GOOGLETRANSLATE(A21, ""en"", ""id"")"),"Bagaimana jika penabuh drum memberi sinyal untuk memulai kembali sementara wasit belum melakukannya?")</f>
        <v>Bagaimana jika penabuh drum memberi sinyal untuk memulai kembali sementara wasit belum melakukannya?</v>
      </c>
      <c r="G21" s="4" t="str">
        <f>IFERROR(__xludf.DUMMYFUNCTION("GOOGLETRANSLATE(B21, ""en"", ""id"")"),"A) Sinyal penabuh drum dihitung B) Kewenangan wasit berlaku C) Kedua sinyal diperlukan D) Pertandingan dibatalkan")</f>
        <v>A) Sinyal penabuh drum dihitung B) Kewenangan wasit berlaku C) Kedua sinyal diperlukan D) Pertandingan dibatalkan</v>
      </c>
      <c r="H21" s="4" t="str">
        <f>IFERROR(__xludf.DUMMYFUNCTION("GOOGLETRANSLATE(C21, ""en"", ""id"")"),"B) Wewenang wasit lebih diutamakan")</f>
        <v>B) Wewenang wasit lebih diutamakan</v>
      </c>
      <c r="I21" s="4" t="str">
        <f>IFERROR(__xludf.DUMMYFUNCTION("GOOGLETRANSLATE(D21, ""en"", ""id"")"),"Wasit adalah otoritas tertinggi dalam Peresean. Penabuh drum mendukung tetapi tidak dapat membatalkan keputusan wasit.")</f>
        <v>Wasit adalah otoritas tertinggi dalam Peresean. Penabuh drum mendukung tetapi tidak dapat membatalkan keputusan wasit.</v>
      </c>
    </row>
    <row r="22">
      <c r="A22" s="10" t="s">
        <v>1644</v>
      </c>
      <c r="B22" s="10" t="s">
        <v>1645</v>
      </c>
      <c r="C22" s="10" t="s">
        <v>1646</v>
      </c>
      <c r="D22" s="10" t="s">
        <v>1647</v>
      </c>
      <c r="F22" s="4" t="str">
        <f>IFERROR(__xludf.DUMMYFUNCTION("GOOGLETRANSLATE(A22, ""en"", ""id"")"),"Jika perisai secara tidak sengaja mengenai wasit, apa aturannya?")</f>
        <v>Jika perisai secara tidak sengaja mengenai wasit, apa aturannya?</v>
      </c>
      <c r="G22" s="4" t="str">
        <f>IFERROR(__xludf.DUMMYFUNCTION("GOOGLETRANSLATE(B22, ""en"", ""id"")"),"A) Pertandingan berlanjut B) Pertandingan dihentikan sementara C) Petarung didiskualifikasi D) Lawan menang")</f>
        <v>A) Pertandingan berlanjut B) Pertandingan dihentikan sementara C) Petarung didiskualifikasi D) Lawan menang</v>
      </c>
      <c r="H22" s="4" t="str">
        <f>IFERROR(__xludf.DUMMYFUNCTION("GOOGLETRANSLATE(C22, ""en"", ""id"")"),"B) Pertandingan dijeda")</f>
        <v>B) Pertandingan dijeda</v>
      </c>
      <c r="I22" s="4" t="str">
        <f>IFERROR(__xludf.DUMMYFUNCTION("GOOGLETRANSLATE(D22, ""en"", ""id"")"),"Kecelakaan ditangani dengan hati-hati. Wasit berhenti sejenak, mengatur ulang, dan memastikan keadilan sebelum melanjutkan.")</f>
        <v>Kecelakaan ditangani dengan hati-hati. Wasit berhenti sejenak, mengatur ulang, dan memastikan keadilan sebelum melanjutkan.</v>
      </c>
    </row>
    <row r="23">
      <c r="A23" s="10" t="s">
        <v>1648</v>
      </c>
      <c r="B23" s="10" t="s">
        <v>1649</v>
      </c>
      <c r="C23" s="10" t="s">
        <v>1650</v>
      </c>
      <c r="D23" s="10" t="s">
        <v>1651</v>
      </c>
      <c r="F23" s="4" t="str">
        <f>IFERROR(__xludf.DUMMYFUNCTION("GOOGLETRANSLATE(A23, ""en"", ""id"")"),"Bila seorang petarung memegang tongkat rotan dengan kedua tangannya, apakah sah?")</f>
        <v>Bila seorang petarung memegang tongkat rotan dengan kedua tangannya, apakah sah?</v>
      </c>
      <c r="G23" s="4" t="str">
        <f>IFERROR(__xludf.DUMMYFUNCTION("GOOGLETRANSLATE(B23, ""en"", ""id"")"),"A) Ya, selalu B) Tidak, pelanggaran C) Hanya jika wasit mengizinkan D) Pertandingan dimulai kembali")</f>
        <v>A) Ya, selalu B) Tidak, pelanggaran C) Hanya jika wasit mengizinkan D) Pertandingan dimulai kembali</v>
      </c>
      <c r="H23" s="4" t="str">
        <f>IFERROR(__xludf.DUMMYFUNCTION("GOOGLETRANSLATE(C23, ""en"", ""id"")"),"B) Tidak, busuk")</f>
        <v>B) Tidak, busuk</v>
      </c>
      <c r="I23" s="4" t="str">
        <f>IFERROR(__xludf.DUMMYFUNCTION("GOOGLETRANSLATE(D23, ""en"", ""id"")"),"Peresean membutuhkan kendali rotan dengan satu tangan. Memegang dengan dua tangan melanggar aturan.")</f>
        <v>Peresean membutuhkan kendali rotan dengan satu tangan. Memegang dengan dua tangan melanggar aturan.</v>
      </c>
    </row>
    <row r="24">
      <c r="A24" s="10" t="s">
        <v>1652</v>
      </c>
      <c r="B24" s="10" t="s">
        <v>1653</v>
      </c>
      <c r="C24" s="10" t="s">
        <v>1654</v>
      </c>
      <c r="D24" s="10" t="s">
        <v>1655</v>
      </c>
      <c r="F24" s="4" t="str">
        <f>IFERROR(__xludf.DUMMYFUNCTION("GOOGLETRANSLATE(A24, ""en"", ""id"")"),"Jika seorang petarung menangkis setiap serangan tetapi tidak pernah menyerang, apa keputusan wasit?")</f>
        <v>Jika seorang petarung menangkis setiap serangan tetapi tidak pernah menyerang, apa keputusan wasit?</v>
      </c>
      <c r="G24" s="4" t="str">
        <f>IFERROR(__xludf.DUMMYFUNCTION("GOOGLETRANSLATE(B24, ""en"", ""id"")"),"A) Diperbolehkan sebagai strategi B) Peringatan karena tidak terlibat C) Lawan dinyatakan sebagai pemenang D) Pertandingan dihentikan sementara untuk ditinjau")</f>
        <v>A) Diperbolehkan sebagai strategi B) Peringatan karena tidak terlibat C) Lawan dinyatakan sebagai pemenang D) Pertandingan dihentikan sementara untuk ditinjau</v>
      </c>
      <c r="H24" s="4" t="str">
        <f>IFERROR(__xludf.DUMMYFUNCTION("GOOGLETRANSLATE(C24, ""en"", ""id"")"),"B) Peringatan untuk tidak terlibat")</f>
        <v>B) Peringatan untuk tidak terlibat</v>
      </c>
      <c r="I24" s="4" t="str">
        <f>IFERROR(__xludf.DUMMYFUNCTION("GOOGLETRANSLATE(D24, ""en"", ""id"")"),"Peresean menghargai pertarungan aktif. Menolak menyerang berulang kali akan mendapat peringatan.")</f>
        <v>Peresean menghargai pertarungan aktif. Menolak menyerang berulang kali akan mendapat peringatan.</v>
      </c>
    </row>
    <row r="25">
      <c r="A25" s="10" t="s">
        <v>1656</v>
      </c>
      <c r="B25" s="10" t="s">
        <v>1657</v>
      </c>
      <c r="C25" s="10" t="s">
        <v>1658</v>
      </c>
      <c r="D25" s="10" t="s">
        <v>1659</v>
      </c>
      <c r="F25" s="4" t="str">
        <f>IFERROR(__xludf.DUMMYFUNCTION("GOOGLETRANSLATE(A25, ""en"", ""id"")"),"Apa yang terjadi jika seorang petarung tak sengaja menjatuhkan perisainya namun tetap bertarung?")</f>
        <v>Apa yang terjadi jika seorang petarung tak sengaja menjatuhkan perisainya namun tetap bertarung?</v>
      </c>
      <c r="G25" s="4" t="str">
        <f>IFERROR(__xludf.DUMMYFUNCTION("GOOGLETRANSLATE(B25, ""en"", ""id"")"),"A) Lawan menang seketika B) Pertandingan dihentikan sampai perisai dikembalikan C) Diizinkan sampai wasit turun tangan D) Petarung melanjutkan tanpa perisai")</f>
        <v>A) Lawan menang seketika B) Pertandingan dihentikan sampai perisai dikembalikan C) Diizinkan sampai wasit turun tangan D) Petarung melanjutkan tanpa perisai</v>
      </c>
      <c r="H25" s="4" t="str">
        <f>IFERROR(__xludf.DUMMYFUNCTION("GOOGLETRANSLATE(C25, ""en"", ""id"")"),"B) Pertandingan dihentikan sementara sampai perisai kembali")</f>
        <v>B) Pertandingan dihentikan sementara sampai perisai kembali</v>
      </c>
      <c r="I25" s="4" t="str">
        <f>IFERROR(__xludf.DUMMYFUNCTION("GOOGLETRANSLATE(D25, ""en"", ""id"")"),"Perisai itu penting. Bertarung tanpa perisai akan merusak keseimbangan, sehingga wasit berhenti sejenak untuk memulihkan keadilan.")</f>
        <v>Perisai itu penting. Bertarung tanpa perisai akan merusak keseimbangan, sehingga wasit berhenti sejenak untuk memulihkan keadilan.</v>
      </c>
    </row>
    <row r="26">
      <c r="A26" s="10" t="s">
        <v>1660</v>
      </c>
      <c r="B26" s="10" t="s">
        <v>1661</v>
      </c>
      <c r="C26" s="10" t="s">
        <v>1662</v>
      </c>
      <c r="D26" s="10" t="s">
        <v>1663</v>
      </c>
      <c r="F26" s="4" t="str">
        <f>IFERROR(__xludf.DUMMYFUNCTION("GOOGLETRANSLATE(A26, ""en"", ""id"")"),"Jika kedua petarung menolak berhenti setelah wasit memanggil, apa yang terjadi?")</f>
        <v>Jika kedua petarung menolak berhenti setelah wasit memanggil, apa yang terjadi?</v>
      </c>
      <c r="G26" s="4" t="str">
        <f>IFERROR(__xludf.DUMMYFUNCTION("GOOGLETRANSLATE(B26, ""en"", ""id"")"),"A) Keduanya didiskualifikasi B) Keduanya diperingatkan C) Lawan dipilih oleh yang lebih tua D) Pertandingan dibatalkan")</f>
        <v>A) Keduanya didiskualifikasi B) Keduanya diperingatkan C) Lawan dipilih oleh yang lebih tua D) Pertandingan dibatalkan</v>
      </c>
      <c r="H26" s="4" t="str">
        <f>IFERROR(__xludf.DUMMYFUNCTION("GOOGLETRANSLATE(C26, ""en"", ""id"")"),"A) Keduanya didiskualifikasi")</f>
        <v>A) Keduanya didiskualifikasi</v>
      </c>
      <c r="I26" s="4" t="str">
        <f>IFERROR(__xludf.DUMMYFUNCTION("GOOGLETRANSLATE(D26, ""en"", ""id"")"),"Mengabaikan wasit adalah pelanggaran terberat. Kedua petarung didiskualifikasi karena ketidakpatuhan.")</f>
        <v>Mengabaikan wasit adalah pelanggaran terberat. Kedua petarung didiskualifikasi karena ketidakpatuhan.</v>
      </c>
    </row>
    <row r="27">
      <c r="A27" s="10" t="s">
        <v>1664</v>
      </c>
      <c r="B27" s="10" t="s">
        <v>1665</v>
      </c>
      <c r="C27" s="10" t="s">
        <v>1666</v>
      </c>
      <c r="D27" s="10" t="s">
        <v>1667</v>
      </c>
      <c r="F27" s="4" t="str">
        <f>IFERROR(__xludf.DUMMYFUNCTION("GOOGLETRANSLATE(A27, ""en"", ""id"")"),"Jika seorang petarung dengan sengaja menunda kembali ke tengah setelah jeda, apa yang ditetapkan?")</f>
        <v>Jika seorang petarung dengan sengaja menunda kembali ke tengah setelah jeda, apa yang ditetapkan?</v>
      </c>
      <c r="G27" s="4" t="str">
        <f>IFERROR(__xludf.DUMMYFUNCTION("GOOGLETRANSLATE(B27, ""en"", ""id"")"),"A) Hanya peringatan B) Kalah karena aib C) Lawan menang D) Wasit mengurangi kesempatan")</f>
        <v>A) Hanya peringatan B) Kalah karena aib C) Lawan menang D) Wasit mengurangi kesempatan</v>
      </c>
      <c r="H27" s="4" t="str">
        <f>IFERROR(__xludf.DUMMYFUNCTION("GOOGLETRANSLATE(C27, ""en"", ""id"")"),"A) Hanya peringatan")</f>
        <v>A) Hanya peringatan</v>
      </c>
      <c r="I27" s="4" t="str">
        <f>IFERROR(__xludf.DUMMYFUNCTION("GOOGLETRANSLATE(D27, ""en"", ""id"")"),"Mengulur-ulur waktu adalah hal yang tidak terhormat tetapi tidak cukup parah untuk menyebabkan diskualifikasi kecuali diulang.")</f>
        <v>Mengulur-ulur waktu adalah hal yang tidak terhormat tetapi tidak cukup parah untuk menyebabkan diskualifikasi kecuali diulang.</v>
      </c>
    </row>
    <row r="28">
      <c r="A28" s="10" t="s">
        <v>1668</v>
      </c>
      <c r="B28" s="10" t="s">
        <v>1669</v>
      </c>
      <c r="C28" s="10" t="s">
        <v>1670</v>
      </c>
      <c r="D28" s="10" t="s">
        <v>1671</v>
      </c>
      <c r="F28" s="4" t="str">
        <f>IFERROR(__xludf.DUMMYFUNCTION("GOOGLETRANSLATE(A28, ""en"", ""id"")"),"Kalau petarung memukul dengan gagang tongkat rotan dan bukan dengan ujungnya, apakah sah?")</f>
        <v>Kalau petarung memukul dengan gagang tongkat rotan dan bukan dengan ujungnya, apakah sah?</v>
      </c>
      <c r="G28" s="4" t="str">
        <f>IFERROR(__xludf.DUMMYFUNCTION("GOOGLETRANSLATE(B28, ""en"", ""id"")"),"A) Strike yang sah B) Strike yang tidak sah, peringatan C) Diskualifikasi D) Putaran ulang")</f>
        <v>A) Strike yang sah B) Strike yang tidak sah, peringatan C) Diskualifikasi D) Putaran ulang</v>
      </c>
      <c r="H28" s="4" t="str">
        <f>IFERROR(__xludf.DUMMYFUNCTION("GOOGLETRANSLATE(C28, ""en"", ""id"")"),"B) Mogok tidak sah, peringatan")</f>
        <v>B) Mogok tidak sah, peringatan</v>
      </c>
      <c r="I28" s="4" t="str">
        <f>IFERROR(__xludf.DUMMYFUNCTION("GOOGLETRANSLATE(D28, ""en"", ""id"")"),"Hanya ujung rotan yang dikenali. Pukulan pada gagang tidak dihitung dan akan mendapat peringatan.")</f>
        <v>Hanya ujung rotan yang dikenali. Pukulan pada gagang tidak dihitung dan akan mendapat peringatan.</v>
      </c>
    </row>
    <row r="29">
      <c r="A29" s="10" t="s">
        <v>1672</v>
      </c>
      <c r="B29" s="10" t="s">
        <v>1673</v>
      </c>
      <c r="C29" s="10" t="s">
        <v>1674</v>
      </c>
      <c r="D29" s="10" t="s">
        <v>1675</v>
      </c>
      <c r="F29" s="4" t="str">
        <f>IFERROR(__xludf.DUMMYFUNCTION("GOOGLETRANSLATE(A29, ""en"", ""id"")"),"Jika tali tameng putus di tengah pertandingan, apa yang terjadi?")</f>
        <v>Jika tali tameng putus di tengah pertandingan, apa yang terjadi?</v>
      </c>
      <c r="G29" s="4" t="str">
        <f>IFERROR(__xludf.DUMMYFUNCTION("GOOGLETRANSLATE(B29, ""en"", ""id"")"),"A) Pertandingan berakhir B) Jeda untuk penggantian perisai C) Lawan menang D) Lanjutkan tanpa perisai")</f>
        <v>A) Pertandingan berakhir B) Jeda untuk penggantian perisai C) Lawan menang D) Lanjutkan tanpa perisai</v>
      </c>
      <c r="H29" s="4" t="str">
        <f>IFERROR(__xludf.DUMMYFUNCTION("GOOGLETRANSLATE(C29, ""en"", ""id"")"),"B) Jeda untuk penggantian perisai")</f>
        <v>B) Jeda untuk penggantian perisai</v>
      </c>
      <c r="I29" s="4" t="str">
        <f>IFERROR(__xludf.DUMMYFUNCTION("GOOGLETRANSLATE(D29, ""en"", ""id"")"),"Kegagalan peralatan menghentikan pertarungan hingga diperbaiki, guna memastikan keadilan.")</f>
        <v>Kegagalan peralatan menghentikan pertarungan hingga diperbaiki, guna memastikan keadilan.</v>
      </c>
    </row>
    <row r="30">
      <c r="A30" s="10" t="s">
        <v>1676</v>
      </c>
      <c r="B30" s="10" t="s">
        <v>1677</v>
      </c>
      <c r="C30" s="10" t="s">
        <v>1611</v>
      </c>
      <c r="D30" s="10" t="s">
        <v>1678</v>
      </c>
      <c r="F30" s="4" t="str">
        <f>IFERROR(__xludf.DUMMYFUNCTION("GOOGLETRANSLATE(A30, ""en"", ""id"")"),"Jika seorang petarung sengaja membelakangi lawan selama pertarungan, apa aturannya?")</f>
        <v>Jika seorang petarung sengaja membelakangi lawan selama pertarungan, apa aturannya?</v>
      </c>
      <c r="G30" s="4" t="str">
        <f>IFERROR(__xludf.DUMMYFUNCTION("GOOGLETRANSLATE(B30, ""en"", ""id"")"),"A) Pembelaan yang diizinkan B) Peringatan karena tidak menghormati C) Lawan menang seketika D) Pertandingan dimulai kembali")</f>
        <v>A) Pembelaan yang diizinkan B) Peringatan karena tidak menghormati C) Lawan menang seketika D) Pertandingan dimulai kembali</v>
      </c>
      <c r="H30" s="4" t="str">
        <f>IFERROR(__xludf.DUMMYFUNCTION("GOOGLETRANSLATE(C30, ""en"", ""id"")"),"B) Peringatan untuk penghinaan")</f>
        <v>B) Peringatan untuk penghinaan</v>
      </c>
      <c r="I30" s="4" t="str">
        <f>IFERROR(__xludf.DUMMYFUNCTION("GOOGLETRANSLATE(D30, ""en"", ""id"")"),"Membalikkan badan menunjukkan penghindaran, bukan keberanian. Tindakan itu akan mendapat peringatan tidak hormat.")</f>
        <v>Membalikkan badan menunjukkan penghindaran, bukan keberanian. Tindakan itu akan mendapat peringatan tidak hormat.</v>
      </c>
    </row>
    <row r="31">
      <c r="A31" s="10" t="s">
        <v>1679</v>
      </c>
      <c r="B31" s="10" t="s">
        <v>1680</v>
      </c>
      <c r="C31" s="10" t="s">
        <v>1681</v>
      </c>
      <c r="D31" s="10" t="s">
        <v>1682</v>
      </c>
      <c r="F31" s="4" t="str">
        <f>IFERROR(__xludf.DUMMYFUNCTION("GOOGLETRANSLATE(A31, ""en"", ""id"")"),"Jika wasit mencurigai adanya kolusi antara petarung, tindakan apa yang diambil?")</f>
        <v>Jika wasit mencurigai adanya kolusi antara petarung, tindakan apa yang diambil?</v>
      </c>
      <c r="G31" s="4" t="str">
        <f>IFERROR(__xludf.DUMMYFUNCTION("GOOGLETRANSLATE(B31, ""en"", ""id"")"),"A) Penonton diminta untuk memutuskan B) Pertandingan dihentikan segera C) Peringatan dikeluarkan D) Lawan dipilih untuk menang")</f>
        <v>A) Penonton diminta untuk memutuskan B) Pertandingan dihentikan segera C) Peringatan dikeluarkan D) Lawan dipilih untuk menang</v>
      </c>
      <c r="H31" s="4" t="str">
        <f>IFERROR(__xludf.DUMMYFUNCTION("GOOGLETRANSLATE(C31, ""en"", ""id"")"),"B) Pertandingan dihentikan segera")</f>
        <v>B) Pertandingan dihentikan segera</v>
      </c>
      <c r="I31" s="4" t="str">
        <f>IFERROR(__xludf.DUMMYFUNCTION("GOOGLETRANSLATE(D31, ""en"", ""id"")"),"Peresean harus mewakili kehormatan dan keadilan. Kecurigaan kolusi apa pun harus segera dihentikan demi menjaga integritas.")</f>
        <v>Peresean harus mewakili kehormatan dan keadilan. Kecurigaan kolusi apa pun harus segera dihentikan demi menjaga integritas.</v>
      </c>
    </row>
    <row r="32">
      <c r="A32" s="10" t="s">
        <v>1683</v>
      </c>
      <c r="B32" s="10" t="s">
        <v>1684</v>
      </c>
      <c r="C32" s="10" t="s">
        <v>1685</v>
      </c>
      <c r="D32" s="10" t="s">
        <v>1686</v>
      </c>
      <c r="F32" s="4" t="str">
        <f>IFERROR(__xludf.DUMMYFUNCTION("GOOGLETRANSLATE(A32, ""en"", ""id"")"),"Jika seorang petarung dengan sengaja menunda serangan setelah tiga kali ketukan drum, apa hukumnya?")</f>
        <v>Jika seorang petarung dengan sengaja menunda serangan setelah tiga kali ketukan drum, apa hukumnya?</v>
      </c>
      <c r="G32" s="4" t="str">
        <f>IFERROR(__xludf.DUMMYFUNCTION("GOOGLETRANSLATE(B32, ""en"", ""id"")"),"A) Peringatan untuk mengulur waktu B) Diizinkan sebagai strategi C) Pertandingan diatur ulang D) Lawan menang")</f>
        <v>A) Peringatan untuk mengulur waktu B) Diizinkan sebagai strategi C) Pertandingan diatur ulang D) Lawan menang</v>
      </c>
      <c r="H32" s="4" t="str">
        <f>IFERROR(__xludf.DUMMYFUNCTION("GOOGLETRANSLATE(C32, ""en"", ""id"")"),"A) Peringatan untuk macet")</f>
        <v>A) Peringatan untuk macet</v>
      </c>
      <c r="I32" s="4" t="str">
        <f>IFERROR(__xludf.DUMMYFUNCTION("GOOGLETRANSLATE(D32, ""en"", ""id"")"),"Aturan Peresean mengharuskan keterlibatan aktif. Penundaan yang berlebihan hanya akan mendapatkan peringatan, bukan kerugian langsung.")</f>
        <v>Aturan Peresean mengharuskan keterlibatan aktif. Penundaan yang berlebihan hanya akan mendapatkan peringatan, bukan kerugian langsung.</v>
      </c>
    </row>
    <row r="33">
      <c r="A33" s="10" t="s">
        <v>1687</v>
      </c>
      <c r="B33" s="10" t="s">
        <v>1688</v>
      </c>
      <c r="C33" s="10" t="s">
        <v>1689</v>
      </c>
      <c r="D33" s="10" t="s">
        <v>1690</v>
      </c>
      <c r="F33" s="4" t="str">
        <f>IFERROR(__xludf.DUMMYFUNCTION("GOOGLETRANSLATE(A33, ""en"", ""id"")"),"Jika seorang petarung melepas penutup kepalanya di tengah pertandingan, apa tindakan resminya?")</f>
        <v>Jika seorang petarung melepas penutup kepalanya di tengah pertandingan, apa tindakan resminya?</v>
      </c>
      <c r="G33" s="4" t="str">
        <f>IFERROR(__xludf.DUMMYFUNCTION("GOOGLETRANSLATE(B33, ""en"", ""id"")"),"A) Terus bertarung B) Jeda pertandingan C) Lawan menang D) Petarung didiskualifikasi")</f>
        <v>A) Terus bertarung B) Jeda pertandingan C) Lawan menang D) Petarung didiskualifikasi</v>
      </c>
      <c r="H33" s="4" t="str">
        <f>IFERROR(__xludf.DUMMYFUNCTION("GOOGLETRANSLATE(C33, ""en"", ""id"")"),"B) Jeda pertandingan")</f>
        <v>B) Jeda pertandingan</v>
      </c>
      <c r="I33" s="4" t="str">
        <f>IFERROR(__xludf.DUMMYFUNCTION("GOOGLETRANSLATE(D33, ""en"", ""id"")"),"Pelindung kepala adalah alat pelindung diri. Melepasnya akan memaksa wasit untuk menghentikan pertandingan demi keselamatan.")</f>
        <v>Pelindung kepala adalah alat pelindung diri. Melepasnya akan memaksa wasit untuk menghentikan pertandingan demi keselamatan.</v>
      </c>
    </row>
    <row r="34">
      <c r="A34" s="10" t="s">
        <v>1691</v>
      </c>
      <c r="B34" s="10" t="s">
        <v>1692</v>
      </c>
      <c r="C34" s="10" t="s">
        <v>1693</v>
      </c>
      <c r="D34" s="10" t="s">
        <v>1694</v>
      </c>
      <c r="F34" s="4" t="str">
        <f>IFERROR(__xludf.DUMMYFUNCTION("GOOGLETRANSLATE(A34, ""en"", ""id"")"),"Jika penabuh drum memberi tanda berhenti sebelum wasit melakukannya, apa yang terjadi?")</f>
        <v>Jika penabuh drum memberi tanda berhenti sebelum wasit melakukannya, apa yang terjadi?</v>
      </c>
      <c r="G34" s="4" t="str">
        <f>IFERROR(__xludf.DUMMYFUNCTION("GOOGLETRANSLATE(B34, ""en"", ""id"")"),"A) Pertandingan dihentikan B) Pertandingan berlanjut sampai wasit memberi sinyal C) Lawan menang D) Penonton turun tangan")</f>
        <v>A) Pertandingan dihentikan B) Pertandingan berlanjut sampai wasit memberi sinyal C) Lawan menang D) Penonton turun tangan</v>
      </c>
      <c r="H34" s="4" t="str">
        <f>IFERROR(__xludf.DUMMYFUNCTION("GOOGLETRANSLATE(C34, ""en"", ""id"")"),"B) Lanjutkan sampai wasit memberi tanda")</f>
        <v>B) Lanjutkan sampai wasit memberi tanda</v>
      </c>
      <c r="I34" s="4" t="str">
        <f>IFERROR(__xludf.DUMMYFUNCTION("GOOGLETRANSLATE(D34, ""en"", ""id"")"),"Wewenang wasit lebih tinggi daripada wewenang penabuh drum. Pertarungan hanya berakhir atas perintah wasit.")</f>
        <v>Wewenang wasit lebih tinggi daripada wewenang penabuh drum. Pertarungan hanya berakhir atas perintah wasit.</v>
      </c>
    </row>
    <row r="35">
      <c r="A35" s="10" t="s">
        <v>1695</v>
      </c>
      <c r="B35" s="10" t="s">
        <v>1696</v>
      </c>
      <c r="C35" s="10" t="s">
        <v>1697</v>
      </c>
      <c r="D35" s="10" t="s">
        <v>1698</v>
      </c>
      <c r="F35" s="4" t="str">
        <f>IFERROR(__xludf.DUMMYFUNCTION("GOOGLETRANSLATE(A35, ""en"", ""id"")"),"Apa yang terjadi jika satu petarung berulang kali berputar tanpa menyerang?")</f>
        <v>Apa yang terjadi jika satu petarung berulang kali berputar tanpa menyerang?</v>
      </c>
      <c r="G35" s="4" t="str">
        <f>IFERROR(__xludf.DUMMYFUNCTION("GOOGLETRANSLATE(B35, ""en"", ""id"")"),"A) Lawan menang B) Petarung diperingatkan karena menghindar C) Pertandingan dimulai kembali D) Tidak ada aksi")</f>
        <v>A) Lawan menang B) Petarung diperingatkan karena menghindar C) Pertandingan dimulai kembali D) Tidak ada aksi</v>
      </c>
      <c r="H35" s="4" t="str">
        <f>IFERROR(__xludf.DUMMYFUNCTION("GOOGLETRANSLATE(C35, ""en"", ""id"")"),"B) Pejuang diperingatkan untuk menghindar")</f>
        <v>B) Pejuang diperingatkan untuk menghindar</v>
      </c>
      <c r="I35" s="4" t="str">
        <f>IFERROR(__xludf.DUMMYFUNCTION("GOOGLETRANSLATE(D35, ""en"", ""id"")"),"Berputar-putar secara berlebihan tanpa serangan dianggap sebagai menghindari pertempuran dan akan mendapat peringatan.")</f>
        <v>Berputar-putar secara berlebihan tanpa serangan dianggap sebagai menghindari pertempuran dan akan mendapat peringatan.</v>
      </c>
    </row>
    <row r="36">
      <c r="A36" s="10" t="s">
        <v>1699</v>
      </c>
      <c r="B36" s="10" t="s">
        <v>1700</v>
      </c>
      <c r="C36" s="10" t="s">
        <v>1701</v>
      </c>
      <c r="D36" s="10" t="s">
        <v>1702</v>
      </c>
      <c r="F36" s="4" t="str">
        <f>IFERROR(__xludf.DUMMYFUNCTION("GOOGLETRANSLATE(A36, ""en"", ""id"")"),"Jika perisai terlepas dari tangan karena keringat, apa hukumnya?")</f>
        <v>Jika perisai terlepas dari tangan karena keringat, apa hukumnya?</v>
      </c>
      <c r="G36" s="4" t="str">
        <f>IFERROR(__xludf.DUMMYFUNCTION("GOOGLETRANSLATE(B36, ""en"", ""id"")"),"A) Lawan menang seketika B) Pertandingan dihentikan sementara untuk mengembalikan perisai C) Diperbolehkan melanjutkan pertandingan tanpa perisai D) Wasit memutuskan")</f>
        <v>A) Lawan menang seketika B) Pertandingan dihentikan sementara untuk mengembalikan perisai C) Diperbolehkan melanjutkan pertandingan tanpa perisai D) Wasit memutuskan</v>
      </c>
      <c r="H36" s="4" t="str">
        <f>IFERROR(__xludf.DUMMYFUNCTION("GOOGLETRANSLATE(C36, ""en"", ""id"")"),"B) Pertandingan dijeda untuk mengembalikan perisai")</f>
        <v>B) Pertandingan dijeda untuk mengembalikan perisai</v>
      </c>
      <c r="I36" s="4" t="str">
        <f>IFERROR(__xludf.DUMMYFUNCTION("GOOGLETRANSLATE(D36, ""en"", ""id"")"),"Keamanan mengharuskan petarung memiliki tongkat dan perisai. Pertandingan dihentikan sementara hingga perisai dipulihkan.")</f>
        <v>Keamanan mengharuskan petarung memiliki tongkat dan perisai. Pertandingan dihentikan sementara hingga perisai dipulihkan.</v>
      </c>
    </row>
    <row r="37">
      <c r="A37" s="10" t="s">
        <v>1703</v>
      </c>
      <c r="B37" s="10" t="s">
        <v>1704</v>
      </c>
      <c r="C37" s="10" t="s">
        <v>1705</v>
      </c>
      <c r="D37" s="10" t="s">
        <v>1706</v>
      </c>
      <c r="F37" s="4" t="str">
        <f>IFERROR(__xludf.DUMMYFUNCTION("GOOGLETRANSLATE(A37, ""en"", ""id"")"),"Jika seorang petarung sengaja mendorong lawan dan tidak menyerang, apa yang terjadi?")</f>
        <v>Jika seorang petarung sengaja mendorong lawan dan tidak menyerang, apa yang terjadi?</v>
      </c>
      <c r="G37" s="4" t="str">
        <f>IFERROR(__xludf.DUMMYFUNCTION("GOOGLETRANSLATE(B37, ""en"", ""id"")"),"A) Diperbolehkan sebagai taktik B) Pelanggaran, peringatan dikeluarkan C) Pertandingan diatur ulang D) Lawan menang")</f>
        <v>A) Diperbolehkan sebagai taktik B) Pelanggaran, peringatan dikeluarkan C) Pertandingan diatur ulang D) Lawan menang</v>
      </c>
      <c r="H37" s="4" t="str">
        <f>IFERROR(__xludf.DUMMYFUNCTION("GOOGLETRANSLATE(C37, ""en"", ""id"")"),"B) Pelanggaran, peringatan dikeluarkan")</f>
        <v>B) Pelanggaran, peringatan dikeluarkan</v>
      </c>
      <c r="I37" s="4" t="str">
        <f>IFERROR(__xludf.DUMMYFUNCTION("GOOGLETRANSLATE(D37, ""en"", ""id"")"),"Peresean mengutamakan pukulan, bukan gulat. Mendorong adalah pelanggaran yang akan mendapat peringatan.")</f>
        <v>Peresean mengutamakan pukulan, bukan gulat. Mendorong adalah pelanggaran yang akan mendapat peringatan.</v>
      </c>
    </row>
    <row r="38">
      <c r="A38" s="10" t="s">
        <v>1707</v>
      </c>
      <c r="B38" s="10" t="s">
        <v>1708</v>
      </c>
      <c r="C38" s="10" t="s">
        <v>1709</v>
      </c>
      <c r="D38" s="10" t="s">
        <v>1710</v>
      </c>
      <c r="F38" s="4" t="str">
        <f>IFERROR(__xludf.DUMMYFUNCTION("GOOGLETRANSLATE(A38, ""en"", ""id"")"),"Jika kedua petarung berdiri tak bergerak selama lebih dari satu menit, apa aturannya?")</f>
        <v>Jika kedua petarung berdiri tak bergerak selama lebih dari satu menit, apa aturannya?</v>
      </c>
      <c r="G38" s="4" t="str">
        <f>IFERROR(__xludf.DUMMYFUNCTION("GOOGLETRANSLATE(B38, ""en"", ""id"")"),"A) Pertandingan dimulai kembali B) Keduanya diperingatkan karena tidak aktif C) Lawan dipilih sebagai pemenang D) Pertandingan dibatalkan")</f>
        <v>A) Pertandingan dimulai kembali B) Keduanya diperingatkan karena tidak aktif C) Lawan dipilih sebagai pemenang D) Pertandingan dibatalkan</v>
      </c>
      <c r="H38" s="4" t="str">
        <f>IFERROR(__xludf.DUMMYFUNCTION("GOOGLETRANSLATE(C38, ""en"", ""id"")"),"B) Keduanya diperingatkan karena tidak aktif")</f>
        <v>B) Keduanya diperingatkan karena tidak aktif</v>
      </c>
      <c r="I38" s="4" t="str">
        <f>IFERROR(__xludf.DUMMYFUNCTION("GOOGLETRANSLATE(D38, ""en"", ""id"")"),"Kurangnya keterlibatan melanggar semangat Peresean, jadi kedua petarung diperingatkan.")</f>
        <v>Kurangnya keterlibatan melanggar semangat Peresean, jadi kedua petarung diperingatkan.</v>
      </c>
    </row>
    <row r="39">
      <c r="A39" s="10" t="s">
        <v>1711</v>
      </c>
      <c r="B39" s="10" t="s">
        <v>1712</v>
      </c>
      <c r="C39" s="10" t="s">
        <v>1713</v>
      </c>
      <c r="D39" s="10" t="s">
        <v>1714</v>
      </c>
      <c r="F39" s="4" t="str">
        <f>IFERROR(__xludf.DUMMYFUNCTION("GOOGLETRANSLATE(A39, ""en"", ""id"")"),"Jika seorang petarung menyerang setelah wasit memasuki ring, apa hasilnya?")</f>
        <v>Jika seorang petarung menyerang setelah wasit memasuki ring, apa hasilnya?</v>
      </c>
      <c r="G39" s="4" t="str">
        <f>IFERROR(__xludf.DUMMYFUNCTION("GOOGLETRANSLATE(B39, ""en"", ""id"")"),"A) Serangan sah B) Pertandingan dijeda C) Petarung didiskualifikasi D) Lawan menang")</f>
        <v>A) Serangan sah B) Pertandingan dijeda C) Petarung didiskualifikasi D) Lawan menang</v>
      </c>
      <c r="H39" s="4" t="str">
        <f>IFERROR(__xludf.DUMMYFUNCTION("GOOGLETRANSLATE(C39, ""en"", ""id"")"),"C) Petarung didiskualifikasi")</f>
        <v>C) Petarung didiskualifikasi</v>
      </c>
      <c r="I39" s="4" t="str">
        <f>IFERROR(__xludf.DUMMYFUNCTION("GOOGLETRANSLATE(D39, ""en"", ""id"")"),"Menyerang setelah wasit masuk dianggap sangat tidak sopan dan mengakibatkan diskualifikasi.")</f>
        <v>Menyerang setelah wasit masuk dianggap sangat tidak sopan dan mengakibatkan diskualifikasi.</v>
      </c>
    </row>
    <row r="40">
      <c r="A40" s="10" t="s">
        <v>1715</v>
      </c>
      <c r="B40" s="10" t="s">
        <v>1716</v>
      </c>
      <c r="C40" s="10" t="s">
        <v>1717</v>
      </c>
      <c r="D40" s="10" t="s">
        <v>1718</v>
      </c>
      <c r="F40" s="4" t="str">
        <f>IFERROR(__xludf.DUMMYFUNCTION("GOOGLETRANSLATE(A40, ""en"", ""id"")"),"Jika perisai menyentuh tanah saat melakukan tangkisan, apa hukumnya?")</f>
        <v>Jika perisai menyentuh tanah saat melakukan tangkisan, apa hukumnya?</v>
      </c>
      <c r="G40" s="4" t="str">
        <f>IFERROR(__xludf.DUMMYFUNCTION("GOOGLETRANSLATE(B40, ""en"", ""id"")"),"A) Pertahanan diperbolehkan B) Peringatan dikeluarkan C) Lawan menang D) Pertandingan dimulai kembali")</f>
        <v>A) Pertahanan diperbolehkan B) Peringatan dikeluarkan C) Lawan menang D) Pertandingan dimulai kembali</v>
      </c>
      <c r="H40" s="4" t="str">
        <f>IFERROR(__xludf.DUMMYFUNCTION("GOOGLETRANSLATE(C40, ""en"", ""id"")"),"A) Pembelaan yang diizinkan")</f>
        <v>A) Pembelaan yang diizinkan</v>
      </c>
      <c r="I40" s="4" t="str">
        <f>IFERROR(__xludf.DUMMYFUNCTION("GOOGLETRANSLATE(D40, ""en"", ""id"")"),"Perisai yang menyentuh tanah bukan pelanggaran asalkan dapat menangkal secara efektif.")</f>
        <v>Perisai yang menyentuh tanah bukan pelanggaran asalkan dapat menangkal secara efektif.</v>
      </c>
    </row>
    <row r="41">
      <c r="A41" s="10" t="s">
        <v>1719</v>
      </c>
      <c r="B41" s="10" t="s">
        <v>1720</v>
      </c>
      <c r="C41" s="10" t="s">
        <v>1611</v>
      </c>
      <c r="D41" s="10" t="s">
        <v>1721</v>
      </c>
      <c r="F41" s="4" t="str">
        <f>IFERROR(__xludf.DUMMYFUNCTION("GOOGLETRANSLATE(A41, ""en"", ""id"")"),"Jika seorang petarung berulang kali meneriakkan hinaan kepada lawan, apa aturannya?")</f>
        <v>Jika seorang petarung berulang kali meneriakkan hinaan kepada lawan, apa aturannya?</v>
      </c>
      <c r="G41" s="4" t="str">
        <f>IFERROR(__xludf.DUMMYFUNCTION("GOOGLETRANSLATE(B41, ""en"", ""id"")"),"A) Diperbolehkan sebagai pengalih perhatian B) Peringatan atas ketidakhormatan C) Lawan menang D) Pertandingan dihentikan sementara")</f>
        <v>A) Diperbolehkan sebagai pengalih perhatian B) Peringatan atas ketidakhormatan C) Lawan menang D) Pertandingan dihentikan sementara</v>
      </c>
      <c r="H41" s="4" t="str">
        <f>IFERROR(__xludf.DUMMYFUNCTION("GOOGLETRANSLATE(C41, ""en"", ""id"")"),"B) Peringatan untuk penghinaan")</f>
        <v>B) Peringatan untuk penghinaan</v>
      </c>
      <c r="I41" s="4" t="str">
        <f>IFERROR(__xludf.DUMMYFUNCTION("GOOGLETRANSLATE(D41, ""en"", ""id"")"),"Ketidakhormatan verbal melanggar kode kehormatan Peresean. Peringatan dikeluarkan.")</f>
        <v>Ketidakhormatan verbal melanggar kode kehormatan Peresean. Peringatan dikeluarkan.</v>
      </c>
    </row>
    <row r="42">
      <c r="A42" s="10" t="s">
        <v>1722</v>
      </c>
      <c r="B42" s="10" t="s">
        <v>1723</v>
      </c>
      <c r="C42" s="10" t="s">
        <v>138</v>
      </c>
      <c r="D42" s="10" t="s">
        <v>1724</v>
      </c>
      <c r="F42" s="4" t="str">
        <f>IFERROR(__xludf.DUMMYFUNCTION("GOOGLETRANSLATE(A42, ""en"", ""id"")"),"Apa yang terjadi jika kedua petarung sengaja menjatuhkan tongkat mereka sebagai bentuk protes?")</f>
        <v>Apa yang terjadi jika kedua petarung sengaja menjatuhkan tongkat mereka sebagai bentuk protes?</v>
      </c>
      <c r="G42" s="4" t="str">
        <f>IFERROR(__xludf.DUMMYFUNCTION("GOOGLETRANSLATE(B42, ""en"", ""id"")"),"A) Pertandingan berakhir B) Keduanya didiskualifikasi C) Para tetua turun tangan D) Pertandingan dimulai ulang")</f>
        <v>A) Pertandingan berakhir B) Keduanya didiskualifikasi C) Para tetua turun tangan D) Pertandingan dimulai ulang</v>
      </c>
      <c r="H42" s="4" t="str">
        <f>IFERROR(__xludf.DUMMYFUNCTION("GOOGLETRANSLATE(C42, ""en"", ""id"")"),"B) Keduanya didiskualifikasi")</f>
        <v>B) Keduanya didiskualifikasi</v>
      </c>
      <c r="I42" s="4" t="str">
        <f>IFERROR(__xludf.DUMMYFUNCTION("GOOGLETRANSLATE(D42, ""en"", ""id"")"),"Menolak bertarung berarti mencemarkan tradisi dan berujung pada diskualifikasi.")</f>
        <v>Menolak bertarung berarti mencemarkan tradisi dan berujung pada diskualifikasi.</v>
      </c>
    </row>
    <row r="43">
      <c r="A43" s="10" t="s">
        <v>1725</v>
      </c>
      <c r="B43" s="10" t="s">
        <v>1726</v>
      </c>
      <c r="C43" s="10" t="s">
        <v>1727</v>
      </c>
      <c r="D43" s="10" t="s">
        <v>1728</v>
      </c>
      <c r="F43" s="4" t="str">
        <f>IFERROR(__xludf.DUMMYFUNCTION("GOOGLETRANSLATE(A43, ""en"", ""id"")"),"Jika wasit tidak yakin siapa yang menyerang pertama kali, apa yang dilakukan?")</f>
        <v>Jika wasit tidak yakin siapa yang menyerang pertama kali, apa yang dilakukan?</v>
      </c>
      <c r="G43" s="4" t="str">
        <f>IFERROR(__xludf.DUMMYFUNCTION("GOOGLETRANSLATE(B43, ""en"", ""id"")"),"A) Suara penonton B) Pertandingan dihentikan sementara dan dimulai kembali C) Lawan mendapat poin D) Keduanya dihukum")</f>
        <v>A) Suara penonton B) Pertandingan dihentikan sementara dan dimulai kembali C) Lawan mendapat poin D) Keduanya dihukum</v>
      </c>
      <c r="H43" s="4" t="str">
        <f>IFERROR(__xludf.DUMMYFUNCTION("GOOGLETRANSLATE(C43, ""en"", ""id"")"),"B) Pertandingan dihentikan sementara dan dimulai kembali")</f>
        <v>B) Pertandingan dihentikan sementara dan dimulai kembali</v>
      </c>
      <c r="I43" s="4" t="str">
        <f>IFERROR(__xludf.DUMMYFUNCTION("GOOGLETRANSLATE(D43, ""en"", ""id"")"),"Dalam situasi yang tidak jelas, keadilan dipulihkan dengan memulai kembali pertukaran.")</f>
        <v>Dalam situasi yang tidak jelas, keadilan dipulihkan dengan memulai kembali pertukaran.</v>
      </c>
    </row>
    <row r="44">
      <c r="A44" s="10" t="s">
        <v>1729</v>
      </c>
      <c r="B44" s="10" t="s">
        <v>1730</v>
      </c>
      <c r="C44" s="10" t="s">
        <v>1731</v>
      </c>
      <c r="D44" s="10" t="s">
        <v>1732</v>
      </c>
      <c r="F44" s="4" t="str">
        <f>IFERROR(__xludf.DUMMYFUNCTION("GOOGLETRANSLATE(A44, ""en"", ""id"")"),"Jika seorang petarung memutar tongkatnya dengan gerakan mencolok sebelum menyerang, apa hukumnya?")</f>
        <v>Jika seorang petarung memutar tongkatnya dengan gerakan mencolok sebelum menyerang, apa hukumnya?</v>
      </c>
      <c r="G44" s="4" t="str">
        <f>IFERROR(__xludf.DUMMYFUNCTION("GOOGLETRANSLATE(B44, ""en"", ""id"")"),"A) Diperbolehkan sebagai gaya B) Peringatan karena membuang-buang waktu C) Lawan menang D) Wasit memberikan hukuman")</f>
        <v>A) Diperbolehkan sebagai gaya B) Peringatan karena membuang-buang waktu C) Lawan menang D) Wasit memberikan hukuman</v>
      </c>
      <c r="H44" s="4" t="str">
        <f>IFERROR(__xludf.DUMMYFUNCTION("GOOGLETRANSLATE(C44, ""en"", ""id"")"),"A) Diizinkan sebagai gaya")</f>
        <v>A) Diizinkan sebagai gaya</v>
      </c>
      <c r="I44" s="4" t="str">
        <f>IFERROR(__xludf.DUMMYFUNCTION("GOOGLETRANSLATE(D44, ""en"", ""id"")"),"Pertunjukan diperbolehkan kecuali jika menunda pertarungan secara berlebihan.")</f>
        <v>Pertunjukan diperbolehkan kecuali jika menunda pertarungan secara berlebihan.</v>
      </c>
    </row>
    <row r="45">
      <c r="A45" s="10" t="s">
        <v>1733</v>
      </c>
      <c r="B45" s="10" t="s">
        <v>1734</v>
      </c>
      <c r="C45" s="10" t="s">
        <v>1735</v>
      </c>
      <c r="D45" s="10" t="s">
        <v>1736</v>
      </c>
      <c r="F45" s="4" t="str">
        <f>IFERROR(__xludf.DUMMYFUNCTION("GOOGLETRANSLATE(A45, ""en"", ""id"")"),"Jika seorang petarung dengan sengaja menolak memegang perisai, apa yang terjadi?")</f>
        <v>Jika seorang petarung dengan sengaja menolak memegang perisai, apa yang terjadi?</v>
      </c>
      <c r="G45" s="4" t="str">
        <f>IFERROR(__xludf.DUMMYFUNCTION("GOOGLETRANSLATE(B45, ""en"", ""id"")"),"A) Pertandingan berlanjut B) Wasit mengeluarkan peringatan C) Petarung didiskualifikasi D) Lawan menang")</f>
        <v>A) Pertandingan berlanjut B) Wasit mengeluarkan peringatan C) Petarung didiskualifikasi D) Lawan menang</v>
      </c>
      <c r="H45" s="4" t="str">
        <f>IFERROR(__xludf.DUMMYFUNCTION("GOOGLETRANSLATE(C45, ""en"", ""id"")"),"B) Wasit mengeluarkan peringatan")</f>
        <v>B) Wasit mengeluarkan peringatan</v>
      </c>
      <c r="I45" s="4" t="str">
        <f>IFERROR(__xludf.DUMMYFUNCTION("GOOGLETRANSLATE(D45, ""en"", ""id"")"),"Bertarung tanpa perisai melanggar keseimbangan; peringatan dikeluarkan jika tidak mematuhi.")</f>
        <v>Bertarung tanpa perisai melanggar keseimbangan; peringatan dikeluarkan jika tidak mematuhi.</v>
      </c>
    </row>
    <row r="46">
      <c r="A46" s="10" t="s">
        <v>1737</v>
      </c>
      <c r="B46" s="10" t="s">
        <v>1738</v>
      </c>
      <c r="C46" s="10" t="s">
        <v>1255</v>
      </c>
      <c r="D46" s="10" t="s">
        <v>1739</v>
      </c>
      <c r="F46" s="4" t="str">
        <f>IFERROR(__xludf.DUMMYFUNCTION("GOOGLETRANSLATE(A46, ""en"", ""id"")"),"Jika seorang petarung berdarah tetapi menyembunyikannya di balik pakaian, siapa yang memutuskan?")</f>
        <v>Jika seorang petarung berdarah tetapi menyembunyikannya di balik pakaian, siapa yang memutuskan?</v>
      </c>
      <c r="G46" s="4" t="str">
        <f>IFERROR(__xludf.DUMMYFUNCTION("GOOGLETRANSLATE(B46, ""en"", ""id"")"),"A) Petarung B) Wasit C) Lawan D) Penabuh Drum")</f>
        <v>A) Petarung B) Wasit C) Lawan D) Penabuh Drum</v>
      </c>
      <c r="H46" s="4" t="str">
        <f>IFERROR(__xludf.DUMMYFUNCTION("GOOGLETRANSLATE(C46, ""en"", ""id"")"),"B) Wasit")</f>
        <v>B) Wasit</v>
      </c>
      <c r="I46" s="4" t="str">
        <f>IFERROR(__xludf.DUMMYFUNCTION("GOOGLETRANSLATE(D46, ""en"", ""id"")"),"Wasit memeriksa luka. Menyembunyikan darah adalah sia-sia, karena wasit yang memutuskan kelanjutannya.")</f>
        <v>Wasit memeriksa luka. Menyembunyikan darah adalah sia-sia, karena wasit yang memutuskan kelanjutannya.</v>
      </c>
    </row>
    <row r="47">
      <c r="A47" s="10" t="s">
        <v>1740</v>
      </c>
      <c r="B47" s="10" t="s">
        <v>1741</v>
      </c>
      <c r="C47" s="10" t="s">
        <v>1742</v>
      </c>
      <c r="D47" s="10" t="s">
        <v>1743</v>
      </c>
      <c r="F47" s="4" t="str">
        <f>IFERROR(__xludf.DUMMYFUNCTION("GOOGLETRANSLATE(A47, ""en"", ""id"")"),"Bagaimana jika sinyal ketukan drum terus berlanjut setelah wasit berhenti?")</f>
        <v>Bagaimana jika sinyal ketukan drum terus berlanjut setelah wasit berhenti?</v>
      </c>
      <c r="G47" s="4" t="str">
        <f>IFERROR(__xludf.DUMMYFUNCTION("GOOGLETRANSLATE(B47, ""en"", ""id"")"),"A) Pertandingan berlanjut B) Perintah wasit berlaku C) Lawan menang D) Pertandingan dibatalkan")</f>
        <v>A) Pertandingan berlanjut B) Perintah wasit berlaku C) Lawan menang D) Pertandingan dibatalkan</v>
      </c>
      <c r="H47" s="4" t="str">
        <f>IFERROR(__xludf.DUMMYFUNCTION("GOOGLETRANSLATE(C47, ""en"", ""id"")"),"B) Perintah wasit yang berlaku")</f>
        <v>B) Perintah wasit yang berlaku</v>
      </c>
      <c r="I47" s="4" t="str">
        <f>IFERROR(__xludf.DUMMYFUNCTION("GOOGLETRANSLATE(D47, ""en"", ""id"")"),"Pemain drum mendukung tetapi tidak dapat mengabaikan perintah wasit.")</f>
        <v>Pemain drum mendukung tetapi tidak dapat mengabaikan perintah wasit.</v>
      </c>
    </row>
    <row r="48">
      <c r="A48" s="10" t="s">
        <v>1744</v>
      </c>
      <c r="B48" s="10" t="s">
        <v>1745</v>
      </c>
      <c r="C48" s="10" t="s">
        <v>1746</v>
      </c>
      <c r="D48" s="10" t="s">
        <v>1747</v>
      </c>
      <c r="F48" s="4" t="str">
        <f>IFERROR(__xludf.DUMMYFUNCTION("GOOGLETRANSLATE(A48, ""en"", ""id"")"),"Jika seorang petarung sengaja bersandar pada perisainya tanpa menyerang, apa yang terjadi?")</f>
        <v>Jika seorang petarung sengaja bersandar pada perisainya tanpa menyerang, apa yang terjadi?</v>
      </c>
      <c r="G48" s="4" t="str">
        <f>IFERROR(__xludf.DUMMYFUNCTION("GOOGLETRANSLATE(B48, ""en"", ""id"")"),"A) Diizinkan B) Peringatan karena tidak aktif C) Lawan menang D) Pertandingan dimulai kembali")</f>
        <v>A) Diizinkan B) Peringatan karena tidak aktif C) Lawan menang D) Pertandingan dimulai kembali</v>
      </c>
      <c r="H48" s="4" t="str">
        <f>IFERROR(__xludf.DUMMYFUNCTION("GOOGLETRANSLATE(C48, ""en"", ""id"")"),"B) Peringatan untuk tidak aktif")</f>
        <v>B) Peringatan untuk tidak aktif</v>
      </c>
      <c r="I48" s="4" t="str">
        <f>IFERROR(__xludf.DUMMYFUNCTION("GOOGLETRANSLATE(D48, ""en"", ""id"")"),"Pertahanan pasif tidak dianjurkan. Peringatan dikeluarkan untuk menghindari pertempuran.")</f>
        <v>Pertahanan pasif tidak dianjurkan. Peringatan dikeluarkan untuk menghindari pertempuran.</v>
      </c>
    </row>
    <row r="49">
      <c r="A49" s="10" t="s">
        <v>1748</v>
      </c>
      <c r="B49" s="10" t="s">
        <v>1749</v>
      </c>
      <c r="C49" s="10" t="s">
        <v>1646</v>
      </c>
      <c r="D49" s="10" t="s">
        <v>1750</v>
      </c>
      <c r="F49" s="4" t="str">
        <f>IFERROR(__xludf.DUMMYFUNCTION("GOOGLETRANSLATE(A49, ""en"", ""id"")"),"Jika kedua petarung menjatuhkan perisai mereka tetapi tetap menyerang, apa hukumnya?")</f>
        <v>Jika kedua petarung menjatuhkan perisai mereka tetapi tetap menyerang, apa hukumnya?</v>
      </c>
      <c r="G49" s="4" t="str">
        <f>IFERROR(__xludf.DUMMYFUNCTION("GOOGLETRANSLATE(B49, ""en"", ""id"")"),"A) Diizinkan B) Pertandingan dihentikan sementara C) Keduanya didiskualifikasi D) Lawan menang")</f>
        <v>A) Diizinkan B) Pertandingan dihentikan sementara C) Keduanya didiskualifikasi D) Lawan menang</v>
      </c>
      <c r="H49" s="4" t="str">
        <f>IFERROR(__xludf.DUMMYFUNCTION("GOOGLETRANSLATE(C49, ""en"", ""id"")"),"B) Pertandingan dijeda")</f>
        <v>B) Pertandingan dijeda</v>
      </c>
      <c r="I49" s="4" t="str">
        <f>IFERROR(__xludf.DUMMYFUNCTION("GOOGLETRANSLATE(D49, ""en"", ""id"")"),"Bertarung tanpa perisai melanggar aturan keselamatan. Pertandingan dihentikan sementara untuk mengembalikan perisai.")</f>
        <v>Bertarung tanpa perisai melanggar aturan keselamatan. Pertandingan dihentikan sementara untuk mengembalikan perisai.</v>
      </c>
    </row>
    <row r="50">
      <c r="A50" s="10" t="s">
        <v>1751</v>
      </c>
      <c r="B50" s="10" t="s">
        <v>1752</v>
      </c>
      <c r="C50" s="10" t="s">
        <v>1753</v>
      </c>
      <c r="D50" s="10" t="s">
        <v>1754</v>
      </c>
      <c r="F50" s="4" t="str">
        <f>IFERROR(__xludf.DUMMYFUNCTION("GOOGLETRANSLATE(A50, ""en"", ""id"")"),"Jika seorang petarung secara tidak sengaja menyerang wasit, apa yang terjadi?")</f>
        <v>Jika seorang petarung secara tidak sengaja menyerang wasit, apa yang terjadi?</v>
      </c>
      <c r="G50" s="4" t="str">
        <f>IFERROR(__xludf.DUMMYFUNCTION("GOOGLETRANSLATE(B50, ""en"", ""id"")"),"A) Peringatan B) Pertandingan dihentikan C) Petarung didiskualifikasi D) Lawan menang")</f>
        <v>A) Peringatan B) Pertandingan dihentikan C) Petarung didiskualifikasi D) Lawan menang</v>
      </c>
      <c r="H50" s="4" t="str">
        <f>IFERROR(__xludf.DUMMYFUNCTION("GOOGLETRANSLATE(C50, ""en"", ""id"")"),"A) Peringatan")</f>
        <v>A) Peringatan</v>
      </c>
      <c r="I50" s="4" t="str">
        <f>IFERROR(__xludf.DUMMYFUNCTION("GOOGLETRANSLATE(D50, ""en"", ""id"")"),"Pemogokan yang tidak disengaja akan mendapat peringatan kecuali dianggap disengaja.")</f>
        <v>Pemogokan yang tidak disengaja akan mendapat peringatan kecuali dianggap disengaja.</v>
      </c>
    </row>
    <row r="51">
      <c r="A51" s="10" t="s">
        <v>1755</v>
      </c>
      <c r="B51" s="10" t="s">
        <v>1756</v>
      </c>
      <c r="C51" s="10" t="s">
        <v>1757</v>
      </c>
      <c r="D51" s="10" t="s">
        <v>1758</v>
      </c>
      <c r="F51" s="4" t="str">
        <f>IFERROR(__xludf.DUMMYFUNCTION("GOOGLETRANSLATE(A51, ""en"", ""id"")"),"Jika seorang petarung berulang kali mengabaikan irama ketukan drum, apa hukumannya?")</f>
        <v>Jika seorang petarung berulang kali mengabaikan irama ketukan drum, apa hukumannya?</v>
      </c>
      <c r="G51" s="4" t="str">
        <f>IFERROR(__xludf.DUMMYFUNCTION("GOOGLETRANSLATE(B51, ""en"", ""id"")"),"A) Peringatan saja B) Lawan menang C) Wasit mendiskualifikasi D) Pertandingan dimulai kembali")</f>
        <v>A) Peringatan saja B) Lawan menang C) Wasit mendiskualifikasi D) Pertandingan dimulai kembali</v>
      </c>
      <c r="H51" s="4" t="str">
        <f>IFERROR(__xludf.DUMMYFUNCTION("GOOGLETRANSLATE(C51, ""en"", ""id"")"),"C) Wasit mendiskualifikasi")</f>
        <v>C) Wasit mendiskualifikasi</v>
      </c>
      <c r="I51" s="4" t="str">
        <f>IFERROR(__xludf.DUMMYFUNCTION("GOOGLETRANSLATE(D51, ""en"", ""id"")"),"Mengabaikan ritme merusak tatanan ritual, yang menyebabkan diskualifikasi setelah pelanggaran berulang.")</f>
        <v>Mengabaikan ritme merusak tatanan ritual, yang menyebabkan diskualifikasi setelah pelanggaran berulang.</v>
      </c>
    </row>
    <row r="52">
      <c r="A52" s="10" t="s">
        <v>1759</v>
      </c>
      <c r="B52" s="10" t="s">
        <v>1760</v>
      </c>
      <c r="C52" s="10" t="s">
        <v>236</v>
      </c>
      <c r="D52" s="10" t="s">
        <v>1761</v>
      </c>
      <c r="F52" s="4" t="str">
        <f>IFERROR(__xludf.DUMMYFUNCTION("GOOGLETRANSLATE(A52, ""en"", ""id"")"),"Jika seorang petarung sengaja menggunakan kedua sisi perisai dan tongkat secara bersamaan, apa hukumnya?")</f>
        <v>Jika seorang petarung sengaja menggunakan kedua sisi perisai dan tongkat secara bersamaan, apa hukumnya?</v>
      </c>
      <c r="G52" s="4" t="str">
        <f>IFERROR(__xludf.DUMMYFUNCTION("GOOGLETRANSLATE(B52, ""en"", ""id"")"),"A) Kombo yang diizinkan B) Peringatan C) Diskualifikasi D) Wasit memutuskan")</f>
        <v>A) Kombo yang diizinkan B) Peringatan C) Diskualifikasi D) Wasit memutuskan</v>
      </c>
      <c r="H52" s="4" t="str">
        <f>IFERROR(__xludf.DUMMYFUNCTION("GOOGLETRANSLATE(C52, ""en"", ""id"")"),"C) Diskualifikasi")</f>
        <v>C) Diskualifikasi</v>
      </c>
      <c r="I52" s="4" t="str">
        <f>IFERROR(__xludf.DUMMYFUNCTION("GOOGLETRANSLATE(D52, ""en"", ""id"")"),"Perisai tidak boleh digunakan untuk menyerang; menggabungkannya dengan tongkat adalah pelanggaran.")</f>
        <v>Perisai tidak boleh digunakan untuk menyerang; menggabungkannya dengan tongkat adalah pelanggaran.</v>
      </c>
    </row>
    <row r="53">
      <c r="A53" s="10" t="s">
        <v>1762</v>
      </c>
      <c r="B53" s="10" t="s">
        <v>1763</v>
      </c>
      <c r="C53" s="10" t="s">
        <v>1611</v>
      </c>
      <c r="D53" s="10" t="s">
        <v>1764</v>
      </c>
      <c r="F53" s="4" t="str">
        <f>IFERROR(__xludf.DUMMYFUNCTION("GOOGLETRANSLATE(A53, ""en"", ""id"")"),"Bagaimana jika seorang petarung berlutut untuk menghindari serangan?")</f>
        <v>Bagaimana jika seorang petarung berlutut untuk menghindari serangan?</v>
      </c>
      <c r="G53" s="4" t="str">
        <f>IFERROR(__xludf.DUMMYFUNCTION("GOOGLETRANSLATE(B53, ""en"", ""id"")"),"A) Pembelaan yang diizinkan B) Peringatan karena tidak menghormati C) Lawan menang seketika D) Pertandingan dihentikan sementara")</f>
        <v>A) Pembelaan yang diizinkan B) Peringatan karena tidak menghormati C) Lawan menang seketika D) Pertandingan dihentikan sementara</v>
      </c>
      <c r="H53" s="4" t="str">
        <f>IFERROR(__xludf.DUMMYFUNCTION("GOOGLETRANSLATE(C53, ""en"", ""id"")"),"B) Peringatan untuk penghinaan")</f>
        <v>B) Peringatan untuk penghinaan</v>
      </c>
      <c r="I53" s="4" t="str">
        <f>IFERROR(__xludf.DUMMYFUNCTION("GOOGLETRANSLATE(D53, ""en"", ""id"")"),"Berlutut untuk menghindar adalah tindakan pengecut, yang akan mendapatkan peringatan aib.")</f>
        <v>Berlutut untuk menghindar adalah tindakan pengecut, yang akan mendapatkan peringatan aib.</v>
      </c>
    </row>
    <row r="54">
      <c r="A54" s="10" t="s">
        <v>1765</v>
      </c>
      <c r="B54" s="10" t="s">
        <v>1766</v>
      </c>
      <c r="C54" s="10" t="s">
        <v>1298</v>
      </c>
      <c r="D54" s="10" t="s">
        <v>1767</v>
      </c>
      <c r="F54" s="4" t="str">
        <f>IFERROR(__xludf.DUMMYFUNCTION("GOOGLETRANSLATE(A54, ""en"", ""id"")"),"Jika seorang petarung menutupi wajahnya dengan tangan dan bukan perisai, apa yang terjadi?")</f>
        <v>Jika seorang petarung menutupi wajahnya dengan tangan dan bukan perisai, apa yang terjadi?</v>
      </c>
      <c r="G54" s="4" t="str">
        <f>IFERROR(__xludf.DUMMYFUNCTION("GOOGLETRANSLATE(B54, ""en"", ""id"")"),"A) Diizinkan B) Peringatan dikeluarkan C) Lawan menang D) Pertandingan dihentikan sementara")</f>
        <v>A) Diizinkan B) Peringatan dikeluarkan C) Lawan menang D) Pertandingan dihentikan sementara</v>
      </c>
      <c r="H54" s="4" t="str">
        <f>IFERROR(__xludf.DUMMYFUNCTION("GOOGLETRANSLATE(C54, ""en"", ""id"")"),"B) Peringatan dikeluarkan")</f>
        <v>B) Peringatan dikeluarkan</v>
      </c>
      <c r="I54" s="4" t="str">
        <f>IFERROR(__xludf.DUMMYFUNCTION("GOOGLETRANSLATE(D54, ""en"", ""id"")"),"Pemblokiran dengan tangan kosong melanggar aturan Peresean dan dapat mengakibatkan peringatan.")</f>
        <v>Pemblokiran dengan tangan kosong melanggar aturan Peresean dan dapat mengakibatkan peringatan.</v>
      </c>
    </row>
    <row r="55">
      <c r="A55" s="10" t="s">
        <v>1768</v>
      </c>
      <c r="B55" s="10" t="s">
        <v>1769</v>
      </c>
      <c r="C55" s="10" t="s">
        <v>1770</v>
      </c>
      <c r="D55" s="10" t="s">
        <v>1771</v>
      </c>
      <c r="F55" s="4" t="str">
        <f>IFERROR(__xludf.DUMMYFUNCTION("GOOGLETRANSLATE(A55, ""en"", ""id"")"),"Jika salah satu petarung melangkah keluar lingkaran sebanyak tiga kali, apa aturannya?")</f>
        <v>Jika salah satu petarung melangkah keluar lingkaran sebanyak tiga kali, apa aturannya?</v>
      </c>
      <c r="G55" s="4" t="str">
        <f>IFERROR(__xludf.DUMMYFUNCTION("GOOGLETRANSLATE(B55, ""en"", ""id"")"),"A) Peringatan saja B) Lawan menang C) Pertandingan diatur ulang D) Wasit memutuskan")</f>
        <v>A) Peringatan saja B) Lawan menang C) Pertandingan diatur ulang D) Wasit memutuskan</v>
      </c>
      <c r="H55" s="4" t="str">
        <f>IFERROR(__xludf.DUMMYFUNCTION("GOOGLETRANSLATE(C55, ""en"", ""id"")"),"B) Lawan menang")</f>
        <v>B) Lawan menang</v>
      </c>
      <c r="I55" s="4" t="str">
        <f>IFERROR(__xludf.DUMMYFUNCTION("GOOGLETRANSLATE(D55, ""en"", ""id"")"),"Keluar berulang kali menunjukkan penghindaran, memberikan kemenangan pada lawan.")</f>
        <v>Keluar berulang kali menunjukkan penghindaran, memberikan kemenangan pada lawan.</v>
      </c>
    </row>
    <row r="56">
      <c r="A56" s="10" t="s">
        <v>1772</v>
      </c>
      <c r="B56" s="10" t="s">
        <v>1773</v>
      </c>
      <c r="C56" s="10" t="s">
        <v>138</v>
      </c>
      <c r="D56" s="10" t="s">
        <v>1774</v>
      </c>
      <c r="F56" s="4" t="str">
        <f>IFERROR(__xludf.DUMMYFUNCTION("GOOGLETRANSLATE(A56, ""en"", ""id"")"),"Jika kedua petarung menyerang setelah pertandingan dinyatakan selesai, apa yang terjadi?")</f>
        <v>Jika kedua petarung menyerang setelah pertandingan dinyatakan selesai, apa yang terjadi?</v>
      </c>
      <c r="G56" s="4" t="str">
        <f>IFERROR(__xludf.DUMMYFUNCTION("GOOGLETRANSLATE(B56, ""en"", ""id"")"),"A) Diabaikan B) Keduanya didiskualifikasi C) Peringatan D) Lawan dipilih untuk menang")</f>
        <v>A) Diabaikan B) Keduanya didiskualifikasi C) Peringatan D) Lawan dipilih untuk menang</v>
      </c>
      <c r="H56" s="4" t="str">
        <f>IFERROR(__xludf.DUMMYFUNCTION("GOOGLETRANSLATE(C56, ""en"", ""id"")"),"B) Keduanya didiskualifikasi")</f>
        <v>B) Keduanya didiskualifikasi</v>
      </c>
      <c r="I56" s="4" t="str">
        <f>IFERROR(__xludf.DUMMYFUNCTION("GOOGLETRANSLATE(D56, ""en"", ""id"")"),"Berkelahi setelah pertandingan berakhir tidak menghormati otoritas, yang dapat mengakibatkan diskualifikasi.")</f>
        <v>Berkelahi setelah pertandingan berakhir tidak menghormati otoritas, yang dapat mengakibatkan diskualifikasi.</v>
      </c>
    </row>
    <row r="57">
      <c r="A57" s="10" t="s">
        <v>1775</v>
      </c>
      <c r="B57" s="10" t="s">
        <v>1776</v>
      </c>
      <c r="C57" s="10" t="s">
        <v>1777</v>
      </c>
      <c r="D57" s="10" t="s">
        <v>1778</v>
      </c>
      <c r="F57" s="4" t="str">
        <f>IFERROR(__xludf.DUMMYFUNCTION("GOOGLETRANSLATE(A57, ""en"", ""id"")"),"Jika seorang petarung sengaja memegang tongkat secara horizontal untuk menangkis, apakah hal tersebut diperbolehkan?")</f>
        <v>Jika seorang petarung sengaja memegang tongkat secara horizontal untuk menangkis, apakah hal tersebut diperbolehkan?</v>
      </c>
      <c r="G57" s="4" t="str">
        <f>IFERROR(__xludf.DUMMYFUNCTION("GOOGLETRANSLATE(B57, ""en"", ""id"")"),"A) Diperbolehkan sebagai pembelaan B) Hanya peringatan C) Pelanggaran, didiskualifikasi D) Lawan menang")</f>
        <v>A) Diperbolehkan sebagai pembelaan B) Hanya peringatan C) Pelanggaran, didiskualifikasi D) Lawan menang</v>
      </c>
      <c r="H57" s="4" t="str">
        <f>IFERROR(__xludf.DUMMYFUNCTION("GOOGLETRANSLATE(C57, ""en"", ""id"")"),"A) Diizinkan sebagai pembelaan")</f>
        <v>A) Diizinkan sebagai pembelaan</v>
      </c>
      <c r="I57" s="4" t="str">
        <f>IFERROR(__xludf.DUMMYFUNCTION("GOOGLETRANSLATE(D57, ""en"", ""id"")"),"Blok tongkat horizontal merupakan gerakan bertahan yang valid dalam Peresean.")</f>
        <v>Blok tongkat horizontal merupakan gerakan bertahan yang valid dalam Peresean.</v>
      </c>
    </row>
    <row r="58">
      <c r="A58" s="10" t="s">
        <v>1779</v>
      </c>
      <c r="B58" s="10" t="s">
        <v>1780</v>
      </c>
      <c r="C58" s="10" t="s">
        <v>1713</v>
      </c>
      <c r="D58" s="10" t="s">
        <v>1781</v>
      </c>
      <c r="F58" s="4" t="str">
        <f>IFERROR(__xludf.DUMMYFUNCTION("GOOGLETRANSLATE(A58, ""en"", ""id"")"),"Jika seorang petarung mengabaikan instruksi wasit untuk mengubah posisi, apa hasilnya?")</f>
        <v>Jika seorang petarung mengabaikan instruksi wasit untuk mengubah posisi, apa hasilnya?</v>
      </c>
      <c r="G58" s="4" t="str">
        <f>IFERROR(__xludf.DUMMYFUNCTION("GOOGLETRANSLATE(B58, ""en"", ""id"")"),"A) Peringatan B) Lawan menang C) Petarung didiskualifikasi D) Pertandingan direset")</f>
        <v>A) Peringatan B) Lawan menang C) Petarung didiskualifikasi D) Pertandingan direset</v>
      </c>
      <c r="H58" s="4" t="str">
        <f>IFERROR(__xludf.DUMMYFUNCTION("GOOGLETRANSLATE(C58, ""en"", ""id"")"),"C) Petarung didiskualifikasi")</f>
        <v>C) Petarung didiskualifikasi</v>
      </c>
      <c r="I58" s="4" t="str">
        <f>IFERROR(__xludf.DUMMYFUNCTION("GOOGLETRANSLATE(D58, ""en"", ""id"")"),"Mengabaikan perintah reposisi merupakan ketidakpatuhan; akibatnya adalah diskualifikasi.")</f>
        <v>Mengabaikan perintah reposisi merupakan ketidakpatuhan; akibatnya adalah diskualifikasi.</v>
      </c>
    </row>
    <row r="59">
      <c r="A59" s="10" t="s">
        <v>1782</v>
      </c>
      <c r="B59" s="10" t="s">
        <v>1783</v>
      </c>
      <c r="C59" s="10" t="s">
        <v>1784</v>
      </c>
      <c r="D59" s="10" t="s">
        <v>1785</v>
      </c>
      <c r="F59" s="4" t="str">
        <f>IFERROR(__xludf.DUMMYFUNCTION("GOOGLETRANSLATE(A59, ""en"", ""id"")"),"Jika tali tameng melukai tangan petarung, apa hukumnya?")</f>
        <v>Jika tali tameng melukai tangan petarung, apa hukumnya?</v>
      </c>
      <c r="G59" s="4" t="str">
        <f>IFERROR(__xludf.DUMMYFUNCTION("GOOGLETRANSLATE(B59, ""en"", ""id"")"),"A) Lawan menang B) Pertandingan dihentikan sementara untuk alasan keamanan C) Petarung didiskualifikasi D) Lanjutkan pertarungan")</f>
        <v>A) Lawan menang B) Pertandingan dihentikan sementara untuk alasan keamanan C) Petarung didiskualifikasi D) Lanjutkan pertarungan</v>
      </c>
      <c r="H59" s="4" t="str">
        <f>IFERROR(__xludf.DUMMYFUNCTION("GOOGLETRANSLATE(C59, ""en"", ""id"")"),"B) Pertandingan dihentikan sementara demi keamanan")</f>
        <v>B) Pertandingan dihentikan sementara demi keamanan</v>
      </c>
      <c r="I59" s="4" t="str">
        <f>IFERROR(__xludf.DUMMYFUNCTION("GOOGLETRANSLATE(D59, ""en"", ""id"")"),"Cedera yang disebabkan oleh kegagalan peralatan mengharuskan pertarungan dihentikan.")</f>
        <v>Cedera yang disebabkan oleh kegagalan peralatan mengharuskan pertarungan dihentikan.</v>
      </c>
    </row>
    <row r="60">
      <c r="A60" s="10" t="s">
        <v>1786</v>
      </c>
      <c r="B60" s="10" t="s">
        <v>1787</v>
      </c>
      <c r="C60" s="10" t="s">
        <v>236</v>
      </c>
      <c r="D60" s="10" t="s">
        <v>1788</v>
      </c>
      <c r="F60" s="4" t="str">
        <f>IFERROR(__xludf.DUMMYFUNCTION("GOOGLETRANSLATE(A60, ""en"", ""id"")"),"Kalau ada petarung yang terus menerus mengejek gestur wasit, apa yang akan dilakukan?")</f>
        <v>Kalau ada petarung yang terus menerus mengejek gestur wasit, apa yang akan dilakukan?</v>
      </c>
      <c r="G60" s="4" t="str">
        <f>IFERROR(__xludf.DUMMYFUNCTION("GOOGLETRANSLATE(B60, ""en"", ""id"")"),"A) Diizinkan B) Peringatan C) Diskualifikasi D) Reset pertandingan")</f>
        <v>A) Diizinkan B) Peringatan C) Diskualifikasi D) Reset pertandingan</v>
      </c>
      <c r="H60" s="4" t="str">
        <f>IFERROR(__xludf.DUMMYFUNCTION("GOOGLETRANSLATE(C60, ""en"", ""id"")"),"C) Diskualifikasi")</f>
        <v>C) Diskualifikasi</v>
      </c>
      <c r="I60" s="4" t="str">
        <f>IFERROR(__xludf.DUMMYFUNCTION("GOOGLETRANSLATE(D60, ""en"", ""id"")"),"Sikap tidak hormat terhadap wasit tidak ditoleransi dan dapat berakibat diskualifikasi.")</f>
        <v>Sikap tidak hormat terhadap wasit tidak ditoleransi dan dapat berakibat diskualifikasi.</v>
      </c>
    </row>
    <row r="61">
      <c r="A61" s="10" t="s">
        <v>1789</v>
      </c>
      <c r="B61" s="10" t="s">
        <v>1790</v>
      </c>
      <c r="C61" s="10" t="s">
        <v>1791</v>
      </c>
      <c r="D61" s="10" t="s">
        <v>1792</v>
      </c>
      <c r="F61" s="4" t="str">
        <f>IFERROR(__xludf.DUMMYFUNCTION("GOOGLETRANSLATE(A61, ""en"", ""id"")"),"Jika seorang petarung sengaja jatuh ke tanah tanpa menyerang, apa yang terjadi?")</f>
        <v>Jika seorang petarung sengaja jatuh ke tanah tanpa menyerang, apa yang terjadi?</v>
      </c>
      <c r="G61" s="4" t="str">
        <f>IFERROR(__xludf.DUMMYFUNCTION("GOOGLETRANSLATE(B61, ""en"", ""id"")"),"A) Lawan menang B) Pertandingan dijeda C) Petarung diperingatkan karena tidak terhormat D) Keduanya diatur ulang")</f>
        <v>A) Lawan menang B) Pertandingan dijeda C) Petarung diperingatkan karena tidak terhormat D) Keduanya diatur ulang</v>
      </c>
      <c r="H61" s="4" t="str">
        <f>IFERROR(__xludf.DUMMYFUNCTION("GOOGLETRANSLATE(C61, ""en"", ""id"")"),"C) Pejuang diperingatkan karena aib")</f>
        <v>C) Pejuang diperingatkan karena aib</v>
      </c>
      <c r="I61" s="4" t="str">
        <f>IFERROR(__xludf.DUMMYFUNCTION("GOOGLETRANSLATE(D61, ""en"", ""id"")"),"Berpura-pura jatuh adalah hal yang tidak terhormat; peringatan akan diberikan.")</f>
        <v>Berpura-pura jatuh adalah hal yang tidak terhormat; peringatan akan diberikan.</v>
      </c>
    </row>
    <row r="62">
      <c r="A62" s="10" t="s">
        <v>1793</v>
      </c>
      <c r="B62" s="10" t="s">
        <v>1794</v>
      </c>
      <c r="C62" s="10" t="s">
        <v>1795</v>
      </c>
      <c r="D62" s="10" t="s">
        <v>1796</v>
      </c>
      <c r="F62" s="4" t="str">
        <f>IFERROR(__xludf.DUMMYFUNCTION("GOOGLETRANSLATE(A62, ""en"", ""id"")"),"Jika seorang petarung menyerang sisi perisai dan bukan tubuh lawan, apakah itu dihitung?")</f>
        <v>Jika seorang petarung menyerang sisi perisai dan bukan tubuh lawan, apakah itu dihitung?</v>
      </c>
      <c r="G62" s="4" t="str">
        <f>IFERROR(__xludf.DUMMYFUNCTION("GOOGLETRANSLATE(B62, ""en"", ""id"")"),"A) Ya B) Tidak, diabaikan C) Peringatan D) Wasit memutuskan")</f>
        <v>A) Ya B) Tidak, diabaikan C) Peringatan D) Wasit memutuskan</v>
      </c>
      <c r="H62" s="4" t="str">
        <f>IFERROR(__xludf.DUMMYFUNCTION("GOOGLETRANSLATE(C62, ""en"", ""id"")"),"B) Tidak, diabaikan")</f>
        <v>B) Tidak, diabaikan</v>
      </c>
      <c r="I62" s="4" t="str">
        <f>IFERROR(__xludf.DUMMYFUNCTION("GOOGLETRANSLATE(D62, ""en"", ""id"")"),"Hanya serangan tubuh yang valid yang dihitung. Memukul perisai itu sendiri tidak ada nilainya.")</f>
        <v>Hanya serangan tubuh yang valid yang dihitung. Memukul perisai itu sendiri tidak ada nilainya.</v>
      </c>
    </row>
    <row r="63">
      <c r="A63" s="10" t="s">
        <v>1797</v>
      </c>
      <c r="B63" s="10" t="s">
        <v>1798</v>
      </c>
      <c r="C63" s="10" t="s">
        <v>1799</v>
      </c>
      <c r="D63" s="10" t="s">
        <v>1800</v>
      </c>
      <c r="F63" s="4" t="str">
        <f>IFERROR(__xludf.DUMMYFUNCTION("GOOGLETRANSLATE(A63, ""en"", ""id"")"),"Jika seorang petarung sengaja menghindari kontak mata, apa aturannya?")</f>
        <v>Jika seorang petarung sengaja menghindari kontak mata, apa aturannya?</v>
      </c>
      <c r="G63" s="4" t="str">
        <f>IFERROR(__xludf.DUMMYFUNCTION("GOOGLETRANSLATE(B63, ""en"", ""id"")"),"A) Diizinkan B) Peringatan karena kurang semangat C) Lawan menang D) Pertandingan dihentikan sementara")</f>
        <v>A) Diizinkan B) Peringatan karena kurang semangat C) Lawan menang D) Pertandingan dihentikan sementara</v>
      </c>
      <c r="H63" s="4" t="str">
        <f>IFERROR(__xludf.DUMMYFUNCTION("GOOGLETRANSLATE(C63, ""en"", ""id"")"),"B) Peringatan karena kurangnya semangat")</f>
        <v>B) Peringatan karena kurangnya semangat</v>
      </c>
      <c r="I63" s="4" t="str">
        <f>IFERROR(__xludf.DUMMYFUNCTION("GOOGLETRANSLATE(D63, ""en"", ""id"")"),"Menghindari kontak mata menunjukkan kurangnya keberanian dan menimbulkan peringatan.")</f>
        <v>Menghindari kontak mata menunjukkan kurangnya keberanian dan menimbulkan peringatan.</v>
      </c>
    </row>
    <row r="64">
      <c r="A64" s="10" t="s">
        <v>1801</v>
      </c>
      <c r="B64" s="10" t="s">
        <v>1802</v>
      </c>
      <c r="C64" s="10" t="s">
        <v>1803</v>
      </c>
      <c r="D64" s="10" t="s">
        <v>1804</v>
      </c>
      <c r="F64" s="4" t="str">
        <f>IFERROR(__xludf.DUMMYFUNCTION("GOOGLETRANSLATE(A64, ""en"", ""id"")"),"Jika tongkat wasit jatuh, apa yang harus dilakukan petarung?")</f>
        <v>Jika tongkat wasit jatuh, apa yang harus dilakukan petarung?</v>
      </c>
      <c r="G64" s="4" t="str">
        <f>IFERROR(__xludf.DUMMYFUNCTION("GOOGLETRANSLATE(B64, ""en"", ""id"")"),"A) Terus bertarung B) Berhenti segera C) Lawan menang D) Mulai ulang pertandingan")</f>
        <v>A) Terus bertarung B) Berhenti segera C) Lawan menang D) Mulai ulang pertandingan</v>
      </c>
      <c r="H64" s="4" t="str">
        <f>IFERROR(__xludf.DUMMYFUNCTION("GOOGLETRANSLATE(C64, ""en"", ""id"")"),"B) Berhenti segera")</f>
        <v>B) Berhenti segera</v>
      </c>
      <c r="I64" s="4" t="str">
        <f>IFERROR(__xludf.DUMMYFUNCTION("GOOGLETRANSLATE(D64, ""en"", ""id"")"),"Menjatuhkan tongkat adalah simbolis; petarung harus berhenti seketika.")</f>
        <v>Menjatuhkan tongkat adalah simbolis; petarung harus berhenti seketika.</v>
      </c>
    </row>
    <row r="65">
      <c r="A65" s="10" t="s">
        <v>1805</v>
      </c>
      <c r="B65" s="10" t="s">
        <v>1806</v>
      </c>
      <c r="C65" s="10" t="s">
        <v>1713</v>
      </c>
      <c r="D65" s="10" t="s">
        <v>1807</v>
      </c>
      <c r="F65" s="4" t="str">
        <f>IFERROR(__xludf.DUMMYFUNCTION("GOOGLETRANSLATE(A65, ""en"", ""id"")"),"Jika seorang petarung menyerang setelah jabat tangan tetapi sebelum tabuhan genderang, apa yang terjadi?")</f>
        <v>Jika seorang petarung menyerang setelah jabat tangan tetapi sebelum tabuhan genderang, apa yang terjadi?</v>
      </c>
      <c r="G65" s="4" t="str">
        <f>IFERROR(__xludf.DUMMYFUNCTION("GOOGLETRANSLATE(B65, ""en"", ""id"")"),"A) Hanya peringatan B) Lawan menang C) Petarung didiskualifikasi D) Pertandingan dimulai kembali")</f>
        <v>A) Hanya peringatan B) Lawan menang C) Petarung didiskualifikasi D) Pertandingan dimulai kembali</v>
      </c>
      <c r="H65" s="4" t="str">
        <f>IFERROR(__xludf.DUMMYFUNCTION("GOOGLETRANSLATE(C65, ""en"", ""id"")"),"C) Petarung didiskualifikasi")</f>
        <v>C) Petarung didiskualifikasi</v>
      </c>
      <c r="I65" s="4" t="str">
        <f>IFERROR(__xludf.DUMMYFUNCTION("GOOGLETRANSLATE(D65, ""en"", ""id"")"),"Pemogokan sebelum waktunya melanggar tata tertib upacara dan mengakibatkan diskualifikasi.")</f>
        <v>Pemogokan sebelum waktunya melanggar tata tertib upacara dan mengakibatkan diskualifikasi.</v>
      </c>
    </row>
    <row r="66">
      <c r="A66" s="10" t="s">
        <v>1808</v>
      </c>
      <c r="B66" s="10" t="s">
        <v>1809</v>
      </c>
      <c r="C66" s="10" t="s">
        <v>1810</v>
      </c>
      <c r="D66" s="10" t="s">
        <v>1811</v>
      </c>
      <c r="F66" s="4" t="str">
        <f>IFERROR(__xludf.DUMMYFUNCTION("GOOGLETRANSLATE(A66, ""en"", ""id"")"),"Jika perisai secara tidak sengaja mengenai lawan saat diblokir, apa yang berlaku?")</f>
        <v>Jika perisai secara tidak sengaja mengenai lawan saat diblokir, apa yang berlaku?</v>
      </c>
      <c r="G66" s="4" t="str">
        <f>IFERROR(__xludf.DUMMYFUNCTION("GOOGLETRANSLATE(B66, ""en"", ""id"")"),"A) Pelanggaran B) Diizinkan sebagai insidental C) Hanya peringatan D) Lawan menang")</f>
        <v>A) Pelanggaran B) Diizinkan sebagai insidental C) Hanya peringatan D) Lawan menang</v>
      </c>
      <c r="H66" s="4" t="str">
        <f>IFERROR(__xludf.DUMMYFUNCTION("GOOGLETRANSLATE(C66, ""en"", ""id"")"),"B) Diizinkan sebagai insidental")</f>
        <v>B) Diizinkan sebagai insidental</v>
      </c>
      <c r="I66" s="4" t="str">
        <f>IFERROR(__xludf.DUMMYFUNCTION("GOOGLETRANSLATE(D66, ""en"", ""id"")"),"Kontak perisai yang tidak disengaja saat memblokir ditoleransi.")</f>
        <v>Kontak perisai yang tidak disengaja saat memblokir ditoleransi.</v>
      </c>
    </row>
    <row r="67">
      <c r="A67" s="10" t="s">
        <v>1812</v>
      </c>
      <c r="B67" s="10" t="s">
        <v>1813</v>
      </c>
      <c r="C67" s="10" t="s">
        <v>1814</v>
      </c>
      <c r="D67" s="10" t="s">
        <v>1815</v>
      </c>
      <c r="F67" s="4" t="str">
        <f>IFERROR(__xludf.DUMMYFUNCTION("GOOGLETRANSLATE(A67, ""en"", ""id"")"),"Jika kedua petarung secara bersamaan menjatuhkan tongkat tetapi tetap memegang perisai, apa hukumnya?")</f>
        <v>Jika kedua petarung secara bersamaan menjatuhkan tongkat tetapi tetap memegang perisai, apa hukumnya?</v>
      </c>
      <c r="G67" s="4" t="str">
        <f>IFERROR(__xludf.DUMMYFUNCTION("GOOGLETRANSLATE(B67, ""en"", ""id"")"),"A) Terus bertarung B) Berhenti sampai tongkat dikembalikan C) Lawan menang D) Keduanya didiskualifikasi")</f>
        <v>A) Terus bertarung B) Berhenti sampai tongkat dikembalikan C) Lawan menang D) Keduanya didiskualifikasi</v>
      </c>
      <c r="H67" s="4" t="str">
        <f>IFERROR(__xludf.DUMMYFUNCTION("GOOGLETRANSLATE(C67, ""en"", ""id"")"),"B) Berhenti sampai tongkat kembali")</f>
        <v>B) Berhenti sampai tongkat kembali</v>
      </c>
      <c r="I67" s="4" t="str">
        <f>IFERROR(__xludf.DUMMYFUNCTION("GOOGLETRANSLATE(D67, ""en"", ""id"")"),"Tongkat itu penting. Pertarungan dihentikan sementara sampai pulih.")</f>
        <v>Tongkat itu penting. Pertarungan dihentikan sementara sampai pulih.</v>
      </c>
    </row>
    <row r="68">
      <c r="A68" s="10" t="s">
        <v>1816</v>
      </c>
      <c r="B68" s="10" t="s">
        <v>1817</v>
      </c>
      <c r="C68" s="10" t="s">
        <v>1818</v>
      </c>
      <c r="D68" s="10" t="s">
        <v>1819</v>
      </c>
      <c r="F68" s="4" t="str">
        <f>IFERROR(__xludf.DUMMYFUNCTION("GOOGLETRANSLATE(A68, ""en"", ""id"")"),"Jika seorang petarung bersandar pada wasit untuk menjaga keseimbangan, apa yang terjadi?")</f>
        <v>Jika seorang petarung bersandar pada wasit untuk menjaga keseimbangan, apa yang terjadi?</v>
      </c>
      <c r="G68" s="4" t="str">
        <f>IFERROR(__xludf.DUMMYFUNCTION("GOOGLETRANSLATE(B68, ""en"", ""id"")"),"A) Diperbolehkan jika tidak disengaja B) Peringatan C) Diskualifikasi D) Pertandingan dimulai kembali")</f>
        <v>A) Diperbolehkan jika tidak disengaja B) Peringatan C) Diskualifikasi D) Pertandingan dimulai kembali</v>
      </c>
      <c r="H68" s="4" t="str">
        <f>IFERROR(__xludf.DUMMYFUNCTION("GOOGLETRANSLATE(C68, ""en"", ""id"")"),"B) Peringatan")</f>
        <v>B) Peringatan</v>
      </c>
      <c r="I68" s="4" t="str">
        <f>IFERROR(__xludf.DUMMYFUNCTION("GOOGLETRANSLATE(D68, ""en"", ""id"")"),"Ketergantungan fisik pada wasit tidaklah tepat, meskipun tidak selalu disengaja.")</f>
        <v>Ketergantungan fisik pada wasit tidaklah tepat, meskipun tidak selalu disengaja.</v>
      </c>
    </row>
    <row r="69">
      <c r="A69" s="10" t="s">
        <v>1820</v>
      </c>
      <c r="B69" s="10" t="s">
        <v>1821</v>
      </c>
      <c r="C69" s="10" t="s">
        <v>1822</v>
      </c>
      <c r="D69" s="10" t="s">
        <v>1823</v>
      </c>
      <c r="F69" s="4" t="str">
        <f>IFERROR(__xludf.DUMMYFUNCTION("GOOGLETRANSLATE(A69, ""en"", ""id"")"),"Jika seorang petarung mengayunkan tongkatnya setelah tongkat lawan patah, apa aturannya?")</f>
        <v>Jika seorang petarung mengayunkan tongkatnya setelah tongkat lawan patah, apa aturannya?</v>
      </c>
      <c r="G69" s="4" t="str">
        <f>IFERROR(__xludf.DUMMYFUNCTION("GOOGLETRANSLATE(B69, ""en"", ""id"")"),"A) Strike diperbolehkan B) Pelanggaran, peringatan dikeluarkan C) Lawan menang D) Pertandingan dihentikan sementara")</f>
        <v>A) Strike diperbolehkan B) Pelanggaran, peringatan dikeluarkan C) Lawan menang D) Pertandingan dihentikan sementara</v>
      </c>
      <c r="H69" s="4" t="str">
        <f>IFERROR(__xludf.DUMMYFUNCTION("GOOGLETRANSLATE(C69, ""en"", ""id"")"),"D) Pertandingan dijeda")</f>
        <v>D) Pertandingan dijeda</v>
      </c>
      <c r="I69" s="4" t="str">
        <f>IFERROR(__xludf.DUMMYFUNCTION("GOOGLETRANSLATE(D69, ""en"", ""id"")"),"Pertarungan harus dihentikan sampai keduanya memiliki tongkat yang tepat.")</f>
        <v>Pertarungan harus dihentikan sampai keduanya memiliki tongkat yang tepat.</v>
      </c>
    </row>
    <row r="70">
      <c r="A70" s="10" t="s">
        <v>1824</v>
      </c>
      <c r="B70" s="10" t="s">
        <v>1825</v>
      </c>
      <c r="C70" s="10" t="s">
        <v>236</v>
      </c>
      <c r="D70" s="10" t="s">
        <v>1826</v>
      </c>
      <c r="F70" s="4" t="str">
        <f>IFERROR(__xludf.DUMMYFUNCTION("GOOGLETRANSLATE(A70, ""en"", ""id"")"),"Jika seorang petarung melemparkan tongkat ke arah lawan, apa yang terjadi?")</f>
        <v>Jika seorang petarung melemparkan tongkat ke arah lawan, apa yang terjadi?</v>
      </c>
      <c r="G70" s="4" t="str">
        <f>IFERROR(__xludf.DUMMYFUNCTION("GOOGLETRANSLATE(B70, ""en"", ""id"")"),"A) Diizinkan B) Hanya peringatan C) Diskualifikasi D) Lawan menang")</f>
        <v>A) Diizinkan B) Hanya peringatan C) Diskualifikasi D) Lawan menang</v>
      </c>
      <c r="H70" s="4" t="str">
        <f>IFERROR(__xludf.DUMMYFUNCTION("GOOGLETRANSLATE(C70, ""en"", ""id"")"),"C) Diskualifikasi")</f>
        <v>C) Diskualifikasi</v>
      </c>
      <c r="I70" s="4" t="str">
        <f>IFERROR(__xludf.DUMMYFUNCTION("GOOGLETRANSLATE(D70, ""en"", ""id"")"),"Melempar tongkat mengubah perkelahian menjadi perilaku yang tidak aman; akibatnya adalah diskualifikasi.")</f>
        <v>Melempar tongkat mengubah perkelahian menjadi perilaku yang tidak aman; akibatnya adalah diskualifikasi.</v>
      </c>
    </row>
    <row r="71">
      <c r="A71" s="10" t="s">
        <v>1827</v>
      </c>
      <c r="B71" s="10" t="s">
        <v>1828</v>
      </c>
      <c r="C71" s="10" t="s">
        <v>1829</v>
      </c>
      <c r="D71" s="10" t="s">
        <v>1830</v>
      </c>
      <c r="F71" s="4" t="str">
        <f>IFERROR(__xludf.DUMMYFUNCTION("GOOGLETRANSLATE(A71, ""en"", ""id"")"),"Jika perisai dipegang terbalik, apakah sah?")</f>
        <v>Jika perisai dipegang terbalik, apakah sah?</v>
      </c>
      <c r="G71" s="4" t="str">
        <f>IFERROR(__xludf.DUMMYFUNCTION("GOOGLETRANSLATE(B71, ""en"", ""id"")"),"A) Ya, diperbolehkan B) Tidak, pelanggaran C) Hanya peringatan D) Lawan menang")</f>
        <v>A) Ya, diperbolehkan B) Tidak, pelanggaran C) Hanya peringatan D) Lawan menang</v>
      </c>
      <c r="H71" s="4" t="str">
        <f>IFERROR(__xludf.DUMMYFUNCTION("GOOGLETRANSLATE(C71, ""en"", ""id"")"),"A) Ya, diperbolehkan")</f>
        <v>A) Ya, diperbolehkan</v>
      </c>
      <c r="I71" s="4" t="str">
        <f>IFERROR(__xludf.DUMMYFUNCTION("GOOGLETRANSLATE(D71, ""en"", ""id"")"),"Orientasi perisai tidak menjadi masalah jika digunakan secara defensif.")</f>
        <v>Orientasi perisai tidak menjadi masalah jika digunakan secara defensif.</v>
      </c>
    </row>
    <row r="72">
      <c r="A72" s="10" t="s">
        <v>1831</v>
      </c>
      <c r="B72" s="10" t="s">
        <v>1832</v>
      </c>
      <c r="C72" s="10" t="s">
        <v>1833</v>
      </c>
      <c r="D72" s="10" t="s">
        <v>1834</v>
      </c>
      <c r="F72" s="4" t="str">
        <f>IFERROR(__xludf.DUMMYFUNCTION("GOOGLETRANSLATE(A72, ""en"", ""id"")"),"Jika seorang petarung menangkis dengan menggunakan bahu dan bukan perisai, apa aturannya?")</f>
        <v>Jika seorang petarung menangkis dengan menggunakan bahu dan bukan perisai, apa aturannya?</v>
      </c>
      <c r="G72" s="4" t="str">
        <f>IFERROR(__xludf.DUMMYFUNCTION("GOOGLETRANSLATE(B72, ""en"", ""id"")"),"A) Diizinkan B) Peringatan untuk pertahanan yang tidak aman C) Lawan menang D) Pertandingan dihentikan sementara")</f>
        <v>A) Diizinkan B) Peringatan untuk pertahanan yang tidak aman C) Lawan menang D) Pertandingan dihentikan sementara</v>
      </c>
      <c r="H72" s="4" t="str">
        <f>IFERROR(__xludf.DUMMYFUNCTION("GOOGLETRANSLATE(C72, ""en"", ""id"")"),"B) Peringatan untuk pertahanan yang tidak aman")</f>
        <v>B) Peringatan untuk pertahanan yang tidak aman</v>
      </c>
      <c r="I72" s="4" t="str">
        <f>IFERROR(__xludf.DUMMYFUNCTION("GOOGLETRANSLATE(D72, ""en"", ""id"")"),"Perisai harus menjadi pertahanan utama. Menggunakan bahu berisiko cedera.")</f>
        <v>Perisai harus menjadi pertahanan utama. Menggunakan bahu berisiko cedera.</v>
      </c>
    </row>
    <row r="73">
      <c r="A73" s="10" t="s">
        <v>1835</v>
      </c>
      <c r="B73" s="10" t="s">
        <v>1836</v>
      </c>
      <c r="C73" s="10" t="s">
        <v>138</v>
      </c>
      <c r="D73" s="10" t="s">
        <v>1837</v>
      </c>
      <c r="F73" s="4" t="str">
        <f>IFERROR(__xludf.DUMMYFUNCTION("GOOGLETRANSLATE(A73, ""en"", ""id"")"),"Jika kedua petarung mengabaikan sinyal drum sebanyak tiga kali, apa yang terjadi?")</f>
        <v>Jika kedua petarung mengabaikan sinyal drum sebanyak tiga kali, apa yang terjadi?</v>
      </c>
      <c r="G73" s="4" t="str">
        <f>IFERROR(__xludf.DUMMYFUNCTION("GOOGLETRANSLATE(B73, ""en"", ""id"")"),"A) Pertandingan direset B) Keduanya didiskualifikasi C) Peringatan dikeluarkan D) Lawan menang")</f>
        <v>A) Pertandingan direset B) Keduanya didiskualifikasi C) Peringatan dikeluarkan D) Lawan menang</v>
      </c>
      <c r="H73" s="4" t="str">
        <f>IFERROR(__xludf.DUMMYFUNCTION("GOOGLETRANSLATE(C73, ""en"", ""id"")"),"B) Keduanya didiskualifikasi")</f>
        <v>B) Keduanya didiskualifikasi</v>
      </c>
      <c r="I73" s="4" t="str">
        <f>IFERROR(__xludf.DUMMYFUNCTION("GOOGLETRANSLATE(D73, ""en"", ""id"")"),"Mengabaikan ritme secara terus-menerus akan berakibat diskualifikasi.")</f>
        <v>Mengabaikan ritme secara terus-menerus akan berakibat diskualifikasi.</v>
      </c>
    </row>
    <row r="74">
      <c r="A74" s="10" t="s">
        <v>1838</v>
      </c>
      <c r="B74" s="10" t="s">
        <v>1839</v>
      </c>
      <c r="C74" s="10" t="s">
        <v>1840</v>
      </c>
      <c r="D74" s="10" t="s">
        <v>1841</v>
      </c>
      <c r="F74" s="4" t="str">
        <f>IFERROR(__xludf.DUMMYFUNCTION("GOOGLETRANSLATE(A74, ""en"", ""id"")"),"Jika seorang petarung meletakkan tongkatnya di tanah selama jeda, apa hukumnya?")</f>
        <v>Jika seorang petarung meletakkan tongkatnya di tanah selama jeda, apa hukumnya?</v>
      </c>
      <c r="G74" s="4" t="str">
        <f>IFERROR(__xludf.DUMMYFUNCTION("GOOGLETRANSLATE(B74, ""en"", ""id"")"),"A) Diizinkan B) Peringatan karena tidak sopan C) Lawan menang D) Pertandingan dihentikan sementara")</f>
        <v>A) Diizinkan B) Peringatan karena tidak sopan C) Lawan menang D) Pertandingan dihentikan sementara</v>
      </c>
      <c r="H74" s="4" t="str">
        <f>IFERROR(__xludf.DUMMYFUNCTION("GOOGLETRANSLATE(C74, ""en"", ""id"")"),"A) Diizinkan")</f>
        <v>A) Diizinkan</v>
      </c>
      <c r="I74" s="4" t="str">
        <f>IFERROR(__xludf.DUMMYFUNCTION("GOOGLETRANSLATE(D74, ""en"", ""id"")"),"Diperbolehkan mengistirahatkan tongkat sebentar selama jeda.")</f>
        <v>Diperbolehkan mengistirahatkan tongkat sebentar selama jeda.</v>
      </c>
    </row>
    <row r="75">
      <c r="A75" s="10" t="s">
        <v>1842</v>
      </c>
      <c r="B75" s="10" t="s">
        <v>1825</v>
      </c>
      <c r="C75" s="10" t="s">
        <v>236</v>
      </c>
      <c r="D75" s="10" t="s">
        <v>1843</v>
      </c>
      <c r="F75" s="4" t="str">
        <f>IFERROR(__xludf.DUMMYFUNCTION("GOOGLETRANSLATE(A75, ""en"", ""id"")"),"Jika perisai dibuang karena marah, apa yang terjadi?")</f>
        <v>Jika perisai dibuang karena marah, apa yang terjadi?</v>
      </c>
      <c r="G75" s="4" t="str">
        <f>IFERROR(__xludf.DUMMYFUNCTION("GOOGLETRANSLATE(B75, ""en"", ""id"")"),"A) Diizinkan B) Hanya peringatan C) Diskualifikasi D) Lawan menang")</f>
        <v>A) Diizinkan B) Hanya peringatan C) Diskualifikasi D) Lawan menang</v>
      </c>
      <c r="H75" s="4" t="str">
        <f>IFERROR(__xludf.DUMMYFUNCTION("GOOGLETRANSLATE(C75, ""en"", ""id"")"),"C) Diskualifikasi")</f>
        <v>C) Diskualifikasi</v>
      </c>
      <c r="I75" s="4" t="str">
        <f>IFERROR(__xludf.DUMMYFUNCTION("GOOGLETRANSLATE(D75, ""en"", ""id"")"),"Melempar perisai menunjukkan aib; langsung diskualifikasi.")</f>
        <v>Melempar perisai menunjukkan aib; langsung diskualifikasi.</v>
      </c>
    </row>
    <row r="76">
      <c r="A76" s="10" t="s">
        <v>1844</v>
      </c>
      <c r="B76" s="10" t="s">
        <v>1845</v>
      </c>
      <c r="C76" s="10" t="s">
        <v>1846</v>
      </c>
      <c r="D76" s="10" t="s">
        <v>1847</v>
      </c>
      <c r="F76" s="4" t="str">
        <f>IFERROR(__xludf.DUMMYFUNCTION("GOOGLETRANSLATE(A76, ""en"", ""id"")"),"Jika petarung menggunakan tongkat dan kaki untuk menjegal, apa yang terjadi?")</f>
        <v>Jika petarung menggunakan tongkat dan kaki untuk menjegal, apa yang terjadi?</v>
      </c>
      <c r="G76" s="4" t="str">
        <f>IFERROR(__xludf.DUMMYFUNCTION("GOOGLETRANSLATE(B76, ""en"", ""id"")"),"A) Diizinkan B) Pelanggaran, didiskualifikasi C) Hanya peringatan D) Lawan menang")</f>
        <v>A) Diizinkan B) Pelanggaran, didiskualifikasi C) Hanya peringatan D) Lawan menang</v>
      </c>
      <c r="H76" s="4" t="str">
        <f>IFERROR(__xludf.DUMMYFUNCTION("GOOGLETRANSLATE(C76, ""en"", ""id"")"),"B) Pelanggaran, didiskualifikasi")</f>
        <v>B) Pelanggaran, didiskualifikasi</v>
      </c>
      <c r="I76" s="4" t="str">
        <f>IFERROR(__xludf.DUMMYFUNCTION("GOOGLETRANSLATE(D76, ""en"", ""id"")"),"Menjegal dengan kaki melanggar aturan Peresean yang hanya boleh menyerang.")</f>
        <v>Menjegal dengan kaki melanggar aturan Peresean yang hanya boleh menyerang.</v>
      </c>
    </row>
    <row r="77">
      <c r="A77" s="10" t="s">
        <v>1848</v>
      </c>
      <c r="B77" s="10" t="s">
        <v>1849</v>
      </c>
      <c r="C77" s="10" t="s">
        <v>1850</v>
      </c>
      <c r="D77" s="10" t="s">
        <v>1851</v>
      </c>
      <c r="F77" s="4" t="str">
        <f>IFERROR(__xludf.DUMMYFUNCTION("GOOGLETRANSLATE(A77, ""en"", ""id"")"),"Kalau tongkatnya terlepas karena keringat tapi petarung langsung mengambilnya kembali, apa yang terjadi?")</f>
        <v>Kalau tongkatnya terlepas karena keringat tapi petarung langsung mengambilnya kembali, apa yang terjadi?</v>
      </c>
      <c r="G77" s="4" t="str">
        <f>IFERROR(__xludf.DUMMYFUNCTION("GOOGLETRANSLATE(B77, ""en"", ""id"")"),"A) Kalah B) Diperbolehkan untuk melanjutkan C) Lawan menang D) Pertandingan dihentikan sementara")</f>
        <v>A) Kalah B) Diperbolehkan untuk melanjutkan C) Lawan menang D) Pertandingan dihentikan sementara</v>
      </c>
      <c r="H77" s="4" t="str">
        <f>IFERROR(__xludf.DUMMYFUNCTION("GOOGLETRANSLATE(C77, ""en"", ""id"")"),"B) Diizinkan untuk melanjutkan")</f>
        <v>B) Diizinkan untuk melanjutkan</v>
      </c>
      <c r="I77" s="4" t="str">
        <f>IFERROR(__xludf.DUMMYFUNCTION("GOOGLETRANSLATE(D77, ""en"", ""id"")"),"Pemulihan cepat diperbolehkan, tidak seperti kehilangan senjata total.")</f>
        <v>Pemulihan cepat diperbolehkan, tidak seperti kehilangan senjata total.</v>
      </c>
    </row>
    <row r="78">
      <c r="A78" s="10" t="s">
        <v>1852</v>
      </c>
      <c r="B78" s="10" t="s">
        <v>1853</v>
      </c>
      <c r="C78" s="10" t="s">
        <v>1255</v>
      </c>
      <c r="D78" s="10" t="s">
        <v>1854</v>
      </c>
      <c r="F78" s="4" t="str">
        <f>IFERROR(__xludf.DUMMYFUNCTION("GOOGLETRANSLATE(A78, ""en"", ""id"")"),"Jika wasit memberi isyarat jeda tetapi penabuh drum terus melanjutkan, siapa yang dipatuhi?")</f>
        <v>Jika wasit memberi isyarat jeda tetapi penabuh drum terus melanjutkan, siapa yang dipatuhi?</v>
      </c>
      <c r="G78" s="4" t="str">
        <f>IFERROR(__xludf.DUMMYFUNCTION("GOOGLETRANSLATE(B78, ""en"", ""id"")"),"A) Penabuh drum B) Wasit C) Penonton D) Para tetua")</f>
        <v>A) Penabuh drum B) Wasit C) Penonton D) Para tetua</v>
      </c>
      <c r="H78" s="4" t="str">
        <f>IFERROR(__xludf.DUMMYFUNCTION("GOOGLETRANSLATE(C78, ""en"", ""id"")"),"B) Wasit")</f>
        <v>B) Wasit</v>
      </c>
      <c r="I78" s="4" t="str">
        <f>IFERROR(__xludf.DUMMYFUNCTION("GOOGLETRANSLATE(D78, ""en"", ""id"")"),"Wasit memiliki kewenangan tertinggi dalam Peresean.")</f>
        <v>Wasit memiliki kewenangan tertinggi dalam Peresean.</v>
      </c>
    </row>
    <row r="79">
      <c r="A79" s="10" t="s">
        <v>1855</v>
      </c>
      <c r="B79" s="10" t="s">
        <v>1856</v>
      </c>
      <c r="C79" s="10" t="s">
        <v>1611</v>
      </c>
      <c r="D79" s="10" t="s">
        <v>1857</v>
      </c>
      <c r="F79" s="4" t="str">
        <f>IFERROR(__xludf.DUMMYFUNCTION("GOOGLETRANSLATE(A79, ""en"", ""id"")"),"Jika seorang petarung sengaja meludah saat bertanding, apa hukumnya?")</f>
        <v>Jika seorang petarung sengaja meludah saat bertanding, apa hukumnya?</v>
      </c>
      <c r="G79" s="4" t="str">
        <f>IFERROR(__xludf.DUMMYFUNCTION("GOOGLETRANSLATE(B79, ""en"", ""id"")"),"A) Diizinkan B) Peringatan karena tidak hormat C) Lawan menang D) Diskualifikasi")</f>
        <v>A) Diizinkan B) Peringatan karena tidak hormat C) Lawan menang D) Diskualifikasi</v>
      </c>
      <c r="H79" s="4" t="str">
        <f>IFERROR(__xludf.DUMMYFUNCTION("GOOGLETRANSLATE(C79, ""en"", ""id"")"),"B) Peringatan untuk penghinaan")</f>
        <v>B) Peringatan untuk penghinaan</v>
      </c>
      <c r="I79" s="4" t="str">
        <f>IFERROR(__xludf.DUMMYFUNCTION("GOOGLETRANSLATE(D79, ""en"", ""id"")"),"Meludah merupakan hal yang tidak terhormat dan akan mendapat peringatan.")</f>
        <v>Meludah merupakan hal yang tidak terhormat dan akan mendapat peringatan.</v>
      </c>
    </row>
    <row r="80">
      <c r="A80" s="10" t="s">
        <v>1858</v>
      </c>
      <c r="B80" s="10" t="s">
        <v>1859</v>
      </c>
      <c r="C80" s="10" t="s">
        <v>1860</v>
      </c>
      <c r="D80" s="10" t="s">
        <v>1861</v>
      </c>
      <c r="F80" s="4" t="str">
        <f>IFERROR(__xludf.DUMMYFUNCTION("GOOGLETRANSLATE(A80, ""en"", ""id"")"),"Kalau tongkat petarung retak tapi tidak patah sepenuhnya, apa yang terjadi?")</f>
        <v>Kalau tongkat petarung retak tapi tidak patah sepenuhnya, apa yang terjadi?</v>
      </c>
      <c r="G80" s="4" t="str">
        <f>IFERROR(__xludf.DUMMYFUNCTION("GOOGLETRANSLATE(B80, ""en"", ""id"")"),"A) Lanjutkan B) Jeda untuk penggantian C) Lawan menang D) Wasit memutuskan")</f>
        <v>A) Lanjutkan B) Jeda untuk penggantian C) Lawan menang D) Wasit memutuskan</v>
      </c>
      <c r="H80" s="4" t="str">
        <f>IFERROR(__xludf.DUMMYFUNCTION("GOOGLETRANSLATE(C80, ""en"", ""id"")"),"B) Jeda untuk penggantian")</f>
        <v>B) Jeda untuk penggantian</v>
      </c>
      <c r="I80" s="4" t="str">
        <f>IFERROR(__xludf.DUMMYFUNCTION("GOOGLETRANSLATE(D80, ""en"", ""id"")"),"Tongkat yang retak dapat patah secara berbahaya; perlu diganti.")</f>
        <v>Tongkat yang retak dapat patah secara berbahaya; perlu diganti.</v>
      </c>
    </row>
    <row r="81">
      <c r="A81" s="10" t="s">
        <v>1862</v>
      </c>
      <c r="B81" s="10" t="s">
        <v>1863</v>
      </c>
      <c r="C81" s="10" t="s">
        <v>1864</v>
      </c>
      <c r="D81" s="10" t="s">
        <v>1865</v>
      </c>
      <c r="F81" s="4" t="str">
        <f>IFERROR(__xludf.DUMMYFUNCTION("GOOGLETRANSLATE(A81, ""en"", ""id"")"),"Jika seorang petarung menundukkan kepala sebagai permintaan maaf di tengah pertarungan, apa aturannya?")</f>
        <v>Jika seorang petarung menundukkan kepala sebagai permintaan maaf di tengah pertarungan, apa aturannya?</v>
      </c>
      <c r="G81" s="4" t="str">
        <f>IFERROR(__xludf.DUMMYFUNCTION("GOOGLETRANSLATE(B81, ""en"", ""id"")"),"A) Diizinkan sebagai bentuk kesopanan B) Peringatan atas keterlambatan C) Lawan menang D) Pertandingan dihentikan sementara")</f>
        <v>A) Diizinkan sebagai bentuk kesopanan B) Peringatan atas keterlambatan C) Lawan menang D) Pertandingan dihentikan sementara</v>
      </c>
      <c r="H81" s="4" t="str">
        <f>IFERROR(__xludf.DUMMYFUNCTION("GOOGLETRANSLATE(C81, ""en"", ""id"")"),"B) Peringatan keterlambatan")</f>
        <v>B) Peringatan keterlambatan</v>
      </c>
      <c r="I81" s="4" t="str">
        <f>IFERROR(__xludf.DUMMYFUNCTION("GOOGLETRANSLATE(D81, ""en"", ""id"")"),"Kesopanan dihormati, tetapi menunda pertempuran akan berakibat peringatan.")</f>
        <v>Kesopanan dihormati, tetapi menunda pertempuran akan berakibat peringatan.</v>
      </c>
    </row>
    <row r="82">
      <c r="A82" s="10" t="s">
        <v>1866</v>
      </c>
      <c r="B82" s="10" t="s">
        <v>1867</v>
      </c>
      <c r="C82" s="10" t="s">
        <v>1868</v>
      </c>
      <c r="D82" s="10" t="s">
        <v>1869</v>
      </c>
      <c r="F82" s="4" t="str">
        <f>IFERROR(__xludf.DUMMYFUNCTION("GOOGLETRANSLATE(A82, ""en"", ""id"")"),"Jika tali pelindung diperbaiki di tengah pertandingan dengan kain, apa yang terjadi?")</f>
        <v>Jika tali pelindung diperbaiki di tengah pertandingan dengan kain, apa yang terjadi?</v>
      </c>
      <c r="G82" s="4" t="str">
        <f>IFERROR(__xludf.DUMMYFUNCTION("GOOGLETRANSLATE(B82, ""en"", ""id"")"),"A) Diizinkan B) Pertandingan dihentikan sementara sampai ada perbaikan yang tepat C) Lawan menang D) Petarung didiskualifikasi")</f>
        <v>A) Diizinkan B) Pertandingan dihentikan sementara sampai ada perbaikan yang tepat C) Lawan menang D) Petarung didiskualifikasi</v>
      </c>
      <c r="H82" s="4" t="str">
        <f>IFERROR(__xludf.DUMMYFUNCTION("GOOGLETRANSLATE(C82, ""en"", ""id"")"),"B) Pertandingan dijeda hingga perbaikan yang tepat")</f>
        <v>B) Pertandingan dijeda hingga perbaikan yang tepat</v>
      </c>
      <c r="I82" s="4" t="str">
        <f>IFERROR(__xludf.DUMMYFUNCTION("GOOGLETRANSLATE(D82, ""en"", ""id"")"),"Perbaikan sementara menghentikan pertarungan sampai ada perbaikan yang tepat.")</f>
        <v>Perbaikan sementara menghentikan pertarungan sampai ada perbaikan yang tepat.</v>
      </c>
    </row>
    <row r="83">
      <c r="A83" s="10" t="s">
        <v>1870</v>
      </c>
      <c r="B83" s="10" t="s">
        <v>1871</v>
      </c>
      <c r="C83" s="10" t="s">
        <v>236</v>
      </c>
      <c r="D83" s="10" t="s">
        <v>1872</v>
      </c>
      <c r="F83" s="4" t="str">
        <f>IFERROR(__xludf.DUMMYFUNCTION("GOOGLETRANSLATE(A83, ""en"", ""id"")"),"Jika seorang petarung mengayunkan pedangnya setelah penggantian perisai tetapi sebelum wasit memulai kembali, apa yang ditetapkan?")</f>
        <v>Jika seorang petarung mengayunkan pedangnya setelah penggantian perisai tetapi sebelum wasit memulai kembali, apa yang ditetapkan?</v>
      </c>
      <c r="G83" s="4" t="str">
        <f>IFERROR(__xludf.DUMMYFUNCTION("GOOGLETRANSLATE(B83, ""en"", ""id"")"),"A) Pukulan diperbolehkan B) Hanya peringatan C) Diskualifikasi D) Lawan menang")</f>
        <v>A) Pukulan diperbolehkan B) Hanya peringatan C) Diskualifikasi D) Lawan menang</v>
      </c>
      <c r="H83" s="4" t="str">
        <f>IFERROR(__xludf.DUMMYFUNCTION("GOOGLETRANSLATE(C83, ""en"", ""id"")"),"C) Diskualifikasi")</f>
        <v>C) Diskualifikasi</v>
      </c>
      <c r="I83" s="4" t="str">
        <f>IFERROR(__xludf.DUMMYFUNCTION("GOOGLETRANSLATE(D83, ""en"", ""id"")"),"Menyerang sebelum perintah mulai ulang tidak menghormati aturan.")</f>
        <v>Menyerang sebelum perintah mulai ulang tidak menghormati aturan.</v>
      </c>
    </row>
    <row r="84">
      <c r="A84" s="10" t="s">
        <v>1873</v>
      </c>
      <c r="B84" s="10" t="s">
        <v>1874</v>
      </c>
      <c r="C84" s="10" t="s">
        <v>1875</v>
      </c>
      <c r="D84" s="10" t="s">
        <v>1876</v>
      </c>
      <c r="F84" s="4" t="str">
        <f>IFERROR(__xludf.DUMMYFUNCTION("GOOGLETRANSLATE(A84, ""en"", ""id"")"),"Jika seorang petarung bertarung tanpa alas kaki sementara petarung lain mengenakan sandal, apa hukumnya?")</f>
        <v>Jika seorang petarung bertarung tanpa alas kaki sementara petarung lain mengenakan sandal, apa hukumnya?</v>
      </c>
      <c r="G84" s="4" t="str">
        <f>IFERROR(__xludf.DUMMYFUNCTION("GOOGLETRANSLATE(B84, ""en"", ""id"")"),"A) Diizinkan B) Pertandingan dihentikan sementara untuk kedudukan yang sama C) Lawan menang D) Hanya peringatan")</f>
        <v>A) Diizinkan B) Pertandingan dihentikan sementara untuk kedudukan yang sama C) Lawan menang D) Hanya peringatan</v>
      </c>
      <c r="H84" s="4" t="str">
        <f>IFERROR(__xludf.DUMMYFUNCTION("GOOGLETRANSLATE(C84, ""en"", ""id"")"),"B) Pertandingan dihentikan sementara demi menjaga keseimbangan")</f>
        <v>B) Pertandingan dihentikan sementara demi menjaga keseimbangan</v>
      </c>
      <c r="I84" s="4" t="str">
        <f>IFERROR(__xludf.DUMMYFUNCTION("GOOGLETRANSLATE(D84, ""en"", ""id"")"),"Para petarung harus memiliki kondisi yang sama; sandal dilepas atau keduanya bertelanjang kaki.")</f>
        <v>Para petarung harus memiliki kondisi yang sama; sandal dilepas atau keduanya bertelanjang kaki.</v>
      </c>
    </row>
    <row r="85">
      <c r="A85" s="10" t="s">
        <v>1877</v>
      </c>
      <c r="B85" s="10" t="s">
        <v>1878</v>
      </c>
      <c r="C85" s="10" t="s">
        <v>1818</v>
      </c>
      <c r="D85" s="10" t="s">
        <v>1879</v>
      </c>
      <c r="F85" s="4" t="str">
        <f>IFERROR(__xludf.DUMMYFUNCTION("GOOGLETRANSLATE(A85, ""en"", ""id"")"),"Jika petarung berteriak untuk mengalihkan perhatian lawan di tengah serangan, apa yang terjadi?")</f>
        <v>Jika petarung berteriak untuk mengalihkan perhatian lawan di tengah serangan, apa yang terjadi?</v>
      </c>
      <c r="G85" s="4" t="str">
        <f>IFERROR(__xludf.DUMMYFUNCTION("GOOGLETRANSLATE(B85, ""en"", ""id"")"),"A) Diizinkan B) Peringatan C) Lawan menang D) Pertandingan dihentikan sementara")</f>
        <v>A) Diizinkan B) Peringatan C) Lawan menang D) Pertandingan dihentikan sementara</v>
      </c>
      <c r="H85" s="4" t="str">
        <f>IFERROR(__xludf.DUMMYFUNCTION("GOOGLETRANSLATE(C85, ""en"", ""id"")"),"B) Peringatan")</f>
        <v>B) Peringatan</v>
      </c>
      <c r="I85" s="4" t="str">
        <f>IFERROR(__xludf.DUMMYFUNCTION("GOOGLETRANSLATE(D85, ""en"", ""id"")"),"Berteriak untuk mengalihkan perhatian adalah tindakan yang tidak sportif; akan mendapat peringatan.")</f>
        <v>Berteriak untuk mengalihkan perhatian adalah tindakan yang tidak sportif; akan mendapat peringatan.</v>
      </c>
    </row>
    <row r="86">
      <c r="A86" s="10" t="s">
        <v>1880</v>
      </c>
      <c r="B86" s="10" t="s">
        <v>1766</v>
      </c>
      <c r="C86" s="10" t="s">
        <v>1840</v>
      </c>
      <c r="D86" s="10" t="s">
        <v>1881</v>
      </c>
      <c r="F86" s="4" t="str">
        <f>IFERROR(__xludf.DUMMYFUNCTION("GOOGLETRANSLATE(A86, ""en"", ""id"")"),"Jika perisai terlepas dan tidak sengaja mengenai kaki lawan, apa aturannya?")</f>
        <v>Jika perisai terlepas dan tidak sengaja mengenai kaki lawan, apa aturannya?</v>
      </c>
      <c r="G86" s="4" t="str">
        <f>IFERROR(__xludf.DUMMYFUNCTION("GOOGLETRANSLATE(B86, ""en"", ""id"")"),"A) Diizinkan B) Peringatan dikeluarkan C) Lawan menang D) Pertandingan dihentikan sementara")</f>
        <v>A) Diizinkan B) Peringatan dikeluarkan C) Lawan menang D) Pertandingan dihentikan sementara</v>
      </c>
      <c r="H86" s="4" t="str">
        <f>IFERROR(__xludf.DUMMYFUNCTION("GOOGLETRANSLATE(C86, ""en"", ""id"")"),"A) Diizinkan")</f>
        <v>A) Diizinkan</v>
      </c>
      <c r="I86" s="4" t="str">
        <f>IFERROR(__xludf.DUMMYFUNCTION("GOOGLETRANSLATE(D86, ""en"", ""id"")"),"Kontak kaki yang tidak disengaja dengan perisai ditoleransi.")</f>
        <v>Kontak kaki yang tidak disengaja dengan perisai ditoleransi.</v>
      </c>
    </row>
    <row r="87">
      <c r="A87" s="10" t="s">
        <v>1882</v>
      </c>
      <c r="B87" s="10" t="s">
        <v>1883</v>
      </c>
      <c r="C87" s="10" t="s">
        <v>1840</v>
      </c>
      <c r="D87" s="10" t="s">
        <v>1884</v>
      </c>
      <c r="F87" s="4" t="str">
        <f>IFERROR(__xludf.DUMMYFUNCTION("GOOGLETRANSLATE(A87, ""en"", ""id"")"),"Jika seorang petarung mengetuk tanah dengan tongkat sebagai intimidasi, apa yang terjadi?")</f>
        <v>Jika seorang petarung mengetuk tanah dengan tongkat sebagai intimidasi, apa yang terjadi?</v>
      </c>
      <c r="G87" s="4" t="str">
        <f>IFERROR(__xludf.DUMMYFUNCTION("GOOGLETRANSLATE(B87, ""en"", ""id"")"),"A) Diizinkan B) Peringatan karena menunda C) Lawan menang D) Diskualifikasi")</f>
        <v>A) Diizinkan B) Peringatan karena menunda C) Lawan menang D) Diskualifikasi</v>
      </c>
      <c r="H87" s="4" t="str">
        <f>IFERROR(__xludf.DUMMYFUNCTION("GOOGLETRANSLATE(C87, ""en"", ""id"")"),"A) Diizinkan")</f>
        <v>A) Diizinkan</v>
      </c>
      <c r="I87" s="4" t="str">
        <f>IFERROR(__xludf.DUMMYFUNCTION("GOOGLETRANSLATE(D87, ""en"", ""id"")"),"Mengetuk adalah suatu pertunjukan, diperbolehkan kecuali berlebihan.")</f>
        <v>Mengetuk adalah suatu pertunjukan, diperbolehkan kecuali berlebihan.</v>
      </c>
    </row>
    <row r="88">
      <c r="A88" s="10" t="s">
        <v>1885</v>
      </c>
      <c r="B88" s="10" t="s">
        <v>1745</v>
      </c>
      <c r="C88" s="10" t="s">
        <v>1746</v>
      </c>
      <c r="D88" s="10" t="s">
        <v>1886</v>
      </c>
      <c r="F88" s="4" t="str">
        <f>IFERROR(__xludf.DUMMYFUNCTION("GOOGLETRANSLATE(A88, ""en"", ""id"")"),"Jika petarung bersembunyi di balik perisai tanpa bergerak lama, apa yang terjadi?")</f>
        <v>Jika petarung bersembunyi di balik perisai tanpa bergerak lama, apa yang terjadi?</v>
      </c>
      <c r="G88" s="4" t="str">
        <f>IFERROR(__xludf.DUMMYFUNCTION("GOOGLETRANSLATE(B88, ""en"", ""id"")"),"A) Diizinkan B) Peringatan karena tidak aktif C) Lawan menang D) Pertandingan dimulai kembali")</f>
        <v>A) Diizinkan B) Peringatan karena tidak aktif C) Lawan menang D) Pertandingan dimulai kembali</v>
      </c>
      <c r="H88" s="4" t="str">
        <f>IFERROR(__xludf.DUMMYFUNCTION("GOOGLETRANSLATE(C88, ""en"", ""id"")"),"B) Peringatan untuk tidak aktif")</f>
        <v>B) Peringatan untuk tidak aktif</v>
      </c>
      <c r="I88" s="4" t="str">
        <f>IFERROR(__xludf.DUMMYFUNCTION("GOOGLETRANSLATE(D88, ""en"", ""id"")"),"Bersembunyi total mematahkan semangat Peresean; peringatan diberikan.")</f>
        <v>Bersembunyi total mematahkan semangat Peresean; peringatan diberikan.</v>
      </c>
    </row>
    <row r="89">
      <c r="A89" s="10" t="s">
        <v>1887</v>
      </c>
      <c r="B89" s="10" t="s">
        <v>1888</v>
      </c>
      <c r="C89" s="10" t="s">
        <v>1889</v>
      </c>
      <c r="D89" s="10" t="s">
        <v>1890</v>
      </c>
      <c r="F89" s="4" t="str">
        <f>IFERROR(__xludf.DUMMYFUNCTION("GOOGLETRANSLATE(A89, ""en"", ""id"")"),"Jika wasit meniup peluit saat memberi tanda, apa yang harus dilakukan petarung?")</f>
        <v>Jika wasit meniup peluit saat memberi tanda, apa yang harus dilakukan petarung?</v>
      </c>
      <c r="G89" s="4" t="str">
        <f>IFERROR(__xludf.DUMMYFUNCTION("GOOGLETRANSLATE(B89, ""en"", ""id"")"),"A) Lanjutkan B) Jeda seketika C) Lawan menang D) Mulai ulang pertandingan")</f>
        <v>A) Lanjutkan B) Jeda seketika C) Lawan menang D) Mulai ulang pertandingan</v>
      </c>
      <c r="H89" s="4" t="str">
        <f>IFERROR(__xludf.DUMMYFUNCTION("GOOGLETRANSLATE(C89, ""en"", ""id"")"),"B) Berhenti sejenak")</f>
        <v>B) Berhenti sejenak</v>
      </c>
      <c r="I89" s="4" t="str">
        <f>IFERROR(__xludf.DUMMYFUNCTION("GOOGLETRANSLATE(D89, ""en"", ""id"")"),"Gangguan apa pun terhadap sinyal wasit, bahkan yang tidak disengaja (seperti meniup peluit), mengharuskan para petarung untuk segera berhenti sampai ketertiban dipulihkan.")</f>
        <v>Gangguan apa pun terhadap sinyal wasit, bahkan yang tidak disengaja (seperti meniup peluit), mengharuskan para petarung untuk segera berhenti sampai ketertiban dipulihkan.</v>
      </c>
    </row>
    <row r="90">
      <c r="A90" s="10" t="s">
        <v>1891</v>
      </c>
      <c r="B90" s="10" t="s">
        <v>1892</v>
      </c>
      <c r="C90" s="10" t="s">
        <v>1893</v>
      </c>
      <c r="D90" s="10" t="s">
        <v>1894</v>
      </c>
      <c r="F90" s="4" t="str">
        <f>IFERROR(__xludf.DUMMYFUNCTION("GOOGLETRANSLATE(A90, ""en"", ""id"")"),"Jika seorang petarung dengan sengaja menyembunyikan cederanya dari wasit, apa hukumnya jika ketahuan?")</f>
        <v>Jika seorang petarung dengan sengaja menyembunyikan cederanya dari wasit, apa hukumnya jika ketahuan?</v>
      </c>
      <c r="G90" s="4" t="str">
        <f>IFERROR(__xludf.DUMMYFUNCTION("GOOGLETRANSLATE(B90, ""en"", ""id"")"),"A) Diperbolehkan sebagai keberanian B) Peringatan karena ketidakjujuran C) Petarung didiskualifikasi D) Lawan menang")</f>
        <v>A) Diperbolehkan sebagai keberanian B) Peringatan karena ketidakjujuran C) Petarung didiskualifikasi D) Lawan menang</v>
      </c>
      <c r="H90" s="4" t="str">
        <f>IFERROR(__xludf.DUMMYFUNCTION("GOOGLETRANSLATE(C90, ""en"", ""id"")"),"B) Peringatan untuk ketidakjujuran")</f>
        <v>B) Peringatan untuk ketidakjujuran</v>
      </c>
      <c r="I90" s="4" t="str">
        <f>IFERROR(__xludf.DUMMYFUNCTION("GOOGLETRANSLATE(D90, ""en"", ""id"")"),"Menyembunyikan cedera memang melanggar aturan kejujuran, tetapi tidak berarti kalah seketika. Wasit mengeluarkan peringatan atas ketidakjujuran.")</f>
        <v>Menyembunyikan cedera memang melanggar aturan kejujuran, tetapi tidak berarti kalah seketika. Wasit mengeluarkan peringatan atas ketidakjujuran.</v>
      </c>
    </row>
    <row r="91">
      <c r="A91" s="10" t="s">
        <v>1895</v>
      </c>
      <c r="B91" s="10" t="s">
        <v>1896</v>
      </c>
      <c r="C91" s="10" t="s">
        <v>1897</v>
      </c>
      <c r="D91" s="10" t="s">
        <v>1898</v>
      </c>
      <c r="F91" s="4" t="str">
        <f>IFERROR(__xludf.DUMMYFUNCTION("GOOGLETRANSLATE(A91, ""en"", ""id"")"),"Jika kedua petarung secara bersamaan menolak perintah wasit untuk melanjutkan pertarungan setelah jeda, apa yang terjadi?")</f>
        <v>Jika kedua petarung secara bersamaan menolak perintah wasit untuk melanjutkan pertarungan setelah jeda, apa yang terjadi?</v>
      </c>
      <c r="G91" s="4" t="str">
        <f>IFERROR(__xludf.DUMMYFUNCTION("GOOGLETRANSLATE(B91, ""en"", ""id"")"),"A) Pertandingan tetap dimulai kembali B) Keduanya diperingatkan C) Keduanya didiskualifikasi D) Para tetua turun tangan untuk memutuskan")</f>
        <v>A) Pertandingan tetap dimulai kembali B) Keduanya diperingatkan C) Keduanya didiskualifikasi D) Para tetua turun tangan untuk memutuskan</v>
      </c>
      <c r="H91" s="4" t="str">
        <f>IFERROR(__xludf.DUMMYFUNCTION("GOOGLETRANSLATE(C91, ""en"", ""id"")"),"C) Keduanya didiskualifikasi")</f>
        <v>C) Keduanya didiskualifikasi</v>
      </c>
      <c r="I91" s="4" t="str">
        <f>IFERROR(__xludf.DUMMYFUNCTION("GOOGLETRANSLATE(D91, ""en"", ""id"")"),"Mengabaikan perintah wasit untuk memulai kembali pertandingan menunjukkan pembangkangan bersama terhadap otoritas, yang merupakan hal yang tidak terhormat. Kedua petarung didiskualifikasi.")</f>
        <v>Mengabaikan perintah wasit untuk memulai kembali pertandingan menunjukkan pembangkangan bersama terhadap otoritas, yang merupakan hal yang tidak terhormat. Kedua petarung didiskualifikasi.</v>
      </c>
    </row>
    <row r="92">
      <c r="A92" s="10" t="s">
        <v>1899</v>
      </c>
      <c r="B92" s="10" t="s">
        <v>1900</v>
      </c>
      <c r="C92" s="10" t="s">
        <v>1901</v>
      </c>
      <c r="D92" s="10" t="s">
        <v>1902</v>
      </c>
      <c r="F92" s="4" t="str">
        <f>IFERROR(__xludf.DUMMYFUNCTION("GOOGLETRANSLATE(A92, ""en"", ""id"")"),"Dalam Peresean, apa senjata tradisional yang digunakan oleh para petarung?")</f>
        <v>Dalam Peresean, apa senjata tradisional yang digunakan oleh para petarung?</v>
      </c>
      <c r="G92" s="4" t="str">
        <f>IFERROR(__xludf.DUMMYFUNCTION("GOOGLETRANSLATE(B92, ""en"", ""id"")"),"A) Pedang, B) Tombak, C) Tongkat rotan, D) Busur")</f>
        <v>A) Pedang, B) Tombak, C) Tongkat rotan, D) Busur</v>
      </c>
      <c r="H92" s="4" t="str">
        <f>IFERROR(__xludf.DUMMYFUNCTION("GOOGLETRANSLATE(C92, ""en"", ""id"")"),"C) Tongkat rotan")</f>
        <v>C) Tongkat rotan</v>
      </c>
      <c r="I92" s="4" t="str">
        <f>IFERROR(__xludf.DUMMYFUNCTION("GOOGLETRANSLATE(D92, ""en"", ""id"")"),"Petarung Peresean menggunakan tongkat rotan untuk menyerang lawan mereka dalam seni bela diri tradisional Indonesia ini.")</f>
        <v>Petarung Peresean menggunakan tongkat rotan untuk menyerang lawan mereka dalam seni bela diri tradisional Indonesia ini.</v>
      </c>
    </row>
    <row r="93">
      <c r="A93" s="10" t="s">
        <v>1903</v>
      </c>
      <c r="B93" s="10" t="s">
        <v>1904</v>
      </c>
      <c r="C93" s="10" t="s">
        <v>1905</v>
      </c>
      <c r="D93" s="10" t="s">
        <v>1906</v>
      </c>
      <c r="F93" s="4" t="str">
        <f>IFERROR(__xludf.DUMMYFUNCTION("GOOGLETRANSLATE(A93, ""en"", ""id"")"),"Jenis perisai apa yang secara tradisional digunakan dalam Peresean?")</f>
        <v>Jenis perisai apa yang secara tradisional digunakan dalam Peresean?</v>
      </c>
      <c r="G93" s="4" t="str">
        <f>IFERROR(__xludf.DUMMYFUNCTION("GOOGLETRANSLATE(B93, ""en"", ""id"")"),"A) Perisai bambu, B) Perisai kulit, C) Perisai kayu, D) Perisai logam")</f>
        <v>A) Perisai bambu, B) Perisai kulit, C) Perisai kayu, D) Perisai logam</v>
      </c>
      <c r="H93" s="4" t="str">
        <f>IFERROR(__xludf.DUMMYFUNCTION("GOOGLETRANSLATE(C93, ""en"", ""id"")"),"B) Perisai kulit")</f>
        <v>B) Perisai kulit</v>
      </c>
      <c r="I93" s="4" t="str">
        <f>IFERROR(__xludf.DUMMYFUNCTION("GOOGLETRANSLATE(D93, ""en"", ""id"")"),"Perisai kulit, yang secara lokal disebut 'ende', digunakan untuk mempertahankan diri terhadap serangan di Peresean.")</f>
        <v>Perisai kulit, yang secara lokal disebut 'ende', digunakan untuk mempertahankan diri terhadap serangan di Peresean.</v>
      </c>
    </row>
    <row r="94">
      <c r="A94" s="10" t="s">
        <v>1907</v>
      </c>
      <c r="B94" s="10" t="s">
        <v>1908</v>
      </c>
      <c r="C94" s="10" t="s">
        <v>1909</v>
      </c>
      <c r="D94" s="10" t="s">
        <v>1910</v>
      </c>
      <c r="F94" s="4" t="str">
        <f>IFERROR(__xludf.DUMMYFUNCTION("GOOGLETRANSLATE(A94, ""en"", ""id"")"),"Peresean berasal dari pulau Indonesia manakah?")</f>
        <v>Peresean berasal dari pulau Indonesia manakah?</v>
      </c>
      <c r="G94" s="4" t="str">
        <f>IFERROR(__xludf.DUMMYFUNCTION("GOOGLETRANSLATE(B94, ""en"", ""id"")"),"A) Jawa, B) Bali, C) Lombok, D) Sumatera")</f>
        <v>A) Jawa, B) Bali, C) Lombok, D) Sumatera</v>
      </c>
      <c r="H94" s="4" t="str">
        <f>IFERROR(__xludf.DUMMYFUNCTION("GOOGLETRANSLATE(C94, ""en"", ""id"")"),"C) Lombok")</f>
        <v>C) Lombok</v>
      </c>
      <c r="I94" s="4" t="str">
        <f>IFERROR(__xludf.DUMMYFUNCTION("GOOGLETRANSLATE(D94, ""en"", ""id"")"),"Peresean adalah seni bela diri tradisional yang berasal dari masyarakat Sasak di Pulau Lombok.")</f>
        <v>Peresean adalah seni bela diri tradisional yang berasal dari masyarakat Sasak di Pulau Lombok.</v>
      </c>
    </row>
    <row r="95">
      <c r="A95" s="10" t="s">
        <v>1911</v>
      </c>
      <c r="B95" s="10" t="s">
        <v>1912</v>
      </c>
      <c r="C95" s="10" t="s">
        <v>1913</v>
      </c>
      <c r="D95" s="10" t="s">
        <v>1914</v>
      </c>
      <c r="F95" s="4" t="str">
        <f>IFERROR(__xludf.DUMMYFUNCTION("GOOGLETRANSLATE(A95, ""en"", ""id"")"),"Apa peran Penyelung dalam Peresean?")</f>
        <v>Apa peran Penyelung dalam Peresean?</v>
      </c>
      <c r="G95" s="4" t="str">
        <f>IFERROR(__xludf.DUMMYFUNCTION("GOOGLETRANSLATE(B95, ""en"", ""id"")"),"A) Wasit, B) Petarung, C) Pelatih, D) Penonton")</f>
        <v>A) Wasit, B) Petarung, C) Pelatih, D) Penonton</v>
      </c>
      <c r="H95" s="4" t="str">
        <f>IFERROR(__xludf.DUMMYFUNCTION("GOOGLETRANSLATE(C95, ""en"", ""id"")"),"A) Wasit")</f>
        <v>A) Wasit</v>
      </c>
      <c r="I95" s="4" t="str">
        <f>IFERROR(__xludf.DUMMYFUNCTION("GOOGLETRANSLATE(D95, ""en"", ""id"")"),"Penyelung berperan sebagai wasit untuk memastikan para petarung menaati peraturan dan menjaga keselamatan.")</f>
        <v>Penyelung berperan sebagai wasit untuk memastikan para petarung menaati peraturan dan menjaga keselamatan.</v>
      </c>
    </row>
    <row r="96">
      <c r="A96" s="10" t="s">
        <v>1915</v>
      </c>
      <c r="B96" s="10" t="s">
        <v>1916</v>
      </c>
      <c r="C96" s="10" t="s">
        <v>1917</v>
      </c>
      <c r="D96" s="10" t="s">
        <v>1918</v>
      </c>
      <c r="F96" s="4" t="str">
        <f>IFERROR(__xludf.DUMMYFUNCTION("GOOGLETRANSLATE(A96, ""en"", ""id"")"),"Apa tujuan utama Peresean dalam budaya Sasak?")</f>
        <v>Apa tujuan utama Peresean dalam budaya Sasak?</v>
      </c>
      <c r="G96" s="4" t="str">
        <f>IFERROR(__xludf.DUMMYFUNCTION("GOOGLETRANSLATE(B96, ""en"", ""id"")"),"A) Hiburan, B) Pertahanan, C) Ritual hujan, D) Kompetisi")</f>
        <v>A) Hiburan, B) Pertahanan, C) Ritual hujan, D) Kompetisi</v>
      </c>
      <c r="H96" s="4" t="str">
        <f>IFERROR(__xludf.DUMMYFUNCTION("GOOGLETRANSLATE(C96, ""en"", ""id"")"),"C) Ritual hujan")</f>
        <v>C) Ritual hujan</v>
      </c>
      <c r="I96" s="4" t="str">
        <f>IFERROR(__xludf.DUMMYFUNCTION("GOOGLETRANSLATE(D96, ""en"", ""id"")"),"Secara tradisional, Peresean dilakukan untuk mendatangkan hujan saat musim kemarau dalam budaya Sasak.")</f>
        <v>Secara tradisional, Peresean dilakukan untuk mendatangkan hujan saat musim kemarau dalam budaya Sasak.</v>
      </c>
    </row>
    <row r="97">
      <c r="A97" s="10" t="s">
        <v>1919</v>
      </c>
      <c r="B97" s="10" t="s">
        <v>1920</v>
      </c>
      <c r="C97" s="10" t="s">
        <v>1921</v>
      </c>
      <c r="D97" s="10" t="s">
        <v>1922</v>
      </c>
      <c r="F97" s="4" t="str">
        <f>IFERROR(__xludf.DUMMYFUNCTION("GOOGLETRANSLATE(A97, ""en"", ""id"")"),"Bagaimana pertandingan Peresean biasanya berakhir?")</f>
        <v>Bagaimana pertandingan Peresean biasanya berakhir?</v>
      </c>
      <c r="G97" s="4" t="str">
        <f>IFERROR(__xludf.DUMMYFUNCTION("GOOGLETRANSLATE(B97, ""en"", ""id"")"),"A) Knockout, B) Poin, C) Sampai salah satu petarung berdarah, D) Keputusan juri")</f>
        <v>A) Knockout, B) Poin, C) Sampai salah satu petarung berdarah, D) Keputusan juri</v>
      </c>
      <c r="H97" s="4" t="str">
        <f>IFERROR(__xludf.DUMMYFUNCTION("GOOGLETRANSLATE(C97, ""en"", ""id"")"),"C) Sampai salah satu petarung berdarah")</f>
        <v>C) Sampai salah satu petarung berdarah</v>
      </c>
      <c r="I97" s="4" t="str">
        <f>IFERROR(__xludf.DUMMYFUNCTION("GOOGLETRANSLATE(D97, ""en"", ""id"")"),"Pertandingan Peresean biasanya berakhir ketika salah satu petarung terlihat terluka, terutama hingga berdarah.")</f>
        <v>Pertandingan Peresean biasanya berakhir ketika salah satu petarung terlihat terluka, terutama hingga berdarah.</v>
      </c>
    </row>
    <row r="98">
      <c r="A98" s="10" t="s">
        <v>1923</v>
      </c>
      <c r="B98" s="10" t="s">
        <v>1924</v>
      </c>
      <c r="C98" s="10" t="s">
        <v>1925</v>
      </c>
      <c r="D98" s="10" t="s">
        <v>1926</v>
      </c>
      <c r="F98" s="4" t="str">
        <f>IFERROR(__xludf.DUMMYFUNCTION("GOOGLETRANSLATE(A98, ""en"", ""id"")"),"Pakaian apa yang dikenakan petarung Peresean saat bertanding?")</f>
        <v>Pakaian apa yang dikenakan petarung Peresean saat bertanding?</v>
      </c>
      <c r="G98" s="4" t="str">
        <f>IFERROR(__xludf.DUMMYFUNCTION("GOOGLETRANSLATE(B98, ""en"", ""id"")"),"A) Sarung tradisional, B) Baju zirah, C) Jubah, D) Tidak ada pakaian khusus")</f>
        <v>A) Sarung tradisional, B) Baju zirah, C) Jubah, D) Tidak ada pakaian khusus</v>
      </c>
      <c r="H98" s="4" t="str">
        <f>IFERROR(__xludf.DUMMYFUNCTION("GOOGLETRANSLATE(C98, ""en"", ""id"")"),"A) Sarung tradisional")</f>
        <v>A) Sarung tradisional</v>
      </c>
      <c r="I98" s="4" t="str">
        <f>IFERROR(__xludf.DUMMYFUNCTION("GOOGLETRANSLATE(D98, ""en"", ""id"")"),"Pejuang mengenakan sarung dan penutup kepala tradisional Sasak selama pertandingan Peresean.")</f>
        <v>Pejuang mengenakan sarung dan penutup kepala tradisional Sasak selama pertandingan Peresean.</v>
      </c>
    </row>
    <row r="99">
      <c r="A99" s="10" t="s">
        <v>1927</v>
      </c>
      <c r="B99" s="10" t="s">
        <v>1928</v>
      </c>
      <c r="C99" s="10" t="s">
        <v>1929</v>
      </c>
      <c r="D99" s="10" t="s">
        <v>1930</v>
      </c>
      <c r="F99" s="4" t="str">
        <f>IFERROR(__xludf.DUMMYFUNCTION("GOOGLETRANSLATE(A99, ""en"", ""id"")"),"Dalam Peresean, petarung secara tradisional dikenal sebagai:")</f>
        <v>Dalam Peresean, petarung secara tradisional dikenal sebagai:</v>
      </c>
      <c r="G99" s="4" t="str">
        <f>IFERROR(__xludf.DUMMYFUNCTION("GOOGLETRANSLATE(B99, ""en"", ""id"")"),"A) Prajurit, B) Pepadu, C) Ksatria, D) Ksatria")</f>
        <v>A) Prajurit, B) Pepadu, C) Ksatria, D) Ksatria</v>
      </c>
      <c r="H99" s="4" t="str">
        <f>IFERROR(__xludf.DUMMYFUNCTION("GOOGLETRANSLATE(C99, ""en"", ""id"")"),"B) Pepadu")</f>
        <v>B) Pepadu</v>
      </c>
      <c r="I99" s="4" t="str">
        <f>IFERROR(__xludf.DUMMYFUNCTION("GOOGLETRANSLATE(D99, ""en"", ""id"")"),"Para pejuang dalam Peresean disebut 'Pepadu', yang melambangkan keberanian dan keterampilan.")</f>
        <v>Para pejuang dalam Peresean disebut 'Pepadu', yang melambangkan keberanian dan keterampilan.</v>
      </c>
    </row>
    <row r="100">
      <c r="A100" s="10" t="s">
        <v>1931</v>
      </c>
      <c r="B100" s="10" t="s">
        <v>1932</v>
      </c>
      <c r="C100" s="10" t="s">
        <v>1933</v>
      </c>
      <c r="D100" s="10" t="s">
        <v>1934</v>
      </c>
      <c r="F100" s="4" t="str">
        <f>IFERROR(__xludf.DUMMYFUNCTION("GOOGLETRANSLATE(A100, ""en"", ""id"")"),"Bahan apa yang digunakan untuk membuat tongkat rotan, senjata utama dalam Peresean?")</f>
        <v>Bahan apa yang digunakan untuk membuat tongkat rotan, senjata utama dalam Peresean?</v>
      </c>
      <c r="G100" s="4" t="str">
        <f>IFERROR(__xludf.DUMMYFUNCTION("GOOGLETRANSLATE(B100, ""en"", ""id"")"),"A) Bambu, B) Rotan, C) Kayu, D) Logam")</f>
        <v>A) Bambu, B) Rotan, C) Kayu, D) Logam</v>
      </c>
      <c r="H100" s="4" t="str">
        <f>IFERROR(__xludf.DUMMYFUNCTION("GOOGLETRANSLATE(C100, ""en"", ""id"")"),"B) Rotan")</f>
        <v>B) Rotan</v>
      </c>
      <c r="I100" s="4" t="str">
        <f>IFERROR(__xludf.DUMMYFUNCTION("GOOGLETRANSLATE(D100, ""en"", ""id"")"),"Senjata utama dalam Peresean adalah tongkat yang terbuat dari rotan, bahan yang fleksibel dan tahan lama.")</f>
        <v>Senjata utama dalam Peresean adalah tongkat yang terbuat dari rotan, bahan yang fleksibel dan tahan lama.</v>
      </c>
    </row>
    <row r="101">
      <c r="A101" s="10" t="s">
        <v>1935</v>
      </c>
      <c r="B101" s="10" t="s">
        <v>1936</v>
      </c>
      <c r="C101" s="10" t="s">
        <v>1937</v>
      </c>
      <c r="D101" s="10" t="s">
        <v>1938</v>
      </c>
      <c r="F101" s="4" t="str">
        <f>IFERROR(__xludf.DUMMYFUNCTION("GOOGLETRANSLATE(A101, ""en"", ""id"")"),"Siapa yang menyelenggarakan pertandingan Peresean selama festival tradisional?")</f>
        <v>Siapa yang menyelenggarakan pertandingan Peresean selama festival tradisional?</v>
      </c>
      <c r="G101" s="4" t="str">
        <f>IFERROR(__xludf.DUMMYFUNCTION("GOOGLETRANSLATE(B101, ""en"", ""id"")"),"A) Pemerintah, B) Tetua desa, C) Kelompok pemuda, D) Sekolah setempat")</f>
        <v>A) Pemerintah, B) Tetua desa, C) Kelompok pemuda, D) Sekolah setempat</v>
      </c>
      <c r="H101" s="4" t="str">
        <f>IFERROR(__xludf.DUMMYFUNCTION("GOOGLETRANSLATE(C101, ""en"", ""id"")"),"B) Tetua desa")</f>
        <v>B) Tetua desa</v>
      </c>
      <c r="I101" s="4" t="str">
        <f>IFERROR(__xludf.DUMMYFUNCTION("GOOGLETRANSLATE(D101, ""en"", ""id"")"),"Para tetua desa secara tradisional menyelenggarakan pertandingan Peresean sebagai bagian dari perayaan budaya.")</f>
        <v>Para tetua desa secara tradisional menyelenggarakan pertandingan Peresean sebagai bagian dari perayaan budaya.</v>
      </c>
    </row>
    <row r="102">
      <c r="A102" s="10" t="s">
        <v>1939</v>
      </c>
      <c r="B102" s="10" t="s">
        <v>1940</v>
      </c>
      <c r="C102" s="10" t="s">
        <v>1941</v>
      </c>
      <c r="D102" s="10" t="s">
        <v>1942</v>
      </c>
      <c r="F102" s="4" t="str">
        <f>IFERROR(__xludf.DUMMYFUNCTION("GOOGLETRANSLATE(A102, ""en"", ""id"")"),"Apa peran Penjalin dalam Peresean?")</f>
        <v>Apa peran Penjalin dalam Peresean?</v>
      </c>
      <c r="G102" s="4" t="str">
        <f>IFERROR(__xludf.DUMMYFUNCTION("GOOGLETRANSLATE(B102, ""en"", ""id"")"),"A) Pejuang, B) Pendukung, C) Hakim, D) Pengorganisir")</f>
        <v>A) Pejuang, B) Pendukung, C) Hakim, D) Pengorganisir</v>
      </c>
      <c r="H102" s="4" t="str">
        <f>IFERROR(__xludf.DUMMYFUNCTION("GOOGLETRANSLATE(C102, ""en"", ""id"")"),"D) Penyelenggara")</f>
        <v>D) Penyelenggara</v>
      </c>
      <c r="I102" s="4" t="str">
        <f>IFERROR(__xludf.DUMMYFUNCTION("GOOGLETRANSLATE(D102, ""en"", ""id"")"),"Penjalin bertugas menyelenggarakan acara Peresean dan memelihara adat istiadatnya.")</f>
        <v>Penjalin bertugas menyelenggarakan acara Peresean dan memelihara adat istiadatnya.</v>
      </c>
    </row>
    <row r="103">
      <c r="A103" s="10" t="s">
        <v>1943</v>
      </c>
      <c r="B103" s="10" t="s">
        <v>1944</v>
      </c>
      <c r="C103" s="10" t="s">
        <v>1945</v>
      </c>
      <c r="D103" s="10" t="s">
        <v>1946</v>
      </c>
      <c r="F103" s="4" t="str">
        <f>IFERROR(__xludf.DUMMYFUNCTION("GOOGLETRANSLATE(A103, ""en"", ""id"")"),"Apa alasan utama untuk mendeklarasikan pemenang dalam Peresean?")</f>
        <v>Apa alasan utama untuk mendeklarasikan pemenang dalam Peresean?</v>
      </c>
      <c r="G103" s="4" t="str">
        <f>IFERROR(__xludf.DUMMYFUNCTION("GOOGLETRANSLATE(B103, ""en"", ""id"")"),"A) Poin, B) Tampilan keterampilan, C) Cedera pertama yang terlihat, D) Daya tahan")</f>
        <v>A) Poin, B) Tampilan keterampilan, C) Cedera pertama yang terlihat, D) Daya tahan</v>
      </c>
      <c r="H103" s="4" t="str">
        <f>IFERROR(__xludf.DUMMYFUNCTION("GOOGLETRANSLATE(C103, ""en"", ""id"")"),"C) Cedera pertama yang terlihat")</f>
        <v>C) Cedera pertama yang terlihat</v>
      </c>
      <c r="I103" s="4" t="str">
        <f>IFERROR(__xludf.DUMMYFUNCTION("GOOGLETRANSLATE(D103, ""en"", ""id"")"),"Petarung pertama yang memperlihatkan cedera atau pendarahan yang nyata biasanya dinyatakan kalah.")</f>
        <v>Petarung pertama yang memperlihatkan cedera atau pendarahan yang nyata biasanya dinyatakan kalah.</v>
      </c>
    </row>
    <row r="104">
      <c r="A104" s="10" t="s">
        <v>1947</v>
      </c>
      <c r="B104" s="10" t="s">
        <v>1948</v>
      </c>
      <c r="C104" s="10" t="s">
        <v>1949</v>
      </c>
      <c r="D104" s="10" t="s">
        <v>1950</v>
      </c>
      <c r="F104" s="4" t="str">
        <f>IFERROR(__xludf.DUMMYFUNCTION("GOOGLETRANSLATE(A104, ""en"", ""id"")"),"Dalam Peresean, apa sinyal untuk memulai pertandingan?")</f>
        <v>Dalam Peresean, apa sinyal untuk memulai pertandingan?</v>
      </c>
      <c r="G104" s="4" t="str">
        <f>IFERROR(__xludf.DUMMYFUNCTION("GOOGLETRANSLATE(B104, ""en"", ""id"")"),"A) Ketukan drum, B) Suara gong, C) Isyarat tangan, D) Isyarat verbal")</f>
        <v>A) Ketukan drum, B) Suara gong, C) Isyarat tangan, D) Isyarat verbal</v>
      </c>
      <c r="H104" s="4" t="str">
        <f>IFERROR(__xludf.DUMMYFUNCTION("GOOGLETRANSLATE(C104, ""en"", ""id"")"),"A) Ketukan drum")</f>
        <v>A) Ketukan drum</v>
      </c>
      <c r="I104" s="4" t="str">
        <f>IFERROR(__xludf.DUMMYFUNCTION("GOOGLETRANSLATE(D104, ""en"", ""id"")"),"Ketukan drum tradisional menandakan dimulainya pertandingan Peresean, menambah irama pada suasana.")</f>
        <v>Ketukan drum tradisional menandakan dimulainya pertandingan Peresean, menambah irama pada suasana.</v>
      </c>
    </row>
    <row r="105">
      <c r="A105" s="10" t="s">
        <v>1951</v>
      </c>
      <c r="B105" s="10" t="s">
        <v>1952</v>
      </c>
      <c r="C105" s="10" t="s">
        <v>1953</v>
      </c>
      <c r="D105" s="10" t="s">
        <v>1954</v>
      </c>
      <c r="F105" s="4" t="str">
        <f>IFERROR(__xludf.DUMMYFUNCTION("GOOGLETRANSLATE(A105, ""en"", ""id"")"),"Bagian tubuh mana yang menjadi sasaran Peresean?")</f>
        <v>Bagian tubuh mana yang menjadi sasaran Peresean?</v>
      </c>
      <c r="G105" s="4" t="str">
        <f>IFERROR(__xludf.DUMMYFUNCTION("GOOGLETRANSLATE(B105, ""en"", ""id"")"),"A) Lengan dan kaki, B) Kepala dan bahu, C) Seluruh tubuh, D) Kepala dan badan")</f>
        <v>A) Lengan dan kaki, B) Kepala dan bahu, C) Seluruh tubuh, D) Kepala dan badan</v>
      </c>
      <c r="H105" s="4" t="str">
        <f>IFERROR(__xludf.DUMMYFUNCTION("GOOGLETRANSLATE(C105, ""en"", ""id"")"),"D) Kepala dan badan")</f>
        <v>D) Kepala dan badan</v>
      </c>
      <c r="I105" s="4" t="str">
        <f>IFERROR(__xludf.DUMMYFUNCTION("GOOGLETRANSLATE(D105, ""en"", ""id"")"),"Dalam Peresean, serangan biasanya ditujukan ke kepala dan badan untuk menunjukkan keterampilan dan kekuatan.")</f>
        <v>Dalam Peresean, serangan biasanya ditujukan ke kepala dan badan untuk menunjukkan keterampilan dan kekuatan.</v>
      </c>
    </row>
    <row r="106">
      <c r="A106" s="10" t="s">
        <v>1955</v>
      </c>
      <c r="B106" s="10" t="s">
        <v>1956</v>
      </c>
      <c r="C106" s="10" t="s">
        <v>1957</v>
      </c>
      <c r="D106" s="10" t="s">
        <v>1958</v>
      </c>
      <c r="F106" s="4" t="str">
        <f>IFERROR(__xludf.DUMMYFUNCTION("GOOGLETRANSLATE(A106, ""en"", ""id"")"),"Bagaimana umumnya penentuan pemenang dalam pertandingan Peresean?")</f>
        <v>Bagaimana umumnya penentuan pemenang dalam pertandingan Peresean?</v>
      </c>
      <c r="G106" s="4" t="str">
        <f>IFERROR(__xludf.DUMMYFUNCTION("GOOGLETRANSLATE(B106, ""en"", ""id"")"),"A) Knockout, B) Cedera, C) Poin, D) Batas waktu")</f>
        <v>A) Knockout, B) Cedera, C) Poin, D) Batas waktu</v>
      </c>
      <c r="H106" s="4" t="str">
        <f>IFERROR(__xludf.DUMMYFUNCTION("GOOGLETRANSLATE(C106, ""en"", ""id"")"),"B) Cedera")</f>
        <v>B) Cedera</v>
      </c>
      <c r="I106" s="4" t="str">
        <f>IFERROR(__xludf.DUMMYFUNCTION("GOOGLETRANSLATE(D106, ""en"", ""id"")"),"Suatu pertandingan umumnya berakhir ketika terjadi cedera yang terlihat, dan menentukan pemenangnya.")</f>
        <v>Suatu pertandingan umumnya berakhir ketika terjadi cedera yang terlihat, dan menentukan pemenangnya.</v>
      </c>
    </row>
    <row r="107">
      <c r="A107" s="10" t="s">
        <v>1959</v>
      </c>
      <c r="B107" s="10" t="s">
        <v>1960</v>
      </c>
      <c r="C107" s="10" t="s">
        <v>1961</v>
      </c>
      <c r="D107" s="10" t="s">
        <v>1962</v>
      </c>
      <c r="F107" s="4" t="str">
        <f>IFERROR(__xludf.DUMMYFUNCTION("GOOGLETRANSLATE(A107, ""en"", ""id"")"),"Apa arti perisai kulit dalam Peresean?")</f>
        <v>Apa arti perisai kulit dalam Peresean?</v>
      </c>
      <c r="G107" s="4" t="str">
        <f>IFERROR(__xludf.DUMMYFUNCTION("GOOGLETRANSLATE(B107, ""en"", ""id"")"),"A) Keberanian, B) Pertahanan, C) Kehormatan, D) Tradisi")</f>
        <v>A) Keberanian, B) Pertahanan, C) Kehormatan, D) Tradisi</v>
      </c>
      <c r="H107" s="4" t="str">
        <f>IFERROR(__xludf.DUMMYFUNCTION("GOOGLETRANSLATE(C107, ""en"", ""id"")"),"B) Pertahanan")</f>
        <v>B) Pertahanan</v>
      </c>
      <c r="I107" s="4" t="str">
        <f>IFERROR(__xludf.DUMMYFUNCTION("GOOGLETRANSLATE(D107, ""en"", ""id"")"),"Perisai kulit, atau 'ende,' melambangkan pertahanan dan penting untuk perlindungan dalam Peresean.")</f>
        <v>Perisai kulit, atau 'ende,' melambangkan pertahanan dan penting untuk perlindungan dalam Peresean.</v>
      </c>
    </row>
    <row r="108">
      <c r="A108" s="10" t="s">
        <v>1963</v>
      </c>
      <c r="B108" s="10" t="s">
        <v>1964</v>
      </c>
      <c r="C108" s="10" t="s">
        <v>1965</v>
      </c>
      <c r="D108" s="10" t="s">
        <v>1966</v>
      </c>
      <c r="F108" s="4" t="str">
        <f>IFERROR(__xludf.DUMMYFUNCTION("GOOGLETRANSLATE(A108, ""en"", ""id"")"),"Apa makna budaya Peresean?")</f>
        <v>Apa makna budaya Peresean?</v>
      </c>
      <c r="G108" s="4" t="str">
        <f>IFERROR(__xludf.DUMMYFUNCTION("GOOGLETRANSLATE(B108, ""en"", ""id"")"),"A) Panggilan hujan, B) Pelatihan prajurit, C) Hiburan festival, D) Kedewasaan")</f>
        <v>A) Panggilan hujan, B) Pelatihan prajurit, C) Hiburan festival, D) Kedewasaan</v>
      </c>
      <c r="H108" s="4" t="str">
        <f>IFERROR(__xludf.DUMMYFUNCTION("GOOGLETRANSLATE(C108, ""en"", ""id"")"),"A) Doa untuk turunnya hujan")</f>
        <v>A) Doa untuk turunnya hujan</v>
      </c>
      <c r="I108" s="4" t="str">
        <f>IFERROR(__xludf.DUMMYFUNCTION("GOOGLETRANSLATE(D108, ""en"", ""id"")"),"Secara historis, Peresean dipercaya dapat mendatangkan hujan, terutama pada musim kemarau.")</f>
        <v>Secara historis, Peresean dipercaya dapat mendatangkan hujan, terutama pada musim kemarau.</v>
      </c>
    </row>
    <row r="109">
      <c r="A109" s="10" t="s">
        <v>1967</v>
      </c>
      <c r="B109" s="10" t="s">
        <v>1968</v>
      </c>
      <c r="C109" s="10" t="s">
        <v>1969</v>
      </c>
      <c r="D109" s="10" t="s">
        <v>1970</v>
      </c>
      <c r="F109" s="4" t="str">
        <f>IFERROR(__xludf.DUMMYFUNCTION("GOOGLETRANSLATE(A109, ""en"", ""id"")"),"Manakah di antara berikut ini yang paling menggambarkan Peresean?")</f>
        <v>Manakah di antara berikut ini yang paling menggambarkan Peresean?</v>
      </c>
      <c r="G109" s="4" t="str">
        <f>IFERROR(__xludf.DUMMYFUNCTION("GOOGLETRANSLATE(B109, ""en"", ""id"")"),"A) Olahraga beregu, B) Tari tunggal, C) Bela diri, D) Lari estafet")</f>
        <v>A) Olahraga beregu, B) Tari tunggal, C) Bela diri, D) Lari estafet</v>
      </c>
      <c r="H109" s="4" t="str">
        <f>IFERROR(__xludf.DUMMYFUNCTION("GOOGLETRANSLATE(C109, ""en"", ""id"")"),"C) Seni bela diri")</f>
        <v>C) Seni bela diri</v>
      </c>
      <c r="I109" s="4" t="str">
        <f>IFERROR(__xludf.DUMMYFUNCTION("GOOGLETRANSLATE(D109, ""en"", ""id"")"),"Peresean merupakan salah satu bentuk seni bela diri tradisional yang dipraktikkan oleh masyarakat Sasak.")</f>
        <v>Peresean merupakan salah satu bentuk seni bela diri tradisional yang dipraktikkan oleh masyarakat Sasak.</v>
      </c>
    </row>
    <row r="110">
      <c r="A110" s="10" t="s">
        <v>1971</v>
      </c>
      <c r="B110" s="10" t="s">
        <v>1972</v>
      </c>
      <c r="C110" s="10" t="s">
        <v>1973</v>
      </c>
      <c r="D110" s="10" t="s">
        <v>1974</v>
      </c>
      <c r="F110" s="4" t="str">
        <f>IFERROR(__xludf.DUMMYFUNCTION("GOOGLETRANSLATE(A110, ""en"", ""id"")"),"Emosi apa yang ditekankan dalam pertarungan Peresean?")</f>
        <v>Emosi apa yang ditekankan dalam pertarungan Peresean?</v>
      </c>
      <c r="G110" s="4" t="str">
        <f>IFERROR(__xludf.DUMMYFUNCTION("GOOGLETRANSLATE(B110, ""en"", ""id"")"),"A) Kemarahan, B) Kehormatan, C) Ketakutan, D) Kesedihan")</f>
        <v>A) Kemarahan, B) Kehormatan, C) Ketakutan, D) Kesedihan</v>
      </c>
      <c r="H110" s="4" t="str">
        <f>IFERROR(__xludf.DUMMYFUNCTION("GOOGLETRANSLATE(C110, ""en"", ""id"")"),"B) Kehormatan")</f>
        <v>B) Kehormatan</v>
      </c>
      <c r="I110" s="4" t="str">
        <f>IFERROR(__xludf.DUMMYFUNCTION("GOOGLETRANSLATE(D110, ""en"", ""id"")"),"Peresean menyoroti kehormatan dan keberanian, dengan para pejuang menunjukkan rasa hormat dan keterampilan.")</f>
        <v>Peresean menyoroti kehormatan dan keberanian, dengan para pejuang menunjukkan rasa hormat dan keterampilan.</v>
      </c>
    </row>
    <row r="111">
      <c r="A111" s="10" t="s">
        <v>1975</v>
      </c>
      <c r="B111" s="10" t="s">
        <v>1976</v>
      </c>
      <c r="C111" s="10" t="s">
        <v>1977</v>
      </c>
      <c r="D111" s="10" t="s">
        <v>1978</v>
      </c>
      <c r="F111" s="4" t="str">
        <f>IFERROR(__xludf.DUMMYFUNCTION("GOOGLETRANSLATE(A111, ""en"", ""id"")"),"Kapan pertandingan Peresean biasanya diadakan?")</f>
        <v>Kapan pertandingan Peresean biasanya diadakan?</v>
      </c>
      <c r="G111" s="4" t="str">
        <f>IFERROR(__xludf.DUMMYFUNCTION("GOOGLETRANSLATE(B111, ""en"", ""id"")"),"A) Musim panen, B) Musim hujan, C) Musim kemarau, D) Musim apa saja")</f>
        <v>A) Musim panen, B) Musim hujan, C) Musim kemarau, D) Musim apa saja</v>
      </c>
      <c r="H111" s="4" t="str">
        <f>IFERROR(__xludf.DUMMYFUNCTION("GOOGLETRANSLATE(C111, ""en"", ""id"")"),"C) Musim kemarau")</f>
        <v>C) Musim kemarau</v>
      </c>
      <c r="I111" s="4" t="str">
        <f>IFERROR(__xludf.DUMMYFUNCTION("GOOGLETRANSLATE(D111, ""en"", ""id"")"),"Pertandingan biasanya digelar pada musim kemarau untuk meminta hujan.")</f>
        <v>Pertandingan biasanya digelar pada musim kemarau untuk meminta hujan.</v>
      </c>
    </row>
    <row r="112">
      <c r="A112" s="10" t="s">
        <v>1979</v>
      </c>
      <c r="B112" s="10" t="s">
        <v>1980</v>
      </c>
      <c r="C112" s="10" t="s">
        <v>1981</v>
      </c>
      <c r="D112" s="10" t="s">
        <v>1982</v>
      </c>
      <c r="F112" s="4" t="str">
        <f>IFERROR(__xludf.DUMMYFUNCTION("GOOGLETRANSLATE(A112, ""en"", ""id"")"),"Peresean terutama dilakukan oleh kelompok orang yang mana?")</f>
        <v>Peresean terutama dilakukan oleh kelompok orang yang mana?</v>
      </c>
      <c r="G112" s="4" t="str">
        <f>IFERROR(__xludf.DUMMYFUNCTION("GOOGLETRANSLATE(B112, ""en"", ""id"")"),"A) Pendeta, B) Prajurit, C) Petani, D) Pria Sasak")</f>
        <v>A) Pendeta, B) Prajurit, C) Petani, D) Pria Sasak</v>
      </c>
      <c r="H112" s="4" t="str">
        <f>IFERROR(__xludf.DUMMYFUNCTION("GOOGLETRANSLATE(C112, ""en"", ""id"")"),"D) Pria Sasak")</f>
        <v>D) Pria Sasak</v>
      </c>
      <c r="I112" s="4" t="str">
        <f>IFERROR(__xludf.DUMMYFUNCTION("GOOGLETRANSLATE(D112, ""en"", ""id"")"),"Peresean terutama dilakukan oleh pria Sasak dari Lombok, Indonesia.")</f>
        <v>Peresean terutama dilakukan oleh pria Sasak dari Lombok, Indonesia.</v>
      </c>
    </row>
    <row r="113">
      <c r="A113" s="10" t="s">
        <v>1983</v>
      </c>
      <c r="B113" s="10" t="s">
        <v>1984</v>
      </c>
      <c r="C113" s="10" t="s">
        <v>1985</v>
      </c>
      <c r="D113" s="10" t="s">
        <v>1986</v>
      </c>
      <c r="F113" s="4" t="str">
        <f>IFERROR(__xludf.DUMMYFUNCTION("GOOGLETRANSLATE(A113, ""en"", ""id"")"),"Apa yang menandai dimulainya pertarungan Peresean?")</f>
        <v>Apa yang menandai dimulainya pertarungan Peresean?</v>
      </c>
      <c r="G113" s="4" t="str">
        <f>IFERROR(__xludf.DUMMYFUNCTION("GOOGLETRANSLATE(B113, ""en"", ""id"")"),"A) Tari ritual, B) Jabat tangan, C) Nyanyian, D) Gendang")</f>
        <v>A) Tari ritual, B) Jabat tangan, C) Nyanyian, D) Gendang</v>
      </c>
      <c r="H113" s="4" t="str">
        <f>IFERROR(__xludf.DUMMYFUNCTION("GOOGLETRANSLATE(C113, ""en"", ""id"")"),"D) Drum")</f>
        <v>D) Drum</v>
      </c>
      <c r="I113" s="4" t="str">
        <f>IFERROR(__xludf.DUMMYFUNCTION("GOOGLETRANSLATE(D113, ""en"", ""id"")"),"Gendang secara tradisional menandakan dimulainya pertandingan Peresean dan memeriahkan suasana.")</f>
        <v>Gendang secara tradisional menandakan dimulainya pertandingan Peresean dan memeriahkan suasana.</v>
      </c>
    </row>
    <row r="114">
      <c r="A114" s="10" t="s">
        <v>1987</v>
      </c>
      <c r="B114" s="10" t="s">
        <v>1988</v>
      </c>
      <c r="C114" s="10" t="s">
        <v>1989</v>
      </c>
      <c r="D114" s="10" t="s">
        <v>1990</v>
      </c>
      <c r="F114" s="4" t="str">
        <f>IFERROR(__xludf.DUMMYFUNCTION("GOOGLETRANSLATE(A114, ""en"", ""id"")"),"Wasit pertandingan adat di Peresean disebut:")</f>
        <v>Wasit pertandingan adat di Peresean disebut:</v>
      </c>
      <c r="G114" s="4" t="str">
        <f>IFERROR(__xludf.DUMMYFUNCTION("GOOGLETRANSLATE(B114, ""en"", ""id"")"),"A) Pejuang, B) Pepadu, C) Penyelung, D) Pendekar")</f>
        <v>A) Pejuang, B) Pepadu, C) Penyelung, D) Pendekar</v>
      </c>
      <c r="H114" s="4" t="str">
        <f>IFERROR(__xludf.DUMMYFUNCTION("GOOGLETRANSLATE(C114, ""en"", ""id"")"),"C) Penyelung")</f>
        <v>C) Penyelung</v>
      </c>
      <c r="I114" s="4" t="str">
        <f>IFERROR(__xludf.DUMMYFUNCTION("GOOGLETRANSLATE(D114, ""en"", ""id"")"),"Penyelung memimpin pertandingan dan memastikan para petarung menghormati peraturan.")</f>
        <v>Penyelung memimpin pertandingan dan memastikan para petarung menghormati peraturan.</v>
      </c>
    </row>
    <row r="115">
      <c r="A115" s="10" t="s">
        <v>1991</v>
      </c>
      <c r="B115" s="10" t="s">
        <v>1992</v>
      </c>
      <c r="C115" s="10" t="s">
        <v>1187</v>
      </c>
      <c r="D115" s="10" t="s">
        <v>1993</v>
      </c>
      <c r="F115" s="4" t="str">
        <f>IFERROR(__xludf.DUMMYFUNCTION("GOOGLETRANSLATE(A115, ""en"", ""id"")"),"Apa arti pendarahan dalam Peresean?")</f>
        <v>Apa arti pendarahan dalam Peresean?</v>
      </c>
      <c r="G115" s="4" t="str">
        <f>IFERROR(__xludf.DUMMYFUNCTION("GOOGLETRANSLATE(B115, ""en"", ""id"")"),"A) Menandai kemenangan, B) Mengakhiri pertandingan, C) Menunjukkan keberanian, D) Semua jawaban di atas")</f>
        <v>A) Menandai kemenangan, B) Mengakhiri pertandingan, C) Menunjukkan keberanian, D) Semua jawaban di atas</v>
      </c>
      <c r="H115" s="4" t="str">
        <f>IFERROR(__xludf.DUMMYFUNCTION("GOOGLETRANSLATE(C115, ""en"", ""id"")"),"D) Semua jawaban di atas")</f>
        <v>D) Semua jawaban di atas</v>
      </c>
      <c r="I115" s="4" t="str">
        <f>IFERROR(__xludf.DUMMYFUNCTION("GOOGLETRANSLATE(D115, ""en"", ""id"")"),"Pendarahan melambangkan keberanian dan sering kali mengakhiri pertandingan dan menentukan pemenangnya.")</f>
        <v>Pendarahan melambangkan keberanian dan sering kali mengakhiri pertandingan dan menentukan pemenangnya.</v>
      </c>
    </row>
    <row r="116">
      <c r="A116" s="10" t="s">
        <v>1994</v>
      </c>
      <c r="B116" s="10" t="s">
        <v>1995</v>
      </c>
      <c r="C116" s="10" t="s">
        <v>1996</v>
      </c>
      <c r="D116" s="10" t="s">
        <v>1997</v>
      </c>
      <c r="F116" s="4" t="str">
        <f>IFERROR(__xludf.DUMMYFUNCTION("GOOGLETRANSLATE(A116, ""en"", ""id"")"),"Frasa manakah yang paling tepat menggambarkan Peresean?")</f>
        <v>Frasa manakah yang paling tepat menggambarkan Peresean?</v>
      </c>
      <c r="G116" s="4" t="str">
        <f>IFERROR(__xludf.DUMMYFUNCTION("GOOGLETRANSLATE(B116, ""en"", ""id"")"),"A) Berjuang untuk bertahan hidup, B) Kehormatan dalam pertempuran, C) Hiburan untuk pemuda, D) Pelatihan militer")</f>
        <v>A) Berjuang untuk bertahan hidup, B) Kehormatan dalam pertempuran, C) Hiburan untuk pemuda, D) Pelatihan militer</v>
      </c>
      <c r="H116" s="4" t="str">
        <f>IFERROR(__xludf.DUMMYFUNCTION("GOOGLETRANSLATE(C116, ""en"", ""id"")"),"B) Kehormatan dalam pertempuran")</f>
        <v>B) Kehormatan dalam pertempuran</v>
      </c>
      <c r="I116" s="4" t="str">
        <f>IFERROR(__xludf.DUMMYFUNCTION("GOOGLETRANSLATE(D116, ""en"", ""id"")"),"Peresean menunjukkan kehormatan dan keberanian, yang sangat dihormati dalam budaya Sasak.")</f>
        <v>Peresean menunjukkan kehormatan dan keberanian, yang sangat dihormati dalam budaya Sasak.</v>
      </c>
    </row>
    <row r="117">
      <c r="A117" s="10" t="s">
        <v>1998</v>
      </c>
      <c r="B117" s="10" t="s">
        <v>1999</v>
      </c>
      <c r="C117" s="10" t="s">
        <v>2000</v>
      </c>
      <c r="D117" s="10" t="s">
        <v>2001</v>
      </c>
      <c r="F117" s="4" t="str">
        <f>IFERROR(__xludf.DUMMYFUNCTION("GOOGLETRANSLATE(A117, ""en"", ""id"")"),"Kelompok usia berapakah yang secara tradisional berpartisipasi dalam Peresean?")</f>
        <v>Kelompok usia berapakah yang secara tradisional berpartisipasi dalam Peresean?</v>
      </c>
      <c r="G117" s="4" t="str">
        <f>IFERROR(__xludf.DUMMYFUNCTION("GOOGLETRANSLATE(B117, ""en"", ""id"")"),"A) Anak-anak, B) Dewasa muda, C) Orang tua, D) Semua umur")</f>
        <v>A) Anak-anak, B) Dewasa muda, C) Orang tua, D) Semua umur</v>
      </c>
      <c r="H117" s="4" t="str">
        <f>IFERROR(__xludf.DUMMYFUNCTION("GOOGLETRANSLATE(C117, ""en"", ""id"")"),"B) Dewasa muda")</f>
        <v>B) Dewasa muda</v>
      </c>
      <c r="I117" s="4" t="str">
        <f>IFERROR(__xludf.DUMMYFUNCTION("GOOGLETRANSLATE(D117, ""en"", ""id"")"),"Biasanya, para pemuda Sasak ikut serta dalam pertandingan Peresean yang melambangkan kekuatan.")</f>
        <v>Biasanya, para pemuda Sasak ikut serta dalam pertandingan Peresean yang melambangkan kekuatan.</v>
      </c>
    </row>
    <row r="118">
      <c r="A118" s="10" t="s">
        <v>2002</v>
      </c>
      <c r="B118" s="10" t="s">
        <v>2003</v>
      </c>
      <c r="C118" s="10" t="s">
        <v>2004</v>
      </c>
      <c r="D118" s="10" t="s">
        <v>2005</v>
      </c>
      <c r="F118" s="4" t="str">
        <f>IFERROR(__xludf.DUMMYFUNCTION("GOOGLETRANSLATE(A118, ""en"", ""id"")"),"Apa fungsi utama tongkat rotan dalam Peresean?")</f>
        <v>Apa fungsi utama tongkat rotan dalam Peresean?</v>
      </c>
      <c r="G118" s="4" t="str">
        <f>IFERROR(__xludf.DUMMYFUNCTION("GOOGLETRANSLATE(B118, ""en"", ""id"")"),"A) Pertahanan, B) Serangan, C) Penggunaan simbolis, D) Keahlian menembak")</f>
        <v>A) Pertahanan, B) Serangan, C) Penggunaan simbolis, D) Keahlian menembak</v>
      </c>
      <c r="H118" s="4" t="str">
        <f>IFERROR(__xludf.DUMMYFUNCTION("GOOGLETRANSLATE(C118, ""en"", ""id"")"),"B) Pelanggaran")</f>
        <v>B) Pelanggaran</v>
      </c>
      <c r="I118" s="4" t="str">
        <f>IFERROR(__xludf.DUMMYFUNCTION("GOOGLETRANSLATE(D118, ""en"", ""id"")"),"Tongkat rotan merupakan senjata utama untuk menyerang dalam Peresean.")</f>
        <v>Tongkat rotan merupakan senjata utama untuk menyerang dalam Peresean.</v>
      </c>
    </row>
    <row r="119">
      <c r="A119" s="10" t="s">
        <v>2006</v>
      </c>
      <c r="B119" s="10" t="s">
        <v>2007</v>
      </c>
      <c r="C119" s="10" t="s">
        <v>2008</v>
      </c>
      <c r="D119" s="10" t="s">
        <v>2009</v>
      </c>
      <c r="F119" s="4" t="str">
        <f>IFERROR(__xludf.DUMMYFUNCTION("GOOGLETRANSLATE(A119, ""en"", ""id"")"),"Apa arti 'ende' dalam Peresean?")</f>
        <v>Apa arti 'ende' dalam Peresean?</v>
      </c>
      <c r="G119" s="4" t="str">
        <f>IFERROR(__xludf.DUMMYFUNCTION("GOOGLETRANSLATE(B119, ""en"", ""id"")"),"A) Sebuah ritual, B) Sebuah perisai, C) Sebuah senjata, D) Sebuah genderang")</f>
        <v>A) Sebuah ritual, B) Sebuah perisai, C) Sebuah senjata, D) Sebuah genderang</v>
      </c>
      <c r="H119" s="4" t="str">
        <f>IFERROR(__xludf.DUMMYFUNCTION("GOOGLETRANSLATE(C119, ""en"", ""id"")"),"B) Perisai")</f>
        <v>B) Perisai</v>
      </c>
      <c r="I119" s="4" t="str">
        <f>IFERROR(__xludf.DUMMYFUNCTION("GOOGLETRANSLATE(D119, ""en"", ""id"")"),"Ende adalah perisai tradisional yang digunakan untuk melindungi diri dari serangan dalam Peresean.")</f>
        <v>Ende adalah perisai tradisional yang digunakan untuk melindungi diri dari serangan dalam Peresean.</v>
      </c>
    </row>
    <row r="120">
      <c r="A120" s="10" t="s">
        <v>2010</v>
      </c>
      <c r="B120" s="10" t="s">
        <v>2011</v>
      </c>
      <c r="C120" s="10" t="s">
        <v>2012</v>
      </c>
      <c r="D120" s="10" t="s">
        <v>2013</v>
      </c>
      <c r="F120" s="4" t="str">
        <f>IFERROR(__xludf.DUMMYFUNCTION("GOOGLETRANSLATE(A120, ""en"", ""id"")"),"Dalam Peresean, bagaimana para petarung menunjukkan rasa hormat satu sama lain sebelum pertandingan?")</f>
        <v>Dalam Peresean, bagaimana para petarung menunjukkan rasa hormat satu sama lain sebelum pertandingan?</v>
      </c>
      <c r="G120" s="4" t="str">
        <f>IFERROR(__xludf.DUMMYFUNCTION("GOOGLETRANSLATE(B120, ""en"", ""id"")"),"A) Membungkuk, B) Berjabat tangan, C) Menukar tongkat rotan, D) Tidak ada salam formal")</f>
        <v>A) Membungkuk, B) Berjabat tangan, C) Menukar tongkat rotan, D) Tidak ada salam formal</v>
      </c>
      <c r="H120" s="4" t="str">
        <f>IFERROR(__xludf.DUMMYFUNCTION("GOOGLETRANSLATE(C120, ""en"", ""id"")"),"B) Berjabat tangan")</f>
        <v>B) Berjabat tangan</v>
      </c>
      <c r="I120" s="4" t="str">
        <f>IFERROR(__xludf.DUMMYFUNCTION("GOOGLETRANSLATE(D120, ""en"", ""id"")"),"Sebelum pertandingan, para petarung berjabat tangan sebagai tanda rasa hormat dan sportivitas.")</f>
        <v>Sebelum pertandingan, para petarung berjabat tangan sebagai tanda rasa hormat dan sportivitas.</v>
      </c>
    </row>
    <row r="121">
      <c r="A121" s="10" t="s">
        <v>2014</v>
      </c>
      <c r="B121" s="10" t="s">
        <v>2015</v>
      </c>
      <c r="C121" s="10" t="s">
        <v>2016</v>
      </c>
      <c r="D121" s="10" t="s">
        <v>2017</v>
      </c>
      <c r="F121" s="4" t="str">
        <f>IFERROR(__xludf.DUMMYFUNCTION("GOOGLETRANSLATE(A121, ""en"", ""id"")"),"Siapakah yang memutuskan jika seorang petarung tidak bisa lagi melanjutkan Peresean?")</f>
        <v>Siapakah yang memutuskan jika seorang petarung tidak bisa lagi melanjutkan Peresean?</v>
      </c>
      <c r="G121" s="4" t="str">
        <f>IFERROR(__xludf.DUMMYFUNCTION("GOOGLETRANSLATE(B121, ""en"", ""id"")"),"A) Kerumunan, B) Petarung, C) Penyelung, D) Lawan")</f>
        <v>A) Kerumunan, B) Petarung, C) Penyelung, D) Lawan</v>
      </c>
      <c r="H121" s="4" t="str">
        <f>IFERROR(__xludf.DUMMYFUNCTION("GOOGLETRANSLATE(C121, ""en"", ""id"")"),"C) Penyelung")</f>
        <v>C) Penyelung</v>
      </c>
      <c r="I121" s="4" t="str">
        <f>IFERROR(__xludf.DUMMYFUNCTION("GOOGLETRANSLATE(D121, ""en"", ""id"")"),"Penyelung, atau wasit, memutuskan apakah seorang petarung terlalu terluka untuk melanjutkan.")</f>
        <v>Penyelung, atau wasit, memutuskan apakah seorang petarung terlalu terluka untuk melanjutkan.</v>
      </c>
    </row>
    <row r="122">
      <c r="A122" s="10" t="s">
        <v>2018</v>
      </c>
      <c r="B122" s="10" t="s">
        <v>2019</v>
      </c>
      <c r="C122" s="10" t="s">
        <v>2020</v>
      </c>
      <c r="D122" s="10" t="s">
        <v>2021</v>
      </c>
      <c r="F122" s="4" t="str">
        <f>IFERROR(__xludf.DUMMYFUNCTION("GOOGLETRANSLATE(A122, ""en"", ""id"")"),"Apa peran 'Pepadu' dalam Peresean?")</f>
        <v>Apa peran 'Pepadu' dalam Peresean?</v>
      </c>
      <c r="G122" s="4" t="str">
        <f>IFERROR(__xludf.DUMMYFUNCTION("GOOGLETRANSLATE(B122, ""en"", ""id"")"),"A) Penyelenggara, B) Pejuang, C) Penyiar, D) Juri")</f>
        <v>A) Penyelenggara, B) Pejuang, C) Penyiar, D) Juri</v>
      </c>
      <c r="H122" s="4" t="str">
        <f>IFERROR(__xludf.DUMMYFUNCTION("GOOGLETRANSLATE(C122, ""en"", ""id"")"),"B) Petarung")</f>
        <v>B) Petarung</v>
      </c>
      <c r="I122" s="4" t="str">
        <f>IFERROR(__xludf.DUMMYFUNCTION("GOOGLETRANSLATE(D122, ""en"", ""id"")"),"Dalam Peresean, 'Pepadu' merujuk pada para petarung yang terlibat dalam pertarungan dengan tongkat rotan.")</f>
        <v>Dalam Peresean, 'Pepadu' merujuk pada para petarung yang terlibat dalam pertarungan dengan tongkat rotan.</v>
      </c>
    </row>
    <row r="123">
      <c r="A123" s="10" t="s">
        <v>2022</v>
      </c>
      <c r="B123" s="10" t="s">
        <v>2023</v>
      </c>
      <c r="C123" s="10" t="s">
        <v>2024</v>
      </c>
      <c r="D123" s="10" t="s">
        <v>2025</v>
      </c>
      <c r="F123" s="4" t="str">
        <f>IFERROR(__xludf.DUMMYFUNCTION("GOOGLETRANSLATE(A123, ""en"", ""id"")"),"Bagaimana keadilan terjamin dalam pertandingan Peresean?")</f>
        <v>Bagaimana keadilan terjamin dalam pertandingan Peresean?</v>
      </c>
      <c r="G123" s="4" t="str">
        <f>IFERROR(__xludf.DUMMYFUNCTION("GOOGLETRANSLATE(B123, ""en"", ""id"")"),"A) Kategori berat, B) Batasan usia, C) Diawasi oleh Penyelung, D) Sistem poin")</f>
        <v>A) Kategori berat, B) Batasan usia, C) Diawasi oleh Penyelung, D) Sistem poin</v>
      </c>
      <c r="H123" s="4" t="str">
        <f>IFERROR(__xludf.DUMMYFUNCTION("GOOGLETRANSLATE(C123, ""en"", ""id"")"),"C) Diawasi oleh Penyelung")</f>
        <v>C) Diawasi oleh Penyelung</v>
      </c>
      <c r="I123" s="4" t="str">
        <f>IFERROR(__xludf.DUMMYFUNCTION("GOOGLETRANSLATE(D123, ""en"", ""id"")"),"Penyelung mengawasi pertandingan untuk memastikan keadilan dan kepatuhan terhadap aturan.")</f>
        <v>Penyelung mengawasi pertandingan untuk memastikan keadilan dan kepatuhan terhadap aturan.</v>
      </c>
    </row>
    <row r="124">
      <c r="A124" s="10" t="s">
        <v>2026</v>
      </c>
      <c r="B124" s="10" t="s">
        <v>2027</v>
      </c>
      <c r="C124" s="10" t="s">
        <v>2028</v>
      </c>
      <c r="D124" s="10" t="s">
        <v>2029</v>
      </c>
      <c r="F124" s="4" t="str">
        <f>IFERROR(__xludf.DUMMYFUNCTION("GOOGLETRANSLATE(A124, ""en"", ""id"")"),"Apa saja yang TIDAK diperbolehkan saat pertandingan Peresean?")</f>
        <v>Apa saja yang TIDAK diperbolehkan saat pertandingan Peresean?</v>
      </c>
      <c r="G124" s="4" t="str">
        <f>IFERROR(__xludf.DUMMYFUNCTION("GOOGLETRANSLATE(B124, ""en"", ""id"")"),"A) Memukul kepala, B) Menghindar, C) Menyerang dengan perisai, D) Mengejek lawan")</f>
        <v>A) Memukul kepala, B) Menghindar, C) Menyerang dengan perisai, D) Mengejek lawan</v>
      </c>
      <c r="H124" s="4" t="str">
        <f>IFERROR(__xludf.DUMMYFUNCTION("GOOGLETRANSLATE(C124, ""en"", ""id"")"),"D) Mengejek lawan")</f>
        <v>D) Mengejek lawan</v>
      </c>
      <c r="I124" s="4" t="str">
        <f>IFERROR(__xludf.DUMMYFUNCTION("GOOGLETRANSLATE(D124, ""en"", ""id"")"),"Menghormati lawan merupakan hal utama dalam Peresean, dan mengejek dianggap tidak sopan.")</f>
        <v>Menghormati lawan merupakan hal utama dalam Peresean, dan mengejek dianggap tidak sopan.</v>
      </c>
    </row>
    <row r="125">
      <c r="A125" s="10" t="s">
        <v>2030</v>
      </c>
      <c r="B125" s="10" t="s">
        <v>2031</v>
      </c>
      <c r="C125" s="10" t="s">
        <v>2032</v>
      </c>
      <c r="D125" s="10" t="s">
        <v>2033</v>
      </c>
      <c r="F125" s="4" t="str">
        <f>IFERROR(__xludf.DUMMYFUNCTION("GOOGLETRANSLATE(A125, ""en"", ""id"")"),"Apa pakaian adat pejuang Peresean?")</f>
        <v>Apa pakaian adat pejuang Peresean?</v>
      </c>
      <c r="G125" s="4" t="str">
        <f>IFERROR(__xludf.DUMMYFUNCTION("GOOGLETRANSLATE(B125, ""en"", ""id"")"),"A) Baju zirah, B) Sarung, C) Kaos dan celana, D) Kostum tari tradisional")</f>
        <v>A) Baju zirah, B) Sarung, C) Kaos dan celana, D) Kostum tari tradisional</v>
      </c>
      <c r="H125" s="4" t="str">
        <f>IFERROR(__xludf.DUMMYFUNCTION("GOOGLETRANSLATE(C125, ""en"", ""id"")"),"B) Sarung")</f>
        <v>B) Sarung</v>
      </c>
      <c r="I125" s="4" t="str">
        <f>IFERROR(__xludf.DUMMYFUNCTION("GOOGLETRANSLATE(D125, ""en"", ""id"")"),"Pejuang Peresean secara tradisional mengenakan sarung dan penutup kepala.")</f>
        <v>Pejuang Peresean secara tradisional mengenakan sarung dan penutup kepala.</v>
      </c>
    </row>
    <row r="126">
      <c r="A126" s="10" t="s">
        <v>2034</v>
      </c>
      <c r="B126" s="10" t="s">
        <v>2035</v>
      </c>
      <c r="C126" s="10" t="s">
        <v>2036</v>
      </c>
      <c r="D126" s="10" t="s">
        <v>2037</v>
      </c>
      <c r="F126" s="4" t="str">
        <f>IFERROR(__xludf.DUMMYFUNCTION("GOOGLETRANSLATE(A126, ""en"", ""id"")"),"Tindakan apa yang dianggap sebagai tanda keberanian dalam Peresean?")</f>
        <v>Tindakan apa yang dianggap sebagai tanda keberanian dalam Peresean?</v>
      </c>
      <c r="G126" s="4" t="str">
        <f>IFERROR(__xludf.DUMMYFUNCTION("GOOGLETRANSLATE(B126, ""en"", ""id"")"),"A) Mundur, B) Tersenyum, C) Menahan pukulan, D) Memblokir setiap pukulan")</f>
        <v>A) Mundur, B) Tersenyum, C) Menahan pukulan, D) Memblokir setiap pukulan</v>
      </c>
      <c r="H126" s="4" t="str">
        <f>IFERROR(__xludf.DUMMYFUNCTION("GOOGLETRANSLATE(C126, ""en"", ""id"")"),"C) Menahan pukulan")</f>
        <v>C) Menahan pukulan</v>
      </c>
      <c r="I126" s="4" t="str">
        <f>IFERROR(__xludf.DUMMYFUNCTION("GOOGLETRANSLATE(D126, ""en"", ""id"")"),"Menahan pukulan tanpa gentar dipandang sebagai tanda keberanian dalam Peresean.")</f>
        <v>Menahan pukulan tanpa gentar dipandang sebagai tanda keberanian dalam Peresean.</v>
      </c>
    </row>
    <row r="127">
      <c r="A127" s="10" t="s">
        <v>2038</v>
      </c>
      <c r="B127" s="10" t="s">
        <v>2039</v>
      </c>
      <c r="C127" s="10" t="s">
        <v>2040</v>
      </c>
      <c r="D127" s="10" t="s">
        <v>2041</v>
      </c>
      <c r="F127" s="4" t="str">
        <f>IFERROR(__xludf.DUMMYFUNCTION("GOOGLETRANSLATE(A127, ""en"", ""id"")"),"Manakah dari berikut ini yang BUKAN merupakan aturan dalam Peresean?")</f>
        <v>Manakah dari berikut ini yang BUKAN merupakan aturan dalam Peresean?</v>
      </c>
      <c r="G127" s="4" t="str">
        <f>IFERROR(__xludf.DUMMYFUNCTION("GOOGLETRANSLATE(B127, ""en"", ""id"")"),"A) Hanya dua petarung pada satu waktu, B) Penggunaan perisai, C) Serangan terus menerus, D) Pertandingan berhenti dengan cedera yang terlihat")</f>
        <v>A) Hanya dua petarung pada satu waktu, B) Penggunaan perisai, C) Serangan terus menerus, D) Pertandingan berhenti dengan cedera yang terlihat</v>
      </c>
      <c r="H127" s="4" t="str">
        <f>IFERROR(__xludf.DUMMYFUNCTION("GOOGLETRANSLATE(C127, ""en"", ""id"")"),"C) Serangan terus menerus")</f>
        <v>C) Serangan terus menerus</v>
      </c>
      <c r="I127" s="4" t="str">
        <f>IFERROR(__xludf.DUMMYFUNCTION("GOOGLETRANSLATE(D127, ""en"", ""id"")"),"Serangan terus-menerus tidak dianjurkan; petarung bergantian dalam peran menyerang dan bertahan.")</f>
        <v>Serangan terus-menerus tidak dianjurkan; petarung bergantian dalam peran menyerang dan bertahan.</v>
      </c>
    </row>
    <row r="128">
      <c r="A128" s="10" t="s">
        <v>2042</v>
      </c>
      <c r="B128" s="10" t="s">
        <v>2043</v>
      </c>
      <c r="C128" s="10" t="s">
        <v>2044</v>
      </c>
      <c r="D128" s="10" t="s">
        <v>2045</v>
      </c>
      <c r="F128" s="4" t="str">
        <f>IFERROR(__xludf.DUMMYFUNCTION("GOOGLETRANSLATE(A128, ""en"", ""id"")"),"Apa fungsi utama tongkat rotan dalam Peresean?")</f>
        <v>Apa fungsi utama tongkat rotan dalam Peresean?</v>
      </c>
      <c r="G128" s="4" t="str">
        <f>IFERROR(__xludf.DUMMYFUNCTION("GOOGLETRANSLATE(B128, ""en"", ""id"")"),"A) Pertahanan, B) Kehormatan, C) Serangan, D) Upacara")</f>
        <v>A) Pertahanan, B) Kehormatan, C) Serangan, D) Upacara</v>
      </c>
      <c r="H128" s="4" t="str">
        <f>IFERROR(__xludf.DUMMYFUNCTION("GOOGLETRANSLATE(C128, ""en"", ""id"")"),"C) Serangan")</f>
        <v>C) Serangan</v>
      </c>
      <c r="I128" s="4" t="str">
        <f>IFERROR(__xludf.DUMMYFUNCTION("GOOGLETRANSLATE(D128, ""en"", ""id"")"),"Tongkat rotan berfungsi sebagai senjata ofensif utama dalam Peresean.")</f>
        <v>Tongkat rotan berfungsi sebagai senjata ofensif utama dalam Peresean.</v>
      </c>
    </row>
    <row r="129">
      <c r="A129" s="10" t="s">
        <v>2046</v>
      </c>
      <c r="B129" s="10" t="s">
        <v>2047</v>
      </c>
      <c r="C129" s="10" t="s">
        <v>1187</v>
      </c>
      <c r="D129" s="10" t="s">
        <v>2048</v>
      </c>
      <c r="F129" s="4" t="str">
        <f>IFERROR(__xludf.DUMMYFUNCTION("GOOGLETRANSLATE(A129, ""en"", ""id"")"),"Apa saja yang diperhatikan Penyelung saat bertarung?")</f>
        <v>Apa saja yang diperhatikan Penyelung saat bertarung?</v>
      </c>
      <c r="G129" s="4" t="str">
        <f>IFERROR(__xludf.DUMMYFUNCTION("GOOGLETRANSLATE(B129, ""en"", ""id"")"),"A) Keadilan, B) Darah, C) Rasa hormat, D) Semua jawaban di atas")</f>
        <v>A) Keadilan, B) Darah, C) Rasa hormat, D) Semua jawaban di atas</v>
      </c>
      <c r="H129" s="4" t="str">
        <f>IFERROR(__xludf.DUMMYFUNCTION("GOOGLETRANSLATE(C129, ""en"", ""id"")"),"D) Semua jawaban di atas")</f>
        <v>D) Semua jawaban di atas</v>
      </c>
      <c r="I129" s="4" t="str">
        <f>IFERROR(__xludf.DUMMYFUNCTION("GOOGLETRANSLATE(D129, ""en"", ""id"")"),"Penyelung memantau keadilan, rasa hormat, dan cedera untuk menjaga integritas pertandingan.")</f>
        <v>Penyelung memantau keadilan, rasa hormat, dan cedera untuk menjaga integritas pertandingan.</v>
      </c>
    </row>
    <row r="130">
      <c r="A130" s="10" t="s">
        <v>2049</v>
      </c>
      <c r="B130" s="10" t="s">
        <v>2050</v>
      </c>
      <c r="C130" s="10" t="s">
        <v>1519</v>
      </c>
      <c r="D130" s="10" t="s">
        <v>2051</v>
      </c>
      <c r="F130" s="4" t="str">
        <f>IFERROR(__xludf.DUMMYFUNCTION("GOOGLETRANSLATE(A130, ""en"", ""id"")"),"Bagian tubuh manakah yang biasanya dilindungi oleh perisai 'ende'?")</f>
        <v>Bagian tubuh manakah yang biasanya dilindungi oleh perisai 'ende'?</v>
      </c>
      <c r="G130" s="4" t="str">
        <f>IFERROR(__xludf.DUMMYFUNCTION("GOOGLETRANSLATE(B130, ""en"", ""id"")"),"A) Kaki, B) Dada, C) Kepala, D) Tangan")</f>
        <v>A) Kaki, B) Dada, C) Kepala, D) Tangan</v>
      </c>
      <c r="H130" s="4" t="str">
        <f>IFERROR(__xludf.DUMMYFUNCTION("GOOGLETRANSLATE(C130, ""en"", ""id"")"),"C) Kepala")</f>
        <v>C) Kepala</v>
      </c>
      <c r="I130" s="4" t="str">
        <f>IFERROR(__xludf.DUMMYFUNCTION("GOOGLETRANSLATE(D130, ""en"", ""id"")"),"Perisai terutama digunakan untuk melindungi kepala dari serangan yang datang.")</f>
        <v>Perisai terutama digunakan untuk melindungi kepala dari serangan yang datang.</v>
      </c>
    </row>
    <row r="131">
      <c r="A131" s="10" t="s">
        <v>2052</v>
      </c>
      <c r="B131" s="10" t="s">
        <v>2053</v>
      </c>
      <c r="C131" s="10" t="s">
        <v>2054</v>
      </c>
      <c r="D131" s="10" t="s">
        <v>2055</v>
      </c>
      <c r="F131" s="4" t="str">
        <f>IFERROR(__xludf.DUMMYFUNCTION("GOOGLETRANSLATE(A131, ""en"", ""id"")"),"Dalam Peresean, apa yang sering dianggap sebagai hilangnya kehormatan?")</f>
        <v>Dalam Peresean, apa yang sering dianggap sebagai hilangnya kehormatan?</v>
      </c>
      <c r="G131" s="4" t="str">
        <f>IFERROR(__xludf.DUMMYFUNCTION("GOOGLETRANSLATE(B131, ""en"", ""id"")"),"A) Menghindari perkelahian, B) Menjatuhkan tongkat, C) Memukul di bawah ikat pinggang, D) Melarikan diri")</f>
        <v>A) Menghindari perkelahian, B) Menjatuhkan tongkat, C) Memukul di bawah ikat pinggang, D) Melarikan diri</v>
      </c>
      <c r="H131" s="4" t="str">
        <f>IFERROR(__xludf.DUMMYFUNCTION("GOOGLETRANSLATE(C131, ""en"", ""id"")"),"D) Melarikan diri")</f>
        <v>D) Melarikan diri</v>
      </c>
      <c r="I131" s="4" t="str">
        <f>IFERROR(__xludf.DUMMYFUNCTION("GOOGLETRANSLATE(D131, ""en"", ""id"")"),"Melarikan diri dari pertarungan dianggap tidak terhormat dalam Peresean.")</f>
        <v>Melarikan diri dari pertarungan dianggap tidak terhormat dalam Peresean.</v>
      </c>
    </row>
    <row r="132">
      <c r="A132" s="10" t="s">
        <v>2056</v>
      </c>
      <c r="B132" s="10" t="s">
        <v>2057</v>
      </c>
      <c r="C132" s="10" t="s">
        <v>2058</v>
      </c>
      <c r="D132" s="10" t="s">
        <v>2059</v>
      </c>
      <c r="F132" s="4" t="str">
        <f>IFERROR(__xludf.DUMMYFUNCTION("GOOGLETRANSLATE(A132, ""en"", ""id"")"),"Pertandingan Peresean biasanya diselenggarakan pada:")</f>
        <v>Pertandingan Peresean biasanya diselenggarakan pada:</v>
      </c>
      <c r="G132" s="4" t="str">
        <f>IFERROR(__xludf.DUMMYFUNCTION("GOOGLETRANSLATE(B132, ""en"", ""id"")"),"A) Musim tanam, B) Pernikahan, C) Festival, D) Liburan sekolah")</f>
        <v>A) Musim tanam, B) Pernikahan, C) Festival, D) Liburan sekolah</v>
      </c>
      <c r="H132" s="4" t="str">
        <f>IFERROR(__xludf.DUMMYFUNCTION("GOOGLETRANSLATE(C132, ""en"", ""id"")"),"C) Festival")</f>
        <v>C) Festival</v>
      </c>
      <c r="I132" s="4" t="str">
        <f>IFERROR(__xludf.DUMMYFUNCTION("GOOGLETRANSLATE(D132, ""en"", ""id"")"),"Pertandingan Peresean diadakan selama festival lokal, merayakan budaya Sasak.")</f>
        <v>Pertandingan Peresean diadakan selama festival lokal, merayakan budaya Sasak.</v>
      </c>
    </row>
    <row r="133">
      <c r="A133" s="10" t="s">
        <v>2060</v>
      </c>
      <c r="B133" s="10" t="s">
        <v>2061</v>
      </c>
      <c r="C133" s="10" t="s">
        <v>2062</v>
      </c>
      <c r="D133" s="10" t="s">
        <v>2063</v>
      </c>
      <c r="F133" s="4" t="str">
        <f>IFERROR(__xludf.DUMMYFUNCTION("GOOGLETRANSLATE(A133, ""en"", ""id"")"),"Apa tujuan dari penutup kepala yang dikenakan pada masyarakat Peresean?")</f>
        <v>Apa tujuan dari penutup kepala yang dikenakan pada masyarakat Peresean?</v>
      </c>
      <c r="G133" s="4" t="str">
        <f>IFERROR(__xludf.DUMMYFUNCTION("GOOGLETRANSLATE(B133, ""en"", ""id"")"),"A) Gaya, B) Perlindungan, C) Pangkat, D) Tidak ada tujuan")</f>
        <v>A) Gaya, B) Perlindungan, C) Pangkat, D) Tidak ada tujuan</v>
      </c>
      <c r="H133" s="4" t="str">
        <f>IFERROR(__xludf.DUMMYFUNCTION("GOOGLETRANSLATE(C133, ""en"", ""id"")"),"B) Perlindungan")</f>
        <v>B) Perlindungan</v>
      </c>
      <c r="I133" s="4" t="str">
        <f>IFERROR(__xludf.DUMMYFUNCTION("GOOGLETRANSLATE(D133, ""en"", ""id"")"),"Penutup kepala memberikan perlindungan terhadap benturan tak disengaja pada kepala.")</f>
        <v>Penutup kepala memberikan perlindungan terhadap benturan tak disengaja pada kepala.</v>
      </c>
    </row>
    <row r="134">
      <c r="A134" s="10" t="s">
        <v>2064</v>
      </c>
      <c r="B134" s="10" t="s">
        <v>2065</v>
      </c>
      <c r="C134" s="10" t="s">
        <v>2066</v>
      </c>
      <c r="D134" s="10" t="s">
        <v>2067</v>
      </c>
      <c r="F134" s="4" t="str">
        <f>IFERROR(__xludf.DUMMYFUNCTION("GOOGLETRANSLATE(A134, ""en"", ""id"")"),"Apa yang TIDAK diperbolehkan dalam Peresean?")</f>
        <v>Apa yang TIDAK diperbolehkan dalam Peresean?</v>
      </c>
      <c r="G134" s="4" t="str">
        <f>IFERROR(__xludf.DUMMYFUNCTION("GOOGLETRANSLATE(B134, ""en"", ""id"")"),"A) Menyerang kepala, B) Menahan dengan perisai, C) Memukul saat terjatuh, D) Menghindari serangan")</f>
        <v>A) Menyerang kepala, B) Menahan dengan perisai, C) Memukul saat terjatuh, D) Menghindari serangan</v>
      </c>
      <c r="H134" s="4" t="str">
        <f>IFERROR(__xludf.DUMMYFUNCTION("GOOGLETRANSLATE(C134, ""en"", ""id"")"),"C) Memukul saat terjatuh")</f>
        <v>C) Memukul saat terjatuh</v>
      </c>
      <c r="I134" s="4" t="str">
        <f>IFERROR(__xludf.DUMMYFUNCTION("GOOGLETRANSLATE(D134, ""en"", ""id"")"),"Memukul lawan yang sedang terjatuh tidak diperbolehkan dalam Peresean.")</f>
        <v>Memukul lawan yang sedang terjatuh tidak diperbolehkan dalam Peresean.</v>
      </c>
    </row>
    <row r="135">
      <c r="A135" s="10" t="s">
        <v>2068</v>
      </c>
      <c r="B135" s="10" t="s">
        <v>2069</v>
      </c>
      <c r="C135" s="10" t="s">
        <v>2070</v>
      </c>
      <c r="D135" s="10" t="s">
        <v>2071</v>
      </c>
      <c r="F135" s="4" t="str">
        <f>IFERROR(__xludf.DUMMYFUNCTION("GOOGLETRANSLATE(A135, ""en"", ""id"")"),"Apa yang terjadi jika seorang petarung terlalu terluka untuk melanjutkan?")</f>
        <v>Apa yang terjadi jika seorang petarung terlalu terluka untuk melanjutkan?</v>
      </c>
      <c r="G135" s="4" t="str">
        <f>IFERROR(__xludf.DUMMYFUNCTION("GOOGLETRANSLATE(B135, ""en"", ""id"")"),"A) Pertandingan dihentikan sementara, B) Petarung menang, C) Pertandingan berakhir, D) Tidak ada tindakan yang diambil")</f>
        <v>A) Pertandingan dihentikan sementara, B) Petarung menang, C) Pertandingan berakhir, D) Tidak ada tindakan yang diambil</v>
      </c>
      <c r="H135" s="4" t="str">
        <f>IFERROR(__xludf.DUMMYFUNCTION("GOOGLETRANSLATE(C135, ""en"", ""id"")"),"C) Pertandingan berakhir")</f>
        <v>C) Pertandingan berakhir</v>
      </c>
      <c r="I135" s="4" t="str">
        <f>IFERROR(__xludf.DUMMYFUNCTION("GOOGLETRANSLATE(D135, ""en"", ""id"")"),"Pertandingan berakhir jika seorang petarung terlihat terluka, demi menjamin keselamatan kedua peserta.")</f>
        <v>Pertandingan berakhir jika seorang petarung terlihat terluka, demi menjamin keselamatan kedua peserta.</v>
      </c>
    </row>
    <row r="136">
      <c r="A136" s="10" t="s">
        <v>2072</v>
      </c>
      <c r="B136" s="10" t="s">
        <v>2073</v>
      </c>
      <c r="C136" s="10" t="s">
        <v>2074</v>
      </c>
      <c r="D136" s="10" t="s">
        <v>2075</v>
      </c>
      <c r="F136" s="4" t="str">
        <f>IFERROR(__xludf.DUMMYFUNCTION("GOOGLETRANSLATE(A136, ""en"", ""id"")"),"Peresean menekankan nilai yang mana di antara para petarung?")</f>
        <v>Peresean menekankan nilai yang mana di antara para petarung?</v>
      </c>
      <c r="G136" s="4" t="str">
        <f>IFERROR(__xludf.DUMMYFUNCTION("GOOGLETRANSLATE(B136, ""en"", ""id"")"),"A) Kekuatan, B) Kesetiaan, C) Kehormatan, D) Kelicikan")</f>
        <v>A) Kekuatan, B) Kesetiaan, C) Kehormatan, D) Kelicikan</v>
      </c>
      <c r="H136" s="4" t="str">
        <f>IFERROR(__xludf.DUMMYFUNCTION("GOOGLETRANSLATE(C136, ""en"", ""id"")"),"C) Kehormatan")</f>
        <v>C) Kehormatan</v>
      </c>
      <c r="I136" s="4" t="str">
        <f>IFERROR(__xludf.DUMMYFUNCTION("GOOGLETRANSLATE(D136, ""en"", ""id"")"),"Peresean menekankan pentingnya kehormatan, keberanian, dan sportivitas.")</f>
        <v>Peresean menekankan pentingnya kehormatan, keberanian, dan sportivitas.</v>
      </c>
    </row>
    <row r="137">
      <c r="A137" s="10" t="s">
        <v>2076</v>
      </c>
      <c r="B137" s="10" t="s">
        <v>2077</v>
      </c>
      <c r="C137" s="10" t="s">
        <v>2078</v>
      </c>
      <c r="D137" s="10" t="s">
        <v>2079</v>
      </c>
      <c r="F137" s="4" t="str">
        <f>IFERROR(__xludf.DUMMYFUNCTION("GOOGLETRANSLATE(A137, ""en"", ""id"")"),"Aspek budaya apa yang diwakili oleh Peresean?")</f>
        <v>Aspek budaya apa yang diwakili oleh Peresean?</v>
      </c>
      <c r="G137" s="4" t="str">
        <f>IFERROR(__xludf.DUMMYFUNCTION("GOOGLETRANSLATE(B137, ""en"", ""id"")"),"A) Warisan musik, B) Keterampilan memasak, C) Pertarungan tradisional, D) Teknik bertani")</f>
        <v>A) Warisan musik, B) Keterampilan memasak, C) Pertarungan tradisional, D) Teknik bertani</v>
      </c>
      <c r="H137" s="4" t="str">
        <f>IFERROR(__xludf.DUMMYFUNCTION("GOOGLETRANSLATE(C137, ""en"", ""id"")"),"C) Pertarungan tradisional")</f>
        <v>C) Pertarungan tradisional</v>
      </c>
      <c r="I137" s="4" t="str">
        <f>IFERROR(__xludf.DUMMYFUNCTION("GOOGLETRANSLATE(D137, ""en"", ""id"")"),"Peresean merupakan bentuk pertarungan tradisional yang digunakan sebagai ekspresi budaya keberanian.")</f>
        <v>Peresean merupakan bentuk pertarungan tradisional yang digunakan sebagai ekspresi budaya keberanian.</v>
      </c>
    </row>
    <row r="138">
      <c r="A138" s="10" t="s">
        <v>2080</v>
      </c>
      <c r="B138" s="10" t="s">
        <v>2081</v>
      </c>
      <c r="C138" s="10" t="s">
        <v>2082</v>
      </c>
      <c r="D138" s="10" t="s">
        <v>2083</v>
      </c>
      <c r="F138" s="4" t="str">
        <f>IFERROR(__xludf.DUMMYFUNCTION("GOOGLETRANSLATE(A138, ""en"", ""id"")"),"Saat Peresean, apa yang menunjukkan rasa hormat kepada Penyelung?")</f>
        <v>Saat Peresean, apa yang menunjukkan rasa hormat kepada Penyelung?</v>
      </c>
      <c r="G138" s="4" t="str">
        <f>IFERROR(__xludf.DUMMYFUNCTION("GOOGLETRANSLATE(B138, ""en"", ""id"")"),"A) Membungkuk, B) Menawarkan tongkat, C) Mengikuti aturan, D) Tersenyum")</f>
        <v>A) Membungkuk, B) Menawarkan tongkat, C) Mengikuti aturan, D) Tersenyum</v>
      </c>
      <c r="H138" s="4" t="str">
        <f>IFERROR(__xludf.DUMMYFUNCTION("GOOGLETRANSLATE(C138, ""en"", ""id"")"),"C) Mengikuti aturan")</f>
        <v>C) Mengikuti aturan</v>
      </c>
      <c r="I138" s="4" t="str">
        <f>IFERROR(__xludf.DUMMYFUNCTION("GOOGLETRANSLATE(D138, ""en"", ""id"")"),"Penghormatan terhadap Penyelung ditunjukkan dengan menaati aturan dan adat istiadat secara ketat.")</f>
        <v>Penghormatan terhadap Penyelung ditunjukkan dengan menaati aturan dan adat istiadat secara ketat.</v>
      </c>
    </row>
    <row r="139">
      <c r="A139" s="10" t="s">
        <v>2084</v>
      </c>
      <c r="B139" s="10" t="s">
        <v>2085</v>
      </c>
      <c r="C139" s="10" t="s">
        <v>2086</v>
      </c>
      <c r="D139" s="10" t="s">
        <v>2087</v>
      </c>
      <c r="F139" s="4" t="str">
        <f>IFERROR(__xludf.DUMMYFUNCTION("GOOGLETRANSLATE(A139, ""en"", ""id"")"),"Apa yang sering digunakan untuk memotivasi para petarung dalam Peresean?")</f>
        <v>Apa yang sering digunakan untuk memotivasi para petarung dalam Peresean?</v>
      </c>
      <c r="G139" s="4" t="str">
        <f>IFERROR(__xludf.DUMMYFUNCTION("GOOGLETRANSLATE(B139, ""en"", ""id"")"),"A) Drum, B) Sorak-sorai, C) Uang, D) Hadiah")</f>
        <v>A) Drum, B) Sorak-sorai, C) Uang, D) Hadiah</v>
      </c>
      <c r="H139" s="4" t="str">
        <f>IFERROR(__xludf.DUMMYFUNCTION("GOOGLETRANSLATE(C139, ""en"", ""id"")"),"A) Drum")</f>
        <v>A) Drum</v>
      </c>
      <c r="I139" s="4" t="str">
        <f>IFERROR(__xludf.DUMMYFUNCTION("GOOGLETRANSLATE(D139, ""en"", ""id"")"),"Ketukan drum menciptakan irama yang menyemangati dan memberi energi pada para petarung selama pertandingan.")</f>
        <v>Ketukan drum menciptakan irama yang menyemangati dan memberi energi pada para petarung selama pertandingan.</v>
      </c>
    </row>
    <row r="140">
      <c r="A140" s="10" t="s">
        <v>2088</v>
      </c>
      <c r="B140" s="10" t="s">
        <v>2089</v>
      </c>
      <c r="C140" s="10" t="s">
        <v>2090</v>
      </c>
      <c r="D140" s="10" t="s">
        <v>2091</v>
      </c>
      <c r="F140" s="4" t="str">
        <f>IFERROR(__xludf.DUMMYFUNCTION("GOOGLETRANSLATE(A140, ""en"", ""id"")"),"Bagaimana para petarung mempersiapkan diri untuk pertandingan Peresean?")</f>
        <v>Bagaimana para petarung mempersiapkan diri untuk pertandingan Peresean?</v>
      </c>
      <c r="G140" s="4" t="str">
        <f>IFERROR(__xludf.DUMMYFUNCTION("GOOGLETRANSLATE(B140, ""en"", ""id"")"),"A) Pelatihan, B) Meditasi, C) Tari, D) Makan")</f>
        <v>A) Pelatihan, B) Meditasi, C) Tari, D) Makan</v>
      </c>
      <c r="H140" s="4" t="str">
        <f>IFERROR(__xludf.DUMMYFUNCTION("GOOGLETRANSLATE(C140, ""en"", ""id"")"),"A) Pelatihan")</f>
        <v>A) Pelatihan</v>
      </c>
      <c r="I140" s="4" t="str">
        <f>IFERROR(__xludf.DUMMYFUNCTION("GOOGLETRANSLATE(D140, ""en"", ""id"")"),"Para petarung sering kali menjalani latihan keras untuk mengasah keterampilan tempur mereka.")</f>
        <v>Para petarung sering kali menjalani latihan keras untuk mengasah keterampilan tempur mereka.</v>
      </c>
    </row>
    <row r="141">
      <c r="A141" s="10" t="s">
        <v>2092</v>
      </c>
      <c r="B141" s="10" t="s">
        <v>2093</v>
      </c>
      <c r="C141" s="10" t="s">
        <v>2094</v>
      </c>
      <c r="D141" s="10" t="s">
        <v>2095</v>
      </c>
      <c r="F141" s="4" t="str">
        <f>IFERROR(__xludf.DUMMYFUNCTION("GOOGLETRANSLATE(A141, ""en"", ""id"")"),"Kualitas manakah yang penting dalam Peresean?")</f>
        <v>Kualitas manakah yang penting dalam Peresean?</v>
      </c>
      <c r="G141" s="4" t="str">
        <f>IFERROR(__xludf.DUMMYFUNCTION("GOOGLETRANSLATE(B141, ""en"", ""id"")"),"A) Kelincahan, B) Pengetahuan, C) Kekuatan, D) Kesabaran")</f>
        <v>A) Kelincahan, B) Pengetahuan, C) Kekuatan, D) Kesabaran</v>
      </c>
      <c r="H141" s="4" t="str">
        <f>IFERROR(__xludf.DUMMYFUNCTION("GOOGLETRANSLATE(C141, ""en"", ""id"")"),"C) Kekuatan")</f>
        <v>C) Kekuatan</v>
      </c>
      <c r="I141" s="4" t="str">
        <f>IFERROR(__xludf.DUMMYFUNCTION("GOOGLETRANSLATE(D141, ""en"", ""id"")"),"Kekuatan merupakan sifat yang krusial dalam Peresean, sebab kekuatan mempengaruhi kemampuan petarung menahan pukulan.")</f>
        <v>Kekuatan merupakan sifat yang krusial dalam Peresean, sebab kekuatan mempengaruhi kemampuan petarung menahan pukulan.</v>
      </c>
    </row>
    <row r="142">
      <c r="A142" s="10" t="s">
        <v>2096</v>
      </c>
      <c r="B142" s="10" t="s">
        <v>2097</v>
      </c>
      <c r="C142" s="10" t="s">
        <v>2098</v>
      </c>
      <c r="D142" s="10" t="s">
        <v>2099</v>
      </c>
      <c r="F142" s="4" t="str">
        <f>IFERROR(__xludf.DUMMYFUNCTION("GOOGLETRANSLATE(A142, ""en"", ""id"")"),"Apa yang terjadi jika perkelahian menjadi terlalu intens di Peresean?")</f>
        <v>Apa yang terjadi jika perkelahian menjadi terlalu intens di Peresean?</v>
      </c>
      <c r="G142" s="4" t="str">
        <f>IFERROR(__xludf.DUMMYFUNCTION("GOOGLETRANSLATE(B142, ""en"", ""id"")"),"A) Pertandingan dijeda, B) Lawan menang, C) Waktu habis, D) Petarung didiskualifikasi")</f>
        <v>A) Pertandingan dijeda, B) Lawan menang, C) Waktu habis, D) Petarung didiskualifikasi</v>
      </c>
      <c r="H142" s="4" t="str">
        <f>IFERROR(__xludf.DUMMYFUNCTION("GOOGLETRANSLATE(C142, ""en"", ""id"")"),"A) Pertandingan dijeda")</f>
        <v>A) Pertandingan dijeda</v>
      </c>
      <c r="I142" s="4" t="str">
        <f>IFERROR(__xludf.DUMMYFUNCTION("GOOGLETRANSLATE(D142, ""en"", ""id"")"),"Jika pertarungan menjadi terlalu intens atau tidak aman, Penyelung dapat menghentikan pertandingan.")</f>
        <v>Jika pertarungan menjadi terlalu intens atau tidak aman, Penyelung dapat menghentikan pertandingan.</v>
      </c>
    </row>
    <row r="143">
      <c r="A143" s="10" t="s">
        <v>2100</v>
      </c>
      <c r="B143" s="10" t="s">
        <v>2101</v>
      </c>
      <c r="C143" s="10" t="s">
        <v>2102</v>
      </c>
      <c r="D143" s="10" t="s">
        <v>2103</v>
      </c>
      <c r="F143" s="4" t="str">
        <f>IFERROR(__xludf.DUMMYFUNCTION("GOOGLETRANSLATE(A143, ""en"", ""id"")"),"Secara tradisional, Peresean diyakini dapat mencapai apa?")</f>
        <v>Secara tradisional, Peresean diyakini dapat mencapai apa?</v>
      </c>
      <c r="G143" s="4" t="str">
        <f>IFERROR(__xludf.DUMMYFUNCTION("GOOGLETRANSLATE(B143, ""en"", ""id"")"),"A) Kemakmuran ekonomi, B) Status sosial, C) Curah hujan, D) Ketenaran")</f>
        <v>A) Kemakmuran ekonomi, B) Status sosial, C) Curah hujan, D) Ketenaran</v>
      </c>
      <c r="H143" s="4" t="str">
        <f>IFERROR(__xludf.DUMMYFUNCTION("GOOGLETRANSLATE(C143, ""en"", ""id"")"),"C) Curah hujan")</f>
        <v>C) Curah hujan</v>
      </c>
      <c r="I143" s="4" t="str">
        <f>IFERROR(__xludf.DUMMYFUNCTION("GOOGLETRANSLATE(D143, ""en"", ""id"")"),"Peresean secara tradisional dilakukan untuk memohon hujan selama musim kemarau.")</f>
        <v>Peresean secara tradisional dilakukan untuk memohon hujan selama musim kemarau.</v>
      </c>
    </row>
    <row r="144">
      <c r="A144" s="10" t="s">
        <v>2104</v>
      </c>
      <c r="B144" s="10" t="s">
        <v>2105</v>
      </c>
      <c r="C144" s="10" t="s">
        <v>2106</v>
      </c>
      <c r="D144" s="10" t="s">
        <v>2107</v>
      </c>
      <c r="F144" s="4" t="str">
        <f>IFERROR(__xludf.DUMMYFUNCTION("GOOGLETRANSLATE(A144, ""en"", ""id"")"),"Pertandingan Peresean merupakan bagian yang tidak terpisahkan dari hari raya apa?")</f>
        <v>Pertandingan Peresean merupakan bagian yang tidak terpisahkan dari hari raya apa?</v>
      </c>
      <c r="G144" s="4" t="str">
        <f>IFERROR(__xludf.DUMMYFUNCTION("GOOGLETRANSLATE(B144, ""en"", ""id"")"),"A) Idul Fitri, B) Hari Kemerdekaan, C) Bau Nyale, D) Tahun Baru")</f>
        <v>A) Idul Fitri, B) Hari Kemerdekaan, C) Bau Nyale, D) Tahun Baru</v>
      </c>
      <c r="H144" s="4" t="str">
        <f>IFERROR(__xludf.DUMMYFUNCTION("GOOGLETRANSLATE(C144, ""en"", ""id"")"),"C) Bau Nyale")</f>
        <v>C) Bau Nyale</v>
      </c>
      <c r="I144" s="4" t="str">
        <f>IFERROR(__xludf.DUMMYFUNCTION("GOOGLETRANSLATE(D144, ""en"", ""id"")"),"Bau Nyale, sebuah festival untuk menghormati budaya Sasak, sering kali menyertakan pertandingan Peresean.")</f>
        <v>Bau Nyale, sebuah festival untuk menghormati budaya Sasak, sering kali menyertakan pertandingan Peresean.</v>
      </c>
    </row>
    <row r="145">
      <c r="A145" s="10" t="s">
        <v>2108</v>
      </c>
      <c r="B145" s="10" t="s">
        <v>2109</v>
      </c>
      <c r="C145" s="10" t="s">
        <v>2110</v>
      </c>
      <c r="D145" s="10" t="s">
        <v>2111</v>
      </c>
      <c r="F145" s="4" t="str">
        <f>IFERROR(__xludf.DUMMYFUNCTION("GOOGLETRANSLATE(A145, ""en"", ""id"")"),"Apa yang TIDAK biasanya dikenakan oleh petarung di Peresean?")</f>
        <v>Apa yang TIDAK biasanya dikenakan oleh petarung di Peresean?</v>
      </c>
      <c r="G145" s="4" t="str">
        <f>IFERROR(__xludf.DUMMYFUNCTION("GOOGLETRANSLATE(B145, ""en"", ""id"")"),"A) Sarung, B) Helm, C) Penutup kepala, D) Perisai kulit")</f>
        <v>A) Sarung, B) Helm, C) Penutup kepala, D) Perisai kulit</v>
      </c>
      <c r="H145" s="4" t="str">
        <f>IFERROR(__xludf.DUMMYFUNCTION("GOOGLETRANSLATE(C145, ""en"", ""id"")"),"B) Helm")</f>
        <v>B) Helm</v>
      </c>
      <c r="I145" s="4" t="str">
        <f>IFERROR(__xludf.DUMMYFUNCTION("GOOGLETRANSLATE(D145, ""en"", ""id"")"),"Petarung tidak mengenakan helm; mereka mengandalkan perisai dan kelincahan untuk perlindungan.")</f>
        <v>Petarung tidak mengenakan helm; mereka mengandalkan perisai dan kelincahan untuk perlindungan.</v>
      </c>
    </row>
    <row r="146">
      <c r="A146" s="10" t="s">
        <v>2112</v>
      </c>
      <c r="B146" s="10" t="s">
        <v>2113</v>
      </c>
      <c r="C146" s="10" t="s">
        <v>2114</v>
      </c>
      <c r="D146" s="10" t="s">
        <v>2115</v>
      </c>
      <c r="F146" s="4" t="str">
        <f>IFERROR(__xludf.DUMMYFUNCTION("GOOGLETRANSLATE(A146, ""en"", ""id"")"),"Dalam Peresean, apa tujuan tradisional bertarung?")</f>
        <v>Dalam Peresean, apa tujuan tradisional bertarung?</v>
      </c>
      <c r="G146" s="4" t="str">
        <f>IFERROR(__xludf.DUMMYFUNCTION("GOOGLETRANSLATE(B146, ""en"", ""id"")"),"A) Hiburan, B) Pembersihan spiritual, C) Memanggil hujan, D) Menguji kekuatan")</f>
        <v>A) Hiburan, B) Pembersihan spiritual, C) Memanggil hujan, D) Menguji kekuatan</v>
      </c>
      <c r="H146" s="4" t="str">
        <f>IFERROR(__xludf.DUMMYFUNCTION("GOOGLETRANSLATE(C146, ""en"", ""id"")"),"C) Memanggil hujan")</f>
        <v>C) Memanggil hujan</v>
      </c>
      <c r="I146" s="4" t="str">
        <f>IFERROR(__xludf.DUMMYFUNCTION("GOOGLETRANSLATE(D146, ""en"", ""id"")"),"Secara tradisional, Peresean dilakukan untuk memohon hujan selama musim kemarau.")</f>
        <v>Secara tradisional, Peresean dilakukan untuk memohon hujan selama musim kemarau.</v>
      </c>
    </row>
    <row r="147">
      <c r="A147" s="10" t="s">
        <v>2116</v>
      </c>
      <c r="B147" s="10" t="s">
        <v>2117</v>
      </c>
      <c r="C147" s="10" t="s">
        <v>2118</v>
      </c>
      <c r="D147" s="10" t="s">
        <v>2119</v>
      </c>
      <c r="F147" s="4" t="str">
        <f>IFERROR(__xludf.DUMMYFUNCTION("GOOGLETRANSLATE(A147, ""en"", ""id"")"),"Apa senjata utama yang digunakan dalam Peresean?")</f>
        <v>Apa senjata utama yang digunakan dalam Peresean?</v>
      </c>
      <c r="G147" s="4" t="str">
        <f>IFERROR(__xludf.DUMMYFUNCTION("GOOGLETRANSLATE(B147, ""en"", ""id"")"),"A) Tongkat kayu, B) Tombak, C) Tongkat rotan, D) Pedang")</f>
        <v>A) Tongkat kayu, B) Tombak, C) Tongkat rotan, D) Pedang</v>
      </c>
      <c r="H147" s="4" t="str">
        <f>IFERROR(__xludf.DUMMYFUNCTION("GOOGLETRANSLATE(C147, ""en"", ""id"")"),"C) Tongkat rotan")</f>
        <v>C) Tongkat rotan</v>
      </c>
      <c r="I147" s="4" t="str">
        <f>IFERROR(__xludf.DUMMYFUNCTION("GOOGLETRANSLATE(D147, ""en"", ""id"")"),"Tongkat rotan, atau 'penjalin,' adalah senjata utama yang digunakan oleh para pejuang di Peresean.")</f>
        <v>Tongkat rotan, atau 'penjalin,' adalah senjata utama yang digunakan oleh para pejuang di Peresean.</v>
      </c>
    </row>
    <row r="148">
      <c r="A148" s="10" t="s">
        <v>2120</v>
      </c>
      <c r="B148" s="10" t="s">
        <v>2121</v>
      </c>
      <c r="C148" s="10" t="s">
        <v>2122</v>
      </c>
      <c r="D148" s="10" t="s">
        <v>2123</v>
      </c>
      <c r="F148" s="4" t="str">
        <f>IFERROR(__xludf.DUMMYFUNCTION("GOOGLETRANSLATE(A148, ""en"", ""id"")"),"Siapa yang menjamin keamanan dan permainan adil selama pertandingan Peresean?")</f>
        <v>Siapa yang menjamin keamanan dan permainan adil selama pertandingan Peresean?</v>
      </c>
      <c r="G148" s="4" t="str">
        <f>IFERROR(__xludf.DUMMYFUNCTION("GOOGLETRANSLATE(B148, ""en"", ""id"")"),"A) Penonton, B) Penyelung, C) Kepala Suku, D) Musisi")</f>
        <v>A) Penonton, B) Penyelung, C) Kepala Suku, D) Musisi</v>
      </c>
      <c r="H148" s="4" t="str">
        <f>IFERROR(__xludf.DUMMYFUNCTION("GOOGLETRANSLATE(C148, ""en"", ""id"")"),"B) Penyelung")</f>
        <v>B) Penyelung</v>
      </c>
      <c r="I148" s="4" t="str">
        <f>IFERROR(__xludf.DUMMYFUNCTION("GOOGLETRANSLATE(D148, ""en"", ""id"")"),"Penyelung bertugas menjadi wasit dan memastikan permainan adil dalam Peresean.")</f>
        <v>Penyelung bertugas menjadi wasit dan memastikan permainan adil dalam Peresean.</v>
      </c>
    </row>
    <row r="149">
      <c r="A149" s="10" t="s">
        <v>2124</v>
      </c>
      <c r="B149" s="10" t="s">
        <v>2125</v>
      </c>
      <c r="C149" s="10" t="s">
        <v>2126</v>
      </c>
      <c r="D149" s="10" t="s">
        <v>2127</v>
      </c>
      <c r="F149" s="4" t="str">
        <f>IFERROR(__xludf.DUMMYFUNCTION("GOOGLETRANSLATE(A149, ""en"", ""id"")"),"Terbuat dari bahan apakah perisai 'ende'?")</f>
        <v>Terbuat dari bahan apakah perisai 'ende'?</v>
      </c>
      <c r="G149" s="4" t="str">
        <f>IFERROR(__xludf.DUMMYFUNCTION("GOOGLETRANSLATE(B149, ""en"", ""id"")"),"A) Logam, B) Kulit, C) Kayu, D) Bambu")</f>
        <v>A) Logam, B) Kulit, C) Kayu, D) Bambu</v>
      </c>
      <c r="H149" s="4" t="str">
        <f>IFERROR(__xludf.DUMMYFUNCTION("GOOGLETRANSLATE(C149, ""en"", ""id"")"),"B) Kulit")</f>
        <v>B) Kulit</v>
      </c>
      <c r="I149" s="4" t="str">
        <f>IFERROR(__xludf.DUMMYFUNCTION("GOOGLETRANSLATE(D149, ""en"", ""id"")"),"Perisai 'ende' secara tradisional dibuat dari kulit untuk memberikan perlindungan yang fleksibel.")</f>
        <v>Perisai 'ende' secara tradisional dibuat dari kulit untuk memberikan perlindungan yang fleksibel.</v>
      </c>
    </row>
    <row r="150">
      <c r="A150" s="10" t="s">
        <v>2128</v>
      </c>
      <c r="B150" s="10" t="s">
        <v>2129</v>
      </c>
      <c r="C150" s="10" t="s">
        <v>2130</v>
      </c>
      <c r="D150" s="10" t="s">
        <v>2131</v>
      </c>
      <c r="F150" s="4" t="str">
        <f>IFERROR(__xludf.DUMMYFUNCTION("GOOGLETRANSLATE(A150, ""en"", ""id"")"),"Bagaimana pertandingan Peresean berakhir?")</f>
        <v>Bagaimana pertandingan Peresean berakhir?</v>
      </c>
      <c r="G150" s="4" t="str">
        <f>IFERROR(__xludf.DUMMYFUNCTION("GOOGLETRANSLATE(B150, ""en"", ""id"")"),"A) Ketika menyerah, B) Ketika Penyelung menghentikan pertandingan, C) Saat matahari terbenam, D) Setelah 10 pukulan")</f>
        <v>A) Ketika menyerah, B) Ketika Penyelung menghentikan pertandingan, C) Saat matahari terbenam, D) Setelah 10 pukulan</v>
      </c>
      <c r="H150" s="4" t="str">
        <f>IFERROR(__xludf.DUMMYFUNCTION("GOOGLETRANSLATE(C150, ""en"", ""id"")"),"B) Ketika Penyelung menghentikan pertandingan")</f>
        <v>B) Ketika Penyelung menghentikan pertandingan</v>
      </c>
      <c r="I150" s="4" t="str">
        <f>IFERROR(__xludf.DUMMYFUNCTION("GOOGLETRANSLATE(D150, ""en"", ""id"")"),"Penyelung dapat menghentikan pertandingan jika seorang petarung terluka parah atau tidak dapat melanjutkan.")</f>
        <v>Penyelung dapat menghentikan pertandingan jika seorang petarung terluka parah atau tidak dapat melanjutkan.</v>
      </c>
    </row>
    <row r="151">
      <c r="A151" s="10" t="s">
        <v>2026</v>
      </c>
      <c r="B151" s="10" t="s">
        <v>2132</v>
      </c>
      <c r="C151" s="10" t="s">
        <v>2133</v>
      </c>
      <c r="D151" s="10" t="s">
        <v>2134</v>
      </c>
      <c r="F151" s="4" t="str">
        <f>IFERROR(__xludf.DUMMYFUNCTION("GOOGLETRANSLATE(A151, ""en"", ""id"")"),"Apa saja yang TIDAK diperbolehkan saat pertandingan Peresean?")</f>
        <v>Apa saja yang TIDAK diperbolehkan saat pertandingan Peresean?</v>
      </c>
      <c r="G151" s="4" t="str">
        <f>IFERROR(__xludf.DUMMYFUNCTION("GOOGLETRANSLATE(B151, ""en"", ""id"")"),"A) Menghindari serangan, B) Memukul kaki lawan, C) Memukul dengan perisai, D) Sikap bertahan")</f>
        <v>A) Menghindari serangan, B) Memukul kaki lawan, C) Memukul dengan perisai, D) Sikap bertahan</v>
      </c>
      <c r="H151" s="4" t="str">
        <f>IFERROR(__xludf.DUMMYFUNCTION("GOOGLETRANSLATE(C151, ""en"", ""id"")"),"C) Memukul dengan perisai")</f>
        <v>C) Memukul dengan perisai</v>
      </c>
      <c r="I151" s="4" t="str">
        <f>IFERROR(__xludf.DUMMYFUNCTION("GOOGLETRANSLATE(D151, ""en"", ""id"")"),"Menggunakan perisai sebagai senjata melanggar aturan dalam Peresean.")</f>
        <v>Menggunakan perisai sebagai senjata melanggar aturan dalam Peresean.</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3.5"/>
    <col customWidth="1" min="4" max="4" width="37.63"/>
    <col customWidth="1" min="6" max="7" width="37.63"/>
    <col customWidth="1" min="8" max="8" width="21.5"/>
    <col customWidth="1" min="9" max="9" width="37.63"/>
  </cols>
  <sheetData>
    <row r="1">
      <c r="A1" s="11" t="s">
        <v>0</v>
      </c>
      <c r="B1" s="11" t="s">
        <v>1</v>
      </c>
      <c r="C1" s="11" t="s">
        <v>2</v>
      </c>
      <c r="D1" s="11" t="s">
        <v>3</v>
      </c>
      <c r="F1" s="2" t="s">
        <v>4</v>
      </c>
      <c r="G1" s="2" t="s">
        <v>5</v>
      </c>
      <c r="H1" s="2" t="s">
        <v>6</v>
      </c>
      <c r="I1" s="2" t="s">
        <v>7</v>
      </c>
    </row>
    <row r="2">
      <c r="A2" s="10" t="s">
        <v>2135</v>
      </c>
      <c r="B2" s="10" t="s">
        <v>469</v>
      </c>
      <c r="C2" s="10" t="s">
        <v>713</v>
      </c>
      <c r="D2" s="10" t="s">
        <v>2136</v>
      </c>
      <c r="F2" s="4" t="str">
        <f>IFERROR(__xludf.DUMMYFUNCTION(" GOOGLETRANSLATE(A2, ""en"", ""id"")"),"Berapa jumlah ronde maksimal yang diperbolehkan dalam pertandingan beladiri Pencak Silat?")</f>
        <v>Berapa jumlah ronde maksimal yang diperbolehkan dalam pertandingan beladiri Pencak Silat?</v>
      </c>
      <c r="G2" s="4" t="str">
        <f>IFERROR(__xludf.DUMMYFUNCTION(" GOOGLETRANSLATE(B2, ""en"", ""id"")"),"A) 2, B) 3, C) 4, D) 5")</f>
        <v>A) 2, B) 3, C) 4, D) 5</v>
      </c>
      <c r="H2" s="4" t="str">
        <f>IFERROR(__xludf.DUMMYFUNCTION(" GOOGLETRANSLATE(C2, ""en"", ""id"")"),"B) 3")</f>
        <v>B) 3</v>
      </c>
      <c r="I2" s="4" t="str">
        <f>IFERROR(__xludf.DUMMYFUNCTION(" GOOGLETRANSLATE(D2, ""en"", ""id"")"),"Pertandingan pertarungan senior standar disusun menjadi tiga babak untuk menguji ketahanan, keterampilan, dan strategi para pesaing.")</f>
        <v>Pertandingan pertarungan senior standar disusun menjadi tiga babak untuk menguji ketahanan, keterampilan, dan strategi para pesaing.</v>
      </c>
    </row>
    <row r="3">
      <c r="A3" s="10" t="s">
        <v>2137</v>
      </c>
      <c r="B3" s="10" t="s">
        <v>2138</v>
      </c>
      <c r="C3" s="10" t="s">
        <v>2139</v>
      </c>
      <c r="D3" s="10" t="s">
        <v>2140</v>
      </c>
      <c r="F3" s="4" t="str">
        <f>IFERROR(__xludf.DUMMYFUNCTION(" GOOGLETRANSLATE(A3, ""en"", ""id"")"),"Berapa lama waktu istirahat antar ronde pertarungan dalam Pencak Silat?")</f>
        <v>Berapa lama waktu istirahat antar ronde pertarungan dalam Pencak Silat?</v>
      </c>
      <c r="G3" s="4" t="str">
        <f>IFERROR(__xludf.DUMMYFUNCTION(" GOOGLETRANSLATE(B3, ""en"", ""id"")"),"A) 15 detik, B) 30 detik, C) 45 detik, D) 1 menit")</f>
        <v>A) 15 detik, B) 30 detik, C) 45 detik, D) 1 menit</v>
      </c>
      <c r="H3" s="4" t="str">
        <f>IFERROR(__xludf.DUMMYFUNCTION(" GOOGLETRANSLATE(C3, ""en"", ""id"")"),"D) 1 menit")</f>
        <v>D) 1 menit</v>
      </c>
      <c r="I3" s="4" t="str">
        <f>IFERROR(__xludf.DUMMYFUNCTION(" GOOGLETRANSLATE(D3, ""en"", ""id"")"),"Para peserta diberi waktu istirahat satu menit di antara ronde untuk memulihkan diri, menerima pelatihan, dan mempersiapkan diri untuk ronde berikutnya.")</f>
        <v>Para peserta diberi waktu istirahat satu menit di antara ronde untuk memulihkan diri, menerima pelatihan, dan mempersiapkan diri untuk ronde berikutnya.</v>
      </c>
    </row>
    <row r="4">
      <c r="A4" s="10" t="s">
        <v>2141</v>
      </c>
      <c r="B4" s="10" t="s">
        <v>2142</v>
      </c>
      <c r="C4" s="10" t="s">
        <v>1255</v>
      </c>
      <c r="D4" s="10" t="s">
        <v>2143</v>
      </c>
      <c r="F4" s="4" t="str">
        <f>IFERROR(__xludf.DUMMYFUNCTION(" GOOGLETRANSLATE(A4, ""en"", ""id"")"),"Otoritas mana yang bertanggung jawab untuk memulai dan menghentikan pertempuran?")</f>
        <v>Otoritas mana yang bertanggung jawab untuk memulai dan menghentikan pertempuran?</v>
      </c>
      <c r="G4" s="4" t="str">
        <f>IFERROR(__xludf.DUMMYFUNCTION(" GOOGLETRANSLATE(B4, ""en"", ""id"")"),"A) Hakim, B) Wasit, C) Pelatih, D) Pencatat Waktu")</f>
        <v>A) Hakim, B) Wasit, C) Pelatih, D) Pencatat Waktu</v>
      </c>
      <c r="H4" s="4" t="str">
        <f>IFERROR(__xludf.DUMMYFUNCTION(" GOOGLETRANSLATE(C4, ""en"", ""id"")"),"B) Wasit")</f>
        <v>B) Wasit</v>
      </c>
      <c r="I4" s="4" t="str">
        <f>IFERROR(__xludf.DUMMYFUNCTION(" GOOGLETRANSLATE(D4, ""en"", ""id"")"),"Wasit memiliki wewenang tunggal di atas matras (Gelanggang) untuk mengendalikan jalannya pertandingan, termasuk memulai, menjeda, dan menghentikan pertarungan.")</f>
        <v>Wasit memiliki wewenang tunggal di atas matras (Gelanggang) untuk mengendalikan jalannya pertandingan, termasuk memulai, menjeda, dan menghentikan pertarungan.</v>
      </c>
    </row>
    <row r="5">
      <c r="A5" s="10" t="s">
        <v>2144</v>
      </c>
      <c r="B5" s="10" t="s">
        <v>2145</v>
      </c>
      <c r="C5" s="10" t="s">
        <v>2146</v>
      </c>
      <c r="D5" s="10" t="s">
        <v>2147</v>
      </c>
      <c r="F5" s="4" t="str">
        <f>IFERROR(__xludf.DUMMYFUNCTION(" GOOGLETRANSLATE(A5, ""en"", ""id"")"),"Apa nama daerah perlombaan resmi Pencak Silat?")</f>
        <v>Apa nama daerah perlombaan resmi Pencak Silat?</v>
      </c>
      <c r="G5" s="4" t="str">
        <f>IFERROR(__xludf.DUMMYFUNCTION(" GOOGLETRANSLATE(B5, ""en"", ""id"")"),"A) Gelanggang, B) Arena, C) Tatami, D) Dojo")</f>
        <v>A) Gelanggang, B) Arena, C) Tatami, D) Dojo</v>
      </c>
      <c r="H5" s="4" t="str">
        <f>IFERROR(__xludf.DUMMYFUNCTION(" GOOGLETRANSLATE(C5, ""en"", ""id"")"),"A) Gelanggang")</f>
        <v>A) Gelanggang</v>
      </c>
      <c r="I5" s="4" t="str">
        <f>IFERROR(__xludf.DUMMYFUNCTION(" GOOGLETRANSLATE(D5, ""en"", ""id"")"),"Istilah 'Gelanggang' adalah nama resmi Melayu untuk arena persegi yang ditentukan di mana kompetisi Pencak Silat diadakan.")</f>
        <v>Istilah 'Gelanggang' adalah nama resmi Melayu untuk arena persegi yang ditentukan di mana kompetisi Pencak Silat diadakan.</v>
      </c>
    </row>
    <row r="6">
      <c r="A6" s="10" t="s">
        <v>2148</v>
      </c>
      <c r="B6" s="10" t="s">
        <v>2149</v>
      </c>
      <c r="C6" s="10" t="s">
        <v>2150</v>
      </c>
      <c r="D6" s="10" t="s">
        <v>2151</v>
      </c>
      <c r="F6" s="4" t="str">
        <f>IFERROR(__xludf.DUMMYFUNCTION(" GOOGLETRANSLATE(A6, ""en"", ""id"")"),"Bagaimana bentuk arena pertandingan Pencak Silat?")</f>
        <v>Bagaimana bentuk arena pertandingan Pencak Silat?</v>
      </c>
      <c r="G6" s="4" t="str">
        <f>IFERROR(__xludf.DUMMYFUNCTION(" GOOGLETRANSLATE(B6, ""en"", ""id"")"),"A) Lingkaran, B) Persegi Panjang, C) Persegi, D) Segi Delapan")</f>
        <v>A) Lingkaran, B) Persegi Panjang, C) Persegi, D) Segi Delapan</v>
      </c>
      <c r="H6" s="4" t="str">
        <f>IFERROR(__xludf.DUMMYFUNCTION(" GOOGLETRANSLATE(C6, ""en"", ""id"")"),"C) Persegi")</f>
        <v>C) Persegi</v>
      </c>
      <c r="I6" s="4" t="str">
        <f>IFERROR(__xludf.DUMMYFUNCTION(" GOOGLETRANSLATE(D6, ""en"", ""id"")"),"Gelanggang merupakan area berbentuk persegi yang menjadi batas area pertarungan dan pertunjukan seni.")</f>
        <v>Gelanggang merupakan area berbentuk persegi yang menjadi batas area pertarungan dan pertunjukan seni.</v>
      </c>
    </row>
    <row r="7">
      <c r="A7" s="10" t="s">
        <v>2152</v>
      </c>
      <c r="B7" s="10" t="s">
        <v>2153</v>
      </c>
      <c r="C7" s="10" t="s">
        <v>2154</v>
      </c>
      <c r="D7" s="10" t="s">
        <v>2155</v>
      </c>
      <c r="F7" s="4" t="str">
        <f>IFERROR(__xludf.DUMMYFUNCTION(" GOOGLETRANSLATE(A7, ""en"", ""id"")"),"Berapa ukuran standar arena pertandingan silat?")</f>
        <v>Berapa ukuran standar arena pertandingan silat?</v>
      </c>
      <c r="G7" s="4" t="str">
        <f>IFERROR(__xludf.DUMMYFUNCTION(" GOOGLETRANSLATE(B7, ""en"", ""id"")"),"A) 8x8 m, B) 9x9 m, C) 10x10 m, D) 12x12 m")</f>
        <v>A) 8x8 m, B) 9x9 m, C) 10x10 m, D) 12x12 m</v>
      </c>
      <c r="H7" s="4" t="str">
        <f>IFERROR(__xludf.DUMMYFUNCTION(" GOOGLETRANSLATE(C7, ""en"", ""id"")"),"C) 10x10 m")</f>
        <v>C) 10x10 m</v>
      </c>
      <c r="I7" s="4" t="str">
        <f>IFERROR(__xludf.DUMMYFUNCTION(" GOOGLETRANSLATE(D7, ""en"", ""id"")"),"Area kompetisi resmi berukuran 10 meter kali 10 meter, menyediakan ruang yang memadai untuk pergerakan dan teknik.")</f>
        <v>Area kompetisi resmi berukuran 10 meter kali 10 meter, menyediakan ruang yang memadai untuk pergerakan dan teknik.</v>
      </c>
    </row>
    <row r="8">
      <c r="A8" s="10" t="s">
        <v>2156</v>
      </c>
      <c r="B8" s="10" t="s">
        <v>469</v>
      </c>
      <c r="C8" s="10" t="s">
        <v>2157</v>
      </c>
      <c r="D8" s="10" t="s">
        <v>2158</v>
      </c>
      <c r="F8" s="4" t="str">
        <f>IFERROR(__xludf.DUMMYFUNCTION(" GOOGLETRANSLATE(A8, ""en"", ""id"")"),"Berapa banyak hakim sudut yang membantu wasit dalam pertarungan?")</f>
        <v>Berapa banyak hakim sudut yang membantu wasit dalam pertarungan?</v>
      </c>
      <c r="G8" s="4" t="str">
        <f>IFERROR(__xludf.DUMMYFUNCTION(" GOOGLETRANSLATE(B8, ""en"", ""id"")"),"A) 2, B) 3, C) 4, D) 5")</f>
        <v>A) 2, B) 3, C) 4, D) 5</v>
      </c>
      <c r="H8" s="4" t="str">
        <f>IFERROR(__xludf.DUMMYFUNCTION(" GOOGLETRANSLATE(C8, ""en"", ""id"")"),"C) 4")</f>
        <v>C) 4</v>
      </c>
      <c r="I8" s="4" t="str">
        <f>IFERROR(__xludf.DUMMYFUNCTION(" GOOGLETRANSLATE(D8, ""en"", ""id"")"),"Biasanya ada empat juri yang ditempatkan di sekitar Gelanggang untuk menilai pertandingan dari berbagai sudut pandang, guna memastikan keadilan.")</f>
        <v>Biasanya ada empat juri yang ditempatkan di sekitar Gelanggang untuk menilai pertandingan dari berbagai sudut pandang, guna memastikan keadilan.</v>
      </c>
    </row>
    <row r="9">
      <c r="A9" s="10" t="s">
        <v>2159</v>
      </c>
      <c r="B9" s="10" t="s">
        <v>2160</v>
      </c>
      <c r="C9" s="10" t="s">
        <v>2161</v>
      </c>
      <c r="D9" s="10" t="s">
        <v>2162</v>
      </c>
      <c r="F9" s="4" t="str">
        <f>IFERROR(__xludf.DUMMYFUNCTION(" GOOGLETRANSLATE(A9, ""en"", ""id"")"),"Pejabat mana yang mencatat hukuman dan peringatan selama pertempuran?")</f>
        <v>Pejabat mana yang mencatat hukuman dan peringatan selama pertempuran?</v>
      </c>
      <c r="G9" s="4" t="str">
        <f>IFERROR(__xludf.DUMMYFUNCTION(" GOOGLETRANSLATE(B9, ""en"", ""id"")"),"A) Wasit, B) Hakim ketua, C) Pencatat skor, D) Delegasi teknis")</f>
        <v>A) Wasit, B) Hakim ketua, C) Pencatat skor, D) Delegasi teknis</v>
      </c>
      <c r="H9" s="4" t="str">
        <f>IFERROR(__xludf.DUMMYFUNCTION(" GOOGLETRANSLATE(C9, ""en"", ""id"")"),"C) Pencetak gol")</f>
        <v>C) Pencetak gol</v>
      </c>
      <c r="I9" s="4" t="str">
        <f>IFERROR(__xludf.DUMMYFUNCTION(" GOOGLETRANSLATE(D9, ""en"", ""id"")"),"Pencatat skor bertanggung jawab untuk mencatat secara resmi semua poin, peringatan, dan penalti yang diberikan oleh wasit dan juri.")</f>
        <v>Pencatat skor bertanggung jawab untuk mencatat secara resmi semua poin, peringatan, dan penalti yang diberikan oleh wasit dan juri.</v>
      </c>
    </row>
    <row r="10">
      <c r="A10" s="10" t="s">
        <v>2163</v>
      </c>
      <c r="B10" s="10" t="s">
        <v>2164</v>
      </c>
      <c r="C10" s="10" t="s">
        <v>1753</v>
      </c>
      <c r="D10" s="10" t="s">
        <v>2165</v>
      </c>
      <c r="F10" s="4" t="str">
        <f>IFERROR(__xludf.DUMMYFUNCTION(" GOOGLETRANSLATE(A10, ""en"", ""id"")"),"Apa arti kartu kuning dalam pertandingan silat?")</f>
        <v>Apa arti kartu kuning dalam pertandingan silat?</v>
      </c>
      <c r="G10" s="4" t="str">
        <f>IFERROR(__xludf.DUMMYFUNCTION(" GOOGLETRANSLATE(B10, ""en"", ""id"")"),"A) Peringatan, B) Pengurangan poin, C) Eliminasi, D) Babak tambahan")</f>
        <v>A) Peringatan, B) Pengurangan poin, C) Eliminasi, D) Babak tambahan</v>
      </c>
      <c r="H10" s="4" t="str">
        <f>IFERROR(__xludf.DUMMYFUNCTION(" GOOGLETRANSLATE(C10, ""en"", ""id"")"),"A) Peringatan")</f>
        <v>A) Peringatan</v>
      </c>
      <c r="I10" s="4" t="str">
        <f>IFERROR(__xludf.DUMMYFUNCTION(" GOOGLETRANSLATE(D10, ""en"", ""id"")"),"Kartu kuning berfungsi sebagai peringatan resmi tingkat pertama karena melakukan pelanggaran atau pelanggaran peraturan.")</f>
        <v>Kartu kuning berfungsi sebagai peringatan resmi tingkat pertama karena melakukan pelanggaran atau pelanggaran peraturan.</v>
      </c>
    </row>
    <row r="11">
      <c r="A11" s="10" t="s">
        <v>2166</v>
      </c>
      <c r="B11" s="10" t="s">
        <v>2167</v>
      </c>
      <c r="C11" s="10" t="s">
        <v>1571</v>
      </c>
      <c r="D11" s="10" t="s">
        <v>2168</v>
      </c>
      <c r="F11" s="4" t="str">
        <f>IFERROR(__xludf.DUMMYFUNCTION(" GOOGLETRANSLATE(A11, ""en"", ""id"")"),"Apa arti kartu merah dalam Silat?")</f>
        <v>Apa arti kartu merah dalam Silat?</v>
      </c>
      <c r="G11" s="4" t="str">
        <f>IFERROR(__xludf.DUMMYFUNCTION(" GOOGLETRANSLATE(B11, ""en"", ""id"")"),"A) Peringatan, B) Diskualifikasi langsung, C) Poin penalti tambahan, D) Ulangan pertandingan")</f>
        <v>A) Peringatan, B) Diskualifikasi langsung, C) Poin penalti tambahan, D) Ulangan pertandingan</v>
      </c>
      <c r="H11" s="4" t="str">
        <f>IFERROR(__xludf.DUMMYFUNCTION(" GOOGLETRANSLATE(C11, ""en"", ""id"")"),"B) Diskualifikasi langsung")</f>
        <v>B) Diskualifikasi langsung</v>
      </c>
      <c r="I11" s="4" t="str">
        <f>IFERROR(__xludf.DUMMYFUNCTION(" GOOGLETRANSLATE(D11, ""en"", ""id"")"),"Kartu merah diberikan untuk pelanggaran berat atau setelah peringatan berkali-kali, yang mengakibatkan diskualifikasi langsung dari peserta.")</f>
        <v>Kartu merah diberikan untuk pelanggaran berat atau setelah peringatan berkali-kali, yang mengakibatkan diskualifikasi langsung dari peserta.</v>
      </c>
    </row>
    <row r="12">
      <c r="A12" s="10" t="s">
        <v>2169</v>
      </c>
      <c r="B12" s="10" t="s">
        <v>2170</v>
      </c>
      <c r="C12" s="10" t="s">
        <v>2171</v>
      </c>
      <c r="D12" s="10" t="s">
        <v>2172</v>
      </c>
      <c r="F12" s="4" t="str">
        <f>IFERROR(__xludf.DUMMYFUNCTION(" GOOGLETRANSLATE(A12, ""en"", ""id"")"),"Berapa banyak divisi berat yang diakui dalam pertarungan pria senior?")</f>
        <v>Berapa banyak divisi berat yang diakui dalam pertarungan pria senior?</v>
      </c>
      <c r="G12" s="4" t="str">
        <f>IFERROR(__xludf.DUMMYFUNCTION(" GOOGLETRANSLATE(B12, ""en"", ""id"")"),"A) 7, B) 8, C) 9, D) 10")</f>
        <v>A) 7, B) 8, C) 9, D) 10</v>
      </c>
      <c r="H12" s="4" t="str">
        <f>IFERROR(__xludf.DUMMYFUNCTION(" GOOGLETRANSLATE(C12, ""en"", ""id"")"),"C) 9")</f>
        <v>C) 9</v>
      </c>
      <c r="I12" s="4" t="str">
        <f>IFERROR(__xludf.DUMMYFUNCTION(" GOOGLETRANSLATE(D12, ""en"", ""id"")"),"Kompetisi senior pria internasional dibagi menjadi sembilan kelas berat yang berbeda untuk memastikan pertarungan yang adil dan aman.")</f>
        <v>Kompetisi senior pria internasional dibagi menjadi sembilan kelas berat yang berbeda untuk memastikan pertarungan yang adil dan aman.</v>
      </c>
    </row>
    <row r="13">
      <c r="A13" s="10" t="s">
        <v>2173</v>
      </c>
      <c r="B13" s="10" t="s">
        <v>2174</v>
      </c>
      <c r="C13" s="10" t="s">
        <v>2175</v>
      </c>
      <c r="D13" s="10" t="s">
        <v>2176</v>
      </c>
      <c r="F13" s="4" t="str">
        <f>IFERROR(__xludf.DUMMYFUNCTION(" GOOGLETRANSLATE(A13, ""en"", ""id"")"),"Berapa banyak divisi berat yang diakui dalam pertarungan wanita senior?")</f>
        <v>Berapa banyak divisi berat yang diakui dalam pertarungan wanita senior?</v>
      </c>
      <c r="G13" s="4" t="str">
        <f>IFERROR(__xludf.DUMMYFUNCTION(" GOOGLETRANSLATE(B13, ""en"", ""id"")"),"A) 6, B) 7, C) 8, D) 9")</f>
        <v>A) 6, B) 7, C) 8, D) 9</v>
      </c>
      <c r="H13" s="4" t="str">
        <f>IFERROR(__xludf.DUMMYFUNCTION(" GOOGLETRANSLATE(C13, ""en"", ""id"")"),"B) 7")</f>
        <v>B) 7</v>
      </c>
      <c r="I13" s="4" t="str">
        <f>IFERROR(__xludf.DUMMYFUNCTION(" GOOGLETRANSLATE(D13, ""en"", ""id"")"),"Kompetisi senior wanita internasional memiliki tujuh divisi berat.")</f>
        <v>Kompetisi senior wanita internasional memiliki tujuh divisi berat.</v>
      </c>
    </row>
    <row r="14">
      <c r="A14" s="10" t="s">
        <v>2177</v>
      </c>
      <c r="B14" s="10" t="s">
        <v>2178</v>
      </c>
      <c r="C14" s="10" t="s">
        <v>1255</v>
      </c>
      <c r="D14" s="10" t="s">
        <v>2179</v>
      </c>
      <c r="F14" s="4" t="str">
        <f>IFERROR(__xludf.DUMMYFUNCTION(" GOOGLETRANSLATE(A14, ""en"", ""id"")"),"Jika terjadi kerusakan peralatan, siapa yang dapat menghentikan pertandingan?")</f>
        <v>Jika terjadi kerusakan peralatan, siapa yang dapat menghentikan pertandingan?</v>
      </c>
      <c r="G14" s="4" t="str">
        <f>IFERROR(__xludf.DUMMYFUNCTION(" GOOGLETRANSLATE(B14, ""en"", ""id"")"),"A) Peserta, B) Wasit, C) Pelatih, D) Juri mana pun")</f>
        <v>A) Peserta, B) Wasit, C) Pelatih, D) Juri mana pun</v>
      </c>
      <c r="H14" s="4" t="str">
        <f>IFERROR(__xludf.DUMMYFUNCTION(" GOOGLETRANSLATE(C14, ""en"", ""id"")"),"B) Wasit")</f>
        <v>B) Wasit</v>
      </c>
      <c r="I14" s="4" t="str">
        <f>IFERROR(__xludf.DUMMYFUNCTION(" GOOGLETRANSLATE(D14, ""en"", ""id"")"),"Hanya wasit yang dapat secara resmi menghentikan pertandingan untuk memberi kesempatan kepada peserta untuk menyesuaikan atau mengganti peralatan yang rusak dengan aman.")</f>
        <v>Hanya wasit yang dapat secara resmi menghentikan pertandingan untuk memberi kesempatan kepada peserta untuk menyesuaikan atau mengganti peralatan yang rusak dengan aman.</v>
      </c>
    </row>
    <row r="15">
      <c r="A15" s="10" t="s">
        <v>2180</v>
      </c>
      <c r="B15" s="10" t="s">
        <v>2181</v>
      </c>
      <c r="C15" s="10" t="s">
        <v>1187</v>
      </c>
      <c r="D15" s="10" t="s">
        <v>2182</v>
      </c>
      <c r="F15" s="4" t="str">
        <f>IFERROR(__xludf.DUMMYFUNCTION(" GOOGLETRANSLATE(A15, ""en"", ""id"")"),"Bagian tubuh manakah yang dianggap sebagai zona target yang sah dalam pertempuran?")</f>
        <v>Bagian tubuh manakah yang dianggap sebagai zona target yang sah dalam pertempuran?</v>
      </c>
      <c r="G15" s="4" t="str">
        <f>IFERROR(__xludf.DUMMYFUNCTION(" GOOGLETRANSLATE(B15, ""en"", ""id"")"),"A) Badan, B) Kepala, C) Kaki, D) Semua jawaban di atas")</f>
        <v>A) Badan, B) Kepala, C) Kaki, D) Semua jawaban di atas</v>
      </c>
      <c r="H15" s="4" t="str">
        <f>IFERROR(__xludf.DUMMYFUNCTION(" GOOGLETRANSLATE(C15, ""en"", ""id"")"),"D) Semua jawaban di atas")</f>
        <v>D) Semua jawaban di atas</v>
      </c>
      <c r="I15" s="4" t="str">
        <f>IFERROR(__xludf.DUMMYFUNCTION(" GOOGLETRANSLATE(D15, ""en"", ""id"")"),"Dalam pertarungan Pencak Silat, seluruh tubuh dari badan ke atas, termasuk kepala dan anggota badan, merupakan target yang sah, asalkan serangannya sah.")</f>
        <v>Dalam pertarungan Pencak Silat, seluruh tubuh dari badan ke atas, termasuk kepala dan anggota badan, merupakan target yang sah, asalkan serangannya sah.</v>
      </c>
    </row>
    <row r="16">
      <c r="A16" s="10" t="s">
        <v>2183</v>
      </c>
      <c r="B16" s="10" t="s">
        <v>2184</v>
      </c>
      <c r="C16" s="10" t="s">
        <v>2185</v>
      </c>
      <c r="D16" s="10" t="s">
        <v>2186</v>
      </c>
      <c r="F16" s="4" t="str">
        <f>IFERROR(__xludf.DUMMYFUNCTION(" GOOGLETRANSLATE(A16, ""en"", ""id"")"),"Jenis serangan apa yang tidak diperbolehkan dalam pertarungan silat?")</f>
        <v>Jenis serangan apa yang tidak diperbolehkan dalam pertarungan silat?</v>
      </c>
      <c r="G16" s="4" t="str">
        <f>IFERROR(__xludf.DUMMYFUNCTION(" GOOGLETRANSLATE(B16, ""en"", ""id"")"),"A) Pukulan, B) Tendangan, C) Siku, D) Sundulan")</f>
        <v>A) Pukulan, B) Tendangan, C) Siku, D) Sundulan</v>
      </c>
      <c r="H16" s="4" t="str">
        <f>IFERROR(__xludf.DUMMYFUNCTION(" GOOGLETRANSLATE(C16, ""en"", ""id"")"),"D) Sundulan kepala")</f>
        <v>D) Sundulan kepala</v>
      </c>
      <c r="I16" s="4" t="str">
        <f>IFERROR(__xludf.DUMMYFUNCTION(" GOOGLETRANSLATE(D16, ""en"", ""id"")"),"Menyundul kepala secara tegas dilarang karena berisiko tinggi menyebabkan cedera serius dan dianggap pelanggaran berat.")</f>
        <v>Menyundul kepala secara tegas dilarang karena berisiko tinggi menyebabkan cedera serius dan dianggap pelanggaran berat.</v>
      </c>
    </row>
    <row r="17">
      <c r="A17" s="10" t="s">
        <v>2187</v>
      </c>
      <c r="B17" s="10" t="s">
        <v>2188</v>
      </c>
      <c r="C17" s="10" t="s">
        <v>2189</v>
      </c>
      <c r="D17" s="10" t="s">
        <v>2190</v>
      </c>
      <c r="F17" s="4" t="str">
        <f>IFERROR(__xludf.DUMMYFUNCTION(" GOOGLETRANSLATE(A17, ""en"", ""id"")"),"Apa yang terjadi jika kedua pesaing terjatuh secara bersamaan?")</f>
        <v>Apa yang terjadi jika kedua pesaing terjatuh secara bersamaan?</v>
      </c>
      <c r="G17" s="4" t="str">
        <f>IFERROR(__xludf.DUMMYFUNCTION(" GOOGLETRANSLATE(B17, ""en"", ""id"")"),"A) Keduanya mendapatkan poin, B) Keduanya kehilangan poin, C) Pertandingan dihentikan, D) Keduanya didiskualifikasi")</f>
        <v>A) Keduanya mendapatkan poin, B) Keduanya kehilangan poin, C) Pertandingan dihentikan, D) Keduanya didiskualifikasi</v>
      </c>
      <c r="H17" s="4" t="str">
        <f>IFERROR(__xludf.DUMMYFUNCTION(" GOOGLETRANSLATE(C17, ""en"", ""id"")"),"C) Pertandingan berhenti")</f>
        <v>C) Pertandingan berhenti</v>
      </c>
      <c r="I17" s="4" t="str">
        <f>IFERROR(__xludf.DUMMYFUNCTION(" GOOGLETRANSLATE(D17, ""en"", ""id"")"),"Jika kedua petarung jatuh pada saat yang sama tanpa teknik penilaian yang jelas, wasit akan berhenti dan memulai kembali pertandingan dari tengah.")</f>
        <v>Jika kedua petarung jatuh pada saat yang sama tanpa teknik penilaian yang jelas, wasit akan berhenti dan memulai kembali pertandingan dari tengah.</v>
      </c>
    </row>
    <row r="18">
      <c r="A18" s="10" t="s">
        <v>2191</v>
      </c>
      <c r="B18" s="10" t="s">
        <v>2192</v>
      </c>
      <c r="C18" s="10" t="s">
        <v>236</v>
      </c>
      <c r="D18" s="10" t="s">
        <v>2193</v>
      </c>
      <c r="F18" s="4" t="str">
        <f>IFERROR(__xludf.DUMMYFUNCTION(" GOOGLETRANSLATE(A18, ""en"", ""id"")"),"Apa hukumannya jika memukul lawan setelah wasit menghentikan pertandingan?")</f>
        <v>Apa hukumannya jika memukul lawan setelah wasit menghentikan pertandingan?</v>
      </c>
      <c r="G18" s="4" t="str">
        <f>IFERROR(__xludf.DUMMYFUNCTION(" GOOGLETRANSLATE(B18, ""en"", ""id"")"),"A) Peringatan, B) Pengurangan poin, C) Diskualifikasi, D) Ulangan")</f>
        <v>A) Peringatan, B) Pengurangan poin, C) Diskualifikasi, D) Ulangan</v>
      </c>
      <c r="H18" s="4" t="str">
        <f>IFERROR(__xludf.DUMMYFUNCTION(" GOOGLETRANSLATE(C18, ""en"", ""id"")"),"C) Diskualifikasi")</f>
        <v>C) Diskualifikasi</v>
      </c>
      <c r="I18" s="4" t="str">
        <f>IFERROR(__xludf.DUMMYFUNCTION(" GOOGLETRANSLATE(D18, ""en"", ""id"")"),"Menyerang lawan setelah wasit memberi perintah berhenti merupakan tindakan tidak sportif yang serius dan dapat mengakibatkan diskualifikasi.")</f>
        <v>Menyerang lawan setelah wasit memberi perintah berhenti merupakan tindakan tidak sportif yang serius dan dapat mengakibatkan diskualifikasi.</v>
      </c>
    </row>
    <row r="19">
      <c r="A19" s="10" t="s">
        <v>2194</v>
      </c>
      <c r="B19" s="10" t="s">
        <v>2195</v>
      </c>
      <c r="C19" s="10" t="s">
        <v>1753</v>
      </c>
      <c r="D19" s="10" t="s">
        <v>2196</v>
      </c>
      <c r="F19" s="4" t="str">
        <f>IFERROR(__xludf.DUMMYFUNCTION(" GOOGLETRANSLATE(A19, ""en"", ""id"")"),"Jika seorang pesaing menggunakan teknik ilegal satu kali, apa yang terjadi?")</f>
        <v>Jika seorang pesaing menggunakan teknik ilegal satu kali, apa yang terjadi?</v>
      </c>
      <c r="G19" s="4" t="str">
        <f>IFERROR(__xludf.DUMMYFUNCTION(" GOOGLETRANSLATE(B19, ""en"", ""id"")"),"A) Peringatan, B) Kekalahan otomatis, C) Pengurangan poin, D) Ulangan")</f>
        <v>A) Peringatan, B) Kekalahan otomatis, C) Pengurangan poin, D) Ulangan</v>
      </c>
      <c r="H19" s="4" t="str">
        <f>IFERROR(__xludf.DUMMYFUNCTION(" GOOGLETRANSLATE(C19, ""en"", ""id"")"),"A) Peringatan")</f>
        <v>A) Peringatan</v>
      </c>
      <c r="I19" s="4" t="str">
        <f>IFERROR(__xludf.DUMMYFUNCTION(" GOOGLETRANSLATE(D19, ""en"", ""id"")"),"Kejadian pertama dari teknik ilegal ringan biasanya mengakibatkan peringatan dari wasit.")</f>
        <v>Kejadian pertama dari teknik ilegal ringan biasanya mengakibatkan peringatan dari wasit.</v>
      </c>
    </row>
    <row r="20">
      <c r="A20" s="10" t="s">
        <v>2197</v>
      </c>
      <c r="B20" s="10" t="s">
        <v>2198</v>
      </c>
      <c r="C20" s="10" t="s">
        <v>1535</v>
      </c>
      <c r="D20" s="10" t="s">
        <v>2199</v>
      </c>
      <c r="F20" s="4" t="str">
        <f>IFERROR(__xludf.DUMMYFUNCTION(" GOOGLETRANSLATE(A20, ""en"", ""id"")"),"Apa yang terjadi jika seorang pesaing melakukan tiga pelanggaran dalam satu pertandingan?")</f>
        <v>Apa yang terjadi jika seorang pesaing melakukan tiga pelanggaran dalam satu pertandingan?</v>
      </c>
      <c r="G20" s="4" t="str">
        <f>IFERROR(__xludf.DUMMYFUNCTION(" GOOGLETRANSLATE(B20, ""en"", ""id"")"),"A) Babak tambahan, B) Diskualifikasi, C) Kemenangan teknis, D) Ulangan")</f>
        <v>A) Babak tambahan, B) Diskualifikasi, C) Kemenangan teknis, D) Ulangan</v>
      </c>
      <c r="H20" s="4" t="str">
        <f>IFERROR(__xludf.DUMMYFUNCTION(" GOOGLETRANSLATE(C20, ""en"", ""id"")"),"B) Diskualifikasi")</f>
        <v>B) Diskualifikasi</v>
      </c>
      <c r="I20" s="4" t="str">
        <f>IFERROR(__xludf.DUMMYFUNCTION(" GOOGLETRANSLATE(D20, ""en"", ""id"")"),"Akumulasi tiga pelanggaran (peringatan) selama pertandingan menyebabkan diskualifikasi otomatis.")</f>
        <v>Akumulasi tiga pelanggaran (peringatan) selama pertandingan menyebabkan diskualifikasi otomatis.</v>
      </c>
    </row>
    <row r="21">
      <c r="A21" s="10" t="s">
        <v>2200</v>
      </c>
      <c r="B21" s="10" t="s">
        <v>2201</v>
      </c>
      <c r="C21" s="10" t="s">
        <v>1187</v>
      </c>
      <c r="D21" s="10" t="s">
        <v>2202</v>
      </c>
      <c r="F21" s="4" t="str">
        <f>IFERROR(__xludf.DUMMYFUNCTION(" GOOGLETRANSLATE(A21, ""en"", ""id"")"),"Bagian tubuh manakah yang harus tetap tertutup selama pertempuran?")</f>
        <v>Bagian tubuh manakah yang harus tetap tertutup selama pertempuran?</v>
      </c>
      <c r="G21" s="4" t="str">
        <f>IFERROR(__xludf.DUMMYFUNCTION(" GOOGLETRANSLATE(B21, ""en"", ""id"")"),"A) Dada, B) Kaki, C) Tangan, D) Semua jawaban di atas")</f>
        <v>A) Dada, B) Kaki, C) Tangan, D) Semua jawaban di atas</v>
      </c>
      <c r="H21" s="4" t="str">
        <f>IFERROR(__xludf.DUMMYFUNCTION(" GOOGLETRANSLATE(C21, ""en"", ""id"")"),"D) Semua jawaban di atas")</f>
        <v>D) Semua jawaban di atas</v>
      </c>
      <c r="I21" s="4" t="str">
        <f>IFERROR(__xludf.DUMMYFUNCTION(" GOOGLETRANSLATE(D21, ""en"", ""id"")"),"Seragam resmi (pakaian hitam) harus menutupi tubuh dari leher hingga pergelangan kaki untuk menjaga kesopanan dan profesionalisme.")</f>
        <v>Seragam resmi (pakaian hitam) harus menutupi tubuh dari leher hingga pergelangan kaki untuk menjaga kesopanan dan profesionalisme.</v>
      </c>
    </row>
    <row r="22">
      <c r="A22" s="10" t="s">
        <v>2203</v>
      </c>
      <c r="B22" s="10" t="s">
        <v>2204</v>
      </c>
      <c r="C22" s="10" t="s">
        <v>2205</v>
      </c>
      <c r="D22" s="10" t="s">
        <v>2206</v>
      </c>
      <c r="F22" s="4" t="str">
        <f>IFERROR(__xludf.DUMMYFUNCTION(" GOOGLETRANSLATE(A22, ""en"", ""id"")"),"Badan manakah yang mengawasi peraturan Pencak Silat internasional?")</f>
        <v>Badan manakah yang mengawasi peraturan Pencak Silat internasional?</v>
      </c>
      <c r="G22" s="4" t="str">
        <f>IFERROR(__xludf.DUMMYFUNCTION(" GOOGLETRANSLATE(B22, ""en"", ""id"")"),"A) IPSI, B) PERSILAT, C) IOC, D) UNESCO")</f>
        <v>A) IPSI, B) PERSILAT, C) IOC, D) UNESCO</v>
      </c>
      <c r="H22" s="4" t="str">
        <f>IFERROR(__xludf.DUMMYFUNCTION(" GOOGLETRANSLATE(C22, ""en"", ""id"")"),"B) PERSILAT")</f>
        <v>B) PERSILAT</v>
      </c>
      <c r="I22" s="4" t="str">
        <f>IFERROR(__xludf.DUMMYFUNCTION(" GOOGLETRANSLATE(D22, ""en"", ""id"")"),"PERSILAT (Federasi Pencak Silat Internasional) adalah badan pengatur global yang bertanggung jawab untuk menstandardisasi aturan dan menyelenggarakan kejuaraan dunia.")</f>
        <v>PERSILAT (Federasi Pencak Silat Internasional) adalah badan pengatur global yang bertanggung jawab untuk menstandardisasi aturan dan menyelenggarakan kejuaraan dunia.</v>
      </c>
    </row>
    <row r="23">
      <c r="A23" s="10" t="s">
        <v>2207</v>
      </c>
      <c r="B23" s="10" t="s">
        <v>2208</v>
      </c>
      <c r="C23" s="10" t="s">
        <v>2209</v>
      </c>
      <c r="D23" s="10" t="s">
        <v>2210</v>
      </c>
      <c r="F23" s="4" t="str">
        <f>IFERROR(__xludf.DUMMYFUNCTION(" GOOGLETRANSLATE(A23, ""en"", ""id"")"),"Dalam kompetisi seni, berapa banyak wasit yang menilai penampilan?")</f>
        <v>Dalam kompetisi seni, berapa banyak wasit yang menilai penampilan?</v>
      </c>
      <c r="G23" s="4" t="str">
        <f>IFERROR(__xludf.DUMMYFUNCTION(" GOOGLETRANSLATE(B23, ""en"", ""id"")"),"A) 3, B) 4, C) 5, D) 7")</f>
        <v>A) 3, B) 4, C) 5, D) 7</v>
      </c>
      <c r="H23" s="4" t="str">
        <f>IFERROR(__xludf.DUMMYFUNCTION(" GOOGLETRANSLATE(C23, ""en"", ""id"")"),"C) 5")</f>
        <v>C) 5</v>
      </c>
      <c r="I23" s="4" t="str">
        <f>IFERROR(__xludf.DUMMYFUNCTION(" GOOGLETRANSLATE(D23, ""en"", ""id"")"),"Acara seni dievaluasi oleh panel yang terdiri dari lima juri yang menilai berdasarkan teknik, kekayaan gerakan, dan kriteria lainnya.")</f>
        <v>Acara seni dievaluasi oleh panel yang terdiri dari lima juri yang menilai berdasarkan teknik, kekayaan gerakan, dan kriteria lainnya.</v>
      </c>
    </row>
    <row r="24">
      <c r="A24" s="10" t="s">
        <v>2211</v>
      </c>
      <c r="B24" s="10" t="s">
        <v>2212</v>
      </c>
      <c r="C24" s="10" t="s">
        <v>2213</v>
      </c>
      <c r="D24" s="10" t="s">
        <v>2214</v>
      </c>
      <c r="F24" s="4" t="str">
        <f>IFERROR(__xludf.DUMMYFUNCTION(" GOOGLETRANSLATE(A24, ""en"", ""id"")"),"Bagaimana cara menyelesaikan ikatan dalam silat artistik?")</f>
        <v>Bagaimana cara menyelesaikan ikatan dalam silat artistik?</v>
      </c>
      <c r="G24" s="4" t="str">
        <f>IFERROR(__xludf.DUMMYFUNCTION(" GOOGLETRANSLATE(B24, ""en"", ""id"")"),"A) Penampilan tambahan, B) Keputusan wasit, C) Mayoritas juri, D) Undian")</f>
        <v>A) Penampilan tambahan, B) Keputusan wasit, C) Mayoritas juri, D) Undian</v>
      </c>
      <c r="H24" s="4" t="str">
        <f>IFERROR(__xludf.DUMMYFUNCTION(" GOOGLETRANSLATE(C24, ""en"", ""id"")"),"C) Hakim mayoritas")</f>
        <v>C) Hakim mayoritas</v>
      </c>
      <c r="I24" s="4" t="str">
        <f>IFERROR(__xludf.DUMMYFUNCTION(" GOOGLETRANSLATE(D24, ""en"", ""id"")"),"Jika terjadi seri, pemenangnya ditentukan oleh peserta yang memperoleh nilai tertinggi dari mayoritas juri individu.")</f>
        <v>Jika terjadi seri, pemenangnya ditentukan oleh peserta yang memperoleh nilai tertinggi dari mayoritas juri individu.</v>
      </c>
    </row>
    <row r="25">
      <c r="A25" s="10" t="s">
        <v>2215</v>
      </c>
      <c r="B25" s="10" t="s">
        <v>2216</v>
      </c>
      <c r="C25" s="10" t="s">
        <v>2217</v>
      </c>
      <c r="D25" s="10" t="s">
        <v>2218</v>
      </c>
      <c r="F25" s="4" t="str">
        <f>IFERROR(__xludf.DUMMYFUNCTION(" GOOGLETRANSLATE(A25, ""en"", ""id"")"),"Berapa waktu maksimal yang diperbolehkan untuk pertunjukan seni Solo?")</f>
        <v>Berapa waktu maksimal yang diperbolehkan untuk pertunjukan seni Solo?</v>
      </c>
      <c r="G25" s="4" t="str">
        <f>IFERROR(__xludf.DUMMYFUNCTION(" GOOGLETRANSLATE(B25, ""en"", ""id"")"),"A) 1 menit, B) 2 menit, C) 3 menit, D) 4 menit")</f>
        <v>A) 1 menit, B) 2 menit, C) 3 menit, D) 4 menit</v>
      </c>
      <c r="H25" s="4" t="str">
        <f>IFERROR(__xludf.DUMMYFUNCTION(" GOOGLETRANSLATE(C25, ""en"", ""id"")"),"C) 3 menit")</f>
        <v>C) 3 menit</v>
      </c>
      <c r="I25" s="4" t="str">
        <f>IFERROR(__xludf.DUMMYFUNCTION(" GOOGLETRANSLATE(D25, ""en"", ""id"")"),"Pertunjukan seni tunggal (Tunggal) memiliki batas waktu ketat tiga menit untuk menyelesaikan rutinitas.")</f>
        <v>Pertunjukan seni tunggal (Tunggal) memiliki batas waktu ketat tiga menit untuk menyelesaikan rutinitas.</v>
      </c>
    </row>
    <row r="26">
      <c r="A26" s="10" t="s">
        <v>2219</v>
      </c>
      <c r="B26" s="10" t="s">
        <v>2220</v>
      </c>
      <c r="C26" s="10" t="s">
        <v>2221</v>
      </c>
      <c r="D26" s="10" t="s">
        <v>2222</v>
      </c>
      <c r="F26" s="4" t="str">
        <f>IFERROR(__xludf.DUMMYFUNCTION(" GOOGLETRANSLATE(A26, ""en"", ""id"")"),"Berapa waktu maksimal yang diperbolehkan untuk pertunjukan Tandem?")</f>
        <v>Berapa waktu maksimal yang diperbolehkan untuk pertunjukan Tandem?</v>
      </c>
      <c r="G26" s="4" t="str">
        <f>IFERROR(__xludf.DUMMYFUNCTION(" GOOGLETRANSLATE(B26, ""en"", ""id"")"),"A) 2 menit, B) 3 menit, C) 4 menit, D) 5 menit")</f>
        <v>A) 2 menit, B) 3 menit, C) 4 menit, D) 5 menit</v>
      </c>
      <c r="H26" s="4" t="str">
        <f>IFERROR(__xludf.DUMMYFUNCTION(" GOOGLETRANSLATE(C26, ""en"", ""id"")"),"D) 5 menit")</f>
        <v>D) 5 menit</v>
      </c>
      <c r="I26" s="4" t="str">
        <f>IFERROR(__xludf.DUMMYFUNCTION(" GOOGLETRANSLATE(D26, ""en"", ""id"")"),"Pertunjukan seni tandem (Ganda), yang melibatkan dua peserta, memiliki batas waktu lima menit.")</f>
        <v>Pertunjukan seni tandem (Ganda), yang melibatkan dua peserta, memiliki batas waktu lima menit.</v>
      </c>
    </row>
    <row r="27">
      <c r="A27" s="10" t="s">
        <v>2223</v>
      </c>
      <c r="B27" s="10" t="s">
        <v>2224</v>
      </c>
      <c r="C27" s="10" t="s">
        <v>1148</v>
      </c>
      <c r="D27" s="10" t="s">
        <v>2225</v>
      </c>
      <c r="F27" s="4" t="str">
        <f>IFERROR(__xludf.DUMMYFUNCTION(" GOOGLETRANSLATE(A27, ""en"", ""id"")"),"Jika seorang peserta melampaui batas waktu penampilan, apa yang akan dikenakan?")</f>
        <v>Jika seorang peserta melampaui batas waktu penampilan, apa yang akan dikenakan?</v>
      </c>
      <c r="G27" s="4" t="str">
        <f>IFERROR(__xludf.DUMMYFUNCTION(" GOOGLETRANSLATE(B27, ""en"", ""id"")"),"A) Peringatan, B) Pengurangan poin, C) Ulangan, D) Diskualifikasi")</f>
        <v>A) Peringatan, B) Pengurangan poin, C) Ulangan, D) Diskualifikasi</v>
      </c>
      <c r="H27" s="4" t="str">
        <f>IFERROR(__xludf.DUMMYFUNCTION(" GOOGLETRANSLATE(C27, ""en"", ""id"")"),"B) Pengurangan poin")</f>
        <v>B) Pengurangan poin</v>
      </c>
      <c r="I27" s="4" t="str">
        <f>IFERROR(__xludf.DUMMYFUNCTION(" GOOGLETRANSLATE(D27, ""en"", ""id"")"),"Melebihi batas waktu pada kategori artistik akan mengakibatkan penalti di mana poin dikurangi dari skor akhir.")</f>
        <v>Melebihi batas waktu pada kategori artistik akan mengakibatkan penalti di mana poin dikurangi dari skor akhir.</v>
      </c>
    </row>
    <row r="28">
      <c r="A28" s="10" t="s">
        <v>2226</v>
      </c>
      <c r="B28" s="10" t="s">
        <v>2227</v>
      </c>
      <c r="C28" s="10" t="s">
        <v>2228</v>
      </c>
      <c r="D28" s="10" t="s">
        <v>2229</v>
      </c>
      <c r="F28" s="4" t="str">
        <f>IFERROR(__xludf.DUMMYFUNCTION(" GOOGLETRANSLATE(A28, ""en"", ""id"")"),"Dalam pertempuran, berapa detik seorang petarung yang terjatuh harus berdiri?")</f>
        <v>Dalam pertempuran, berapa detik seorang petarung yang terjatuh harus berdiri?</v>
      </c>
      <c r="G28" s="4" t="str">
        <f>IFERROR(__xludf.DUMMYFUNCTION(" GOOGLETRANSLATE(B28, ""en"", ""id"")"),"A) 3, B) 5, C) 7, D) 10")</f>
        <v>A) 3, B) 5, C) 7, D) 10</v>
      </c>
      <c r="H28" s="4" t="str">
        <f>IFERROR(__xludf.DUMMYFUNCTION(" GOOGLETRANSLATE(C28, ""en"", ""id"")"),"C) 7 detik")</f>
        <v>C) 7 detik</v>
      </c>
      <c r="I28" s="4" t="str">
        <f>IFERROR(__xludf.DUMMYFUNCTION(" GOOGLETRANSLATE(D28, ""en"", ""id"")"),"Setelah knockdown yang sah, seorang petarung memiliki tujuh detik untuk bangkit dan menunjukkan kesiapan untuk melanjutkan, atau wasit akan menghentikan pertarungan.")</f>
        <v>Setelah knockdown yang sah, seorang petarung memiliki tujuh detik untuk bangkit dan menunjukkan kesiapan untuk melanjutkan, atau wasit akan menghentikan pertarungan.</v>
      </c>
    </row>
    <row r="29">
      <c r="A29" s="10" t="s">
        <v>2230</v>
      </c>
      <c r="B29" s="10" t="s">
        <v>9</v>
      </c>
      <c r="C29" s="10" t="s">
        <v>66</v>
      </c>
      <c r="D29" s="10" t="s">
        <v>2231</v>
      </c>
      <c r="F29" s="4" t="str">
        <f>IFERROR(__xludf.DUMMYFUNCTION(" GOOGLETRANSLATE(A29, ""en"", ""id"")"),"Berapa jumlah poin minimum untuk serangan yang sah?")</f>
        <v>Berapa jumlah poin minimum untuk serangan yang sah?</v>
      </c>
      <c r="G29" s="4" t="str">
        <f>IFERROR(__xludf.DUMMYFUNCTION(" GOOGLETRANSLATE(B29, ""en"", ""id"")"),"A) 1, B) 2, C) 3, D) 4")</f>
        <v>A) 1, B) 2, C) 3, D) 4</v>
      </c>
      <c r="H29" s="4" t="str">
        <f>IFERROR(__xludf.DUMMYFUNCTION(" GOOGLETRANSLATE(C29, ""en"", ""id"")"),"A) 1")</f>
        <v>A) 1</v>
      </c>
      <c r="I29" s="4" t="str">
        <f>IFERROR(__xludf.DUMMYFUNCTION(" GOOGLETRANSLATE(D29, ""en"", ""id"")"),"Serangan sah yang berhasil mendarat di badan lawan diberi satu poin.")</f>
        <v>Serangan sah yang berhasil mendarat di badan lawan diberi satu poin.</v>
      </c>
    </row>
    <row r="30">
      <c r="A30" s="10" t="s">
        <v>2232</v>
      </c>
      <c r="B30" s="10" t="s">
        <v>73</v>
      </c>
      <c r="C30" s="10" t="s">
        <v>74</v>
      </c>
      <c r="D30" s="10" t="s">
        <v>2233</v>
      </c>
      <c r="F30" s="4" t="str">
        <f>IFERROR(__xludf.DUMMYFUNCTION(" GOOGLETRANSLATE(A30, ""en"", ""id"")"),"Berapa skor maksimum untuk lemparan bersih?")</f>
        <v>Berapa skor maksimum untuk lemparan bersih?</v>
      </c>
      <c r="G30" s="4" t="str">
        <f>IFERROR(__xludf.DUMMYFUNCTION(" GOOGLETRANSLATE(B30, ""en"", ""id"")"),"A) 1, B) 2, C) 3, D) 5")</f>
        <v>A) 1, B) 2, C) 3, D) 5</v>
      </c>
      <c r="H30" s="4" t="str">
        <f>IFERROR(__xludf.DUMMYFUNCTION(" GOOGLETRANSLATE(C30, ""en"", ""id"")"),"C) 3")</f>
        <v>C) 3</v>
      </c>
      <c r="I30" s="4" t="str">
        <f>IFERROR(__xludf.DUMMYFUNCTION(" GOOGLETRANSLATE(D30, ""en"", ""id"")"),"Teknik lemparan atau takedown yang berhasil menyebabkan lawan jatuh diberi tiga poin.")</f>
        <v>Teknik lemparan atau takedown yang berhasil menyebabkan lawan jatuh diberi tiga poin.</v>
      </c>
    </row>
    <row r="31">
      <c r="A31" s="10" t="s">
        <v>2234</v>
      </c>
      <c r="B31" s="10" t="s">
        <v>2235</v>
      </c>
      <c r="C31" s="10" t="s">
        <v>2236</v>
      </c>
      <c r="D31" s="10" t="s">
        <v>2237</v>
      </c>
      <c r="F31" s="4" t="str">
        <f>IFERROR(__xludf.DUMMYFUNCTION(" GOOGLETRANSLATE(A31, ""en"", ""id"")"),"Apa yang diberikan jika seorang pesaing menyebabkan lawan jatuh tanpa menyerang?")</f>
        <v>Apa yang diberikan jika seorang pesaing menyebabkan lawan jatuh tanpa menyerang?</v>
      </c>
      <c r="G31" s="4" t="str">
        <f>IFERROR(__xludf.DUMMYFUNCTION(" GOOGLETRANSLATE(B31, ""en"", ""id"")"),"A) 1 poin, B) 2 poin, C) Tidak ada poin, D) Peringatan")</f>
        <v>A) 1 poin, B) 2 poin, C) Tidak ada poin, D) Peringatan</v>
      </c>
      <c r="H31" s="4" t="str">
        <f>IFERROR(__xludf.DUMMYFUNCTION(" GOOGLETRANSLATE(C31, ""en"", ""id"")"),"B) 2 poin")</f>
        <v>B) 2 poin</v>
      </c>
      <c r="I31" s="4" t="str">
        <f>IFERROR(__xludf.DUMMYFUNCTION(" GOOGLETRANSLATE(D31, ""en"", ""id"")"),"Teknik menyapu atau menjatuhkan yang membuat lawan kehilangan keseimbangan dan jatuh diberi hadiah dua poin.")</f>
        <v>Teknik menyapu atau menjatuhkan yang membuat lawan kehilangan keseimbangan dan jatuh diberi hadiah dua poin.</v>
      </c>
    </row>
    <row r="32">
      <c r="A32" s="10" t="s">
        <v>2238</v>
      </c>
      <c r="B32" s="10" t="s">
        <v>2239</v>
      </c>
      <c r="C32" s="10" t="s">
        <v>2240</v>
      </c>
      <c r="D32" s="10" t="s">
        <v>2241</v>
      </c>
      <c r="F32" s="4" t="str">
        <f>IFERROR(__xludf.DUMMYFUNCTION(" GOOGLETRANSLATE(A32, ""en"", ""id"")"),"Berapa durasi pertandingan resmi maksimum termasuk istirahat?")</f>
        <v>Berapa durasi pertandingan resmi maksimum termasuk istirahat?</v>
      </c>
      <c r="G32" s="4" t="str">
        <f>IFERROR(__xludf.DUMMYFUNCTION(" GOOGLETRANSLATE(B32, ""en"", ""id"")"),"A) 6 menit, B) 8 menit, C) 10 menit, D) 12 menit")</f>
        <v>A) 6 menit, B) 8 menit, C) 10 menit, D) 12 menit</v>
      </c>
      <c r="H32" s="4" t="str">
        <f>IFERROR(__xludf.DUMMYFUNCTION(" GOOGLETRANSLATE(C32, ""en"", ""id"")"),"B) 8 menit")</f>
        <v>B) 8 menit</v>
      </c>
      <c r="I32" s="4" t="str">
        <f>IFERROR(__xludf.DUMMYFUNCTION(" GOOGLETRANSLATE(D32, ""en"", ""id"")"),"Ini mencakup tiga ronde berdurasi 2 menit (total 6 menit) ditambah dua interval istirahat 1 menit di antara ronde tersebut.")</f>
        <v>Ini mencakup tiga ronde berdurasi 2 menit (total 6 menit) ditambah dua interval istirahat 1 menit di antara ronde tersebut.</v>
      </c>
    </row>
    <row r="33">
      <c r="A33" s="10" t="s">
        <v>2242</v>
      </c>
      <c r="B33" s="10" t="s">
        <v>2243</v>
      </c>
      <c r="C33" s="10" t="s">
        <v>2244</v>
      </c>
      <c r="D33" s="10" t="s">
        <v>2245</v>
      </c>
      <c r="F33" s="4" t="str">
        <f>IFERROR(__xludf.DUMMYFUNCTION(" GOOGLETRANSLATE(A33, ""en"", ""id"")"),"Sinyal apa yang digunakan wasit untuk memulai pertandingan?")</f>
        <v>Sinyal apa yang digunakan wasit untuk memulai pertandingan?</v>
      </c>
      <c r="G33" s="4" t="str">
        <f>IFERROR(__xludf.DUMMYFUNCTION(" GOOGLETRANSLATE(B33, ""en"", ""id"")"),"A) Gong, B) Peluit, C) Gerakan tangan, D) Lonceng")</f>
        <v>A) Gong, B) Peluit, C) Gerakan tangan, D) Lonceng</v>
      </c>
      <c r="H33" s="4" t="str">
        <f>IFERROR(__xludf.DUMMYFUNCTION(" GOOGLETRANSLATE(C33, ""en"", ""id"")"),"B) Peluit")</f>
        <v>B) Peluit</v>
      </c>
      <c r="I33" s="4" t="str">
        <f>IFERROR(__xludf.DUMMYFUNCTION(" GOOGLETRANSLATE(D33, ""en"", ""id"")"),"Wasit menggunakan peluit, bersama dengan perintah lisan dan isyarat tangan, untuk mengatur dimulainya dan berakhirnya suatu aksi.")</f>
        <v>Wasit menggunakan peluit, bersama dengan perintah lisan dan isyarat tangan, untuk mengatur dimulainya dan berakhirnya suatu aksi.</v>
      </c>
    </row>
    <row r="34">
      <c r="A34" s="10" t="s">
        <v>2246</v>
      </c>
      <c r="B34" s="10" t="s">
        <v>2247</v>
      </c>
      <c r="C34" s="10" t="s">
        <v>2248</v>
      </c>
      <c r="D34" s="10" t="s">
        <v>2249</v>
      </c>
      <c r="F34" s="4" t="str">
        <f>IFERROR(__xludf.DUMMYFUNCTION(" GOOGLETRANSLATE(A34, ""en"", ""id"")"),"Apa saja yang harus dilakukan peserta sebelum memasuki Gelanggang?")</f>
        <v>Apa saja yang harus dilakukan peserta sebelum memasuki Gelanggang?</v>
      </c>
      <c r="G34" s="4" t="str">
        <f>IFERROR(__xludf.DUMMYFUNCTION(" GOOGLETRANSLATE(B34, ""en"", ""id"")"),"A) Membungkuk, B) Memberi hormat, C) Mengucapkan janji, D) Mengulurkan tangan")</f>
        <v>A) Membungkuk, B) Memberi hormat, C) Mengucapkan janji, D) Mengulurkan tangan</v>
      </c>
      <c r="H34" s="4" t="str">
        <f>IFERROR(__xludf.DUMMYFUNCTION(" GOOGLETRANSLATE(C34, ""en"", ""id"")"),"B) Salam")</f>
        <v>B) Salam</v>
      </c>
      <c r="I34" s="4" t="str">
        <f>IFERROR(__xludf.DUMMYFUNCTION(" GOOGLETRANSLATE(D34, ""en"", ""id"")"),"Merupakan kebiasaan dan diwajibkan bagi para peserta untuk memberikan hormat kepada wasit dan ofisial sebelum memasuki arena.")</f>
        <v>Merupakan kebiasaan dan diwajibkan bagi para peserta untuk memberikan hormat kepada wasit dan ofisial sebelum memasuki arena.</v>
      </c>
    </row>
    <row r="35">
      <c r="A35" s="10" t="s">
        <v>2250</v>
      </c>
      <c r="B35" s="10" t="s">
        <v>2251</v>
      </c>
      <c r="C35" s="10" t="s">
        <v>2252</v>
      </c>
      <c r="D35" s="10" t="s">
        <v>2253</v>
      </c>
      <c r="F35" s="4" t="str">
        <f>IFERROR(__xludf.DUMMYFUNCTION(" GOOGLETRANSLATE(A35, ""en"", ""id"")"),"Jika seorang petarung menolak untuk melanjutkan, hasilnya dicatat sebagai:")</f>
        <v>Jika seorang petarung menolak untuk melanjutkan, hasilnya dicatat sebagai:</v>
      </c>
      <c r="G35" s="4" t="str">
        <f>IFERROR(__xludf.DUMMYFUNCTION(" GOOGLETRANSLATE(B35, ""en"", ""id"")"),"A) Kehilangan, B) Kerugian teknis, C) Walkover, D) Semua jawaban di atas")</f>
        <v>A) Kehilangan, B) Kerugian teknis, C) Walkover, D) Semua jawaban di atas</v>
      </c>
      <c r="H35" s="4" t="str">
        <f>IFERROR(__xludf.DUMMYFUNCTION(" GOOGLETRANSLATE(C35, ""en"", ""id"")"),"C) Jalan santai")</f>
        <v>C) Jalan santai</v>
      </c>
      <c r="I35" s="4" t="str">
        <f>IFERROR(__xludf.DUMMYFUNCTION(" GOOGLETRANSLATE(D35, ""en"", ""id"")"),"Walkover dinyatakan apabila salah satu peserta hadir dan bersedia bertarung, tetapi lawan menolak meneruskan atau tidak hadir.")</f>
        <v>Walkover dinyatakan apabila salah satu peserta hadir dan bersedia bertarung, tetapi lawan menolak meneruskan atau tidak hadir.</v>
      </c>
    </row>
    <row r="36">
      <c r="A36" s="10" t="s">
        <v>2254</v>
      </c>
      <c r="B36" s="10" t="s">
        <v>2255</v>
      </c>
      <c r="C36" s="10" t="s">
        <v>2256</v>
      </c>
      <c r="D36" s="10" t="s">
        <v>2257</v>
      </c>
      <c r="F36" s="4" t="str">
        <f>IFERROR(__xludf.DUMMYFUNCTION(" GOOGLETRANSLATE(A36, ""en"", ""id"")"),"Apa yang terjadi jika seorang pelatih mengganggu keputusan wasit?")</f>
        <v>Apa yang terjadi jika seorang pelatih mengganggu keputusan wasit?</v>
      </c>
      <c r="G36" s="4" t="str">
        <f>IFERROR(__xludf.DUMMYFUNCTION(" GOOGLETRANSLATE(B36, ""en"", ""id"")"),"A) Peringatan, B) Jeda pertandingan, C) Diskualifikasi atlet, D) Ulangan")</f>
        <v>A) Peringatan, B) Jeda pertandingan, C) Diskualifikasi atlet, D) Ulangan</v>
      </c>
      <c r="H36" s="4" t="str">
        <f>IFERROR(__xludf.DUMMYFUNCTION(" GOOGLETRANSLATE(C36, ""en"", ""id"")"),"C) Diskualifikasi atlet")</f>
        <v>C) Diskualifikasi atlet</v>
      </c>
      <c r="I36" s="4" t="str">
        <f>IFERROR(__xludf.DUMMYFUNCTION(" GOOGLETRANSLATE(D36, ""en"", ""id"")"),"Campur tangan pelatih merupakan pelanggaran serius yang dapat mengakibatkan diskualifikasi atletnya sendiri.")</f>
        <v>Campur tangan pelatih merupakan pelanggaran serius yang dapat mengakibatkan diskualifikasi atletnya sendiri.</v>
      </c>
    </row>
    <row r="37">
      <c r="A37" s="10" t="s">
        <v>2258</v>
      </c>
      <c r="B37" s="10" t="s">
        <v>2259</v>
      </c>
      <c r="C37" s="10" t="s">
        <v>2260</v>
      </c>
      <c r="D37" s="10" t="s">
        <v>2261</v>
      </c>
      <c r="F37" s="4" t="str">
        <f>IFERROR(__xludf.DUMMYFUNCTION(" GOOGLETRANSLATE(A37, ""en"", ""id"")"),"Dalam Silat, memukul punggung lawan adalah:")</f>
        <v>Dalam Silat, memukul punggung lawan adalah:</v>
      </c>
      <c r="G37" s="4" t="str">
        <f>IFERROR(__xludf.DUMMYFUNCTION(" GOOGLETRANSLATE(B37, ""en"", ""id"")"),"A) Diizinkan, B) Tidak diizinkan, C) Hanya dengan kontrol, D) Hanya dalam seni")</f>
        <v>A) Diizinkan, B) Tidak diizinkan, C) Hanya dengan kontrol, D) Hanya dalam seni</v>
      </c>
      <c r="H37" s="4" t="str">
        <f>IFERROR(__xludf.DUMMYFUNCTION(" GOOGLETRANSLATE(C37, ""en"", ""id"")"),"B) Tidak diperbolehkan")</f>
        <v>B) Tidak diperbolehkan</v>
      </c>
      <c r="I37" s="4" t="str">
        <f>IFERROR(__xludf.DUMMYFUNCTION(" GOOGLETRANSLATE(D37, ""en"", ""id"")"),"Bagian belakang tubuh bukan merupakan area target yang sah dan memukulnya dianggap pelanggaran.")</f>
        <v>Bagian belakang tubuh bukan merupakan area target yang sah dan memukulnya dianggap pelanggaran.</v>
      </c>
    </row>
    <row r="38">
      <c r="A38" s="10" t="s">
        <v>2262</v>
      </c>
      <c r="B38" s="10" t="s">
        <v>2263</v>
      </c>
      <c r="C38" s="10" t="s">
        <v>1187</v>
      </c>
      <c r="D38" s="10" t="s">
        <v>2264</v>
      </c>
      <c r="F38" s="4" t="str">
        <f>IFERROR(__xludf.DUMMYFUNCTION(" GOOGLETRANSLATE(A38, ""en"", ""id"")"),"Aturan apa yang mengatur peralatan yang rusak selama pertempuran?")</f>
        <v>Aturan apa yang mengatur peralatan yang rusak selama pertempuran?</v>
      </c>
      <c r="G38" s="4" t="str">
        <f>IFERROR(__xludf.DUMMYFUNCTION(" GOOGLETRANSLATE(B38, ""en"", ""id"")"),"A) Timeout, B) Replacement, C) Restart, D) Semua jawaban di atas")</f>
        <v>A) Timeout, B) Replacement, C) Restart, D) Semua jawaban di atas</v>
      </c>
      <c r="H38" s="4" t="str">
        <f>IFERROR(__xludf.DUMMYFUNCTION(" GOOGLETRANSLATE(C38, ""en"", ""id"")"),"D) Semua jawaban di atas")</f>
        <v>D) Semua jawaban di atas</v>
      </c>
      <c r="I38" s="4" t="str">
        <f>IFERROR(__xludf.DUMMYFUNCTION(" GOOGLETRANSLATE(D38, ""en"", ""id"")"),"Wasit akan meminta waktu istirahat, mengizinkan penggantian peralatan, dan kemudian secara resmi memulai kembali pertandingan.")</f>
        <v>Wasit akan meminta waktu istirahat, mengizinkan penggantian peralatan, dan kemudian secara resmi memulai kembali pertandingan.</v>
      </c>
    </row>
    <row r="39">
      <c r="A39" s="10" t="s">
        <v>2265</v>
      </c>
      <c r="B39" s="10" t="s">
        <v>2266</v>
      </c>
      <c r="C39" s="10" t="s">
        <v>236</v>
      </c>
      <c r="D39" s="10" t="s">
        <v>2267</v>
      </c>
      <c r="F39" s="4" t="str">
        <f>IFERROR(__xludf.DUMMYFUNCTION(" GOOGLETRANSLATE(A39, ""en"", ""id"")"),"Jika seorang peserta menggunakan bahasa kotor, hukumannya adalah:")</f>
        <v>Jika seorang peserta menggunakan bahasa kotor, hukumannya adalah:</v>
      </c>
      <c r="G39" s="4" t="str">
        <f>IFERROR(__xludf.DUMMYFUNCTION(" GOOGLETRANSLATE(B39, ""en"", ""id"")"),"A) Peringatan, B) Pengurangan, C) Diskualifikasi, D) Pertandingan dimulai kembali")</f>
        <v>A) Peringatan, B) Pengurangan, C) Diskualifikasi, D) Pertandingan dimulai kembali</v>
      </c>
      <c r="H39" s="4" t="str">
        <f>IFERROR(__xludf.DUMMYFUNCTION(" GOOGLETRANSLATE(C39, ""en"", ""id"")"),"C) Diskualifikasi")</f>
        <v>C) Diskualifikasi</v>
      </c>
      <c r="I39" s="4" t="str">
        <f>IFERROR(__xludf.DUMMYFUNCTION(" GOOGLETRANSLATE(D39, ""en"", ""id"")"),"Penggunaan bahasa kasar atau kasar merupakan pelanggaran kode etik olahraga dan dapat mengakibatkan diskualifikasi.")</f>
        <v>Penggunaan bahasa kasar atau kasar merupakan pelanggaran kode etik olahraga dan dapat mengakibatkan diskualifikasi.</v>
      </c>
    </row>
    <row r="40">
      <c r="A40" s="10" t="s">
        <v>2268</v>
      </c>
      <c r="B40" s="10" t="s">
        <v>2269</v>
      </c>
      <c r="C40" s="10" t="s">
        <v>2270</v>
      </c>
      <c r="D40" s="10" t="s">
        <v>2271</v>
      </c>
      <c r="F40" s="4" t="str">
        <f>IFERROR(__xludf.DUMMYFUNCTION(" GOOGLETRANSLATE(A40, ""en"", ""id"")"),"Otoritas mana yang menyetujui banding protes?")</f>
        <v>Otoritas mana yang menyetujui banding protes?</v>
      </c>
      <c r="G40" s="4" t="str">
        <f>IFERROR(__xludf.DUMMYFUNCTION(" GOOGLETRANSLATE(B40, ""en"", ""id"")"),"A) Wasit, B) Juri banding, C) Hakim, D) Panel pelatih")</f>
        <v>A) Wasit, B) Juri banding, C) Hakim, D) Panel pelatih</v>
      </c>
      <c r="H40" s="4" t="str">
        <f>IFERROR(__xludf.DUMMYFUNCTION(" GOOGLETRANSLATE(C40, ""en"", ""id"")"),"B) Juri banding")</f>
        <v>B) Juri banding</v>
      </c>
      <c r="I40" s="4" t="str">
        <f>IFERROR(__xludf.DUMMYFUNCTION(" GOOGLETRANSLATE(D40, ""en"", ""id"")"),"Juri Banding khusus ditunjuk untuk meninjau dan membuat keputusan akhir atas protes resmi yang diajukan setelah pertandingan.")</f>
        <v>Juri Banding khusus ditunjuk untuk meninjau dan membuat keputusan akhir atas protes resmi yang diajukan setelah pertandingan.</v>
      </c>
    </row>
    <row r="41">
      <c r="A41" s="10" t="s">
        <v>2272</v>
      </c>
      <c r="B41" s="10" t="s">
        <v>2273</v>
      </c>
      <c r="C41" s="10" t="s">
        <v>2274</v>
      </c>
      <c r="D41" s="10" t="s">
        <v>2275</v>
      </c>
      <c r="F41" s="4" t="str">
        <f>IFERROR(__xludf.DUMMYFUNCTION(" GOOGLETRANSLATE(A41, ""en"", ""id"")"),"Apa warna seragam yang diizinkan dalam kompetisi?")</f>
        <v>Apa warna seragam yang diizinkan dalam kompetisi?</v>
      </c>
      <c r="G41" s="4" t="str">
        <f>IFERROR(__xludf.DUMMYFUNCTION(" GOOGLETRANSLATE(B41, ""en"", ""id"")"),"A) Hitam, B) Putih, C) Merah, D) Warna apa saja")</f>
        <v>A) Hitam, B) Putih, C) Merah, D) Warna apa saja</v>
      </c>
      <c r="H41" s="4" t="str">
        <f>IFERROR(__xludf.DUMMYFUNCTION(" GOOGLETRANSLATE(C41, ""en"", ""id"")"),"A) Hitam")</f>
        <v>A) Hitam</v>
      </c>
      <c r="I41" s="4" t="str">
        <f>IFERROR(__xludf.DUMMYFUNCTION(" GOOGLETRANSLATE(D41, ""en"", ""id"")"),"Seragam resmi standar untuk semua pesaing Pencak Silat berwarna hitam.")</f>
        <v>Seragam resmi standar untuk semua pesaing Pencak Silat berwarna hitam.</v>
      </c>
    </row>
    <row r="42">
      <c r="A42" s="10" t="s">
        <v>2276</v>
      </c>
      <c r="B42" s="10" t="s">
        <v>469</v>
      </c>
      <c r="C42" s="10" t="s">
        <v>2277</v>
      </c>
      <c r="D42" s="10" t="s">
        <v>2278</v>
      </c>
      <c r="F42" s="4" t="str">
        <f>IFERROR(__xludf.DUMMYFUNCTION(" GOOGLETRANSLATE(A42, ""en"", ""id"")"),"Dalam Tandem, jumlah pemain yang dibutuhkan adalah:")</f>
        <v>Dalam Tandem, jumlah pemain yang dibutuhkan adalah:</v>
      </c>
      <c r="G42" s="4" t="str">
        <f>IFERROR(__xludf.DUMMYFUNCTION(" GOOGLETRANSLATE(B42, ""en"", ""id"")"),"A) 2, B) 3, C) 4, D) 5")</f>
        <v>A) 2, B) 3, C) 4, D) 5</v>
      </c>
      <c r="H42" s="4" t="str">
        <f>IFERROR(__xludf.DUMMYFUNCTION(" GOOGLETRANSLATE(C42, ""en"", ""id"")"),"A) 2")</f>
        <v>A) 2</v>
      </c>
      <c r="I42" s="4" t="str">
        <f>IFERROR(__xludf.DUMMYFUNCTION(" GOOGLETRANSLATE(D42, ""en"", ""id"")"),"Kategori seni Tandem (Ganda) merupakan pertunjukan koreografi yang dilakukan oleh sepasang dua atlet.")</f>
        <v>Kategori seni Tandem (Ganda) merupakan pertunjukan koreografi yang dilakukan oleh sepasang dua atlet.</v>
      </c>
    </row>
    <row r="43">
      <c r="A43" s="10" t="s">
        <v>2279</v>
      </c>
      <c r="B43" s="10" t="s">
        <v>2280</v>
      </c>
      <c r="C43" s="10" t="s">
        <v>236</v>
      </c>
      <c r="D43" s="10" t="s">
        <v>2281</v>
      </c>
      <c r="F43" s="4" t="str">
        <f>IFERROR(__xludf.DUMMYFUNCTION(" GOOGLETRANSLATE(A43, ""en"", ""id"")"),"Apa hukumannya jika menggunakan perhiasan saat kompetisi?")</f>
        <v>Apa hukumannya jika menggunakan perhiasan saat kompetisi?</v>
      </c>
      <c r="G43" s="4" t="str">
        <f>IFERROR(__xludf.DUMMYFUNCTION(" GOOGLETRANSLATE(B43, ""en"", ""id"")"),"A) Peringatan, B) Pengurangan poin, C) Diskualifikasi, D) Tidak ada penalti")</f>
        <v>A) Peringatan, B) Pengurangan poin, C) Diskualifikasi, D) Tidak ada penalti</v>
      </c>
      <c r="H43" s="4" t="str">
        <f>IFERROR(__xludf.DUMMYFUNCTION(" GOOGLETRANSLATE(C43, ""en"", ""id"")"),"C) Diskualifikasi")</f>
        <v>C) Diskualifikasi</v>
      </c>
      <c r="I43" s="4" t="str">
        <f>IFERROR(__xludf.DUMMYFUNCTION(" GOOGLETRANSLATE(D43, ""en"", ""id"")"),"Demi alasan keselamatan, mengenakan perhiasan apa pun dilarang keras, dan peserta akan didiskualifikasi jika menolak melepaskannya.")</f>
        <v>Demi alasan keselamatan, mengenakan perhiasan apa pun dilarang keras, dan peserta akan didiskualifikasi jika menolak melepaskannya.</v>
      </c>
    </row>
    <row r="44">
      <c r="A44" s="10" t="s">
        <v>2282</v>
      </c>
      <c r="B44" s="10" t="s">
        <v>2283</v>
      </c>
      <c r="C44" s="10" t="s">
        <v>2284</v>
      </c>
      <c r="D44" s="10" t="s">
        <v>2285</v>
      </c>
      <c r="F44" s="4" t="str">
        <f>IFERROR(__xludf.DUMMYFUNCTION(" GOOGLETRANSLATE(A44, ""en"", ""id"")"),"Bagaimana kemenangan berdasarkan skor dinyatakan secara resmi?")</f>
        <v>Bagaimana kemenangan berdasarkan skor dinyatakan secara resmi?</v>
      </c>
      <c r="G44" s="4" t="str">
        <f>IFERROR(__xludf.DUMMYFUNCTION(" GOOGLETRANSLATE(B44, ""en"", ""id"")"),"A) Suara mayoritas, B) Keunggulan teknis, C) Poin tertinggi, D) Daya tarik")</f>
        <v>A) Suara mayoritas, B) Keunggulan teknis, C) Poin tertinggi, D) Daya tarik</v>
      </c>
      <c r="H44" s="4" t="str">
        <f>IFERROR(__xludf.DUMMYFUNCTION(" GOOGLETRANSLATE(C44, ""en"", ""id"")"),"C) Titik tertinggi")</f>
        <v>C) Titik tertinggi</v>
      </c>
      <c r="I44" s="4" t="str">
        <f>IFERROR(__xludf.DUMMYFUNCTION(" GOOGLETRANSLATE(D44, ""en"", ""id"")"),"Di akhir tiga putaran, peserta yang mengumpulkan poin terbanyak sebagaimana dicatat oleh juri dinyatakan sebagai pemenang.")</f>
        <v>Di akhir tiga putaran, peserta yang mengumpulkan poin terbanyak sebagaimana dicatat oleh juri dinyatakan sebagai pemenang.</v>
      </c>
    </row>
    <row r="45">
      <c r="A45" s="10" t="s">
        <v>2286</v>
      </c>
      <c r="B45" s="10" t="s">
        <v>2287</v>
      </c>
      <c r="C45" s="10" t="s">
        <v>2288</v>
      </c>
      <c r="D45" s="10" t="s">
        <v>2289</v>
      </c>
      <c r="F45" s="4" t="str">
        <f>IFERROR(__xludf.DUMMYFUNCTION(" GOOGLETRANSLATE(A45, ""en"", ""id"")"),"Berapa waktu maksimal yang diberikan untuk mengajukan protes?")</f>
        <v>Berapa waktu maksimal yang diberikan untuk mengajukan protes?</v>
      </c>
      <c r="G45" s="4" t="str">
        <f>IFERROR(__xludf.DUMMYFUNCTION(" GOOGLETRANSLATE(B45, ""en"", ""id"")"),"A) Segera, B) 10 menit, C) 15 menit, D) 30 menit")</f>
        <v>A) Segera, B) 10 menit, C) 15 menit, D) 30 menit</v>
      </c>
      <c r="H45" s="4" t="str">
        <f>IFERROR(__xludf.DUMMYFUNCTION(" GOOGLETRANSLATE(C45, ""en"", ""id"")"),"B) 10 menit")</f>
        <v>B) 10 menit</v>
      </c>
      <c r="I45" s="4" t="str">
        <f>IFERROR(__xludf.DUMMYFUNCTION(" GOOGLETRANSLATE(D45, ""en"", ""id"")"),"Suatu tim harus mengajukan protes resmi dalam waktu 10 menit setelah pertandingan berakhir.")</f>
        <v>Suatu tim harus mengajukan protes resmi dalam waktu 10 menit setelah pertandingan berakhir.</v>
      </c>
    </row>
    <row r="46">
      <c r="A46" s="10" t="s">
        <v>2290</v>
      </c>
      <c r="B46" s="10" t="s">
        <v>2280</v>
      </c>
      <c r="C46" s="10" t="s">
        <v>1148</v>
      </c>
      <c r="D46" s="10" t="s">
        <v>2291</v>
      </c>
      <c r="F46" s="4" t="str">
        <f>IFERROR(__xludf.DUMMYFUNCTION(" GOOGLETRANSLATE(A46, ""en"", ""id"")"),"Dalam dunia seni, menjatuhkan senjata akan mengakibatkan:")</f>
        <v>Dalam dunia seni, menjatuhkan senjata akan mengakibatkan:</v>
      </c>
      <c r="G46" s="4" t="str">
        <f>IFERROR(__xludf.DUMMYFUNCTION(" GOOGLETRANSLATE(B46, ""en"", ""id"")"),"A) Peringatan, B) Pengurangan poin, C) Diskualifikasi, D) Tidak ada penalti")</f>
        <v>A) Peringatan, B) Pengurangan poin, C) Diskualifikasi, D) Tidak ada penalti</v>
      </c>
      <c r="H46" s="4" t="str">
        <f>IFERROR(__xludf.DUMMYFUNCTION(" GOOGLETRANSLATE(C46, ""en"", ""id"")"),"B) Pengurangan poin")</f>
        <v>B) Pengurangan poin</v>
      </c>
      <c r="I46" s="4" t="str">
        <f>IFERROR(__xludf.DUMMYFUNCTION(" GOOGLETRANSLATE(D46, ""en"", ""id"")"),"Kehilangan kendali atau menjatuhkan senjata selama rutinitas artistik akan dikenakan pengurangan penalti dari skor total.")</f>
        <v>Kehilangan kendali atau menjatuhkan senjata selama rutinitas artistik akan dikenakan pengurangan penalti dari skor total.</v>
      </c>
    </row>
    <row r="47">
      <c r="A47" s="10" t="s">
        <v>2292</v>
      </c>
      <c r="B47" s="10" t="s">
        <v>2293</v>
      </c>
      <c r="C47" s="10" t="s">
        <v>1251</v>
      </c>
      <c r="D47" s="10" t="s">
        <v>2294</v>
      </c>
      <c r="F47" s="4" t="str">
        <f>IFERROR(__xludf.DUMMYFUNCTION(" GOOGLETRANSLATE(A47, ""en"", ""id"")"),"Apa yang terjadi jika kedua petarung cedera dan tidak dapat melanjutkan pertandingan?")</f>
        <v>Apa yang terjadi jika kedua petarung cedera dan tidak dapat melanjutkan pertandingan?</v>
      </c>
      <c r="G47" s="4" t="str">
        <f>IFERROR(__xludf.DUMMYFUNCTION(" GOOGLETRANSLATE(B47, ""en"", ""id"")"),"A) Seri, B) Ulangan, C) Juri memutuskan, D) Tidak ada kontes")</f>
        <v>A) Seri, B) Ulangan, C) Juri memutuskan, D) Tidak ada kontes</v>
      </c>
      <c r="H47" s="4" t="str">
        <f>IFERROR(__xludf.DUMMYFUNCTION(" GOOGLETRANSLATE(C47, ""en"", ""id"")"),"A) Menggambar")</f>
        <v>A) Menggambar</v>
      </c>
      <c r="I47" s="4" t="str">
        <f>IFERROR(__xludf.DUMMYFUNCTION(" GOOGLETRANSLATE(D47, ""en"", ""id"")"),"Jika tidak ada satu pun peserta yang dapat meneruskan pertandingan karena cedera yang dialami pada saat yang bersamaan, pertandingan dapat dinyatakan seri jika skornya sama, atau ditentukan berdasarkan poin hingga saat itu.")</f>
        <v>Jika tidak ada satu pun peserta yang dapat meneruskan pertandingan karena cedera yang dialami pada saat yang bersamaan, pertandingan dapat dinyatakan seri jika skornya sama, atau ditentukan berdasarkan poin hingga saat itu.</v>
      </c>
    </row>
    <row r="48">
      <c r="A48" s="10" t="s">
        <v>2295</v>
      </c>
      <c r="B48" s="10" t="s">
        <v>2296</v>
      </c>
      <c r="C48" s="10" t="s">
        <v>1187</v>
      </c>
      <c r="D48" s="10" t="s">
        <v>2297</v>
      </c>
      <c r="F48" s="4" t="str">
        <f>IFERROR(__xludf.DUMMYFUNCTION(" GOOGLETRANSLATE(A48, ""en"", ""id"")"),"Dalam pertempuran, kapan seorang pesaing dianugerahi “kemenangan teknis”?")</f>
        <v>Dalam pertempuran, kapan seorang pesaing dianugerahi “kemenangan teknis”?</v>
      </c>
      <c r="G48" s="4" t="str">
        <f>IFERROR(__xludf.DUMMYFUNCTION(" GOOGLETRANSLATE(B48, ""en"", ""id"")"),"A) Lawan tidak hadir, B) Lawan cedera, C) Lawan mendapat penalti, D) Semua jawaban di atas")</f>
        <v>A) Lawan tidak hadir, B) Lawan cedera, C) Lawan mendapat penalti, D) Semua jawaban di atas</v>
      </c>
      <c r="H48" s="4" t="str">
        <f>IFERROR(__xludf.DUMMYFUNCTION(" GOOGLETRANSLATE(C48, ""en"", ""id"")"),"D) Semua jawaban di atas")</f>
        <v>D) Semua jawaban di atas</v>
      </c>
      <c r="I48" s="4" t="str">
        <f>IFERROR(__xludf.DUMMYFUNCTION(" GOOGLETRANSLATE(D48, ""en"", ""id"")"),"Kemenangan teknis diberikan karena berbagai alasan, termasuk diskualifikasi lawan, cedera, atau kegagalan hadir (walkover).")</f>
        <v>Kemenangan teknis diberikan karena berbagai alasan, termasuk diskualifikasi lawan, cedera, atau kegagalan hadir (walkover).</v>
      </c>
    </row>
    <row r="49">
      <c r="A49" s="10" t="s">
        <v>2298</v>
      </c>
      <c r="B49" s="10" t="s">
        <v>2299</v>
      </c>
      <c r="C49" s="10" t="s">
        <v>2300</v>
      </c>
      <c r="D49" s="10" t="s">
        <v>2301</v>
      </c>
      <c r="F49" s="4" t="str">
        <f>IFERROR(__xludf.DUMMYFUNCTION(" GOOGLETRANSLATE(A49, ""en"", ""id"")"),"Apa peran pencatat waktu?")</f>
        <v>Apa peran pencatat waktu?</v>
      </c>
      <c r="G49" s="4" t="str">
        <f>IFERROR(__xludf.DUMMYFUNCTION(" GOOGLETRANSLATE(B49, ""en"", ""id"")"),"A) Hentikan serangan ilegal, B) Lacak durasi ronde, C) Catat penalti, D) Hitung skor")</f>
        <v>A) Hentikan serangan ilegal, B) Lacak durasi ronde, C) Catat penalti, D) Hitung skor</v>
      </c>
      <c r="H49" s="4" t="str">
        <f>IFERROR(__xludf.DUMMYFUNCTION(" GOOGLETRANSLATE(C49, ""en"", ""id"")"),"B) Melacak durasi putaran")</f>
        <v>B) Melacak durasi putaran</v>
      </c>
      <c r="I49" s="4" t="str">
        <f>IFERROR(__xludf.DUMMYFUNCTION(" GOOGLETRANSLATE(D49, ""en"", ""id"")"),"Pencatat waktu bertanggung jawab penuh dalam mengatur jam selama ronde dan waktu istirahat, serta memberi tanda dimulainya dan berakhirnya ronde kepada wasit.")</f>
        <v>Pencatat waktu bertanggung jawab penuh dalam mengatur jam selama ronde dan waktu istirahat, serta memberi tanda dimulainya dan berakhirnya ronde kepada wasit.</v>
      </c>
    </row>
    <row r="50">
      <c r="A50" s="10" t="s">
        <v>2302</v>
      </c>
      <c r="B50" s="10" t="s">
        <v>2303</v>
      </c>
      <c r="C50" s="10" t="s">
        <v>1535</v>
      </c>
      <c r="D50" s="10" t="s">
        <v>2304</v>
      </c>
      <c r="F50" s="4" t="str">
        <f>IFERROR(__xludf.DUMMYFUNCTION(" GOOGLETRANSLATE(A50, ""en"", ""id"")"),"Aturan mana yang berlaku jika seorang peserta terlambat datang ke arena?")</f>
        <v>Aturan mana yang berlaku jika seorang peserta terlambat datang ke arena?</v>
      </c>
      <c r="G50" s="4" t="str">
        <f>IFERROR(__xludf.DUMMYFUNCTION(" GOOGLETRANSLATE(B50, ""en"", ""id"")"),"A) Peringatan, B) Diskualifikasi, C) Pengurangan poin, D) Ulangan")</f>
        <v>A) Peringatan, B) Diskualifikasi, C) Pengurangan poin, D) Ulangan</v>
      </c>
      <c r="H50" s="4" t="str">
        <f>IFERROR(__xludf.DUMMYFUNCTION(" GOOGLETRANSLATE(C50, ""en"", ""id"")"),"B) Diskualifikasi")</f>
        <v>B) Diskualifikasi</v>
      </c>
      <c r="I50" s="4" t="str">
        <f>IFERROR(__xludf.DUMMYFUNCTION(" GOOGLETRANSLATE(D50, ""en"", ""id"")"),"Peserta harus hadir tepat waktu; kegagalan hadir setelah dipanggil akan mengakibatkan diskualifikasi.")</f>
        <v>Peserta harus hadir tepat waktu; kegagalan hadir setelah dipanggil akan mengakibatkan diskualifikasi.</v>
      </c>
    </row>
    <row r="51">
      <c r="A51" s="10" t="s">
        <v>2305</v>
      </c>
      <c r="B51" s="10" t="s">
        <v>2306</v>
      </c>
      <c r="C51" s="10" t="s">
        <v>1818</v>
      </c>
      <c r="D51" s="10" t="s">
        <v>2307</v>
      </c>
      <c r="F51" s="4" t="str">
        <f>IFERROR(__xludf.DUMMYFUNCTION(" GOOGLETRANSLATE(A51, ""en"", ""id"")"),"Apa yang terjadi jika seorang petarung melanjutkan pertarungan setelah peluit dibunyikan?")</f>
        <v>Apa yang terjadi jika seorang petarung melanjutkan pertarungan setelah peluit dibunyikan?</v>
      </c>
      <c r="G51" s="4" t="str">
        <f>IFERROR(__xludf.DUMMYFUNCTION(" GOOGLETRANSLATE(B51, ""en"", ""id"")"),"A) Poin tambahan, B) Peringatan, C) Diskualifikasi, D) Tidak ada penalti")</f>
        <v>A) Poin tambahan, B) Peringatan, C) Diskualifikasi, D) Tidak ada penalti</v>
      </c>
      <c r="H51" s="4" t="str">
        <f>IFERROR(__xludf.DUMMYFUNCTION(" GOOGLETRANSLATE(C51, ""en"", ""id"")"),"B) Peringatan")</f>
        <v>B) Peringatan</v>
      </c>
      <c r="I51" s="4" t="str">
        <f>IFERROR(__xludf.DUMMYFUNCTION(" GOOGLETRANSLATE(D51, ""en"", ""id"")"),"Terus bertarung setelah peluit akhir ronde berbunyi merupakan pelanggaran yang akan membuat peserta mendapatkan peringatan.")</f>
        <v>Terus bertarung setelah peluit akhir ronde berbunyi merupakan pelanggaran yang akan membuat peserta mendapatkan peringatan.</v>
      </c>
    </row>
    <row r="52">
      <c r="A52" s="10" t="s">
        <v>2308</v>
      </c>
      <c r="B52" s="10" t="s">
        <v>2309</v>
      </c>
      <c r="C52" s="10" t="s">
        <v>2310</v>
      </c>
      <c r="D52" s="10" t="s">
        <v>2311</v>
      </c>
      <c r="F52" s="4" t="str">
        <f>IFERROR(__xludf.DUMMYFUNCTION(" GOOGLETRANSLATE(A52, ""en"", ""id"")"),"Dalam ketidaksesuaian kategori berat, pesaing yang lebih ringan:")</f>
        <v>Dalam ketidaksesuaian kategori berat, pesaing yang lebih ringan:</v>
      </c>
      <c r="G52" s="4" t="str">
        <f>IFERROR(__xludf.DUMMYFUNCTION(" GOOGLETRANSLATE(B52, ""en"", ""id"")"),"A) Kalah secara otomatis, B) Boleh bertanding, C) Didiskualifikasi, D) Menang secara default")</f>
        <v>A) Kalah secara otomatis, B) Boleh bertanding, C) Didiskualifikasi, D) Menang secara default</v>
      </c>
      <c r="H52" s="4" t="str">
        <f>IFERROR(__xludf.DUMMYFUNCTION(" GOOGLETRANSLATE(C52, ""en"", ""id"")"),"C) Didiskualifikasi")</f>
        <v>C) Didiskualifikasi</v>
      </c>
      <c r="I52" s="4" t="str">
        <f>IFERROR(__xludf.DUMMYFUNCTION(" GOOGLETRANSLATE(D52, ""en"", ""id"")"),"Demi keselamatan dan keadilan, seorang peserta harus mencapai berat yang ditentukan; gagal mencapainya (bahkan jika beratnya kurang) akan mengakibatkan diskualifikasi.")</f>
        <v>Demi keselamatan dan keadilan, seorang peserta harus mencapai berat yang ditentukan; gagal mencapainya (bahkan jika beratnya kurang) akan mengakibatkan diskualifikasi.</v>
      </c>
    </row>
    <row r="53">
      <c r="A53" s="10" t="s">
        <v>2312</v>
      </c>
      <c r="B53" s="10" t="s">
        <v>2313</v>
      </c>
      <c r="C53" s="10" t="s">
        <v>2314</v>
      </c>
      <c r="D53" s="12" t="s">
        <v>2315</v>
      </c>
      <c r="F53" s="4" t="str">
        <f>IFERROR(__xludf.DUMMYFUNCTION(" GOOGLETRANSLATE(A53, ""en"", ""id"")"),"Perintah wasit “Mulai” berarti:")</f>
        <v>Perintah wasit “Mulai” berarti:</v>
      </c>
      <c r="G53" s="4" t="str">
        <f>IFERROR(__xludf.DUMMYFUNCTION(" GOOGLETRANSLATE(B53, ""en"", ""id"")"),"A) Berhenti, B) Mulai, C) Istirahat, D) Peringatan")</f>
        <v>A) Berhenti, B) Mulai, C) Istirahat, D) Peringatan</v>
      </c>
      <c r="H53" s="4" t="str">
        <f>IFERROR(__xludf.DUMMYFUNCTION(" GOOGLETRANSLATE(C53, ""en"", ""id"")"),"B) Mulai")</f>
        <v>B) Mulai</v>
      </c>
      <c r="I53" s="4" t="str">
        <f>IFERROR(__xludf.DUMMYFUNCTION(" GOOGLETRANSLATE(D53, ""en"", ""id"")"),"'Mulai' adalah perintah Melayu yang digunakan wasit untuk memulai atau melanjutkan pertarungan.")</f>
        <v>'Mulai' adalah perintah Melayu yang digunakan wasit untuk memulai atau melanjutkan pertarungan.</v>
      </c>
    </row>
    <row r="54">
      <c r="A54" s="10" t="s">
        <v>2316</v>
      </c>
      <c r="B54" s="10" t="s">
        <v>2317</v>
      </c>
      <c r="C54" s="10" t="s">
        <v>2318</v>
      </c>
      <c r="D54" s="12" t="s">
        <v>2319</v>
      </c>
      <c r="F54" s="4" t="str">
        <f>IFERROR(__xludf.DUMMYFUNCTION(" GOOGLETRANSLATE(A54, ""en"", ""id"")"),"Perintah wasit “Berhenti” berarti:")</f>
        <v>Perintah wasit “Berhenti” berarti:</v>
      </c>
      <c r="G54" s="4" t="str">
        <f>IFERROR(__xludf.DUMMYFUNCTION(" GOOGLETRANSLATE(B54, ""en"", ""id"")"),"A) Istirahat, B) Berhenti, C) Atur Ulang, D) Pengurangan")</f>
        <v>A) Istirahat, B) Berhenti, C) Atur Ulang, D) Pengurangan</v>
      </c>
      <c r="H54" s="4" t="str">
        <f>IFERROR(__xludf.DUMMYFUNCTION(" GOOGLETRANSLATE(C54, ""en"", ""id"")"),"B) Berhenti")</f>
        <v>B) Berhenti</v>
      </c>
      <c r="I54" s="4" t="str">
        <f>IFERROR(__xludf.DUMMYFUNCTION(" GOOGLETRANSLATE(D54, ""en"", ""id"")"),"Berhenti' adalah perintah Melayu yang digunakan wasit untuk menghentikan pertarungan.")</f>
        <v>Berhenti' adalah perintah Melayu yang digunakan wasit untuk menghentikan pertarungan.</v>
      </c>
    </row>
    <row r="55">
      <c r="A55" s="10" t="s">
        <v>2320</v>
      </c>
      <c r="B55" s="10" t="s">
        <v>2321</v>
      </c>
      <c r="C55" s="10" t="s">
        <v>2322</v>
      </c>
      <c r="D55" s="12" t="s">
        <v>2323</v>
      </c>
      <c r="F55" s="4" t="str">
        <f>IFERROR(__xludf.DUMMYFUNCTION(" GOOGLETRANSLATE(A55, ""en"", ""id"")"),"Perintah wasit “Keluar” berarti:")</f>
        <v>Perintah wasit “Keluar” berarti:</v>
      </c>
      <c r="G55" s="4" t="str">
        <f>IFERROR(__xludf.DUMMYFUNCTION(" GOOGLETRANSLATE(B55, ""en"", ""id"")"),"A) Lanjutkan, B) Keluar, C) Peringatan, D) Mogok")</f>
        <v>A) Lanjutkan, B) Keluar, C) Peringatan, D) Mogok</v>
      </c>
      <c r="H55" s="4" t="str">
        <f>IFERROR(__xludf.DUMMYFUNCTION(" GOOGLETRANSLATE(C55, ""en"", ""id"")"),"B) Keluar")</f>
        <v>B) Keluar</v>
      </c>
      <c r="I55" s="4" t="str">
        <f>IFERROR(__xludf.DUMMYFUNCTION(" GOOGLETRANSLATE(D55, ""en"", ""id"")"),"'Keluar' digunakan saat mengarahkan pesaing untuk meninggalkan arena.")</f>
        <v>'Keluar' digunakan saat mengarahkan pesaing untuk meninggalkan arena.</v>
      </c>
    </row>
    <row r="56">
      <c r="A56" s="10" t="s">
        <v>2324</v>
      </c>
      <c r="B56" s="10" t="s">
        <v>9</v>
      </c>
      <c r="C56" s="10" t="s">
        <v>66</v>
      </c>
      <c r="D56" s="10" t="s">
        <v>2325</v>
      </c>
      <c r="F56" s="4" t="str">
        <f>IFERROR(__xludf.DUMMYFUNCTION(" GOOGLETRANSLATE(A56, ""en"", ""id"")"),"Dalam pertempuran, berapa poin yang didapat dari serangan tubuh yang berhasil?")</f>
        <v>Dalam pertempuran, berapa poin yang didapat dari serangan tubuh yang berhasil?</v>
      </c>
      <c r="G56" s="4" t="str">
        <f>IFERROR(__xludf.DUMMYFUNCTION(" GOOGLETRANSLATE(B56, ""en"", ""id"")"),"A) 1, B) 2, C) 3, D) 4")</f>
        <v>A) 1, B) 2, C) 3, D) 4</v>
      </c>
      <c r="H56" s="4" t="str">
        <f>IFERROR(__xludf.DUMMYFUNCTION(" GOOGLETRANSLATE(C56, ""en"", ""id"")"),"A) 1")</f>
        <v>A) 1</v>
      </c>
      <c r="I56" s="4" t="str">
        <f>IFERROR(__xludf.DUMMYFUNCTION(" GOOGLETRANSLATE(D56, ""en"", ""id"")"),"Pukulan tangan atau kaki yang sah ke badan (dada, perut, samping) diberikan satu poin.")</f>
        <v>Pukulan tangan atau kaki yang sah ke badan (dada, perut, samping) diberikan satu poin.</v>
      </c>
    </row>
    <row r="57">
      <c r="A57" s="10" t="s">
        <v>2326</v>
      </c>
      <c r="B57" s="10" t="s">
        <v>9</v>
      </c>
      <c r="C57" s="10" t="s">
        <v>10</v>
      </c>
      <c r="D57" s="10" t="s">
        <v>2327</v>
      </c>
      <c r="F57" s="4" t="str">
        <f>IFERROR(__xludf.DUMMYFUNCTION(" GOOGLETRANSLATE(A57, ""en"", ""id"")"),"Berapa poin yang didapat dari pukulan kepala bersih?")</f>
        <v>Berapa poin yang didapat dari pukulan kepala bersih?</v>
      </c>
      <c r="G57" s="4" t="str">
        <f>IFERROR(__xludf.DUMMYFUNCTION(" GOOGLETRANSLATE(B57, ""en"", ""id"")"),"A) 1, B) 2, C) 3, D) 4")</f>
        <v>A) 1, B) 2, C) 3, D) 4</v>
      </c>
      <c r="H57" s="4" t="str">
        <f>IFERROR(__xludf.DUMMYFUNCTION(" GOOGLETRANSLATE(C57, ""en"", ""id"")"),"B) 2")</f>
        <v>B) 2</v>
      </c>
      <c r="I57" s="4" t="str">
        <f>IFERROR(__xludf.DUMMYFUNCTION(" GOOGLETRANSLATE(D57, ""en"", ""id"")"),"Serangan ke kepala yang berhasil dan sah diberi dua poin.")</f>
        <v>Serangan ke kepala yang berhasil dan sah diberi dua poin.</v>
      </c>
    </row>
    <row r="58">
      <c r="A58" s="10" t="s">
        <v>2328</v>
      </c>
      <c r="B58" s="10" t="s">
        <v>9</v>
      </c>
      <c r="C58" s="10" t="s">
        <v>74</v>
      </c>
      <c r="D58" s="10" t="s">
        <v>2329</v>
      </c>
      <c r="F58" s="4" t="str">
        <f>IFERROR(__xludf.DUMMYFUNCTION(" GOOGLETRANSLATE(A58, ""en"", ""id"")"),"Berapa poin yang didapat dari lemparan dengan kontrol?")</f>
        <v>Berapa poin yang didapat dari lemparan dengan kontrol?</v>
      </c>
      <c r="G58" s="4" t="str">
        <f>IFERROR(__xludf.DUMMYFUNCTION(" GOOGLETRANSLATE(B58, ""en"", ""id"")"),"A) 1, B) 2, C) 3, D) 4")</f>
        <v>A) 1, B) 2, C) 3, D) 4</v>
      </c>
      <c r="H58" s="4" t="str">
        <f>IFERROR(__xludf.DUMMYFUNCTION(" GOOGLETRANSLATE(C58, ""en"", ""id"")"),"C) 3")</f>
        <v>C) 3</v>
      </c>
      <c r="I58" s="4" t="str">
        <f>IFERROR(__xludf.DUMMYFUNCTION(" GOOGLETRANSLATE(D58, ""en"", ""id"")"),"Berhasil melakukan takedown atau teknik melempar pada lawan akan mendapatkan tiga poin.")</f>
        <v>Berhasil melakukan takedown atau teknik melempar pada lawan akan mendapatkan tiga poin.</v>
      </c>
    </row>
    <row r="59">
      <c r="A59" s="10" t="s">
        <v>2330</v>
      </c>
      <c r="B59" s="10" t="s">
        <v>2331</v>
      </c>
      <c r="C59" s="10" t="s">
        <v>2332</v>
      </c>
      <c r="D59" s="10" t="s">
        <v>2333</v>
      </c>
      <c r="F59" s="4" t="str">
        <f>IFERROR(__xludf.DUMMYFUNCTION(" GOOGLETRANSLATE(A59, ""en"", ""id"")"),"Pejabat mana yang memastikan perlengkapan keselamatan pesaing sudah benar?")</f>
        <v>Pejabat mana yang memastikan perlengkapan keselamatan pesaing sudah benar?</v>
      </c>
      <c r="G59" s="4" t="str">
        <f>IFERROR(__xludf.DUMMYFUNCTION(" GOOGLETRANSLATE(B59, ""en"", ""id"")"),"A) Wasit, B) Komite teknis, C) Pelatih, D) Hakim sudut")</f>
        <v>A) Wasit, B) Komite teknis, C) Pelatih, D) Hakim sudut</v>
      </c>
      <c r="H59" s="4" t="str">
        <f>IFERROR(__xludf.DUMMYFUNCTION(" GOOGLETRANSLATE(C59, ""en"", ""id"")"),"B) Komite teknis")</f>
        <v>B) Komite teknis</v>
      </c>
      <c r="I59" s="4" t="str">
        <f>IFERROR(__xludf.DUMMYFUNCTION(" GOOGLETRANSLATE(D59, ""en"", ""id"")"),"Sebelum pertandingan, komite teknis atau inspektur bertanggung jawab untuk memeriksa apakah semua perlengkapan pelindung memenuhi standar resmi.")</f>
        <v>Sebelum pertandingan, komite teknis atau inspektur bertanggung jawab untuk memeriksa apakah semua perlengkapan pelindung memenuhi standar resmi.</v>
      </c>
    </row>
    <row r="60">
      <c r="A60" s="10" t="s">
        <v>2334</v>
      </c>
      <c r="B60" s="10" t="s">
        <v>2335</v>
      </c>
      <c r="C60" s="10" t="s">
        <v>2336</v>
      </c>
      <c r="D60" s="10" t="s">
        <v>2337</v>
      </c>
      <c r="F60" s="4" t="str">
        <f>IFERROR(__xludf.DUMMYFUNCTION(" GOOGLETRANSLATE(A60, ""en"", ""id"")"),"Apa peran “Pengendali Pertandingan”?")</f>
        <v>Apa peran “Pengendali Pertandingan”?</v>
      </c>
      <c r="G60" s="4" t="str">
        <f>IFERROR(__xludf.DUMMYFUNCTION(" GOOGLETRANSLATE(B60, ""en"", ""id"")"),"A) Mencatat skor, B) Memantau petugas, C) Mengawasi pertandingan, D) Menangani protes")</f>
        <v>A) Mencatat skor, B) Memantau petugas, C) Mengawasi pertandingan, D) Menangani protes</v>
      </c>
      <c r="H60" s="4" t="str">
        <f>IFERROR(__xludf.DUMMYFUNCTION(" GOOGLETRANSLATE(C60, ""en"", ""id"")"),"C) Mengawasi pertarungan")</f>
        <v>C) Mengawasi pertarungan</v>
      </c>
      <c r="I60" s="4" t="str">
        <f>IFERROR(__xludf.DUMMYFUNCTION(" GOOGLETRANSLATE(D60, ""en"", ""id"")"),"Pengendali Pertandingan atau Ketua pertandingan mengawasi seluruh pertandingan, termasuk wasit dan juri, untuk memastikan peraturan diikuti dengan benar.")</f>
        <v>Pengendali Pertandingan atau Ketua pertandingan mengawasi seluruh pertandingan, termasuk wasit dan juri, untuk memastikan peraturan diikuti dengan benar.</v>
      </c>
    </row>
    <row r="61">
      <c r="A61" s="10" t="s">
        <v>2338</v>
      </c>
      <c r="B61" s="10" t="s">
        <v>65</v>
      </c>
      <c r="C61" s="10" t="s">
        <v>66</v>
      </c>
      <c r="D61" s="10" t="s">
        <v>2339</v>
      </c>
      <c r="F61" s="4" t="str">
        <f>IFERROR(__xludf.DUMMYFUNCTION(" GOOGLETRANSLATE(A61, ""en"", ""id"")"),"Berapa jumlah maksimum pelatih per peserta?")</f>
        <v>Berapa jumlah maksimum pelatih per peserta?</v>
      </c>
      <c r="G61" s="4" t="str">
        <f>IFERROR(__xludf.DUMMYFUNCTION(" GOOGLETRANSLATE(B61, ""en"", ""id"")"),"A) 1, B) 2, C) 3, D) Tak terbatas")</f>
        <v>A) 1, B) 2, C) 3, D) Tak terbatas</v>
      </c>
      <c r="H61" s="4" t="str">
        <f>IFERROR(__xludf.DUMMYFUNCTION(" GOOGLETRANSLATE(C61, ""en"", ""id"")"),"A) 1")</f>
        <v>A) 1</v>
      </c>
      <c r="I61" s="4" t="str">
        <f>IFERROR(__xludf.DUMMYFUNCTION(" GOOGLETRANSLATE(D61, ""en"", ""id"")"),"Setiap peserta hanya diperbolehkan memiliki satu pelatih di sisi ring selama pertandingan.")</f>
        <v>Setiap peserta hanya diperbolehkan memiliki satu pelatih di sisi ring selama pertandingan.</v>
      </c>
    </row>
    <row r="62">
      <c r="A62" s="10" t="s">
        <v>2340</v>
      </c>
      <c r="B62" s="10" t="s">
        <v>2341</v>
      </c>
      <c r="C62" s="10" t="s">
        <v>2185</v>
      </c>
      <c r="D62" s="10" t="s">
        <v>2342</v>
      </c>
      <c r="F62" s="4" t="str">
        <f>IFERROR(__xludf.DUMMYFUNCTION(" GOOGLETRANSLATE(A62, ""en"", ""id"")"),"Teknik mana yang dilarang di semua kategori?")</f>
        <v>Teknik mana yang dilarang di semua kategori?</v>
      </c>
      <c r="G62" s="4" t="str">
        <f>IFERROR(__xludf.DUMMYFUNCTION(" GOOGLETRANSLATE(B62, ""en"", ""id"")"),"A) Sapuan, B) Lutut, C) Kuncian sendi, D) Sundulan kepala")</f>
        <v>A) Sapuan, B) Lutut, C) Kuncian sendi, D) Sundulan kepala</v>
      </c>
      <c r="H62" s="4" t="str">
        <f>IFERROR(__xludf.DUMMYFUNCTION(" GOOGLETRANSLATE(C62, ""en"", ""id"")"),"D) Sundulan kepala")</f>
        <v>D) Sundulan kepala</v>
      </c>
      <c r="I62" s="4" t="str">
        <f>IFERROR(__xludf.DUMMYFUNCTION(" GOOGLETRANSLATE(D62, ""en"", ""id"")"),"Sundulan kepala dilarang secara umum di semua bentuk kompetisi Pencak Silat karena sifatnya yang berbahaya.")</f>
        <v>Sundulan kepala dilarang secara umum di semua bentuk kompetisi Pencak Silat karena sifatnya yang berbahaya.</v>
      </c>
    </row>
    <row r="63">
      <c r="A63" s="10" t="s">
        <v>2343</v>
      </c>
      <c r="B63" s="10" t="s">
        <v>2344</v>
      </c>
      <c r="C63" s="10" t="s">
        <v>2345</v>
      </c>
      <c r="D63" s="10" t="s">
        <v>2346</v>
      </c>
      <c r="F63" s="4" t="str">
        <f>IFERROR(__xludf.DUMMYFUNCTION(" GOOGLETRANSLATE(A63, ""en"", ""id"")"),"Kapan wasit memberikan waktu istirahat medis?")</f>
        <v>Kapan wasit memberikan waktu istirahat medis?</v>
      </c>
      <c r="G63" s="4" t="str">
        <f>IFERROR(__xludf.DUMMYFUNCTION(" GOOGLETRANSLATE(B63, ""en"", ""id"")"),"A) Cedera pesaing, B) Pemeriksaan peralatan, C) Istirahat, D) Banding")</f>
        <v>A) Cedera pesaing, B) Pemeriksaan peralatan, C) Istirahat, D) Banding</v>
      </c>
      <c r="H63" s="4" t="str">
        <f>IFERROR(__xludf.DUMMYFUNCTION(" GOOGLETRANSLATE(C63, ""en"", ""id"")"),"A) Cedera pesaing")</f>
        <v>A) Cedera pesaing</v>
      </c>
      <c r="I63" s="4" t="str">
        <f>IFERROR(__xludf.DUMMYFUNCTION(" GOOGLETRANSLATE(D63, ""en"", ""id"")"),"Waktu jeda medis diberikan hanya apabila seorang peserta mengalami cedera yang memerlukan penilaian oleh staf medis resmi.")</f>
        <v>Waktu jeda medis diberikan hanya apabila seorang peserta mengalami cedera yang memerlukan penilaian oleh staf medis resmi.</v>
      </c>
    </row>
    <row r="64">
      <c r="A64" s="10" t="s">
        <v>2347</v>
      </c>
      <c r="B64" s="10" t="s">
        <v>65</v>
      </c>
      <c r="C64" s="10" t="s">
        <v>66</v>
      </c>
      <c r="D64" s="10" t="s">
        <v>2348</v>
      </c>
      <c r="F64" s="4" t="str">
        <f>IFERROR(__xludf.DUMMYFUNCTION(" GOOGLETRANSLATE(A64, ""en"", ""id"")"),"Berapa banyak waktu jeda medis yang diizinkan per peserta?")</f>
        <v>Berapa banyak waktu jeda medis yang diizinkan per peserta?</v>
      </c>
      <c r="G64" s="4" t="str">
        <f>IFERROR(__xludf.DUMMYFUNCTION(" GOOGLETRANSLATE(B64, ""en"", ""id"")"),"A) 1, B) 2, C) 3, D) Tak terbatas")</f>
        <v>A) 1, B) 2, C) 3, D) Tak terbatas</v>
      </c>
      <c r="H64" s="4" t="str">
        <f>IFERROR(__xludf.DUMMYFUNCTION(" GOOGLETRANSLATE(C64, ""en"", ""id"")"),"A) 1")</f>
        <v>A) 1</v>
      </c>
      <c r="I64" s="4" t="str">
        <f>IFERROR(__xludf.DUMMYFUNCTION(" GOOGLETRANSLATE(D64, ""en"", ""id"")"),"Seorang pesaing biasanya hanya diperbolehkan satu kali waktu jeda medis per pertandingan untuk mencegah penundaan dan menilai cedera yang sebenarnya.")</f>
        <v>Seorang pesaing biasanya hanya diperbolehkan satu kali waktu jeda medis per pertandingan untuk mencegah penundaan dan menilai cedera yang sebenarnya.</v>
      </c>
    </row>
    <row r="65">
      <c r="A65" s="10" t="s">
        <v>2349</v>
      </c>
      <c r="B65" s="10" t="s">
        <v>2350</v>
      </c>
      <c r="C65" s="10" t="s">
        <v>2351</v>
      </c>
      <c r="D65" s="10" t="s">
        <v>2352</v>
      </c>
      <c r="F65" s="4" t="str">
        <f>IFERROR(__xludf.DUMMYFUNCTION(" GOOGLETRANSLATE(A65, ""en"", ""id"")"),"Jika kedua petarung sama kuat setelah 3 ronde, keputusannya adalah:")</f>
        <v>Jika kedua petarung sama kuat setelah 3 ronde, keputusannya adalah:</v>
      </c>
      <c r="G65" s="4" t="str">
        <f>IFERROR(__xludf.DUMMYFUNCTION(" GOOGLETRANSLATE(B65, ""en"", ""id"")"),"A) Ulangan, B) Mayoritas juri, C) Poin emas, D) Seri")</f>
        <v>A) Ulangan, B) Mayoritas juri, C) Poin emas, D) Seri</v>
      </c>
      <c r="H65" s="4" t="str">
        <f>IFERROR(__xludf.DUMMYFUNCTION(" GOOGLETRANSLATE(C65, ""en"", ""id"")"),"B) Mayoritas hakim")</f>
        <v>B) Mayoritas hakim</v>
      </c>
      <c r="I65" s="4" t="str">
        <f>IFERROR(__xludf.DUMMYFUNCTION(" GOOGLETRANSLATE(D65, ""en"", ""id"")"),"Jika terjadi skor seri, kartu skor masing-masing juri akan ditinjau untuk melihat petarung mana yang difavoritkan oleh mayoritas juri.")</f>
        <v>Jika terjadi skor seri, kartu skor masing-masing juri akan ditinjau untuk melihat petarung mana yang difavoritkan oleh mayoritas juri.</v>
      </c>
    </row>
    <row r="66">
      <c r="A66" s="10" t="s">
        <v>2353</v>
      </c>
      <c r="B66" s="10" t="s">
        <v>2354</v>
      </c>
      <c r="C66" s="10" t="s">
        <v>2355</v>
      </c>
      <c r="D66" s="10" t="s">
        <v>2356</v>
      </c>
      <c r="F66" s="4" t="str">
        <f>IFERROR(__xludf.DUMMYFUNCTION(" GOOGLETRANSLATE(A66, ""en"", ""id"")"),"Berapa lama durasi putaran poin emas jika diperlukan?")</f>
        <v>Berapa lama durasi putaran poin emas jika diperlukan?</v>
      </c>
      <c r="G66" s="4" t="str">
        <f>IFERROR(__xludf.DUMMYFUNCTION(" GOOGLETRANSLATE(B66, ""en"", ""id"")"),"A) 30 detik, B) 1 menit, C) 2 menit, D) 3 menit")</f>
        <v>A) 30 detik, B) 1 menit, C) 2 menit, D) 3 menit</v>
      </c>
      <c r="H66" s="4" t="str">
        <f>IFERROR(__xludf.DUMMYFUNCTION(" GOOGLETRANSLATE(C66, ""en"", ""id"")"),"B) 1 menit")</f>
        <v>B) 1 menit</v>
      </c>
      <c r="I66" s="4" t="str">
        <f>IFERROR(__xludf.DUMMYFUNCTION(" GOOGLETRANSLATE(D66, ""en"", ""id"")"),"Beberapa perangkat aturan mungkin menggunakan babak kematian mendadak atau babak 'titik emas' selama satu menit untuk menentukan hasil seri, di mana yang pertama mencetak skor menang.")</f>
        <v>Beberapa perangkat aturan mungkin menggunakan babak kematian mendadak atau babak 'titik emas' selama satu menit untuk menentukan hasil seri, di mana yang pertama mencetak skor menang.</v>
      </c>
    </row>
    <row r="67">
      <c r="A67" s="10" t="s">
        <v>2357</v>
      </c>
      <c r="B67" s="10" t="s">
        <v>2358</v>
      </c>
      <c r="C67" s="10" t="s">
        <v>2359</v>
      </c>
      <c r="D67" s="10" t="s">
        <v>2360</v>
      </c>
      <c r="F67" s="4" t="str">
        <f>IFERROR(__xludf.DUMMYFUNCTION(" GOOGLETRANSLATE(A67, ""en"", ""id"")"),"Jika titik emas juga seri, hasilnya adalah:")</f>
        <v>Jika titik emas juga seri, hasilnya adalah:</v>
      </c>
      <c r="G67" s="4" t="str">
        <f>IFERROR(__xludf.DUMMYFUNCTION(" GOOGLETRANSLATE(B67, ""en"", ""id"")"),"A) Ulangan, B) Seri, C) Suara juri, D) Kemenangan teknis")</f>
        <v>A) Ulangan, B) Seri, C) Suara juri, D) Kemenangan teknis</v>
      </c>
      <c r="H67" s="4" t="str">
        <f>IFERROR(__xludf.DUMMYFUNCTION(" GOOGLETRANSLATE(C67, ""en"", ""id"")"),"C) Suara Hakim")</f>
        <v>C) Suara Hakim</v>
      </c>
      <c r="I67" s="4" t="str">
        <f>IFERROR(__xludf.DUMMYFUNCTION(" GOOGLETRANSLATE(D67, ""en"", ""id"")"),"Jika hasil seri tetap terjadi setelah babak tambahan, pemenangnya ditentukan oleh pemungutan suara akhir para juri berdasarkan kinerja dan agresi keseluruhan.")</f>
        <v>Jika hasil seri tetap terjadi setelah babak tambahan, pemenangnya ditentukan oleh pemungutan suara akhir para juri berdasarkan kinerja dan agresi keseluruhan.</v>
      </c>
    </row>
    <row r="68">
      <c r="A68" s="10" t="s">
        <v>2361</v>
      </c>
      <c r="B68" s="10" t="s">
        <v>2362</v>
      </c>
      <c r="C68" s="10" t="s">
        <v>2363</v>
      </c>
      <c r="D68" s="10" t="s">
        <v>2364</v>
      </c>
      <c r="F68" s="4" t="str">
        <f>IFERROR(__xludf.DUMMYFUNCTION(" GOOGLETRANSLATE(A68, ""en"", ""id"")"),"Seorang pesaing tanpa pelindung mulut:")</f>
        <v>Seorang pesaing tanpa pelindung mulut:</v>
      </c>
      <c r="G68" s="4" t="str">
        <f>IFERROR(__xludf.DUMMYFUNCTION(" GOOGLETRANSLATE(B68, ""en"", ""id"")"),"A) Dapat berkompetisi, B) Peringatan, C) Didiskualifikasi, D) Dihukum")</f>
        <v>A) Dapat berkompetisi, B) Peringatan, C) Didiskualifikasi, D) Dihukum</v>
      </c>
      <c r="H68" s="4" t="str">
        <f>IFERROR(__xludf.DUMMYFUNCTION(" GOOGLETRANSLATE(C68, ""en"", ""id"")"),"C) Didiskualifikasi")</f>
        <v>C) Didiskualifikasi</v>
      </c>
      <c r="I68" s="4" t="str">
        <f>IFERROR(__xludf.DUMMYFUNCTION(" GOOGLETRANSLATE(D68, ""en"", ""id"")"),"Pelindung mulut adalah perlengkapan keselamatan wajib, dan seorang peserta akan didiskualifikasi jika tidak mengenakannya.")</f>
        <v>Pelindung mulut adalah perlengkapan keselamatan wajib, dan seorang peserta akan didiskualifikasi jika tidak mengenakannya.</v>
      </c>
    </row>
    <row r="69">
      <c r="A69" s="10" t="s">
        <v>2365</v>
      </c>
      <c r="B69" s="10" t="s">
        <v>2366</v>
      </c>
      <c r="C69" s="10" t="s">
        <v>1753</v>
      </c>
      <c r="D69" s="10" t="s">
        <v>2367</v>
      </c>
      <c r="F69" s="4" t="str">
        <f>IFERROR(__xludf.DUMMYFUNCTION(" GOOGLETRANSLATE(A69, ""en"", ""id"")"),"Apa hukumannya jika mengulur waktu saat pertempuran?")</f>
        <v>Apa hukumannya jika mengulur waktu saat pertempuran?</v>
      </c>
      <c r="G69" s="4" t="str">
        <f>IFERROR(__xludf.DUMMYFUNCTION(" GOOGLETRANSLATE(B69, ""en"", ""id"")"),"A) Peringatan, B) Pengurangan, C) Diskualifikasi, D) Tidak ada penalti")</f>
        <v>A) Peringatan, B) Pengurangan, C) Diskualifikasi, D) Tidak ada penalti</v>
      </c>
      <c r="H69" s="4" t="str">
        <f>IFERROR(__xludf.DUMMYFUNCTION(" GOOGLETRANSLATE(C69, ""en"", ""id"")"),"A) Peringatan")</f>
        <v>A) Peringatan</v>
      </c>
      <c r="I69" s="4" t="str">
        <f>IFERROR(__xludf.DUMMYFUNCTION(" GOOGLETRANSLATE(D69, ""en"", ""id"")"),"Jika seorang pesaing tidak terlibat aktif dalam pertarungan dan sengaja mengulur waktu, wasit akan mengeluarkan peringatan.")</f>
        <v>Jika seorang pesaing tidak terlibat aktif dalam pertarungan dan sengaja mengulur waktu, wasit akan mengeluarkan peringatan.</v>
      </c>
    </row>
    <row r="70">
      <c r="A70" s="10" t="s">
        <v>2368</v>
      </c>
      <c r="B70" s="10" t="s">
        <v>73</v>
      </c>
      <c r="C70" s="10" t="s">
        <v>66</v>
      </c>
      <c r="D70" s="10" t="s">
        <v>2369</v>
      </c>
      <c r="F70" s="4" t="str">
        <f>IFERROR(__xludf.DUMMYFUNCTION(" GOOGLETRANSLATE(A70, ""en"", ""id"")"),"Berapa banyak poin tim yang diperoleh jika menang dalam acara tim?")</f>
        <v>Berapa banyak poin tim yang diperoleh jika menang dalam acara tim?</v>
      </c>
      <c r="G70" s="4" t="str">
        <f>IFERROR(__xludf.DUMMYFUNCTION(" GOOGLETRANSLATE(B70, ""en"", ""id"")"),"A) 1, B) 2, C) 3, D) 5")</f>
        <v>A) 1, B) 2, C) 3, D) 5</v>
      </c>
      <c r="H70" s="4" t="str">
        <f>IFERROR(__xludf.DUMMYFUNCTION(" GOOGLETRANSLATE(C70, ""en"", ""id"")"),"A) 1")</f>
        <v>A) 1</v>
      </c>
      <c r="I70" s="4" t="str">
        <f>IFERROR(__xludf.DUMMYFUNCTION(" GOOGLETRANSLATE(D70, ""en"", ""id"")"),"Dalam format tim lawan tim, setiap kemenangan pertandingan individu menyumbang satu poin ke skor total tim.")</f>
        <v>Dalam format tim lawan tim, setiap kemenangan pertandingan individu menyumbang satu poin ke skor total tim.</v>
      </c>
    </row>
    <row r="71">
      <c r="A71" s="10" t="s">
        <v>2370</v>
      </c>
      <c r="B71" s="10" t="s">
        <v>2371</v>
      </c>
      <c r="C71" s="10" t="s">
        <v>2372</v>
      </c>
      <c r="D71" s="10" t="s">
        <v>2373</v>
      </c>
      <c r="F71" s="4" t="str">
        <f>IFERROR(__xludf.DUMMYFUNCTION(" GOOGLETRANSLATE(A71, ""en"", ""id"")"),"Jika seorang peserta pingsan, akibatnya adalah:")</f>
        <v>Jika seorang peserta pingsan, akibatnya adalah:</v>
      </c>
      <c r="G71" s="4" t="str">
        <f>IFERROR(__xludf.DUMMYFUNCTION(" GOOGLETRANSLATE(B71, ""en"", ""id"")"),"A) Restart, B) Diskualifikasi, C) Seri, D) Kekalahan teknis")</f>
        <v>A) Restart, B) Diskualifikasi, C) Seri, D) Kekalahan teknis</v>
      </c>
      <c r="H71" s="4" t="str">
        <f>IFERROR(__xludf.DUMMYFUNCTION(" GOOGLETRANSLATE(C71, ""en"", ""id"")"),"D) Kerugian teknis")</f>
        <v>D) Kerugian teknis</v>
      </c>
      <c r="I71" s="4" t="str">
        <f>IFERROR(__xludf.DUMMYFUNCTION(" GOOGLETRANSLATE(D71, ""en"", ""id"")"),"Jika seorang peserta pingsan atau tidak dapat meneruskan pertandingan tanpa melakukan pelanggaran, maka pertandingan dianggap kalah secara teknis.")</f>
        <v>Jika seorang peserta pingsan atau tidak dapat meneruskan pertandingan tanpa melakukan pelanggaran, maka pertandingan dianggap kalah secara teknis.</v>
      </c>
    </row>
    <row r="72">
      <c r="A72" s="10" t="s">
        <v>2374</v>
      </c>
      <c r="B72" s="10" t="s">
        <v>2375</v>
      </c>
      <c r="C72" s="10" t="s">
        <v>2376</v>
      </c>
      <c r="D72" s="10" t="s">
        <v>2377</v>
      </c>
      <c r="F72" s="4" t="str">
        <f>IFERROR(__xludf.DUMMYFUNCTION(" GOOGLETRANSLATE(A72, ""en"", ""id"")"),"Apa alas kaki yang tepat dalam pertandingan silat?")</f>
        <v>Apa alas kaki yang tepat dalam pertandingan silat?</v>
      </c>
      <c r="G72" s="4" t="str">
        <f>IFERROR(__xludf.DUMMYFUNCTION(" GOOGLETRANSLATE(B72, ""en"", ""id"")"),"A) Sepatu, B) Telanjang kaki, C) Kaus kaki, D) Sandal")</f>
        <v>A) Sepatu, B) Telanjang kaki, C) Kaus kaki, D) Sandal</v>
      </c>
      <c r="H72" s="4" t="str">
        <f>IFERROR(__xludf.DUMMYFUNCTION(" GOOGLETRANSLATE(C72, ""en"", ""id"")"),"B) Bertelanjang kaki")</f>
        <v>B) Bertelanjang kaki</v>
      </c>
      <c r="I72" s="4" t="str">
        <f>IFERROR(__xludf.DUMMYFUNCTION(" GOOGLETRANSLATE(D72, ""en"", ""id"")"),"Para pesaing harus bertanding tanpa alas kaki untuk memastikan pegangan yang tepat, keselamatan, dan kepatuhan terhadap tradisi.")</f>
        <v>Para pesaing harus bertanding tanpa alas kaki untuk memastikan pegangan yang tepat, keselamatan, dan kepatuhan terhadap tradisi.</v>
      </c>
    </row>
    <row r="73">
      <c r="A73" s="10" t="s">
        <v>2378</v>
      </c>
      <c r="B73" s="10" t="s">
        <v>2379</v>
      </c>
      <c r="C73" s="10" t="s">
        <v>1187</v>
      </c>
      <c r="D73" s="10" t="s">
        <v>2380</v>
      </c>
      <c r="F73" s="4" t="str">
        <f>IFERROR(__xludf.DUMMYFUNCTION(" GOOGLETRANSLATE(A73, ""en"", ""id"")"),"Perlengkapan pelindung apa yang wajib?")</f>
        <v>Perlengkapan pelindung apa yang wajib?</v>
      </c>
      <c r="G73" s="4" t="str">
        <f>IFERROR(__xludf.DUMMYFUNCTION(" GOOGLETRANSLATE(B73, ""en"", ""id"")"),"A) Helm, B) Pelindung dada, C) Sarung tangan, D) Semua jawaban di atas")</f>
        <v>A) Helm, B) Pelindung dada, C) Sarung tangan, D) Semua jawaban di atas</v>
      </c>
      <c r="H73" s="4" t="str">
        <f>IFERROR(__xludf.DUMMYFUNCTION(" GOOGLETRANSLATE(C73, ""en"", ""id"")"),"D) Semua jawaban di atas")</f>
        <v>D) Semua jawaban di atas</v>
      </c>
      <c r="I73" s="4" t="str">
        <f>IFERROR(__xludf.DUMMYFUNCTION(" GOOGLETRANSLATE(D73, ""en"", ""id"")"),"Untuk pertarungan (Tanding), peserta wajib mengenakan pelindung kepala, pelindung dada, dan pelindung tangan ringan. Pelindung selangkangan juga wajib.")</f>
        <v>Untuk pertarungan (Tanding), peserta wajib mengenakan pelindung kepala, pelindung dada, dan pelindung tangan ringan. Pelindung selangkangan juga wajib.</v>
      </c>
    </row>
    <row r="74">
      <c r="A74" s="10" t="s">
        <v>2381</v>
      </c>
      <c r="B74" s="10" t="s">
        <v>2382</v>
      </c>
      <c r="C74" s="10" t="s">
        <v>2383</v>
      </c>
      <c r="D74" s="10" t="s">
        <v>2384</v>
      </c>
      <c r="F74" s="4" t="str">
        <f>IFERROR(__xludf.DUMMYFUNCTION(" GOOGLETRANSLATE(A74, ""en"", ""id"")"),"Perlengkapan pelindung mana yang opsional?")</f>
        <v>Perlengkapan pelindung mana yang opsional?</v>
      </c>
      <c r="G74" s="4" t="str">
        <f>IFERROR(__xludf.DUMMYFUNCTION(" GOOGLETRANSLATE(B74, ""en"", ""id"")"),"A) Pelindung tulang kering, B) Pelindung dada, C) Alat pelindung kepala, D) Sarung tangan")</f>
        <v>A) Pelindung tulang kering, B) Pelindung dada, C) Alat pelindung kepala, D) Sarung tangan</v>
      </c>
      <c r="H74" s="4" t="str">
        <f>IFERROR(__xludf.DUMMYFUNCTION(" GOOGLETRANSLATE(C74, ""en"", ""id"")"),"A) Pelindung tulang kering")</f>
        <v>A) Pelindung tulang kering</v>
      </c>
      <c r="I74" s="4" t="str">
        <f>IFERROR(__xludf.DUMMYFUNCTION(" GOOGLETRANSLATE(D74, ""en"", ""id"")"),"Meskipun sebagian besar perlengkapan bersifat wajib, pelindung tulang kering sering kali bersifat opsional, tergantung pada aturan turnamen tertentu.")</f>
        <v>Meskipun sebagian besar perlengkapan bersifat wajib, pelindung tulang kering sering kali bersifat opsional, tergantung pada aturan turnamen tertentu.</v>
      </c>
    </row>
    <row r="75">
      <c r="A75" s="10" t="s">
        <v>2385</v>
      </c>
      <c r="B75" s="10" t="s">
        <v>2386</v>
      </c>
      <c r="C75" s="10" t="s">
        <v>2387</v>
      </c>
      <c r="D75" s="10" t="s">
        <v>2388</v>
      </c>
      <c r="F75" s="4" t="str">
        <f>IFERROR(__xludf.DUMMYFUNCTION(" GOOGLETRANSLATE(A75, ""en"", ""id"")"),"Dalam acara beregu, berapa jumlah petarung per tim?")</f>
        <v>Dalam acara beregu, berapa jumlah petarung per tim?</v>
      </c>
      <c r="G75" s="4" t="str">
        <f>IFERROR(__xludf.DUMMYFUNCTION(" GOOGLETRANSLATE(B75, ""en"", ""id"")"),"A) 3, B) 5, C) 7, D) 9")</f>
        <v>A) 3, B) 5, C) 7, D) 9</v>
      </c>
      <c r="H75" s="4" t="str">
        <f>IFERROR(__xludf.DUMMYFUNCTION(" GOOGLETRANSLATE(C75, ""en"", ""id"")"),"B) 5")</f>
        <v>B) 5</v>
      </c>
      <c r="I75" s="4" t="str">
        <f>IFERROR(__xludf.DUMMYFUNCTION(" GOOGLETRANSLATE(D75, ""en"", ""id"")"),"Tim standar terdiri dari lima atlet yang berkompetisi, ditambah pemain pengganti.")</f>
        <v>Tim standar terdiri dari lima atlet yang berkompetisi, ditambah pemain pengganti.</v>
      </c>
    </row>
    <row r="76">
      <c r="A76" s="10" t="s">
        <v>2389</v>
      </c>
      <c r="B76" s="10" t="s">
        <v>2208</v>
      </c>
      <c r="C76" s="10" t="s">
        <v>2209</v>
      </c>
      <c r="D76" s="10" t="s">
        <v>2390</v>
      </c>
      <c r="F76" s="4" t="str">
        <f>IFERROR(__xludf.DUMMYFUNCTION(" GOOGLETRANSLATE(A76, ""en"", ""id"")"),"Berapa jumlah juri minimum yang diperlukan untuk mengesahkan suatu pertandingan?")</f>
        <v>Berapa jumlah juri minimum yang diperlukan untuk mengesahkan suatu pertandingan?</v>
      </c>
      <c r="G76" s="4" t="str">
        <f>IFERROR(__xludf.DUMMYFUNCTION(" GOOGLETRANSLATE(B76, ""en"", ""id"")"),"A) 3, B) 4, C) 5, D) 7")</f>
        <v>A) 3, B) 4, C) 5, D) 7</v>
      </c>
      <c r="H76" s="4" t="str">
        <f>IFERROR(__xludf.DUMMYFUNCTION(" GOOGLETRANSLATE(C76, ""en"", ""id"")"),"C) 5")</f>
        <v>C) 5</v>
      </c>
      <c r="I76" s="4" t="str">
        <f>IFERROR(__xludf.DUMMYFUNCTION(" GOOGLETRANSLATE(D76, ""en"", ""id"")"),"Panel lengkap yang terdiri dari lima juri biasanya diperlukan untuk penilaian pertandingan yang resmi dan tervalidasi.")</f>
        <v>Panel lengkap yang terdiri dari lima juri biasanya diperlukan untuk penilaian pertandingan yang resmi dan tervalidasi.</v>
      </c>
    </row>
    <row r="77">
      <c r="A77" s="10" t="s">
        <v>2391</v>
      </c>
      <c r="B77" s="10" t="s">
        <v>2392</v>
      </c>
      <c r="C77" s="10" t="s">
        <v>2393</v>
      </c>
      <c r="D77" s="10" t="s">
        <v>2394</v>
      </c>
      <c r="F77" s="4" t="str">
        <f>IFERROR(__xludf.DUMMYFUNCTION(" GOOGLETRANSLATE(A77, ""en"", ""id"")"),"Jika salah satu juri tidak hadir, pertandingan dilanjutkan dengan:")</f>
        <v>Jika salah satu juri tidak hadir, pertandingan dilanjutkan dengan:</v>
      </c>
      <c r="G77" s="4" t="str">
        <f>IFERROR(__xludf.DUMMYFUNCTION(" GOOGLETRANSLATE(B77, ""en"", ""id"")"),"A) 3 juri, B) 4 juri, C) 5 pengganti, D) Dibatalkan")</f>
        <v>A) 3 juri, B) 4 juri, C) 5 pengganti, D) Dibatalkan</v>
      </c>
      <c r="H77" s="4" t="str">
        <f>IFERROR(__xludf.DUMMYFUNCTION(" GOOGLETRANSLATE(C77, ""en"", ""id"")"),"B) 4 hakim")</f>
        <v>B) 4 hakim</v>
      </c>
      <c r="I77" s="4" t="str">
        <f>IFERROR(__xludf.DUMMYFUNCTION(" GOOGLETRANSLATE(D77, ""en"", ""id"")"),"Suatu pertandingan dapat dilanjutkan dengan minimal empat juri jika panel penuh tidak tersedia.")</f>
        <v>Suatu pertandingan dapat dilanjutkan dengan minimal empat juri jika panel penuh tidak tersedia.</v>
      </c>
    </row>
    <row r="78">
      <c r="A78" s="10" t="s">
        <v>2395</v>
      </c>
      <c r="B78" s="10" t="s">
        <v>2396</v>
      </c>
      <c r="C78" s="10" t="s">
        <v>2397</v>
      </c>
      <c r="D78" s="10" t="s">
        <v>2398</v>
      </c>
      <c r="F78" s="4" t="str">
        <f>IFERROR(__xludf.DUMMYFUNCTION(" GOOGLETRANSLATE(A78, ""en"", ""id"")"),"Apa yang dilakukan wasit setelah mengumumkan pemenang?")</f>
        <v>Apa yang dilakukan wasit setelah mengumumkan pemenang?</v>
      </c>
      <c r="G78" s="4" t="str">
        <f>IFERROR(__xludf.DUMMYFUNCTION(" GOOGLETRANSLATE(B78, ""en"", ""id"")"),"A) Angkat tangan pemenang, B) Membungkuk, C) Meninggalkan arena, D) Mencatat skor")</f>
        <v>A) Angkat tangan pemenang, B) Membungkuk, C) Meninggalkan arena, D) Mencatat skor</v>
      </c>
      <c r="H78" s="4" t="str">
        <f>IFERROR(__xludf.DUMMYFUNCTION(" GOOGLETRANSLATE(C78, ""en"", ""id"")"),"A) Angkat tangan pemenang")</f>
        <v>A) Angkat tangan pemenang</v>
      </c>
      <c r="I78" s="4" t="str">
        <f>IFERROR(__xludf.DUMMYFUNCTION(" GOOGLETRANSLATE(D78, ""en"", ""id"")"),"Wasit secara resmi menyatakan pemenang dengan mengangkat tangan di tengah Gelanggang.")</f>
        <v>Wasit secara resmi menyatakan pemenang dengan mengangkat tangan di tengah Gelanggang.</v>
      </c>
    </row>
    <row r="79">
      <c r="A79" s="10" t="s">
        <v>2399</v>
      </c>
      <c r="B79" s="10" t="s">
        <v>2400</v>
      </c>
      <c r="C79" s="10" t="s">
        <v>2401</v>
      </c>
      <c r="D79" s="10" t="s">
        <v>2402</v>
      </c>
      <c r="F79" s="4" t="str">
        <f>IFERROR(__xludf.DUMMYFUNCTION(" GOOGLETRANSLATE(A79, ""en"", ""id"")"),"Jika pakaian peserta robek, wasit:")</f>
        <v>Jika pakaian peserta robek, wasit:</v>
      </c>
      <c r="G79" s="4" t="str">
        <f>IFERROR(__xludf.DUMMYFUNCTION(" GOOGLETRANSLATE(B79, ""en"", ""id"")"),"A) Menghentikan pertandingan, B) Mengizinkan kelanjutan, C) Memberikan peringatan, D) Mengurangi poin")</f>
        <v>A) Menghentikan pertandingan, B) Mengizinkan kelanjutan, C) Memberikan peringatan, D) Mengurangi poin</v>
      </c>
      <c r="H79" s="4" t="str">
        <f>IFERROR(__xludf.DUMMYFUNCTION(" GOOGLETRANSLATE(C79, ""en"", ""id"")"),"A) Menghentikan pertandingan")</f>
        <v>A) Menghentikan pertandingan</v>
      </c>
      <c r="I79" s="4" t="str">
        <f>IFERROR(__xludf.DUMMYFUNCTION(" GOOGLETRANSLATE(D79, ""en"", ""id"")"),"Wasit akan menghentikan pertandingan untuk memberi waktu kepada peserta untuk memperbaiki atau mengganti seragamnya yang robek demi menjaga keselamatan dan kesopanan.")</f>
        <v>Wasit akan menghentikan pertandingan untuk memberi waktu kepada peserta untuk memperbaiki atau mengganti seragamnya yang robek demi menjaga keselamatan dan kesopanan.</v>
      </c>
    </row>
    <row r="80">
      <c r="A80" s="10" t="s">
        <v>2403</v>
      </c>
      <c r="B80" s="10" t="s">
        <v>2192</v>
      </c>
      <c r="C80" s="10" t="s">
        <v>236</v>
      </c>
      <c r="D80" s="10" t="s">
        <v>2404</v>
      </c>
      <c r="F80" s="4" t="str">
        <f>IFERROR(__xludf.DUMMYFUNCTION(" GOOGLETRANSLATE(A80, ""en"", ""id"")"),"Aturan mana yang berlaku untuk cedera yang disengaja?")</f>
        <v>Aturan mana yang berlaku untuk cedera yang disengaja?</v>
      </c>
      <c r="G80" s="4" t="str">
        <f>IFERROR(__xludf.DUMMYFUNCTION(" GOOGLETRANSLATE(B80, ""en"", ""id"")"),"A) Peringatan, B) Pengurangan poin, C) Diskualifikasi, D) Ulangan")</f>
        <v>A) Peringatan, B) Pengurangan poin, C) Diskualifikasi, D) Ulangan</v>
      </c>
      <c r="H80" s="4" t="str">
        <f>IFERROR(__xludf.DUMMYFUNCTION(" GOOGLETRANSLATE(C80, ""en"", ""id"")"),"C) Diskualifikasi")</f>
        <v>C) Diskualifikasi</v>
      </c>
      <c r="I80" s="4" t="str">
        <f>IFERROR(__xludf.DUMMYFUNCTION(" GOOGLETRANSLATE(D80, ""en"", ""id"")"),"Jika wasit menentukan bahwa seorang pesaing secara sengaja melukai lawannya melalui pelanggaran, maka akan mengakibatkan diskualifikasi langsung.")</f>
        <v>Jika wasit menentukan bahwa seorang pesaing secara sengaja melukai lawannya melalui pelanggaran, maka akan mengakibatkan diskualifikasi langsung.</v>
      </c>
    </row>
    <row r="81">
      <c r="A81" s="10" t="s">
        <v>2405</v>
      </c>
      <c r="B81" s="10" t="s">
        <v>2406</v>
      </c>
      <c r="C81" s="10" t="s">
        <v>2205</v>
      </c>
      <c r="D81" s="10" t="s">
        <v>2407</v>
      </c>
      <c r="F81" s="4" t="str">
        <f>IFERROR(__xludf.DUMMYFUNCTION(" GOOGLETRANSLATE(A81, ""en"", ""id"")"),"Dalam acara Silat resmi, siapa yang menyetujui wasit?")</f>
        <v>Dalam acara Silat resmi, siapa yang menyetujui wasit?</v>
      </c>
      <c r="G81" s="4" t="str">
        <f>IFERROR(__xludf.DUMMYFUNCTION(" GOOGLETRANSLATE(B81, ""en"", ""id"")"),"A) Panitia Lokal, B) PERSILAT, C) Pelatih, D) Penonton")</f>
        <v>A) Panitia Lokal, B) PERSILAT, C) Pelatih, D) Penonton</v>
      </c>
      <c r="H81" s="4" t="str">
        <f>IFERROR(__xludf.DUMMYFUNCTION(" GOOGLETRANSLATE(C81, ""en"", ""id"")"),"B) PERSILAT")</f>
        <v>B) PERSILAT</v>
      </c>
      <c r="I81" s="4" t="str">
        <f>IFERROR(__xludf.DUMMYFUNCTION(" GOOGLETRANSLATE(D81, ""en"", ""id"")"),"Untuk acara internasional, wasit dan juri harus disertifikasi dan disetujui oleh badan pengurus internasional, PERSILAT.")</f>
        <v>Untuk acara internasional, wasit dan juri harus disertifikasi dan disetujui oleh badan pengurus internasional, PERSILAT.</v>
      </c>
    </row>
    <row r="82">
      <c r="A82" s="10" t="s">
        <v>2408</v>
      </c>
      <c r="B82" s="10" t="s">
        <v>2409</v>
      </c>
      <c r="C82" s="10" t="s">
        <v>2410</v>
      </c>
      <c r="D82" s="10" t="s">
        <v>2411</v>
      </c>
      <c r="F82" s="4" t="str">
        <f>IFERROR(__xludf.DUMMYFUNCTION(" GOOGLETRANSLATE(A82, ""en"", ""id"")"),"Berapa waktu yang diperbolehkan untuk memasuki arena setelah dipanggil?")</f>
        <v>Berapa waktu yang diperbolehkan untuk memasuki arena setelah dipanggil?</v>
      </c>
      <c r="G82" s="4" t="str">
        <f>IFERROR(__xludf.DUMMYFUNCTION(" GOOGLETRANSLATE(B82, ""en"", ""id"")"),"A) 10 detik, B) 15 detik, C) 30 detik, D) 1 menit")</f>
        <v>A) 10 detik, B) 15 detik, C) 30 detik, D) 1 menit</v>
      </c>
      <c r="H82" s="4" t="str">
        <f>IFERROR(__xludf.DUMMYFUNCTION(" GOOGLETRANSLATE(C82, ""en"", ""id"")"),"C) 30 detik")</f>
        <v>C) 30 detik</v>
      </c>
      <c r="I82" s="4" t="str">
        <f>IFERROR(__xludf.DUMMYFUNCTION(" GOOGLETRANSLATE(D82, ""en"", ""id"")"),"Seorang peserta biasanya memiliki waktu 30 detik untuk memperkenalkan diri di arena setelah nama mereka dipanggil.")</f>
        <v>Seorang peserta biasanya memiliki waktu 30 detik untuk memperkenalkan diri di arena setelah nama mereka dipanggil.</v>
      </c>
    </row>
    <row r="83">
      <c r="A83" s="10" t="s">
        <v>2412</v>
      </c>
      <c r="B83" s="10" t="s">
        <v>2413</v>
      </c>
      <c r="C83" s="10" t="s">
        <v>2414</v>
      </c>
      <c r="D83" s="10" t="s">
        <v>2415</v>
      </c>
      <c r="F83" s="4" t="str">
        <f>IFERROR(__xludf.DUMMYFUNCTION(" GOOGLETRANSLATE(A83, ""en"", ""id"")"),"Jika peserta menyerang wasit, hukumannya adalah:")</f>
        <v>Jika peserta menyerang wasit, hukumannya adalah:</v>
      </c>
      <c r="G83" s="4" t="str">
        <f>IFERROR(__xludf.DUMMYFUNCTION(" GOOGLETRANSLATE(B83, ""en"", ""id"")"),"A) Peringatan, B) Diskualifikasi, C) Penghentian, D) Keduanya B &amp; C")</f>
        <v>A) Peringatan, B) Diskualifikasi, C) Penghentian, D) Keduanya B &amp; C</v>
      </c>
      <c r="H83" s="4" t="str">
        <f>IFERROR(__xludf.DUMMYFUNCTION(" GOOGLETRANSLATE(C83, ""en"", ""id"")"),"D) Baik B &amp; C")</f>
        <v>D) Baik B &amp; C</v>
      </c>
      <c r="I83" s="4" t="str">
        <f>IFERROR(__xludf.DUMMYFUNCTION(" GOOGLETRANSLATE(D83, ""en"", ""id"")"),"Menyerang seorang ofisial merupakan pelanggaran paling serius, yang dapat mengakibatkan diskualifikasi langsung dari pertandingan dan larangan berpartisipasi dalam acara mendatang.")</f>
        <v>Menyerang seorang ofisial merupakan pelanggaran paling serius, yang dapat mengakibatkan diskualifikasi langsung dari pertandingan dan larangan berpartisipasi dalam acara mendatang.</v>
      </c>
    </row>
    <row r="84">
      <c r="A84" s="10" t="s">
        <v>2416</v>
      </c>
      <c r="B84" s="10" t="s">
        <v>2417</v>
      </c>
      <c r="C84" s="10" t="s">
        <v>2418</v>
      </c>
      <c r="D84" s="10" t="s">
        <v>2419</v>
      </c>
      <c r="F84" s="4" t="str">
        <f>IFERROR(__xludf.DUMMYFUNCTION(" GOOGLETRANSLATE(A84, ""en"", ""id"")"),"Dalam pertandingan resmi, siapa yang menyimpan laporan medis?")</f>
        <v>Dalam pertandingan resmi, siapa yang menyimpan laporan medis?</v>
      </c>
      <c r="G84" s="4" t="str">
        <f>IFERROR(__xludf.DUMMYFUNCTION(" GOOGLETRANSLATE(B84, ""en"", ""id"")"),"A) Wasit, B) Juri, C) Petugas medis, D) Pencatat skor")</f>
        <v>A) Wasit, B) Juri, C) Petugas medis, D) Pencatat skor</v>
      </c>
      <c r="H84" s="4" t="str">
        <f>IFERROR(__xludf.DUMMYFUNCTION(" GOOGLETRANSLATE(C84, ""en"", ""id"")"),"C) Petugas medis")</f>
        <v>C) Petugas medis</v>
      </c>
      <c r="I84" s="4" t="str">
        <f>IFERROR(__xludf.DUMMYFUNCTION(" GOOGLETRANSLATE(D84, ""en"", ""id"")"),"Semua penilaian medis dan laporan cedera dikelola dan disimpan oleh petugas medis resmi dan netral yang ditugaskan pada acara tersebut.")</f>
        <v>Semua penilaian medis dan laporan cedera dikelola dan disimpan oleh petugas medis resmi dan netral yang ditugaskan pada acara tersebut.</v>
      </c>
    </row>
    <row r="85">
      <c r="A85" s="10" t="s">
        <v>2420</v>
      </c>
      <c r="B85" s="10" t="s">
        <v>2421</v>
      </c>
      <c r="C85" s="10" t="s">
        <v>2422</v>
      </c>
      <c r="D85" s="10" t="s">
        <v>2423</v>
      </c>
      <c r="F85" s="4" t="str">
        <f>IFERROR(__xludf.DUMMYFUNCTION(" GOOGLETRANSLATE(A85, ""en"", ""id"")"),"Bagaimana atlet pengganti disetujui dalam acara beregu?")</f>
        <v>Bagaimana atlet pengganti disetujui dalam acara beregu?</v>
      </c>
      <c r="G85" s="4" t="str">
        <f>IFERROR(__xludf.DUMMYFUNCTION(" GOOGLETRANSLATE(B85, ""en"", ""id"")"),"A) Juri, B) Wasit, C) Komite teknis, D) Suara pelatih")</f>
        <v>A) Juri, B) Wasit, C) Komite teknis, D) Suara pelatih</v>
      </c>
      <c r="H85" s="4" t="str">
        <f>IFERROR(__xludf.DUMMYFUNCTION(" GOOGLETRANSLATE(C85, ""en"", ""id"")"),"C) Komite teknis")</f>
        <v>C) Komite teknis</v>
      </c>
      <c r="I85" s="4" t="str">
        <f>IFERROR(__xludf.DUMMYFUNCTION(" GOOGLETRANSLATE(D85, ""en"", ""id"")"),"Kelayakan atlet pengganti dan proses penggantian dikelola oleh panitia teknis acara.")</f>
        <v>Kelayakan atlet pengganti dan proses penggantian dikelola oleh panitia teknis acara.</v>
      </c>
    </row>
    <row r="86">
      <c r="A86" s="10" t="s">
        <v>2424</v>
      </c>
      <c r="B86" s="10" t="s">
        <v>2425</v>
      </c>
      <c r="C86" s="10" t="s">
        <v>2426</v>
      </c>
      <c r="D86" s="10" t="s">
        <v>2427</v>
      </c>
      <c r="F86" s="4" t="str">
        <f>IFERROR(__xludf.DUMMYFUNCTION(" GOOGLETRANSLATE(A86, ""en"", ""id"")"),"Perintah manakah yang menandakan berakhirnya suatu ronde?")</f>
        <v>Perintah manakah yang menandakan berakhirnya suatu ronde?</v>
      </c>
      <c r="G86" s="4" t="str">
        <f>IFERROR(__xludf.DUMMYFUNCTION(" GOOGLETRANSLATE(B86, ""en"", ""id"")"),"A) Lonceng, B) Gong, C) Peluit, D) Tepuk tangan")</f>
        <v>A) Lonceng, B) Gong, C) Peluit, D) Tepuk tangan</v>
      </c>
      <c r="H86" s="4" t="str">
        <f>IFERROR(__xludf.DUMMYFUNCTION(" GOOGLETRANSLATE(C86, ""en"", ""id"")"),"C) Peluit")</f>
        <v>C) Peluit</v>
      </c>
      <c r="I86" s="4" t="str">
        <f>IFERROR(__xludf.DUMMYFUNCTION(" GOOGLETRANSLATE(D86, ""en"", ""id"")"),"Pencatat waktu memberi sinyal kepada wasit, yang kemudian meniup peluit untuk secara resmi menandakan berakhirnya babak.")</f>
        <v>Pencatat waktu memberi sinyal kepada wasit, yang kemudian meniup peluit untuk secara resmi menandakan berakhirnya babak.</v>
      </c>
    </row>
    <row r="87">
      <c r="A87" s="10" t="s">
        <v>2428</v>
      </c>
      <c r="B87" s="10" t="s">
        <v>2429</v>
      </c>
      <c r="C87" s="10" t="s">
        <v>2430</v>
      </c>
      <c r="D87" s="12" t="s">
        <v>2431</v>
      </c>
      <c r="F87" s="4" t="str">
        <f>IFERROR(__xludf.DUMMYFUNCTION(" GOOGLETRANSLATE(A87, ""en"", ""id"")"),"Perintah manakah yang memberi sinyal kepada atlet untuk membungkuk?")</f>
        <v>Perintah manakah yang memberi sinyal kepada atlet untuk membungkuk?</v>
      </c>
      <c r="G87" s="4" t="str">
        <f>IFERROR(__xludf.DUMMYFUNCTION(" GOOGLETRANSLATE(B87, ""en"", ""id"")"),"A) Mulai, B) Hormat, C) Berhenti, D) Keluar")</f>
        <v>A) Mulai, B) Hormat, C) Berhenti, D) Keluar</v>
      </c>
      <c r="H87" s="4" t="str">
        <f>IFERROR(__xludf.DUMMYFUNCTION(" GOOGLETRANSLATE(C87, ""en"", ""id"")"),"B) Hormat")</f>
        <v>B) Hormat</v>
      </c>
      <c r="I87" s="4" t="str">
        <f>IFERROR(__xludf.DUMMYFUNCTION(" GOOGLETRANSLATE(D87, ""en"", ""id"")"),"'Hormat' berarti 'rasa hormat' atau 'salut', dan merupakan perintah yang digunakan untuk menginstruksikan para pesaing untuk melakukan gerakan penghormatan tradisional.")</f>
        <v>'Hormat' berarti 'rasa hormat' atau 'salut', dan merupakan perintah yang digunakan untuk menginstruksikan para pesaing untuk melakukan gerakan penghormatan tradisional.</v>
      </c>
    </row>
    <row r="88">
      <c r="A88" s="10" t="s">
        <v>2432</v>
      </c>
      <c r="B88" s="10" t="s">
        <v>2433</v>
      </c>
      <c r="C88" s="10" t="s">
        <v>236</v>
      </c>
      <c r="D88" s="10" t="s">
        <v>2434</v>
      </c>
      <c r="F88" s="4" t="str">
        <f>IFERROR(__xludf.DUMMYFUNCTION(" GOOGLETRANSLATE(A88, ""en"", ""id"")"),"Jika seorang peserta mengabaikan wasit berulang kali, hasilnya adalah:")</f>
        <v>Jika seorang peserta mengabaikan wasit berulang kali, hasilnya adalah:</v>
      </c>
      <c r="G88" s="4" t="str">
        <f>IFERROR(__xludf.DUMMYFUNCTION(" GOOGLETRANSLATE(B88, ""en"", ""id"")"),"A) Peringatan, B) Pengurangan poin, C) Diskualifikasi, D) Banding")</f>
        <v>A) Peringatan, B) Pengurangan poin, C) Diskualifikasi, D) Banding</v>
      </c>
      <c r="H88" s="4" t="str">
        <f>IFERROR(__xludf.DUMMYFUNCTION(" GOOGLETRANSLATE(C88, ""en"", ""id"")"),"C) Diskualifikasi")</f>
        <v>C) Diskualifikasi</v>
      </c>
      <c r="I88" s="4" t="str">
        <f>IFERROR(__xludf.DUMMYFUNCTION(" GOOGLETRANSLATE(D88, ""en"", ""id"")"),"Mengabaikan perintah wasit berulang kali merupakan pembangkangan berat dan akan berujung pada diskualifikasi.")</f>
        <v>Mengabaikan perintah wasit berulang kali merupakan pembangkangan berat dan akan berujung pada diskualifikasi.</v>
      </c>
    </row>
    <row r="89">
      <c r="A89" s="10" t="s">
        <v>2435</v>
      </c>
      <c r="B89" s="10" t="s">
        <v>2436</v>
      </c>
      <c r="C89" s="10" t="s">
        <v>1187</v>
      </c>
      <c r="D89" s="10" t="s">
        <v>2437</v>
      </c>
      <c r="F89" s="4" t="str">
        <f>IFERROR(__xludf.DUMMYFUNCTION(" GOOGLETRANSLATE(A89, ""en"", ""id"")"),"Jika seorang peserta menggunakan zat terlarang, sanksinya adalah:")</f>
        <v>Jika seorang peserta menggunakan zat terlarang, sanksinya adalah:</v>
      </c>
      <c r="G89" s="4" t="str">
        <f>IFERROR(__xludf.DUMMYFUNCTION(" GOOGLETRANSLATE(B89, ""en"", ""id"")"),"A) Peringatan, B) Penangguhan, C) Diskualifikasi, D) Semua jawaban di atas")</f>
        <v>A) Peringatan, B) Penangguhan, C) Diskualifikasi, D) Semua jawaban di atas</v>
      </c>
      <c r="H89" s="4" t="str">
        <f>IFERROR(__xludf.DUMMYFUNCTION(" GOOGLETRANSLATE(C89, ""en"", ""id"")"),"D) Semua jawaban di atas")</f>
        <v>D) Semua jawaban di atas</v>
      </c>
      <c r="I89" s="4" t="str">
        <f>IFERROR(__xludf.DUMMYFUNCTION(" GOOGLETRANSLATE(D89, ""en"", ""id"")"),"Doping dapat mengakibatkan diskualifikasi langsung, larangan bermain, dan pembatalan hasil apa pun.")</f>
        <v>Doping dapat mengakibatkan diskualifikasi langsung, larangan bermain, dan pembatalan hasil apa pun.</v>
      </c>
    </row>
    <row r="90">
      <c r="A90" s="10" t="s">
        <v>2438</v>
      </c>
      <c r="B90" s="10" t="s">
        <v>2439</v>
      </c>
      <c r="C90" s="10" t="s">
        <v>2440</v>
      </c>
      <c r="D90" s="10" t="s">
        <v>2441</v>
      </c>
      <c r="F90" s="4" t="str">
        <f>IFERROR(__xludf.DUMMYFUNCTION(" GOOGLETRANSLATE(A90, ""en"", ""id"")"),"Dalam kategori junior, durasi ronde pertempuran maksimum adalah:")</f>
        <v>Dalam kategori junior, durasi ronde pertempuran maksimum adalah:</v>
      </c>
      <c r="G90" s="4" t="str">
        <f>IFERROR(__xludf.DUMMYFUNCTION(" GOOGLETRANSLATE(B90, ""en"", ""id"")"),"A) 1 menit, B) 1,5 menit, C) 2 menit, D) 3 menit")</f>
        <v>A) 1 menit, B) 1,5 menit, C) 2 menit, D) 3 menit</v>
      </c>
      <c r="H90" s="4" t="str">
        <f>IFERROR(__xludf.DUMMYFUNCTION(" GOOGLETRANSLATE(C90, ""en"", ""id"")"),"C) 2 menit")</f>
        <v>C) 2 menit</v>
      </c>
      <c r="I90" s="4" t="str">
        <f>IFERROR(__xludf.DUMMYFUNCTION(" GOOGLETRANSLATE(D90, ""en"", ""id"")"),"Babak untuk peserta junior sering kali berdurasi sama dengan senior, yakni dua menit, meski beberapa aturan mungkin memperpendeknya menjadi 1,5 menit.")</f>
        <v>Babak untuk peserta junior sering kali berdurasi sama dengan senior, yakni dua menit, meski beberapa aturan mungkin memperpendeknya menjadi 1,5 menit.</v>
      </c>
    </row>
    <row r="91">
      <c r="A91" s="10" t="s">
        <v>2442</v>
      </c>
      <c r="B91" s="10" t="s">
        <v>2443</v>
      </c>
      <c r="C91" s="10" t="s">
        <v>2444</v>
      </c>
      <c r="D91" s="10" t="s">
        <v>2445</v>
      </c>
      <c r="F91" s="4" t="str">
        <f>IFERROR(__xludf.DUMMYFUNCTION(" GOOGLETRANSLATE(A91, ""en"", ""id"")"),"Pada kategori junior, waktu istirahat antar ronde adalah:")</f>
        <v>Pada kategori junior, waktu istirahat antar ronde adalah:</v>
      </c>
      <c r="G91" s="4" t="str">
        <f>IFERROR(__xludf.DUMMYFUNCTION(" GOOGLETRANSLATE(B91, ""en"", ""id"")"),"A) 15 detik, B) 30 detik, C) 45 detik, D) 1 menit")</f>
        <v>A) 15 detik, B) 30 detik, C) 45 detik, D) 1 menit</v>
      </c>
      <c r="H91" s="4" t="str">
        <f>IFERROR(__xludf.DUMMYFUNCTION(" GOOGLETRANSLATE(C91, ""en"", ""id"")"),"D) 1 menit")</f>
        <v>D) 1 menit</v>
      </c>
      <c r="I91" s="4" t="str">
        <f>IFERROR(__xludf.DUMMYFUNCTION(" GOOGLETRANSLATE(D91, ""en"", ""id"")"),"Waktu istirahat untuk peserta junior pada umumnya sama dengan peserta senior, yaitu satu menit.")</f>
        <v>Waktu istirahat untuk peserta junior pada umumnya sama dengan peserta senior, yaitu satu menit.</v>
      </c>
    </row>
    <row r="92">
      <c r="A92" s="10" t="s">
        <v>2446</v>
      </c>
      <c r="B92" s="10" t="s">
        <v>2447</v>
      </c>
      <c r="C92" s="10" t="s">
        <v>30</v>
      </c>
      <c r="D92" s="10" t="s">
        <v>2448</v>
      </c>
      <c r="F92" s="4" t="str">
        <f>IFERROR(__xludf.DUMMYFUNCTION(" GOOGLETRANSLATE(A92, ""en"", ""id"")"),"Dalam Pencak Silat, ada berapa kategori utama kompetisi?")</f>
        <v>Dalam Pencak Silat, ada berapa kategori utama kompetisi?</v>
      </c>
      <c r="G92" s="4" t="str">
        <f>IFERROR(__xludf.DUMMYFUNCTION(" GOOGLETRANSLATE(B92, ""en"", ""id"")"),"A) 3, B) 4, C) 5, D) 6")</f>
        <v>A) 3, B) 4, C) 5, D) 6</v>
      </c>
      <c r="H92" s="4" t="str">
        <f>IFERROR(__xludf.DUMMYFUNCTION(" GOOGLETRANSLATE(C92, ""en"", ""id"")"),"B) 4")</f>
        <v>B) 4</v>
      </c>
      <c r="I92" s="4" t="str">
        <f>IFERROR(__xludf.DUMMYFUNCTION(" GOOGLETRANSLATE(D92, ""en"", ""id"")"),"Pencak Silat memiliki empat kategori utama: Solo, Tandem, Tempur, dan Artistik.")</f>
        <v>Pencak Silat memiliki empat kategori utama: Solo, Tandem, Tempur, dan Artistik.</v>
      </c>
    </row>
    <row r="93">
      <c r="A93" s="10" t="s">
        <v>2449</v>
      </c>
      <c r="B93" s="10" t="s">
        <v>2450</v>
      </c>
      <c r="C93" s="10" t="s">
        <v>2451</v>
      </c>
      <c r="D93" s="10" t="s">
        <v>2452</v>
      </c>
      <c r="F93" s="4" t="str">
        <f>IFERROR(__xludf.DUMMYFUNCTION(" GOOGLETRANSLATE(A93, ""en"", ""id"")"),"Apa fokus utama Pencak Silat?")</f>
        <v>Apa fokus utama Pencak Silat?</v>
      </c>
      <c r="G93" s="4" t="str">
        <f>IFERROR(__xludf.DUMMYFUNCTION(" GOOGLETRANSLATE(B93, ""en"", ""id"")"),"A) Kekuatan, B) Kecepatan, C) Bela Diri, D) Kelincahan")</f>
        <v>A) Kekuatan, B) Kecepatan, C) Bela Diri, D) Kelincahan</v>
      </c>
      <c r="H93" s="4" t="str">
        <f>IFERROR(__xludf.DUMMYFUNCTION(" GOOGLETRANSLATE(C93, ""en"", ""id"")"),"C) Bela Diri")</f>
        <v>C) Bela Diri</v>
      </c>
      <c r="I93" s="4" t="str">
        <f>IFERROR(__xludf.DUMMYFUNCTION(" GOOGLETRANSLATE(D93, ""en"", ""id"")"),"Pencak Silat terutama merupakan seni bela diri yang difokuskan pada teknik bela diri.")</f>
        <v>Pencak Silat terutama merupakan seni bela diri yang difokuskan pada teknik bela diri.</v>
      </c>
    </row>
    <row r="94">
      <c r="A94" s="10" t="s">
        <v>2453</v>
      </c>
      <c r="B94" s="10" t="s">
        <v>2454</v>
      </c>
      <c r="C94" s="10" t="s">
        <v>1187</v>
      </c>
      <c r="D94" s="10" t="s">
        <v>2455</v>
      </c>
      <c r="F94" s="4" t="str">
        <f>IFERROR(__xludf.DUMMYFUNCTION(" GOOGLETRANSLATE(A94, ""en"", ""id"")"),"Bagaimana perolehan poin pada kategori pertarungan Pencak Silat?")</f>
        <v>Bagaimana perolehan poin pada kategori pertarungan Pencak Silat?</v>
      </c>
      <c r="G94" s="4" t="str">
        <f>IFERROR(__xludf.DUMMYFUNCTION(" GOOGLETRANSLATE(B94, ""en"", ""id"")"),"A) Dengan memukul lawan, B) Dengan melempar lawan, C) Dengan melepaskan diri dari pegangan lawan, D) Semua jawaban di atas")</f>
        <v>A) Dengan memukul lawan, B) Dengan melempar lawan, C) Dengan melepaskan diri dari pegangan lawan, D) Semua jawaban di atas</v>
      </c>
      <c r="H94" s="4" t="str">
        <f>IFERROR(__xludf.DUMMYFUNCTION(" GOOGLETRANSLATE(C94, ""en"", ""id"")"),"D) Semua jawaban di atas")</f>
        <v>D) Semua jawaban di atas</v>
      </c>
      <c r="I94" s="4" t="str">
        <f>IFERROR(__xludf.DUMMYFUNCTION(" GOOGLETRANSLATE(D94, ""en"", ""id"")"),"Dalam pertempuran, poin diperoleh melalui berbagai teknik termasuk serangan, lemparan, dan pelarian.")</f>
        <v>Dalam pertempuran, poin diperoleh melalui berbagai teknik termasuk serangan, lemparan, dan pelarian.</v>
      </c>
    </row>
    <row r="95">
      <c r="A95" s="10" t="s">
        <v>2456</v>
      </c>
      <c r="B95" s="10" t="s">
        <v>2457</v>
      </c>
      <c r="C95" s="10" t="s">
        <v>2458</v>
      </c>
      <c r="D95" s="10" t="s">
        <v>2459</v>
      </c>
      <c r="F95" s="4" t="str">
        <f>IFERROR(__xludf.DUMMYFUNCTION(" GOOGLETRANSLATE(A95, ""en"", ""id"")"),"Manakah dari berikut ini yang bukan merupakan unsur kategori Seni dalam Pencak Silat?")</f>
        <v>Manakah dari berikut ini yang bukan merupakan unsur kategori Seni dalam Pencak Silat?</v>
      </c>
      <c r="G95" s="4" t="str">
        <f>IFERROR(__xludf.DUMMYFUNCTION(" GOOGLETRANSLATE(B95, ""en"", ""id"")"),"A) Kekuatan, B) Fleksibilitas, C) Keanggunan, D) Agresi")</f>
        <v>A) Kekuatan, B) Fleksibilitas, C) Keanggunan, D) Agresi</v>
      </c>
      <c r="H95" s="4" t="str">
        <f>IFERROR(__xludf.DUMMYFUNCTION(" GOOGLETRANSLATE(C95, ""en"", ""id"")"),"D) Agresi")</f>
        <v>D) Agresi</v>
      </c>
      <c r="I95" s="4" t="str">
        <f>IFERROR(__xludf.DUMMYFUNCTION(" GOOGLETRANSLATE(D95, ""en"", ""id"")"),"Pencak Silat artistik menekankan keanggunan, kekuatan, dan fleksibilitas, bukan agresi.")</f>
        <v>Pencak Silat artistik menekankan keanggunan, kekuatan, dan fleksibilitas, bukan agresi.</v>
      </c>
    </row>
    <row r="96">
      <c r="A96" s="10" t="s">
        <v>2460</v>
      </c>
      <c r="B96" s="10" t="s">
        <v>2461</v>
      </c>
      <c r="C96" s="10" t="s">
        <v>2462</v>
      </c>
      <c r="D96" s="12" t="s">
        <v>2463</v>
      </c>
      <c r="F96" s="4" t="str">
        <f>IFERROR(__xludf.DUMMYFUNCTION(" GOOGLETRANSLATE(A96, ""en"", ""id"")"),"Dalam Pencak Silat, apa peran 'Siluet'?")</f>
        <v>Dalam Pencak Silat, apa peran 'Siluet'?</v>
      </c>
      <c r="G96" s="4" t="str">
        <f>IFERROR(__xludf.DUMMYFUNCTION(" GOOGLETRANSLATE(B96, ""en"", ""id"")"),"A) Latihan senjata, B) Strategi, C) Pola pergerakan, D) Koordinasi tim")</f>
        <v>A) Latihan senjata, B) Strategi, C) Pola pergerakan, D) Koordinasi tim</v>
      </c>
      <c r="H96" s="4" t="str">
        <f>IFERROR(__xludf.DUMMYFUNCTION(" GOOGLETRANSLATE(C96, ""en"", ""id"")"),"C) Pola gerakan")</f>
        <v>C) Pola gerakan</v>
      </c>
      <c r="I96" s="4" t="str">
        <f>IFERROR(__xludf.DUMMYFUNCTION(" GOOGLETRANSLATE(D96, ""en"", ""id"")"),"'Siluet' mengacu pada pola gerakan atau bentuk yang dilakukan selama kompetisi.")</f>
        <v>'Siluet' mengacu pada pola gerakan atau bentuk yang dilakukan selama kompetisi.</v>
      </c>
    </row>
    <row r="97">
      <c r="A97" s="10" t="s">
        <v>2464</v>
      </c>
      <c r="B97" s="10" t="s">
        <v>2386</v>
      </c>
      <c r="C97" s="10" t="s">
        <v>2387</v>
      </c>
      <c r="D97" s="10" t="s">
        <v>2465</v>
      </c>
      <c r="F97" s="4" t="str">
        <f>IFERROR(__xludf.DUMMYFUNCTION(" GOOGLETRANSLATE(A97, ""en"", ""id"")"),"Berapa banyak juri yang biasanya terlibat dalam penilaian suatu kompetisi Pencak Silat?")</f>
        <v>Berapa banyak juri yang biasanya terlibat dalam penilaian suatu kompetisi Pencak Silat?</v>
      </c>
      <c r="G97" s="4" t="str">
        <f>IFERROR(__xludf.DUMMYFUNCTION(" GOOGLETRANSLATE(B97, ""en"", ""id"")"),"A) 3, B) 5, C) 7, D) 9")</f>
        <v>A) 3, B) 5, C) 7, D) 9</v>
      </c>
      <c r="H97" s="4" t="str">
        <f>IFERROR(__xludf.DUMMYFUNCTION(" GOOGLETRANSLATE(C97, ""en"", ""id"")"),"B) 5")</f>
        <v>B) 5</v>
      </c>
      <c r="I97" s="4" t="str">
        <f>IFERROR(__xludf.DUMMYFUNCTION(" GOOGLETRANSLATE(D97, ""en"", ""id"")"),"Panel yang terdiri dari lima juri biasanya menilai kompetisi Pencak Silat.")</f>
        <v>Panel yang terdiri dari lima juri biasanya menilai kompetisi Pencak Silat.</v>
      </c>
    </row>
    <row r="98">
      <c r="A98" s="10" t="s">
        <v>2466</v>
      </c>
      <c r="B98" s="10" t="s">
        <v>2467</v>
      </c>
      <c r="C98" s="10" t="s">
        <v>1383</v>
      </c>
      <c r="D98" s="10" t="s">
        <v>2468</v>
      </c>
      <c r="F98" s="4" t="str">
        <f>IFERROR(__xludf.DUMMYFUNCTION(" GOOGLETRANSLATE(A98, ""en"", ""id"")"),"Dalam pertarungan Pencak Silat, berapa lama biasanya setiap ronde berlangsung?")</f>
        <v>Dalam pertarungan Pencak Silat, berapa lama biasanya setiap ronde berlangsung?</v>
      </c>
      <c r="G98" s="4" t="str">
        <f>IFERROR(__xludf.DUMMYFUNCTION(" GOOGLETRANSLATE(B98, ""en"", ""id"")"),"A) 1 menit, B) 2 menit, C) 3 menit, D) 4 menit")</f>
        <v>A) 1 menit, B) 2 menit, C) 3 menit, D) 4 menit</v>
      </c>
      <c r="H98" s="4" t="str">
        <f>IFERROR(__xludf.DUMMYFUNCTION(" GOOGLETRANSLATE(C98, ""en"", ""id"")"),"B) 2 menit")</f>
        <v>B) 2 menit</v>
      </c>
      <c r="I98" s="4" t="str">
        <f>IFERROR(__xludf.DUMMYFUNCTION(" GOOGLETRANSLATE(D98, ""en"", ""id"")"),"Setiap ronde pertarungan Pencak Silat biasanya berlangsung selama 2 menit.")</f>
        <v>Setiap ronde pertarungan Pencak Silat biasanya berlangsung selama 2 menit.</v>
      </c>
    </row>
    <row r="99">
      <c r="A99" s="10" t="s">
        <v>2469</v>
      </c>
      <c r="B99" s="10" t="s">
        <v>2470</v>
      </c>
      <c r="C99" s="10" t="s">
        <v>2471</v>
      </c>
      <c r="D99" s="10" t="s">
        <v>2472</v>
      </c>
      <c r="F99" s="4" t="str">
        <f>IFERROR(__xludf.DUMMYFUNCTION(" GOOGLETRANSLATE(A99, ""en"", ""id"")"),"Apa yang dimaksud dengan sikap dasar dalam Pencak Silat?")</f>
        <v>Apa yang dimaksud dengan sikap dasar dalam Pencak Silat?</v>
      </c>
      <c r="G99" s="4" t="str">
        <f>IFERROR(__xludf.DUMMYFUNCTION(" GOOGLETRANSLATE(B99, ""en"", ""id"")"),"A) Pencak, B) Silat, C) Kuda-Kuda, D) Tegak")</f>
        <v>A) Pencak, B) Silat, C) Kuda-Kuda, D) Tegak</v>
      </c>
      <c r="H99" s="4" t="str">
        <f>IFERROR(__xludf.DUMMYFUNCTION(" GOOGLETRANSLATE(C99, ""en"", ""id"")"),"C) Kuda-Kuda")</f>
        <v>C) Kuda-Kuda</v>
      </c>
      <c r="I99" s="4" t="str">
        <f>IFERROR(__xludf.DUMMYFUNCTION(" GOOGLETRANSLATE(D99, ""en"", ""id"")"),"'Kuda-Kuda' adalah posisi dasar yang digunakan untuk keseimbangan dan gerakan dalam Pencak Silat.")</f>
        <v>'Kuda-Kuda' adalah posisi dasar yang digunakan untuk keseimbangan dan gerakan dalam Pencak Silat.</v>
      </c>
    </row>
    <row r="100">
      <c r="A100" s="10" t="s">
        <v>2473</v>
      </c>
      <c r="B100" s="10" t="s">
        <v>2474</v>
      </c>
      <c r="C100" s="10" t="s">
        <v>2475</v>
      </c>
      <c r="D100" s="10" t="s">
        <v>2476</v>
      </c>
      <c r="F100" s="4" t="str">
        <f>IFERROR(__xludf.DUMMYFUNCTION(" GOOGLETRANSLATE(A100, ""en"", ""id"")"),"Apa tujuan dalam pertandingan beladiri Pencak Silat?")</f>
        <v>Apa tujuan dalam pertandingan beladiri Pencak Silat?</v>
      </c>
      <c r="G100" s="4" t="str">
        <f>IFERROR(__xludf.DUMMYFUNCTION(" GOOGLETRANSLATE(B100, ""en"", ""id"")"),"A) Untuk mengalahkan lawan, B) Untuk mencetak poin terbanyak, C) Untuk melakukan teknik dengan sempurna, D) Untuk keluar dari ring")</f>
        <v>A) Untuk mengalahkan lawan, B) Untuk mencetak poin terbanyak, C) Untuk melakukan teknik dengan sempurna, D) Untuk keluar dari ring</v>
      </c>
      <c r="H100" s="4" t="str">
        <f>IFERROR(__xludf.DUMMYFUNCTION(" GOOGLETRANSLATE(C100, ""en"", ""id"")"),"B) Untuk mendapatkan poin terbanyak")</f>
        <v>B) Untuk mendapatkan poin terbanyak</v>
      </c>
      <c r="I100" s="4" t="str">
        <f>IFERROR(__xludf.DUMMYFUNCTION(" GOOGLETRANSLATE(D100, ""en"", ""id"")"),"Dalam kompetisi pertarungan, tujuannya adalah untuk mencetak poin terbanyak melalui teknik yang efektif.")</f>
        <v>Dalam kompetisi pertarungan, tujuannya adalah untuk mencetak poin terbanyak melalui teknik yang efektif.</v>
      </c>
    </row>
    <row r="101">
      <c r="A101" s="10" t="s">
        <v>2477</v>
      </c>
      <c r="B101" s="10" t="s">
        <v>2478</v>
      </c>
      <c r="C101" s="10" t="s">
        <v>2479</v>
      </c>
      <c r="D101" s="10" t="s">
        <v>2480</v>
      </c>
      <c r="F101" s="4" t="str">
        <f>IFERROR(__xludf.DUMMYFUNCTION(" GOOGLETRANSLATE(A101, ""en"", ""id"")"),"Jenis latihan apa yang ditekankan dalam kompetisi Solo Pencak Silat?")</f>
        <v>Jenis latihan apa yang ditekankan dalam kompetisi Solo Pencak Silat?</v>
      </c>
      <c r="G101" s="4" t="str">
        <f>IFERROR(__xludf.DUMMYFUNCTION(" GOOGLETRANSLATE(B101, ""en"", ""id"")"),"A) Penggunaan senjata, B) Koordinasi dan bentuk, C) Teknik bertarung, D) Fleksibilitas dan kekuatan")</f>
        <v>A) Penggunaan senjata, B) Koordinasi dan bentuk, C) Teknik bertarung, D) Fleksibilitas dan kekuatan</v>
      </c>
      <c r="H101" s="4" t="str">
        <f>IFERROR(__xludf.DUMMYFUNCTION(" GOOGLETRANSLATE(C101, ""en"", ""id"")"),"B) Koordinasi dan bentuk")</f>
        <v>B) Koordinasi dan bentuk</v>
      </c>
      <c r="I101" s="4" t="str">
        <f>IFERROR(__xludf.DUMMYFUNCTION(" GOOGLETRANSLATE(D101, ""en"", ""id"")"),"Kompetisi tunggal difokuskan pada penampilan pola gerakan terkoordinasi (bentuk) di hadapan juri.")</f>
        <v>Kompetisi tunggal difokuskan pada penampilan pola gerakan terkoordinasi (bentuk) di hadapan juri.</v>
      </c>
    </row>
    <row r="102">
      <c r="A102" s="10" t="s">
        <v>2481</v>
      </c>
      <c r="B102" s="10" t="s">
        <v>2482</v>
      </c>
      <c r="C102" s="10" t="s">
        <v>2483</v>
      </c>
      <c r="D102" s="12" t="s">
        <v>2484</v>
      </c>
      <c r="F102" s="4" t="str">
        <f>IFERROR(__xludf.DUMMYFUNCTION(" GOOGLETRANSLATE(A102, ""en"", ""id"")"),"Apa yang dimaksud dengan 'Satria' dalam Pencak Silat?")</f>
        <v>Apa yang dimaksud dengan 'Satria' dalam Pencak Silat?</v>
      </c>
      <c r="G102" s="4" t="str">
        <f>IFERROR(__xludf.DUMMYFUNCTION(" GOOGLETRANSLATE(B102, ""en"", ""id"")"),"A) Kekuatan, B) Kebijaksanaan, C) Semangat prajurit, D) Kecepatan")</f>
        <v>A) Kekuatan, B) Kebijaksanaan, C) Semangat prajurit, D) Kecepatan</v>
      </c>
      <c r="H102" s="4" t="str">
        <f>IFERROR(__xludf.DUMMYFUNCTION(" GOOGLETRANSLATE(C102, ""en"", ""id"")"),"C) Semangat prajurit")</f>
        <v>C) Semangat prajurit</v>
      </c>
      <c r="I102" s="4" t="str">
        <f>IFERROR(__xludf.DUMMYFUNCTION(" GOOGLETRANSLATE(D102, ""en"", ""id"")"),"'Satria' melambangkan jiwa pejuang, menekankan keberanian dan fokus dalam seni bela diri.")</f>
        <v>'Satria' melambangkan jiwa pejuang, menekankan keberanian dan fokus dalam seni bela diri.</v>
      </c>
    </row>
    <row r="103">
      <c r="A103" s="10" t="s">
        <v>2485</v>
      </c>
      <c r="B103" s="10" t="s">
        <v>2486</v>
      </c>
      <c r="C103" s="10" t="s">
        <v>2487</v>
      </c>
      <c r="D103" s="10" t="s">
        <v>2488</v>
      </c>
      <c r="F103" s="4" t="str">
        <f>IFERROR(__xludf.DUMMYFUNCTION(" GOOGLETRANSLATE(A103, ""en"", ""id"")"),"Dalam Pencak Silat, apa istilah untuk kombinasi beberapa teknik dalam satu rangkaian?")</f>
        <v>Dalam Pencak Silat, apa istilah untuk kombinasi beberapa teknik dalam satu rangkaian?</v>
      </c>
      <c r="G103" s="4" t="str">
        <f>IFERROR(__xludf.DUMMYFUNCTION(" GOOGLETRANSLATE(B103, ""en"", ""id"")"),"A) Serangan, B) Jurus, C) Gunting, D) Pukulan")</f>
        <v>A) Serangan, B) Jurus, C) Gunting, D) Pukulan</v>
      </c>
      <c r="H103" s="4" t="str">
        <f>IFERROR(__xludf.DUMMYFUNCTION(" GOOGLETRANSLATE(C103, ""en"", ""id"")"),"B) Jurus")</f>
        <v>B) Jurus</v>
      </c>
      <c r="I103" s="4" t="str">
        <f>IFERROR(__xludf.DUMMYFUNCTION(" GOOGLETRANSLATE(D103, ""en"", ""id"")"),"'Jurus' mengacu pada serangkaian teknik yang dilakukan sebagai kombinasi dalam Pencak Silat.")</f>
        <v>'Jurus' mengacu pada serangkaian teknik yang dilakukan sebagai kombinasi dalam Pencak Silat.</v>
      </c>
    </row>
    <row r="104">
      <c r="A104" s="10" t="s">
        <v>2489</v>
      </c>
      <c r="B104" s="10" t="s">
        <v>2490</v>
      </c>
      <c r="C104" s="10" t="s">
        <v>2491</v>
      </c>
      <c r="D104" s="10" t="s">
        <v>2492</v>
      </c>
      <c r="F104" s="4" t="str">
        <f>IFERROR(__xludf.DUMMYFUNCTION(" GOOGLETRANSLATE(A104, ""en"", ""id"")"),"Berapa usia minimum yang diperlukan bagi seorang peserta untuk dapat berpartisipasi dalam kompetisi Pencak Silat resmi?")</f>
        <v>Berapa usia minimum yang diperlukan bagi seorang peserta untuk dapat berpartisipasi dalam kompetisi Pencak Silat resmi?</v>
      </c>
      <c r="G104" s="4" t="str">
        <f>IFERROR(__xludf.DUMMYFUNCTION(" GOOGLETRANSLATE(B104, ""en"", ""id"")"),"A) 5 tahun, B) 10 tahun, C) 12 tahun, D) 15 tahun")</f>
        <v>A) 5 tahun, B) 10 tahun, C) 12 tahun, D) 15 tahun</v>
      </c>
      <c r="H104" s="4" t="str">
        <f>IFERROR(__xludf.DUMMYFUNCTION(" GOOGLETRANSLATE(C104, ""en"", ""id"")"),"C) 12 tahun")</f>
        <v>C) 12 tahun</v>
      </c>
      <c r="I104" s="4" t="str">
        <f>IFERROR(__xludf.DUMMYFUNCTION(" GOOGLETRANSLATE(D104, ""en"", ""id"")"),"Peserta harus berusia minimal 12 tahun untuk dapat berpartisipasi dalam kompetisi Pencak Silat resmi.")</f>
        <v>Peserta harus berusia minimal 12 tahun untuk dapat berpartisipasi dalam kompetisi Pencak Silat resmi.</v>
      </c>
    </row>
    <row r="105">
      <c r="A105" s="10" t="s">
        <v>2493</v>
      </c>
      <c r="B105" s="10" t="s">
        <v>2494</v>
      </c>
      <c r="C105" s="10" t="s">
        <v>1187</v>
      </c>
      <c r="D105" s="10" t="s">
        <v>2495</v>
      </c>
      <c r="F105" s="4" t="str">
        <f>IFERROR(__xludf.DUMMYFUNCTION(" GOOGLETRANSLATE(A105, ""en"", ""id"")"),"Jenis senjata apa yang umum digunakan dalam Pencak Silat?")</f>
        <v>Jenis senjata apa yang umum digunakan dalam Pencak Silat?</v>
      </c>
      <c r="G105" s="4" t="str">
        <f>IFERROR(__xludf.DUMMYFUNCTION(" GOOGLETRANSLATE(B105, ""en"", ""id"")"),"A) Pedang, B) Pisau, C) Tombak, D) Semua jawaban di atas")</f>
        <v>A) Pedang, B) Pisau, C) Tombak, D) Semua jawaban di atas</v>
      </c>
      <c r="H105" s="4" t="str">
        <f>IFERROR(__xludf.DUMMYFUNCTION(" GOOGLETRANSLATE(C105, ""en"", ""id"")"),"D) Semua jawaban di atas")</f>
        <v>D) Semua jawaban di atas</v>
      </c>
      <c r="I105" s="4" t="str">
        <f>IFERROR(__xludf.DUMMYFUNCTION(" GOOGLETRANSLATE(D105, ""en"", ""id"")"),"Praktisi Pencak Silat dapat menggunakan berbagai senjata, termasuk pedang, pisau, dan tombak.")</f>
        <v>Praktisi Pencak Silat dapat menggunakan berbagai senjata, termasuk pedang, pisau, dan tombak.</v>
      </c>
    </row>
    <row r="106">
      <c r="A106" s="10" t="s">
        <v>2496</v>
      </c>
      <c r="B106" s="10" t="s">
        <v>2497</v>
      </c>
      <c r="C106" s="10" t="s">
        <v>2498</v>
      </c>
      <c r="D106" s="10" t="s">
        <v>2499</v>
      </c>
      <c r="F106" s="4" t="str">
        <f>IFERROR(__xludf.DUMMYFUNCTION(" GOOGLETRANSLATE(A106, ""en"", ""id"")"),"Manakah dari gerakan berikut yang merupakan gerakan ilegal dalam pertarungan Pencak Silat?")</f>
        <v>Manakah dari gerakan berikut yang merupakan gerakan ilegal dalam pertarungan Pencak Silat?</v>
      </c>
      <c r="G106" s="4" t="str">
        <f>IFERROR(__xludf.DUMMYFUNCTION(" GOOGLETRANSLATE(B106, ""en"", ""id"")"),"A) Melempar, B) Menyerang di bawah ikat pinggang, C) Menghalangi, D) Menghindar")</f>
        <v>A) Melempar, B) Menyerang di bawah ikat pinggang, C) Menghalangi, D) Menghindar</v>
      </c>
      <c r="H106" s="4" t="str">
        <f>IFERROR(__xludf.DUMMYFUNCTION(" GOOGLETRANSLATE(C106, ""en"", ""id"")"),"B) Menyerang di bawah ikat pinggang")</f>
        <v>B) Menyerang di bawah ikat pinggang</v>
      </c>
      <c r="I106" s="4" t="str">
        <f>IFERROR(__xludf.DUMMYFUNCTION(" GOOGLETRANSLATE(D106, ""en"", ""id"")"),"Menyerang di bawah pinggang dianggap ilegal dan dihukum dalam kompetisi Pencak Silat.")</f>
        <v>Menyerang di bawah pinggang dianggap ilegal dan dihukum dalam kompetisi Pencak Silat.</v>
      </c>
    </row>
    <row r="107">
      <c r="A107" s="10" t="s">
        <v>2500</v>
      </c>
      <c r="B107" s="10" t="s">
        <v>2501</v>
      </c>
      <c r="C107" s="10" t="s">
        <v>2502</v>
      </c>
      <c r="D107" s="10" t="s">
        <v>2503</v>
      </c>
      <c r="F107" s="4" t="str">
        <f>IFERROR(__xludf.DUMMYFUNCTION(" GOOGLETRANSLATE(A107, ""en"", ""id"")"),"Teknik manakah yang tidak umum dilakukan dalam Pencak Silat?")</f>
        <v>Teknik manakah yang tidak umum dilakukan dalam Pencak Silat?</v>
      </c>
      <c r="G107" s="4" t="str">
        <f>IFERROR(__xludf.DUMMYFUNCTION(" GOOGLETRANSLATE(B107, ""en"", ""id"")"),"A) Pukulan, B) Tendangan, C) Berguling, D) Serangan siku")</f>
        <v>A) Pukulan, B) Tendangan, C) Berguling, D) Serangan siku</v>
      </c>
      <c r="H107" s="4" t="str">
        <f>IFERROR(__xludf.DUMMYFUNCTION(" GOOGLETRANSLATE(C107, ""en"", ""id"")"),"C) Bergulir")</f>
        <v>C) Bergulir</v>
      </c>
      <c r="I107" s="4" t="str">
        <f>IFERROR(__xludf.DUMMYFUNCTION(" GOOGLETRANSLATE(D107, ""en"", ""id"")"),"Meski pukulan, tendangan, dan serangan siku merupakan teknik umum dalam Pencak Silat, berguling bukanlah teknik umum.")</f>
        <v>Meski pukulan, tendangan, dan serangan siku merupakan teknik umum dalam Pencak Silat, berguling bukanlah teknik umum.</v>
      </c>
    </row>
    <row r="108">
      <c r="A108" s="10" t="s">
        <v>2504</v>
      </c>
      <c r="B108" s="10" t="s">
        <v>2505</v>
      </c>
      <c r="C108" s="10" t="s">
        <v>2506</v>
      </c>
      <c r="D108" s="10" t="s">
        <v>2507</v>
      </c>
      <c r="F108" s="4" t="str">
        <f>IFERROR(__xludf.DUMMYFUNCTION(" GOOGLETRANSLATE(A108, ""en"", ""id"")"),"Bagaimana biasanya pemenang kompetisi Pencak Silat ditentukan?")</f>
        <v>Bagaimana biasanya pemenang kompetisi Pencak Silat ditentukan?</v>
      </c>
      <c r="G108" s="4" t="str">
        <f>IFERROR(__xludf.DUMMYFUNCTION(" GOOGLETRANSLATE(B108, ""en"", ""id"")"),"A) Berdasarkan tingkat keterampilan lawan, B) Berdasarkan jumlah serangan yang mendarat, C) Berdasarkan poin yang terkumpul, D) Berdasarkan submission")</f>
        <v>A) Berdasarkan tingkat keterampilan lawan, B) Berdasarkan jumlah serangan yang mendarat, C) Berdasarkan poin yang terkumpul, D) Berdasarkan submission</v>
      </c>
      <c r="H108" s="4" t="str">
        <f>IFERROR(__xludf.DUMMYFUNCTION(" GOOGLETRANSLATE(C108, ""en"", ""id"")"),"C) Berdasarkan akumulasi poin")</f>
        <v>C) Berdasarkan akumulasi poin</v>
      </c>
      <c r="I108" s="4" t="str">
        <f>IFERROR(__xludf.DUMMYFUNCTION(" GOOGLETRANSLATE(D108, ""en"", ""id"")"),"Pemenang dalam kompetisi Pencak Silat ditentukan oleh poin yang dikumpulkan untuk teknik yang berhasil.")</f>
        <v>Pemenang dalam kompetisi Pencak Silat ditentukan oleh poin yang dikumpulkan untuk teknik yang berhasil.</v>
      </c>
    </row>
    <row r="109">
      <c r="A109" s="10" t="s">
        <v>2508</v>
      </c>
      <c r="B109" s="10" t="s">
        <v>2509</v>
      </c>
      <c r="C109" s="10" t="s">
        <v>2510</v>
      </c>
      <c r="D109" s="12" t="s">
        <v>2511</v>
      </c>
      <c r="F109" s="4" t="str">
        <f>IFERROR(__xludf.DUMMYFUNCTION(" GOOGLETRANSLATE(A109, ""en"", ""id"")"),"Dalam Pencak Silat, apa yang dimaksud dengan 'Kombat'?")</f>
        <v>Dalam Pencak Silat, apa yang dimaksud dengan 'Kombat'?</v>
      </c>
      <c r="G109" s="4" t="str">
        <f>IFERROR(__xludf.DUMMYFUNCTION(" GOOGLETRANSLATE(B109, ""en"", ""id"")"),"A) Pertunjukan tunggal, B) Demonstrasi kelompok, C) Kompetisi beladiri, D) Tari tradisional")</f>
        <v>A) Pertunjukan tunggal, B) Demonstrasi kelompok, C) Kompetisi beladiri, D) Tari tradisional</v>
      </c>
      <c r="H109" s="4" t="str">
        <f>IFERROR(__xludf.DUMMYFUNCTION(" GOOGLETRANSLATE(C109, ""en"", ""id"")"),"C) Kompetisi tempur")</f>
        <v>C) Kompetisi tempur</v>
      </c>
      <c r="I109" s="4" t="str">
        <f>IFERROR(__xludf.DUMMYFUNCTION(" GOOGLETRANSLATE(D109, ""en"", ""id"")"),"'Kombat' merujuk pada kompetisi pertarungan di mana para praktisi bertarung melawan lawan.")</f>
        <v>'Kombat' merujuk pada kompetisi pertarungan di mana para praktisi bertarung melawan lawan.</v>
      </c>
    </row>
    <row r="110">
      <c r="A110" s="10" t="s">
        <v>2512</v>
      </c>
      <c r="B110" s="10" t="s">
        <v>2513</v>
      </c>
      <c r="C110" s="10" t="s">
        <v>2514</v>
      </c>
      <c r="D110" s="12" t="s">
        <v>2515</v>
      </c>
      <c r="F110" s="4" t="str">
        <f>IFERROR(__xludf.DUMMYFUNCTION(" GOOGLETRANSLATE(A110, ""en"", ""id"")"),"Apa Peran 'Pusaka' dalam Pencak Silat?")</f>
        <v>Apa Peran 'Pusaka' dalam Pencak Silat?</v>
      </c>
      <c r="G110" s="4" t="str">
        <f>IFERROR(__xludf.DUMMYFUNCTION(" GOOGLETRANSLATE(B110, ""en"", ""id"")"),"A) Pedang upacara, B) Jenis teknik pertahanan, C) Pertunjukan kelompok, D) Jenis tarian")</f>
        <v>A) Pedang upacara, B) Jenis teknik pertahanan, C) Pertunjukan kelompok, D) Jenis tarian</v>
      </c>
      <c r="H110" s="4" t="str">
        <f>IFERROR(__xludf.DUMMYFUNCTION(" GOOGLETRANSLATE(C110, ""en"", ""id"")"),"A) Pedang upacara")</f>
        <v>A) Pedang upacara</v>
      </c>
      <c r="I110" s="4" t="str">
        <f>IFERROR(__xludf.DUMMYFUNCTION(" GOOGLETRANSLATE(D110, ""en"", ""id"")"),"Pusaka' mengacu pada senjata upacara yang digunakan dalam beberapa praktik Pencak Silat tradisional.")</f>
        <v>Pusaka' mengacu pada senjata upacara yang digunakan dalam beberapa praktik Pencak Silat tradisional.</v>
      </c>
    </row>
    <row r="111">
      <c r="A111" s="10" t="s">
        <v>2516</v>
      </c>
      <c r="B111" s="10" t="s">
        <v>2517</v>
      </c>
      <c r="C111" s="10" t="s">
        <v>2518</v>
      </c>
      <c r="D111" s="12" t="s">
        <v>2519</v>
      </c>
      <c r="F111" s="4" t="str">
        <f>IFERROR(__xludf.DUMMYFUNCTION(" GOOGLETRANSLATE(A111, ""en"", ""id"")"),"Apa arti 'Sikap' dalam Pencak Silat?")</f>
        <v>Apa arti 'Sikap' dalam Pencak Silat?</v>
      </c>
      <c r="G111" s="4" t="str">
        <f>IFERROR(__xludf.DUMMYFUNCTION(" GOOGLETRANSLATE(B111, ""en"", ""id"")"),"A) Penggunaan senjata, B) Strategi serangan, C) Sikap atau posisi, D) Arena pertarungan")</f>
        <v>A) Penggunaan senjata, B) Strategi serangan, C) Sikap atau posisi, D) Arena pertarungan</v>
      </c>
      <c r="H111" s="4" t="str">
        <f>IFERROR(__xludf.DUMMYFUNCTION(" GOOGLETRANSLATE(C111, ""en"", ""id"")"),"C) Sikap atau posisi")</f>
        <v>C) Sikap atau posisi</v>
      </c>
      <c r="I111" s="4" t="str">
        <f>IFERROR(__xludf.DUMMYFUNCTION(" GOOGLETRANSLATE(D111, ""en"", ""id"")"),"Sikap' mengacu pada berbagai posisi atau sikap yang digunakan dalam Pencak Silat untuk menjaga keseimbangan dan kesiapan.")</f>
        <v>Sikap' mengacu pada berbagai posisi atau sikap yang digunakan dalam Pencak Silat untuk menjaga keseimbangan dan kesiapan.</v>
      </c>
    </row>
    <row r="112">
      <c r="A112" s="10" t="s">
        <v>2520</v>
      </c>
      <c r="B112" s="10" t="s">
        <v>2521</v>
      </c>
      <c r="C112" s="10" t="s">
        <v>2522</v>
      </c>
      <c r="D112" s="12" t="s">
        <v>2523</v>
      </c>
      <c r="F112" s="4" t="str">
        <f>IFERROR(__xludf.DUMMYFUNCTION(" GOOGLETRANSLATE(A112, ""en"", ""id"")"),"Apa yang dimaksud dengan 'Pencak' dalam Pencak Silat?")</f>
        <v>Apa yang dimaksud dengan 'Pencak' dalam Pencak Silat?</v>
      </c>
      <c r="G112" s="4" t="str">
        <f>IFERROR(__xludf.DUMMYFUNCTION(" GOOGLETRANSLATE(B112, ""en"", ""id"")"),"A) Seni bertarung, B) Tari budaya, C) Meditasi spiritual, D) Keterampilan senjata")</f>
        <v>A) Seni bertarung, B) Tari budaya, C) Meditasi spiritual, D) Keterampilan senjata</v>
      </c>
      <c r="H112" s="4" t="str">
        <f>IFERROR(__xludf.DUMMYFUNCTION(" GOOGLETRANSLATE(C112, ""en"", ""id"")"),"A) Seni bertarung")</f>
        <v>A) Seni bertarung</v>
      </c>
      <c r="I112" s="4" t="str">
        <f>IFERROR(__xludf.DUMMYFUNCTION(" GOOGLETRANSLATE(D112, ""en"", ""id"")"),"'Pencak' mengacu pada seni pertarungan, dengan fokus pada aspek bela diri Pencak Silat.")</f>
        <v>'Pencak' mengacu pada seni pertarungan, dengan fokus pada aspek bela diri Pencak Silat.</v>
      </c>
    </row>
    <row r="113">
      <c r="A113" s="10" t="s">
        <v>2524</v>
      </c>
      <c r="B113" s="10" t="s">
        <v>2525</v>
      </c>
      <c r="C113" s="10" t="s">
        <v>2526</v>
      </c>
      <c r="D113" s="10" t="s">
        <v>2527</v>
      </c>
      <c r="F113" s="4" t="str">
        <f>IFERROR(__xludf.DUMMYFUNCTION(" GOOGLETRANSLATE(A113, ""en"", ""id"")"),"Manakah dari berikut ini yang merupakan filosofi utama di balik Pencak Silat?")</f>
        <v>Manakah dari berikut ini yang merupakan filosofi utama di balik Pencak Silat?</v>
      </c>
      <c r="G113" s="4" t="str">
        <f>IFERROR(__xludf.DUMMYFUNCTION(" GOOGLETRANSLATE(B113, ""en"", ""id"")"),"A) Dominasi, B) Harmoni, C) Balas dendam, D) Siluman")</f>
        <v>A) Dominasi, B) Harmoni, C) Balas dendam, D) Siluman</v>
      </c>
      <c r="H113" s="4" t="str">
        <f>IFERROR(__xludf.DUMMYFUNCTION(" GOOGLETRANSLATE(C113, ""en"", ""id"")"),"B) Harmoni")</f>
        <v>B) Harmoni</v>
      </c>
      <c r="I113" s="4" t="str">
        <f>IFERROR(__xludf.DUMMYFUNCTION(" GOOGLETRANSLATE(D113, ""en"", ""id"")"),"Pencak Silat menekankan keselarasan antara tubuh, pikiran, dan jiwa dalam praktiknya.")</f>
        <v>Pencak Silat menekankan keselarasan antara tubuh, pikiran, dan jiwa dalam praktiknya.</v>
      </c>
    </row>
    <row r="114">
      <c r="A114" s="10" t="s">
        <v>2528</v>
      </c>
      <c r="B114" s="10" t="s">
        <v>2529</v>
      </c>
      <c r="C114" s="10" t="s">
        <v>2530</v>
      </c>
      <c r="D114" s="10" t="s">
        <v>2531</v>
      </c>
      <c r="F114" s="4" t="str">
        <f>IFERROR(__xludf.DUMMYFUNCTION(" GOOGLETRANSLATE(A114, ""en"", ""id"")"),"Bagaimana cara menentukan pemenang pada pertandingan Pencak Silat Tunggal?")</f>
        <v>Bagaimana cara menentukan pemenang pada pertandingan Pencak Silat Tunggal?</v>
      </c>
      <c r="G114" s="4" t="str">
        <f>IFERROR(__xludf.DUMMYFUNCTION(" GOOGLETRANSLATE(B114, ""en"", ""id"")"),"A) Dengan penyerahan diri, B) Dengan pelaksanaan teknik yang sempurna, C) Dengan jumlah serangan, D) Dengan poin yang diberikan untuk seni dan teknik")</f>
        <v>A) Dengan penyerahan diri, B) Dengan pelaksanaan teknik yang sempurna, C) Dengan jumlah serangan, D) Dengan poin yang diberikan untuk seni dan teknik</v>
      </c>
      <c r="H114" s="4" t="str">
        <f>IFERROR(__xludf.DUMMYFUNCTION(" GOOGLETRANSLATE(C114, ""en"", ""id"")"),"D) Berdasarkan poin yang diberikan untuk seni dan teknik")</f>
        <v>D) Berdasarkan poin yang diberikan untuk seni dan teknik</v>
      </c>
      <c r="I114" s="4" t="str">
        <f>IFERROR(__xludf.DUMMYFUNCTION(" GOOGLETRANSLATE(D114, ""en"", ""id"")"),"Dalam kompetisi Solo, poin diberikan berdasarkan pelaksanaan teknik dan seni.")</f>
        <v>Dalam kompetisi Solo, poin diberikan berdasarkan pelaksanaan teknik dan seni.</v>
      </c>
    </row>
    <row r="115">
      <c r="A115" s="10" t="s">
        <v>2532</v>
      </c>
      <c r="B115" s="10" t="s">
        <v>469</v>
      </c>
      <c r="C115" s="10" t="s">
        <v>2157</v>
      </c>
      <c r="D115" s="10" t="s">
        <v>2533</v>
      </c>
      <c r="F115" s="4" t="str">
        <f>IFERROR(__xludf.DUMMYFUNCTION(" GOOGLETRANSLATE(A115, ""en"", ""id"")"),"Dalam Pencak Silat, ada berapa kategori dalam hal gaya kompetisi?")</f>
        <v>Dalam Pencak Silat, ada berapa kategori dalam hal gaya kompetisi?</v>
      </c>
      <c r="G115" s="4" t="str">
        <f>IFERROR(__xludf.DUMMYFUNCTION(" GOOGLETRANSLATE(B115, ""en"", ""id"")"),"A) 2, B) 3, C) 4, D) 5")</f>
        <v>A) 2, B) 3, C) 4, D) 5</v>
      </c>
      <c r="H115" s="4" t="str">
        <f>IFERROR(__xludf.DUMMYFUNCTION(" GOOGLETRANSLATE(C115, ""en"", ""id"")"),"C) 4")</f>
        <v>C) 4</v>
      </c>
      <c r="I115" s="4" t="str">
        <f>IFERROR(__xludf.DUMMYFUNCTION(" GOOGLETRANSLATE(D115, ""en"", ""id"")"),"Empat kategori utama dalam kompetisi Pencak Silat adalah Solo, Tandem, Tempur, dan Artistik.")</f>
        <v>Empat kategori utama dalam kompetisi Pencak Silat adalah Solo, Tandem, Tempur, dan Artistik.</v>
      </c>
    </row>
    <row r="116">
      <c r="A116" s="10" t="s">
        <v>2534</v>
      </c>
      <c r="B116" s="10" t="s">
        <v>2535</v>
      </c>
      <c r="C116" s="10" t="s">
        <v>2536</v>
      </c>
      <c r="D116" s="12" t="s">
        <v>2537</v>
      </c>
      <c r="F116" s="4" t="str">
        <f>IFERROR(__xludf.DUMMYFUNCTION(" GOOGLETRANSLATE(A116, ""en"", ""id"")"),"Apa Peran 'Penjurus' dalam Pencak Silat?")</f>
        <v>Apa Peran 'Penjurus' dalam Pencak Silat?</v>
      </c>
      <c r="G116" s="4" t="str">
        <f>IFERROR(__xludf.DUMMYFUNCTION(" GOOGLETRANSLATE(B116, ""en"", ""id"")"),"A) Seorang hakim, B) Suatu bentuk senjata, C) Seorang asisten pelatihan, D) Seorang wasit")</f>
        <v>A) Seorang hakim, B) Suatu bentuk senjata, C) Seorang asisten pelatihan, D) Seorang wasit</v>
      </c>
      <c r="H116" s="4" t="str">
        <f>IFERROR(__xludf.DUMMYFUNCTION(" GOOGLETRANSLATE(C116, ""en"", ""id"")"),"A) Seorang hakim")</f>
        <v>A) Seorang hakim</v>
      </c>
      <c r="I116" s="4" t="str">
        <f>IFERROR(__xludf.DUMMYFUNCTION(" GOOGLETRANSLATE(D116, ""en"", ""id"")"),"Yang dimaksud dengan Penjurus ialah juri yang menilai penampilan dan pertandingan Pencak Silat.")</f>
        <v>Yang dimaksud dengan Penjurus ialah juri yang menilai penampilan dan pertandingan Pencak Silat.</v>
      </c>
    </row>
    <row r="117">
      <c r="A117" s="10" t="s">
        <v>2538</v>
      </c>
      <c r="B117" s="10" t="s">
        <v>2539</v>
      </c>
      <c r="C117" s="10" t="s">
        <v>2540</v>
      </c>
      <c r="D117" s="12" t="s">
        <v>2541</v>
      </c>
      <c r="F117" s="4" t="str">
        <f>IFERROR(__xludf.DUMMYFUNCTION(" GOOGLETRANSLATE(A117, ""en"", ""id"")"),"Apa yang dimaksud dengan 'Langkah' dalam Pencak Silat?")</f>
        <v>Apa yang dimaksud dengan 'Langkah' dalam Pencak Silat?</v>
      </c>
      <c r="G117" s="4" t="str">
        <f>IFERROR(__xludf.DUMMYFUNCTION(" GOOGLETRANSLATE(B117, ""en"", ""id"")"),"A) Latihan senjata, B) Teknik pergerakan, C) Sikap bertahan, D) Jenis strategi pertempuran")</f>
        <v>A) Latihan senjata, B) Teknik pergerakan, C) Sikap bertahan, D) Jenis strategi pertempuran</v>
      </c>
      <c r="H117" s="4" t="str">
        <f>IFERROR(__xludf.DUMMYFUNCTION(" GOOGLETRANSLATE(C117, ""en"", ""id"")"),"B) Teknik gerakan")</f>
        <v>B) Teknik gerakan</v>
      </c>
      <c r="I117" s="4" t="str">
        <f>IFERROR(__xludf.DUMMYFUNCTION(" GOOGLETRANSLATE(D117, ""en"", ""id"")"),"Langkah' mengacu pada teknik gerak kaki dan teknik dasar dalam Pencak Silat.")</f>
        <v>Langkah' mengacu pada teknik gerak kaki dan teknik dasar dalam Pencak Silat.</v>
      </c>
    </row>
    <row r="118">
      <c r="A118" s="10" t="s">
        <v>2542</v>
      </c>
      <c r="B118" s="10" t="s">
        <v>2543</v>
      </c>
      <c r="C118" s="10" t="s">
        <v>2544</v>
      </c>
      <c r="D118" s="10" t="s">
        <v>2545</v>
      </c>
      <c r="F118" s="4" t="str">
        <f>IFERROR(__xludf.DUMMYFUNCTION(" GOOGLETRANSLATE(A118, ""en"", ""id"")"),"Teknik berikut manakah yang merupakan gerakan serangan umum dalam Pencak Silat?")</f>
        <v>Teknik berikut manakah yang merupakan gerakan serangan umum dalam Pencak Silat?</v>
      </c>
      <c r="G118" s="4" t="str">
        <f>IFERROR(__xludf.DUMMYFUNCTION(" GOOGLETRANSLATE(B118, ""en"", ""id"")"),"A) Backflip, B) Tendangan Roundhouse, C) Chokehold, D) Pukulan dengan siku")</f>
        <v>A) Backflip, B) Tendangan Roundhouse, C) Chokehold, D) Pukulan dengan siku</v>
      </c>
      <c r="H118" s="4" t="str">
        <f>IFERROR(__xludf.DUMMYFUNCTION(" GOOGLETRANSLATE(C118, ""en"", ""id"")"),"B) Tendangan Roundhouse")</f>
        <v>B) Tendangan Roundhouse</v>
      </c>
      <c r="I118" s="4" t="str">
        <f>IFERROR(__xludf.DUMMYFUNCTION(" GOOGLETRANSLATE(D118, ""en"", ""id"")"),"Tendangan berputar merupakan salah satu gerakan serangan yang umum digunakan dalam pertarungan Pencak Silat.")</f>
        <v>Tendangan berputar merupakan salah satu gerakan serangan yang umum digunakan dalam pertarungan Pencak Silat.</v>
      </c>
    </row>
    <row r="119">
      <c r="A119" s="10" t="s">
        <v>2546</v>
      </c>
      <c r="B119" s="10" t="s">
        <v>2547</v>
      </c>
      <c r="C119" s="10" t="s">
        <v>2548</v>
      </c>
      <c r="D119" s="10" t="s">
        <v>2549</v>
      </c>
      <c r="F119" s="4" t="str">
        <f>IFERROR(__xludf.DUMMYFUNCTION(" GOOGLETRANSLATE(A119, ""en"", ""id"")"),"Disiplin Pencak Silat yang mana yang mencakup pertahanan dan serangan?")</f>
        <v>Disiplin Pencak Silat yang mana yang mencakup pertahanan dan serangan?</v>
      </c>
      <c r="G119" s="4" t="str">
        <f>IFERROR(__xludf.DUMMYFUNCTION(" GOOGLETRANSLATE(B119, ""en"", ""id"")"),"A) Bela Diri, B) Tempur, C) Artistik, D) Senjata")</f>
        <v>A) Bela Diri, B) Tempur, C) Artistik, D) Senjata</v>
      </c>
      <c r="H119" s="4" t="str">
        <f>IFERROR(__xludf.DUMMYFUNCTION(" GOOGLETRANSLATE(C119, ""en"", ""id"")"),"B) Pertempuran")</f>
        <v>B) Pertempuran</v>
      </c>
      <c r="I119" s="4" t="str">
        <f>IFERROR(__xludf.DUMMYFUNCTION(" GOOGLETRANSLATE(D119, ""en"", ""id"")"),"Pertarungan mencakup teknik bertahan dan menyerang dalam Pencak Silat.")</f>
        <v>Pertarungan mencakup teknik bertahan dan menyerang dalam Pencak Silat.</v>
      </c>
    </row>
    <row r="120">
      <c r="A120" s="10" t="s">
        <v>2550</v>
      </c>
      <c r="B120" s="10" t="s">
        <v>2551</v>
      </c>
      <c r="C120" s="10" t="s">
        <v>2552</v>
      </c>
      <c r="D120" s="10" t="s">
        <v>2553</v>
      </c>
      <c r="F120" s="4" t="str">
        <f>IFERROR(__xludf.DUMMYFUNCTION(" GOOGLETRANSLATE(A120, ""en"", ""id"")"),"Apa pakaian adat yang dikenakan dalam pertandingan Pencak Silat?")</f>
        <v>Apa pakaian adat yang dikenakan dalam pertandingan Pencak Silat?</v>
      </c>
      <c r="G120" s="4" t="str">
        <f>IFERROR(__xludf.DUMMYFUNCTION(" GOOGLETRANSLATE(B120, ""en"", ""id"")"),"A) Kimono, B) Gi, C) Sarung dan Kaos, D) Seragam Silat Tradisional")</f>
        <v>A) Kimono, B) Gi, C) Sarung dan Kaos, D) Seragam Silat Tradisional</v>
      </c>
      <c r="H120" s="4" t="str">
        <f>IFERROR(__xludf.DUMMYFUNCTION(" GOOGLETRANSLATE(C120, ""en"", ""id"")"),"D) Seragam Silat Tradisional")</f>
        <v>D) Seragam Silat Tradisional</v>
      </c>
      <c r="I120" s="4" t="str">
        <f>IFERROR(__xludf.DUMMYFUNCTION(" GOOGLETRANSLATE(D120, ""en"", ""id"")"),"Praktisi Pencak Silat mengenakan seragam tradisional, yang sering kali terdiri dari jaket dan celana.")</f>
        <v>Praktisi Pencak Silat mengenakan seragam tradisional, yang sering kali terdiri dari jaket dan celana.</v>
      </c>
    </row>
    <row r="121">
      <c r="A121" s="10" t="s">
        <v>2554</v>
      </c>
      <c r="B121" s="10" t="s">
        <v>2555</v>
      </c>
      <c r="C121" s="10" t="s">
        <v>2556</v>
      </c>
      <c r="D121" s="12" t="s">
        <v>2557</v>
      </c>
      <c r="F121" s="4" t="str">
        <f>IFERROR(__xludf.DUMMYFUNCTION(" GOOGLETRANSLATE(A121, ""en"", ""id"")"),"Dalam Pencak Silat, bagian 'Silat' dari namanya merujuk pada apa?")</f>
        <v>Dalam Pencak Silat, bagian 'Silat' dari namanya merujuk pada apa?</v>
      </c>
      <c r="G121" s="4" t="str">
        <f>IFERROR(__xludf.DUMMYFUNCTION(" GOOGLETRANSLATE(B121, ""en"", ""id"")"),"A) Senjata khusus, B) Jenis tari, C) Seni gerak, D) Sejarah")</f>
        <v>A) Senjata khusus, B) Jenis tari, C) Seni gerak, D) Sejarah</v>
      </c>
      <c r="H121" s="4" t="str">
        <f>IFERROR(__xludf.DUMMYFUNCTION(" GOOGLETRANSLATE(C121, ""en"", ""id"")"),"C) Seni gerak")</f>
        <v>C) Seni gerak</v>
      </c>
      <c r="I121" s="4" t="str">
        <f>IFERROR(__xludf.DUMMYFUNCTION(" GOOGLETRANSLATE(D121, ""en"", ""id"")"),"'Silat' mengacu pada gerakan dan teknik yang digunakan dalam seni bela diri Indonesia ini.")</f>
        <v>'Silat' mengacu pada gerakan dan teknik yang digunakan dalam seni bela diri Indonesia ini.</v>
      </c>
    </row>
    <row r="122">
      <c r="A122" s="10" t="s">
        <v>2558</v>
      </c>
      <c r="B122" s="10" t="s">
        <v>2559</v>
      </c>
      <c r="C122" s="10" t="s">
        <v>2560</v>
      </c>
      <c r="D122" s="12" t="s">
        <v>2561</v>
      </c>
      <c r="F122" s="4" t="str">
        <f>IFERROR(__xludf.DUMMYFUNCTION(" GOOGLETRANSLATE(A122, ""en"", ""id"")"),"Dalam Pencak Silat, 'Pamungkas' digunakan untuk apa?")</f>
        <v>Dalam Pencak Silat, 'Pamungkas' digunakan untuk apa?</v>
      </c>
      <c r="G122" s="4" t="str">
        <f>IFERROR(__xludf.DUMMYFUNCTION(" GOOGLETRANSLATE(B122, ""en"", ""id"")"),"A) Pukulan akhir, B) Tangkisan bertahan, C) Salam seremonial, D) Sikap bertahan")</f>
        <v>A) Pukulan akhir, B) Tangkisan bertahan, C) Salam seremonial, D) Sikap bertahan</v>
      </c>
      <c r="H122" s="4" t="str">
        <f>IFERROR(__xludf.DUMMYFUNCTION(" GOOGLETRANSLATE(C122, ""en"", ""id"")"),"A) Pukulan akhir")</f>
        <v>A) Pukulan akhir</v>
      </c>
      <c r="I122" s="4" t="str">
        <f>IFERROR(__xludf.DUMMYFUNCTION(" GOOGLETRANSLATE(D122, ""en"", ""id"")"),"Pamungkas merujuk pada gerakan atau teknik akhir yang mengakhiri pertarungan.")</f>
        <v>Pamungkas merujuk pada gerakan atau teknik akhir yang mengakhiri pertarungan.</v>
      </c>
    </row>
    <row r="123">
      <c r="A123" s="10" t="s">
        <v>2562</v>
      </c>
      <c r="B123" s="10" t="s">
        <v>2563</v>
      </c>
      <c r="C123" s="10" t="s">
        <v>2564</v>
      </c>
      <c r="D123" s="12" t="s">
        <v>2565</v>
      </c>
      <c r="F123" s="4" t="str">
        <f>IFERROR(__xludf.DUMMYFUNCTION(" GOOGLETRANSLATE(A123, ""en"", ""id"")"),"Dalam Pencak Silat, apa tujuan utama 'Geger'?")</f>
        <v>Dalam Pencak Silat, apa tujuan utama 'Geger'?</v>
      </c>
      <c r="G123" s="4" t="str">
        <f>IFERROR(__xludf.DUMMYFUNCTION(" GOOGLETRANSLATE(B123, ""en"", ""id"")"),"A) Strategi serangan, B) Mekanisme pertahanan, C) Pengondisian tubuh, D) Latihan pernapasan")</f>
        <v>A) Strategi serangan, B) Mekanisme pertahanan, C) Pengondisian tubuh, D) Latihan pernapasan</v>
      </c>
      <c r="H123" s="4" t="str">
        <f>IFERROR(__xludf.DUMMYFUNCTION(" GOOGLETRANSLATE(C123, ""en"", ""id"")"),"B) Mekanisme pertahanan diri")</f>
        <v>B) Mekanisme pertahanan diri</v>
      </c>
      <c r="I123" s="4" t="str">
        <f>IFERROR(__xludf.DUMMYFUNCTION(" GOOGLETRANSLATE(D123, ""en"", ""id"")"),"'Geger' adalah teknik bertahan yang digunakan untuk memblokir atau menangkis serangan lawan.")</f>
        <v>'Geger' adalah teknik bertahan yang digunakan untuk memblokir atau menangkis serangan lawan.</v>
      </c>
    </row>
    <row r="124">
      <c r="A124" s="10" t="s">
        <v>2566</v>
      </c>
      <c r="B124" s="10" t="s">
        <v>2567</v>
      </c>
      <c r="C124" s="10" t="s">
        <v>2568</v>
      </c>
      <c r="D124" s="10" t="s">
        <v>2569</v>
      </c>
      <c r="F124" s="4" t="str">
        <f>IFERROR(__xludf.DUMMYFUNCTION(" GOOGLETRANSLATE(A124, ""en"", ""id"")"),"Manakah dari berikut ini yang bukan merupakan senjata Pencak Silat yang diakui?")</f>
        <v>Manakah dari berikut ini yang bukan merupakan senjata Pencak Silat yang diakui?</v>
      </c>
      <c r="G124" s="4" t="str">
        <f>IFERROR(__xludf.DUMMYFUNCTION(" GOOGLETRANSLATE(B124, ""en"", ""id"")"),"A) Keris, B) Tongkat Rotan, C) Parang, D) Tongkat Bo")</f>
        <v>A) Keris, B) Tongkat Rotan, C) Parang, D) Tongkat Bo</v>
      </c>
      <c r="H124" s="4" t="str">
        <f>IFERROR(__xludf.DUMMYFUNCTION(" GOOGLETRANSLATE(C124, ""en"", ""id"")"),"D) Staf Bo")</f>
        <v>D) Staf Bo</v>
      </c>
      <c r="I124" s="4" t="str">
        <f>IFERROR(__xludf.DUMMYFUNCTION(" GOOGLETRANSLATE(D124, ""en"", ""id"")"),"Tongkat Bo tidak digunakan secara tradisional dalam Pencak Silat, meskipun digunakan dalam seni bela diri lainnya.")</f>
        <v>Tongkat Bo tidak digunakan secara tradisional dalam Pencak Silat, meskipun digunakan dalam seni bela diri lainnya.</v>
      </c>
    </row>
    <row r="125">
      <c r="A125" s="10" t="s">
        <v>2570</v>
      </c>
      <c r="B125" s="10" t="s">
        <v>2571</v>
      </c>
      <c r="C125" s="10" t="s">
        <v>2572</v>
      </c>
      <c r="D125" s="12" t="s">
        <v>2573</v>
      </c>
      <c r="F125" s="4" t="str">
        <f>IFERROR(__xludf.DUMMYFUNCTION(" GOOGLETRANSLATE(A125, ""en"", ""id"")"),"Dalam Pencak Silat, apa arti 'Tari'?")</f>
        <v>Dalam Pencak Silat, apa arti 'Tari'?</v>
      </c>
      <c r="G125" s="4" t="str">
        <f>IFERROR(__xludf.DUMMYFUNCTION(" GOOGLETRANSLATE(B125, ""en"", ""id"")"),"A) Bentuk senjata, B) Kompetisi tim, C) Bentuk ritmis, D) Sikap bertahan")</f>
        <v>A) Bentuk senjata, B) Kompetisi tim, C) Bentuk ritmis, D) Sikap bertahan</v>
      </c>
      <c r="H125" s="4" t="str">
        <f>IFERROR(__xludf.DUMMYFUNCTION(" GOOGLETRANSLATE(C125, ""en"", ""id"")"),"C) Bentuk ritmis")</f>
        <v>C) Bentuk ritmis</v>
      </c>
      <c r="I125" s="4" t="str">
        <f>IFERROR(__xludf.DUMMYFUNCTION(" GOOGLETRANSLATE(D125, ""en"", ""id"")"),"Tari' merujuk pada gerakan berirama dan luwes dari bentuk-bentuk yang dilakukan dalam Pencak Silat.")</f>
        <v>Tari' merujuk pada gerakan berirama dan luwes dari bentuk-bentuk yang dilakukan dalam Pencak Silat.</v>
      </c>
    </row>
    <row r="126">
      <c r="A126" s="10" t="s">
        <v>2574</v>
      </c>
      <c r="B126" s="10" t="s">
        <v>2575</v>
      </c>
      <c r="C126" s="10" t="s">
        <v>2576</v>
      </c>
      <c r="D126" s="10" t="s">
        <v>2577</v>
      </c>
      <c r="F126" s="4" t="str">
        <f>IFERROR(__xludf.DUMMYFUNCTION(" GOOGLETRANSLATE(A126, ""en"", ""id"")"),"Apa tingkatan tertinggi dalam latihan Pencak Silat tradisional?")</f>
        <v>Apa tingkatan tertinggi dalam latihan Pencak Silat tradisional?</v>
      </c>
      <c r="G126" s="4" t="str">
        <f>IFERROR(__xludf.DUMMYFUNCTION(" GOOGLETRANSLATE(B126, ""en"", ""id"")"),"A) Sabuk Hitam, B) Grandmaster, C) Guru, D) Sifu")</f>
        <v>A) Sabuk Hitam, B) Grandmaster, C) Guru, D) Sifu</v>
      </c>
      <c r="H126" s="4" t="str">
        <f>IFERROR(__xludf.DUMMYFUNCTION(" GOOGLETRANSLATE(C126, ""en"", ""id"")"),"C) Guru")</f>
        <v>C) Guru</v>
      </c>
      <c r="I126" s="4" t="str">
        <f>IFERROR(__xludf.DUMMYFUNCTION(" GOOGLETRANSLATE(D126, ""en"", ""id"")"),"Dalam Pencak Silat, seorang 'Guru' adalah seorang master atau guru yang telah mencapai peringkat tertinggi.")</f>
        <v>Dalam Pencak Silat, seorang 'Guru' adalah seorang master atau guru yang telah mencapai peringkat tertinggi.</v>
      </c>
    </row>
    <row r="127">
      <c r="A127" s="10" t="s">
        <v>2578</v>
      </c>
      <c r="B127" s="10" t="s">
        <v>2579</v>
      </c>
      <c r="C127" s="10" t="s">
        <v>2580</v>
      </c>
      <c r="D127" s="12" t="s">
        <v>2581</v>
      </c>
      <c r="F127" s="4" t="str">
        <f>IFERROR(__xludf.DUMMYFUNCTION(" GOOGLETRANSLATE(A127, ""en"", ""id"")"),"Apa itu 'Sido' dalam Pencak Silat?")</f>
        <v>Apa itu 'Sido' dalam Pencak Silat?</v>
      </c>
      <c r="G127" s="4" t="str">
        <f>IFERROR(__xludf.DUMMYFUNCTION(" GOOGLETRANSLATE(B127, ""en"", ""id"")"),"A) Metode latihan senjata, B) Urutan gerakan, C) Bentuk seni bela diri, D) Filsafat spiritual")</f>
        <v>A) Metode latihan senjata, B) Urutan gerakan, C) Bentuk seni bela diri, D) Filsafat spiritual</v>
      </c>
      <c r="H127" s="4" t="str">
        <f>IFERROR(__xludf.DUMMYFUNCTION(" GOOGLETRANSLATE(C127, ""en"", ""id"")"),"B) Urutan gerakan")</f>
        <v>B) Urutan gerakan</v>
      </c>
      <c r="I127" s="4" t="str">
        <f>IFERROR(__xludf.DUMMYFUNCTION(" GOOGLETRANSLATE(D127, ""en"", ""id"")"),"Sido' mengacu pada serangkaian gerakan atau teknik yang sering dilakukan sebagai suatu bentuk.")</f>
        <v>Sido' mengacu pada serangkaian gerakan atau teknik yang sering dilakukan sebagai suatu bentuk.</v>
      </c>
    </row>
    <row r="128">
      <c r="A128" s="10" t="s">
        <v>2582</v>
      </c>
      <c r="B128" s="10" t="s">
        <v>2583</v>
      </c>
      <c r="C128" s="10" t="s">
        <v>2584</v>
      </c>
      <c r="D128" s="10" t="s">
        <v>2585</v>
      </c>
      <c r="F128" s="4" t="str">
        <f>IFERROR(__xludf.DUMMYFUNCTION(" GOOGLETRANSLATE(A128, ""en"", ""id"")"),"Bagian tubuh manakah yang biasanya menjadi target utama dalam pertarungan Pencak Silat?")</f>
        <v>Bagian tubuh manakah yang biasanya menjadi target utama dalam pertarungan Pencak Silat?</v>
      </c>
      <c r="G128" s="4" t="str">
        <f>IFERROR(__xludf.DUMMYFUNCTION(" GOOGLETRANSLATE(B128, ""en"", ""id"")"),"A) Kaki, B) Kepala, C) Badan, D) Lengan")</f>
        <v>A) Kaki, B) Kepala, C) Badan, D) Lengan</v>
      </c>
      <c r="H128" s="4" t="str">
        <f>IFERROR(__xludf.DUMMYFUNCTION(" GOOGLETRANSLATE(C128, ""en"", ""id"")"),"B) Kepala")</f>
        <v>B) Kepala</v>
      </c>
      <c r="I128" s="4" t="str">
        <f>IFERROR(__xludf.DUMMYFUNCTION(" GOOGLETRANSLATE(D128, ""en"", ""id"")"),"Dalam Pencak Silat, kepala menjadi target utama serangan karena kerentanannya.")</f>
        <v>Dalam Pencak Silat, kepala menjadi target utama serangan karena kerentanannya.</v>
      </c>
    </row>
    <row r="129">
      <c r="A129" s="10" t="s">
        <v>2586</v>
      </c>
      <c r="B129" s="10" t="s">
        <v>2587</v>
      </c>
      <c r="C129" s="10" t="s">
        <v>2588</v>
      </c>
      <c r="D129" s="10" t="s">
        <v>2589</v>
      </c>
      <c r="F129" s="4" t="str">
        <f>IFERROR(__xludf.DUMMYFUNCTION(" GOOGLETRANSLATE(A129, ""en"", ""id"")"),"Apa yang membedakan Pencak Silat dengan seni bela diri lain dalam hal sikap?")</f>
        <v>Apa yang membedakan Pencak Silat dengan seni bela diri lain dalam hal sikap?</v>
      </c>
      <c r="G129" s="4" t="str">
        <f>IFERROR(__xludf.DUMMYFUNCTION(" GOOGLETRANSLATE(B129, ""en"", ""id"")"),"A) Hanya menggunakan satu posisi berdiri, B) Beberapa posisi berdiri untuk fleksibilitas, C) Berfokus pada posisi berdiri, D) Berfokus hanya pada posisi duduk")</f>
        <v>A) Hanya menggunakan satu posisi berdiri, B) Beberapa posisi berdiri untuk fleksibilitas, C) Berfokus pada posisi berdiri, D) Berfokus hanya pada posisi duduk</v>
      </c>
      <c r="H129" s="4" t="str">
        <f>IFERROR(__xludf.DUMMYFUNCTION(" GOOGLETRANSLATE(C129, ""en"", ""id"")"),"B) Beberapa posisi untuk fleksibilitas")</f>
        <v>B) Beberapa posisi untuk fleksibilitas</v>
      </c>
      <c r="I129" s="4" t="str">
        <f>IFERROR(__xludf.DUMMYFUNCTION(" GOOGLETRANSLATE(D129, ""en"", ""id"")"),"Pencak Silat menggunakan beberapa posisi untuk memberikan fleksibilitas dalam menyerang dan bertahan.")</f>
        <v>Pencak Silat menggunakan beberapa posisi untuk memberikan fleksibilitas dalam menyerang dan bertahan.</v>
      </c>
    </row>
    <row r="130">
      <c r="A130" s="10" t="s">
        <v>2590</v>
      </c>
      <c r="B130" s="10" t="s">
        <v>2591</v>
      </c>
      <c r="C130" s="10" t="s">
        <v>2592</v>
      </c>
      <c r="D130" s="12" t="s">
        <v>2593</v>
      </c>
      <c r="F130" s="4" t="str">
        <f>IFERROR(__xludf.DUMMYFUNCTION(" GOOGLETRANSLATE(A130, ""en"", ""id"")"),"Apa Arti 'Sumpah' dalam Pencak Silat?")</f>
        <v>Apa Arti 'Sumpah' dalam Pencak Silat?</v>
      </c>
      <c r="G130" s="4" t="str">
        <f>IFERROR(__xludf.DUMMYFUNCTION(" GOOGLETRANSLATE(B130, ""en"", ""id"")"),"A) Sumpah atau janji, B) Teknik senjata, C) Sikap bertarung, D) Ritual spiritual")</f>
        <v>A) Sumpah atau janji, B) Teknik senjata, C) Sikap bertarung, D) Ritual spiritual</v>
      </c>
      <c r="H130" s="4" t="str">
        <f>IFERROR(__xludf.DUMMYFUNCTION(" GOOGLETRANSLATE(C130, ""en"", ""id"")"),"A) Sumpah atau janji")</f>
        <v>A) Sumpah atau janji</v>
      </c>
      <c r="I130" s="4" t="str">
        <f>IFERROR(__xludf.DUMMYFUNCTION(" GOOGLETRANSLATE(D130, ""en"", ""id"")"),"Sumpah' adalah sumpah atau janji yang diambil oleh para praktisi untuk berkomitmen pada prinsip-prinsip seni bela diri.")</f>
        <v>Sumpah' adalah sumpah atau janji yang diambil oleh para praktisi untuk berkomitmen pada prinsip-prinsip seni bela diri.</v>
      </c>
    </row>
    <row r="131">
      <c r="A131" s="10" t="s">
        <v>2594</v>
      </c>
      <c r="B131" s="10" t="s">
        <v>2595</v>
      </c>
      <c r="C131" s="10" t="s">
        <v>2596</v>
      </c>
      <c r="D131" s="10" t="s">
        <v>2597</v>
      </c>
      <c r="F131" s="4" t="str">
        <f>IFERROR(__xludf.DUMMYFUNCTION(" GOOGLETRANSLATE(A131, ""en"", ""id"")"),"Manakah dari berikut ini yang bukan merupakan acara resmi dalam kompetisi Pencak Silat?")</f>
        <v>Manakah dari berikut ini yang bukan merupakan acara resmi dalam kompetisi Pencak Silat?</v>
      </c>
      <c r="G131" s="4" t="str">
        <f>IFERROR(__xludf.DUMMYFUNCTION(" GOOGLETRANSLATE(B131, ""en"", ""id"")"),"A) Penampilan solo, B) Penampilan tandem, C) Pertarungan, D) Koreografi kelompok")</f>
        <v>A) Penampilan solo, B) Penampilan tandem, C) Pertarungan, D) Koreografi kelompok</v>
      </c>
      <c r="H131" s="4" t="str">
        <f>IFERROR(__xludf.DUMMYFUNCTION(" GOOGLETRANSLATE(C131, ""en"", ""id"")"),"D) Koreografi kelompok")</f>
        <v>D) Koreografi kelompok</v>
      </c>
      <c r="I131" s="4" t="str">
        <f>IFERROR(__xludf.DUMMYFUNCTION(" GOOGLETRANSLATE(D131, ""en"", ""id"")"),"Koreografi kelompok bukanlah acara resmi dalam kompetisi Pencak Silat; pertunjukan solo dan tandem adalah acara resmi.")</f>
        <v>Koreografi kelompok bukanlah acara resmi dalam kompetisi Pencak Silat; pertunjukan solo dan tandem adalah acara resmi.</v>
      </c>
    </row>
    <row r="132">
      <c r="A132" s="10" t="s">
        <v>2598</v>
      </c>
      <c r="B132" s="10" t="s">
        <v>2599</v>
      </c>
      <c r="C132" s="10" t="s">
        <v>2600</v>
      </c>
      <c r="D132" s="10" t="s">
        <v>2601</v>
      </c>
      <c r="F132" s="4" t="str">
        <f>IFERROR(__xludf.DUMMYFUNCTION(" GOOGLETRANSLATE(A132, ""en"", ""id"")"),"Dalam aliran Silat 'Pencak', apa fokus utamanya?")</f>
        <v>Dalam aliran Silat 'Pencak', apa fokus utamanya?</v>
      </c>
      <c r="G132" s="4" t="str">
        <f>IFERROR(__xludf.DUMMYFUNCTION(" GOOGLETRANSLATE(B132, ""en"", ""id"")"),"A) Teknik serangan, B) Bertahan melawan banyak lawan, C) Penanganan senjata, D) Bentuk dan gerakan")</f>
        <v>A) Teknik serangan, B) Bertahan melawan banyak lawan, C) Penanganan senjata, D) Bentuk dan gerakan</v>
      </c>
      <c r="H132" s="4" t="str">
        <f>IFERROR(__xludf.DUMMYFUNCTION(" GOOGLETRANSLATE(C132, ""en"", ""id"")"),"D) Bentuk dan gerakan")</f>
        <v>D) Bentuk dan gerakan</v>
      </c>
      <c r="I132" s="4" t="str">
        <f>IFERROR(__xludf.DUMMYFUNCTION(" GOOGLETRANSLATE(D132, ""en"", ""id"")"),"Aliran 'Pencak' menekankan bentuk dan gerakan artistik, menampilkan keindahan seni bela diri.")</f>
        <v>Aliran 'Pencak' menekankan bentuk dan gerakan artistik, menampilkan keindahan seni bela diri.</v>
      </c>
    </row>
    <row r="133">
      <c r="A133" s="10" t="s">
        <v>2602</v>
      </c>
      <c r="B133" s="10" t="s">
        <v>2603</v>
      </c>
      <c r="C133" s="10" t="s">
        <v>2487</v>
      </c>
      <c r="D133" s="12" t="s">
        <v>2604</v>
      </c>
      <c r="F133" s="4" t="str">
        <f>IFERROR(__xludf.DUMMYFUNCTION(" GOOGLETRANSLATE(A133, ""en"", ""id"")"),"Dalam Pencak Silat, apa sebutan untuk serangkaian serangan atau gerakan?")</f>
        <v>Dalam Pencak Silat, apa sebutan untuk serangkaian serangan atau gerakan?</v>
      </c>
      <c r="G133" s="4" t="str">
        <f>IFERROR(__xludf.DUMMYFUNCTION(" GOOGLETRANSLATE(B133, ""en"", ""id"")"),"A) Kuda-Kuda, B) Jurus, C) Langkah, D) Gerakan")</f>
        <v>A) Kuda-Kuda, B) Jurus, C) Langkah, D) Gerakan</v>
      </c>
      <c r="H133" s="4" t="str">
        <f>IFERROR(__xludf.DUMMYFUNCTION(" GOOGLETRANSLATE(C133, ""en"", ""id"")"),"B) Jurus")</f>
        <v>B) Jurus</v>
      </c>
      <c r="I133" s="4" t="str">
        <f>IFERROR(__xludf.DUMMYFUNCTION(" GOOGLETRANSLATE(D133, ""en"", ""id"")"),"Jurus' mengacu pada serangkaian gerakan atau serangan yang dilakukan secara berurutan dalam Pencak Silat.")</f>
        <v>Jurus' mengacu pada serangkaian gerakan atau serangan yang dilakukan secara berurutan dalam Pencak Silat.</v>
      </c>
    </row>
    <row r="134">
      <c r="A134" s="10" t="s">
        <v>2605</v>
      </c>
      <c r="B134" s="10" t="s">
        <v>2606</v>
      </c>
      <c r="C134" s="10" t="s">
        <v>2607</v>
      </c>
      <c r="D134" s="12" t="s">
        <v>2608</v>
      </c>
      <c r="F134" s="4" t="str">
        <f>IFERROR(__xludf.DUMMYFUNCTION(" GOOGLETRANSLATE(A134, ""en"", ""id"")"),"Sikap Pencak Silat yang mana yang dirancang untuk memberikan pertahanan terbaik terhadap serangan yang datang?")</f>
        <v>Sikap Pencak Silat yang mana yang dirancang untuk memberikan pertahanan terbaik terhadap serangan yang datang?</v>
      </c>
      <c r="G134" s="4" t="str">
        <f>IFERROR(__xludf.DUMMYFUNCTION(" GOOGLETRANSLATE(B134, ""en"", ""id"")"),"A) Kuda-Kuda, B) Sikap, C) Langkah, D) Juru")</f>
        <v>A) Kuda-Kuda, B) Sikap, C) Langkah, D) Juru</v>
      </c>
      <c r="H134" s="4" t="str">
        <f>IFERROR(__xludf.DUMMYFUNCTION(" GOOGLETRANSLATE(C134, ""en"", ""id"")"),"A) Kuda-Kuda")</f>
        <v>A) Kuda-Kuda</v>
      </c>
      <c r="I134" s="4" t="str">
        <f>IFERROR(__xludf.DUMMYFUNCTION(" GOOGLETRANSLATE(D134, ""en"", ""id"")"),"Kuda-Kuda' adalah posisi yang dirancang untuk stabilitas dan untuk memblokir atau menyerap serangan secara efektif.")</f>
        <v>Kuda-Kuda' adalah posisi yang dirancang untuk stabilitas dan untuk memblokir atau menyerap serangan secara efektif.</v>
      </c>
    </row>
    <row r="135">
      <c r="A135" s="10" t="s">
        <v>2609</v>
      </c>
      <c r="B135" s="10" t="s">
        <v>2610</v>
      </c>
      <c r="C135" s="10" t="s">
        <v>2611</v>
      </c>
      <c r="D135" s="10" t="s">
        <v>2612</v>
      </c>
      <c r="F135" s="4" t="str">
        <f>IFERROR(__xludf.DUMMYFUNCTION(" GOOGLETRANSLATE(A135, ""en"", ""id"")"),"Apa istilah untuk tendangan menyapu dalam Pencak Silat?")</f>
        <v>Apa istilah untuk tendangan menyapu dalam Pencak Silat?</v>
      </c>
      <c r="G135" s="4" t="str">
        <f>IFERROR(__xludf.DUMMYFUNCTION(" GOOGLETRANSLATE(B135, ""en"", ""id"")"),"A) Gunting, B) Sapu, C) Pukul, D) Tendang")</f>
        <v>A) Gunting, B) Sapu, C) Pukul, D) Tendang</v>
      </c>
      <c r="H135" s="4" t="str">
        <f>IFERROR(__xludf.DUMMYFUNCTION(" GOOGLETRANSLATE(C135, ""en"", ""id"")"),"B) Sapu")</f>
        <v>B) Sapu</v>
      </c>
      <c r="I135" s="4" t="str">
        <f>IFERROR(__xludf.DUMMYFUNCTION(" GOOGLETRANSLATE(D135, ""en"", ""id"")"),"'Sapu' adalah tendangan menyapu yang dimaksudkan untuk membuat lawan kehilangan keseimbangan.")</f>
        <v>'Sapu' adalah tendangan menyapu yang dimaksudkan untuk membuat lawan kehilangan keseimbangan.</v>
      </c>
    </row>
    <row r="136">
      <c r="A136" s="10" t="s">
        <v>2613</v>
      </c>
      <c r="B136" s="10" t="s">
        <v>2614</v>
      </c>
      <c r="C136" s="10" t="s">
        <v>2615</v>
      </c>
      <c r="D136" s="10" t="s">
        <v>2616</v>
      </c>
      <c r="F136" s="4" t="str">
        <f>IFERROR(__xludf.DUMMYFUNCTION(" GOOGLETRANSLATE(A136, ""en"", ""id"")"),"Teknik apa dalam Pencak Silat yang melibatkan penggunaan siku untuk menyerang lawan?")</f>
        <v>Teknik apa dalam Pencak Silat yang melibatkan penggunaan siku untuk menyerang lawan?</v>
      </c>
      <c r="G136" s="4" t="str">
        <f>IFERROR(__xludf.DUMMYFUNCTION(" GOOGLETRANSLATE(B136, ""en"", ""id"")"),"A) Pukulan siku, B) Pukulan siku, C) Kuncian siku, D) Sapuan siku")</f>
        <v>A) Pukulan siku, B) Pukulan siku, C) Kuncian siku, D) Sapuan siku</v>
      </c>
      <c r="H136" s="4" t="str">
        <f>IFERROR(__xludf.DUMMYFUNCTION(" GOOGLETRANSLATE(C136, ""en"", ""id"")"),"B) Serangan siku")</f>
        <v>B) Serangan siku</v>
      </c>
      <c r="I136" s="4" t="str">
        <f>IFERROR(__xludf.DUMMYFUNCTION(" GOOGLETRANSLATE(D136, ""en"", ""id"")"),"'Serangan siku' adalah serangan jarak dekat yang kuat dalam Pencak Silat.")</f>
        <v>'Serangan siku' adalah serangan jarak dekat yang kuat dalam Pencak Silat.</v>
      </c>
    </row>
    <row r="137">
      <c r="A137" s="10" t="s">
        <v>2617</v>
      </c>
      <c r="B137" s="10" t="s">
        <v>2618</v>
      </c>
      <c r="C137" s="10" t="s">
        <v>2619</v>
      </c>
      <c r="D137" s="12" t="s">
        <v>2620</v>
      </c>
      <c r="F137" s="4" t="str">
        <f>IFERROR(__xludf.DUMMYFUNCTION(" GOOGLETRANSLATE(A137, ""en"", ""id"")"),"Apa yang dimaksud dengan 'Serangan' dalam Pencak Silat?")</f>
        <v>Apa yang dimaksud dengan 'Serangan' dalam Pencak Silat?</v>
      </c>
      <c r="G137" s="4" t="str">
        <f>IFERROR(__xludf.DUMMYFUNCTION(" GOOGLETRANSLATE(B137, ""en"", ""id"")"),"A) Gerakan bertahan, B) Teknik melawan, C) Teknik menyerang, D) Bentuk meditasi")</f>
        <v>A) Gerakan bertahan, B) Teknik melawan, C) Teknik menyerang, D) Bentuk meditasi</v>
      </c>
      <c r="H137" s="4" t="str">
        <f>IFERROR(__xludf.DUMMYFUNCTION(" GOOGLETRANSLATE(C137, ""en"", ""id"")"),"C) Teknik serangan")</f>
        <v>C) Teknik serangan</v>
      </c>
      <c r="I137" s="4" t="str">
        <f>IFERROR(__xludf.DUMMYFUNCTION(" GOOGLETRANSLATE(D137, ""en"", ""id"")"),"Serangan' mengacu pada berbagai teknik serangan dalam Pencak Silat.")</f>
        <v>Serangan' mengacu pada berbagai teknik serangan dalam Pencak Silat.</v>
      </c>
    </row>
    <row r="138">
      <c r="A138" s="10" t="s">
        <v>2621</v>
      </c>
      <c r="B138" s="10" t="s">
        <v>2622</v>
      </c>
      <c r="C138" s="10" t="s">
        <v>2623</v>
      </c>
      <c r="D138" s="12" t="s">
        <v>2624</v>
      </c>
      <c r="F138" s="4" t="str">
        <f>IFERROR(__xludf.DUMMYFUNCTION(" GOOGLETRANSLATE(A138, ""en"", ""id"")"),"Gerakan manakah yang termasuk jenis gerakan mengelak dalam Pencak Silat?")</f>
        <v>Gerakan manakah yang termasuk jenis gerakan mengelak dalam Pencak Silat?</v>
      </c>
      <c r="G138" s="4" t="str">
        <f>IFERROR(__xludf.DUMMYFUNCTION(" GOOGLETRANSLATE(B138, ""en"", ""id"")"),"A) Langkah, B) Sikap, C) Sapu, D) Menghindar")</f>
        <v>A) Langkah, B) Sikap, C) Sapu, D) Menghindar</v>
      </c>
      <c r="H138" s="4" t="str">
        <f>IFERROR(__xludf.DUMMYFUNCTION(" GOOGLETRANSLATE(C138, ""en"", ""id"")"),"D) Menghindar")</f>
        <v>D) Menghindar</v>
      </c>
      <c r="I138" s="4" t="str">
        <f>IFERROR(__xludf.DUMMYFUNCTION(" GOOGLETRANSLATE(D138, ""en"", ""id"")"),"Menghindar' adalah istilah yang digunakan dalam Pencak Silat untuk menghindari atau menghindar dari serangan.")</f>
        <v>Menghindar' adalah istilah yang digunakan dalam Pencak Silat untuk menghindari atau menghindar dari serangan.</v>
      </c>
    </row>
    <row r="139">
      <c r="A139" s="10" t="s">
        <v>2496</v>
      </c>
      <c r="B139" s="10" t="s">
        <v>2625</v>
      </c>
      <c r="C139" s="10" t="s">
        <v>2626</v>
      </c>
      <c r="D139" s="10" t="s">
        <v>2627</v>
      </c>
      <c r="F139" s="4" t="str">
        <f>IFERROR(__xludf.DUMMYFUNCTION(" GOOGLETRANSLATE(A139, ""en"", ""id"")"),"Manakah dari gerakan berikut yang merupakan gerakan ilegal dalam pertarungan Pencak Silat?")</f>
        <v>Manakah dari gerakan berikut yang merupakan gerakan ilegal dalam pertarungan Pencak Silat?</v>
      </c>
      <c r="G139" s="4" t="str">
        <f>IFERROR(__xludf.DUMMYFUNCTION(" GOOGLETRANSLATE(B139, ""en"", ""id"")"),"A) Pukulan ke wajah, B) Tendangan ke kepala, C) Meraih pakaian lawan, D) Serangan siku")</f>
        <v>A) Pukulan ke wajah, B) Tendangan ke kepala, C) Meraih pakaian lawan, D) Serangan siku</v>
      </c>
      <c r="H139" s="4" t="str">
        <f>IFERROR(__xludf.DUMMYFUNCTION(" GOOGLETRANSLATE(C139, ""en"", ""id"")"),"C) Meraih pakaian lawan")</f>
        <v>C) Meraih pakaian lawan</v>
      </c>
      <c r="I139" s="4" t="str">
        <f>IFERROR(__xludf.DUMMYFUNCTION(" GOOGLETRANSLATE(D139, ""en"", ""id"")"),"Dalam pertarungan Pencak Silat, memegang pakaian lawan tidak diperbolehkan karena dianggap tidak adil.")</f>
        <v>Dalam pertarungan Pencak Silat, memegang pakaian lawan tidak diperbolehkan karena dianggap tidak adil.</v>
      </c>
    </row>
    <row r="140">
      <c r="A140" s="10" t="s">
        <v>2628</v>
      </c>
      <c r="B140" s="10" t="s">
        <v>2629</v>
      </c>
      <c r="C140" s="10" t="s">
        <v>2630</v>
      </c>
      <c r="D140" s="12" t="s">
        <v>2631</v>
      </c>
      <c r="F140" s="4" t="str">
        <f>IFERROR(__xludf.DUMMYFUNCTION(" GOOGLETRANSLATE(A140, ""en"", ""id"")"),"Apa tujuan utama 'Latihan' dalam Pencak Silat?")</f>
        <v>Apa tujuan utama 'Latihan' dalam Pencak Silat?</v>
      </c>
      <c r="G140" s="4" t="str">
        <f>IFERROR(__xludf.DUMMYFUNCTION(" GOOGLETRANSLATE(B140, ""en"", ""id"")"),"A) Untuk beradu argumen dengan orang lain, B) Untuk berlatih teknik, C) Untuk mempelajari bentuk baru, D) Untuk bermeditasi")</f>
        <v>A) Untuk beradu argumen dengan orang lain, B) Untuk berlatih teknik, C) Untuk mempelajari bentuk baru, D) Untuk bermeditasi</v>
      </c>
      <c r="H140" s="4" t="str">
        <f>IFERROR(__xludf.DUMMYFUNCTION(" GOOGLETRANSLATE(C140, ""en"", ""id"")"),"B) Untuk melatih teknik")</f>
        <v>B) Untuk melatih teknik</v>
      </c>
      <c r="I140" s="4" t="str">
        <f>IFERROR(__xludf.DUMMYFUNCTION(" GOOGLETRANSLATE(D140, ""en"", ""id"")"),"Latihan' mengacu pada pelatihan atau praktik, di mana teknik dilatih dan disempurnakan.")</f>
        <v>Latihan' mengacu pada pelatihan atau praktik, di mana teknik dilatih dan disempurnakan.</v>
      </c>
    </row>
    <row r="141">
      <c r="A141" s="10" t="s">
        <v>2632</v>
      </c>
      <c r="B141" s="10" t="s">
        <v>2633</v>
      </c>
      <c r="C141" s="10" t="s">
        <v>2634</v>
      </c>
      <c r="D141" s="10" t="s">
        <v>2635</v>
      </c>
      <c r="F141" s="4" t="str">
        <f>IFERROR(__xludf.DUMMYFUNCTION(" GOOGLETRANSLATE(A141, ""en"", ""id"")"),"Dalam Pencak Silat, istilah apa yang merujuk pada penggunaan strategis untuk menghalangi gerakan lawan?")</f>
        <v>Dalam Pencak Silat, istilah apa yang merujuk pada penggunaan strategis untuk menghalangi gerakan lawan?</v>
      </c>
      <c r="G141" s="4" t="str">
        <f>IFERROR(__xludf.DUMMYFUNCTION(" GOOGLETRANSLATE(B141, ""en"", ""id"")"),"A) Gunting, B) Serangan, C) Sambut, D) Pukul")</f>
        <v>A) Gunting, B) Serangan, C) Sambut, D) Pukul</v>
      </c>
      <c r="H141" s="4" t="str">
        <f>IFERROR(__xludf.DUMMYFUNCTION(" GOOGLETRANSLATE(C141, ""en"", ""id"")"),"C) Sambut")</f>
        <v>C) Sambut</v>
      </c>
      <c r="I141" s="4" t="str">
        <f>IFERROR(__xludf.DUMMYFUNCTION(" GOOGLETRANSLATE(D141, ""en"", ""id"")"),"Sambut' merujuk pada gerakan bertahan yang digunakan untuk mencegat atau memblokir serangan lawan.")</f>
        <v>Sambut' merujuk pada gerakan bertahan yang digunakan untuk mencegat atau memblokir serangan lawan.</v>
      </c>
    </row>
    <row r="142">
      <c r="A142" s="10" t="s">
        <v>2636</v>
      </c>
      <c r="B142" s="10" t="s">
        <v>2637</v>
      </c>
      <c r="C142" s="10" t="s">
        <v>2638</v>
      </c>
      <c r="D142" s="12" t="s">
        <v>2639</v>
      </c>
      <c r="F142" s="4" t="str">
        <f>IFERROR(__xludf.DUMMYFUNCTION(" GOOGLETRANSLATE(A142, ""en"", ""id"")"),"Apa istilah untuk double-leg takedown dalam Pencak Silat?")</f>
        <v>Apa istilah untuk double-leg takedown dalam Pencak Silat?</v>
      </c>
      <c r="G142" s="4" t="str">
        <f>IFERROR(__xludf.DUMMYFUNCTION(" GOOGLETRANSLATE(B142, ""en"", ""id"")"),"A) Gunting, B) Pukul, C) Jurus, D) Jatuh")</f>
        <v>A) Gunting, B) Pukul, C) Jurus, D) Jatuh</v>
      </c>
      <c r="H142" s="4" t="str">
        <f>IFERROR(__xludf.DUMMYFUNCTION(" GOOGLETRANSLATE(C142, ""en"", ""id"")"),"A) Gunting")</f>
        <v>A) Gunting</v>
      </c>
      <c r="I142" s="4" t="str">
        <f>IFERROR(__xludf.DUMMYFUNCTION(" GOOGLETRANSLATE(D142, ""en"", ""id"")"),"'Gunting' merujuk pada gerakan menjatuhkan di mana praktisi mencengkeram kaki lawan dan menjatuhkannya ke tanah.")</f>
        <v>'Gunting' merujuk pada gerakan menjatuhkan di mana praktisi mencengkeram kaki lawan dan menjatuhkannya ke tanah.</v>
      </c>
    </row>
    <row r="143">
      <c r="A143" s="10" t="s">
        <v>2640</v>
      </c>
      <c r="B143" s="10" t="s">
        <v>2641</v>
      </c>
      <c r="C143" s="10" t="s">
        <v>2642</v>
      </c>
      <c r="D143" s="12" t="s">
        <v>2643</v>
      </c>
      <c r="F143" s="4" t="str">
        <f>IFERROR(__xludf.DUMMYFUNCTION(" GOOGLETRANSLATE(A143, ""en"", ""id"")"),"Bentuk gerakan apa yang biasanya digunakan untuk mendapatkan kembali keseimbangan setelah serangan dalam Pencak Silat?")</f>
        <v>Bentuk gerakan apa yang biasanya digunakan untuk mendapatkan kembali keseimbangan setelah serangan dalam Pencak Silat?</v>
      </c>
      <c r="G143" s="4" t="str">
        <f>IFERROR(__xludf.DUMMYFUNCTION(" GOOGLETRANSLATE(B143, ""en"", ""id"")"),"A) Langkah, B) Sikap, C) Sapu, D) Kuda-Kuda")</f>
        <v>A) Langkah, B) Sikap, C) Sapu, D) Kuda-Kuda</v>
      </c>
      <c r="H143" s="4" t="str">
        <f>IFERROR(__xludf.DUMMYFUNCTION(" GOOGLETRANSLATE(C143, ""en"", ""id"")"),"B) Sikap")</f>
        <v>B) Sikap</v>
      </c>
      <c r="I143" s="4" t="str">
        <f>IFERROR(__xludf.DUMMYFUNCTION(" GOOGLETRANSLATE(D143, ""en"", ""id"")"),"'Sikap' mengacu pada sikap atau posisi yang digunakan untuk menstabilkan diri setelah serangan.")</f>
        <v>'Sikap' mengacu pada sikap atau posisi yang digunakan untuk menstabilkan diri setelah serangan.</v>
      </c>
    </row>
    <row r="144">
      <c r="A144" s="10" t="s">
        <v>2644</v>
      </c>
      <c r="B144" s="10" t="s">
        <v>2645</v>
      </c>
      <c r="C144" s="10" t="s">
        <v>2646</v>
      </c>
      <c r="D144" s="12" t="s">
        <v>2647</v>
      </c>
      <c r="F144" s="4" t="str">
        <f>IFERROR(__xludf.DUMMYFUNCTION(" GOOGLETRANSLATE(A144, ""en"", ""id"")"),"Apa ciri khas gerakan 'Langkah' dalam Pencak Silat?")</f>
        <v>Apa ciri khas gerakan 'Langkah' dalam Pencak Silat?</v>
      </c>
      <c r="G144" s="4" t="str">
        <f>IFERROR(__xludf.DUMMYFUNCTION(" GOOGLETRANSLATE(B144, ""en"", ""id"")"),"A) Berfokus pada gerakan cepat, B) Menggunakan banyak senjata, C) Menekankan gerakan tubuh yang cair, D) Hanya digunakan untuk pertahanan")</f>
        <v>A) Berfokus pada gerakan cepat, B) Menggunakan banyak senjata, C) Menekankan gerakan tubuh yang cair, D) Hanya digunakan untuk pertahanan</v>
      </c>
      <c r="H144" s="4" t="str">
        <f>IFERROR(__xludf.DUMMYFUNCTION(" GOOGLETRANSLATE(C144, ""en"", ""id"")"),"C) Ini menekankan gerakan tubuh yang cair")</f>
        <v>C) Ini menekankan gerakan tubuh yang cair</v>
      </c>
      <c r="I144" s="4" t="str">
        <f>IFERROR(__xludf.DUMMYFUNCTION(" GOOGLETRANSLATE(D144, ""en"", ""id"")"),"Gerakan langkah ditandai dengan gerakan tubuh yang luwes dan penting untuk menyerang maupun bertahan.")</f>
        <v>Gerakan langkah ditandai dengan gerakan tubuh yang luwes dan penting untuk menyerang maupun bertahan.</v>
      </c>
    </row>
    <row r="145">
      <c r="A145" s="10" t="s">
        <v>2648</v>
      </c>
      <c r="B145" s="10" t="s">
        <v>2649</v>
      </c>
      <c r="C145" s="10" t="s">
        <v>2607</v>
      </c>
      <c r="D145" s="12" t="s">
        <v>2650</v>
      </c>
      <c r="F145" s="4" t="str">
        <f>IFERROR(__xludf.DUMMYFUNCTION(" GOOGLETRANSLATE(A145, ""en"", ""id"")"),"Sikap mana yang digunakan untuk menyerang dan bertahan dalam Pencak Silat?")</f>
        <v>Sikap mana yang digunakan untuk menyerang dan bertahan dalam Pencak Silat?</v>
      </c>
      <c r="G145" s="4" t="str">
        <f>IFERROR(__xludf.DUMMYFUNCTION(" GOOGLETRANSLATE(B145, ""en"", ""id"")"),"A) Kuda-Kuda, B) Duduk, C) Hakkim, D) Muda")</f>
        <v>A) Kuda-Kuda, B) Duduk, C) Hakkim, D) Muda</v>
      </c>
      <c r="H145" s="4" t="str">
        <f>IFERROR(__xludf.DUMMYFUNCTION(" GOOGLETRANSLATE(C145, ""en"", ""id"")"),"A) Kuda-Kuda")</f>
        <v>A) Kuda-Kuda</v>
      </c>
      <c r="I145" s="4" t="str">
        <f>IFERROR(__xludf.DUMMYFUNCTION(" GOOGLETRANSLATE(D145, ""en"", ""id"")"),"'Kuda-Kuda' adalah posisi serba guna yang digunakan untuk menangkis pertahanan dan menyerang.")</f>
        <v>'Kuda-Kuda' adalah posisi serba guna yang digunakan untuk menangkis pertahanan dan menyerang.</v>
      </c>
    </row>
    <row r="146">
      <c r="A146" s="10" t="s">
        <v>2651</v>
      </c>
      <c r="B146" s="10" t="s">
        <v>2652</v>
      </c>
      <c r="C146" s="10" t="s">
        <v>2653</v>
      </c>
      <c r="D146" s="12" t="s">
        <v>2654</v>
      </c>
      <c r="F146" s="4" t="str">
        <f>IFERROR(__xludf.DUMMYFUNCTION(" GOOGLETRANSLATE(A146, ""en"", ""id"")"),"Teknik Pencak Silat manakah yang melibatkan penggunaan lutut untuk menyerang?")</f>
        <v>Teknik Pencak Silat manakah yang melibatkan penggunaan lutut untuk menyerang?</v>
      </c>
      <c r="G146" s="4" t="str">
        <f>IFERROR(__xludf.DUMMYFUNCTION(" GOOGLETRANSLATE(B146, ""en"", ""id"")"),"A) Pukul, B) Tendang, C) Sapu, D) Lutut")</f>
        <v>A) Pukul, B) Tendang, C) Sapu, D) Lutut</v>
      </c>
      <c r="H146" s="4" t="str">
        <f>IFERROR(__xludf.DUMMYFUNCTION(" GOOGLETRANSLATE(C146, ""en"", ""id"")"),"D) Lutut")</f>
        <v>D) Lutut</v>
      </c>
      <c r="I146" s="4" t="str">
        <f>IFERROR(__xludf.DUMMYFUNCTION(" GOOGLETRANSLATE(D146, ""en"", ""id"")"),"'Lutut' mengacu pada serangan lutut, yang umum digunakan dalam pertarungan jarak dekat.")</f>
        <v>'Lutut' mengacu pada serangan lutut, yang umum digunakan dalam pertarungan jarak dekat.</v>
      </c>
    </row>
    <row r="147">
      <c r="A147" s="10" t="s">
        <v>2655</v>
      </c>
      <c r="B147" s="10" t="s">
        <v>2656</v>
      </c>
      <c r="C147" s="10" t="s">
        <v>2451</v>
      </c>
      <c r="D147" s="12" t="s">
        <v>2657</v>
      </c>
      <c r="F147" s="4" t="str">
        <f>IFERROR(__xludf.DUMMYFUNCTION(" GOOGLETRANSLATE(A147, ""en"", ""id"")"),"Dalam Pencak Silat, apa peran utama 'Bela Diri'?")</f>
        <v>Dalam Pencak Silat, apa peran utama 'Bela Diri'?</v>
      </c>
      <c r="G147" s="4" t="str">
        <f>IFERROR(__xludf.DUMMYFUNCTION(" GOOGLETRANSLATE(B147, ""en"", ""id"")"),"A) Latihan senjata, B) Latihan tempur, C) Bela diri, D) Kompetisi tim")</f>
        <v>A) Latihan senjata, B) Latihan tempur, C) Bela diri, D) Kompetisi tim</v>
      </c>
      <c r="H147" s="4" t="str">
        <f>IFERROR(__xludf.DUMMYFUNCTION(" GOOGLETRANSLATE(C147, ""en"", ""id"")"),"C) Bela Diri")</f>
        <v>C) Bela Diri</v>
      </c>
      <c r="I147" s="4" t="str">
        <f>IFERROR(__xludf.DUMMYFUNCTION(" GOOGLETRANSLATE(D147, ""en"", ""id"")"),"'Bela Diri' adalah metode pelatihan yang difokuskan pada teknik bela diri dalam Pencak Silat.")</f>
        <v>'Bela Diri' adalah metode pelatihan yang difokuskan pada teknik bela diri dalam Pencak Silat.</v>
      </c>
    </row>
    <row r="148">
      <c r="A148" s="10" t="s">
        <v>2658</v>
      </c>
      <c r="B148" s="10" t="s">
        <v>2659</v>
      </c>
      <c r="C148" s="10" t="s">
        <v>2660</v>
      </c>
      <c r="D148" s="10" t="s">
        <v>2661</v>
      </c>
      <c r="F148" s="4" t="str">
        <f>IFERROR(__xludf.DUMMYFUNCTION(" GOOGLETRANSLATE(A148, ""en"", ""id"")"),"Apa tujuan utama dalam kompetisi Pencak Silat?")</f>
        <v>Apa tujuan utama dalam kompetisi Pencak Silat?</v>
      </c>
      <c r="G148" s="4" t="str">
        <f>IFERROR(__xludf.DUMMYFUNCTION(" GOOGLETRANSLATE(B148, ""en"", ""id"")"),"A) Melakukan akrobat, B) Mencetak poin melalui teknik yang terkontrol, C) Menggunakan kekuatan kasar, D) Menampilkan koreografi")</f>
        <v>A) Melakukan akrobat, B) Mencetak poin melalui teknik yang terkontrol, C) Menggunakan kekuatan kasar, D) Menampilkan koreografi</v>
      </c>
      <c r="H148" s="4" t="str">
        <f>IFERROR(__xludf.DUMMYFUNCTION(" GOOGLETRANSLATE(C148, ""en"", ""id"")"),"B) Untuk mencetak poin melalui teknik yang terkontrol")</f>
        <v>B) Untuk mencetak poin melalui teknik yang terkontrol</v>
      </c>
      <c r="I148" s="4" t="str">
        <f>IFERROR(__xludf.DUMMYFUNCTION(" GOOGLETRANSLATE(D148, ""en"", ""id"")"),"Dalam Pencak Silat, tujuannya adalah untuk mencetak poin dengan menjalankan teknik yang terkendali dan efektif.")</f>
        <v>Dalam Pencak Silat, tujuannya adalah untuk mencetak poin dengan menjalankan teknik yang terkendali dan efektif.</v>
      </c>
    </row>
    <row r="149">
      <c r="A149" s="10" t="s">
        <v>2662</v>
      </c>
      <c r="B149" s="10" t="s">
        <v>2663</v>
      </c>
      <c r="C149" s="10" t="s">
        <v>2664</v>
      </c>
      <c r="D149" s="12" t="s">
        <v>2665</v>
      </c>
      <c r="F149" s="4" t="str">
        <f>IFERROR(__xludf.DUMMYFUNCTION(" GOOGLETRANSLATE(A149, ""en"", ""id"")"),"Apa yang ditekankan oleh posisi 'Sikap' dalam Pencak Silat?")</f>
        <v>Apa yang ditekankan oleh posisi 'Sikap' dalam Pencak Silat?</v>
      </c>
      <c r="G149" s="4" t="str">
        <f>IFERROR(__xludf.DUMMYFUNCTION(" GOOGLETRANSLATE(B149, ""en"", ""id"")"),"A) Serangan melompat, B) Keseimbangan tubuh yang tepat, C) Kecepatan dan kelincahan, D) Daya tahan")</f>
        <v>A) Serangan melompat, B) Keseimbangan tubuh yang tepat, C) Kecepatan dan kelincahan, D) Daya tahan</v>
      </c>
      <c r="H149" s="4" t="str">
        <f>IFERROR(__xludf.DUMMYFUNCTION(" GOOGLETRANSLATE(C149, ""en"", ""id"")"),"B) Keseimbangan tubuh yang tepat")</f>
        <v>B) Keseimbangan tubuh yang tepat</v>
      </c>
      <c r="I149" s="4" t="str">
        <f>IFERROR(__xludf.DUMMYFUNCTION(" GOOGLETRANSLATE(D149, ""en"", ""id"")"),"'Sikap' berfokus pada posisi yang memastikan stabilitas dan keseimbangan selama pertempuran.")</f>
        <v>'Sikap' berfokus pada posisi yang memastikan stabilitas dan keseimbangan selama pertempuran.</v>
      </c>
    </row>
    <row r="150">
      <c r="A150" s="10" t="s">
        <v>2666</v>
      </c>
      <c r="B150" s="10" t="s">
        <v>2667</v>
      </c>
      <c r="C150" s="10" t="s">
        <v>2668</v>
      </c>
      <c r="D150" s="12" t="s">
        <v>2669</v>
      </c>
      <c r="F150" s="4" t="str">
        <f>IFERROR(__xludf.DUMMYFUNCTION(" GOOGLETRANSLATE(A150, ""en"", ""id"")"),"Apa prinsip utama di balik gerakan 'Langka'?")</f>
        <v>Apa prinsip utama di balik gerakan 'Langka'?</v>
      </c>
      <c r="G150" s="4" t="str">
        <f>IFERROR(__xludf.DUMMYFUNCTION(" GOOGLETRANSLATE(B150, ""en"", ""id"")"),"A) Siluman, B) Kelancaran dan kecepatan, C) Formalitas yang kaku, D) Mundur defensif")</f>
        <v>A) Siluman, B) Kelancaran dan kecepatan, C) Formalitas yang kaku, D) Mundur defensif</v>
      </c>
      <c r="H150" s="4" t="str">
        <f>IFERROR(__xludf.DUMMYFUNCTION(" GOOGLETRANSLATE(C150, ""en"", ""id"")"),"B) Fluiditas dan kecepatan")</f>
        <v>B) Fluiditas dan kecepatan</v>
      </c>
      <c r="I150" s="4" t="str">
        <f>IFERROR(__xludf.DUMMYFUNCTION(" GOOGLETRANSLATE(D150, ""en"", ""id"")"),"Langkah' melibatkan gerakan-gerakan luwes yang memungkinkan praktisi menyesuaikan diri dengan cepat terhadap perubahan situasi pertempuran.")</f>
        <v>Langkah' melibatkan gerakan-gerakan luwes yang memungkinkan praktisi menyesuaikan diri dengan cepat terhadap perubahan situasi pertempuran.</v>
      </c>
    </row>
    <row r="151">
      <c r="A151" s="10" t="s">
        <v>2670</v>
      </c>
      <c r="B151" s="10" t="s">
        <v>2671</v>
      </c>
      <c r="C151" s="10" t="s">
        <v>2118</v>
      </c>
      <c r="D151" s="10" t="s">
        <v>2672</v>
      </c>
      <c r="F151" s="4" t="str">
        <f>IFERROR(__xludf.DUMMYFUNCTION(" GOOGLETRANSLATE(A151, ""en"", ""id"")"),"Manakah di antara senjata berikut yang merupakan senjata standar yang digunakan dalam Pencak Silat?")</f>
        <v>Manakah di antara senjata berikut yang merupakan senjata standar yang digunakan dalam Pencak Silat?</v>
      </c>
      <c r="G151" s="4" t="str">
        <f>IFERROR(__xludf.DUMMYFUNCTION(" GOOGLETRANSLATE(B151, ""en"", ""id"")"),"A) Tongkat Bo, B) Pedang, C) Tongkat Rotan, D) Nunchaku")</f>
        <v>A) Tongkat Bo, B) Pedang, C) Tongkat Rotan, D) Nunchaku</v>
      </c>
      <c r="H151" s="4" t="str">
        <f>IFERROR(__xludf.DUMMYFUNCTION(" GOOGLETRANSLATE(C151, ""en"", ""id"")"),"C) Tongkat rotan")</f>
        <v>C) Tongkat rotan</v>
      </c>
      <c r="I151" s="4" t="str">
        <f>IFERROR(__xludf.DUMMYFUNCTION(" GOOGLETRANSLATE(D151, ""en"", ""id"")"),"Tongkat rotan merupakan senjata tradisional yang biasa digunakan dalam latihan dan pertandingan Pencak Silat.")</f>
        <v>Tongkat rotan merupakan senjata tradisional yang biasa digunakan dalam latihan dan pertandingan Pencak Silat.</v>
      </c>
    </row>
  </sheetData>
  <drawing r:id="rId1"/>
  <tableParts count="2">
    <tablePart r:id="rId4"/>
    <tablePart r:id="rId5"/>
  </tableParts>
</worksheet>
</file>
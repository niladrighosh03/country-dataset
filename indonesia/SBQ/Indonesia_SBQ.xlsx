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rapan_Sapi" sheetId="1" r:id="rId4"/>
    <sheet state="visible" name="Peresean" sheetId="2" r:id="rId5"/>
    <sheet state="visible" name="Sepak_Takraw" sheetId="3" r:id="rId6"/>
    <sheet state="visible" name="Pencak_Silat" sheetId="4" r:id="rId7"/>
    <sheet state="visible" name="Tarung_Derajat" sheetId="5" r:id="rId8"/>
  </sheets>
  <definedNames/>
  <calcPr/>
</workbook>
</file>

<file path=xl/sharedStrings.xml><?xml version="1.0" encoding="utf-8"?>
<sst xmlns="http://schemas.openxmlformats.org/spreadsheetml/2006/main" count="3210" uniqueCount="2990">
  <si>
    <t>Question No.</t>
  </si>
  <si>
    <t>Question</t>
  </si>
  <si>
    <t>Options</t>
  </si>
  <si>
    <t>Answer</t>
  </si>
  <si>
    <t>Description</t>
  </si>
  <si>
    <t>Pertanyaan No.</t>
  </si>
  <si>
    <t>Pertanyaan</t>
  </si>
  <si>
    <t>Pilihan</t>
  </si>
  <si>
    <t>Menjawab</t>
  </si>
  <si>
    <t>Keterangan</t>
  </si>
  <si>
    <t>In a Karapan Sapi race, what is the primary factor determining the winner?</t>
  </si>
  <si>
    <t>A) The team's start time, B) The jockey's skill, C) The first bull's nose crossing the finish line, D) The overall speed averaged during the race</t>
  </si>
  <si>
    <t>C) The first bull's nose crossing the finish line</t>
  </si>
  <si>
    <t>The winner is definitively decided by the first bull to break the plane of the finish line with its nose, regardless of other factors.</t>
  </si>
  <si>
    <t>A team's bull stumbles and falls just before the finish line, but its momentum carries the sled across first. Another team's bull crosses on its feet a moment later. Who wins?</t>
  </si>
  <si>
    <t>A) The team whose bull crossed on its feet, B) The team whose sled crossed first, C) The race is declared a tie, D) A re-race is ordered</t>
  </si>
  <si>
    <t>A) The team whose bull crossed on its feet</t>
  </si>
  <si>
    <t>The bulls themselves must cross the finish line under control. A fall just before the line invalidates the finish.</t>
  </si>
  <si>
    <t>During a race, a jockey loses control and one of his bulls bolts off the designated track. What is the immediate ruling?</t>
  </si>
  <si>
    <t>A) The team receives a 10-second time penalty, B) The team is disqualified, C) The race is paused until the bull is recovered, D) The team can continue with one bull</t>
  </si>
  <si>
    <t>B) The team is disqualified</t>
  </si>
  <si>
    <t>Maintaining control of the bulls and staying on the track is a fundamental rule; any deviation results in immediate disqualification.</t>
  </si>
  <si>
    <t>If a team's bull collapses from exhaustion mid-race and cannot continue, what is the outcome for that team?</t>
  </si>
  <si>
    <t>A) They are allowed to substitute a new bull, B) They are immediately disqualified, C) The race is paused for veterinary aid, D) They are given a time penalty</t>
  </si>
  <si>
    <t>B) They are immediately disqualified</t>
  </si>
  <si>
    <t>A team must complete the race with the same pair of bulls they started with. An animal unable to continue results in disqualification.</t>
  </si>
  <si>
    <t>A team is found to have given their bulls performance-enhancing substances before the race. What is the consequence?</t>
  </si>
  <si>
    <t>A) A warning is issued, B) The team is disqualified and may face a ban, C) The team is allowed to race but forfeits any prize, D) A time penalty is applied</t>
  </si>
  <si>
    <t>B) The team is disqualified and may face a ban</t>
  </si>
  <si>
    <t>Doping is a serious violation of fair play and animal welfare, leading to disqualification and potential suspension from future events.</t>
  </si>
  <si>
    <t>A jockey accidentally drops his whip during the race. What is the correct procedure?</t>
  </si>
  <si>
    <t>A) The jockey is disqualified for losing equipment, B) The race continues; the jockey can finish without the whip, C) An assistant can hand him a new whip, D) The race must be stopped</t>
  </si>
  <si>
    <t>B) The race continues; the jockey can finish without the whip</t>
  </si>
  <si>
    <t>Dropping the whip is not a foul. The jockey can choose to retrieve it if safe or continue the race without it.</t>
  </si>
  <si>
    <t>During a race on a muddy track, what is the most effective strategy for a jockey to maintain speed and control?</t>
  </si>
  <si>
    <t>A) Pushing the bulls to maximum speed, B) Using wider turns to avoid slipping, C) Guiding the bulls along the straightest possible path, D) Using a heavier cart for more traction</t>
  </si>
  <si>
    <t>C) Guiding the bulls along the straightest possible path</t>
  </si>
  <si>
    <t>Minimizing turns and keeping a straight line is crucial on slippery surfaces to conserve momentum and prevent loss of control.</t>
  </si>
  <si>
    <t>What is the cultural significance of the vibrant decorations and ornaments placed on the bulls before a race?</t>
  </si>
  <si>
    <t>A) They are used to intimidate rival teams, B) They improve the aerodynamics of the bulls, C) They symbolize the owner's wealth, status, and pride, D) They help keep the bulls calm</t>
  </si>
  <si>
    <t>C) They symbolize the owner's wealth, status, and pride</t>
  </si>
  <si>
    <t>The elaborate decorations are a public display of honor, family heritage, and social standing within the Madurese community.</t>
  </si>
  <si>
    <t>The Gamelan orchestra is an integral part of a Karapan Sapi event. What is its primary role?</t>
  </si>
  <si>
    <t>A) To signal the start and end of the race, B) To create a festive and traditional atmosphere, C) To motivate the bulls with rhythmic beats, D) To drown out the noise from the crowd</t>
  </si>
  <si>
    <t>B) To create a festive and traditional atmosphere</t>
  </si>
  <si>
    <t>The music is central to the cultural pageantry of the event, enhancing the celebratory and traditional spirit for spectators.</t>
  </si>
  <si>
    <t>If a Karapan Sapi race is temporarily halted due to heavy rain making the track unsafe, what is the protocol?</t>
  </si>
  <si>
    <t>A) The event is cancelled immediately, B) The team in the lead is declared the winner, C) The race is rescheduled for another day, D) The race resumes after the rain stops and the track is deemed safe</t>
  </si>
  <si>
    <t>D) The race resumes after the rain stops and the track is deemed safe</t>
  </si>
  <si>
    <t>Races are typically paused for safety and resume once conditions improve, continuing from where they left off or restarting the heat.</t>
  </si>
  <si>
    <t>In preparing bulls for competition, trainers often have them pull heavier carts than those used in races. What is the main benefit of this method?</t>
  </si>
  <si>
    <t>A) It improves the bulls' synchronization, B) It builds the necessary strength and stamina for racing, C) It makes the race cart feel lighter to the bulls, D) It trains the bulls to run in a straight line</t>
  </si>
  <si>
    <t>B) It builds the necessary strength and stamina for racing</t>
  </si>
  <si>
    <t>This form of resistance training develops the powerful leg muscles and endurance required for high-speed sprints.</t>
  </si>
  <si>
    <t>If two teams cross the finish line in a dead heat, and photo-finish technology is unavailable, what is the most common traditional resolution?</t>
  </si>
  <si>
    <t>A) The team that had a better start is declared the winner, B) A re-race (tanden) is ordered by the judges, C) The prize is split between the two teams, D) The winner is decided by a coin toss</t>
  </si>
  <si>
    <t>B) A re-race (tanden) is ordered by the judges</t>
  </si>
  <si>
    <t>In the event of a tie, the most traditional and fair method to determine a clear winner is to conduct another race.</t>
  </si>
  <si>
    <t>What is the official term for the wooden sled or skid where the jockey stands during the race?</t>
  </si>
  <si>
    <t>A) Kaleles, B) Pangonong, C) Saronen, D) Raga</t>
  </si>
  <si>
    <t>A) Kaleles</t>
  </si>
  <si>
    <t>The kaleles is the traditional lightweight wooden sled that the jockey balances on.</t>
  </si>
  <si>
    <t>A jockey is observed to be using constant, loud shouting rather than rhythmic commands. What is the primary risk of this technique?</t>
  </si>
  <si>
    <t>A) The bulls may ignore the commands due to noise fatigue, B) The bulls will run faster than intended, C) It may dehydrate the jockey, D) It violates noise rules</t>
  </si>
  <si>
    <t>A) The bulls may ignore the commands due to noise fatigue</t>
  </si>
  <si>
    <t>Bulls respond to familiar, rhythmic signals. Constant shouting can be confusing and cause them to become unresponsive.</t>
  </si>
  <si>
    <t>What is the main purpose of massaging the bulls' legs with herbal mixtures and oils before a race?</t>
  </si>
  <si>
    <t>A) To make their coats shiny for decoration, B) To improve muscle flexibility and prevent cramps, C) To add weight to their legs, D) To provide a pleasant scent</t>
  </si>
  <si>
    <t>B) To improve muscle flexibility and prevent cramps</t>
  </si>
  <si>
    <t>This traditional practice helps to keep the muscles loose, improve circulation, and reduce the risk of strain during the race.</t>
  </si>
  <si>
    <t>Before a major race, bulls are often kept in shaded, quiet pens. What is the primary reason for this?</t>
  </si>
  <si>
    <t>A) To hide them from rival teams, B) To apply decorations in private, C) To prevent overheating and conserve energy, D) To make them more aggressive</t>
  </si>
  <si>
    <t>C) To prevent overheating and conserve energy</t>
  </si>
  <si>
    <t>Resting in a cool, calm environment before a race prevents heat stress and ensures the bulls are not fatigued before they compete.</t>
  </si>
  <si>
    <t>What is the main reason Karapan Sapi festivals are traditionally held after the harvest season (August-October)?</t>
  </si>
  <si>
    <t>A) The weather is cooler, B) The bulls are strongest after a season of plowing, C) It is a time of community celebration and prosperity, D) The tracks are only available then</t>
  </si>
  <si>
    <t>C) It is a time of community celebration and prosperity</t>
  </si>
  <si>
    <t>The festival is a cultural expression of gratitude and celebration for a successful harvest, when farmers have more free time.</t>
  </si>
  <si>
    <t>During a race, a bull begins to drift sideways toward the crowd. What is the jockey's most effective and immediate corrective action?</t>
  </si>
  <si>
    <t>A) Using the whip on the opposite bull, B) Pulling the reins sharply toward the center of the track, C) Shifting their body weight away from the drift, D) Shouting a command to stop</t>
  </si>
  <si>
    <t>B) Pulling the reins sharply toward the center of the track</t>
  </si>
  <si>
    <t>The reins are the primary tool for steering; a decisive pull is the quickest way to realign the bulls and ensure safety.</t>
  </si>
  <si>
    <t>What does the term pangonong refer to in the context of Karapan Sapi equipment?</t>
  </si>
  <si>
    <t>A) The jockey's whip, B) The decorative tassels, C) The wooden yoke that connects the two bulls, D) The finish line posts</t>
  </si>
  <si>
    <t>C) The wooden yoke that connects the two bulls</t>
  </si>
  <si>
    <t>The pangonong is the crucial piece of equipment that harnesses the bulls together as a single unit.</t>
  </si>
  <si>
    <t>A jockey notices one bull is pulling harder than its partner, causing the kaleles to tilt. How should they stabilize the race?</t>
  </si>
  <si>
    <t>A) Apply stronger rein control on the faster bull, B) Use the whip on the slower bull to match the pace, C) Stop the race immediately to avoid an accident, D) Jump off the cart</t>
  </si>
  <si>
    <t>A) Apply stronger rein control on the faster bull</t>
  </si>
  <si>
    <t>The jockey must balance the output of the two bulls by restraining the stronger one, not just whipping the weaker one.</t>
  </si>
  <si>
    <t>A referee notices a team using a cart that is significantly lighter than the informal standard. Why might this be considered an unfair advantage?</t>
  </si>
  <si>
    <t>A) It is harder to balance, B) It makes more noise, C) It reduces drag and strain, allowing for greater speed, D) It is more likely to break</t>
  </si>
  <si>
    <t>C) It reduces drag and strain, allowing for greater speed</t>
  </si>
  <si>
    <t>A lighter cart means the bulls have less weight to pull, giving them a significant speed advantage over teams with heavier carts.</t>
  </si>
  <si>
    <t>Why is synchronization between the two bulls so critical for a successful race?</t>
  </si>
  <si>
    <t>A) It is a requirement for aesthetic scoring, B) It prevents the yoke from breaking, C) It ensures the bulls run in perfect unison, maximizing power and speed, D) It calms the bulls down</t>
  </si>
  <si>
    <t>C) It ensures the bulls run in perfect unison, maximizing power and speed</t>
  </si>
  <si>
    <t>When bulls are not synchronized, they pull against each other, wasting energy and reducing their overall top speed.</t>
  </si>
  <si>
    <t>A bull suddenly lowers its head and flattens its ears during a race. What is this body language most likely indicating?</t>
  </si>
  <si>
    <t>A) The bull is focused and exerting maximum effort, B) The bull is showing aggression or irritation, C) The bull is about to stop, D) The bull is relaxed</t>
  </si>
  <si>
    <t>B) The bull is showing aggression or irritation</t>
  </si>
  <si>
    <t>Flattened ears are a common sign of stress, annoyance (from the whip or reins), or aggression in cattle.</t>
  </si>
  <si>
    <t>In a championship, referees begin weighing the carts before each race. What is the purpose of this rule?</t>
  </si>
  <si>
    <t>A) To ensure all teams meet a standardized weight for fair competition, B) To check the quality of the wood, C) To calculate the jockey's weight, D) To prevent overloading the bulls</t>
  </si>
  <si>
    <t>A) To ensure all teams meet a standardized weight for fair competition</t>
  </si>
  <si>
    <t>Standardizing cart weight is a modern rule to ensure that victory is based on the quality of the bulls and jockey, not equipment advantages.</t>
  </si>
  <si>
    <t>A bull repeatedly refuses to approach the starting line, showing signs of panic. What is the most likely cause for this behavior?</t>
  </si>
  <si>
    <t>A) The bull is lazy, B) The bull is overfed, C) The bull is poorly trained and not accustomed to crowd noise, D) The bull dislikes its partner</t>
  </si>
  <si>
    <t>C) The bull is poorly trained and not accustomed to crowd noise</t>
  </si>
  <si>
    <t>The intense noise and atmosphere of a race can be overwhelming for bulls not properly desensitized during training.</t>
  </si>
  <si>
    <t>During off-season training, a jockey has his bulls practice running in shallow sea water. What is the main benefit of this exercise?</t>
  </si>
  <si>
    <t>A) It cleans the bulls' coats, B) The water resistance builds stronger leg muscles and endurance, C) It teaches them to swim, D) It cools them down in hot weather</t>
  </si>
  <si>
    <t>B) The water resistance builds stronger leg muscles and endurance</t>
  </si>
  <si>
    <t>Water training is a traditional method that acts as a form of resistance exercise, improving stamina and power.</t>
  </si>
  <si>
    <t>If a race is held on an unusually dry and hard track, what is the primary risk for the bulls?</t>
  </si>
  <si>
    <t>A) They will slip more often, B) Dehydration will occur faster, C) The hard surface can cause hoof injuries and stress on joints, D) They will run slower</t>
  </si>
  <si>
    <t>C) The hard surface can cause hoof injuries and stress on joints</t>
  </si>
  <si>
    <t>Hard, unyielding ground increases the impact stress on the bulls' hooves and legs, raising the risk of injury.</t>
  </si>
  <si>
    <t>What is the saronen in a Karapan Sapi festival?</t>
  </si>
  <si>
    <t>A) The race track, B) A type of herbal tonic for the bulls, C) A traditional trumpet-like instrument played during the event, D) The prize trophy</t>
  </si>
  <si>
    <t>C) A traditional trumpet-like instrument played during the event</t>
  </si>
  <si>
    <t>The distinctive, loud sound of the saronen is a key part of the Gamelan music that accompanies the festival.</t>
  </si>
  <si>
    <t>A bull pair is disqualified because a post-race inspection reveals their hooves have been improperly shod with sharp materials. Why is this a serious foul?</t>
  </si>
  <si>
    <t>A) It damages the track surface, B) It is considered animal cruelty and creates an unfair advantage, C) It adds extra weight, D) It is against tradition</t>
  </si>
  <si>
    <t>B) It is considered animal cruelty and creates an unfair advantage</t>
  </si>
  <si>
    <t>Altering hooves in a way that could cause pain is both cruel and seen as an attempt to make the bull run faster from discomfort.</t>
  </si>
  <si>
    <t>A team is penalized for a "false start". What does this mean?</t>
  </si>
  <si>
    <t>A) They crossed the start line before the official signal, B) They refused to start, C) Their bulls were not decorated correctly, D) Their cart was not ready</t>
  </si>
  <si>
    <t>A) They crossed the start line before the official signal</t>
  </si>
  <si>
    <t>A false start occurs when a team begins the race prematurely, requiring a restart of the heat to ensure fairness.</t>
  </si>
  <si>
    <t>A jockey is seen leaning far forward on the kaleles during a muddy race. What is the tactical reason for this posture?</t>
  </si>
  <si>
    <t>A) To see the finish line better, B) To shift weight forward, helping the bulls gain traction, C) To protect himself from mud, D) To make the cart go faster by reducing wind resistance</t>
  </si>
  <si>
    <t>B) To shift weight forward, helping the bulls gain traction</t>
  </si>
  <si>
    <t>Shifting his center of gravity helps press the front of the sled down, which can improve the bulls' grip in slippery conditions.</t>
  </si>
  <si>
    <t>What is the main reason a team using younger, more energetic bulls might lose to a team with older, more experienced bulls?</t>
  </si>
  <si>
    <t>A) Younger bulls lack the raw speed, B) Older bulls are heavier, C) Younger bulls often lack the synchronization and race discipline of veterans, D) Older bulls are more aggressive</t>
  </si>
  <si>
    <t>C) Younger bulls often lack the synchronization and race discipline of veterans</t>
  </si>
  <si>
    <t>Experience in racing together leads to better teamwork and energy management, which often outweighs the raw energy of younger animals.</t>
  </si>
  <si>
    <t>During a pre-race parade, umbrellas are held over the champion bulls. What does this signify?</t>
  </si>
  <si>
    <t>A) It protects them from the sun, B) It is a sign of royalty, honor, and respect, C) It helps to hide them from rivals' view, D) It is a requirement for sponsors</t>
  </si>
  <si>
    <t>B) It is a sign of royalty, honor, and respect</t>
  </si>
  <si>
    <t>In Indonesian culture, the ceremonial umbrella (pajeng) is a symbol of dignity and high status, honoring the bulls as champions.</t>
  </si>
  <si>
    <t>A team's cart overturns mid-race, but the bulls continue running. What is the referee's immediate action?</t>
  </si>
  <si>
    <t>A) Allow the bulls to finish, B) Signal to stop the race immediately for safety, C) Disqualify the team, D) Award the win to the other team</t>
  </si>
  <si>
    <t>B) Signal to stop the race immediately for safety</t>
  </si>
  <si>
    <t>An overturned cart and a loose jockey create an extremely dangerous situation, requiring an immediate halt to the race.</t>
  </si>
  <si>
    <t>Why is it important for bulls to be properly warmed up before a race?</t>
  </si>
  <si>
    <t>A) To make them sweat and reduce weight, B) To prevent muscle cramps and injuries during the sprint, C) To show off their muscles to the judges, D) To tire them out slightly so they are less aggressive</t>
  </si>
  <si>
    <t>B) To prevent muscle cramps and injuries during the sprint</t>
  </si>
  <si>
    <t>Just like human athletes, a warm-up prepares the bulls' muscles for intense exertion, reducing the risk of strains and cramps.</t>
  </si>
  <si>
    <t>The practice of bull racing in Madura is believed to have been started by whom?</t>
  </si>
  <si>
    <t>A) A Dutch colonist, B) A local prince or nobleman, C) A group of rice farmers, D) A religious leader</t>
  </si>
  <si>
    <t>C) A group of rice farmers</t>
  </si>
  <si>
    <t>Tradition holds that Karapan Sapi was started by farmers as a fun way to plow fields and later evolved into a competitive sport.</t>
  </si>
  <si>
    <t>A team is disqualified because the jockey was found to be under the minimum age requirement. What is the typical age limit for jockeys?</t>
  </si>
  <si>
    <t>A) 10-12 years old, B) 12-14 years old, C) 14-16 years old, D) There is no age limit</t>
  </si>
  <si>
    <t>B) 12-14 years old</t>
  </si>
  <si>
    <t>While informal races may have younger jockeys, official competitions often have a minimum age in the early teens for safety reasons.</t>
  </si>
  <si>
    <t>What is the ruling if a spectator throws an object onto the track that interferes with a team?</t>
  </si>
  <si>
    <t>A) The race continues, B) The spectator is removed and the race result stands, C) The heat is declared a "no-contest" and is re-run, D) The affected team is disqualified</t>
  </si>
  <si>
    <t>C) The heat is declared a "no-contest" and is re-run</t>
  </si>
  <si>
    <t>External interference that impacts the fairness of the race typically results in the heat being voided and re-run.</t>
  </si>
  <si>
    <t>A jockey uses a whip with a metal tip, which is discovered after he wins the race. What is the likely outcome?</t>
  </si>
  <si>
    <t>A) The win stands, but he is fined, B) He is issued a warning for the next race, C) His victory is annulled, and he is disqualified, D) The whip is confiscated</t>
  </si>
  <si>
    <t>C) His victory is annulled, and he is disqualified</t>
  </si>
  <si>
    <t>Using illegal and harmful equipment is a major violation that results in retroactive disqualification.</t>
  </si>
  <si>
    <t>What does it mean if a team wins the "President's Cup" (Piala Presiden)?</t>
  </si>
  <si>
    <t>A) They have won a local village race, B) They have won the grand final championship of the season, C) They have won a special exhibition race, D) They have won the prize for best decorations</t>
  </si>
  <si>
    <t>B) They have won the grand final championship of the season</t>
  </si>
  <si>
    <t>The President's Cup is the most prestigious annual event, marking the ultimate championship in the Karapan Sapi season.</t>
  </si>
  <si>
    <t>A bull repeatedly stamps its hooves on the ground before the start. What does this behavior indicate?</t>
  </si>
  <si>
    <t>A) The bull is injured, B) The bull is trying to get better grip, C) The bull is showing signs of restlessness and eagerness to run, D) The bull is scared</t>
  </si>
  <si>
    <t>C) The bull is showing signs of restlessness and eagerness to run</t>
  </si>
  <si>
    <t>This is a common pre-race behavior indicating the bull is alert, energized, and ready to compete.</t>
  </si>
  <si>
    <t>What is the main reason that Karapan Sapi bulls are typically leaner and more muscular than farm-plowing bulls?</t>
  </si>
  <si>
    <t>A) They are a different breed, B) They are fed a specialized diet and undergo athletic training, C) They are younger, D) They do less work</t>
  </si>
  <si>
    <t>B) They are fed a specialized diet and undergo athletic training</t>
  </si>
  <si>
    <t>Racing bulls are elite athletes, conditioned through rigorous training and specific diets to build muscle for speed, not bulk for pulling.</t>
  </si>
  <si>
    <t>If a cart's axle is not properly oiled before a race, what is the direct consequence on performance?</t>
  </si>
  <si>
    <t>A) The cart will be quieter, B) The cart will be more stable, C) Increased friction will slow the bulls down, D) The bulls will be easier to steer</t>
  </si>
  <si>
    <t>C) Increased friction will slow the bulls down</t>
  </si>
  <si>
    <t>A dry axle creates drag, forcing the bulls to work harder and significantly reducing their potential top speed.</t>
  </si>
  <si>
    <t>A team is praised for winning the prize for "smoothest synchronization." What would the judges have observed?</t>
  </si>
  <si>
    <t>A) The bulls' horns were perfectly aligned, B) The jockey used the quietest commands, C) The bulls ran together in a straight, harmonious rhythm without fighting the yoke, D) The cart had the best decorations</t>
  </si>
  <si>
    <t>C) The bulls ran together in a straight, harmonious rhythm without fighting the yoke</t>
  </si>
  <si>
    <t>Excellent synchronization is judged by how well the bulls work as a single, efficient unit, with smooth, coordinated strides.</t>
  </si>
  <si>
    <t>A race is held on a track with a slight curve. What specific skill becomes more important for the jockey?</t>
  </si>
  <si>
    <t>A) Whipping technique, B) Shouting louder, C) Controlling the speed of the outer bull to prevent drifting, D) Balancing on one foot</t>
  </si>
  <si>
    <t>C) Controlling the speed of the outer bull to prevent drifting</t>
  </si>
  <si>
    <t>On a curve, the outer bull has to travel a longer distance and is more likely to pull wide, requiring expert rein control from the jockey.</t>
  </si>
  <si>
    <t>In the context of Karapan Sapi, what is a kalabbangan?</t>
  </si>
  <si>
    <t>A) The starting gate, B) The championship trophy, C) The finish line area, often marked by banners, D) The jockey's traditional costume</t>
  </si>
  <si>
    <t>C) The finish line area, often marked by banners</t>
  </si>
  <si>
    <t>The kalabbangan is the finish line, the target that all teams are racing towards.</t>
  </si>
  <si>
    <t>Why are races typically run in a series of heats?</t>
  </si>
  <si>
    <t>A) To allow the bulls to rest between sprints, B) To accommodate a large number of competing teams in a tournament format, C) To make the event last longer for spectators, D) To allow for betting on each heat</t>
  </si>
  <si>
    <t>B) To accommodate a large number of competing teams in a tournament format</t>
  </si>
  <si>
    <t>A heat system allows organizers to manage a large field of entrants, with winners advancing through rounds to an eventual final.</t>
  </si>
  <si>
    <t>A bull has one horn that is significantly longer than the other. How might this affect its performance?</t>
  </si>
  <si>
    <t>A) It will not affect performance, B) It could cause a slight imbalance, affecting synchronization and straight running, C) It will make the bull more aggressive, D) It will help the bull run faster</t>
  </si>
  <si>
    <t>B) It could cause a slight imbalance, affecting synchronization and straight running</t>
  </si>
  <si>
    <t>While often decorated, horns also play a role in a bull's natural balance, and a significant asymmetry could be a minor disadvantage.</t>
  </si>
  <si>
    <t>What is the most common reason for a team to voluntarily withdraw from a race they have already started?</t>
  </si>
  <si>
    <t>A) The jockey is tired, B) They are too far behind to win, C) To prevent injury to an obviously struggling or fatigued bull, D) They disagree with a referee's call</t>
  </si>
  <si>
    <t>C) To prevent injury to an obviously struggling or fatigued bull</t>
  </si>
  <si>
    <t>A responsible owner or jockey will prioritize the animal's welfare over finishing the race if the bull is in distress.</t>
  </si>
  <si>
    <t>A team introduces a new cart design with wider wheels. What is the likely trade-off of this design?</t>
  </si>
  <si>
    <t>A) It will be faster but less stable, B) It will be slower due to more friction but more stable on uneven tracks, C) It will be lighter but weaker, D) It will be heavier but more aerodynamic</t>
  </si>
  <si>
    <t>B) It will be slower due to more friction but more stable on uneven tracks</t>
  </si>
  <si>
    <t>Wider wheels increase stability and control, especially on rough ground, but at the cost of increased drag and slower speeds on a flat track.</t>
  </si>
  <si>
    <t>During a race, a jockey loses his balance and is dragged behind the sled, but holds onto the reins. What is the ruling?</t>
  </si>
  <si>
    <t>A) Disqualified for losing control, B) Allowed to continue if he remounts, C) Race is stopped for safety, D) A time penalty is applied</t>
  </si>
  <si>
    <t>A) Disqualified for losing control</t>
  </si>
  <si>
    <t>The jockey must remain standing and in control on the kaleles. Being dragged constitutes a loss of control.</t>
  </si>
  <si>
    <t>Before a major competition, what is the purpose of the Sapi Sonok event?</t>
  </si>
  <si>
    <t>A) A preliminary speed trial, B) A "beauty contest" for the best-dressed and groomed bulls, C) A market for selling racing bulls, D) A test of the bulls' strength</t>
  </si>
  <si>
    <t>B) A "beauty contest" for the best-dressed and groomed bulls</t>
  </si>
  <si>
    <t>Sapi Sonok is a cultural pageant that precedes the races, focusing on the elegance, grooming, and decoration of the bulls.</t>
  </si>
  <si>
    <t>A team's cart breaks mid-race, but they are very close to the finish. What is the correct action?</t>
  </si>
  <si>
    <t>A) The jockey can run across the finish line, B) The team is immediately disqualified, C) They can try to push the cart across, D) They are given a new cart</t>
  </si>
  <si>
    <t>B) The team is immediately disqualified</t>
  </si>
  <si>
    <t>The race must be completed with all equipment intact. An equipment failure that stops the team results in a DQ.</t>
  </si>
  <si>
    <t>A bull is seen with its tongue hanging out and heavy panting during a race. This is a sign of what?</t>
  </si>
  <si>
    <t>A) Aggression, B) Peak performance, C) Severe exertion and potential heat stress, D) Laziness</t>
  </si>
  <si>
    <t>C) Severe exertion and potential heat stress</t>
  </si>
  <si>
    <t>These are clear physiological signs that the bull is reaching its physical limits and is at risk of exhaustion.</t>
  </si>
  <si>
    <t>What is the primary wood used to make a traditional kaleles?</t>
  </si>
  <si>
    <t>A) Teak, B) Mahogany, C) Bamboo and lightweight hardwoods, D) Pine</t>
  </si>
  <si>
    <t>C) Bamboo and lightweight hardwoods</t>
  </si>
  <si>
    <t>The sled must be both strong and extremely light, making bamboo and specific local woods the ideal materials.</t>
  </si>
  <si>
    <t>If a team from Surabaya participates in a race in Madura, what challenge might their bulls face?</t>
  </si>
  <si>
    <t>A) The food will be different, B) The climate is too hot, C) Unfamiliarity with the specific track conditions and atmosphere, D) The rules are different</t>
  </si>
  <si>
    <t>C) Unfamiliarity with the specific track conditions and atmosphere</t>
  </si>
  <si>
    <t>Bulls, like horses, can be sensitive to new environments. An unfamiliar track and crowd can affect their performance.</t>
  </si>
  <si>
    <t>A jockey is disqualified for using an excessively long whip. What is the purpose of regulating whip length?</t>
  </si>
  <si>
    <t>A) To ensure all jockeys look uniform, B) To prevent the whip from getting tangled, C) To limit the force of the strike and ensure animal welfare, D) To make the race more challenging</t>
  </si>
  <si>
    <t>C) To limit the force of the strike and ensure animal welfare</t>
  </si>
  <si>
    <t>A longer whip can generate more leverage and cause greater injury, so its length is restricted to prevent cruelty.</t>
  </si>
  <si>
    <t>What is the main difference between the bulls selected for Karapan Sapi and those used for beef cattle?</t>
  </si>
  <si>
    <t>A) Their color, B) Their diet, C) Their temperament and physical build for speed, D) Their horn size</t>
  </si>
  <si>
    <t>C) Their temperament and physical build for speed</t>
  </si>
  <si>
    <t>Karapan Sapi bulls are selectively bred and trained for a lean, muscular physique and a competitive temperament, like racehorses.</t>
  </si>
  <si>
    <t>A protest is lodged claiming a team's win was invalid due to a track violation. What evidence is most likely used to settle the dispute?</t>
  </si>
  <si>
    <t>A) The opinion of the crowd, B) The testimony of the jockeys, C) Video replay footage from multiple angles, D) A re-run of the race</t>
  </si>
  <si>
    <t>C) Video replay footage from multiple angles</t>
  </si>
  <si>
    <t>In modern competitions, officials rely on video evidence to make accurate and impartial rulings on protests.</t>
  </si>
  <si>
    <t>A team is known for their bulls' "explosive start." What specific physical trait contributes most to this?</t>
  </si>
  <si>
    <t>A) Strong neck muscles, B) Large horns, C) Powerful hind legs and fast-twitch muscle fibers, D) High body weight</t>
  </si>
  <si>
    <t>C) Powerful hind legs and fast-twitch muscle fibers</t>
  </si>
  <si>
    <t>Acceleration in sprinting is generated primarily by the explosive power of the rear leg muscles.</t>
  </si>
  <si>
    <t>After winning a major race, what typically happens to the value of the winning bull pair?</t>
  </si>
  <si>
    <t>A) It decreases slightly, B) It stays the same, C) It increases dramatically, D) They are retired from sale</t>
  </si>
  <si>
    <t>C) It increases dramatically</t>
  </si>
  <si>
    <t>Champion bulls become highly prized breeding stock and status symbols, and their monetary value can skyrocket.</t>
  </si>
  <si>
    <t>If a jockey is found to be intoxicated before a race, what is the consequence?</t>
  </si>
  <si>
    <t>A) He is allowed to race but is fined, B) He is immediately disqualified and replaced, C) The team must forfeit the race, D) He is given a warning</t>
  </si>
  <si>
    <t>C) The team must forfeit the race</t>
  </si>
  <si>
    <t>For safety reasons, jockeys must be sober. If no approved substitute is available, the team must withdraw.</t>
  </si>
  <si>
    <t>The track surface is being prepared before a big race. What is the ideal condition?</t>
  </si>
  <si>
    <t>A) Wet and muddy for better grip, B) Dry and very hard for speed, C) Firm, slightly damp, and free of stones, D) Covered in soft sand</t>
  </si>
  <si>
    <t>C) Firm, slightly damp, and free of stones</t>
  </si>
  <si>
    <t>This provides the best balance of traction and safety, reducing both slipping and the risk of hoof injury.</t>
  </si>
  <si>
    <t>What does the term "kerrab" or "kerapan" itself refer to?</t>
  </si>
  <si>
    <t>A) The bull, B) The jockey, C) The act of chasing or racing, D) The prize</t>
  </si>
  <si>
    <t>C) The act of chasing or racing</t>
  </si>
  <si>
    <t>The name of the sport is derived from the Madurese word for a competitive race or chase.</t>
  </si>
  <si>
    <t>A new rule requires all jockeys to meet a minimum weight. What is the likely purpose of this rule?</t>
  </si>
  <si>
    <t>A) To make the race harder, B) To disadvantage lighter teams, C) To address concerns about using very young, underweight children as jockeys, D) To make the carts more stable</t>
  </si>
  <si>
    <t>C) To address concerns about using very young, underweight children as jockeys</t>
  </si>
  <si>
    <t>This rule change would be aimed at improving jockey safety and welfare, ensuring they have sufficient strength to control the bulls.</t>
  </si>
  <si>
    <t>Why do jockeys stand during the race instead of sitting?</t>
  </si>
  <si>
    <t>A) It is more comfortable, B) To absorb shocks with their legs and maintain dynamic balance, C) To see over the bulls' heads, D) It is a traditional rule with no practical purpose</t>
  </si>
  <si>
    <t>B) To absorb shocks with their legs and maintain dynamic balance</t>
  </si>
  <si>
    <t>Standing allows the jockey to act as a human shock absorber and shift their weight rapidly to steer and balance the lightweight sled.</t>
  </si>
  <si>
    <t>What is the primary role of the single assistant allowed on the track for each team?</t>
  </si>
  <si>
    <t>A) To help push the cart at the start, B) To manage the bulls in the starting area and release them, C) To hand the jockey a new whip if needed, D) To clear the path in front of the bulls</t>
  </si>
  <si>
    <t>B) To manage the bulls in the starting area and release them</t>
  </si>
  <si>
    <t>The assistant's main job is to help position the often agitated bulls at the start and ensure a clean release when the signal is given.</t>
  </si>
  <si>
    <t>A team is disqualified for using bulls that are not native to the region. Why would such a rule exist?</t>
  </si>
  <si>
    <t>A) To preserve the tradition and local Madurese cattle breed, B) Because foreign bulls are too slow, C) To prevent disease, D) Because foreign bulls are too aggressive</t>
  </si>
  <si>
    <t>A) To preserve the tradition and local Madurese cattle breed</t>
  </si>
  <si>
    <t>Such a rule would be aimed at maintaining the cultural integrity of the sport and promoting the local cattle heritage.</t>
  </si>
  <si>
    <t>During a race, a jockey's traditional headwear (odheng) falls off. What should he do?</t>
  </si>
  <si>
    <t>A) Stop immediately to retrieve it, B) The team is disqualified, C) Ignore it and continue the race, D) An assistant can retrieve it for him</t>
  </si>
  <si>
    <t>C) Ignore it and continue the race</t>
  </si>
  <si>
    <t>While culturally important, the headwear is not essential safety equipment, and stopping to retrieve it would mean losing the race.</t>
  </si>
  <si>
    <t>A team's victory is challenged because their bulls' horns were sharpened. Why is this a violation?</t>
  </si>
  <si>
    <t>A) It makes the bulls look less traditional, B) It is considered an unnecessary and cruel modification, C) It gives an aerodynamic advantage, D) It can be used as a weapon against other bulls</t>
  </si>
  <si>
    <t>D) It can be used as a weapon against other bulls</t>
  </si>
  <si>
    <t>Sharpened horns pose a significant danger in case of a collision with other teams or if the bulls become uncontrolled.</t>
  </si>
  <si>
    <t>If a team consistently wins by a very large margin, what might race organizers do in future competitions to ensure fairness?</t>
  </si>
  <si>
    <t>A) Add extra weight to their cart as a handicap, B) Force them to use younger bulls, C) Move them into a higher, more competitive division, D) Give other teams a head start</t>
  </si>
  <si>
    <t>C) Move them into a higher, more competitive division</t>
  </si>
  <si>
    <t>A tiered system (like Division I, II, etc.) ensures that teams compete against others of similar skill and speed.</t>
  </si>
  <si>
    <t>What is the main reason jockeys in Karapan Sapi are typically small and lightweight?</t>
  </si>
  <si>
    <t>A) It is a rule, B) To reduce the total weight the bulls have to pull, maximizing speed, C) Only young boys are brave enough, D) They are easier to train</t>
  </si>
  <si>
    <t>B) To reduce the total weight the bulls have to pull, maximizing speed</t>
  </si>
  <si>
    <t>Every kilogram matters in a sprint. A lighter jockey means the bulls can run faster.</t>
  </si>
  <si>
    <t>A race is declared void due to a malfunctioning starting gate. What happens next?</t>
  </si>
  <si>
    <t>A) The team that reacted fastest is the winner, B) The heat is re-scheduled and re-run from the beginning, C) Both teams are disqualified, D) The winner is decided by a coin toss</t>
  </si>
  <si>
    <t>B) The heat is re-scheduled and re-run from the beginning</t>
  </si>
  <si>
    <t>A technical failure that compromises a fair start requires the heat to be run again.</t>
  </si>
  <si>
    <t>In the moments before a race, a handler is seen whispering to the bulls. What is the purpose of this?</t>
  </si>
  <si>
    <t>A) To give them secret commands, B) To check their hearing, C) To soothe and calm the animals before the explosive start, D) It is a purely ceremonial act</t>
  </si>
  <si>
    <t>C) To soothe and calm the animals before the explosive start</t>
  </si>
  <si>
    <t>Keeping the powerful bulls calm and focused amidst the chaos of the starting area is crucial for a good race.</t>
  </si>
  <si>
    <t>A bull is disqualified in a pre-race check for having "poor temperament". What might the vet have observed?</t>
  </si>
  <si>
    <t>A) The bull was too calm, B) The bull was unusually aggressive, nervous, or uncontrollable, C) The bull was too friendly, D) The bull would not eat</t>
  </si>
  <si>
    <t>B) The bull was unusually aggressive, nervous, or uncontrollable</t>
  </si>
  <si>
    <t>A bull with a dangerous temperament poses a safety risk to the jockey, other teams, and spectators.</t>
  </si>
  <si>
    <t>Why is the jockey's balance on the kaleles considered a key skill?</t>
  </si>
  <si>
    <t>A) It looks impressive for the crowd, B) It prevents the jockey from getting tired, C) The sled is inherently unstable and the jockey must constantly adjust to prevent tipping over, D) It is part of the scoring system</t>
  </si>
  <si>
    <t>C) The sled is inherently unstable and the jockey must constantly adjust to prevent tipping over</t>
  </si>
  <si>
    <t>The lightweight, simple sled has no inherent stability; the jockey's skill in shifting their weight is the only thing that keeps it upright.</t>
  </si>
  <si>
    <t>A team is penalized for having too many assistants in the starting area. What is the purpose of this rule?</t>
  </si>
  <si>
    <t>A) To save space, B) To prevent overcrowding and chaos, ensuring a fair and safe start, C) To reduce the team's advantage, D) To make it harder for the team</t>
  </si>
  <si>
    <t>B) To prevent overcrowding and chaos, ensuring a fair and safe start</t>
  </si>
  <si>
    <t>Limiting the number of handlers ensures the starting procedure is orderly and that no team can physically impede another.</t>
  </si>
  <si>
    <t>What is the most prestigious part of the bull to own after it has won a championship?</t>
  </si>
  <si>
    <t>A) Its horns, B) Its hide, C) Its status as a champion for breeding, D) Its tail</t>
  </si>
  <si>
    <t>C) Its status as a champion for breeding</t>
  </si>
  <si>
    <t>A champion bull's true value lies in its genetics, as its offspring are expected to be fast racers as well.</t>
  </si>
  <si>
    <t>The track for a major event is meticulously cleared of all stones and debris. Why is this so important?</t>
  </si>
  <si>
    <t>A) It makes the track look nicer, B) A small stone can cause a bull to stumble or injure its hoof, leading to a loss or accident, C) It makes the bulls run slower, D) It is a traditional requirement</t>
  </si>
  <si>
    <t>B) A small stone can cause a bull to stumble or injure its hoof, leading to a loss or accident</t>
  </si>
  <si>
    <t>At the high speeds of Karapan Sapi, even a minor obstacle can have catastrophic consequences for the fast-moving animals.</t>
  </si>
  <si>
    <t>A team uses a cart with wheels instead of a traditional sled (kaleles). Is this allowed in an official race?</t>
  </si>
  <si>
    <t>A) Yes, if the wheels are small, B) Yes, it is a modern innovation, C) No, it violates the traditional equipment rules, D) Only in exhibition races</t>
  </si>
  <si>
    <t>C) No, it violates the traditional equipment rules</t>
  </si>
  <si>
    <t>The use of the traditional skid-like kaleles is a defining characteristic of the sport; wheels are not permitted in official races.</t>
  </si>
  <si>
    <t>During a close finish, one jockey leans far forward over the finish line. Does this affect the result?</t>
  </si>
  <si>
    <t>A) Yes, the jockey's position counts, B) No, only the bull's nose determines the winner, C) It can lead to disqualification, D) It results in a time bonus</t>
  </si>
  <si>
    <t>B) No, only the bull's nose determines the winner</t>
  </si>
  <si>
    <t>The position of the jockey or the sled is irrelevant for the finish; the race is won by the bull itself.</t>
  </si>
  <si>
    <t>If a jockey uses two whips simultaneously, what is the ruling?</t>
  </si>
  <si>
    <t>A) It is allowed for extra speed, B) A warning is issued, C) Immediate disqualification for illegal equipment, D) The team gets a time penalty</t>
  </si>
  <si>
    <t>C) Immediate disqualification for illegal equipment</t>
  </si>
  <si>
    <t>Rules typically limit the jockey to a single whip to prevent excessive and cruel treatment of the animals.</t>
  </si>
  <si>
    <t>A bull's decorative headpiece falls off mid-race and trips a rival team's bull. Who is at fault?</t>
  </si>
  <si>
    <t>A) The team whose bull was tripped, B) The team whose decoration fell off, C) It is considered a no-fault racing incident, D) The race organizers</t>
  </si>
  <si>
    <t>B) The team whose decoration fell off</t>
  </si>
  <si>
    <t>Teams are responsible for ensuring all their equipment and decorations are secure. Causing interference results in a fault.</t>
  </si>
  <si>
    <t>Why do some bulls wear blinders or have their vision partially obscured during the parade?</t>
  </si>
  <si>
    <t>A) To make them look more intimidating, B) To keep them calm and focused by reducing visual distractions, C) It is a traditional fashion, D) To protect their eyes from the sun</t>
  </si>
  <si>
    <t>B) To keep them calm and focused by reducing visual distractions</t>
  </si>
  <si>
    <t>Limiting the bull's field of vision can help prevent them from becoming spooked by the large crowds and chaotic environment.</t>
  </si>
  <si>
    <t>A team wins, but a post-race weigh-in shows their bulls are in the wrong, lighter weight class. What happens?</t>
  </si>
  <si>
    <t>A) The win stands, B) They are moved to the correct class for the next race, C) They are disqualified and the runner-up wins, D) They are fined</t>
  </si>
  <si>
    <t>C) They are disqualified and the runner-up wins</t>
  </si>
  <si>
    <t>Competing in the wrong class is a serious violation of fairness, leading to retroactive disqualification.</t>
  </si>
  <si>
    <t>What is the main objective of the ceremonial dance often performed before the grand finals?</t>
  </si>
  <si>
    <t>A) To entertain the sponsors, B) To warm up the jockeys, C) To honor the traditions of the sport and build excitement, D) To predict the winner</t>
  </si>
  <si>
    <t>C) To honor the traditions of the sport and build excitement</t>
  </si>
  <si>
    <t>The dances are a key part of the cultural pageantry, celebrating the heritage of Karapan Sapi.</t>
  </si>
  <si>
    <t>A jockey is seen biting the tail of his bull. Why might he do this, and is it legal?</t>
  </si>
  <si>
    <t>A) To bond with the bull; it is legal, B) To steer the bull; it is a traditional but now-banned technique, C) To clean the tail; it is legal, D) To show off; it is a fault</t>
  </si>
  <si>
    <t>B) To steer the bull; it is a traditional but now-banned technique</t>
  </si>
  <si>
    <t>This was an old, cruel method of inflicting pain to make a bull run faster or straighter. It is now illegal under animal welfare rules.</t>
  </si>
  <si>
    <t>If a race is held on a particularly windy day, how might this affect a team's strategy?</t>
  </si>
  <si>
    <t>A) It does not affect strategy, B) Teams will prefer the lane that is sheltered from the wind, C) Jockeys may crouch lower to reduce drag, D) Both B and C</t>
  </si>
  <si>
    <t>D) Both B and C</t>
  </si>
  <si>
    <t>Wind resistance is a major factor. A sheltered lane is a significant advantage, and jockeys will try to be more aerodynamic.</t>
  </si>
  <si>
    <t>The owner of a losing team lodges a protest against the winner. What must they typically do?</t>
  </si>
  <si>
    <t>A) Announce it publicly, B) Submit a formal written complaint with a fee, C) Challenge the other owner to a debate, D) Get a majority vote from the crowd</t>
  </si>
  <si>
    <t>B) Submit a formal written complaint with a fee</t>
  </si>
  <si>
    <t>Official protests must follow a formal procedure, which usually includes a written claim and a deposit that is returned if the protest is successful.</t>
  </si>
  <si>
    <t>What is the primary health check a veterinarian performs on bulls before a race?</t>
  </si>
  <si>
    <t>A) Checking their horn length, B) Checking for signs of lameness, injury, or exhaustion, C) Measuring their weight, D) Checking their teeth</t>
  </si>
  <si>
    <t>B) Checking for signs of lameness, injury, or exhaustion</t>
  </si>
  <si>
    <t>The vet's priority is to ensure the animals are physically fit to compete without risk to their health and welfare.</t>
  </si>
  <si>
    <t>What is the ruling if a bull passes the vet check but then shows clear signs of distress at the starting line?</t>
  </si>
  <si>
    <t>A) The team must race anyway, B) The head judge or vet can order a last-minute withdrawal, C) The team is given 5 minutes to recover, D) The team gets a time penalty</t>
  </si>
  <si>
    <t>B) The head judge or vet can order a last-minute withdrawal</t>
  </si>
  <si>
    <t>Safety and animal welfare are paramount. Officials can pull a team from a race at any point before it begins if the animal appears unfit.</t>
  </si>
  <si>
    <t>A team is known for their unique herbal tonic (jamu) they feed their bulls. What is the intended purpose of these tonics?</t>
  </si>
  <si>
    <t>A) To increase the bull's weight, B) To improve stamina, strength, and overall health, C) To make the bull's coat shinier, D) To sedate the bull and keep it calm</t>
  </si>
  <si>
    <t>B) To improve stamina, strength, and overall health</t>
  </si>
  <si>
    <t>Jamu are traditional herbal mixtures believed to enhance the athletic performance and vitality of the racing bulls.</t>
  </si>
  <si>
    <t>Why is it considered a foul for an assistant to run ahead of their own bulls during the race?</t>
  </si>
  <si>
    <t>A) It obstructs the view of the judges, B) It can be seen as "pacing" or unfairly leading the bulls, C) It is dangerous for the assistant, D) It tires the assistant out</t>
  </si>
  <si>
    <t>B) It can be seen as "pacing" or unfairly leading the bulls</t>
  </si>
  <si>
    <t>The bulls must run on their own accord, guided by the jockey. Having someone run in front is a form of illegal assistance.</t>
  </si>
  <si>
    <t>After a race, a winning bull is covered in a ceremonial cloth. What does this signify?</t>
  </si>
  <si>
    <t>A) It is to help the bull cool down, B) It marks the bull as a champion and honors it, C) It is to hide the bull from public view, D) It is an advertisement for a sponsor</t>
  </si>
  <si>
    <t>B) It marks the bull as a champion and honors it</t>
  </si>
  <si>
    <t>This is a symbolic gesture of respect, similar to placing a wreath on a winning horse.</t>
  </si>
  <si>
    <t>A race features a special "inter-village" trophy. What is the social significance of winning this?</t>
  </si>
  <si>
    <t>A) It grants special farming rights, B) It brings great honor and prestige to the owner's entire village, C) It means the village hosts the next race, D) It comes with a large plot of land</t>
  </si>
  <si>
    <t>B) It brings great honor and prestige to the owner's entire village</t>
  </si>
  <si>
    <t>Karapan Sapi is a deeply communal sport, and a victory is a source of immense pride for the whole community, not just the owner.</t>
  </si>
  <si>
    <t>A jockey steers his bulls by pulling on ropes. Where are these ropes attached?</t>
  </si>
  <si>
    <t>A) To the horns, B) To a ring in the bull's nose, C) To the yoke, D) To a harness around the bull's body</t>
  </si>
  <si>
    <t>B) To a ring in the bull's nose</t>
  </si>
  <si>
    <t>The reins are typically attached to nose rings, which provides the jockey with effective steering control.</t>
  </si>
  <si>
    <t>What is the main reason that the jockey's role is considered highly dangerous?</t>
  </si>
  <si>
    <t>A) The risk of splinters from the sled, B) The high speed combined with the lack of any protective cage or saddle, C) The bulls are aggressive, D) The tracks are always muddy</t>
  </si>
  <si>
    <t>B) The high speed combined with the lack of any protective cage or saddle</t>
  </si>
  <si>
    <t>The jockey is completely exposed, balancing on a small sled moving at very high speeds, with a high risk of falling and being trampled.</t>
  </si>
  <si>
    <t>A team is accused of using a cart made from a non-traditional, high-tech material like carbon fiber. Why would this be controversial?</t>
  </si>
  <si>
    <t>A) It would be too light, B) It deviates from the cultural heritage and craftsmanship of the sport, C) It would be too expensive, D) It might break easily</t>
  </si>
  <si>
    <t>B) It deviates from the cultural heritage and craftsmanship of the sport</t>
  </si>
  <si>
    <t>A key part of Karapan Sapi is the traditional artistry. Using modern composites would be seen as violating the spirit of the event.</t>
  </si>
  <si>
    <t>If a team is disqualified, what happens to their finishing time and position?</t>
  </si>
  <si>
    <t>A) It is recorded with a DQ note, B) It is completely erased from the official results, C) They are placed last, D) They are given the slowest time of the heat</t>
  </si>
  <si>
    <t>B) It is completely erased from the official results</t>
  </si>
  <si>
    <t>A disqualification means the team is treated as if they did not finish the race, and they are removed from the standings.</t>
  </si>
  <si>
    <t>What is the primary purpose of the loud, continuous music and drumming during a race?</t>
  </si>
  <si>
    <t>A) To confuse the bulls, B) To energize the crowd and create a dramatic atmosphere, C) To provide a rhythm for the bulls to run to, D) To signal the winner</t>
  </si>
  <si>
    <t>B) To energize the crowd and create a dramatic atmosphere</t>
  </si>
  <si>
    <t>The music is a core part of the festive experience, creating excitement and a sense of occasion for the entire community.</t>
  </si>
  <si>
    <t>What is the term for the preliminary rounds of a Karapan Sapi tournament?</t>
  </si>
  <si>
    <t>A) Penyisihan (Elimination), B) Final, C) Kejuaraan (Championship), D) Latihan (Practice)</t>
  </si>
  <si>
    <t>A) Penyisihan (Elimination)</t>
  </si>
  <si>
    <t>The penyisihan rounds are the qualifying heats where teams compete to advance to the next stage.</t>
  </si>
  <si>
    <t>A jockey is seen using spurs on his boots. Is this legal equipment?</t>
  </si>
  <si>
    <t>A) Yes, it is a traditional tool, B) No, spurs are considered cruel and are not part of Karapan Sapi equipment, C) Only if the spurs are blunt, D) Only in championship races</t>
  </si>
  <si>
    <t>B) No, spurs are considered cruel and are not part of Karapan Sapi equipment</t>
  </si>
  <si>
    <t>The jockey's control comes from the reins and a whip; metal spurs are a foreign and illegal tool that would be penalized.</t>
  </si>
  <si>
    <t>A race is held on a track that is noticeably shorter than the official standard. What is this type of race called?</t>
  </si>
  <si>
    <t>A) A marathon race, B) An exhibition or village race, C) A championship race, D) A junior race</t>
  </si>
  <si>
    <t>B) An exhibition or village race</t>
  </si>
  <si>
    <t>While championships have standard lengths, local or informal races often use shorter tracks suited to the available space.</t>
  </si>
  <si>
    <t>The "Gengsi" (prestige/social status) associated with winning a Karapan Sapi race is often considered more important than what?</t>
  </si>
  <si>
    <t>A) The safety of the jockey, B) The health of the bulls, C) The monetary prize, D) The speed of the race</t>
  </si>
  <si>
    <t>C) The monetary prize</t>
  </si>
  <si>
    <t>The social honor, pride, and elevated status for the owner and their village is often the most coveted prize.</t>
  </si>
  <si>
    <t>What is the ideal body shape for a Karapan Sapi bull?</t>
  </si>
  <si>
    <t>A) Heavy and bulky for power, B) Lean, with long legs and powerful hindquarters for speed, C) Small and compact for agility, D) A thick neck for pulling</t>
  </si>
  <si>
    <t>B) Lean, with long legs and powerful hindquarters for speed</t>
  </si>
  <si>
    <t>Like a greyhound or cheetah, the ideal racing bull is built for sprinting, not for brute strength.</t>
  </si>
  <si>
    <t>If a team's assistant is caught trying to distract a rival team's bulls at the start line, what is the penalty?</t>
  </si>
  <si>
    <t>A) A verbal warning, B) A time penalty is added, C) The assistant is ejected and the team is disqualified, D) The team must switch lanes</t>
  </si>
  <si>
    <t>C) The assistant is ejected and the team is disqualified</t>
  </si>
  <si>
    <t>This act of unsportsmanlike conduct and direct interference is a serious offense that leads to disqualification.</t>
  </si>
  <si>
    <t>A bull is disqualified for having a "split hoof". What is the main concern with this condition?</t>
  </si>
  <si>
    <t>A) It looks unattractive, B) It is a sign of a weak bull, C) It can cause pain and lead to severe injury during a race, D) It gives the bull an unfair advantage</t>
  </si>
  <si>
    <t>C) It can cause pain and lead to severe injury during a race</t>
  </si>
  <si>
    <t>A damaged or split hoof is a major health concern that makes it unsafe for the animal to race at high speed.</t>
  </si>
  <si>
    <t>A jockey's success is often attributed to having a good "feel" for the bulls. What does this mean?</t>
  </si>
  <si>
    <t>A) He has the strongest grip, B) He has the best whip, C) He has an intuitive understanding of his animals' rhythm and energy, D) He is the lightest</t>
  </si>
  <si>
    <t>C) He has an intuitive understanding of his animals' rhythm and energy</t>
  </si>
  <si>
    <t>A great jockey can sense when to push, when to conserve energy, and how to keep the bulls synchronized through subtle adjustments.</t>
  </si>
  <si>
    <t>The practice of decorating the bulls is believed to bring what, besides honor?</t>
  </si>
  <si>
    <t>A) Better speed, B) Good luck and protection from harm, C) More prize money, D) Better weather</t>
  </si>
  <si>
    <t>B) Good luck and protection from harm</t>
  </si>
  <si>
    <t>Many of the traditional decorations and rituals are rooted in beliefs that they will bless the bulls and keep them safe.</t>
  </si>
  <si>
    <t>Why are Karapan Sapi bulls almost always male?</t>
  </si>
  <si>
    <t>A) Male bulls are traditionally considered more prestigious, B) Male bulls are naturally stronger and faster, C) Female cows are reserved for farming, D) All of the above</t>
  </si>
  <si>
    <t>D) All of the above</t>
  </si>
  <si>
    <t>A combination of cultural prestige, physical attributes (strength/speed), and traditional agricultural roles means only male bulls are used.</t>
  </si>
  <si>
    <t>If a team brings a bull from another island (e.g., Java) to compete, what is a potential disadvantage?</t>
  </si>
  <si>
    <t>A) The bull may not be accustomed to the Madurese climate and diet, B) The bull is not allowed by the rules, C) The bull will be too slow, D) The bull will be too aggressive</t>
  </si>
  <si>
    <t>A) The bull may not be accustomed to the Madurese climate and diet</t>
  </si>
  <si>
    <t>Acclimatization is a key factor, and a bull not raised in the local environment may underperform.</t>
  </si>
  <si>
    <t>What is the main reason for the decline in the number of Karapan Sapi events in some parts of Madura?</t>
  </si>
  <si>
    <t>A) The sport has become too dangerous, B) The high cost of raising and training champion bulls, C) Lack of interest from younger generations, D) Both B and C</t>
  </si>
  <si>
    <t>The significant financial investment and a shift in interest among youth present challenges to the sport's continuity.</t>
  </si>
  <si>
    <t>A winning jockey is celebrated and carried on the shoulders of his village members. What does this signify?</t>
  </si>
  <si>
    <t>A) He is now the village chief, B) He has brought great honor to his community, C) He is being punished for breaking a rule, D) He is too tired to walk</t>
  </si>
  <si>
    <t>B) He has brought great honor to his community</t>
  </si>
  <si>
    <t>This is a communal celebration of a shared victory, recognizing the jockey as a local hero.</t>
  </si>
  <si>
    <t>What happens to a champion bull after it retires from racing?</t>
  </si>
  <si>
    <t>A) It is sold for meat, B) It is used for plowing fields, C) It becomes a highly valued breeding stud, D) It is released into the wild</t>
  </si>
  <si>
    <t>C) It becomes a highly valued breeding stud</t>
  </si>
  <si>
    <t>A retired champion's value is in its genetics, used to produce the next generation of racing bulls.</t>
  </si>
  <si>
    <t>A Karapan Sapi event is sponsored by a large corporation. What is a potential cultural concern?</t>
  </si>
  <si>
    <t>A) The race will be too professional, B) The event might lose its traditional, community-focused spirit, C) The prizes will be too large, D) The bulls will be treated better</t>
  </si>
  <si>
    <t>B) The event might lose its traditional, community-focused spirit</t>
  </si>
  <si>
    <t>There is often a tension between commercialization and preserving the authentic cultural and ritualistic aspects of the festival.</t>
  </si>
  <si>
    <t>A jockey's rein snaps mid-race. What is the most likely outcome?</t>
  </si>
  <si>
    <t>A) He can continue steering with one rein, B) The team is immediately disqualified due to loss of control, C) The race is stopped, D) He can fashion a new rein</t>
  </si>
  <si>
    <t>B) The team is immediately disqualified due to loss of control</t>
  </si>
  <si>
    <t>The reins are the primary control mechanism. An equipment failure that makes steering impossible results in a DQ for safety reasons.</t>
  </si>
  <si>
    <t>The soil of the Madura island is said to give its bulls a special advantage. What characteristic is this related to?</t>
  </si>
  <si>
    <t>A) The high mineral content is believed to build stronger bones, B) The soil is softer for training, C) The soil makes their hooves harder, D) This is purely a myth</t>
  </si>
  <si>
    <t>A) The high mineral content is believed to build stronger bones</t>
  </si>
  <si>
    <t>Local belief holds that the island's unique soil and vegetation contribute to the superior strength and build of Madurese cattle.</t>
  </si>
  <si>
    <t>A team is disqualified for "unsportsmanlike conduct." Which of these actions would qualify?</t>
  </si>
  <si>
    <t>A) Celebrating a victory too loudly, B) Intentionally impeding or shouting at a rival jockey during the race, C) Using a non-traditional cart, D) Having the fastest bull</t>
  </si>
  <si>
    <t>B) Intentionally impeding or shouting at a rival jockey during the race</t>
  </si>
  <si>
    <t>Any action taken to deliberately and unfairly interfere with a competitor's performance is unsportsmanlike conduct.</t>
  </si>
  <si>
    <t>What is the significance of the jockey's bare feet on the kaleles?</t>
  </si>
  <si>
    <t>A) It is a sign of poverty, B) It provides a better grip and feel for the balance of the sled, C) Shoes are not allowed by the rules, D) It keeps the jockey cool</t>
  </si>
  <si>
    <t>B) It provides a better grip and feel for the balance of the sled</t>
  </si>
  <si>
    <t>Bare feet allow the jockey to make micro-adjustments and feel the vibrations of the sled, aiding in their incredible balancing act.</t>
  </si>
  <si>
    <t>If a team is accused of swapping one of their bulls between heats, how would officials verify this?</t>
  </si>
  <si>
    <t>A) By asking the jockey, B) By checking the bull's decorative paint, C) By checking pre-race photographs, ear tags, or markings, D) By weighing the bull again</t>
  </si>
  <si>
    <t>C) By checking pre-race photographs, ear tags, or markings</t>
  </si>
  <si>
    <t>Officials use identification markers recorded during registration to ensure the same animals compete throughout the day.</t>
  </si>
  <si>
    <t>A "trial run" or percobaan is held before the main race. What is its purpose?</t>
  </si>
  <si>
    <t>A) To determine the final winner, B) To allow the bulls to familiarize themselves with the track, C) To sell tickets, D) To weigh the jockeys</t>
  </si>
  <si>
    <t>B) To allow the bulls to familiarize themselves with the track</t>
  </si>
  <si>
    <t>A practice run helps the bulls get used to the specific conditions of the track and atmosphere before the scored heats begin.</t>
  </si>
  <si>
    <t>What is the main difference between a Karapan Sapi race and a regular bullock cart race seen elsewhere?</t>
  </si>
  <si>
    <t>A) The number of wheels, B) The jockey stands instead of sits, C) The focus on raw speed over a short distance, D) All of the above</t>
  </si>
  <si>
    <t>Karapan Sapi is a unique form of bull racing defined by its wheel-less sled, standing jockey, and its nature as an all-out sprint.</t>
  </si>
  <si>
    <t>A bull has a calm temperament but lacks top speed. What role might it be better suited for?</t>
  </si>
  <si>
    <t>A) The Sapi Sonok (beauty contest), B) A different type of cart race, C) Plowing fields, D) All of the above</t>
  </si>
  <si>
    <t>A bull's temperament and physical abilities determine its best use, whether in cultural pageants, work, or other sports.</t>
  </si>
  <si>
    <t>The ownership of a champion Karapan Sapi team is often held by whom?</t>
  </si>
  <si>
    <t>A) A single wealthy individual or family, B) A cooperative of farmers, C) The local government, D) A corporation</t>
  </si>
  <si>
    <t>A) A single wealthy individual or family</t>
  </si>
  <si>
    <t>Due to the high costs, owning a top-tier racing team is often a pursuit of affluent individuals who seek the associated prestige.</t>
  </si>
  <si>
    <t>What is the most common injury a jockey might suffer in a crash?</t>
  </si>
  <si>
    <t>A) Broken bones from falls or being trampled, B) Sunburn, C) Dehydration, D) Splinters from the sled</t>
  </si>
  <si>
    <t>A) Broken bones from falls or being trampled</t>
  </si>
  <si>
    <t>The high speed and lack of protection make severe impact injuries the greatest danger for jockeys.</t>
  </si>
  <si>
    <t>A team is disqualified for having a jockey who is not from Madura. What is the reason for such a rule?</t>
  </si>
  <si>
    <t>A) To ensure the jockey understands the local language commands, B) To preserve the sport as a Madurese cultural heritage, C) Jockeys from other islands are not skilled enough, D) To prevent spying</t>
  </si>
  <si>
    <t>B) To preserve the sport as a Madurese cultural heritage</t>
  </si>
  <si>
    <t>Some events may have rules designed to maintain the local and traditional identity of the competition.</t>
  </si>
  <si>
    <t>Before a race, a handler covers the bull's eyes with a cloth. What is the purpose?</t>
  </si>
  <si>
    <t>A) To protect from sun, B) To keep the bull calm and prevent it from seeing the start signal prematurely, C) It is a religious ritual, D) To check for blindness</t>
  </si>
  <si>
    <t>B) To keep the bull calm and prevent it from seeing the start signal prematurely</t>
  </si>
  <si>
    <t>This is a technique to manage a bull's anxiety and focus its energy for an explosive start at the exact moment the cloth is removed.</t>
  </si>
  <si>
    <t>What is the role of the tokang tongko?</t>
  </si>
  <si>
    <t>A) He is the jockey, B) He is the bull owner, C) He is the head judge, D) He is the cart builder</t>
  </si>
  <si>
    <t>A) He is the jockey</t>
  </si>
  <si>
    <t>Tokang Tongko is another local term for the Karapan Sapi jockey who pilots the sled.</t>
  </si>
  <si>
    <t>A team's cart is built with a slight upward curve at the front. What is the aerodynamic purpose?</t>
  </si>
  <si>
    <t>A) To create downforce for stability, B) To reduce drag by lifting the front slightly at high speed, C) To make it look more elegant, D) To deflect mud</t>
  </si>
  <si>
    <t>B) To reduce drag by lifting the front slightly at high speed</t>
  </si>
  <si>
    <t>This design feature can help the sled skim over the surface of the track, reducing friction.</t>
  </si>
  <si>
    <t>If a bull is seen foaming at the mouth during a race, it is a critical sign of what?</t>
  </si>
  <si>
    <t>A) Peak athletic performance, B) Extreme dehydration and heatstroke, C) Aggression, D) Having eaten the wrong food</t>
  </si>
  <si>
    <t>B) Extreme dehydration and heatstroke</t>
  </si>
  <si>
    <t>Foaming is a danger sign indicating the bull has gone beyond normal exertion into a state of severe physical distress.</t>
  </si>
  <si>
    <t>A race is held, but the traditional Gamelan music is absent. How might this affect the event?</t>
  </si>
  <si>
    <t>A) It will not affect it, B) The bulls may run faster without the distraction, C) It will feel less festive and culturally incomplete to the community, D) The jockeys will find it harder to concentrate</t>
  </si>
  <si>
    <t>C) It will feel less festive and culturally incomplete to the community</t>
  </si>
  <si>
    <t>The music is considered a vital part of the event's soul, and its absence would diminish the cultural experience.</t>
  </si>
  <si>
    <t>What is a "Jus Gendong"?</t>
  </si>
  <si>
    <t>A) A type of winning trophy, B) A special herbal energy drink for the bulls, C) The ceremonial parade, D) A style of whipping</t>
  </si>
  <si>
    <t>B) A special herbal energy drink for the bulls</t>
  </si>
  <si>
    <t>This is part of the specialized diet, a traditional tonic made of herbs and eggs believed to boost stamina.</t>
  </si>
  <si>
    <t>Why are the horns of the bulls often decorated with gold leaf or paint?</t>
  </si>
  <si>
    <t>A) To make them heavier for better balance, B) To show the high value and status of the animals, C) To make them more visible during the race, D) To protect them from breaking</t>
  </si>
  <si>
    <t>B) To show the high value and status of the animals</t>
  </si>
  <si>
    <t>Gilding the horns is a cosmetic enhancement that signifies the bull is a prized, champion-caliber animal.</t>
  </si>
  <si>
    <t>A jockey uses a specific, rhythmic whistle to command his bulls. Why is this more effective than shouting?</t>
  </si>
  <si>
    <t>A) The whistle is louder, B) It is a clearer, more consistent signal that the bulls can easily recognize, C) It uses less energy, D) It is required by the rules</t>
  </si>
  <si>
    <t>B) It is a clearer, more consistent signal that the bulls can easily recognize</t>
  </si>
  <si>
    <t>A distinct acoustic signal can cut through the crowd noise more effectively than a human voice and provides a clear cue for the animals.</t>
  </si>
  <si>
    <t>What is the main reason Karapan Sapi has not become a major international sport?</t>
  </si>
  <si>
    <t>A) It is considered too dangerous, B) The high specialization of the bulls and cultural context make it difficult to replicate elsewhere, C) There is not enough prize money, D) The rules are too complex</t>
  </si>
  <si>
    <t>B) The high specialization of the bulls and cultural context make it difficult to replicate elsewhere</t>
  </si>
  <si>
    <t>The sport is deeply tied to the specific Madurese cattle breed and cultural traditions, which are not easily exported.</t>
  </si>
  <si>
    <t>If a team is disqualified, do they get their entry fee back?</t>
  </si>
  <si>
    <t>A) Yes, always, B) Only if the disqualification was for a technical reason, C) No, entry fees are non-refundable, D) They get 50% back</t>
  </si>
  <si>
    <t>C) No, entry fees are non-refundable</t>
  </si>
  <si>
    <t>A disqualification due to a rule violation committed by the team results in the forfeiture of their entry fee.</t>
  </si>
  <si>
    <t>A bull is disqualified for being "over-decorated". What does this mean?</t>
  </si>
  <si>
    <t>A) The decorations are not traditional, B) The weight of the decorations exceeds the allowed limit, C) The decorations are from a rival's village, D) The paint is the wrong color</t>
  </si>
  <si>
    <t>B) The weight of the decorations exceeds the allowed limit</t>
  </si>
  <si>
    <t>To ensure fairness, there are often rules limiting the total weight of non-essential decorations a bull can carry.</t>
  </si>
  <si>
    <t>What is the significance of the race track often being located in a rice paddy?</t>
  </si>
  <si>
    <t>A) It is the only available open space, B) It connects the sport to its agricultural origins, C) The mud is good for the bulls' hooves, D) Both A and B</t>
  </si>
  <si>
    <t>D) Both A and B</t>
  </si>
  <si>
    <t>The use of rice fields is both practical and symbolic, honoring the sport's roots in farming culture.</t>
  </si>
  <si>
    <t>A jockey is seen patting his bulls and speaking to them calmly after a race. What is the importance of this?</t>
  </si>
  <si>
    <t>A) It is for show, B) It helps to cool the animals down, C) It builds a bond and trust between the jockey and his animals, D) It is a required post-race ritual</t>
  </si>
  <si>
    <t>C) It builds a bond and trust between the jockey and his animals</t>
  </si>
  <si>
    <t>The relationship between the jockey and the bulls is crucial; good animal husbandry and bonding are key to success.</t>
  </si>
  <si>
    <t>What is the "spirit" or main philosophy behind Karapan Sapi for the Madurese people?</t>
  </si>
  <si>
    <t>A) It is purely for entertainment, B) It is a way to get rich quickly, C) It is a test of prestige, honor, and hard work (harkat dan martabat), D) It is a form of protest</t>
  </si>
  <si>
    <t>C) It is a test of prestige, honor, and hard work (harkat dan martabat)</t>
  </si>
  <si>
    <t>The sport is a deeply serious cultural institution that reflects the community's values of dignity, pride, and diligent effort.</t>
  </si>
  <si>
    <t>During a team's run, the Gamelan music changes to a faster tempo. What does this signify?</t>
  </si>
  <si>
    <t>A) The team is about to be disqualified, B) It is a signal to the jockey to speed up, C) It reflects the increasing excitement as the team nears the finish, D) The musicians made a mistake</t>
  </si>
  <si>
    <t>C) It reflects the increasing excitement as the team nears the finish</t>
  </si>
  <si>
    <t>The music is often dynamic and responds to the action on the track, building a crescendo of excitement with the race.</t>
  </si>
  <si>
    <t>If a bull has a reputation for being a "late-finisher", what does this imply?</t>
  </si>
  <si>
    <t>A) It has poor stamina, B) It starts slow but has a powerful surge of speed in the second half of the race, C) It always starts late, D) It is easily distracted</t>
  </si>
  <si>
    <t>B) It starts slow but has a powerful surge of speed in the second half of the race</t>
  </si>
  <si>
    <t>This describes a racing style where the bull conserves energy at the start and relies on superior stamina to overtake opponents near the end.</t>
  </si>
  <si>
    <t>A team is disqualified for having their assistant use a laser pointer on a rival bull. Why is this a serious foul?</t>
  </si>
  <si>
    <t>A) It is not traditional, B) It is a dangerous and unfair attempt to distract or spook a rival animal, C) It could damage the bull's eyes, D) Both B and C</t>
  </si>
  <si>
    <t>Using a modern device to unfairly and dangerously interfere with another team is a major violation of sportsmanship and safety.</t>
  </si>
  <si>
    <t>Why are there typically separate competition classes (e.g., Division I, II, III)?</t>
  </si>
  <si>
    <t>A) To separate bulls by color, B) To group teams of similar speed and ability for fairer competition, C) To separate bulls by age, D) To make the event longer</t>
  </si>
  <si>
    <t>B) To group teams of similar speed and ability for fairer competition</t>
  </si>
  <si>
    <t>A divisional system ensures that races are competitive by pitting teams of comparable performance levels against each other.</t>
  </si>
  <si>
    <t>A champion bull is given a name like "Bintang Timur" (Eastern Star). What is the purpose of such a name?</t>
  </si>
  <si>
    <t>A) It is a registered brand, B) It gives the bull an identity and enhances its legendary status, C) It is required for betting, D) It describes the bull's color</t>
  </si>
  <si>
    <t>B) It gives the bull an identity and enhances its legendary status</t>
  </si>
  <si>
    <t>Naming a champion bull, much like a racehorse, builds its character and fame within the community.</t>
  </si>
  <si>
    <t>If the track has a "wet" spot and a "dry" spot, which path would a skilled jockey likely choose?</t>
  </si>
  <si>
    <t>A) The wet spot for better grip, B) The dry spot for less drag and higher speed, C) They would aim for the middle, D) It makes no difference</t>
  </si>
  <si>
    <t>B) The dry spot for less drag and higher speed</t>
  </si>
  <si>
    <t>A jockey with good track awareness will always steer their bulls to the path of least resistance to maintain top speed.</t>
  </si>
  <si>
    <t>A team is known for its exceptional kaleles. What makes a sled exceptional?</t>
  </si>
  <si>
    <t>A) Its color, B) The use of rare, ultra-lightweight wood and superior craftsmanship, C) Its age, D) Its decorations</t>
  </si>
  <si>
    <t>B) The use of rare, ultra-lightweight wood and superior craftsmanship</t>
  </si>
  <si>
    <t>A masterfully built sled that is both incredibly light and durable provides a significant competitive edge.</t>
  </si>
  <si>
    <t>What is the main reason that Karapan Sapi jockeys do not use saddles or any form of seating?</t>
  </si>
  <si>
    <t>A) Saddles are too expensive, B) It would add too much weight and restrict the jockey's ability to balance, C) It is a test of bravery, D) The bulls are not strong enough</t>
  </si>
  <si>
    <t>B) It would add too much weight and restrict the jockey's ability to balance</t>
  </si>
  <si>
    <t>The entire sport is predicated on being lightweight and dynamic; a saddle would add weight and prevent the jockey from making crucial balance adjustments.</t>
  </si>
  <si>
    <t>A team is disqualified for "intimidating a rival bull" before the start. What might they have done?</t>
  </si>
  <si>
    <t>A) Decorated their own bull aggressively, B) Made sudden loud noises near the rival bull, C) Stared at the rival bull, D) Fed their bull a better diet</t>
  </si>
  <si>
    <t>B) Made sudden loud noises near the rival bull</t>
  </si>
  <si>
    <t>Any action intended to spook or unsettle a competitor's animals before the race begins is an act of unsportsmanlike conduct.</t>
  </si>
  <si>
    <t>The final victory parade for the season's champion is called the arak-arakan. What is its primary purpose?</t>
  </si>
  <si>
    <t>A) To sell the winning bulls, B) To formally display the champion team and share the victory with the entire community, C) To challenge other villages, D) To conduct the prize-giving ceremony</t>
  </si>
  <si>
    <t>B) To formally display the champion team and share the victory with the entire community</t>
  </si>
  <si>
    <t>The parade is the culmination of the season, a public celebration where the winning owner and their village display their hard-won prestige.</t>
  </si>
  <si>
    <t>What are the two primary pieces of equipment used by a fighter (pepadu) in a Peresean match?</t>
  </si>
  <si>
    <t>A) A sword and shield, B) A rattan stick and a shield, C) Two rattan sticks, D) Padded gloves and a helmet</t>
  </si>
  <si>
    <t>B) A rattan stick and a shield</t>
  </si>
  <si>
    <t>The traditional equipment consists of a rattan stick (penjalin) for striking and a shield (ende) for defense.</t>
  </si>
  <si>
    <t>From which island in Indonesia does the martial art of Peresean originate?</t>
  </si>
  <si>
    <t>A) Bali, B) Java, C) Sumatra, D) Lombok</t>
  </si>
  <si>
    <t>D) Lombok</t>
  </si>
  <si>
    <t>Peresean is a traditional martial art and ritual fight practiced by the Sasak people of Lombok.</t>
  </si>
  <si>
    <t>In a Peresean match, a clean strike is landed on the opponent's torso. What is the immediate result?</t>
  </si>
  <si>
    <t>A) The match continues, B) A point is awarded to the attacker, C) A warning is issued for excessive force, D) The round ends</t>
  </si>
  <si>
    <t>B) A point is awarded to the attacker</t>
  </si>
  <si>
    <t>A legal strike to a valid target area (from the waist to the shoulder) scores a point.</t>
  </si>
  <si>
    <t>What is the ruling if a fighter strikes their opponent on the head?</t>
  </si>
  <si>
    <t>A) A point is awarded for a difficult target, B) The strike is considered a foul, C) The match is immediately over, D) The point is replayed</t>
  </si>
  <si>
    <t>B) The strike is considered a foul</t>
  </si>
  <si>
    <t>Strikes to the head and neck are strictly forbidden for safety reasons and result in a penalty.</t>
  </si>
  <si>
    <t>A fighter swings their rattan stick but loses their balance and falls to the ground without being touched. What is the outcome?</t>
  </si>
  <si>
    <t>A) The point is replayed, B) The fighter is given a warning, C) A point is awarded to the opponent, D) The match continues with no point scored</t>
  </si>
  <si>
    <t>C) A point is awarded to the opponent</t>
  </si>
  <si>
    <t>Losing one's footing and falling is considered a loss of control, automatically conceding a point.</t>
  </si>
  <si>
    <t>A fighter lands a strike on their opponent's leg, below the knee. How is this action judged?</t>
  </si>
  <si>
    <t>A) A point is awarded, B) The strike is considered a foul, C) It is legal if it was accidental, D) No points are awarded, but the match continues</t>
  </si>
  <si>
    <t>All strikes must be aimed at the body from the waist up. Hitting the legs is an illegal move.</t>
  </si>
  <si>
    <t>During an exchange, a fighter steps completely outside the designated fighting circle (arena). What is the ruling?</t>
  </si>
  <si>
    <t>A) The fighter is given a warning, B) A point is awarded to the opponent, C) The round is paused and reset, D) The fighter can step back in without penalty</t>
  </si>
  <si>
    <t>B) A point is awarded to the opponent</t>
  </si>
  <si>
    <t>Leaving the arena during combat results in an automatic point for the fighter who remained inside.</t>
  </si>
  <si>
    <t>After the referee (pakembar) calls "stop" to end a round, a fighter delivers one more strike. What is the consequence?</t>
  </si>
  <si>
    <t>A) The strike is counted if it lands, B) The point from that round is replayed, C) The action is a foul and the fighter is penalized, D) The referee ignores it</t>
  </si>
  <si>
    <t>C) The action is a foul and the fighter is penalized</t>
  </si>
  <si>
    <t>Any strike landed after the official signal to stop is a serious violation of the rules.</t>
  </si>
  <si>
    <t>A fighter successfully blocks an attack with their shield and immediately lands a clean counter-strike to the opponent's shoulder. What is the result?</t>
  </si>
  <si>
    <t>A) No points, as it was a defensive move, B) A point is awarded for the successful counter-attack, C) The point is replayed, D) A point is awarded for the block only</t>
  </si>
  <si>
    <t>B) A point is awarded for the successful counter-attack</t>
  </si>
  <si>
    <t>A successful defense followed by a clean, immediate counter-strike is a classic way to score a point.</t>
  </si>
  <si>
    <t>During a match, a fighter's rattan stick breaks. What is the correct procedure?</t>
  </si>
  <si>
    <t>A) The fighter is disqualified, B) The fighter must continue without a stick, C) The match is paused to allow for a replacement stick, D) A point is awarded to the opponent</t>
  </si>
  <si>
    <t>C) The match is paused to allow for a replacement stick</t>
  </si>
  <si>
    <t>If equipment breaks, the referee will temporarily halt the fight to ensure the fighter is properly equipped.</t>
  </si>
  <si>
    <t>The traditional shield (ende) used in Peresean is typically made from what material?</t>
  </si>
  <si>
    <t>A) Wood, B) Metal, C) Thick, dried buffalo or cow hide, D) Woven rattan</t>
  </si>
  <si>
    <t>C) Thick, dried buffalo or cow hide</t>
  </si>
  <si>
    <t>The ende is a tough, durable shield made from hardened animal hide, designed to withstand the impact of the rattan stick.</t>
  </si>
  <si>
    <t>What is the traditional purpose or origin of Peresean?</t>
  </si>
  <si>
    <t>A) A form of dance, B) A religious ceremony, C) A form of pre-colonial warfare training for Sasak warriors, D) A game played by children</t>
  </si>
  <si>
    <t>C) A form of pre-colonial warfare training for Sasak warriors</t>
  </si>
  <si>
    <t>Peresean originated as a way for Sasak men to practice their combat skills, courage, and agility for battle.</t>
  </si>
  <si>
    <t>A fighter is disarmed, with their stick being knocked out of their hand by a legal strike. What is the ruling?</t>
  </si>
  <si>
    <t>A) The match is paused so they can retrieve it, B) A point is awarded to the attacker, C) The fighter can continue with only their shield, D) A foul is called on the attacker for excessive force</t>
  </si>
  <si>
    <t>Successfully disarming an opponent with a valid strike is a clear way to win the point.</t>
  </si>
  <si>
    <t>What is the role of the Gamelan music played during a Peresean match?</t>
  </si>
  <si>
    <t>A) To signal the winner, B) To distract the fighters, C) To set the tempo of the fight and energize the participants and crowd, D) It is just background entertainment</t>
  </si>
  <si>
    <t>C) To set the tempo of the fight and energize the participants and crowd</t>
  </si>
  <si>
    <t>The music is integral to the match, with its rhythm often dictating the pace of the action and building excitement.</t>
  </si>
  <si>
    <t>A fighter pushes their opponent with the shield instead of striking with the rattan. How is this action judged?</t>
  </si>
  <si>
    <t>A) It is a clever defensive move, B) A point is awarded for aggression, C) It is a foul for illegal use of the shield, D) The match continues with no call</t>
  </si>
  <si>
    <t>C) It is a foul for illegal use of the shield</t>
  </si>
  <si>
    <t>The shield is for blocking only. Using it to shove or push an opponent is not permitted.</t>
  </si>
  <si>
    <t>The term pepadu refers to whom in a Peresean context?</t>
  </si>
  <si>
    <t>A) The referee, B) The fighter or warrior, C) The musician, D) The village champion</t>
  </si>
  <si>
    <t>B) The fighter or warrior</t>
  </si>
  <si>
    <t>A pepadu is the participant, the fighter who enters the arena to compete.</t>
  </si>
  <si>
    <t>If a fighter lands a strike that is considered "too weak" or a mere tap by the opponent, what is the ruling?</t>
  </si>
  <si>
    <t>A) The point is not awarded, B) The point is awarded if the contact was clean and intentional, C) The fighter is warned for not being aggressive enough, D) The point is replayed</t>
  </si>
  <si>
    <t>B) The point is awarded if the contact was clean and intentional</t>
  </si>
  <si>
    <t>The rules do not typically judge the force of the blow, only its legality and placement. A controlled, legal tap scores.</t>
  </si>
  <si>
    <t>What is the primary objective of a Peresean match?</t>
  </si>
  <si>
    <t>A) To knock the opponent unconscious, B) To score points by landing legal strikes, C) To break the opponent's shield, D) To impress the crowd with acrobatic moves</t>
  </si>
  <si>
    <t>B) To score points by landing legal strikes</t>
  </si>
  <si>
    <t>Peresean is a point-based martial art where victory is achieved by demonstrating superior skill through scoring, not by causing injury.</t>
  </si>
  <si>
    <t>What is the role of the pakembar in a Peresean match?</t>
  </si>
  <si>
    <t>A) The fighter's second or cornerman, B) The traditional healer, C) The referee or umpire who judges the fight, D) The person who crafts the rattan sticks</t>
  </si>
  <si>
    <t>C) The referee or umpire who judges the fight</t>
  </si>
  <si>
    <t>The pakembar is the official who enforces the rules, starts and stops the action, and awards points.</t>
  </si>
  <si>
    <t>A fighter lands a clean strike to the opponent's upper arm. Is this a valid scoring area?</t>
  </si>
  <si>
    <t>A) Yes, the upper arm is a legal target, B) No, only the torso is a legal target, C) It is a foul, D) Only if it causes the opponent to drop their stick</t>
  </si>
  <si>
    <t>A) Yes, the upper arm is a legal target</t>
  </si>
  <si>
    <t>The valid target area in Peresean is generally the body from the waist to the shoulders.</t>
  </si>
  <si>
    <t>Historically, Peresean was sometimes performed as a ritual to ask for what?</t>
  </si>
  <si>
    <t>A) A good harvest, B) Rain during a drought, C) Protection from evil spirits, D) A victory in war</t>
  </si>
  <si>
    <t>B) Rain during a drought</t>
  </si>
  <si>
    <t>The shedding of blood, even symbolically, was part of an ancient ritual to petition the heavens for rain.</t>
  </si>
  <si>
    <t>A fighter lands a legal strike, but immediately after, raises their stick in celebration before the referee has awarded the point. What is the likely result?</t>
  </si>
  <si>
    <t>A) The point is cancelled due to unsportsmanlike conduct, B) The point stands, but the fighter receives a verbal warning, C) The point is awarded to the opponent, D) The round is immediately ended</t>
  </si>
  <si>
    <t>B) The point stands, but the fighter receives a verbal warning</t>
  </si>
  <si>
    <t>The valid point is scored, but celebrating prematurely is seen as disrespectful and will earn a caution from the referee.</t>
  </si>
  <si>
    <t>What is the traditional attire worn by a pepadu during a match?</t>
  </si>
  <si>
    <t>A) Full body armor, B) A loincloth (saput), headband (ikat), and sash, C) A formal suit, D) Standard athletic shorts and a t-shirt</t>
  </si>
  <si>
    <t>B) A loincloth (saput), headband (ikat), and sash</t>
  </si>
  <si>
    <t>Fighters wear traditional Sasak attire, which allows for freedom of movement and upholds the cultural aspect of the sport.</t>
  </si>
  <si>
    <t>If both fighters land a clean strike on each other at the exact same time, what is the most likely ruling?</t>
  </si>
  <si>
    <t>A) The point is awarded to the more aggressive fighter, B) Both fighters are awarded a point, C) The exchange is nullified and the round is reset, D) The fighter who hit the higher point on the body wins</t>
  </si>
  <si>
    <t>C) The exchange is nullified and the round is reset</t>
  </si>
  <si>
    <t>In the case of simultaneous legal strikes, no single fighter has demonstrated superiority, so the exchange is typically voided.</t>
  </si>
  <si>
    <t>A fighter is bleeding from a strike. What is the referee's first priority?</t>
  </si>
  <si>
    <t>A) To award a point to the attacker, B) To pause the match and call for medical assessment, C) To ask the fighter if they can continue, D) To clean the mat</t>
  </si>
  <si>
    <t>B) To pause the match and call for medical assessment</t>
  </si>
  <si>
    <t>The safety of the fighters is paramount. A "blood stoppage" is called to assess and treat the injury.</t>
  </si>
  <si>
    <t>The rattan stick, or penjalin, is chosen for its specific properties. What are they?</t>
  </si>
  <si>
    <t>A) It is very heavy and rigid, B) It is light, flexible, and durable, C) It is hollow and makes a loud noise, D) It is soft and cannot cause injury</t>
  </si>
  <si>
    <t>B) It is light, flexible, and durable</t>
  </si>
  <si>
    <t>Rattan is used because it can withstand repeated impacts while being flexible enough not to break easily and light enough for quick strikes.</t>
  </si>
  <si>
    <t>How are fighters typically matched in a traditional Peresean festival?</t>
  </si>
  <si>
    <t>A) They are matched by a formal seeding committee, B) They are matched by weight class, C) Fighters from the audience are challenged to participate, D) They are matched by age</t>
  </si>
  <si>
    <t>C) Fighters from the audience are challenged to participate</t>
  </si>
  <si>
    <t>Traditionally, the referee calls for challengers from the crowd, and fighters volunteer to test their courage and skill.</t>
  </si>
  <si>
    <t>What does the philosophy of "kare" emphasize in Peresean?</t>
  </si>
  <si>
    <t>A) Winning at all costs, B) The use of secret techniques, C) Sportsmanship, courage, and respecting the opponent, D) The importance of the shield over the stick</t>
  </si>
  <si>
    <t>C) Sportsmanship, courage, and respecting the opponent</t>
  </si>
  <si>
    <t>Beyond fighting, Peresean is a test of character, emphasizing knightly virtues and respect.</t>
  </si>
  <si>
    <t>What is the ruling if a strike lands on the opponent's protective shoulder pad but not their body?</t>
  </si>
  <si>
    <t>A) A point is awarded, B) No point is awarded, C) A partial point is awarded, D) The attacker is warned</t>
  </si>
  <si>
    <t>B) No point is awarded</t>
  </si>
  <si>
    <t>In most rule sets, strikes must land cleanly on the body itself, not on protective equipment that is not part of the valid target zone.</t>
  </si>
  <si>
    <t>How many rounds typically make up a professional Peresean match?</t>
  </si>
  <si>
    <t>A) One continuous round, B) Three rounds, C) Five rounds, D) Best of seven rounds</t>
  </si>
  <si>
    <t>C) Five rounds</t>
  </si>
  <si>
    <t>A standard professional bout is usually contested over five rounds.</t>
  </si>
  <si>
    <t>A fighter uses their stick to hook or trap the opponent's shield arm before striking. Is this legal?</t>
  </si>
  <si>
    <t>A) Yes, it is a clever tactic, B) No, it is a foul for hooking or holding, C) Only if the hook is brief, D) It is legal but no points are scored</t>
  </si>
  <si>
    <t>B) No, it is a foul for hooking or holding</t>
  </si>
  <si>
    <t>The stick must be used for striking only. Any form of hooking, trapping, or grappling with the stick is illegal.</t>
  </si>
  <si>
    <t>Before a match begins, what ritual do the fighters perform?</t>
  </si>
  <si>
    <t>A) They shake hands, B) They perform a ceremonial dance and salute (sembah), C) They exchange gifts, D) They weigh in on a scale</t>
  </si>
  <si>
    <t>B) They perform a ceremonial dance and salute (sembah)</t>
  </si>
  <si>
    <t>The fighters perform a ritualistic dance to warm up and show respect to the audience and the sport's traditions.</t>
  </si>
  <si>
    <t>If a fighter is consistently passive and avoids engagement by constantly retreating, what can the referee do?</t>
  </si>
  <si>
    <t>A) Nothing, it is a valid strategy, B) Award a point to the aggressive fighter, C) Issue a warning for passivity, followed by a point deduction, D) End the match</t>
  </si>
  <si>
    <t>C) Issue a warning for passivity, followed by a point deduction</t>
  </si>
  <si>
    <t>Fighters are expected to engage. A fighter who continuously refuses to fight will be warned and then penalized.</t>
  </si>
  <si>
    <t>What is the role of the pengadok?</t>
  </si>
  <si>
    <t>A) The lead Gamelan musician, B) The seconds or cornermen who assist the fighter between rounds, C) The village elder who blesses the arena, D) The event sponsor</t>
  </si>
  <si>
    <t>B) The seconds or cornermen who assist the fighter between rounds</t>
  </si>
  <si>
    <t>The pengadok provides water, tactical advice, and encouragement to their pepadu during the breaks.</t>
  </si>
  <si>
    <t>A strike lands on the opponent's hand while it is gripping the shield. Is this a valid point?</t>
  </si>
  <si>
    <t>A) Yes, the hand is a legal target, B) No, the hand is protected by the shield, C) It is a foul, D) The point is replayed</t>
  </si>
  <si>
    <t>A) Yes, the hand is a legal target</t>
  </si>
  <si>
    <t>The hand holding the shield is exposed and considered a part of the valid target area.</t>
  </si>
  <si>
    <t>If a fighter's strike rebounds off the opponent's shield and accidentally hits the opponent's head, what is the call?</t>
  </si>
  <si>
    <t>A) The point is awarded for the hit, B) It is a foul on the attacker for head contact, C) It is a no-fault incident and the round is reset, D) It is a foul on the defender for poor blocking</t>
  </si>
  <si>
    <t>B) It is a foul on the attacker for head contact</t>
  </si>
  <si>
    <t>The attacker is responsible for their weapon. Any contact to the head, accidental or not, is a foul.</t>
  </si>
  <si>
    <t>What modern addition has been made to Peresean to improve fighter safety?</t>
  </si>
  <si>
    <t>A) Using padded sticks, B) The use of headgear in some competitions, C) Making the shield larger, D) Banning all strikes</t>
  </si>
  <si>
    <t>B) The use of headgear in some competitions</t>
  </si>
  <si>
    <t>While not always used in traditional settings, some organized tournaments require headgear to reduce the risk of injury.</t>
  </si>
  <si>
    <t>If a match ends with the score tied, what is the most common outcome?</t>
  </si>
  <si>
    <t>A) The match is declared a draw, B) An extra round is played, C) The winner is the fighter who was more aggressive, D) The winner is decided by the crowd</t>
  </si>
  <si>
    <t>A) The match is declared a draw</t>
  </si>
  <si>
    <t>In many traditional contexts, if there is no clear winner after the final round, the match is simply declared a draw with mutual respect.</t>
  </si>
  <si>
    <t>A fighter lands a strike, but the rattan touches the ground during the follow-through motion. What is the ruling?</t>
  </si>
  <si>
    <t>A) The point is valid, B) The point is nullified because the stick touched the ground, C) The fighter is warned for poor technique, D) The point is awarded to the opponent</t>
  </si>
  <si>
    <t>B) The point is nullified because the stick touched the ground</t>
  </si>
  <si>
    <t>For a strike to be valid, the fighter must maintain control of their weapon throughout the entire motion, including recovery.</t>
  </si>
  <si>
    <t>Why is Peresean often performed during the Bau Nyale festival in Lombok?</t>
  </si>
  <si>
    <t>A) It is the only time of year it is allowed, B) The festival celebrates Sasak heroes and warrior traditions, C) It is a tourist attraction, D) The weather is best for fighting</t>
  </si>
  <si>
    <t>B) The festival celebrates Sasak heroes and warrior traditions</t>
  </si>
  <si>
    <t>The Bau Nyale festival is a major cultural event, and Peresean is featured as a powerful display of Sasak identity and heritage.</t>
  </si>
  <si>
    <t>A fighter strikes their own leg accidentally while swinging. What is the call?</t>
  </si>
  <si>
    <t>A) The match is paused for injury, B) The point is awarded to the opponent, C) The match continues with no point, D) The fighter is disqualified</t>
  </si>
  <si>
    <t>B) The point is awarded to the opponent</t>
  </si>
  <si>
    <t>A self-inflicted hit is considered a loss of control, and the point is given to the opponent.</t>
  </si>
  <si>
    <t>The term "Peresean" is derived from the word "perisai". What does "perisai" mean?</t>
  </si>
  <si>
    <t>A) Stick, B) Fight, C) Shield, D) Courage</t>
  </si>
  <si>
    <t>C) Shield</t>
  </si>
  <si>
    <t>The name of the sport emphasizes the importance of the shield in this traditional form of combat.</t>
  </si>
  <si>
    <t>Is a fighter allowed to switch the stick and shield to opposite hands during a match?</t>
  </si>
  <si>
    <t>A) No, it is forbidden, B) Yes, it is allowed and can be a strategic move, C) Only between rounds, D) Only if the referee approves</t>
  </si>
  <si>
    <t>B) Yes, it is allowed and can be a strategic move</t>
  </si>
  <si>
    <t>A skilled fighter may switch stances to confuse their opponent or attack from a different angle.</t>
  </si>
  <si>
    <t>What is the ruling if a fighter is clearly intoxicated before a match?</t>
  </si>
  <si>
    <t>A) They are allowed to fight at their own risk, B) They are immediately disqualified, C) They are given a handicap, D) The match is postponed</t>
  </si>
  <si>
    <t>For the safety of both participants, fighting under the influence of alcohol or drugs is strictly prohibited.</t>
  </si>
  <si>
    <t>A fighter wins by "knockout". What does this mean in the context of Peresean?</t>
  </si>
  <si>
    <t>A) The opponent is rendered unconscious, B) The opponent is disarmed, C) The opponent is pushed out of the arena, D) It is not a term used in Peresean; victory is by points</t>
  </si>
  <si>
    <t>D) It is not a term used in Peresean; victory is by points</t>
  </si>
  <si>
    <t>Peresean is a point-scoring art. While a fighter might surrender, the concept of a knockout like in boxing does not apply.</t>
  </si>
  <si>
    <t>If a fighter believes the referee has made an error, what is the proper procedure?</t>
  </si>
  <si>
    <t>A) Stop fighting and argue with the referee, B) Have their pengadok (second) lodge a formal protest between rounds, C) Appeal to the crowd, D) Continue fighting and protest later</t>
  </si>
  <si>
    <t>B) Have their pengadok (second) lodge a formal protest between rounds</t>
  </si>
  <si>
    <t>Protests must be handled in an orderly fashion through the fighter's corner, not by stopping the match.</t>
  </si>
  <si>
    <t>A fighter's headband (ikat) falls off during an exchange. What should happen?</t>
  </si>
  <si>
    <t>A) The fighter is disqualified, B) The match is paused to allow them to put it back on, C) The match continues without interruption, D) A point is awarded to the opponent</t>
  </si>
  <si>
    <t>C) The match continues without interruption</t>
  </si>
  <si>
    <t>The headband is part of the traditional attire but not essential safety equipment, so its loss does not warrant stopping the fight.</t>
  </si>
  <si>
    <t>What is the philosophical significance of the fighters often being strangers from different villages?</t>
  </si>
  <si>
    <t>A) To settle old disputes, B) To build bonds and solidarity between communities through sport, C) To make the fights more aggressive, D) To prevent cheating</t>
  </si>
  <si>
    <t>B) To build bonds and solidarity between communities through sport</t>
  </si>
  <si>
    <t>By competing respectfully, Peresean acts as a way to strengthen ties and foster a sense of shared identity among Sasak villages.</t>
  </si>
  <si>
    <t>A fighter strikes the opponent's torso with the butt end of the rattan stick. Is this a legal strike?</t>
  </si>
  <si>
    <t>A) No, only the tip can be used, B) Yes, any part of the stick can be used for a legal strike, C) It is a foul, D) Only if the referee allows it</t>
  </si>
  <si>
    <t>B) Yes, any part of the stick can be used for a legal strike</t>
  </si>
  <si>
    <t>As long as the strike lands on a valid target area, it does not matter which part of the stick makes contact.</t>
  </si>
  <si>
    <t>At the end of the match, what is the expected gesture between the two pepadu, regardless of the result?</t>
  </si>
  <si>
    <t>A) They exchange shields, B) They immediately leave the arena, C) They embrace or shake hands as a sign of sportsmanship, D) They challenge each other to a rematch</t>
  </si>
  <si>
    <t>C) They embrace or shake hands as a sign of sportsmanship</t>
  </si>
  <si>
    <t>Respect and brotherhood are core tenets of the sport; fighters are expected to show mutual respect after the contest.</t>
  </si>
  <si>
    <t>What is the primary defensive action a fighter can take against a strike?</t>
  </si>
  <si>
    <t>A) Blocking with the shield, B) Dodging or evading, C) Catching the stick, D) All of the above</t>
  </si>
  <si>
    <t>A fighter can use their shield, body movement, or even attempt to catch the rattan stick as valid defensive maneuvers.</t>
  </si>
  <si>
    <t>If a match is held in a modern sports hall instead of a traditional outdoor arena, what element is often missing?</t>
  </si>
  <si>
    <t>A) The referee, B) The ritualistic and spiritual atmosphere, C) The scoring system, D) The rattan sticks</t>
  </si>
  <si>
    <t>B) The ritualistic and spiritual atmosphere</t>
  </si>
  <si>
    <t>The connection to the earth, the open air, and the traditional village setting are key parts of the Peresean experience.</t>
  </si>
  <si>
    <t>A fighter is warned for turning their back on their opponent during an exchange. Why is this a foul?</t>
  </si>
  <si>
    <t>A) It is disrespectful, B) It is a dangerously passive and undefended position, C) It makes it impossible to score, D) It obstructs the referee's view</t>
  </si>
  <si>
    <t>B) It is a dangerously passive and undefended position</t>
  </si>
  <si>
    <t>Turning away from the opponent is forbidden as it prevents the fighter from actively participating and defending themselves, which is unsafe.</t>
  </si>
  <si>
    <t>What is the typical length of a rattan stick (penjalin) used in Peresean?</t>
  </si>
  <si>
    <t>A) 0.5 meters, B) 1 meter, C) 1.5 meters, D) 2 meters</t>
  </si>
  <si>
    <t>B) 1 meter</t>
  </si>
  <si>
    <t>The stick is typically around one meter long, providing a balance of reach and maneuverability.</t>
  </si>
  <si>
    <t>Can a fighter score a point by striking the opponent's shield?</t>
  </si>
  <si>
    <t>A) Yes, if the strike is hard enough, B) No, the shield is not a scoring target, C) Only if it causes the opponent to drop the shield, D) A partial point is awarded</t>
  </si>
  <si>
    <t>B) No, the shield is not a scoring target</t>
  </si>
  <si>
    <t>The objective is to strike the opponent's body. Hitting the shield is simply a blocked attack.</t>
  </si>
  <si>
    <t>A fighter is considered to have "lost" a round if their opponent scores how many points?</t>
  </si>
  <si>
    <t>A) 1, B) 2, C) 3, D) The concept of winning rounds by points is not used</t>
  </si>
  <si>
    <t>D) The concept of winning rounds by points is not used</t>
  </si>
  <si>
    <t>Peresean is scored based on the total number of clean hits over the entire match, not by winning individual rounds.</t>
  </si>
  <si>
    <t>What happens if a fighter refuses to continue the match out of fear or fatigue?</t>
  </si>
  <si>
    <t>A) The match is declared a draw, B) They forfeit the match, C) They are given a long rest period, D) The referee encourages them to continue</t>
  </si>
  <si>
    <t>B) They forfeit the match</t>
  </si>
  <si>
    <t>A fighter who surrenders or refuses to engage concedes victory to their opponent.</t>
  </si>
  <si>
    <t>The shield (ende) is often decorated with symbols. What is the purpose of these markings?</t>
  </si>
  <si>
    <t>A) They are for sponsor logos, B) They are purely for aesthetic beauty, C) They can be traditional symbols for protection or identity, D) To help the fighter aim</t>
  </si>
  <si>
    <t>C) They can be traditional symbols for protection or identity</t>
  </si>
  <si>
    <t>The decorations can have cultural or spiritual significance, representing the fighter's village or beliefs.</t>
  </si>
  <si>
    <t>Is it legal for a fighter to deliberately drop to one knee to avoid a strike?</t>
  </si>
  <si>
    <t>A) Yes, it is a valid evasive maneuver, B) No, a fighter must remain on their feet, C) Only if they do not touch the ground with their hand, D) It is considered a fall and a point for the opponent</t>
  </si>
  <si>
    <t>A) Yes, it is a valid evasive maneuver</t>
  </si>
  <si>
    <t>Ducking, dropping, and other evasive body movements are part of the sport's defensive skillset, as long as the fighter doesn't fall.</t>
  </si>
  <si>
    <t>The referee raises one finger after a clean strike. What does this signify?</t>
  </si>
  <si>
    <t>A) A warning, B) One point has been awarded, C) One minute is left in the round, D) The first round is over</t>
  </si>
  <si>
    <t>B) One point has been awarded</t>
  </si>
  <si>
    <t>This is a common hand signal used by the pakembar to clearly indicate that a point has been scored.</t>
  </si>
  <si>
    <t>What is the primary reason that Peresean is considered a test of courage (nyali)?</t>
  </si>
  <si>
    <t>A) The sticks are very heavy, B) The fighters are often strangers who volunteer from the crowd, C) The rules are very complex, D) The matches last for hours</t>
  </si>
  <si>
    <t>B) The fighters are often strangers who volunteer from the crowd</t>
  </si>
  <si>
    <t>The tradition of accepting a public challenge to fight an unknown opponent is a central test of a man's bravery.</t>
  </si>
  <si>
    <t>A fighter lands a strike on the opponent's hip. Is this a legal scoring area?</t>
  </si>
  <si>
    <t>A) Yes, the hip is part of the torso, B) No, it is below the acceptable waistline, C) Only if the opponent is turned sideways, D) It results in a warning</t>
  </si>
  <si>
    <t>A) Yes, the hip is part of the torso</t>
  </si>
  <si>
    <t>The valid target area is from the waist up, which includes the hips and torso.</t>
  </si>
  <si>
    <t>If a fighter's sash (saput) comes undone during the match, what is the procedure?</t>
  </si>
  <si>
    <t>A) The fight continues, B) The fighter is disqualified for improper attire, C) The referee pauses the match to allow it to be retied, D) A point is awarded to the opponent</t>
  </si>
  <si>
    <t>C) The referee pauses the match to allow it to be retied</t>
  </si>
  <si>
    <t>If a fighter's attire becomes a hazard or distraction, the referee will call a brief timeout to fix it.</t>
  </si>
  <si>
    <t>What is the "spirit" of the handshake or embrace between fighters before the first round?</t>
  </si>
  <si>
    <t>A) To check for hidden weapons, B) To show that the fight is a sport, not a personal conflict, C) To ask for a fair fight, D) To intimidate the opponent</t>
  </si>
  <si>
    <t>B) To show that the fight is a sport, not a personal conflict</t>
  </si>
  <si>
    <t>This gesture establishes mutual respect and reinforces the idea that the contest is about skill and courage, not animosity.</t>
  </si>
  <si>
    <t>Can a fighter be penalized for taunting or verbally abusing their opponent?</t>
  </si>
  <si>
    <t>A) No, this is part of the psychological game, B) Yes, it is considered unsportsmanlike conduct, C) Only if they use profanity, D) Only if the crowd complains</t>
  </si>
  <si>
    <t>B) Yes, it is considered unsportsmanlike conduct</t>
  </si>
  <si>
    <t>Peresean demands respect (kare). Taunting violates this principle and can be penalized by the referee.</t>
  </si>
  <si>
    <t>A fighter wins a point but is seen to have used excessive force that caused an unnecessary injury. What can the referee do?</t>
  </si>
  <si>
    <t>A) Let the point stand, B) Let the point stand but issue a warning, C) Nullify the point and issue a warning or foul, D) Award the point to the injured fighter</t>
  </si>
  <si>
    <t>C) Nullify the point and issue a warning or foul</t>
  </si>
  <si>
    <t>The referee has the authority to invalidate a point if the strike was delivered with excessive or malicious force, contrary to the spirit of the sport.</t>
  </si>
  <si>
    <t>What is the origin of the name for the Bau Nyale festival, where Peresean is often featured?</t>
  </si>
  <si>
    <t>A) It is named after a Sasak warrior, B) It means "Festival of the Sea," C) It means "to catch the sea worms," referencing a local legend, D) It is the name of the local god of rain</t>
  </si>
  <si>
    <t>C) It means "to catch the sea worms," referencing a local legend</t>
  </si>
  <si>
    <t>The festival is centered around the annual appearance of the nyale sea worms, which is tied to the legend of Princess Mandalika.</t>
  </si>
  <si>
    <t>A fighter attempts to trip their opponent with their leg. Is this allowed?</t>
  </si>
  <si>
    <t>A) Yes, it is a valid takedown, B) No, using legs or grappling is not part of Peresean, C) Only if no stick is used, D) It is a foul on both players</t>
  </si>
  <si>
    <t>B) No, using legs or grappling is not part of Peresean</t>
  </si>
  <si>
    <t>The combat is strictly limited to striking with the rattan and defending with the shield; tripping and other martial arts techniques are illegal.</t>
  </si>
  <si>
    <t>If the Gamelan music stops suddenly mid-round, what should the fighters do?</t>
  </si>
  <si>
    <t>A) Stop fighting immediately, B) Continue fighting until the referee stops them, C) Speed up the fight, D) Ask for a new musician</t>
  </si>
  <si>
    <t>B) Continue fighting until the referee stops them</t>
  </si>
  <si>
    <t>The music provides tempo, but the referee's commands are the only official signals to start or stop the fight.</t>
  </si>
  <si>
    <t>What is the main physical attribute being tested in Peresean?</t>
  </si>
  <si>
    <t>A) Brute strength, B) Endurance, C) Agility, reflexes, and precision, D) Flexibility</t>
  </si>
  <si>
    <t>C) Agility, reflexes, and precision</t>
  </si>
  <si>
    <t>Success in Peresean relies on the ability to dodge, react quickly, and land accurate strikes, rather than overpowering the opponent.</t>
  </si>
  <si>
    <t>A fighter is hit on the chest and the rattan stick leaves a clear red mark or welt. What does this signify?</t>
  </si>
  <si>
    <t>A) The stick is illegal, B) A clean, powerful, and undeniable point was scored, C) The fighter has sensitive skin, D) The fighter will receive a higher score</t>
  </si>
  <si>
    <t>B) A clean, powerful, and undeniable point was scored</t>
  </si>
  <si>
    <t>A visible mark (bekas) is often seen as definitive proof of a solid hit, leaving no room for dispute.</t>
  </si>
  <si>
    <t>Is a fighter allowed to appeal a referee's point decision?</t>
  </si>
  <si>
    <t>A) Yes, they can stop the fight and argue, B) No, the referee's decision is final, C) Yes, but only the team captain can appeal, D) Yes, but only through their pengadok between rounds</t>
  </si>
  <si>
    <t>D) Yes, but only through their pengadok between rounds</t>
  </si>
  <si>
    <t>Disputes are handled formally by the fighter's cornerman, who can address the officials during a break in the action.</t>
  </si>
  <si>
    <t>A fighter strikes the very edge of the opponent's shield. What is the ruling?</t>
  </si>
  <si>
    <t>A) A point is scored, B) A partial point is scored, C) It is a blocked attack and no point is scored, D) The fighter is warned for poor aim</t>
  </si>
  <si>
    <t>C) It is a blocked attack and no point is scored</t>
  </si>
  <si>
    <t>Any contact with the shield, regardless of location, is considered a block.</t>
  </si>
  <si>
    <t>In some variations, what happens if neither fighter scores a point after a full round?</t>
  </si>
  <si>
    <t>A) Both fighters lose, B) The round is declared a draw, C) The more aggressive fighter is awarded the point, D) They must fight an extra minute</t>
  </si>
  <si>
    <t>C) The more aggressive fighter is awarded the point</t>
  </si>
  <si>
    <t>To encourage engagement, some rule sets award the point in a scoreless round to the fighter who demonstrated more initiative and aggression.</t>
  </si>
  <si>
    <t>What is the significance of a fighter competing without showing any sign of pain after being hit?</t>
  </si>
  <si>
    <t>A) It shows they are not human, B) It is a display of toughness and warrior spirit, C) It means the hits were too weak, D) They will be penalized for not reacting</t>
  </si>
  <si>
    <t>B) It is a display of toughness and warrior spirit</t>
  </si>
  <si>
    <t>Enduring strikes without flinching is a key part of the sport's demonstration of courage and resilience.</t>
  </si>
  <si>
    <t>If a fighter is chosen from the crowd, what is the one essential piece of gear they are given?</t>
  </si>
  <si>
    <t>A) A new stick and shield, B) A uniform, C) A headband (ikat), D) A bottle of water</t>
  </si>
  <si>
    <t>C) A headband (ikat)</t>
  </si>
  <si>
    <t>The ikat or headband is a symbolic piece of attire that marks a person as a pepadu ready for the arena.</t>
  </si>
  <si>
    <t>A fighter lands a hit while the opponent is distracted by their corner shouting instructions. Is the point valid?</t>
  </si>
  <si>
    <t>A) No, the point is replayed due to the distraction, B) Yes, the point is valid, C) A warning is issued to the corner, D) Both B and C</t>
  </si>
  <si>
    <t>The hit is legal as fighters must remain focused, but the corner may be warned for excessive or disruptive shouting.</t>
  </si>
  <si>
    <t>What is the "no retreat" philosophy in some traditional Peresean matches?</t>
  </si>
  <si>
    <t>A) Fighters are not allowed to move backward, B) It is a metaphor for courage and never backing down from a challenge, C) The arena is too small to retreat, D) Retreating results in immediate disqualification</t>
  </si>
  <si>
    <t>B) It is a metaphor for courage and never backing down from a challenge</t>
  </si>
  <si>
    <t>While tactical backward movement is allowed, the "no retreat" spirit encourages fighters to stand their ground and show bravery.</t>
  </si>
  <si>
    <t>Can a fighter win the match if their opponent's shield breaks?</t>
  </si>
  <si>
    <t>A) Yes, immediately, B) No, the match is paused to replace the shield, C) Only if the fighter was hit at the same time, D) A point is awarded, but the match continues</t>
  </si>
  <si>
    <t>B) No, the match is paused to replace the shield</t>
  </si>
  <si>
    <t>A broken shield is an equipment failure, and the fight is halted to provide a replacement to ensure a fair contest.</t>
  </si>
  <si>
    <t>Besides festivals, Peresean is often performed to welcome what?</t>
  </si>
  <si>
    <t>A) The rainy season, B) Tourists, C) Important guests or dignitaries to Lombok, D) The harvest season</t>
  </si>
  <si>
    <t>C) Important guests or dignitaries to Lombok</t>
  </si>
  <si>
    <t>It serves as a powerful cultural performance to honor distinguished visitors, showcasing the unique heritage of the Sasak people.</t>
  </si>
  <si>
    <t>A fighter delivers a strike that lands on the opponent's sash or loincloth (saput). Is this a scoring hit?</t>
  </si>
  <si>
    <t>A) Yes, it is part of the body, B) No, it must be above the waist, C) Only if it causes the opponent to stumble, D) A foul is called</t>
  </si>
  <si>
    <t>B) No, it must be above the waist</t>
  </si>
  <si>
    <t>The sash is worn at or below the waist, which is outside the legal target zone.</t>
  </si>
  <si>
    <t>If two fighters are from the same village, are they typically allowed to fight each other?</t>
  </si>
  <si>
    <t>A) Yes, it is encouraged, B) No, it is generally avoided to prevent internal conflict, C) Only if they are brothers, D) Only with the village chief's permission</t>
  </si>
  <si>
    <t>B) No, it is generally avoided to prevent internal conflict</t>
  </si>
  <si>
    <t>To maintain community harmony, the tradition encourages challenging fighters from other villages.</t>
  </si>
  <si>
    <t>What is the referee's hand signal for "stop" or "break"?</t>
  </si>
  <si>
    <t>A) Clapping their hands, B) Raising one hand vertically with an open palm, C) Crossing their arms in front of their chest, D) Pointing to the ground</t>
  </si>
  <si>
    <t>B) Raising one hand vertically with an open palm</t>
  </si>
  <si>
    <t>A raised open hand is the universal signal for fighters to cease combat immediately.</t>
  </si>
  <si>
    <t>A fighter who has been hit legally turns to the referee to complain instead of continuing to defend. What is the risk?</t>
  </si>
  <si>
    <t>A) The referee will agree with them, B) They are likely to be hit again while distracted, C) The point will be replayed, D) The opponent will be warned</t>
  </si>
  <si>
    <t>B) They are likely to be hit again while distracted</t>
  </si>
  <si>
    <t>A core rule is to always be ready. Protesting mid-round leaves a fighter vulnerable to a legal follow-up strike.</t>
  </si>
  <si>
    <t>Why is the rattan stick soaked in water before a match?</t>
  </si>
  <si>
    <t>A) To make it heavier, B) To make it more flexible and less likely to shatter, C) To clean it, D) To make the hits more painful</t>
  </si>
  <si>
    <t>B) To make it more flexible and less likely to shatter</t>
  </si>
  <si>
    <t>Soaking the rattan makes the fibers more pliable, preventing the stick from becoming dry and brittle, which would be dangerous.</t>
  </si>
  <si>
    <t>If a fighter is clearly dominant and has scored many points, what might the referee do?</t>
  </si>
  <si>
    <t>A) Stop the fight to prevent a mismatch, B) Award bonus points, C) Force the losing fighter to continue, D) Let the fight continue regardless</t>
  </si>
  <si>
    <t>A) Stop the fight to prevent a mismatch</t>
  </si>
  <si>
    <t>In the interest of safety and sportsmanship, a referee can stop a one-sided contest to protect the losing fighter.</t>
  </si>
  <si>
    <t>What does the ceremonial touching of the opponent's stick and shield before the fight signify?</t>
  </si>
  <si>
    <t>A) A request for a non-aggressive fight, B) A mutual acknowledgment of the rules and respect, C) Checking the equipment's legality, D) A challenge</t>
  </si>
  <si>
    <t>B) A mutual acknowledgment of the rules and respect</t>
  </si>
  <si>
    <t>This ritual is a gesture of sportsmanship, confirming that both fighters are ready to compete fairly.</t>
  </si>
  <si>
    <t>A fighter uses a highly unorthodox, spinning attack. How is this judged?</t>
  </si>
  <si>
    <t>A) It is not allowed, B) It is judged by the same criteria: did a legal strike land?, C) Bonus points are awarded for creativity, D) The fighter is warned for being unpredictable</t>
  </si>
  <si>
    <t>B) It is judged by the same criteria: did a legal strike land?</t>
  </si>
  <si>
    <t>The style of the attack does not matter, only its outcome. If a clean, legal strike results from the spin, it scores.</t>
  </si>
  <si>
    <t>What is the main difference between Peresean and modern sport fencing?</t>
  </si>
  <si>
    <t>A) The weapons used, B) The target areas are much larger and less specific, C) The lack of electronic scoring, D) All of the above</t>
  </si>
  <si>
    <t>Peresean uses different weapons, has broader target zones, relies on human judges, and is a culturally embedded ritual fight, not just a sport.</t>
  </si>
  <si>
    <t>If a fighter's corner throws a towel or sash into the arena, what does it signify?</t>
  </si>
  <si>
    <t>A) They need a timeout, B) They are protesting a call, C) They are surrendering the match on behalf of their fighter, D) They are celebrating a point</t>
  </si>
  <si>
    <t>C) They are surrendering the match on behalf of their fighter</t>
  </si>
  <si>
    <t>As in boxing, throwing in the towel is the universal signal that a fighter's corner wishes to stop the fight to protect their competitor.</t>
  </si>
  <si>
    <t>Is it legal for a fighter to use vocal shouts or cries (kiai) during an attack?</t>
  </si>
  <si>
    <t>A) No, it is considered a distraction, B) Yes, it is a traditional part of the art to focus energy, C) Only if the shout is not loud, D) A warning is given</t>
  </si>
  <si>
    <t>B) Yes, it is a traditional part of the art to focus energy</t>
  </si>
  <si>
    <t>Like in many martial arts, vocalizations are used to focus power and spirit during an attack and are perfectly legal.</t>
  </si>
  <si>
    <t>A fighter is hit on the torso and the blow is strong enough to be heard by the crowd. What does this usually confirm for the referee?</t>
  </si>
  <si>
    <t>A) The stick is too hard, B) The hit was definitely a clean and solid scoring blow, C) The fighter's shield is too thin, D) The music should be louder</t>
  </si>
  <si>
    <t>B) The hit was definitely a clean and solid scoring blow</t>
  </si>
  <si>
    <t>An audible impact provides clear confirmation that a significant, not incidental, strike has landed.</t>
  </si>
  <si>
    <t>Why must a fighter's non-weapon hand remain open or behind their back?</t>
  </si>
  <si>
    <t>A) To show they are not holding a second weapon, B) To improve balance, C) It is a rule to prevent illegal grabbing or punching, D) It is just a traditional stance</t>
  </si>
  <si>
    <t>C) It is a rule to prevent illegal grabbing or punching</t>
  </si>
  <si>
    <t>Keeping the free hand out of the fight ensures that the combat is limited to the stick and shield only.</t>
  </si>
  <si>
    <t>In a tournament setting, how is the "best fighter" or overall champion determined?</t>
  </si>
  <si>
    <t>A) By who won the most matches, B) By a vote from the referees, C) By who scored the most total points throughout the event, D) By who had the most knockouts</t>
  </si>
  <si>
    <t>A) By who won the most matches</t>
  </si>
  <si>
    <t>Like most tournaments, the champion is the one who progresses through the bracket and wins the final match.</t>
  </si>
  <si>
    <t>A fighter is hit, and it breaks the skin, but he insists on continuing. What is the final deciding factor?</t>
  </si>
  <si>
    <t>A) The fighter's own decision, B) The crowd's opinion, C) The referee and medical official's assessment of safety, D) The coach's decision</t>
  </si>
  <si>
    <t>C) The referee and medical official's assessment of safety</t>
  </si>
  <si>
    <t>The referee, with medical advice, has the final say and will stop the fight if the injury is deemed too severe to continue safely.</t>
  </si>
  <si>
    <t>What is the symbolic meaning of the rattan stick in Sasak culture?</t>
  </si>
  <si>
    <t>A) It symbolizes wealth, B) It symbolizes the masculine virtues of hardness and flexibility, C) It symbolizes peace, D) It symbolizes agriculture</t>
  </si>
  <si>
    <t>B) It symbolizes the masculine virtues of hardness and flexibility</t>
  </si>
  <si>
    <t>The rattan represents the ideal male character: strong and hard, yet flexible and not easily broken.</t>
  </si>
  <si>
    <t>If a fighter is penalized for a foul, what is the most common procedure for restarting the match?</t>
  </si>
  <si>
    <t>A) The opponent gets a free strike, B) The fighters are reset to the center of the arena, C) The fouling fighter starts with a disadvantage, D) The round ends immediately</t>
  </si>
  <si>
    <t>B) The fighters are reset to the center of the arena</t>
  </si>
  <si>
    <t>After a foul is called and a point awarded, the fighters are brought back to the center to resume the contest fairly.</t>
  </si>
  <si>
    <t>A fighter uses a very small, agile shield. What is the trade-off of this choice?</t>
  </si>
  <si>
    <t>A) It is heavier, B) It offers less protection but is faster to maneuver, C) It is more protective but slower, D) It is illegal</t>
  </si>
  <si>
    <t>B) It offers less protection but is faster to maneuver</t>
  </si>
  <si>
    <t>A smaller shield allows for quicker blocks and movement but leaves more of the body exposed as a target.</t>
  </si>
  <si>
    <t>Before modern rules, was Peresean fought until a points limit was reached?</t>
  </si>
  <si>
    <t>A) Yes, it was always a 5-round match, B) No, it was often fought until one fighter surrendered or could not continue, C) Yes, the first to 10 points won, D) No, it was purely ceremonial</t>
  </si>
  <si>
    <t>B) No, it was often fought until one fighter surrendered or could not continue</t>
  </si>
  <si>
    <t>The older, more ritualistic form of Peresean was a true test of endurance and will, often ending only by submission.</t>
  </si>
  <si>
    <t>What is the main reason Peresean has survived into the modern era?</t>
  </si>
  <si>
    <t>A) It is a major source of income, B) It is a mandatory school subject, C) It is a powerful symbol of Sasak cultural identity and pride, D) It is an Olympic sport</t>
  </si>
  <si>
    <t>C) It is a powerful symbol of Sasak cultural identity and pride</t>
  </si>
  <si>
    <t>The sport's survival is deeply linked to its role as a living expression of the history, values, and warrior spirit of the Sasak people.</t>
  </si>
  <si>
    <t>A fighter’s strike lands on the very top of the opponent's shoulder. Is this a valid point?</t>
  </si>
  <si>
    <t>A) Yes, the shoulder is a legal target, B) No, it is too close to the neck, C) Only if it causes the opponent to fall, D) It is a foul</t>
  </si>
  <si>
    <t>A) Yes, the shoulder is a legal target</t>
  </si>
  <si>
    <t>The shoulder area is considered part of the valid upper-body target zone.</t>
  </si>
  <si>
    <t>What is the referee's hand signal for a foul, such as a head strike?</t>
  </si>
  <si>
    <t>A) Points at the offender, B) Crosses arms over the chest, C) Shakes their head, D) Often points to the illegal target area and then to the offender</t>
  </si>
  <si>
    <t>D) Often points to the illegal target area and then to the offender</t>
  </si>
  <si>
    <t>This two-part gesture clearly communicates where the illegal blow landed and who committed the foul.</t>
  </si>
  <si>
    <t>If a fighter is hit and the blow seems light, but they fall dramatically, what might the referee suspect?</t>
  </si>
  <si>
    <t>A) The blow was harder than it looked, B) The fighter has a weak defense, C) The fighter is feigning or exaggerating to stop the fight, D) The fighter is tired</t>
  </si>
  <si>
    <t>C) The fighter is feigning or exaggerating to stop the fight</t>
  </si>
  <si>
    <t>An experienced referee can spot a "dive" and may warn the fighter for unsportsmanlike conduct.</t>
  </si>
  <si>
    <t>Why is it important for the rattan stick (penjalin) to have no sharp edges or splinters?</t>
  </si>
  <si>
    <t>A) It makes it lighter, B) For safety, to prevent cuts and piercing injuries, C) It improves grip, D) It is a rule of the Gamelan</t>
  </si>
  <si>
    <t>B) For safety, to prevent cuts and piercing injuries</t>
  </si>
  <si>
    <t>The weapon is intended for blunt impact, not for cutting, so it must be smooth to be considered safe for competition.</t>
  </si>
  <si>
    <t>A fighter's cornerman (pengadok) gives instructions during the round. Is this allowed?</t>
  </si>
  <si>
    <t>A) Yes, but only quietly, B) No, coaching during the round is forbidden, C) Yes, shouting advice and encouragement is a normal part of the sport, D) Only the captain can coach</t>
  </si>
  <si>
    <t>C) Yes, shouting advice and encouragement is a normal part of the sport</t>
  </si>
  <si>
    <t>Similar to boxing, the corner is allowed to coach their fighter during the action.</t>
  </si>
  <si>
    <t>The referee awards a point to Fighter A. Fighter B strongly disagrees. What is Fighter B's best course of action?</t>
  </si>
  <si>
    <t>A) Continue fighting and aim for a decisive hit, B) Stop and argue with the referee, C) Walk out of the arena, D) Ask his corner to throw in the towel</t>
  </si>
  <si>
    <t>A) Continue fighting and aim for a decisive hit</t>
  </si>
  <si>
    <t>Arguing is a foul. The best response is to continue fighting and win the next exchange unequivocally.</t>
  </si>
  <si>
    <t>What is the primary difference between Peresean and Western stick-fighting arts like Canne de combat?</t>
  </si>
  <si>
    <t>A) Peresean uses a shield, B) Peresean has a deep cultural and ritualistic context, C) Peresean's rules are less codified, D) All of the above</t>
  </si>
  <si>
    <t>Peresean is distinct due to its use of a shield, its role as a cultural ritual, and its more traditional, less sportified rule set.</t>
  </si>
  <si>
    <t>A fighter has a reputation for being a great defender. What does this mean?</t>
  </si>
  <si>
    <t>A) He has a very large shield, B) He has excellent footwork, evasion, and blocking skills, C) He never attacks, D) He argues with the referee a lot</t>
  </si>
  <si>
    <t>B) He has excellent footwork, evasion, and blocking skills</t>
  </si>
  <si>
    <t>A great defender is an expert at reading attacks and using their shield and agility to avoid being scored upon.</t>
  </si>
  <si>
    <t>If a fighter is bleeding from the mouth, what is the most likely cause?</t>
  </si>
  <si>
    <t>A) They bit their tongue, B) An illegal strike to the face, C) They are dehydrated, D) It is a sign of extreme effort</t>
  </si>
  <si>
    <t>B) An illegal strike to the face</t>
  </si>
  <si>
    <t>Bleeding from the face would immediately suggest an illegal head strike occurred, which the referee must address.</t>
  </si>
  <si>
    <t>Why is there no ground fighting or grappling in Peresean?</t>
  </si>
  <si>
    <t>A) The Sasak people were not skilled in grappling, B) It is a stand-up striking art focused on weapon skill, C) The ground is too rough, D) It would make the matches too long</t>
  </si>
  <si>
    <t>B) It is a stand-up striking art focused on weapon skill</t>
  </si>
  <si>
    <t>The discipline is specifically about the art of the stick and shield; going to the ground is not part of its tradition or rules.</t>
  </si>
  <si>
    <t>A fighter taps their own shield with their stick before starting a round. What does this signify?</t>
  </si>
  <si>
    <t>A) The shield is broken, B) A signal of readiness and a challenge to the opponent, C) A request for a new stick, D) They are nervous</t>
  </si>
  <si>
    <t>B) A signal of readiness and a challenge to the opponent</t>
  </si>
  <si>
    <t>This is a common ritualistic gesture, a warrior's salute that shows they are prepared for combat.</t>
  </si>
  <si>
    <t>What role does the local community play in a traditional Peresean event?</t>
  </si>
  <si>
    <t>A) They are only spectators, B) They act as judges, C) They provide the fighters, music, and festive atmosphere, D) They sponsor the event</t>
  </si>
  <si>
    <t>C) They provide the fighters, music, and festive atmosphere</t>
  </si>
  <si>
    <t>Peresean is a community event, and its vitality depends on the active participation of the entire village.</t>
  </si>
  <si>
    <t>A fighter's strike lands on the opponent's hip bone. Is this legal?</t>
  </si>
  <si>
    <t>A) Yes, it is above the waist, B) No, bones are not legal targets, C) It is a foul because it can cause serious injury, D) Only if the stick was padded</t>
  </si>
  <si>
    <t>A) Yes, it is above the waist</t>
  </si>
  <si>
    <t>The hip is part of the torso and is considered a valid, albeit painful, target.</t>
  </si>
  <si>
    <t>If two fighters are very mismatched in size and skill, what is the referee's responsibility?</t>
  </si>
  <si>
    <t>A) To let the fight continue no matter what, B) To coach the smaller fighter, C) To monitor the fight closely and stop it to prevent injury, D) To award the larger fighter more points</t>
  </si>
  <si>
    <t>C) To monitor the fight closely and stop it to prevent injury</t>
  </si>
  <si>
    <t>The referee's primary duty is the safety of the fighters, and they can and should stop a dangerous mismatch.</t>
  </si>
  <si>
    <t>What is the "challenge" in a traditional match where fighters are selected from the crowd?</t>
  </si>
  <si>
    <t>A) The referee calls out, "Who has the courage?", B) The fighters challenge each other directly, C) The village chief selects the fighters, D) The musicians' tempo is the challenge</t>
  </si>
  <si>
    <t>A) The referee calls out, "Who has the courage?"</t>
  </si>
  <si>
    <t>The pakembar issues an open challenge to the men in the audience, inviting them to step forward and prove their nyali (courage).</t>
  </si>
  <si>
    <t>A fighter is hit on the arm and the rattan stick splinters. What is the immediate action?</t>
  </si>
  <si>
    <t>A) The point is awarded and the match is paused to replace the stick, B) The point is nullified, C) The fighter with the broken stick is disqualified, D) The match continues with the broken stick</t>
  </si>
  <si>
    <t>A) The point is awarded and the match is paused to replace the stick</t>
  </si>
  <si>
    <t>The legal strike counts. The referee then halts the action to remove the broken, dangerous weapon and provide a safe replacement.</t>
  </si>
  <si>
    <t>A fighter attempts a spinning strike but gets dizzy and stumbles. What is the call?</t>
  </si>
  <si>
    <t>A) A point is awarded for the attempt, B) The opponent is awarded a point for the stumble, C) The point is replayed, D) The match continues with no point</t>
  </si>
  <si>
    <t>B) The opponent is awarded a point for the stumble</t>
  </si>
  <si>
    <t>A stumble or loss of balance, even self-induced, results in a point for the opponent.</t>
  </si>
  <si>
    <t>Why is it considered more skillful to win a point by dodging and countering than by just blocking and countering?</t>
  </si>
  <si>
    <t>A) It is not, both are equal, B) Dodging requires more agility and exposes the opponent more, C) Blocking is against the rules, D) Dodging is safer</t>
  </si>
  <si>
    <t>B) Dodging requires more agility and exposes the opponent more</t>
  </si>
  <si>
    <t>Evading a strike completely with body movement demonstrates superior reflexes and often creates a better opening for a counter-attack.</t>
  </si>
  <si>
    <t>A fighter touches the ground with their free hand to keep balance after a strike. Is this a fault?</t>
  </si>
  <si>
    <t>A) No, it is a smart recovery, B) Yes, it is considered a fall and a point is awarded to the opponent, C) Only if the hand stays on the ground for more than a second, D) A warning is issued</t>
  </si>
  <si>
    <t>B) Yes, it is considered a fall and a point is awarded to the opponent</t>
  </si>
  <si>
    <t>Any part of the body other than the feet touching the ground to maintain balance constitutes a fall.</t>
  </si>
  <si>
    <t>If a fighter wins a match, what is the traditional prize in a local village setting?</t>
  </si>
  <si>
    <t>A) A large cash prize, B) A new shield and stick, C) Social honor and recognition (e.g., a sarong or a chicken), D) A plot of land</t>
  </si>
  <si>
    <t>C) Social honor and recognition (e.g., a sarong or a chicken)</t>
  </si>
  <si>
    <t>In traditional settings, the prize is often symbolic, with the true reward being the prestige and respect earned.</t>
  </si>
  <si>
    <t>A fighter complains that the opponent's shield is too large. How is this dispute settled?</t>
  </si>
  <si>
    <t>A) The fight continues, B) The referee measures the shield against a standard, C) The crowd votes on it, D) The opponent must get a smaller shield</t>
  </si>
  <si>
    <t>B) The referee measures the shield against a standard</t>
  </si>
  <si>
    <t>In regulated competitions, there are rules for equipment dimensions, which the referee can verify.</t>
  </si>
  <si>
    <t>What is the significance of the fight ending with a "draw"?</t>
  </si>
  <si>
    <t>A) It shows both fighters are unskilled, B) It signifies that both fighters showed equal courage and skill, and neither was defeated, C) It means the judges could not decide, D) It is a disappointing result</t>
  </si>
  <si>
    <t>B) It signifies that both fighters showed equal courage and skill, and neither was defeated</t>
  </si>
  <si>
    <t>A draw is an honorable outcome, reflecting the mutual respect and balanced abilities of the two pepadu.</t>
  </si>
  <si>
    <t>A fighter is struck on the hand holding the stick, causing immense pain. What should they do?</t>
  </si>
  <si>
    <t>A) Drop the stick and surrender, B) Complain to the referee, C) Endure the pain and continue fighting, D) A point is automatically awarded to the attacker</t>
  </si>
  <si>
    <t>C) Endure the pain and continue fighting</t>
  </si>
  <si>
    <t>The hand is a legal target. Showing pain or stopping is a sign of weakness; a true pepadu is expected to fight through it.</t>
  </si>
  <si>
    <t>What does the bare-chested tradition of the fighters symbolize?</t>
  </si>
  <si>
    <t>A) A lack of proper clothing, B) It makes it easier to see if a strike landed, C) It symbolizes a willingness to face danger openly and honestly, D) Both B and C</t>
  </si>
  <si>
    <t>Fighting bare-chested is a display of bravery and also serves the practical purpose of making legal strikes clearly visible to the referee and crowd.</t>
  </si>
  <si>
    <t>Can a fighter be disqualified for not being aggressive enough?</t>
  </si>
  <si>
    <t>A) Yes, after repeated warnings for passivity, B) No, defense is a valid strategy, C) Only if the crowd boos them, D) Yes, immediately</t>
  </si>
  <si>
    <t>A) Yes, after repeated warnings for passivity</t>
  </si>
  <si>
    <t>A fighter must engage in the contest. Consistently refusing to attack and only retreating will lead to penalties and eventual disqualification.</t>
  </si>
  <si>
    <t>A fighter strikes the opponent's stomach area. Is this a legal hit?</t>
  </si>
  <si>
    <t>A) Yes, the abdomen is a valid target, B) No, it is below the waist, C) It is a foul because it is a soft target, D) Only if the opponent is not looking</t>
  </si>
  <si>
    <t>A) Yes, the abdomen is a valid target</t>
  </si>
  <si>
    <t>The entire torso, from the waistline up to the shoulders, is the primary legal scoring area.</t>
  </si>
  <si>
    <t>The referee is a respected elder from a neutral village. Why is this important?</t>
  </si>
  <si>
    <t>A) Elders are assumed to be wiser, B) To ensure impartiality and prevent accusations of bias, C) They have seen more fights, D) They are the only ones who know the rules</t>
  </si>
  <si>
    <t>B) To ensure impartiality and prevent accusations of bias</t>
  </si>
  <si>
    <t>Choosing a neutral and respected referee is crucial for the community to accept the outcome of the match as fair.</t>
  </si>
  <si>
    <t>A fighter attempts a fancy, spinning move but leaves themselves wide open and gets hit. What is the lesson?</t>
  </si>
  <si>
    <t>A) Fancy moves are always bad, B) Substance and effectiveness are more important than style, C) The other fighter cheated, D) The referee was biased</t>
  </si>
  <si>
    <t>B) Substance and effectiveness are more important than style</t>
  </si>
  <si>
    <t>While stylish moves are appreciated, they are useless if they are not practical and lead to the fighter being scored upon.</t>
  </si>
  <si>
    <t>What is the main difference in the energy of the Gamelan music during a break versus during a round?</t>
  </si>
  <si>
    <t>A) There is no difference, B) The music is slower and calmer during a break, C) The music is louder and faster during a break, D) The music stops completely during a break</t>
  </si>
  <si>
    <t>B) The music is slower and calmer during a break</t>
  </si>
  <si>
    <t>The music mirrors the action; it becomes more frenetic and intense during the exchanges and calms down during the rest periods.</t>
  </si>
  <si>
    <t>If a fighter is disarmed but manages to evade the opponent until the round ends, what is the call?</t>
  </si>
  <si>
    <t>A) The round is a draw, B) The disarmed fighter loses the point, C) The disarmed fighter wins the point for evasion, D) The round is replayed</t>
  </si>
  <si>
    <t>B) The disarmed fighter loses the point</t>
  </si>
  <si>
    <t>Being disarmed is an automatic point loss, regardless of what happens afterward in the round.</t>
  </si>
  <si>
    <t>A fighter strikes the opponent's shield so hard that the opponent stumbles backward. Is a point scored?</t>
  </si>
  <si>
    <t>A) Yes, for causing a loss of balance, B) No, a shield hit is not a point, C) A partial point is awarded, D) The attacker is warned for excessive force</t>
  </si>
  <si>
    <t>B) No, a shield hit is not a point</t>
  </si>
  <si>
    <t>A point can only be scored by striking the body. The effect of a shield block does not count as a score.</t>
  </si>
  <si>
    <t>What is the symbolic importance of using a rattan stick instead of a bladed weapon?</t>
  </si>
  <si>
    <t>A) It shows the fight is a sport, not a lethal duel, B) Rattan is cheaper than metal, C) Rattan is easier to use, D) It is a modern safety change</t>
  </si>
  <si>
    <t>A) It shows the fight is a sport, not a lethal duel</t>
  </si>
  <si>
    <t>The use of a non-lethal, blunt weapon signifies that the contest is about skill, courage, and honor, not about killing or maiming.</t>
  </si>
  <si>
    <t>A fighter is bleeding, and the referee wants to stop the fight, but the fighter's coach insists he continue. Who has the final say?</t>
  </si>
  <si>
    <t>A) The coach, B) The fighter, C) The referee, D) The crowd</t>
  </si>
  <si>
    <t>C) The referee</t>
  </si>
  <si>
    <t>The referee has absolute authority over the safety of the match and can stop the contest against the wishes of the fighter or their corner.</t>
  </si>
  <si>
    <t>A fighter lands a hit just as the opponent is slipping on a wet spot on the mat. Is the point valid?</t>
  </si>
  <si>
    <t>A) Yes, the hit was legal regardless of the slip, B) No, the slip makes the exchange void, C) The point is replayed, D) A warning is issued to the organizers</t>
  </si>
  <si>
    <t>A) Yes, the hit was legal regardless of the slip</t>
  </si>
  <si>
    <t>An accidental slip by a fighter does not invalidate a legal strike landed by the opponent during the same moment.</t>
  </si>
  <si>
    <t>What is the primary reason for the fighter's bare feet?</t>
  </si>
  <si>
    <t>A) To show toughness, B) It allows for better grip and agility on the earthen arena floor, C) Shoes are not traditional, D) Both B and C</t>
  </si>
  <si>
    <t>Bare feet are part of the traditional attire and also provide a better connection and grip with the ground.</t>
  </si>
  <si>
    <t>A fighter from Lombok competes in a demonstration in Jakarta. What might they need to adjust?</t>
  </si>
  <si>
    <t>A) The rules might be slightly different or more standardized, B) The weather will be hotter, C) The sticks will be heavier, D) The shields will be smaller</t>
  </si>
  <si>
    <t>A) The rules might be slightly different or more standardized</t>
  </si>
  <si>
    <t>When a traditional art is demonstrated in a new setting, rules are often standardized for clarity, which may differ from local village rules.</t>
  </si>
  <si>
    <t>If a fighter breaks a rule, and the referee does not see it, but the crowd reacts loudly, what should the referee do?</t>
  </si>
  <si>
    <t>A) Ignore the crowd, B) Stop the fight and consult with the linesmen or other officials, C) Take a vote from the crowd, D) Penalize the fighter based on the crowd's reaction</t>
  </si>
  <si>
    <t>B) Stop the fight and consult with the linesmen or other officials</t>
  </si>
  <si>
    <t>While not bound by the crowd, a strong reaction may prompt the referee to consult with other officials to ensure the correct call was made.</t>
  </si>
  <si>
    <t>The tradition of Peresean is passed down how?</t>
  </si>
  <si>
    <t>A) Through official rulebooks, B) Through television broadcasts, C) Orally and through practice from masters (guru) to students, D) Through written histories</t>
  </si>
  <si>
    <t>C) Orally and through practice from masters (guru) to students</t>
  </si>
  <si>
    <t>Like many traditional martial arts, the skills and philosophy are transmitted directly from one generation to the next.</t>
  </si>
  <si>
    <t>A fighter touches the opponent with the very tip of the stick on the ribs. Is this a valid point?</t>
  </si>
  <si>
    <t>A) No, the whole stick must make contact, B) Yes, any clean contact from the stick on a legal target scores, C) Only if it leaves a mark, D) It is a foul</t>
  </si>
  <si>
    <t>B) Yes, any clean contact from the stick on a legal target scores</t>
  </si>
  <si>
    <t>The precision of a tip-strike is a sign of skill and is a perfectly valid way to score a point.</t>
  </si>
  <si>
    <t>Why is there no female equivalent of Peresean?</t>
  </si>
  <si>
    <t>A) Women are not allowed to watch, B) It is traditionally a display of masculine warrior virtue, C) Women are not strong enough, D) There are no rules for female fighters</t>
  </si>
  <si>
    <t>B) It is traditionally a display of masculine warrior virtue</t>
  </si>
  <si>
    <t>The sport is deeply embedded in the Sasak cultural conception of male courage, strength, and the role of the warrior.</t>
  </si>
  <si>
    <t>A fighter strikes the opponent's shield, and his own stick rebounds and hits him in the face. What is the ruling?</t>
  </si>
  <si>
    <t>A) A point for the defender, B) A point for the attacker, C) No point is scored, D) The point is replayed</t>
  </si>
  <si>
    <t>A) A point for the defender</t>
  </si>
  <si>
    <t>The attacker is responsible for their weapon. A self-inflicted hit, even from a rebound, is a fault, and the point is awarded to the opponent.</t>
  </si>
  <si>
    <t>What does it mean if a fighter has a "strong defense"?</t>
  </si>
  <si>
    <t>A) They attack constantly, B) They have a large, heavy shield, C) They are skilled at blocking and evading hits, making them hard to score on, D) They have a powerful corner team</t>
  </si>
  <si>
    <t>C) They are skilled at blocking and evading hits, making them hard to score on</t>
  </si>
  <si>
    <t>A strong defense is about skill and agility, not just the equipment.</t>
  </si>
  <si>
    <t>If a fighter is knocked down by a legal blow, are they allowed to get up and continue?</t>
  </si>
  <si>
    <t>A) No, a knockdown ends the match, B) Yes, if they can rise before a count of ten, C) This scenario does not exist as points are scored on hits, not knockdowns, D) Only if the doctor approves</t>
  </si>
  <si>
    <t>C) This scenario does not exist as points are scored on hits, not knockdowns</t>
  </si>
  <si>
    <t>Peresean does not use a knockdown/count system like boxing; a clean hit scores a point, and the round is then reset.</t>
  </si>
  <si>
    <t>Why might a fighter choose a longer rattan stick?</t>
  </si>
  <si>
    <t>A) It provides a reach advantage, B) It is heavier and hits harder, C) It is more flexible, D) It is easier to block with</t>
  </si>
  <si>
    <t>A) It provides a reach advantage</t>
  </si>
  <si>
    <t>A longer stick allows a fighter to score from a safer distance, but it can be slightly slower and harder to control.</t>
  </si>
  <si>
    <t>A fighter is penalized for "holding". What did they do?</t>
  </si>
  <si>
    <t>A) Held onto their own shield too tightly, B) Held their breath for too long, C) Grabbed the opponent's stick, shield, or body with their free hand, D) Held their stance without moving</t>
  </si>
  <si>
    <t>C) Grabbed the opponent's stick, shield, or body with their free hand</t>
  </si>
  <si>
    <t>Grappling or holding of any kind with the free hand is illegal and results in a foul.</t>
  </si>
  <si>
    <t>The referee is often seen making a sharp, downward chopping motion with his hand. What does this signal?</t>
  </si>
  <si>
    <t>A) The start of the round, B) A point has been scored, C) A foul has been committed, D) The end of the match</t>
  </si>
  <si>
    <t>B) A point has been scored</t>
  </si>
  <si>
    <t>This is a common and decisive gesture used by the pakembar to confirm that a valid strike has landed and a point is awarded.</t>
  </si>
  <si>
    <t>A fighter lands a hit, but the opponent shows no reaction. What should the attacker do?</t>
  </si>
  <si>
    <t>A) Hit them again harder, B) Stop and wait for the referee's call, C) Protest to the referee, D) Celebrate the point</t>
  </si>
  <si>
    <t>B) Stop and wait for the referee's call</t>
  </si>
  <si>
    <t>After landing a strike, a fighter should immediately reset and look to the referee for the official signal that a point has been scored.</t>
  </si>
  <si>
    <t>What is the main danger of a rattan stick that is too dry?</t>
  </si>
  <si>
    <t>A) It is too light, B) It will not make a sound, C) It can shatter on impact, sending sharp splinters flying, D) It is too flexible</t>
  </si>
  <si>
    <t>C) It can shatter on impact, sending sharp splinters flying</t>
  </si>
  <si>
    <t>A dry stick is brittle and dangerous, which is why they are often soaked to maintain flexibility.</t>
  </si>
  <si>
    <t>If a fighter wins a major tournament, what is their new status in the village?</t>
  </si>
  <si>
    <t>A) They become the village chief, B) They are considered a local hero and their prestige rises significantly, C) They are expected to retire, D) They must give their prize money to the community</t>
  </si>
  <si>
    <t>B) They are considered a local hero and their prestige rises significantly</t>
  </si>
  <si>
    <t>Victory brings immense honor and elevates the fighter's social standing within the Sasak community.</t>
  </si>
  <si>
    <t>At the end of a five-round match, the score is 4-3. Who wins?</t>
  </si>
  <si>
    <t>A) The fighter with 4 points, B) The fighter with 3 points, C) It is a draw, D) They must fight one more round</t>
  </si>
  <si>
    <t>A) The fighter with 4 points</t>
  </si>
  <si>
    <t>The winner is the fighter who has accumulated the most points over the course of all the rounds.</t>
  </si>
  <si>
    <t>Player A swings legally but rattan touches the ground before landing. What happens?</t>
  </si>
  <si>
    <t>A) A scores B) No point C) Replay D) Penalize Player A</t>
  </si>
  <si>
    <t>B) No point</t>
  </si>
  <si>
    <t>Ground contact invalidates a strike.</t>
  </si>
  <si>
    <t>Player B dodges and counters with an arm strike. What’s the result?</t>
  </si>
  <si>
    <t>A) Point for Player A B) Point for Player B C) Replay D) Both</t>
  </si>
  <si>
    <t>B) Point for Player B</t>
  </si>
  <si>
    <t>Dodge + counterstrike is rewarded.</t>
  </si>
  <si>
    <t>Player A lands a torso strike but also hits Player B’s knee on follow-through. Decision?</t>
  </si>
  <si>
    <t>A) Point for Player A B) Foul, no point C) Replay D) Point for Player B</t>
  </si>
  <si>
    <t>B) Foul, no point</t>
  </si>
  <si>
    <t>Illegal knee contact cancels the strike.</t>
  </si>
  <si>
    <t>Player B circles the ring avoiding all strikes but never counterattacks. End ruling?</t>
  </si>
  <si>
    <t>A) Point for Player B B) Point for Player A C) No score D) Penalize Player B</t>
  </si>
  <si>
    <t>C) No score</t>
  </si>
  <si>
    <t>Avoidance alone doesn’t score.</t>
  </si>
  <si>
    <t>Player A strikes Player B’s forearm, causing B to drop shield. Decision?</t>
  </si>
  <si>
    <t>A) Point for Player A B) Point for Player B C) Replay D) Penalize Player B</t>
  </si>
  <si>
    <t>A) Point for Player A</t>
  </si>
  <si>
    <t>Dropping shield after legal strike concedes the point.</t>
  </si>
  <si>
    <t>Player B lands a torso strike but referee sees over-forceful contact. Outcome?</t>
  </si>
  <si>
    <t>A) Point B B) Cancel point + warning C) Replay D) Point A</t>
  </si>
  <si>
    <t>B) Cancel point + warning</t>
  </si>
  <si>
    <t>Excessive force is penalized.</t>
  </si>
  <si>
    <t>Player A taps Player B’s torso but B claims “too weak.” Referee ruling?</t>
  </si>
  <si>
    <t>A) Point A B) No point C) Replay D) Penalize B</t>
  </si>
  <si>
    <t>A) Point A</t>
  </si>
  <si>
    <t>Force doesn’t matter if legal contact is made.</t>
  </si>
  <si>
    <t>Player B strikes Player A’s torso after both reset positions. Valid?</t>
  </si>
  <si>
    <t>A) Yes, B scores B) No C) Replay D) Penalize B</t>
  </si>
  <si>
    <t>A) Yes, B scores</t>
  </si>
  <si>
    <t>Strikes after reset signal are valid.</t>
  </si>
  <si>
    <t>Player A drops stick mid-swing. What’s the outcome?</t>
  </si>
  <si>
    <t>A) Point A B) Point B C) Replay D) Penalize both</t>
  </si>
  <si>
    <t>B) Point B</t>
  </si>
  <si>
    <t>Dropping the weapon concedes the point.</t>
  </si>
  <si>
    <t>Player B lands a torso strike while Player A turns away. What happens?</t>
  </si>
  <si>
    <t>A) Point B B) Point A C) Replay D) Penalize both</t>
  </si>
  <si>
    <t>A) Point B</t>
  </si>
  <si>
    <t>Turning away doesn’t cancel a valid strike.</t>
  </si>
  <si>
    <t>Player A strikes Player B’s chest after a clear opening. Decision?</t>
  </si>
  <si>
    <t>A) Point A B) Point B C) Replay D) Penalize A</t>
  </si>
  <si>
    <t>Clean chest strikes score.</t>
  </si>
  <si>
    <t>Player B swings wide and accidentally hits Player A’s head. What’s the result?</t>
  </si>
  <si>
    <t>A) Point B B) Foul on B C) Replay D) No points</t>
  </si>
  <si>
    <t>B) Foul on B</t>
  </si>
  <si>
    <t>Head contact is always illegal.</t>
  </si>
  <si>
    <t>Player A loses shield grip and gets struck. What’s the outcome?</t>
  </si>
  <si>
    <t>A) Point B B) Point A C) Replay D) No point</t>
  </si>
  <si>
    <t>Opponent scores if shield is lost and strike lands.</t>
  </si>
  <si>
    <t>Player B lands a torso strike but simultaneously steps out. Who scores?</t>
  </si>
  <si>
    <t>A) Player B B) Player A C) Replay D) Both penalized</t>
  </si>
  <si>
    <t>B) Player A</t>
  </si>
  <si>
    <t>Boundary faults cancel the strike.</t>
  </si>
  <si>
    <t>Player A delivers a shoulder strike while balanced. Decision?</t>
  </si>
  <si>
    <t>A) Point A B) Point B C) Replay D) No points</t>
  </si>
  <si>
    <t>Shoulder strikes above waist are legal.</t>
  </si>
  <si>
    <t>Player B tags Player A’s chest with the butt end during a retreat step. Decision?</t>
  </si>
  <si>
    <t>A) Point B B) No score C) Replay D) Penalize B</t>
  </si>
  <si>
    <t>Any part of the rattan can score on legal zones.</t>
  </si>
  <si>
    <t>Player A catches the outside of Player B’s elbow while moving backward. Outcome?</t>
  </si>
  <si>
    <t>A) Point A B) Point B C) Replay D) No score</t>
  </si>
  <si>
    <t>Elbow contact above the waist is valid.</t>
  </si>
  <si>
    <t>After “stop,” Player B lightly taps A’s arm in confusion. Ruling?</t>
  </si>
  <si>
    <t>A) Point B B) Foul on B C) Replay D) No action</t>
  </si>
  <si>
    <t>Any post-stop contact is a foul.</t>
  </si>
  <si>
    <t>A lands a torso touch; B’s stick flies out from the impact. What then?</t>
  </si>
  <si>
    <t>Disarm after a legal touch confirms the score.</t>
  </si>
  <si>
    <t>B slips to the ground without any contact. Decision?</t>
  </si>
  <si>
    <t>A) Point A B) Point B C) Replay D) Warning only</t>
  </si>
  <si>
    <t>Unforced slips concede points.</t>
  </si>
  <si>
    <t>A’s rattan brushes the floor just before it touches B’s torso. Call?</t>
  </si>
  <si>
    <t>A) Point A B) No point C) Replay D) Penalize A</t>
  </si>
  <si>
    <t>Ground contact cancels the strike.</t>
  </si>
  <si>
    <t>B slips a swing and tags A’s forearm clean. Who scores?</t>
  </si>
  <si>
    <t>A) Player A B) Player B C) Replay D) No score</t>
  </si>
  <si>
    <t>B) Player B</t>
  </si>
  <si>
    <t>Legal forearm touches count as points.</t>
  </si>
  <si>
    <t>A’s follow-through clips B’s knee after a legal torso hit. Ruling?</t>
  </si>
  <si>
    <t>A) Point A B) Foul—no point C) Replay D) Point B</t>
  </si>
  <si>
    <t>B) Foul—no point</t>
  </si>
  <si>
    <t>Any illegal follow-through cancels the exchange.</t>
  </si>
  <si>
    <t>B circles evasively for the whole exchange and never counters. Decision?</t>
  </si>
  <si>
    <t>A) Point B B) Point A C) No score D) Penalize B</t>
  </si>
  <si>
    <t>A taps B’s arm; B drops the shield and retreats. Outcome?</t>
  </si>
  <si>
    <t>Dropping equipment after a legal touch concedes the point.</t>
  </si>
  <si>
    <t>B’s chest hit is judged excessive by the referee. What now?</t>
  </si>
  <si>
    <t>A) Count it B) Cancel point + warning C) Replay D) Award A a point</t>
  </si>
  <si>
    <t>Safety overrides scoring.</t>
  </si>
  <si>
    <t>A’s torso touch is contested as “too soft” by B. Ruling?</t>
  </si>
  <si>
    <t>A) Point A B) No score C) Replay D) Penalize B</t>
  </si>
  <si>
    <t>Controlled legal contact is sufficient.</t>
  </si>
  <si>
    <t>After reset, B instantly touches A’s upper arm at the signal. Decision?</t>
  </si>
  <si>
    <t>Legal timing plus legal area equals a point.</t>
  </si>
  <si>
    <t>A drops the rattan before any contact during an exchange. What happens?</t>
  </si>
  <si>
    <t>B legally taps A’s chest while A glances at the corner judge. Ruling?</t>
  </si>
  <si>
    <t>A) Point B B) Point A C) Replay D) No score</t>
  </si>
  <si>
    <t>Must protect yourself at all times.</t>
  </si>
  <si>
    <t>Player A executes a feint then cleanly taps Player B’s shoulder as B commits forward. Outcome?</t>
  </si>
  <si>
    <t>Clean shoulder contact is scoring.</t>
  </si>
  <si>
    <t>Player B’s swing skims the top of A’s head despite headgear. Ruling?</t>
  </si>
  <si>
    <t>A) Point B B) Foul on B C) Replay D) No score</t>
  </si>
  <si>
    <t>Head contact is illegal even with gear.</t>
  </si>
  <si>
    <t>Player A loses the shield; Player B immediately lands a chest tap before stop. Decision?</t>
  </si>
  <si>
    <t>A) Point B B) Replay C) No score D) Penalize B</t>
  </si>
  <si>
    <t>Action continues until the referee halts.</t>
  </si>
  <si>
    <t>Player B’s chest touch occurs together with their boundary step. Who is awarded?</t>
  </si>
  <si>
    <t>A) B B) A C) Replay D) No score</t>
  </si>
  <si>
    <t>B) A</t>
  </si>
  <si>
    <t>Boundary faults void the striker’s points.</t>
  </si>
  <si>
    <t>Player A touches Player B’s upper arm with controlled contact while both steady. Ruling?</t>
  </si>
  <si>
    <t>Upper arm is a legal scoring target.</t>
  </si>
  <si>
    <t>Player B taps Player A’s chest with the butt end while sliding back. Decision?</t>
  </si>
  <si>
    <t>Butt-end contact is valid if target is legal.</t>
  </si>
  <si>
    <t>Player A’s retreating strike catches B’s elbow edge. Outcome?</t>
  </si>
  <si>
    <t>Elbow strikes above the waist are valid.</t>
  </si>
  <si>
    <t>After “stop,” Player B reflexively taps A’s arm lightly. What should the referee do?</t>
  </si>
  <si>
    <t>A) Award B a point B) Call a foul on B C) Replay D) Ignore it</t>
  </si>
  <si>
    <t>B) Call a foul on B</t>
  </si>
  <si>
    <t>Any strike after a stop is a foul.</t>
  </si>
  <si>
    <t>Player A’s torso hit knocks B’s stick from their hand. Ruling?</t>
  </si>
  <si>
    <t>Disarming via legal contact secures the point.</t>
  </si>
  <si>
    <t>Player B slips without contact; A does not strike. What is awarded?</t>
  </si>
  <si>
    <t>A) Point B B) Point A C) Replay D) Warning only</t>
  </si>
  <si>
    <t>B) Point A</t>
  </si>
  <si>
    <t>Unforced slips/falls concede points to the opponent.</t>
  </si>
  <si>
    <t>During a Sepak Takraw semifinal in a Jakarta tournament, what is the referee’s decision if Team M’s server is distracted by a loud crowd whistle mid-serve, causing him to miss?</t>
  </si>
  <si>
    <t>A) Service fault, Team N gets the point B) Replay the point C) Team M gets another chance to serve D) Referee warns the crowd but continues play</t>
  </si>
  <si>
    <t>B) Replay the point</t>
  </si>
  <si>
    <t>External interference (like whistles or crowd noise) causing disruption leads to a replay of the point.</t>
  </si>
  <si>
    <t>In a Bandung match, what happens if Team A’s striker executes a block but his jersey brushes against the net?</t>
  </si>
  <si>
    <t>A) Play continues B) Fault by Team A, point to Team B C) Replay the point D) Warning only</t>
  </si>
  <si>
    <t>B) Fault by Team A, point to Team B</t>
  </si>
  <si>
    <t>Any contact with the net during play, including clothing, is a fault.</t>
  </si>
  <si>
    <t>In a Solo tournament, what is the ruling if Team X’s blocker legally blocks a spike but his momentum carries him into Team Y’s court without touching a player?</t>
  </si>
  <si>
    <t>A) Fault on Team X B) Play continues C) Replay the point D) Team Y gains the point</t>
  </si>
  <si>
    <t>A) Fault on Team X</t>
  </si>
  <si>
    <t>Entering the opponent’s court area after a jump (even without contact) is a fault.</t>
  </si>
  <si>
    <t>During an indoor match in Bali, what happens if Team R’s defensive return strikes the hall’s ceiling before dropping back into their own court?</t>
  </si>
  <si>
    <t>A) Point to Team R B) Replay the point C) Point to Team S D) Serve is replayed</t>
  </si>
  <si>
    <t>C) Point to Team S</t>
  </si>
  <si>
    <t>If the ball touches any outside object (like the ceiling), it is out, and the point goes to the opponent.</t>
  </si>
  <si>
    <t>In a Surabaya match, what is the ruling if the server from Team P places one foot outside the circle but completes the serve legally?</t>
  </si>
  <si>
    <t>A) Valid serve B) Replay the point C) Service fault, point to Team Q D) Warning only</t>
  </si>
  <si>
    <t>C) Service fault, point to Team Q</t>
  </si>
  <si>
    <t>Both feet must remain inside the serving circle until the ball is served.</t>
  </si>
  <si>
    <t>In Yogyakarta, what is the decision if Team A serves and the ball clips the referee’s stand before entering Team B’s court?</t>
  </si>
  <si>
    <t>A) Point to Team A B) Point to Team B C) Replay the point D) Serve is considered valid</t>
  </si>
  <si>
    <t>B) Point to Team B</t>
  </si>
  <si>
    <t>The ball touching external equipment is out, so the defending team gains the point.</t>
  </si>
  <si>
    <t>During a match in Medan, what does the referee decide if Team S’s striker twists an ankle mid-rally and stops play?</t>
  </si>
  <si>
    <t>A) Replay the point B) Point to Team T C) Suspend match indefinitely D) Award serve to Team S</t>
  </si>
  <si>
    <t>B) Point to Team T</t>
  </si>
  <si>
    <t>If a team halts play without an external interference, the opponent is awarded the point.</t>
  </si>
  <si>
    <t>In a Jakarta final, what happens if Team C mistakenly substitutes a player in the middle of a rally?</t>
  </si>
  <si>
    <t>A) Point to Team D B) Replay the point C) Warning only D) Team C continues play</t>
  </si>
  <si>
    <t>A) Point to Team D</t>
  </si>
  <si>
    <t>Illegal substitution during rally results in a fault and a point to the opponent.</t>
  </si>
  <si>
    <t>In Makassar, what is the ruling if a player from Team L deflects the ball with his shoulder and it lands inside Team K’s court?</t>
  </si>
  <si>
    <t>A) Point to Team L B) Point to Team K C) Replay the point D) Warning to Team L</t>
  </si>
  <si>
    <t>A) Point to Team L</t>
  </si>
  <si>
    <t>Any body part except hands and arms is legal in Sepak Takraw.</t>
  </si>
  <si>
    <t>During an outdoor tournament in Bandung, what is the organizer's standard action if heavy rain interrupts play at a score of 10-8 in the first set?</t>
  </si>
  <si>
    <t>A) Cancel the match B) Replay the entire set C) Resume from same score after rain D) Award set to leading team</t>
  </si>
  <si>
    <t>C) Resume from same score after rain</t>
  </si>
  <si>
    <t>Outdoor matches resume from the paused score once conditions allow.</t>
  </si>
  <si>
    <t>In Lombok, what should the referee do if a spectator enters the court during a long rally?</t>
  </si>
  <si>
    <t>A) Award point to Team A B) Award point to Team B C) Replay the point D) Stop the match entirely</t>
  </si>
  <si>
    <t>C) Replay the point</t>
  </si>
  <si>
    <t>External interference requires a replay of the point.</t>
  </si>
  <si>
    <t>In West Java, what is the ruling if the server tosses the ball twice before serving?</t>
  </si>
  <si>
    <t>A) Allowed, serve continues B) Service fault, point to opponent C) Replay serve D) Warning only</t>
  </si>
  <si>
    <t>B) Service fault, point to opponent</t>
  </si>
  <si>
    <t>Only one toss per service attempt is allowed.</t>
  </si>
  <si>
    <t>In Jakarta, what is the decision if Team Z’s defender uses his knee and then immediately his foot to return the ball in one motion?</t>
  </si>
  <si>
    <t>A) Point to Team Z B) Fault, point to Team Y C) Replay the point D) Warning only</t>
  </si>
  <si>
    <t>B) Fault, point to Team Y</t>
  </si>
  <si>
    <t>Double contact by the same player in one attempt is not allowed.</t>
  </si>
  <si>
    <t>During a match in Kalimantan, what is the ruling if Team A spikes, Team B celebrates thinking the ball is out, but the referee calls it in?</t>
  </si>
  <si>
    <t>A) Replay the point B) Point to Team A C) Point to Team B D) Warning for Team B</t>
  </si>
  <si>
    <t>B) Point to Team A</t>
  </si>
  <si>
    <t>Lines are part of the court; referee’s call stands, giving Team A the point.</t>
  </si>
  <si>
    <t>In a Batam tournament, what is the referee's decision if Team R spikes, the ball touches Team S’s blocker’s foot, and then flies out of bounds?</t>
  </si>
  <si>
    <t>A) Point to Team R B) Point to Team S C) Replay the point D) Serve goes to Team S</t>
  </si>
  <si>
    <t>A) Point to Team R</t>
  </si>
  <si>
    <t>If the defender touches the ball and it goes out, the attacker earns the point.</t>
  </si>
  <si>
    <t>In Jakarta, what does the referee do if Team F requests a timeout at 8-8 but has already used their only one for the set?</t>
  </si>
  <si>
    <t>A) Grant the timeout B) Deny and issue a warning C) Penalize with a point to Team G D) Replay the previous point</t>
  </si>
  <si>
    <t>B) Deny and issue a warning</t>
  </si>
  <si>
    <t>Only one timeout per set is allowed. Extra requests are denied with a warning.</t>
  </si>
  <si>
    <t>In Bandung, what happens after the serve is completed if Team H rotates incorrectly and the wrong player serves?</t>
  </si>
  <si>
    <t>A) Point to Team H B) Replay serve C) Fault, point to Team I D) Warning only</t>
  </si>
  <si>
    <t>C) Fault, point to Team I</t>
  </si>
  <si>
    <t>Wrong player serving is a fault, giving a point and serve to the opponent.</t>
  </si>
  <si>
    <t>In Bali, what is the decision if a spike from Team K clips the net, hits the post, and then bounces inside Team L’s court?</t>
  </si>
  <si>
    <t>A) Point to Team K B) Point to Team L C) Replay the point D) Serve goes to Team L</t>
  </si>
  <si>
    <t>B) Point to Team L</t>
  </si>
  <si>
    <t>Ball contacting the post is out, regardless of where it lands.</t>
  </si>
  <si>
    <t>In Surabaya, what happens if Team M’s striker misses the ball entirely during a spike attempt?</t>
  </si>
  <si>
    <t>A) Play continues B) Fault, point to Team N C) Replay the point D) Warning only</t>
  </si>
  <si>
    <t>B) Fault, point to Team N</t>
  </si>
  <si>
    <t>Missing the ball during an attacking strike is a fault.</t>
  </si>
  <si>
    <t>In Yogyakarta, what is the ruling if Team P’s server takes more than 5 seconds to serve after the referee’s whistle?</t>
  </si>
  <si>
    <t>A) Warning only B) Replay the serve C) Service fault, point to Team Q D) Allow the serve</t>
  </si>
  <si>
    <t>Server must serve within 5 seconds of the referee’s signal.</t>
  </si>
  <si>
    <t>In Jakarta, what is the decision if another ball from an adjacent court rolls in during a rally, which continues until Team A scores?</t>
  </si>
  <si>
    <t>A) Point to Team A B) Point to Team B C) Replay the point D) Warning to organizers</t>
  </si>
  <si>
    <t>Outside interference requires replay, regardless of rally outcome.</t>
  </si>
  <si>
    <t>In Bandung, what is the decision if a player from Team C spikes the ball using his knee and it lands in Team D’s court?</t>
  </si>
  <si>
    <t>A) Point to Team C B) Point to Team D C) Replay the point D) Warning only</t>
  </si>
  <si>
    <t>A) Point to Team C</t>
  </si>
  <si>
    <t>Any legal body part except hands/arms can be used, so the knee spike counts.</t>
  </si>
  <si>
    <t>In Semarang, what is the ruling if Team E’s receiver moves into the serving circle before the ball is struck?</t>
  </si>
  <si>
    <t>A) Replay the serve B) Fault, point to Team F C) Allow the rally D) Warning only</t>
  </si>
  <si>
    <t>B) Fault, point to Team F</t>
  </si>
  <si>
    <t>Players cannot step into the serving circle prematurely.</t>
  </si>
  <si>
    <t>During a televised final in Jakarta, what happens if a power cut stops play at 14-13 in the third set?</t>
  </si>
  <si>
    <t>A) Match canceled B) Restart from 0-0 C) Resume later from 14-13 D) Point to leading team</t>
  </si>
  <si>
    <t>C) Resume later from 14-13</t>
  </si>
  <si>
    <t>Matches resume from the score at interruption.</t>
  </si>
  <si>
    <t>In Lombok, is it legal if Team G’s player uses his head to deflect a serve and it lands in?</t>
  </si>
  <si>
    <t>A) Yes, point continues B) No, point to Team H C) Replay the serve D) Warning only</t>
  </si>
  <si>
    <t>A) Yes, point continues</t>
  </si>
  <si>
    <t>The head is a legal body part in Sepak Takraw.</t>
  </si>
  <si>
    <t>In Surabaya, what does the referee do if Team J protests mid-rally that Team K rotated wrongly before serving?</t>
  </si>
  <si>
    <t>A) Stop and check B) Let rally finish, then check C) Replay the point immediately D) Award point to Team J</t>
  </si>
  <si>
    <t>B) Let rally finish, then check</t>
  </si>
  <si>
    <t>Referees cannot interrupt a rally; errors are checked afterward.</t>
  </si>
  <si>
    <t>In Bali, what is the outcome if Team M requests an injury substitution mid-set?</t>
  </si>
  <si>
    <t>A) Allowed substitution B) Denied, no changes C) Replay previous point D) Opponent gains point</t>
  </si>
  <si>
    <t>A) Allowed substitution</t>
  </si>
  <si>
    <t>Injury substitutions are permitted following regulations.</t>
  </si>
  <si>
    <t>In Jakarta, what is the decision if a spike causes the ball to stick momentarily on the net tape before falling on Team B’s side?</t>
  </si>
  <si>
    <t>A) Point to spiking team B) Replay the point C) Point to receiving team D) Fault on spiking team</t>
  </si>
  <si>
    <t>A) Point to spiking team</t>
  </si>
  <si>
    <t>As long as the ball crosses legally, the point stands.</t>
  </si>
  <si>
    <t>In Yogyakarta, what happens if Team X’s server tosses the ball backward instead of upward?</t>
  </si>
  <si>
    <t>A) Replay serve B) Fault, point to Team Y C) Warning only D) Serve continues</t>
  </si>
  <si>
    <t>Ball must be tossed correctly upward for a valid serve.</t>
  </si>
  <si>
    <t>In Bandung, what is the decision if two players from Team R jump simultaneously to block and both touch the ball together?</t>
  </si>
  <si>
    <t>A) Fault, point to Team S B) Replay the point C) Point continues D) Warning only</t>
  </si>
  <si>
    <t>C) Point continues</t>
  </si>
  <si>
    <t>Multiple blockers touching the ball together is allowed.</t>
  </si>
  <si>
    <t>In Bali, what is the ruling if the referee blows a whistle for a serve, but a second whistle is mistakenly blown before the server serves?</t>
  </si>
  <si>
    <t>A) Replay serve B) Point to opponent C) Allow serve D) Warning to referee</t>
  </si>
  <si>
    <t>A) Replay serve</t>
  </si>
  <si>
    <t>Confusion in referee signals requires replay.</t>
  </si>
  <si>
    <t>What is the referee's decision if a player in Jakarta removes his shirt mid-set due to heat?</t>
  </si>
  <si>
    <t>A) Allow play B) Warning and order to wear jersey C) Fault, point to opponent D) Replay rally</t>
  </si>
  <si>
    <t>B) Warning and order to wear jersey</t>
  </si>
  <si>
    <t>Uniform rules must be followed.</t>
  </si>
  <si>
    <t>During an outdoor match in Bali, what is the decision if a strong wind blows the ball off course mid-serve?</t>
  </si>
  <si>
    <t>A) Replay the serve B) Fault, point to opponent C) Point to server D) Warning only</t>
  </si>
  <si>
    <t>A) Replay the serve</t>
  </si>
  <si>
    <t>Natural interference like wind allows replay.</t>
  </si>
  <si>
    <t>In Bandung, what is the ruling if a player from Team T accidentally kicks an opponent while attempting a jump spike?</t>
  </si>
  <si>
    <t>A) Replay rally B) Fault on Team T, point to opponent C) Allow play D) Warning only</t>
  </si>
  <si>
    <t>B) Fault on Team T, point to opponent</t>
  </si>
  <si>
    <t>Physical contact with opponent is a fault.</t>
  </si>
  <si>
    <t>In Jakarta, what happens if Team L’s spike crosses outside the net post but lands in bounds?</t>
  </si>
  <si>
    <t>A) Point to Team L B) Point to Team M C) Replay rally D) Warning</t>
  </si>
  <si>
    <t>B) Point to Team M</t>
  </si>
  <si>
    <t>Ball must cross over the net within posts.</t>
  </si>
  <si>
    <t>In Surabaya, what is the ruling if Team A’s defender jumps outside the court to save the ball and kicks it back into play?</t>
  </si>
  <si>
    <t>A) Allowed, rally continues B) Fault, point to Team B C) Replay rally D) Warning only</t>
  </si>
  <si>
    <t>A) Allowed, rally continues</t>
  </si>
  <si>
    <t>Players may step or land outside if ball is legally returned.</t>
  </si>
  <si>
    <t>In Bali, what is the decision if Team X argues that the referee wrongly called a spike “in”?</t>
  </si>
  <si>
    <t>A) Replay rally B) Point stands C) Warning for dissent D) Match paused</t>
  </si>
  <si>
    <t>B) Point stands</t>
  </si>
  <si>
    <t>Referee’s decision on line calls is final.</t>
  </si>
  <si>
    <t>In an indoor Jakarta match, what is the decision if the ball hits the overhead lights and bounces down into the opponent’s court?</t>
  </si>
  <si>
    <t>A) Point to striker B) Replay rally C) Point to opponent D) Serve replay</t>
  </si>
  <si>
    <t>C) Point to opponent</t>
  </si>
  <si>
    <t>Contact with ceiling or fixtures is out.</t>
  </si>
  <si>
    <t>In Semarang, what is the penalty if Team Y intentionally delays a restart beyond the referee’s instruction?</t>
  </si>
  <si>
    <t>A) Replay rally B) Point to opponent C) Warning only D) Match paused</t>
  </si>
  <si>
    <t>B) Point to opponent</t>
  </si>
  <si>
    <t>Delaying play after referee’s call is penalized with loss of point.</t>
  </si>
  <si>
    <t>In Surabaya, what is the decision if the ball lodges on the side of the net without crossing?</t>
  </si>
  <si>
    <t>A) Replay rally B) Point to opponent C) Point to striker D) Serve replay</t>
  </si>
  <si>
    <t>Ball stuck without crossing is a fault.</t>
  </si>
  <si>
    <t>In a Jakarta final, what is the ruling if the referee forgets the coin toss for the deciding set and Team A serves directly?</t>
  </si>
  <si>
    <t>A) Serve continues B) Replay with coin toss C) Point to Team B D) Warning to referee</t>
  </si>
  <si>
    <t>B) Replay with coin toss</t>
  </si>
  <si>
    <t>Serve order must be decided by coin toss before the final set.</t>
  </si>
  <si>
    <t>In Bandung, what is the decision if a server from Team X rests one knee inside the circle before serving?</t>
  </si>
  <si>
    <t>A) Legal B) Fault, point to Team Y C) Replay serve D) Warning</t>
  </si>
  <si>
    <t>Only feet are allowed to touch the ground in the circle.</t>
  </si>
  <si>
    <t>In Surabaya, what is the ruling if Team R’s blocker steadies himself by holding the net post while jumping?</t>
  </si>
  <si>
    <t>A) Fault, point to Team S B) Legal play C) Replay rally D) Warning only</t>
  </si>
  <si>
    <t>A) Fault, point to Team S</t>
  </si>
  <si>
    <t>Using the net post for support is illegal.</t>
  </si>
  <si>
    <t>In Bali, what happens if Team P substitutes a player during a live rally?</t>
  </si>
  <si>
    <t>A) Replay rally B) Fault, point to Team Q C) Allowed if injury D) Warning only</t>
  </si>
  <si>
    <t>B) Fault, point to Team Q</t>
  </si>
  <si>
    <t>Substitutions can only occur when ball is dead.</t>
  </si>
  <si>
    <t>In Jakarta, what is the decision if a spike causes the ball to roll along the net tape before dropping into the opponent’s court?</t>
  </si>
  <si>
    <t>A) Point to spiker B) Replay rally C) Fault, point to opponent D) Warning</t>
  </si>
  <si>
    <t>A) Point to spiker</t>
  </si>
  <si>
    <t>As long as ball crosses into opponent’s court, it is valid.</t>
  </si>
  <si>
    <t>In Bandung, what is the ruling if a striker lands with their foot crossing under the net into the opponent’s half?</t>
  </si>
  <si>
    <t>A) Fault, point to opponent B) Play continues C) Replay rally D) Warning</t>
  </si>
  <si>
    <t>A) Fault, point to opponent</t>
  </si>
  <si>
    <t>Crossing centre line is not permitted.</t>
  </si>
  <si>
    <t>In Surabaya, what does the referee decide if a player from Team A wears mismatched shorts?</t>
  </si>
  <si>
    <t>A) Allow play B) Warning, must change C) Fault, point to opponent D) Replay rally</t>
  </si>
  <si>
    <t>B) Warning, must change</t>
  </si>
  <si>
    <t>Uniform rules are enforced for fairness and identification.</t>
  </si>
  <si>
    <t>In Bali, what is the ruling if a spike strikes the referee’s body and lands inside the opponent’s court?</t>
  </si>
  <si>
    <t>A) Replay rally B) Point to striker C) Point to opponent D) Warning only</t>
  </si>
  <si>
    <t>A) Replay rally</t>
  </si>
  <si>
    <t>Contact with referee counts as external interference.</t>
  </si>
  <si>
    <t>In Jakarta, what happens if Team X continues practicing kicks on the court during a timeout?</t>
  </si>
  <si>
    <t>A) Allowed B) Warning issued C) Point to Team Y D) Replay previous rally</t>
  </si>
  <si>
    <t>B) Warning issued</t>
  </si>
  <si>
    <t>Players must stay off play during timeouts.</t>
  </si>
  <si>
    <t>In Bandung, is it legal if Team M spikes the ball around the outside of the post but it curves back in bounds?</t>
  </si>
  <si>
    <t>A) Point to Team M B) Point to Team N C) Replay rally D) Warning</t>
  </si>
  <si>
    <t>B) Point to Team N</t>
  </si>
  <si>
    <t>Ball must pass over net within posts.</t>
  </si>
  <si>
    <t>In Bali, what is the ruling if a server tosses the ball, catches it, and then re-tosses it before serving?</t>
  </si>
  <si>
    <t>A) Replay serve B) Fault, point to opponent C) Legal once D) Warning</t>
  </si>
  <si>
    <t>B) Fault, point to opponent</t>
  </si>
  <si>
    <t>Only one toss allowed.</t>
  </si>
  <si>
    <t>In Jakarta, what is the decision if a server jumps off the ground to serve?</t>
  </si>
  <si>
    <t>A) Legal B) Fault, point to opponent C) Replay serve D) Warning</t>
  </si>
  <si>
    <t>Server must remain grounded.</t>
  </si>
  <si>
    <t>In Surabaya, what is the outcome if a spike wedges the ball between the post and the net?</t>
  </si>
  <si>
    <t>A) Point to opponent B) Replay rally C) Point to striker D) Warning</t>
  </si>
  <si>
    <t>A) Point to opponent</t>
  </si>
  <si>
    <t>Ball trapped outside play area is fault.</t>
  </si>
  <si>
    <t>In Bali, what is the decision if a player's headband falls onto the court mid-rally and play continues?</t>
  </si>
  <si>
    <t>A) Replay rally B) Point to opponent C) Play continues D) Warning</t>
  </si>
  <si>
    <t>C) Play continues</t>
  </si>
  <si>
    <t>Falling accessories are not interference unless obstructing play.</t>
  </si>
  <si>
    <t>In Jakarta, what is the ruling if Team A uses four touches before returning the ball?</t>
  </si>
  <si>
    <t>A) Legal B) Fault, point to Team B C) Replay rally D) Warning</t>
  </si>
  <si>
    <t>B) Fault, point to Team B</t>
  </si>
  <si>
    <t>Maximum three touches per team.</t>
  </si>
  <si>
    <t>In Bandung, what is the decision if a defender deflects the ball with their shoe sole and the ball stays in play?</t>
  </si>
  <si>
    <t>A) Legal B) Fault C) Replay rally D) Warning</t>
  </si>
  <si>
    <t>A) Legal</t>
  </si>
  <si>
    <t>Feet, including sole, are valid.</t>
  </si>
  <si>
    <t>In Surabaya, what is the ruling if a server shouts loudly during the serve, distracting opponents?</t>
  </si>
  <si>
    <t>A) Legal play B) Unsportsmanlike, point to opponent C) Replay rally D) Warning only</t>
  </si>
  <si>
    <t>B) Unsportsmanlike, point to opponent</t>
  </si>
  <si>
    <t>Distraction is misconduct.</t>
  </si>
  <si>
    <t>In Bali, what happens if the referee announces the wrong score, play continues, and the error is corrected after the rally?</t>
  </si>
  <si>
    <t>A) Replay rally B) Rally stands, score corrected C) Point annulled D) Warning</t>
  </si>
  <si>
    <t>B) Rally stands, score corrected</t>
  </si>
  <si>
    <t>Score error doesn’t void rally.</t>
  </si>
  <si>
    <t>In Jakarta, what is the decision if the ball bursts mid-play during a rally?</t>
  </si>
  <si>
    <t>A) Replay rally B) Point to striker C) Point to opponent D) Match stopped</t>
  </si>
  <si>
    <t>Equipment failure requires replay.</t>
  </si>
  <si>
    <t>In Bandung, what is the decision if the referee wrongly grants Team C a second timeout and the error is corrected later?</t>
  </si>
  <si>
    <t>A) Cancel rally B) Replay rally C) Allow but record as error D) Opponent gains point</t>
  </si>
  <si>
    <t>C) Allow but record as error</t>
  </si>
  <si>
    <t>Referee decisions stand, but rule error noted.</t>
  </si>
  <si>
    <t>In Bali, what is the ruling if a blocker crashes into the net post after a block attempt and the ball lands in?</t>
  </si>
  <si>
    <t>A) Point stands B) Fault, point to opponent C) Replay rally D) Warning</t>
  </si>
  <si>
    <t>Contact with post is fault.</t>
  </si>
  <si>
    <t>In Jakarta, what is the decision if an emergency horn sounds mid-rally?</t>
  </si>
  <si>
    <t>A) Replay rally B) Point to leading team C) Rally stands D) Match canceled</t>
  </si>
  <si>
    <t>External interruption cancels rally.</t>
  </si>
  <si>
    <t>In Bandung, what happens if the referee denies Team Z's substitution at the wrong moment and the team insists?</t>
  </si>
  <si>
    <t>A) Play continues without substitution B) Opponent gains point C) Replay rally D) Warning</t>
  </si>
  <si>
    <t>A) Play continues without substitution</t>
  </si>
  <si>
    <t>Substitutions only at dead ball.</t>
  </si>
  <si>
    <t>In Bali, what is the decision if a striker celebrates while the ball is still in the air, and the ball then lands out?</t>
  </si>
  <si>
    <t>A) Replay rally B) Point to opponent C) Point to striker D) Warning only</t>
  </si>
  <si>
    <t>Rally isn’t over until ball lands.</t>
  </si>
  <si>
    <t>In Jakarta, what does the referee decide if Team P takes extra time to return from a timeout?</t>
  </si>
  <si>
    <t>A) Replay rally B) Point to opponent C) Allow delay D) Warning</t>
  </si>
  <si>
    <t>Delay after timeout penalized with point loss.</t>
  </si>
  <si>
    <t>In Bandung, what is the ruling if a player's shoe comes off and lands in the court during a rally?</t>
  </si>
  <si>
    <t>Obstruction by equipment requires replay.</t>
  </si>
  <si>
    <t>In Bali, what is the decision if crowd noise erupts before a serve, causing the server to hesitate and delay?</t>
  </si>
  <si>
    <t>A) Replay serve B) Fault, point to opponent C) Allow continuation D) Warning</t>
  </si>
  <si>
    <t>External noise interference leads to replay.</t>
  </si>
  <si>
    <t>In Jakarta, what happens if teams discover the ball is under-inflated after a set has been completed?</t>
  </si>
  <si>
    <t>A) Replay whole set B) Continue with correct ball next set C) Replay last rally D) Cancel match</t>
  </si>
  <si>
    <t>B) Continue with correct ball next set</t>
  </si>
  <si>
    <t>Matches continue unless ball bursts during play.</t>
  </si>
  <si>
    <t>In Bandung, what is the decision if a deflected ball hits a coach sitting outside before re-entering the court?</t>
  </si>
  <si>
    <t>A) Replay rally B) Point to opponent C) Point to striker D) Warning</t>
  </si>
  <si>
    <t>Contact with outside object ends rally.</t>
  </si>
  <si>
    <t>In Bali, what happens if a replay video shows a net fault was missed by the referee?</t>
  </si>
  <si>
    <t>A) Point corrected retroactively B) Decision stands C) Replay rally D) Warning to referee</t>
  </si>
  <si>
    <t>B) Decision stands</t>
  </si>
  <si>
    <t>Referee’s decision is final in absence of review system.</t>
  </si>
  <si>
    <t>In Jakarta, what is the decision if a defender shouts “out” before the ball lands, and the ball then lands in?</t>
  </si>
  <si>
    <t>A) Replay rally B) Point to attacker C) Point to defender D) Warning</t>
  </si>
  <si>
    <t>B) Point to attacker</t>
  </si>
  <si>
    <t>Distraction is misconduct; attacker gains point.</t>
  </si>
  <si>
    <t>In Bandung, what is the decision if a spike touches the boundary line?</t>
  </si>
  <si>
    <t>A) Out B) In, point to striker C) Replay D) Warning</t>
  </si>
  <si>
    <t>B) In, point to striker</t>
  </si>
  <si>
    <t>Lines are part of court.</t>
  </si>
  <si>
    <t>In Bali, what do organizers decide if Team B arrives 15 minutes late for a match?</t>
  </si>
  <si>
    <t>A) Opponent wins by forfeit B) Match delayed C) Replay scheduled D) Warning</t>
  </si>
  <si>
    <t>A) Opponent wins by forfeit</t>
  </si>
  <si>
    <t>Failure to arrive on time leads to forfeit.</t>
  </si>
  <si>
    <t>In Jakarta, is it legal if a player strikes the ball with their back during a rally?</t>
  </si>
  <si>
    <t>A) Legal, rally continues B) Fault, point to opponent C) Replay rally D) Warning</t>
  </si>
  <si>
    <t>A) Legal, rally continues</t>
  </si>
  <si>
    <t>Any body part except hands/arms valid.</t>
  </si>
  <si>
    <t>In Bandung, what is the ruling if a player spits on the court during a rally?</t>
  </si>
  <si>
    <t>A) Replay rally B) Fault, point to opponent C) Allow play D) Warning only</t>
  </si>
  <si>
    <t>D) Warning only</t>
  </si>
  <si>
    <t>Unsportsmanlike but not rally-affecting.</t>
  </si>
  <si>
    <t>In Bali, what is the decision if a serve grazes the net and then hits the ceiling before landing in the opponent's court?</t>
  </si>
  <si>
    <t>A) Replay serve B) Point to server C) Fault, point to opponent D) Warning</t>
  </si>
  <si>
    <t>C) Fault, point to opponent</t>
  </si>
  <si>
    <t>Ceiling contact is out.</t>
  </si>
  <si>
    <t>In Jakarta, what action does the referee take if a player enters the court barefoot?</t>
  </si>
  <si>
    <t>A) Allow play B) Warning, must wear shoes C) Fault, point to opponent D) Replay rally</t>
  </si>
  <si>
    <t>B) Warning, must wear shoes</t>
  </si>
  <si>
    <t>Proper gear required.</t>
  </si>
  <si>
    <t>In Bandung, what is the decision if a coach extends a timeout beyond the allotted 1 minute?</t>
  </si>
  <si>
    <t>A) Replay rally B) Point to opponent C) Warning only D) Allow continuation</t>
  </si>
  <si>
    <t>Overstepping timeout penalized.</t>
  </si>
  <si>
    <t>In Bali, what is the referee's action if a player collapses during a rally?</t>
  </si>
  <si>
    <t>A) Replay rally B) Stop rally, point to opponent C) Allow rally D) Suspend match</t>
  </si>
  <si>
    <t>B) Stop rally, point to opponent</t>
  </si>
  <si>
    <t>If play halted by one team, opponent gets point.</t>
  </si>
  <si>
    <t>In Jakarta, what is the decision if a coach yells loudly during a rally, distracting the opponent?</t>
  </si>
  <si>
    <t>A) Replay rally B) Point to opponent C) Warning to coach D) Allow play</t>
  </si>
  <si>
    <t>Coaching interference penalized.</t>
  </si>
  <si>
    <t>In Bandung, what happens if Team Y claims the score is wrong mid-set and the referee confirms the error?</t>
  </si>
  <si>
    <t>A) Replay rally B) Correct score announced, play continues C) Opponent loses point D) Warning</t>
  </si>
  <si>
    <t>B) Correct score announced, play continues</t>
  </si>
  <si>
    <t>Score mistakes corrected on spot.</t>
  </si>
  <si>
    <t>In Bali, what is the ruling if a ball bounces twice on the net tape before crossing and dropping into the opponent's court?</t>
  </si>
  <si>
    <t>A) Legal, point to attacker B) Replay rally C) Fault, point to opponent D) Warning</t>
  </si>
  <si>
    <t>A) Legal, point to attacker</t>
  </si>
  <si>
    <t>As long as it crosses, it is valid.</t>
  </si>
  <si>
    <t>In Jakarta, what is the ruling if a player tosses their sweatband at the ball in an attempt to block it?</t>
  </si>
  <si>
    <t>A) Legal B) Fault, point to opponent C) Replay rally D) Warning only</t>
  </si>
  <si>
    <t>Only body parts may contact ball.</t>
  </si>
  <si>
    <t>In Bandung, what is the ruling if a defender traps the ball between both knees before returning it?</t>
  </si>
  <si>
    <t>A) Legal B) Fault, point to opponent C) Replay rally D) Warning</t>
  </si>
  <si>
    <t>Holding/trapping ball not allowed.</t>
  </si>
  <si>
    <t>In Bali, what is the decision if a ball passes outside the post and above the referee’s head but lands in the court?</t>
  </si>
  <si>
    <t>Must cross over net area.</t>
  </si>
  <si>
    <t>In Jakarta, what is the ruling if a blocker claps loudly mid-rally to distract the opponent?</t>
  </si>
  <si>
    <t>A) Legal B) Unsportsmanlike, point to opponent C) Replay rally D) Warning only</t>
  </si>
  <si>
    <t>Distractions penalized.</t>
  </si>
  <si>
    <t>In Bandung, what is the ruling if a server kicks the ball before the referee's whistle?</t>
  </si>
  <si>
    <t>A) Replay serve B) Fault, point to opponent C) Allow serve D) Warning only</t>
  </si>
  <si>
    <t>Must wait for signal.</t>
  </si>
  <si>
    <t>In Bali, what is the decision if a ball hits a TV camera rig above the court and falls back in?</t>
  </si>
  <si>
    <t>A) Replay rally B) Point to striker C) Point to opponent D) Warning</t>
  </si>
  <si>
    <t>Equipment interference = replay.</t>
  </si>
  <si>
    <t>In Jakarta, what is the decision if a defender runs off to the bench during a rally without permission?</t>
  </si>
  <si>
    <t>A) Play continues B) Fault, point to opponent C) Replay rally D) Warning</t>
  </si>
  <si>
    <t>Players must stay within court.</t>
  </si>
  <si>
    <t>In Bandung, what is the ruling if a defender uses their forearm unintentionally to play the ball?</t>
  </si>
  <si>
    <t>Hands/arms illegal in Sepak Takraw.</t>
  </si>
  <si>
    <t>In Bali, what is the decision if a laser light from the crowd is pointed at a striker’s eyes mid-rally?</t>
  </si>
  <si>
    <t>External distraction cancels rally.</t>
  </si>
  <si>
    <t>In Jakarta, what is the referee's action if they notice a player wearing earrings?</t>
  </si>
  <si>
    <t>A) Allow B) Warning, remove immediately C) Fault, point to opponent D) Replay rally</t>
  </si>
  <si>
    <t>B) Warning, remove immediately</t>
  </si>
  <si>
    <t>Jewelry not permitted.</t>
  </si>
  <si>
    <t>In Bandung, what is the ruling if a team sits on the wrong bench after a set change?</t>
  </si>
  <si>
    <t>A) Fault B) Warning, correct sides C) Replay rally D) Opponent gains point</t>
  </si>
  <si>
    <t>B) Warning, correct sides</t>
  </si>
  <si>
    <t>Teams must switch sides per rules.</t>
  </si>
  <si>
    <t>In Bali, what is the decision if a player chest-spikes the ball into the opponent’s court?</t>
  </si>
  <si>
    <t>Chest is valid.</t>
  </si>
  <si>
    <t>In Jakarta, what is the decision if a ball drops between the net tape layers and then falls into the opponent's court?</t>
  </si>
  <si>
    <t>A) Legal, point to striker B) Replay rally C) Fault, point to opponent D) Warning</t>
  </si>
  <si>
    <t>A) Legal, point to striker</t>
  </si>
  <si>
    <t>As long as ball falls into court, valid.</t>
  </si>
  <si>
    <t>In Bandung, what is the ruling if a defender laughs loudly to distract the server mid-serve?</t>
  </si>
  <si>
    <t>In Bali, what is the decision if a player argues aggressively with the referee?</t>
  </si>
  <si>
    <t>A) Warning only B) Yellow card, loss of point C) Replay rally D) No action</t>
  </si>
  <si>
    <t>B) Yellow card, loss of point</t>
  </si>
  <si>
    <t>Arguing with officials is unsportsmanlike and penalized with card plus point to opponent.</t>
  </si>
  <si>
    <t>In Jakarta, what is the decision if Team A spikes, the ball deflects off a defender’s head, and then goes out?</t>
  </si>
  <si>
    <t>A) Point to Team A B) Point to Team B C) Replay rally D) Warning</t>
  </si>
  <si>
    <t>A) Point to Team A</t>
  </si>
  <si>
    <t>Ball touched by defender before going out = point for attacker.</t>
  </si>
  <si>
    <t>In Bandung, what should the referee do if play continues with a volleyball instead of a Sepak Takraw ball?</t>
  </si>
  <si>
    <t>A) Replay rally B) Allow play C) Award point to striker D) Cancel set</t>
  </si>
  <si>
    <t>Wrong equipment invalidates rally.</t>
  </si>
  <si>
    <t>In Bali, what is the ruling if a server has both feet outside the circle during a serve?</t>
  </si>
  <si>
    <t>A) Replay serve B) Fault, point to opponent C) Warning only D) Legal</t>
  </si>
  <si>
    <t>Feet must remain inside circle.</t>
  </si>
  <si>
    <t>In Jakarta, what is the decision if a ball hits a defender’s shoulder and then goes over the net?</t>
  </si>
  <si>
    <t>A) Legal, rally continues B) Fault C) Replay rally D) Warning</t>
  </si>
  <si>
    <t>Shoulder is allowed body part.</t>
  </si>
  <si>
    <t>In Bandung, what is the decision if a player wipes sweat from the court with a towel mid-rally without permission?</t>
  </si>
  <si>
    <t>A) Replay rally B) Point to opponent C) Allow play D) Warning</t>
  </si>
  <si>
    <t>Interrupting play illegally gives point away.</t>
  </si>
  <si>
    <t>In Bali, what is the decision if a team's rotation error is discovered after several rallies have been played?</t>
  </si>
  <si>
    <t>A) Replay rallies B) Correct rotation, score stands C) Award all points to opponent D) Cancel set</t>
  </si>
  <si>
    <t>B) Correct rotation, score stands</t>
  </si>
  <si>
    <t>Only correction is applied; past rallies remain valid.</t>
  </si>
  <si>
    <t>In Jakarta, what is the decision if a player traps the ball between both feet before returning it?</t>
  </si>
  <si>
    <t>Trapping/holding ball is illegal.</t>
  </si>
  <si>
    <t>In Bandung, what is the restart score if an outdoor match resumes after a rain delay that occurred at 10–7?</t>
  </si>
  <si>
    <t>A) 0–0 B) 10–7 C) 7–10 D) Replay entire set</t>
  </si>
  <si>
    <t>B) 10–7</t>
  </si>
  <si>
    <t>Resume from paused score.</t>
  </si>
  <si>
    <t>In Bali, what is the decision if a striker hits the ball and it drops back on their own side of the court?</t>
  </si>
  <si>
    <t>A) Replay rally B) Point to opponent C) Legal play continues D) Warning</t>
  </si>
  <si>
    <t>Ball must cross net.</t>
  </si>
  <si>
    <t>In Jakarta, what is the decision if a defender raises their hand claiming a ball is "out," but the referee sees it land inside?</t>
  </si>
  <si>
    <t>Referee’s decision final; ball in.</t>
  </si>
  <si>
    <t>In Bandung, what is the decision if a blocker collides with a striker mid-air over the net?</t>
  </si>
  <si>
    <t>A) Replay rally B) Fault, point to opponent C) Warning only D) Allow play</t>
  </si>
  <si>
    <t>Physical contact across net is a fault.</t>
  </si>
  <si>
    <t>In Bali, what is the decision if a ball brushes a defender’s hair and then goes out?</t>
  </si>
  <si>
    <t>A) Point to attacker B) Replay rally C) Point to defender D) Warning</t>
  </si>
  <si>
    <t>A) Point to attacker</t>
  </si>
  <si>
    <t>Any body contact counts, including hair.</t>
  </si>
  <si>
    <t>In Jakarta, what is the decision if the referee blows the whistle too early by mistake during a rally?</t>
  </si>
  <si>
    <t>Referee error requires replay.</t>
  </si>
  <si>
    <t>In Bandung, what is the decision if loud music begins playing during a rally, distracting the players?</t>
  </si>
  <si>
    <t>A) Replay rally B) Point to leading team C) Continue rally D) Cancel match</t>
  </si>
  <si>
    <t>In Bali, what is the decision if a towel from a bench player falls inside the court during a rally?</t>
  </si>
  <si>
    <t>A) Replay rally B) Point to opponent C) Warning only D) Allow play</t>
  </si>
  <si>
    <t>External interference = replay.</t>
  </si>
  <si>
    <t>In Jakarta, what is the ruling if a server spins the ball on their toe before serving?</t>
  </si>
  <si>
    <t>Ball may be balanced creatively before striking.</t>
  </si>
  <si>
    <t>In Bandung, what does the referee do if Team A mistakenly stands on the wrong side of the court at the start of the match?</t>
  </si>
  <si>
    <t>A) Cancel set B) Switch sides, continue C) Opponent gets point D) Replay rallies</t>
  </si>
  <si>
    <t>B) Switch sides, continue</t>
  </si>
  <si>
    <t>Error corrected without penalty.</t>
  </si>
  <si>
    <t>In Bali, is it legal for a defender to block a spike with their shin?</t>
  </si>
  <si>
    <t>A) Yes, rally continues B) No, fault C) Replay rally D) Warning</t>
  </si>
  <si>
    <t>A) Yes, rally continues</t>
  </si>
  <si>
    <t>Shin is legal body part.</t>
  </si>
  <si>
    <t>In Jakarta, what is the decision if a player jumps onto the net to celebrate after a point is scored?</t>
  </si>
  <si>
    <t>A) Allowed after rally B) Warning for misconduct C) Point reversed D) Replay rally</t>
  </si>
  <si>
    <t>B) Warning for misconduct</t>
  </si>
  <si>
    <t>Net contact after rally punished with warning.</t>
  </si>
  <si>
    <t>In Bandung, what is the ruling if a server drops the ball accidentally without kicking it?</t>
  </si>
  <si>
    <t>A) Replay serve B) Fault, point to opponent C) Warning only D) Allow retry</t>
  </si>
  <si>
    <t>Missing ball = service fault.</t>
  </si>
  <si>
    <t>In Bali, what is the ruling if a player's shoe breaks mid-rally and they continue playing?</t>
  </si>
  <si>
    <t>A) Replay rally B) Allow play C) Point to opponent D) Warning</t>
  </si>
  <si>
    <t>B) Allow play</t>
  </si>
  <si>
    <t>Equipment break not interference unless rally stopped.</t>
  </si>
  <si>
    <t>In Jakarta, what is the decision if a blocker lands into the referee’s stand?</t>
  </si>
  <si>
    <t>A) Replay rally B) Fault, point to opponent C) Play continues D) Warning</t>
  </si>
  <si>
    <t>Contact with outside objects = fault.</t>
  </si>
  <si>
    <t>In Bandung, what is the decision if a striker imitates the referee's whistle mid-rally?</t>
  </si>
  <si>
    <t>A) Legal trick B) Misconduct, point to opponent C) Replay rally D) Warning</t>
  </si>
  <si>
    <t>B) Misconduct, point to opponent</t>
  </si>
  <si>
    <t>Faking referee signals = misconduct.</t>
  </si>
  <si>
    <t>In Bali, what is the decision if a ball crosses outside the side rope but lands in the court?</t>
  </si>
  <si>
    <t>Must pass over net area.</t>
  </si>
  <si>
    <t>In Jakarta, what is the decision if a player chases a ball outside the court and kicks it back legally?</t>
  </si>
  <si>
    <t>Ball may be played outside as long as legally returned.</t>
  </si>
  <si>
    <t>In Bandung, what is the decision if video shows a double touch was missed by the referee who allowed play to continue?</t>
  </si>
  <si>
    <t>A) Change score B) Decision stands C) Replay rally D) Warning</t>
  </si>
  <si>
    <t>Referee’s call is final.</t>
  </si>
  <si>
    <t>In Bali, what is the ruling if a frustrated player tosses their shoe at the ball?</t>
  </si>
  <si>
    <t>A) Legal B) Misconduct, point to opponent C) Replay rally D) Warning only</t>
  </si>
  <si>
    <t>Only body contact permitted.</t>
  </si>
  <si>
    <t>In Jakarta, what is the decision if a serve hits the ceiling netting?</t>
  </si>
  <si>
    <t>A) Replay serve B) Fault, point to opponent C) Warning D) Replay rally</t>
  </si>
  <si>
    <t>Ceiling = out.</t>
  </si>
  <si>
    <t>In Bandung, what is the decision if a striker mocks the server by laughing loudly?</t>
  </si>
  <si>
    <t>A) Legal B) Misconduct, point to opponent C) Replay rally D) Warning</t>
  </si>
  <si>
    <t>Distraction penalized.</t>
  </si>
  <si>
    <t>In Bali, what is the decision if a team delays the start of the second set by 5 minutes?</t>
  </si>
  <si>
    <t>A) Warning B) Point to opponent C) Forfeit set D) Replay</t>
  </si>
  <si>
    <t>Delay penalized with point loss.</t>
  </si>
  <si>
    <t>In Jakarta, what is the decision if a server tries to serve with their head?</t>
  </si>
  <si>
    <t>Serve must be with foot.</t>
  </si>
  <si>
    <t>In Bandung, what is the ruling if a ball touches the referee's chair and then drops into the court?</t>
  </si>
  <si>
    <t>A) Point to striker B) Point to opponent C) Replay rally D) Warning</t>
  </si>
  <si>
    <t>Outside contact = out.</t>
  </si>
  <si>
    <t>In Bali, what is the decision if a spike grazes the net but lands in the opponent's court?</t>
  </si>
  <si>
    <t>A) Point to striker</t>
  </si>
  <si>
    <t>Net graze is valid if ball lands in.</t>
  </si>
  <si>
    <t>In Jakarta, what is the decision if a player demands a video review system that is not present?</t>
  </si>
  <si>
    <t>A) Replay rally B) Deny, referee call stands C) Warning D) Point to opponent</t>
  </si>
  <si>
    <t>B) Deny, referee call stands</t>
  </si>
  <si>
    <t>Without review system, referee decision final.</t>
  </si>
  <si>
    <t>In Bandung, what is the ruling if a player pulls the net tape loose during a timeout?</t>
  </si>
  <si>
    <t>A) Replay rally B) Misconduct, point to opponent C) Warning only D) Allow play</t>
  </si>
  <si>
    <t>Tampering equipment penalized.</t>
  </si>
  <si>
    <t>In Bali, what is the decision if a player pretends to be injured to stop a rally?</t>
  </si>
  <si>
    <t>A) Replay rally B) Misconduct, point to opponent C) Warning only D) Allow pause</t>
  </si>
  <si>
    <t>Feigning injury penalized.</t>
  </si>
  <si>
    <t>In Jakarta, what is the ruling if a spike hits the referee’s shirt and then falls in the court?</t>
  </si>
  <si>
    <t>External interference requires replay.</t>
  </si>
  <si>
    <t>In Bandung, what is the decision if a player squeezes sweat from their headband at the ball?</t>
  </si>
  <si>
    <t>Only body parts can play ball.</t>
  </si>
  <si>
    <t>In Bali, what happens if a team’s player walks off the court mid-set without a substitute?</t>
  </si>
  <si>
    <t>A) Match continues B) Forfeit set C) Replay rally D) Warning</t>
  </si>
  <si>
    <t>B) Forfeit set</t>
  </si>
  <si>
    <t>Minimum players required.</t>
  </si>
  <si>
    <t>In Jakarta, what is the ruling if a player spikes the ball while jumping over the net?</t>
  </si>
  <si>
    <t>A) Point to striker B) Fault, point to opponent C) Replay rally D) Warning</t>
  </si>
  <si>
    <t>Crossing net not allowed.</t>
  </si>
  <si>
    <t>In Bandung, what is the decision if a ball touches the side rope and then falls into the court?</t>
  </si>
  <si>
    <t>Side rope counts as out.</t>
  </si>
  <si>
    <t>In Bali, what is the consequence if a player refuses the post-match handshake?</t>
  </si>
  <si>
    <t>A) No consequence B) Warning for misconduct C) Point deduction D) Replay match</t>
  </si>
  <si>
    <t>Sportsmanship violations penalized.</t>
  </si>
  <si>
    <t>In Jakarta, what is the decision if a spike hits the scoreboard above the court and drops in?</t>
  </si>
  <si>
    <t>Contact with external object = out.</t>
  </si>
  <si>
    <t>In Bandung, what is the decision if a striker dances mid-serve to distract the opponent?</t>
  </si>
  <si>
    <t>In Bali, what is the decision if the same player touches the ball with their knee and then their head consecutively?</t>
  </si>
  <si>
    <t>Same player can’t touch twice consecutively.</t>
  </si>
  <si>
    <t>In Jakarta, what is the decision if a ball from a spike strikes a defender’s face hard and play stops for injury?</t>
  </si>
  <si>
    <t>If ball lands legally, point stands.</t>
  </si>
  <si>
    <t>In Bandung, what is the decision if a ball rests on the top net tape and then falls to the opponent’s side?</t>
  </si>
  <si>
    <t>A) Point to striker B) Replay rally C) Fault D) Warning</t>
  </si>
  <si>
    <t>Ball eventually crossed, so valid.</t>
  </si>
  <si>
    <t>In Bali, what is the decision if a camera flash hits the server’s eyes during a serve?</t>
  </si>
  <si>
    <t>A) Replay serve B) Fault, point to opponent C) Allow serve D) Warning</t>
  </si>
  <si>
    <t>In Jakarta, what is the decision if a player throws the ball into the stands in anger after losing a point?</t>
  </si>
  <si>
    <t>A) Warning B) Yellow card, point to opponent C) Replay rally D) No action</t>
  </si>
  <si>
    <t>B) Yellow card, point to opponent</t>
  </si>
  <si>
    <t>Misconduct penalized.</t>
  </si>
  <si>
    <t>In Bandung, what is the decision if a spike lands on the exact corner intersection of the boundary lines?</t>
  </si>
  <si>
    <t>A) Out B) In, point to striker C) Replay rally D) Warning</t>
  </si>
  <si>
    <t>Lines = in.</t>
  </si>
  <si>
    <t>In Bali, what is the decision if a drone enters the arena mid-rally?</t>
  </si>
  <si>
    <t>In Jakarta, what is the ruling if a server kicks the ball with their heel?</t>
  </si>
  <si>
    <t>Any part of foot is valid for serve.</t>
  </si>
  <si>
    <t>In Bandung, what is the decision if a frustrated player hits the ball with their fist during a rally?</t>
  </si>
  <si>
    <t>Hands/arms not allowed in Sepak Takraw.</t>
  </si>
  <si>
    <t>During a Pencak Silat tournament, a fighter lands a clean punch to the opponent's chest, and the referee signals 'point awarded.' However, the fighter did not maintain proper balance after the strike. Which of the following outcomes is correct?</t>
  </si>
  <si>
    <t>A) The point is awarded as the punch was clean, B) The point is deducted for lack of balance, C) No point is awarded due to lack of balance, D) The fighter receives a warning but keeps the point</t>
  </si>
  <si>
    <t>C) No point is awarded due to lack of balance</t>
  </si>
  <si>
    <t>In Pencak Silat, maintaining balance is critical. Even if a strike lands cleanly, failure to maintain proper balance disqualifies the move from earning points.</t>
  </si>
  <si>
    <t>A Pencak Silat athlete scores by executing a takedown during a match. However, their opponent quickly counters and performs a sweep, leaving the initial athlete on the ground. How should the referee award points?</t>
  </si>
  <si>
    <t>A) Points to the athlete who performed the initial takedown, B) Points to the opponent for the counter-sweep, C) No points awarded, D) Both athletes are awarded points</t>
  </si>
  <si>
    <t>B) Points to the opponent for the counter-sweep</t>
  </si>
  <si>
    <t>While the initial takedown is valid, the counter-sweep demonstrates superior control and skill, thus earning points for the second athlete.</t>
  </si>
  <si>
    <t>In a Pencak Silat exhibition match, one fighter performs a breathtaking move inspired by traditional Indonesian dance. The audience cheers, but the technique doesn't make contact with the opponent. How should this be judged?</t>
  </si>
  <si>
    <t>A) Points awarded for creativity, B) No points as it didn't make contact, C) Deduction for wasting time, D) A warning for lack of sportsmanship</t>
  </si>
  <si>
    <t>B) No points as it didn't make contact</t>
  </si>
  <si>
    <t>In Pencak Silat, aesthetic movements are appreciated but do not contribute to scoring unless they effectively execute a technique or achieve contact.</t>
  </si>
  <si>
    <t>During the final round of a Pencak Silat competition, Fighter A executes a high kick that results in a significant advantage but is deemed too aggressive by the referee. What could be the possible penalty?</t>
  </si>
  <si>
    <t>A) Deduction of points, B) Disqualification from the match, C) A warning but no point deduction, D) No penalty as aggression is encouraged</t>
  </si>
  <si>
    <t>A) Deduction of points</t>
  </si>
  <si>
    <t>Excessive aggression in Pencak Silat can lead to point deductions, even if the technique is effective, as the sport emphasizes control and respect.</t>
  </si>
  <si>
    <t>A Pencak Silat match ends with a tie score. The referee decides to evaluate based on technical superiority. Which of the following criteria is most important?</t>
  </si>
  <si>
    <t>A) Total strikes landed, B) Effective use of defensive techniques, C) Display of traditional Pencak Silat movements, D) Aggressiveness during the match</t>
  </si>
  <si>
    <t>C) Display of traditional Pencak Silat movements</t>
  </si>
  <si>
    <t>In cases of a tie, judges may prioritize the proper display of traditional Pencak Silat techniques and adherence to cultural and technical standards.</t>
  </si>
  <si>
    <t>In a Pencak Silat match, a competitor from Bangladesh scores with a spinning kick to the opponent's torso, followed by a quick retreat to their defensive stance. What points should the referee award?</t>
  </si>
  <si>
    <t>A) Full points for the kick and retreat, B) Points only for the kick, C) No points as the retreat broke rhythm, D) A penalty for retreating</t>
  </si>
  <si>
    <t>A) Full points for the kick and retreat</t>
  </si>
  <si>
    <t>A spinning kick to the torso is a high-scoring technique, and retreating to a defensive stance shows control and adherence to strategy.</t>
  </si>
  <si>
    <t>A Bangladeshi Pencak Silat athlete uses an arm lock to immobilize their opponent but releases it before the referee signals. How should this action be judged?</t>
  </si>
  <si>
    <t>A) Points awarded for the arm lock, B) No points as the lock was incomplete, C) A warning for releasing too early, D) Points deducted for not following the referee's signal</t>
  </si>
  <si>
    <t>B) No points as the lock was incomplete</t>
  </si>
  <si>
    <t>In Pencak Silat, locks and holds must be held until the referee acknowledges them to score points.</t>
  </si>
  <si>
    <t>During a team Pencak Silat match, a Bangladeshi fighter executes a takedown but fails to return to a ready stance immediately. What is the likely outcome?</t>
  </si>
  <si>
    <t>A) Full points for the takedown, B) Partial points for the takedown, C) No points awarded, D) A warning for improper technique</t>
  </si>
  <si>
    <t>B) Partial points for the takedown</t>
  </si>
  <si>
    <t>While the takedown itself is valid, failing to return to a ready stance deducts part of the points due to incomplete execution.</t>
  </si>
  <si>
    <t>A Pencak Silat athlete from Bangladesh faces an opponent using continuous aggressive strikes. To counter this, the Bangladeshi fighter focuses solely on dodging and deflecting strikes. What points could they score?</t>
  </si>
  <si>
    <t>A) Full points for successful defense, B) No points as no offensive move was made, C) Partial points for skillful defense, D) Points deducted for lack of aggression</t>
  </si>
  <si>
    <t>C) Partial points for skillful defense</t>
  </si>
  <si>
    <t>In Pencak Silat, effective defensive maneuvers can earn partial points, but offense is required for full scoring.</t>
  </si>
  <si>
    <t>In a traditional Pencak Silat match, the referee pauses the fight after noticing one competitor is bleeding. What action should the referee take?</t>
  </si>
  <si>
    <t>A) Disqualify the injured fighter, B) Call medical assistance and resume the match if possible, C) Declare the opponent the winner, D) Allow the injured fighter to continue without intervention</t>
  </si>
  <si>
    <t>B) Call medical assistance and resume the match if possible</t>
  </si>
  <si>
    <t>Safety is paramount in Pencak Silat. Matches are paused for medical checks, and continuation depends on the fighter's condition.</t>
  </si>
  <si>
    <t>During a Pencak Silat competition in Bangladesh, a fighter performs a traditional opening ceremony move (Jurus). How is this move scored?</t>
  </si>
  <si>
    <t>A) Full points for cultural significance, B) No points as it is not part of the fight, C) Points awarded if the move is executed skillfully, D) Deduction for wasting time</t>
  </si>
  <si>
    <t>C) Points awarded if the move is executed skillfully</t>
  </si>
  <si>
    <t>Jurus movements showcase traditional skills and are scored based on precision and adherence to form.</t>
  </si>
  <si>
    <t>A Bangladeshi Pencak Silat athlete receives a warning for stepping out of the competition area three times. What is the consequence of this action?</t>
  </si>
  <si>
    <t>A) Points deducted, B) Immediate disqualification, C) Restart of the round, D) Opponent is awarded points</t>
  </si>
  <si>
    <t>A) Points deducted</t>
  </si>
  <si>
    <t>Repeatedly stepping out of bounds results in point deductions as it disrupts the flow of the match.</t>
  </si>
  <si>
    <t>In a Pencak Silat match, a Bangladeshi fighter wins by a unanimous decision. What factors could have contributed to this outcome?</t>
  </si>
  <si>
    <t>A) Superior strikes and defense, B) Effective use of takedowns, C) Showcasing traditional techniques, D) Outscoring the opponent in all rounds</t>
  </si>
  <si>
    <t>A unanimous decision reflects overall dominance in technique, scoring, and traditional display during the match.</t>
  </si>
  <si>
    <t>A Bangladeshi Pencak Silat fighter's opponent uses illegal techniques during the match. What is the referee's likely decision?</t>
  </si>
  <si>
    <t>A) Issue a warning to the opponent, B) Deduct points from the opponent, C) Disqualify the opponent immediately, D) Allow the match to continue without action</t>
  </si>
  <si>
    <t>A) Issue a warning to the opponent, B) Deduct points from the opponent</t>
  </si>
  <si>
    <t>Illegal techniques are penalized with warnings or point deductions, depending on their severity.</t>
  </si>
  <si>
    <t>During a Pencak Silat match in Bangladesh, one fighter faints due to exhaustion. What is the referee's immediate action?</t>
  </si>
  <si>
    <t>A) Declare the opponent the winner, B) Pause the match for medical attention, C) Allow the fighter to rest and resume later, D) End the match and declare it a draw</t>
  </si>
  <si>
    <t>B) Pause the match for medical attention</t>
  </si>
  <si>
    <t>The referee ensures the safety of all athletes by stopping the match and providing medical assistance in case of exhaustion or injury.</t>
  </si>
  <si>
    <t>In a Pencak Silat championship in Bangladesh, Fighter A attempts a leg sweep but misses, leaving themselves off-balance. Fighter B counters with a clean strike to the torso. How should this be scored?</t>
  </si>
  <si>
    <t>A) No points for Fighter A, B) Points for Fighter B's counterstrike, C) Deduction of points for Fighter A for loss of balance, D) No points for either fighter</t>
  </si>
  <si>
    <t>A) No points for Fighter A, B) Points for Fighter B's counterstrike</t>
  </si>
  <si>
    <t>A missed move with a loss of balance does not earn points, while the counterstrike earns points for effective control and execution.</t>
  </si>
  <si>
    <t>During a national Pencak Silat competition in Bangladesh, a fighter consistently uses defensive tactics without launching any offensive moves. What is the referee likely to decide?</t>
  </si>
  <si>
    <t>A) Award points for effective defense, B) Issue a warning for lack of aggression, C) Deduct points for passive play, D) Declare the opponent the winner</t>
  </si>
  <si>
    <t>A) Award points for effective defense, B) Issue a warning for lack of aggression</t>
  </si>
  <si>
    <t>While defense can earn partial points, continuous passivity may result in warnings to ensure fair competition.</t>
  </si>
  <si>
    <t>In a Bangladeshi Pencak Silat match, an athlete executes a high kick that grazes the opponent's head but does not make solid contact. How should this be scored?</t>
  </si>
  <si>
    <t>A) Full points for the attempt, B) No points as the contact was not solid, C) Partial points for the effort, D) Deduction for lack of precision</t>
  </si>
  <si>
    <t>B) No points as the contact was not solid</t>
  </si>
  <si>
    <t>Scoring in Pencak Silat requires clean and solid contact; grazing the opponent does not meet this criterion.</t>
  </si>
  <si>
    <t>A Bangladeshi Pencak Silat athlete completes a takedown but does not secure control over the opponent, allowing them to recover quickly. What is the likely scoring decision?</t>
  </si>
  <si>
    <t>A) Full points for the takedown, B) Partial points for the effort, C) No points as control was not maintained, D) A warning for improper execution</t>
  </si>
  <si>
    <t>B) Partial points for the effort, C) No points as control was not maintained</t>
  </si>
  <si>
    <t>Takedowns must demonstrate control to earn full points; lack of control results in reduced or no scoring.</t>
  </si>
  <si>
    <t>During a Pencak Silat match in Bangladesh, an athlete performs an impressive traditional jurus display before the bout begins. How is this action considered in the competition?</t>
  </si>
  <si>
    <t>A) Adds to cultural scores, B) No direct impact on the fight score, C) Provides psychological advantage, D) Results in bonus points</t>
  </si>
  <si>
    <t>B) No direct impact on the fight score, C) Provides psychological advantage</t>
  </si>
  <si>
    <t>Jurus displays are culturally significant but do not contribute directly to fight scores; they may influence judges' perception of the athlete.</t>
  </si>
  <si>
    <t>In a heated match, a Bangladeshi Pencak Silat fighter uses a prohibited move that unintentionally injures their opponent. What are the possible consequences?</t>
  </si>
  <si>
    <t>A) Immediate disqualification, B) Point deduction, C) Issuance of a warning, D) The injured opponent declared the winner</t>
  </si>
  <si>
    <t>A) Immediate disqualification, B) Point deduction, C) Issuance of a warning</t>
  </si>
  <si>
    <t>Prohibited moves result in serious penalties, depending on their severity and impact.</t>
  </si>
  <si>
    <t>A Pencak Silat referee in a Bangladeshi match notices that an athlete's uniform is improperly worn, causing distractions. What is the appropriate response?</t>
  </si>
  <si>
    <t>A) Stop the match and correct the issue, B) Issue a warning to the athlete, C) Deduct points for improper attire, D) Ignore the issue and continue the match</t>
  </si>
  <si>
    <t>A) Stop the match and correct the issue, B) Issue a warning to the athlete</t>
  </si>
  <si>
    <t>Proper attire is mandatory in Pencak Silat; referees ensure athletes comply to maintain fairness and professionalism.</t>
  </si>
  <si>
    <t>During a match in Bangladesh, a fighter receives three warnings for excessive aggression. What is the referee's next action?</t>
  </si>
  <si>
    <t>A) Deduct points for repeated offenses, B) Disqualify the athlete, C) Allow the athlete to continue with a final warning, D) Suspend the match temporarily</t>
  </si>
  <si>
    <t>A) Deduct points for repeated offenses, B) Disqualify the athlete</t>
  </si>
  <si>
    <t>Excessive warnings for aggression can lead to point deductions or disqualification, depending on the severity of the behavior.</t>
  </si>
  <si>
    <t>In a Pencak Silat competition, a Bangladeshi fighter uses footwork to evade multiple attacks without counterattacking. How might the judges score this?</t>
  </si>
  <si>
    <t>A) Full points for effective evasion, B) Partial points for defense, C) No points as no counterattack was made, D) Points deducted for passivity</t>
  </si>
  <si>
    <t>B) Partial points for defense, C) No points as no counterattack was made</t>
  </si>
  <si>
    <t>While evasion demonstrates skill, points are maximized by combining defense with counterattacks.</t>
  </si>
  <si>
    <t>A Pencak Silat athlete from Bangladesh performs a clean takedown but uses excessive force. What might be the referee's decision?</t>
  </si>
  <si>
    <t>A) Award points for the takedown, B) Deduct points for excessive force, C) Issue a warning for improper technique, D) Allow the takedown without penalty</t>
  </si>
  <si>
    <t>A) Award points for the takedown, B) Deduct points for excessive force, C) Issue a warning for improper technique</t>
  </si>
  <si>
    <t>Takedowns earn points, but excessive force is penalized to uphold the sport's principles of control and respect.</t>
  </si>
  <si>
    <t>In a Pencak Silat match in Bangladesh, Fighter A executes a high kick aimed at the opponent's head but misses and loses balance. Fighter B capitalizes on the opportunity and counters with a successful strike to the chest. What is the likely outcome?</t>
  </si>
  <si>
    <t>A) Fighter A receives no points, B) Fighter B scores for the counterstrike, C) Fighter A is penalized for imbalance, D) Both fighters receive warnings</t>
  </si>
  <si>
    <t>A) Fighter A receives no points, B) Fighter B scores for the counterstrike</t>
  </si>
  <si>
    <t>A missed move with a loss of balance does not earn points, while the counterstrike earns points for effective timing and execution.</t>
  </si>
  <si>
    <t>During a Pencak Silat match, a Bangladeshi fighter successfully performs a sweep but unintentionally steps out of bounds immediately after. How should the referee score this action?</t>
  </si>
  <si>
    <t>A) Full points for the sweep, B) Partial points for the sweep, C) No points due to stepping out of bounds, D) A warning for leaving the arena</t>
  </si>
  <si>
    <t>B) Partial points for the sweep, D) A warning for leaving the arena</t>
  </si>
  <si>
    <t>While the sweep is valid, stepping out of bounds results in reduced points and potentially a warning for improper positioning.</t>
  </si>
  <si>
    <t>In a Pencak Silat bout held in Dhaka, Fighter A repeatedly blocks attacks using effective upper body movements but fails to counterattack. How should the judges evaluate Fighter A's performance?</t>
  </si>
  <si>
    <t>A) Award points for defense, B) Deduct points for lack of aggression, C) No points awarded as no offensive move was made, D) Issue a warning for passivity</t>
  </si>
  <si>
    <t>A) Award points for defense, C) No points awarded as no offensive move was made</t>
  </si>
  <si>
    <t>Defense can earn points if effective, but counterattacks are necessary to maximize scoring in Pencak Silat.</t>
  </si>
  <si>
    <t>A Bangladeshi fighter executes a perfect takedown but fails to return to a defensive stance immediately. What should the referee decide?</t>
  </si>
  <si>
    <t>A) Full points for the takedown, B) Partial points for incomplete execution, C) No points awarded, D) Issue a warning for poor recovery</t>
  </si>
  <si>
    <t>B) Partial points for incomplete execution</t>
  </si>
  <si>
    <t>Takedowns must be followed by a quick return to a defensive stance to earn full points; otherwise, points are reduced.</t>
  </si>
  <si>
    <t>During a Pencak Silat demonstration in Bangladesh, a competitor performs a traditional jurus sequence with minor errors in form. How should this be scored?</t>
  </si>
  <si>
    <t>A) Full points for completing the sequence, B) Partial points for the effort, C) No points due to errors, D) Deduction for lack of precision</t>
  </si>
  <si>
    <t>B) Partial points for the effort, D) Deduction for lack of precision</t>
  </si>
  <si>
    <t>Jurus sequences are scored on precision and adherence to traditional movements, with errors reducing the score.</t>
  </si>
  <si>
    <t>A Bangladeshi athlete executes a takedown during a Pencak Silat match but applies excessive force, resulting in their opponent being injured. What are the possible referee decisions?</t>
  </si>
  <si>
    <t>A) Deduct points for excessive force, B) Award points for the takedown, C) Disqualify the athlete, D) Allow the match to continue with a warning</t>
  </si>
  <si>
    <t>A) Deduct points for excessive force, D) Allow the match to continue with a warning</t>
  </si>
  <si>
    <t>Excessive force violates the principles of control and may lead to penalties even if the technique is effective.</t>
  </si>
  <si>
    <t>In a Pencak Silat match, the referee notices that Fighter B is taunting their opponent after scoring a point. What action should the referee take?</t>
  </si>
  <si>
    <t>A) Issue a warning for unsportsmanlike conduct, B) Deduct points from Fighter B, C) Disqualify Fighter B, D) Allow the match to continue without intervention</t>
  </si>
  <si>
    <t>A) Issue a warning for unsportsmanlike conduct, B) Deduct points from Fighter B</t>
  </si>
  <si>
    <t>Taunting is against the spirit of Pencak Silat and may result in a warning or point deduction to maintain discipline.</t>
  </si>
  <si>
    <t>A Bangladeshi Pencak Silat athlete uses a prohibited technique during a match, but it has no significant impact on the opponent. How should the referee respond?</t>
  </si>
  <si>
    <t>A) Issue a warning for the violation, B) Deduct points for using a prohibited move, C) Disqualify the athlete, D) Allow the match to continue without penalty</t>
  </si>
  <si>
    <t>A) Issue a warning for the violation</t>
  </si>
  <si>
    <t>Minor infractions usually result in a warning, with penalties escalating for repeated or more serious offenses.</t>
  </si>
  <si>
    <t>During a Pencak Silat competition, an athlete showcases superior footwork and evades all attacks without landing any strikes. What scoring is appropriate?</t>
  </si>
  <si>
    <t>A) Full points for evasion, B) Partial points for effective defense, C) No points for lack of offense, D) Deduct points for passivity</t>
  </si>
  <si>
    <t>B) Partial points for effective defense, C) No points for lack of offense</t>
  </si>
  <si>
    <t>While evasion earns partial points for defensive skills, offense is required to secure a higher score.</t>
  </si>
  <si>
    <t>In a Pencak Silat match in Bangladesh, an athlete lands a series of legal strikes but ignores the referee's signal to stop. What should the referee do?</t>
  </si>
  <si>
    <t>A) Deduct points for disobedience, B) Disqualify the athlete for ignoring rules, C) Issue a warning for the first offense, D) Award points for the strikes landed</t>
  </si>
  <si>
    <t>A) Deduct points for disobedience, C) Issue a warning for the first offense</t>
  </si>
  <si>
    <t>Athletes must respect the referee's signals; ignoring them can lead to warnings or point deductions.</t>
  </si>
  <si>
    <t>During a Pencak Silat match in Bangladesh, Fighter A successfully lands a spinning kick to the opponent's torso but immediately steps out of bounds. What is the likely referee decision?</t>
  </si>
  <si>
    <t>A) Award full points for the spinning kick, B) Deduct points for stepping out of bounds, C) Award partial points for the kick, D) Issue a warning for leaving the competition area</t>
  </si>
  <si>
    <t>C) Award partial points for the kick, D) Issue a warning for leaving the competition area</t>
  </si>
  <si>
    <t>A spinning kick is a high-scoring technique, but stepping out of bounds reduces points and may result in a warning.</t>
  </si>
  <si>
    <t>In a team Pencak Silat match in Dhaka, a Bangladeshi fighter executes a takedown but their teammates cheer loudly from the sidelines, disrupting the match. How should the referee respond?</t>
  </si>
  <si>
    <t>A) Allow the match to continue, B) Issue a warning to the team, C) Deduct points from the fighter's score, D) Stop the match and ensure discipline</t>
  </si>
  <si>
    <t>B) Issue a warning to the team, D) Stop the match and ensure discipline</t>
  </si>
  <si>
    <t>Unsportsmanlike conduct from teammates can disrupt the competition and may result in warnings or penalties for the team.</t>
  </si>
  <si>
    <t>A Bangladeshi Pencak Silat fighter uses a jurus sequence before starting the match but incorporates non-traditional movements. How will this be judged?</t>
  </si>
  <si>
    <t>A) Award points for creativity, B) Deduct points for not following tradition, C) Allow the sequence without scoring, D) Issue a warning for disrespecting tradition</t>
  </si>
  <si>
    <t>B) Deduct points for not following tradition</t>
  </si>
  <si>
    <t>Jurus sequences are evaluated on adherence to traditional forms, and deviations may result in penalties.</t>
  </si>
  <si>
    <t>In a Pencak Silat competition in Bangladesh, Fighter B lands multiple strikes but repeatedly ignores the referee's warnings about excessive force. What action should the referee take?</t>
  </si>
  <si>
    <t>A) Allow the match to continue, B) Deduct points for repeated offenses, C) Disqualify Fighter B, D) Issue another warning without penalty</t>
  </si>
  <si>
    <t>B) Deduct points for repeated offenses, C) Disqualify Fighter B</t>
  </si>
  <si>
    <t>Repeated warnings for excessive force may lead to point deductions or disqualification to ensure safety.</t>
  </si>
  <si>
    <t>During a Pencak Silat demonstration in Bangladesh, an athlete includes flashy but ineffective movements in their jurus sequence. How will this impact scoring?</t>
  </si>
  <si>
    <t>A) Award points for originality, B) Deduct points for lack of practicality, C) No impact on scoring, D) Penalize for deviating from traditional movements</t>
  </si>
  <si>
    <t>B) Deduct points for lack of practicality, D) Penalize for deviating from traditional movements</t>
  </si>
  <si>
    <t>Jurus sequences prioritize tradition and effectiveness over flashiness, and deviations can reduce scores.</t>
  </si>
  <si>
    <t>In a Bangladeshi Pencak Silat match, Fighter A attempts a takedown but accidentally pulls the opponent's uniform, causing them to fall. What is the referee's likely response?</t>
  </si>
  <si>
    <t>A) Award points for the takedown, B) No points as the uniform was pulled, C) Issue a warning for improper technique, D) Deduct points for foul play</t>
  </si>
  <si>
    <t>B) No points as the uniform was pulled, C) Issue a warning for improper technique</t>
  </si>
  <si>
    <t>Using the opponent's uniform in a takedown is not allowed, resulting in no points and potentially a warning.</t>
  </si>
  <si>
    <t>In a Pencak Silat championship in Bangladesh, a fighter scores using a flying kick but lands awkwardly, injuring themselves. How should the match proceed?</t>
  </si>
  <si>
    <t>A) Award full points for the flying kick, B) Pause the match for medical attention, C) Deduct points for poor landing, D) Disqualify the injured fighter</t>
  </si>
  <si>
    <t>A) Award full points for the flying kick, B) Pause the match for medical attention</t>
  </si>
  <si>
    <t>The flying kick earns points for its execution, but safety concerns necessitate a pause for medical assistance.</t>
  </si>
  <si>
    <t>A Bangladeshi Pencak Silat athlete deliberately delays the start of a round. What action can the referee take?</t>
  </si>
  <si>
    <t>A) Issue a warning for time-wasting, B) Deduct points for unsportsmanlike conduct, C) Allow the match to continue without penalty, D) Penalize the athlete's team</t>
  </si>
  <si>
    <t>A) Issue a warning for time-wasting, B) Deduct points for unsportsmanlike conduct</t>
  </si>
  <si>
    <t>Delaying the match is considered unsportsmanlike and can lead to warnings or point deductions.</t>
  </si>
  <si>
    <t>During a Pencak Silat tournament in Bangladesh, an athlete executes multiple techniques flawlessly but uses non-traditional stances. How will this affect their scoring?</t>
  </si>
  <si>
    <t>A) Award full points for flawless execution, B) Deduct points for not using traditional stances, C) Allow the techniques without penalty, D) Penalize heavily for disrespecting tradition</t>
  </si>
  <si>
    <t>B) Deduct points for not using traditional stances</t>
  </si>
  <si>
    <t>Traditional stances are integral to Pencak Silat, and deviations can result in point deductions.</t>
  </si>
  <si>
    <t>In a Pencak Silat match, Fighter A from Bangladesh taunts their opponent after landing a strike. What is the referee's decision?</t>
  </si>
  <si>
    <t>A) Issue a warning for unsportsmanlike behavior, B) Deduct points for taunting, C) Allow the match to continue without penalty, D) Award extra points for confidence</t>
  </si>
  <si>
    <t>A) Issue a warning for unsportsmanlike behavior, B) Deduct points for taunting</t>
  </si>
  <si>
    <t>Taunting violates the principles of respect in Pencak Silat and may result in penalties.</t>
  </si>
  <si>
    <t>During a Pencak Silat match, Fighter A executes a high kick that barely misses their opponent. However, Fighter B loses balance while avoiding the kick and falls. How should the referee score this?</t>
  </si>
  <si>
    <t>A) Award points to Fighter A for the kick, B) Award points to Fighter B for evasion, C) No points for either fighter, D) Award points to Fighter A for forcing the fall</t>
  </si>
  <si>
    <t>C) No points for either fighter, D) Award points to Fighter A for forcing the fall</t>
  </si>
  <si>
    <t>Fighter A did not land the kick, but they caused Fighter B to fall, which can be scored as a strategic move.</t>
  </si>
  <si>
    <t>In a Pencak Silat competition, Fighter B performs a flawless counterstrike to Fighter A's attack but is slightly slower in their movement. How should the judges score this?</t>
  </si>
  <si>
    <t>A) Full points for the counterstrike, B) Partial points for effective defense, C) No points for slowness, D) Deduct points for lack of speed</t>
  </si>
  <si>
    <t>A) Full points for the counterstrike, B) Partial points for effective defense</t>
  </si>
  <si>
    <t>The counterstrike earns full points for effectiveness, but a slower response may reduce the overall score.</t>
  </si>
  <si>
    <t>During a Pencak Silat match, Fighter A successfully executes a sweep but loses their balance immediately afterward. How will the referee score the move?</t>
  </si>
  <si>
    <t>A) Full points for the sweep, B) Partial points for the sweep, C) Deduct points for loss of balance, D) No points for the sweep</t>
  </si>
  <si>
    <t>B) Partial points for the sweep, C) Deduct points for loss of balance</t>
  </si>
  <si>
    <t>A successful sweep scores points, but losing balance immediately reduces the score for incomplete execution.</t>
  </si>
  <si>
    <t>Fighter A in Bangladesh performs a striking combination but leaves themselves open to a counterattack, which Fighter B successfully lands. How should the points be awarded?</t>
  </si>
  <si>
    <t>A) Full points for Fighter A's combination, B) Full points for Fighter B's counterattack, C) Partial points for both fighters, D) No points for Fighter A due to vulnerability</t>
  </si>
  <si>
    <t>C) Partial points for both fighters, D) No points for Fighter A due to vulnerability</t>
  </si>
  <si>
    <t>While Fighter A performed well, their vulnerability and Fighter B's successful counterattack result in shared points.</t>
  </si>
  <si>
    <t>In a Pencak Silat match in Dhaka, Fighter A delivers a clean strike but their opponent, Fighter B, blocks it with minimal movement. What should the referee score?</t>
  </si>
  <si>
    <t>A) Full points for Fighter A's strike, B) Partial points for Fighter B's block, C) No points for either fighter, D) No points for Fighter A's strike due to ineffective impact</t>
  </si>
  <si>
    <t>D) No points for Fighter A's strike due to ineffective impact</t>
  </si>
  <si>
    <t>If the block is effective and the strike has minimal impact, Fighter A does not receive points.</t>
  </si>
  <si>
    <t>During a Pencak Silat match in Bangladesh, Fighter A performs a jurus sequence but fails to maintain balance during one of the movements. How should this be judged?</t>
  </si>
  <si>
    <t>A) Full points for completing the sequence, B) Partial points for effort, C) Deduct points for imbalance, D) No points for imbalance</t>
  </si>
  <si>
    <t>B) Partial points for effort, C) Deduct points for imbalance</t>
  </si>
  <si>
    <t>Imbalance during a jurus sequence leads to a deduction in points for improper execution.</t>
  </si>
  <si>
    <t>Fighter B in a Pencak Silat match successfully blocks a high kick but is unable to counterattack. How does the judge likely score this?</t>
  </si>
  <si>
    <t>A) Full points for the block, B) Partial points for the block, C) No points due to lack of offense, D) Deduct points for lack of aggression</t>
  </si>
  <si>
    <t>B) Partial points for the block, C) No points due to lack of offense</t>
  </si>
  <si>
    <t>Blocking is scored partially, but a counterattack is necessary for full points.</t>
  </si>
  <si>
    <t>Fighter A delivers a perfect strike to the head, but Fighter B quickly retaliates with a counter to the torso. What is the likely score for both fighters?</t>
  </si>
  <si>
    <t>A) Full points for Fighter A's head strike, B) Full points for Fighter B's counterstrike, C) Partial points for both, D) No points for either fighter</t>
  </si>
  <si>
    <t>C) Partial points for both</t>
  </si>
  <si>
    <t>Both strikes are valid and effective but are scored partially if executed in quick succession.</t>
  </si>
  <si>
    <t>In a Pencak Silat match, Fighter A attempts a takedown but accidentally lands on top of Fighter B, causing them both to fall. What action should the referee take?</t>
  </si>
  <si>
    <t>A) Award full points for the takedown, B) Award no points due to mutual fall, C) Deduct points for poor technique, D) Issue a warning to both fighters</t>
  </si>
  <si>
    <t>B) Award no points due to mutual fall, D) Issue a warning to both fighters</t>
  </si>
  <si>
    <t>The takedown fails to score due to the mutual fall, and both fighters may receive a warning for improper technique.</t>
  </si>
  <si>
    <t>During a Pencak Silat match, Fighter A strikes with a spinning backfist, but Fighter B quickly evades the attack and counters with a sidekick. How is this scored?</t>
  </si>
  <si>
    <t>A) Full points for Fighter A's spinning backfist, B) Full points for Fighter B's counter, C) Partial points for both, D) No points for either fighter</t>
  </si>
  <si>
    <t>B) Full points for Fighter B's counter, C) Partial points for both</t>
  </si>
  <si>
    <t>The successful counter earns full points, while Fighter A's spinning backfist is considered partial due to its miss.</t>
  </si>
  <si>
    <t>Fighter A executes a flawless spinning kick, but Fighter B manages to avoid it while maintaining their stance. How will the referee score this?</t>
  </si>
  <si>
    <t>A) Full points for Fighter A's kick, B) No points for either fighter, C) Partial points for evasion, D) Deduct points for not attacking back</t>
  </si>
  <si>
    <t>B) No points for either fighter, C) Partial points for evasion</t>
  </si>
  <si>
    <t>Fighter A did not land the kick, and Fighter B successfully avoided it but did not score a counter.</t>
  </si>
  <si>
    <t>In a Pencak Silat match, Fighter B strikes with a punch but does not follow through with additional movements. How will the judge likely score this?</t>
  </si>
  <si>
    <t>A) Full points for the punch, B) Partial points for the punch, C) Deduct points for lack of follow-through, D) No points for lack of follow-through</t>
  </si>
  <si>
    <t>B) Partial points for the punch, C) Deduct points for lack of follow-through</t>
  </si>
  <si>
    <t>While the punch may land, a lack of follow-through reduces the effectiveness and the scoring.</t>
  </si>
  <si>
    <t>Fighter A delivers a leg sweep but lands awkwardly and fails to recover into a defensive stance. What should the referee score?</t>
  </si>
  <si>
    <t>A) Full points for the sweep, B) Partial points for the sweep, C) Deduct points for poor recovery, D) No points for the sweep</t>
  </si>
  <si>
    <t>B) Partial points for the sweep, C) Deduct points for poor recovery</t>
  </si>
  <si>
    <t>Although the sweep is effective, improper recovery reduces the points awarded.</t>
  </si>
  <si>
    <t>In a Pencak Silat competition, Fighter A executes a block but is immediately off-balanced and pushed out of bounds. How will this be scored?</t>
  </si>
  <si>
    <t>A) Full points for the block, B) Partial points for the block, C) No points for losing balance, D) Deduct points for stepping out of bounds</t>
  </si>
  <si>
    <t>B) Partial points for the block, D) Deduct points for stepping out of bounds</t>
  </si>
  <si>
    <t>The block is valid, but the loss of balance and stepping out of bounds results in penalties.</t>
  </si>
  <si>
    <t>During a Pencak Silat match in Bangladesh, Fighter A lands a punch to Fighter B's torso and immediately follows up with a leg sweep, successfully bringing Fighter B to the ground. How should this be scored?</t>
  </si>
  <si>
    <t>A) Full points for both techniques, B) Partial points for the punch, Full points for the sweep, C) No points for the punch, D) Full points for the punch, no points for the sweep</t>
  </si>
  <si>
    <t>A) Full points for both techniques</t>
  </si>
  <si>
    <t>Both techniques are executed well and in quick succession, so both are awarded full points.</t>
  </si>
  <si>
    <t>In an international Pencak Silat match, Fighter A executes a spinning kick that lands cleanly, but he immediately loses his footing and falls to the mat. How should the referee score this?</t>
  </si>
  <si>
    <t>A) Full points for the spinning kick B) Partial points due to loss of balance C) No points awarded D) Deduction for falling</t>
  </si>
  <si>
    <t>B) Partial points due to loss of balance</t>
  </si>
  <si>
    <t>The strike is valid, but falling afterward reduces the score as balance is essential for full credit.</t>
  </si>
  <si>
    <t>During a Pencak Silat semifinal in Dhaka, Fighter B sweeps the opponent effectively, but instead of returning to stance, he raises his hands in celebration. What is the likely referee decision?</t>
  </si>
  <si>
    <t>A) Full points for the sweep B) Partial points due to incomplete execution C) No points for the sweep D) Deduction for premature celebration</t>
  </si>
  <si>
    <t>B) Partial points due to incomplete execution D) Deduction for premature celebration</t>
  </si>
  <si>
    <t>The sweep is valid, but points are reduced as he failed to return to stance and celebrated instead.</t>
  </si>
  <si>
    <t>In a Pencak Silat quarterfinal, Fighter A delivers a clean punch to the torso while stepping outside the arena boundary. What is the ruling?</t>
  </si>
  <si>
    <t>A) Points awarded for the punch B) No points because he stepped out C) Deduction for leaving the arena D) Warning only</t>
  </si>
  <si>
    <t>B) No points because he stepped out C) Deduction for leaving the arena</t>
  </si>
  <si>
    <t>A strike outside the valid area is not counted, and leaving the boundary is penalized.</t>
  </si>
  <si>
    <t>During a Pencak Silat bout, Fighter B blocks a high kick and immediately counters with a successful takedown that pins the opponent. How should the referee score this?</t>
  </si>
  <si>
    <t>A) Points for the block only B) Points for the takedown only C) Full points for both defense and takedown D) No points as it combined two actions</t>
  </si>
  <si>
    <t>C) Full points for both defense and takedown</t>
  </si>
  <si>
    <t>A successful block followed by a controlled takedown demonstrates superior skill and earns full points.</t>
  </si>
  <si>
    <t>In a national Pencak Silat final, Fighter A lands a body kick but follows up with aggressive shouting directed at his opponent. What happens?</t>
  </si>
  <si>
    <t>A) Points remain but deduction for misconduct B) Points canceled C) Disqualification D) No penalty since emotions are natural</t>
  </si>
  <si>
    <t>A) Points remain but deduction for misconduct</t>
  </si>
  <si>
    <t>Strikes are valid, but disrespectful behavior is penalized to maintain discipline.</t>
  </si>
  <si>
    <t>During a Pencak Silat competition in Indonesia, Fighter B pauses mid-round to perform a jurus movement that does not connect with the opponent. How is this judged?</t>
  </si>
  <si>
    <t>A) Points awarded for cultural expression B) No points as it was not combat C) Deduction for wasting time D) Bonus for creativity</t>
  </si>
  <si>
    <t>B) No points as it was not combat C) Deduction for wasting time</t>
  </si>
  <si>
    <t>Jurus is scored only in opening/closing ceremonies, not during active rounds.</t>
  </si>
  <si>
    <t>In a Pencak Silat match, Fighter A attempts a sweep and successfully unbalances his opponent, but fails to return to a defensive stance after the execution. What is the referee’s call?</t>
  </si>
  <si>
    <t>A) Full points for the sweep B) Partial points due to lack of stance recovery C) No points awarded D) Deduction for incomplete execution</t>
  </si>
  <si>
    <t>B) Partial points due to lack of stance recovery D) Deduction for incomplete execution</t>
  </si>
  <si>
    <t>Recovery into stance is required for full points, so the score is reduced.</t>
  </si>
  <si>
    <t>During a Pencak Silat tournament in Dhaka, Fighter B keeps adjusting his belt during combat, distracting the match. How should the referee respond?</t>
  </si>
  <si>
    <t>A) Allow continuation B) Warning for equipment issue C) Deduction of points D) Disqualification</t>
  </si>
  <si>
    <t>B) Warning for equipment issue C) Deduction of points</t>
  </si>
  <si>
    <t>Attire must remain proper; repeated belt adjustment results in penalties.</t>
  </si>
  <si>
    <t>In a Pencak Silat match, Fighter A strikes the opponent after the referee signals “stop.” What is the referee’s action?</t>
  </si>
  <si>
    <t>A) Award points since the strike was valid B) Deduction for late action C) Warning for misconduct D) Disqualification immediately</t>
  </si>
  <si>
    <t>B) Deduction for late action C) Warning for misconduct</t>
  </si>
  <si>
    <t>Attacking after the referee’s command violates rules and is penalized.</t>
  </si>
  <si>
    <t>During a regional Pencak Silat match, Fighter B executes a high kick that grazes the opponent’s head, causing slight imbalance but no solid contact. How should it be scored?</t>
  </si>
  <si>
    <t>A) Full points B) No points C) Partial points D) Deduction for poor precision</t>
  </si>
  <si>
    <t>C) Partial points</t>
  </si>
  <si>
    <t>The grazing impact has some effect but does not qualify for full scoring.</t>
  </si>
  <si>
    <t>In a Pencak Silat championship, Fighter A throws three fast punches but only one lands cleanly, while the others miss. What points are awarded?</t>
  </si>
  <si>
    <t>A) Full points for the combination B) Partial points for the single valid strike C) No points D) Deduction for inaccuracy</t>
  </si>
  <si>
    <t>B) Partial points for the single valid strike</t>
  </si>
  <si>
    <t>Only clean, effective strikes are counted; missed ones do not contribute.</t>
  </si>
  <si>
    <t>At the start of a Pencak Silat contest, Fighter B fails to bow properly as part of the traditional salutation. What is the consequence?</t>
  </si>
  <si>
    <t>A) Points deduction B) Warning C) Disqualification D) No effect</t>
  </si>
  <si>
    <t>B) Warning</t>
  </si>
  <si>
    <t>Respect for tradition is mandatory, but first offense usually earns a warning.</t>
  </si>
  <si>
    <t>In a Pencak Silat bout, Fighter A stomps the ground loudly to distract the opponent without attacking. How should this be treated?</t>
  </si>
  <si>
    <t>A) Points awarded for tactical play B) No points as it is not a strike C) Warning for unsportsmanlike conduct D) Deduction for misuse</t>
  </si>
  <si>
    <t>B) No points as it is not a strike C) Warning for unsportsmanlike conduct</t>
  </si>
  <si>
    <t>Non-combat actions are not rewarded and may be penalized.</t>
  </si>
  <si>
    <t>Fighter B in a Pencak Silat match blocks a kick and counters with a legal elbow strike to the torso. What is the scoring outcome?</t>
  </si>
  <si>
    <t>A) Full points for both B) Points only for the block C) Points only for the strike D) No points since it was two actions</t>
  </si>
  <si>
    <t>A) Full points for both</t>
  </si>
  <si>
    <t>Effective defense plus immediate counter earns maximum scoring.</t>
  </si>
  <si>
    <t>During a Pencak Silat match in Jakarta, Fighter A executes a takedown successfully but continues striking after the opponent is grounded. What is the decision?</t>
  </si>
  <si>
    <t>A) Extra points awarded B) Deduction for misconduct C) Warning for excessive aggression D) Disqualification</t>
  </si>
  <si>
    <t>B) Deduction for misconduct C) Warning for excessive aggression</t>
  </si>
  <si>
    <t>Continuation after a takedown breaks safety rules.</t>
  </si>
  <si>
    <t>In a Pencak Silat team event, Fighter B’s teammates scream loudly during the match, disrupting the bout. How should the referee act?</t>
  </si>
  <si>
    <t>A) Ignore the crowd B) Warning to the team C) Deduct points from Fighter B D) Stop match for discipline</t>
  </si>
  <si>
    <t>B) Warning to the team D) Stop match for discipline</t>
  </si>
  <si>
    <t>Team interference is penalized to preserve fairness.</t>
  </si>
  <si>
    <t>Fighter A in a Pencak Silat match removes his protective gear mid-round without referee approval. What follows?</t>
  </si>
  <si>
    <t>A) Continue fighting B) Warning C) Deduction D) Disqualification</t>
  </si>
  <si>
    <t>B) Warning C) Deduction</t>
  </si>
  <si>
    <t>Removing gear mid-match is unsafe and penalized.</t>
  </si>
  <si>
    <t>In a Silat semifinal, Fighter B lands a clean body punch while his opponent simultaneously slips on the mat without contact. What is the ruling?</t>
  </si>
  <si>
    <t>A) Points awarded for the punch B) No points C) Warning to slipping fighter D) Deduction to both</t>
  </si>
  <si>
    <t>A) Points awarded for the punch</t>
  </si>
  <si>
    <t>The punch is valid regardless of the opponent’s slip.</t>
  </si>
  <si>
    <t>Fighter A in a Pencak Silat match delivers a spinning elbow strike that lands, but he loses balance and falls afterward. What is the referee’s scoring?</t>
  </si>
  <si>
    <t>A) Full points B) Partial points C) No points D) Deduction for falling</t>
  </si>
  <si>
    <t>B) Partial points D) Deduction for falling</t>
  </si>
  <si>
    <t>The strike counts but the fall reduces overall scoring.</t>
  </si>
  <si>
    <t>During a Pencak Silat contest, Fighter B evades a strike with an acrobatic roll backward, avoiding contact. How should it be scored?</t>
  </si>
  <si>
    <t>A) Full points for defense B) Partial points for defense C) No points D) Deduction for showboating</t>
  </si>
  <si>
    <t>B) Partial points for defense</t>
  </si>
  <si>
    <t>Defense is valid, though dramatic style reduces technical efficiency.</t>
  </si>
  <si>
    <t>Fighter A lands a punch before the referee officially signals the start of the round. What happens?</t>
  </si>
  <si>
    <t>A) Points awarded B) Deduction C) Warning D) Disqualification</t>
  </si>
  <si>
    <t>B) Deduction C) Warning</t>
  </si>
  <si>
    <t>Premature strikes violate the start command.</t>
  </si>
  <si>
    <t>In a Pencak Silat match, Fighter B executes a takedown outside the competition boundary. What is the ruling?</t>
  </si>
  <si>
    <t>A) Full points B) Partial points C) No points D) Deduction</t>
  </si>
  <si>
    <t>C) No points D) Deduction</t>
  </si>
  <si>
    <t>Boundary violations cancel scoring.</t>
  </si>
  <si>
    <t>During a Silat match, Fighter A continues striking after noticing the opponent’s headgear has come loose. What is the referee’s action?</t>
  </si>
  <si>
    <t>A) Deduction B) Warning C) Stop match D) Allow continuation</t>
  </si>
  <si>
    <t>A) Deduction C) Stop match</t>
  </si>
  <si>
    <t>Fighter safety takes priority, so the match is paused and penalties applied.</t>
  </si>
  <si>
    <t>Fighter B locks the opponent’s arm but transitions midway into a leg lock without referee acknowledgment. How is this scored?</t>
  </si>
  <si>
    <t>B) Partial points</t>
  </si>
  <si>
    <t>Incomplete lock reduces scoring as control was not consistent.</t>
  </si>
  <si>
    <t>In a Pencak Silat bout, Fighter A avoids engagement by circling the arena continuously without attacking. How should this be judged?</t>
  </si>
  <si>
    <t>A) Points for footwork B) Deduction for passivity C) Warning D) No points</t>
  </si>
  <si>
    <t>B) Deduction for passivity C) Warning</t>
  </si>
  <si>
    <t>Avoiding combat deliberately is penalized.</t>
  </si>
  <si>
    <t>Fighter B lands a punch with an open glove instead of a closed fist. What does the referee decide?</t>
  </si>
  <si>
    <t>Strikes must follow proper technique; open-handed punches are invalid.</t>
  </si>
  <si>
    <t>During a Silat final, Fighter A sweeps his opponent successfully, but the opponent falls out of the arena. What is the scoring?</t>
  </si>
  <si>
    <t>Sweep valid, but going out reduces score.</t>
  </si>
  <si>
    <t>Fighter B lands a clean strike but then shouts excessively at the audience mid-round. What should be done?</t>
  </si>
  <si>
    <t>A) Points stand B) Deduction for misconduct C) Warning D) Disqualification</t>
  </si>
  <si>
    <t>A) Points stand B) Deduction for misconduct</t>
  </si>
  <si>
    <t>Strike valid, but unsportsmanlike shouting is penalized.</t>
  </si>
  <si>
    <t>In a Pencak Silat competition, Fighter A collapses from dehydration during the round. What is the referee’s immediate action?</t>
  </si>
  <si>
    <t>A) Award win to opponent B) Pause match C) Medical assistance D) Restart later</t>
  </si>
  <si>
    <t>B) Pause match C) Medical assistance</t>
  </si>
  <si>
    <t>Fighter safety always comes first.</t>
  </si>
  <si>
    <t>Fighter B lands a spinning kick to the torso, but after scoring, continues to strike the grounded opponent. What is the referee’s call?</t>
  </si>
  <si>
    <t>A) Full points for the kick B) Deduction for extra strikes C) Warning D) Disqualification</t>
  </si>
  <si>
    <t>A) Full points for the kick B) Deduction for extra strikes</t>
  </si>
  <si>
    <t>Kick is scored, but attacking a downed fighter is penalized.</t>
  </si>
  <si>
    <t>In a national Pencak Silat bout, Fighter A checks a low kick and immediately counters with a straight punch to the torso that lands cleanly while maintaining stance. What is the scoring?</t>
  </si>
  <si>
    <t>A) Points for block only B) Full points for counter C) No points due to simultaneous actions D) Partial points for counter</t>
  </si>
  <si>
    <t>B) Full points for counter</t>
  </si>
  <si>
    <t>Clean counter delivered from balanced stance after a legal defense earns full points.</t>
  </si>
  <si>
    <t>During a Jakarta open, Fighter B attempts a shoulder throw; the opponent posts a hand and both end up in a scramble with no control shown. What should be awarded?</t>
  </si>
  <si>
    <t>A) Full points for throw attempt B) Partial points for off-balancing C) No points D) Deduction for dangerous landing</t>
  </si>
  <si>
    <t>C) No points</t>
  </si>
  <si>
    <t>Without demonstrated control or a clear completion, throws do not score.</t>
  </si>
  <si>
    <t>In a semifinal, Fighter A lands a body kick and instantly recovers to a guarded stance; the opponent absorbs and remains upright. How is it scored?</t>
  </si>
  <si>
    <t>A) Full points for effective kick B) Partial points for contact without effect C) No points D) Deduction for insufficient impact</t>
  </si>
  <si>
    <t>B) Partial points for contact without effect</t>
  </si>
  <si>
    <t>Clean contact but limited effect yields partial scoring.</t>
  </si>
  <si>
    <t>A regional referee halts the match because Fighter B’s chest protector has shifted. Fighter A lands a punch a split second after “stop.” Ruling?</t>
  </si>
  <si>
    <t>A) Count the punch B) Warning only C) Deduction and no point D) Disqualification</t>
  </si>
  <si>
    <t>C) Deduction and no point</t>
  </si>
  <si>
    <t>Any strike after a stop command is penalized and invalid for scoring.</t>
  </si>
  <si>
    <t>In a university meet, Fighter A evades three consecutive attacks with lateral footwork but never counters. How might judges respond?</t>
  </si>
  <si>
    <t>A) Full points for defense B) Partial points only C) No points D) Deduction for passivity</t>
  </si>
  <si>
    <t>B) Partial points only</t>
  </si>
  <si>
    <t>Skilled defense is recognized, but lack of offense limits scoring potential.</t>
  </si>
  <si>
    <t>During a Dhaka invitational, Fighter B performs a clean hip sweep causing a controlled fall and immediately steps back into ready stance. What is correct?</t>
  </si>
  <si>
    <t>A) Full points B) Partial points C) No points D) Warning for disengaging</t>
  </si>
  <si>
    <t>A) Full points</t>
  </si>
  <si>
    <t>Controlled sweep with immediate stance recovery satisfies full-scoring criteria.</t>
  </si>
  <si>
    <t>In a bronze-medal match, Fighter A lands a spinning backfist to the torso but touches the mat with the free hand to steady himself. Outcome?</t>
  </si>
  <si>
    <t>A) Full points B) Partial points C) No points D) Deduction only</t>
  </si>
  <si>
    <t>Loss of full balance (hand on mat) reduces the value of an otherwise valid strike.</t>
  </si>
  <si>
    <t>During an inter-state event, Fighter B repeatedly retreats to the corner, forcing resets without initiating attacks. Decision?</t>
  </si>
  <si>
    <t>A) Award for ring generalship B) Warning and possible deduction C) Full points for strategy D) No action</t>
  </si>
  <si>
    <t>B) Warning and possible deduction</t>
  </si>
  <si>
    <t>Systematic avoidance of engagement is penalized as passivity.</t>
  </si>
  <si>
    <t>In a youth final, Fighter A attempts a leg catch; he traps the kick briefly and executes a safe takedown with control. Scoring?</t>
  </si>
  <si>
    <t>A) Full points for takedown B) Partial points C) No points due to leg catch D) Deduction for holding</t>
  </si>
  <si>
    <t>A) Full points for takedown</t>
  </si>
  <si>
    <t>Controlled takedown off a legal catch earns full credit when safety and control are shown.</t>
  </si>
  <si>
    <t>At a provincial meet, Fighter B lands a knee to the torso from clinch with proper distancing (legal zone), then breaks cleanly. What is awarded?</t>
  </si>
  <si>
    <t>A) Full points B) Partial points C) No points D) Deduction for clinch use</t>
  </si>
  <si>
    <t>Legal knee to legal target with control scores fully.</t>
  </si>
  <si>
    <t>In a televised match, Fighter A blocks a head kick, slips, but remains inside the boundary; no counter follows. How is this judged?</t>
  </si>
  <si>
    <t>A) Full points for block B) Partial points C) No points D) Deduction for slipping</t>
  </si>
  <si>
    <t>Effective block remains valid; minor slip without boundary breach reduces only impact, not legality.</t>
  </si>
  <si>
    <t>A city championship sees Fighter B apply a standing wrist lock; the opponent signals discomfort but breaks free before the referee acknowledges. Outcome?</t>
  </si>
  <si>
    <t>A) Full points for lock B) Partial points C) No points D) Deduction for dangerous submission</t>
  </si>
  <si>
    <t>Locks must be maintained until referee confirmation to score.</t>
  </si>
  <si>
    <t>In a mixed-team match, Fighter A performs a legitimate sweep, but his corner erupts and steps onto the mat. Ruling?</t>
  </si>
  <si>
    <t>A) Full points with warning to team B) Deduct points from athlete C) Disqualify team D) Ignore crowd</t>
  </si>
  <si>
    <t>A) Full points with warning to team</t>
  </si>
  <si>
    <t>Athlete’s valid action stands; team misconduct draws formal warning or team sanction.</t>
  </si>
  <si>
    <t>During a university league, Fighter B’s glove laces loosen. He signals the referee and stops. What should occur?</t>
  </si>
  <si>
    <t>A) Deduction for stopping B) Warning to opponent C) Equipment fix and resume D) Award points to opponent</t>
  </si>
  <si>
    <t>C) Equipment fix and resume</t>
  </si>
  <si>
    <t>Safety/equipment issues warrant pause and correction without penalty when signaled properly.</t>
  </si>
  <si>
    <t>In a finals match, Fighter A lands a torso punch and immediately uses footwork to avoid the counter while staying in ring center. Score?</t>
  </si>
  <si>
    <t>A) Full points B) Partial points C) No points D) Deduction for disengaging</t>
  </si>
  <si>
    <t>Clean technique plus ring control and continued readiness merits full credit.</t>
  </si>
  <si>
    <t>At a coastal invitational, Fighter B executes a push with both hands to create distance; opponent stumbles but no strike follows. Decision?</t>
  </si>
  <si>
    <t>A) Points for off-balancing B) No points and verbal warning C) Deduction for pushing D) Full points for control</t>
  </si>
  <si>
    <t>B) No points and verbal warning</t>
  </si>
  <si>
    <t>Pushing is not a scoring technique; may draw a warning if excessive.</t>
  </si>
  <si>
    <t>In a night-session bout, Fighter A performs a flying kick that touches shoulder lightly, no displacement or clear impact. Ruling?</t>
  </si>
  <si>
    <t>A) Full points B) Partial points C) No points D) Deduction for showboating</t>
  </si>
  <si>
    <t>Touch without effective impact fails scoring threshold.</t>
  </si>
  <si>
    <t>During a campus championship, Fighter B counters with a sweep just after the bell sounds. What happens?</t>
  </si>
  <si>
    <t>A) Award points due to timing momentum B) No points and warning C) Deduction for late action D) Disqualification</t>
  </si>
  <si>
    <t>B) No points and warning C) Deduction for late action</t>
  </si>
  <si>
    <t>Techniques after the bell are invalid and penalized.</t>
  </si>
  <si>
    <t>At a regional qualifier, Fighter A uses a legal parry and instant palm-heel strike to torso with closed hand formation. Score?</t>
  </si>
  <si>
    <t>A) Full points B) Partial points C) No points D) Deduction for open-hand</t>
  </si>
  <si>
    <t>Properly formed, controlled strike following defense earns full credit.</t>
  </si>
  <si>
    <t>In a televised quarterfinal, Fighter B slips outside the boundary while attempting a spin; the opponent never touched him. Ruling?</t>
  </si>
  <si>
    <t>A) No points B) Deduction for stepping out C) Award to opponent D) Restart with no action</t>
  </si>
  <si>
    <t>A) No points B) Deduction for stepping out</t>
  </si>
  <si>
    <t>Self-caused boundary exit draws penalty; there’s no scoring for either athlete.</t>
  </si>
  <si>
    <t>During a multi-nation meet, Fighter A lands a legal elbow to the torso immediately after a clean block, maintaining posture. How is it scored?</t>
  </si>
  <si>
    <t>A) Points for block only B) Full points for the elbow counter C) No points D) Deduction for elbow</t>
  </si>
  <si>
    <t>B) Full points for the elbow counter</t>
  </si>
  <si>
    <t>Legal target and tight counter from balance scores fully.</t>
  </si>
  <si>
    <t>In a city finals, Fighter B connects a hook punch, but his non-striking hand drops below guard and he staggers slightly. Score?</t>
  </si>
  <si>
    <t>Clean contact but compromised form/balance reduces to partial.</t>
  </si>
  <si>
    <t>At a collegiate event, Fighter A repeatedly feints without committing, drawing no attacks and wasting time. Action?</t>
  </si>
  <si>
    <t>A) Award for strategy B) Warning for stalling C) Deduction for time-wasting D) No intervention</t>
  </si>
  <si>
    <t>B) Warning for stalling C) Deduction for time-wasting</t>
  </si>
  <si>
    <t>Excessive non-engagement is penalized to preserve contest flow.</t>
  </si>
  <si>
    <t>In a national camp selection, Fighter B lands a body kick; opponent falls due to tangled feet, not impact. What is correct?</t>
  </si>
  <si>
    <t>A) Full points B) Partial points C) No points D) Deduction to opponent</t>
  </si>
  <si>
    <t>Kick made contact; fall wasn’t caused by effective force, so only partial credit applies.</t>
  </si>
  <si>
    <t>During an invitational, Fighter A applies a shoulder lock; the referee acknowledges, and A releases safely. Score?</t>
  </si>
  <si>
    <t>A) Full points B) Partial points C) No points D) Deduction for submission</t>
  </si>
  <si>
    <t>Acknowledged control maintained to signal earns full credit.</t>
  </si>
  <si>
    <t>In a championship tie-breaker, Fighter B shows superior ring control, balanced stance transitions, and varied traditional entries while matching strikes. Decision?</t>
  </si>
  <si>
    <t>A) Favor aggression B) Favor traditional technical superiority C) Favor raw strike count D) Favor crowd reaction</t>
  </si>
  <si>
    <t>B) Favor traditional technical superiority</t>
  </si>
  <si>
    <t>When tied, judges weigh technical/traditional proficiency and control.</t>
  </si>
  <si>
    <t>At an open tournament, Fighter A attempts a sweep; the opponent hops and remains balanced; A then returns to stance immediately. Scoring?</t>
  </si>
  <si>
    <t>A) Full points for attempt B) Partial points for off-balance C) No points D) Deduction for failure</t>
  </si>
  <si>
    <t>Without actual effect or control, the sweep does not score.</t>
  </si>
  <si>
    <t>In a youth league match, Fighter B lands a straight punch and immediately exits the boundary to avoid a counter. Ruling?</t>
  </si>
  <si>
    <t>A) Full points, no penalty B) Partial points only C) No points and deduction D) Warning only</t>
  </si>
  <si>
    <t>Scoring strike counts, but intentional boundary exit reduces valuation and can invite warning.</t>
  </si>
  <si>
    <t>During a televised card, Fighter A scores with a knee in close but immediately clinches and wrestles the opponent without technique. Decision?</t>
  </si>
  <si>
    <t>A) Extra points for pressure B) Deduction for excessive grappling C) No points D) Partial points for knee only</t>
  </si>
  <si>
    <t>D) Partial points for knee only B) Deduction for excessive grappling</t>
  </si>
  <si>
    <t>The knee counts; non-technical clinching is penalized.</t>
  </si>
  <si>
    <t>In a continental qualifier, Fighter B matches strikes with A, but B’s defense shows superior timing (clean blocks with quick reset). Judges’ lean?</t>
  </si>
  <si>
    <t>A) Toward sheer volume B) Toward cleaner technique/timing C) Toward louder athlete D) Toward size advantage</t>
  </si>
  <si>
    <t>B) Toward cleaner technique/timing</t>
  </si>
  <si>
    <t>Superior timing/technique can outweigh raw volume when scoring is close.</t>
  </si>
  <si>
    <t>During a seaside invitational, wind noise masks the bell; Fighter A throws a kick clearly after time expired. Ruling?</t>
  </si>
  <si>
    <t>A) Count it due to confusion B) No points and warning C) Deduction regardless D) Disqualify</t>
  </si>
  <si>
    <t>B) No points and warning C) Deduction regardless</t>
  </si>
  <si>
    <t>Officials enforce time strictly; athletes must fight to the bell, confusion or not.</t>
  </si>
  <si>
    <t>In a medal match, Fighter B’s jurus in the opening ceremony contains off-tradition hand shapes but perfect rhythm. How is the jurus portion evaluated?</t>
  </si>
  <si>
    <t>A) Full points for rhythm B) Deduction for non-traditional form C) Ignore jurus entirely D) Disqualify</t>
  </si>
  <si>
    <t>B) Deduction for non-traditional form</t>
  </si>
  <si>
    <t>Jurus emphasizes fidelity to tradition over flair.</t>
  </si>
  <si>
    <t>At a varsity duel, Fighter A catches a kick, pauses, looks to referee, then sets down the leg and counters with a punch. Scoring?</t>
  </si>
  <si>
    <t>A) Full points for sportsmanship B) Full points for punch only C) Partial points for safe release D) No points due to pause</t>
  </si>
  <si>
    <t>B) Full points for punch only</t>
  </si>
  <si>
    <t>Safe release is good etiquette; the scoring action is the clean, balanced counter.</t>
  </si>
  <si>
    <t>In a club championship, Fighter B repeatedly glances at the clock and refuses to engage while ahead. What can officials do?</t>
  </si>
  <si>
    <t>A) Nothing B) Verbal prompt then passivity warning C) Immediate deduction D) Disqualify</t>
  </si>
  <si>
    <t>B) Verbal prompt then passivity warning</t>
  </si>
  <si>
    <t>Referees first encourage engagement; persistent refusal triggers penalties.</t>
  </si>
  <si>
    <t>During a televised match, Fighter A slips on perspiration and falls; Fighter B does not attack. Outcome?</t>
  </si>
  <si>
    <t>A) Award B points B) No points C) Deduct A for poor footing D) Restart with advantage</t>
  </si>
  <si>
    <t>B) No points</t>
  </si>
  <si>
    <t>Accidental slip without opponent action does not score.</t>
  </si>
  <si>
    <t>In a knockout round, Fighter B executes a sweep causing A to fall outside the ring; B remains inside and returns to stance. Score?</t>
  </si>
  <si>
    <t>A) Full points B) Partial points C) No points D) Deduction to A</t>
  </si>
  <si>
    <t>Out-of-bound result reduces full-credit even when sweep is valid.</t>
  </si>
  <si>
    <t>At an academy meet, Fighter A’s mouthguard dislodges during an exchange; Fighter B stops striking and signals referee. Ruling?</t>
  </si>
  <si>
    <t>A) Award sportsmanship points B) Pause for equipment, no scoring C) Deduct from A D) Continue fighting</t>
  </si>
  <si>
    <t>B) Pause for equipment, no scoring</t>
  </si>
  <si>
    <t>Safety pause; sportsmanship isn’t directly scored.</t>
  </si>
  <si>
    <t>In a student league final, Fighter B lands a hook to the body while leaning heavily forward, knee touching the mat. Score?</t>
  </si>
  <si>
    <t>A) Full points B) Partial points C) No points D) Deduction for posture</t>
  </si>
  <si>
    <t>Contact is valid; compromised posture lowers valuation.</t>
  </si>
  <si>
    <t>During a regional open, Fighter A executes a clean takedown but releases control early to avoid injuring the opponent. What is awarded?</t>
  </si>
  <si>
    <t>A) Full points B) Partial points C) No points D) Deduction for not holding</t>
  </si>
  <si>
    <t>Completed, controlled takedown with safe release still merits full credit.</t>
  </si>
  <si>
    <t>In a late-round rally, Fighter B lands two legal punches but then lightly shoves the opponent to create space. How is it scored?</t>
  </si>
  <si>
    <t>A) Points for punches; warn for shove B) Deduct all C) Count shove as technique D) Ignore shove</t>
  </si>
  <si>
    <t>A) Points for punches; warn for shove</t>
  </si>
  <si>
    <t>Shoves aren’t scoring; they can draw warnings while valid strikes still count.</t>
  </si>
  <si>
    <t>At a coastal derby, Fighter A performs a spinning kick that misses; Fighter B stumbles from overreacting. Decision?</t>
  </si>
  <si>
    <t>A) Full points to A B) Partial points to A C) No points D) Warning to B</t>
  </si>
  <si>
    <t>No contact/no effect from technique itself; opponent’s stumble isn’t caused by scoring action.</t>
  </si>
  <si>
    <t>In a selection trial, Fighter B uses aggressive volume but lacks control, drawing two prior warnings. After another heavy strike, what may occur?</t>
  </si>
  <si>
    <t>A) Automatic DQ B) Deduction now or DQ on next infraction C) No consequence D) Award for aggression</t>
  </si>
  <si>
    <t>B) Deduction now or DQ on next infraction</t>
  </si>
  <si>
    <t>Escalating penalties apply for repeated excessive force.</t>
  </si>
  <si>
    <t>During an indoor meet, Fighter A lands a clean side kick and instantly re-centers to ring middle. How do judges view this?</t>
  </si>
  <si>
    <t>A) Favorably for ringcraft—full points B) Partial due to movement C) No points D) Deduction for repositioning</t>
  </si>
  <si>
    <t>A) Favorably for ringcraft—full points</t>
  </si>
  <si>
    <t>Clean technique plus proactive ring control is rewarded.</t>
  </si>
  <si>
    <t>In a scholastic event, Fighter B executes a legal body punch after a textbook parry, but his heel momentarily crosses the boundary line. Ruling?</t>
  </si>
  <si>
    <t>Any boundary breach during scoring action voids the point and may incur penalty.</t>
  </si>
  <si>
    <t>At a cup qualifier, Fighter A uses a deceptive rhythm (tempos) to open a line and lands a balanced strike. Score?</t>
  </si>
  <si>
    <t>A) Full points B) Partial points C) No points D) Deduction for feinting</t>
  </si>
  <si>
    <t>Tactical rhythm changes are legal; clean, balanced scoring earns full credit.</t>
  </si>
  <si>
    <t>In a youth semifinal, Fighter B executes a body lock; the opponent taps, but referee didn’t see it. B releases immediately. Outcome?</t>
  </si>
  <si>
    <t>A) Full points B) Partial points C) No points until acknowledgment D) Deduction for early release</t>
  </si>
  <si>
    <t>C) No points until acknowledgment</t>
  </si>
  <si>
    <t>Locks require visible acknowledgment to validate scoring.</t>
  </si>
  <si>
    <t>During a league tie, Fighter A lands a legal elbow counter; his opponent complains to referee mid-exchange without injury. What should ensue?</t>
  </si>
  <si>
    <t>A) Stop and award A B) Continue play and warn for complaining C) Deduct A D) Deduct opponent</t>
  </si>
  <si>
    <t>B) Continue play and warn for complaining</t>
  </si>
  <si>
    <t>Non-injury complaints during live play can draw warnings for disruption.</t>
  </si>
  <si>
    <t>In a campus invitational, Fighter B’s headband falls; the opponent pauses respectfully instead of striking. Referee action?</t>
  </si>
  <si>
    <t>A) Award sportsmanship points B) Pause to fix equipment C) Deduct from paused fighter D) Force continuation</t>
  </si>
  <si>
    <t>B) Pause to fix equipment</t>
  </si>
  <si>
    <t>Safety/equipment issues pause the bout; no special scoring for courtesy.</t>
  </si>
  <si>
    <t>At an intercollegiate meet, Fighter A’s block redirects a kick causing the attacker to spin and fall. How is it scored?</t>
  </si>
  <si>
    <t>A) Points for A’s defense B) Full points for causing a fall C) No points—defense only D) Deduction to attacker</t>
  </si>
  <si>
    <t>A) Points for A’s defense</t>
  </si>
  <si>
    <t>Effective defense that destabilizes the opponent can score.</t>
  </si>
  <si>
    <t>In a night final, Fighter B repeatedly crowd-pleases (gestures, nods) after scoring. Officials already warned once. Next step?</t>
  </si>
  <si>
    <t>A) Ignore B) Deduct points C) Disqualify immediately D) Replay exchange</t>
  </si>
  <si>
    <t>B) Deduct points</t>
  </si>
  <si>
    <t>Repeated showboating after warning triggers deduction.</t>
  </si>
  <si>
    <t>During a federation trial, Fighter A initiates a legal sweep; the opponent grabs the uniform to stay up and is seen by judges. Ruling?</t>
  </si>
  <si>
    <t>A) No call B) Award A full points and warn opponent C) Deduct A D) Restart</t>
  </si>
  <si>
    <t>B) Award A full points and warn opponent</t>
  </si>
  <si>
    <t>Illegal uniform use by the defender confirms A’s valid technique and triggers a warning.</t>
  </si>
  <si>
    <t>In a friendly exhibition, Fighter B substitutes a non-traditional stance while delivering otherwise flawless techniques. Scoring tendency?</t>
  </si>
  <si>
    <t>A) Full points without issue B) Deduction for stance deviation C) Disqualification D) No scoring allowed</t>
  </si>
  <si>
    <t>B) Deduction for stance deviation</t>
  </si>
  <si>
    <t>Traditional stance fidelity is part of judging even in exhibitions.</t>
  </si>
  <si>
    <t>At a regional major, Fighter A checks a kick and answers with a body punch that barely glances yet displaces the opponent’s posture. Score?</t>
  </si>
  <si>
    <t>Minimal contact with visible effect supports partial scoring.</t>
  </si>
  <si>
    <t>In a selection camp, Fighter B responds to a valid warning with sarcastic clapping. What can the referee do?</t>
  </si>
  <si>
    <t>A) Nothing B) Deduct points for dissent C) Immediate DQ D) Award opponent a point</t>
  </si>
  <si>
    <t>B) Deduct points for dissent</t>
  </si>
  <si>
    <t>Dissent/derision toward officials is penalized.</t>
  </si>
  <si>
    <t>During a televised undercard, Fighter A lands a torso kick; simultaneously, time expires. The kick began before the bell but landed after. Ruling?</t>
  </si>
  <si>
    <t>A) Count it B) No points C) Partial points D) Warning only</t>
  </si>
  <si>
    <t>Impact must occur within time; after-the-bell contact is invalid.</t>
  </si>
  <si>
    <t>In a city open, Fighter B catches a kick, walks the opponent three steps, then executes a safe trip and returns to stance. Score?</t>
  </si>
  <si>
    <t>A) Full points B) Partial points C) No points (too many steps) D) Deduction</t>
  </si>
  <si>
    <t>Controlled displacement into a safe completion with stance recovery merits full credit.</t>
  </si>
  <si>
    <t>At an invitational, Fighter A’s straight punch lands; the opponent blocks late but immediately scores a clean counter while A is unguarded. How to score?</t>
  </si>
  <si>
    <t>A) Points only for A B) Points only for opponent C) Partial for both D) Full for both</t>
  </si>
  <si>
    <t>C) Partial for both</t>
  </si>
  <si>
    <t>Exchange with two valid actions in quick succession typically results in shared, reduced credit.</t>
  </si>
  <si>
    <t>In a provincial final, Fighter B rushes forward with flurries that mostly miss; one clean body shot lands, but he stumbles into the referee. Decision?</t>
  </si>
  <si>
    <t>A) Full points and continuation B) Partial points; warning for control C) No points; deduction D) Disqualify</t>
  </si>
  <si>
    <t>B) Partial points; warning for control</t>
  </si>
  <si>
    <t>One clean strike scores partially; contact with the referee draws a control warning.</t>
  </si>
  <si>
    <t>During a coastal championship, Fighter A attempts a cartwheel kick that misses; the opponent calmly steps in and lands a composed counterpunch. Scoring?</t>
  </si>
  <si>
    <t>A) Points for A’s difficulty B) Points for the counter only C) Partial for both D) No points</t>
  </si>
  <si>
    <t>B) Points for the counter only</t>
  </si>
  <si>
    <t>Difficulty without effect doesn’t score; the measured counter does.</t>
  </si>
  <si>
    <t>In a national title match, Fighter B is leading and begins to defensively shell without offense for the last 30 seconds. What should officials do?</t>
  </si>
  <si>
    <t>A) Reward tactical choice B) Issue passivity warning; consider deduction C) Deduct automatically D) Reset scores</t>
  </si>
  <si>
    <t>B) Issue passivity warning; consider deduction</t>
  </si>
  <si>
    <t>Prolonged non-engagement late in a match invites passivity sanctions.</t>
  </si>
  <si>
    <t>In a Tarung Derajat final in Bandung, Fighter A lands a clean punch, but Fighter B immediately counters with a successful takedown. Under the scoring system, which fighter is likely ahead after this exchange?</t>
  </si>
  <si>
    <t>A) Fighter A for the initial strike, B) Fighter B for the higher-scoring takedown, C) The exchange is scored as a draw, D) The referee decides based on aggression</t>
  </si>
  <si>
    <t>B) Fighter B for the higher-scoring takedown</t>
  </si>
  <si>
    <t>In Tarung Derajat, grappling actions like takedowns (3 points) are awarded more points than a single punch to the body (1 point).</t>
  </si>
  <si>
    <t>A fighter practicing 'Dua Siku Serang' (Double Elbow Strike) is told their technique is flawed. What is the most common mistake in executing this move?</t>
  </si>
  <si>
    <t>A) The strikes are too slow, B) The fighter is striking simultaneously instead of consecutively, C) The fighter is not shouting, D) The strikes are aimed at the legs</t>
  </si>
  <si>
    <t>B) The fighter is striking simultaneously instead of consecutively</t>
  </si>
  <si>
    <t>The 'Dua Siku Serang' is a rapid series of alternating elbow strikes; throwing them at the same time is technically incorrect and ineffective.</t>
  </si>
  <si>
    <t>In a match, Fighter X relies on dodging and landing precise counter-kicks. Fighter Y constantly presses forward with aggressive flurries. After three rounds, the judges award the win to Fighter X. This outcome demonstrates what principle of the sport?</t>
  </si>
  <si>
    <t>A) Aggression is always penalized, B) The sport's philosophy favors efficient and effective counter-attacks over raw aggression, C) Only kicks can score points, D) The judges were biased</t>
  </si>
  <si>
    <t>B) The sport's philosophy favors efficient and effective counter-attacks over raw aggression</t>
  </si>
  <si>
    <t>Tarung Derajat emphasizes using the opponent's force against them, making well-timed counters a highly valued and effective strategy.</t>
  </si>
  <si>
    <t>A documentary on Indonesian martial arts credits the creation of Tarung Derajat to Achmad Drajat. This explains why the art's techniques are primarily based on what?</t>
  </si>
  <si>
    <t>A) Ancient royal Javanese traditions, B) Practical and efficient street-fighting experience, C) The movements of animals, D) Meditative practices</t>
  </si>
  <si>
    <t>B) Practical and efficient street-fighting experience</t>
  </si>
  <si>
    <t>Known as "Aa Boxer," Achmad Drajat developed the art from real-world combat, emphasizing practicality over ceremony.</t>
  </si>
  <si>
    <t>During a sparring match, Fighter A lands a punch but then drops their guard to admire their work. Fighter B immediately lands a counter-punch. What is the ruling?</t>
  </si>
  <si>
    <t>A) Only Fighter A's punch scores, B) Both punches score, C) Only Fighter B's counter-punch scores, D) Fighter B's punch scores, and Fighter A is warned for low guard</t>
  </si>
  <si>
    <t>D) Fighter B's punch scores, and Fighter A is warned for low guard</t>
  </si>
  <si>
    <t>A clean counter scores. The referee will also likely warn Fighter A for the dangerous technical flaw of dropping their guard.</t>
  </si>
  <si>
    <t>A fighter is hit with a low blow during a match in Jakarta. The referee stops the fight and gives the fighter time to recover. What is the maximum allowed recovery time?</t>
  </si>
  <si>
    <t>A) 30 seconds, B) 1 minute, C) Up to 5 minutes, D) The fighter must continue immediately</t>
  </si>
  <si>
    <t>C) Up to 5 minutes</t>
  </si>
  <si>
    <t>A fighter who receives an accidental foul is given a reasonable amount of time (up to five minutes) to recover before the match resumes.</t>
  </si>
  <si>
    <t>In a match in Surabaya, Fighter X is penalized for "excessive contact" after delivering a powerful kick. What does this mean?</t>
  </si>
  <si>
    <t>A) The kick was too skillful, B) The kick was delivered with intent to injure rather than to score, C) The kick landed after the referee's signal, D) The kick was too fast</t>
  </si>
  <si>
    <t>B) The kick was delivered with intent to injure rather than to score</t>
  </si>
  <si>
    <t>Tarung Derajat is a sport with controlled aggression. A strike deemed to be malicious or dangerously uncontrolled is a foul.</t>
  </si>
  <si>
    <t>A coach in Bandung advises their student to remain calm and focused even when behind on points. This advice directly relates to which core principle of the sport?</t>
  </si>
  <si>
    <t>A) The importance of physical strength, B) The art's emphasis on mental discipline and resilience, C) The need to win at all costs, D) The scoring system</t>
  </si>
  <si>
    <t>B) The art's emphasis on mental discipline and resilience</t>
  </si>
  <si>
    <t>A core tenet of Tarung Derajat is mastering one's own emotions to maintain focus and strategic thinking under pressure.</t>
  </si>
  <si>
    <t>A fighter in a demonstration executes a 'Tendangan Melingkar' (roundhouse kick). If this were a match, what target would yield the most points?</t>
  </si>
  <si>
    <t>A) The arm, B) The leg, C) The torso, D) The head</t>
  </si>
  <si>
    <t>D) The head</t>
  </si>
  <si>
    <t>A clean kick to the head is the highest-scoring single strike in Tarung Derajat, awarded 3 points.</t>
  </si>
  <si>
    <t>A match in Yogyakarta ends, and the winning fighter, Fighter A, taunts the losing Fighter B. What action will the referee likely take?</t>
  </si>
  <si>
    <t>A) Nothing, the match is over, B) Reverse the decision, C) Issue a post-match warning or formal sanction for unsportsmanlike conduct, D) Award Fighter A bonus points</t>
  </si>
  <si>
    <t>C) Issue a post-match warning or formal sanction for unsportsmanlike conduct</t>
  </si>
  <si>
    <t>The referee's authority extends to post-match conduct. Disrespectful behavior violates the sport's code of ethics and can be penalized.</t>
  </si>
  <si>
    <t>A beginner fighter is repeatedly swept because their 'Sikap Dasar' (basic stance) is too narrow. This demonstrates that the stance's primary purpose is what?</t>
  </si>
  <si>
    <t>A) To look good, B) To provide stability and a strong base, C) To allow for fast punches, D) To conserve energy</t>
  </si>
  <si>
    <t>B) To provide a stable base for a strong base</t>
  </si>
  <si>
    <t>An incorrect stance compromises a fighter's balance, making them vulnerable to takedowns and sweeps.</t>
  </si>
  <si>
    <t>During a tournament, Fighter A successfully uses multiple 'Tangkapan' (catches) against Fighter B's kicks. This indicates that Fighter A has superior what?</t>
  </si>
  <si>
    <t>A) Kicking power, B) Punching speed, C) Timing and anticipation, D) Aggression</t>
  </si>
  <si>
    <t>C) Timing and anticipation</t>
  </si>
  <si>
    <t>Successfully catching kicks requires excellent timing, reflexes, and the ability to read an opponent's movements.</t>
  </si>
  <si>
    <t>The referee stops a fight after Fighter A lands a kick to Fighter B's head. What is the referee's first priority?</t>
  </si>
  <si>
    <t>A) To award 3 points to Fighter A, B) To check on the health and safety of Fighter B, C) To ask the judges for their scores, D) To check the clock</t>
  </si>
  <si>
    <t>B) To check on the health and safety of Fighter B</t>
  </si>
  <si>
    <t>After any significant head strike, the referee's immediate responsibility is to assess the fighter's condition, potentially administering a count.</t>
  </si>
  <si>
    <t>In a sparring session, a fighter throws a jab, a cross, and a roundhouse kick in quick succession. What is this sequence an example of?</t>
  </si>
  <si>
    <t>A) A defensive maneuver, B) A combination attack, C) A warm-up drill, D) A foul</t>
  </si>
  <si>
    <t>B) A combination attack</t>
  </si>
  <si>
    <t>Combining different strikes is a fundamental tactic used to overwhelm an opponent's defense.</t>
  </si>
  <si>
    <t>In a youth tournament in Bandung, a fighter focuses only on blocking and evading for the entire match. What will be the final result?</t>
  </si>
  <si>
    <t>A) They will win for having a perfect defense, B) They will lose due to a lack of scoring and penalties for passivity, C) The match will be a draw, D) The match will be replayed</t>
  </si>
  <si>
    <t>B) They will lose due to a lack of scoring and penalties for passivity</t>
  </si>
  <si>
    <t>A fighter must demonstrate offensive techniques to score points. A purely defensive strategy will not win a match.</t>
  </si>
  <si>
    <t>A fighter is hit with a powerful body shot and visibly winces. The opponent immediately follows up with more strikes to the body. Is this legal?</t>
  </si>
  <si>
    <t>A) No, it is unsportsmanlike to target an injured area, B) Yes, it is a smart strategy to press an advantage, C) The referee should stop the fight, D) A warning should be issued</t>
  </si>
  <si>
    <t>B) Yes, it is a smart strategy to press an advantage</t>
  </si>
  <si>
    <t>If a fighter shows they are hurt by a legal blow, it is a fundamental tactic for the opponent to continue attacking that weakened area.</t>
  </si>
  <si>
    <t>A fighter known for their strong kicks is facing a fighter known for their fast hands. How might the kicker control the distance?</t>
  </si>
  <si>
    <t>A) By clinching immediately, B) By using front kicks (tendangan lurus) to keep the puncher at bay, C) By constantly retreating, D) By only using punches</t>
  </si>
  <si>
    <t>B) By using front kicks (tendangan lurus) to keep the puncher at bay</t>
  </si>
  <si>
    <t>The straight kick is an excellent tool for maintaining distance and preventing a close-range fighter from getting inside.</t>
  </si>
  <si>
    <t>During a match, Fighter A is knocked down. The referee begins a count. Fighter A gets up at the count of 9, but is still very unsteady. What should the referee do?</t>
  </si>
  <si>
    <t>A) Allow the fight to continue, B) Stop the fight (TKO) to protect the fighter, C) Ask the fighter if they want to continue, D) Restart the count</t>
  </si>
  <si>
    <t>B) Stop the fight (TKO) to protect the fighter</t>
  </si>
  <si>
    <t>The referee's judgment of a fighter's ability to "intelligently defend" themselves overrides the count. An unsteady fighter is not safe to continue.</t>
  </si>
  <si>
    <t>In a clinch, Fighter A is holding Fighter B's head down with one hand and hitting them with the other. What is the ruling?</t>
  </si>
  <si>
    <t>A) This is a legal and dominant clinch position, B) This is a foul for controlling the head, C) This is legal, but only knees can be used, D) A warning is issued</t>
  </si>
  <si>
    <t>B) This is a foul for controlling the head</t>
  </si>
  <si>
    <t>For safety, fighters are not allowed to grab, push, or pull on an opponent's head or neck.</t>
  </si>
  <si>
    <t>A fighter is disqualified for having a hard object wrapped under their hand tapes during a pre-fight inspection. Why is this a serious violation?</t>
  </si>
  <si>
    <t>A) It adds extra weight, B) It is considered an attempt to use a concealed weapon, C) It is against tradition, D) It can hurt the fighter's own hand</t>
  </si>
  <si>
    <t>B) It is considered an attempt to use a concealed weapon</t>
  </si>
  <si>
    <t>Tampering with hand wraps is a major cheating offense, as it can turn a padded glove into a dangerous instrument.</t>
  </si>
  <si>
    <t>The founder, Achmad Drajat, is known as "Aa Boxer." The "Aa" is a term of respect from which Indonesian language?</t>
  </si>
  <si>
    <t>A) Javanese, B) Balinese, C) Sundanese, D) Madurese</t>
  </si>
  <si>
    <t>C) Sundanese</t>
  </si>
  <si>
    <t>"Aa" is a Sundanese term of respect for an older brother, reflecting the art's origins in Bandung, West Java.</t>
  </si>
  <si>
    <t>A fighter attempts a takedown, but the opponent defends it successfully, remaining on their feet. How is this exchange scored?</t>
  </si>
  <si>
    <t>A) A point for the attacker for the attempt, B) A point for the defender for the successful defense, C) No points are awarded to either fighter, D) The round is replayed</t>
  </si>
  <si>
    <t>C) No points are awarded to either fighter</t>
  </si>
  <si>
    <t>An unsuccessful attack does not score, and a successful defense (like a "sprawl") does not score points on its own.</t>
  </si>
  <si>
    <t>A fighter is being tested for their Kurata V rank. What color sash or belt would they be wearing?</t>
  </si>
  <si>
    <t>A) White, B) Blue, C) Green, D) Red</t>
  </si>
  <si>
    <t>B) Blue</t>
  </si>
  <si>
    <t>The grading system progresses through several colors, with Blue representing the fifth level of proficiency.</t>
  </si>
  <si>
    <t>A fighter lands a spinning back fist that knocks the opponent down. What is the total score for this single sequence?</t>
  </si>
  <si>
    <t>A) 1 point, B) 2 points, C) 3 points, D) 4 points</t>
  </si>
  <si>
    <t>C) 3 points</t>
  </si>
  <si>
    <t>A successful hand strike to the head scores 2 points, and the resulting knockdown scores an additional 1 point, for a total of 3.</t>
  </si>
  <si>
    <t>The referee commands "Pisah!" during the fight. What must the fighters do?</t>
  </si>
  <si>
    <t>A) Start fighting, B) Immediately separate from a clinch, C) Go to their corners, D) Touch gloves</t>
  </si>
  <si>
    <t>B) Immediately separate from a clinch</t>
  </si>
  <si>
    <t>"Pisah!" means "Separate!" and is the command used to break fighters from a clinch that has stalled.</t>
  </si>
  <si>
    <t>What does the principle "Aku Tunduk Bukan Berarti Takluk" (I submit but am not conquered) teach a practitioner?</t>
  </si>
  <si>
    <t>A) It is okay to lose, B) To respect rules and authority without sacrificing one's inner spirit, C) To always surrender to a stronger opponent, D) To never obey the referee</t>
  </si>
  <si>
    <t>B) To respect rules and authority without sacrificing one's inner spirit</t>
  </si>
  <si>
    <t>This part of the motto teaches that discipline and humility are not weaknesses, but signs of a strong character.</t>
  </si>
  <si>
    <t>A fighter is cut by an accidental clash of heads in the first round, and the doctor stops the fight. What is the official result?</t>
  </si>
  <si>
    <t>A) The fighter who is not cut wins, B) The fight is declared a "No Contest", C) The judges decide a winner, D) The round is replayed</t>
  </si>
  <si>
    <t>B) The fight is declared a "No Contest"</t>
  </si>
  <si>
    <t>A fight stopped early due to an accidental foul before a specified number of rounds is complete is typically ruled a No Contest.</t>
  </si>
  <si>
    <t>A fighter wins a round 10-8 on a judge's scorecard. What is the most likely reason for this score?</t>
  </si>
  <si>
    <t>A) They were much more aggressive, B) They scored one knockdown during the round, C) They won the round very clearly, D) They complained to the referee</t>
  </si>
  <si>
    <t>B) They scored one knockdown during the round</t>
  </si>
  <si>
    <t>In the "10-point must" system, a 10-9 score is standard for a winning round. A 10-8 score indicates a knockdown or a point deduction against the opponent.</t>
  </si>
  <si>
    <t>A fighter who is shorter than their opponent is struggling to land punches. What is the best strategy for them?</t>
  </si>
  <si>
    <t>A) To stay at a long distance and use kicks, B) To use footwork to get inside the opponent's reach, C) To try to out-punch the taller fighter, D) To wait for the opponent to get tired</t>
  </si>
  <si>
    <t>B) To use footwork to get inside the opponent's reach</t>
  </si>
  <si>
    <t>A shorter fighter must close the distance to get past a reach advantage and work in a range where their own strikes are effective.</t>
  </si>
  <si>
    <t>During a match, a fighter's mouthpiece falls out. The referee does not see it, and the fighter is hit with a clean punch. Is the punch legal?</t>
  </si>
  <si>
    <t>A) No, it is illegal to hit a fighter without a mouthpiece, B) Yes, the point is valid; the fight is then stopped to reinsert it, C) The point is replayed, D) The opponent is penalized</t>
  </si>
  <si>
    <t>B) Yes, the point is valid; the fight is then stopped to reinsert it</t>
  </si>
  <si>
    <t>The rally is live until the referee calls a stop. The point counts, and the referee will then pause the fight at a safe moment.</t>
  </si>
  <si>
    <t>A fighter wins a match by a "split decision". What does this mean?</t>
  </si>
  <si>
    <t>A) They won by a single point, B) Two judges scored it for them, while one scored it for the opponent, C) The referee had to make the final decision, D) The fight was stopped due to an injury</t>
  </si>
  <si>
    <t>B) Two judges scored it for them, while one scored it for the opponent</t>
  </si>
  <si>
    <t>A split decision indicates a very close fight where the judges were not in unanimous agreement.</t>
  </si>
  <si>
    <t>A fighter in Bandung is known for their excellent ring control. What does this mean?</t>
  </si>
  <si>
    <t>A) They are the most popular fighter, B) They are skilled at using footwork to dictate the pace and position of the fight, C) They follow the rules perfectly, D) They have the best defense</t>
  </si>
  <si>
    <t>B) They are skilled at using footwork to dictate the pace and position of the fight</t>
  </si>
  <si>
    <t>Ring control or "cutting off the ring" is the tactical ability to trap an opponent and limit their movement.</t>
  </si>
  <si>
    <t>A fighter is hit with a body shot and drops to one knee. What is this considered?</t>
  </si>
  <si>
    <t>A) A slip, B) A knockdown, C) A rest position, D) A foul</t>
  </si>
  <si>
    <t>B) A knockdown</t>
  </si>
  <si>
    <t>Any part of the body other than the feet touching the canvas as a result of a legal strike constitutes a knockdown, and the referee will begin a count.</t>
  </si>
  <si>
    <t>What is the main purpose of "pad work" during a training session?</t>
  </si>
  <si>
    <t>A) To practice falling safely, B) To develop power, speed, and combinations by striking pads held by a coach, C) To build defensive blocking skills, D) To improve footwork</t>
  </si>
  <si>
    <t>B) To develop power, speed, and combinations by striking pads held by a coach</t>
  </si>
  <si>
    <t>Hitting pads is a crucial drill for practicing striking techniques with full power in a dynamic and safe manner.</t>
  </si>
  <si>
    <t>In a clinch, a fighter uses their knee to strike the opponent's thigh. Is this a legal strike?</t>
  </si>
  <si>
    <t>A) Yes, it is a legal point-scoring technique, B) No, knees can only be used to the body, C) It is a foul, D) It is legal, but does not score points</t>
  </si>
  <si>
    <t>A) Yes, it is a legal point-scoring technique</t>
  </si>
  <si>
    <t>The thigh is a valid target for knee strikes, particularly in a clinch, and is effective for disrupting an opponent's base.</t>
  </si>
  <si>
    <t>A fighter is clearly exhausted, but their coach urges them to continue. The referee, however, believes the fighter is in danger. Who has the final authority to stop the fight?</t>
  </si>
  <si>
    <t>A) The coach, B) The fighter, C) The referee, D) The ringside doctor</t>
  </si>
  <si>
    <t>The referee has the absolute authority to stop a contest at any time if they believe a fighter can no longer safely defend themselves.</t>
  </si>
  <si>
    <t>What is the purpose of the five moral principles known as the "Five Moral Nerves" in Tarung Derajat?</t>
  </si>
  <si>
    <t>A) They are the names of five fighting stances, B) They are a set of ethical guidelines for a practitioner's character, C) They are the five ways to win a match, D) They are five secret techniques</t>
  </si>
  <si>
    <t>B) They are a set of ethical guidelines for a practitioner's character</t>
  </si>
  <si>
    <t>These principles (Faith, Honesty, Courage, Self-sufficiency, Friendliness) emphasize that the art is about building character, not just fighting skill.</t>
  </si>
  <si>
    <t>A fighter lands a spinning back kick to the opponent's head. How many points are awarded?</t>
  </si>
  <si>
    <t>A) 2 points, B) 3 points, C) 4 points, D) 5 points</t>
  </si>
  <si>
    <t>The technique (spinning kick) does not change the point value for the target area. A legal kick to the head is worth 3 points.</t>
  </si>
  <si>
    <t>A fighter is warned by the referee for "hitting on the break." What does this mean?</t>
  </si>
  <si>
    <t>A) Hitting during the one-minute rest period, B) Hitting the opponent as the referee is separating them, C) Hitting a broken glove, D) Hitting an opponent who is off-balance</t>
  </si>
  <si>
    <t>B) Hitting the opponent as the referee is separating them</t>
  </si>
  <si>
    <t>Fighters must stop striking when the referee calls to break a clinch. Hitting after this command is a foul.</t>
  </si>
  <si>
    <t>A fighter wins a round 10-9 on all three judges' scorecards. What does this indicate?</t>
  </si>
  <si>
    <t>A) The round was a draw, B) The fighter won the round clearly but without a knockdown, C) The fighter scored one knockdown, D) The opponent was penalized a point</t>
  </si>
  <si>
    <t>B) The fighter won the round clearly but without a knockdown</t>
  </si>
  <si>
    <t>Under the "10-Point Must System," the winner of a round is awarded 10 points and the loser 9, assuming no other scoring events occur.</t>
  </si>
  <si>
    <t>A fighter is cut by a legal punch, and the ringside doctor stops the fight. What is the official result?</t>
  </si>
  <si>
    <t>A) The injured fighter wins, B) The match is a draw, C) The fighter who landed the punch wins by TKO, D) The round is replayed</t>
  </si>
  <si>
    <t>C) The fighter who landed the punch wins by TKO</t>
  </si>
  <si>
    <t>If a legal strike causes an injury that is severe enough for the doctor to stop the contest, it is ruled a Technical Knockout.</t>
  </si>
  <si>
    <t>The referee gives a "standing eight-count" to a fighter who seems dazed. What is scored for the opponent?</t>
  </si>
  <si>
    <t>A) No points are scored, B) 1 point is awarded, C) 2 points are awarded, D) The opponent wins the round</t>
  </si>
  <si>
    <t>B) 1 point is awarded</t>
  </si>
  <si>
    <t>A standing eight-count is scored in the same way as a knockdown, resulting in a point for the opposing fighter.</t>
  </si>
  <si>
    <t>A fighter is penalized for pushing their opponent with a straight arm. Why is this a foul?</t>
  </si>
  <si>
    <t>A) It is not a recognized scoring strike and disrupts the flow of the fight, B) It is too powerful, C) It can cause serious injury, D) It is too easy to do</t>
  </si>
  <si>
    <t>A) It is not a recognized scoring strike and disrupts the flow of the fight</t>
  </si>
  <si>
    <t>Tarung Derajat is a striking art. Pushing or shoving is penalized to maintain the focus on skillful strikes.</t>
  </si>
  <si>
    <t>A fighter wins by a "unanimous decision." What does this mean?</t>
  </si>
  <si>
    <t>A) The referee decided the winner, B) All three judges scored the fight in favor of that fighter, C) The crowd voted for the winner, D) The opponent surrendered</t>
  </si>
  <si>
    <t>B) All three judges scored the fight in favor of that fighter</t>
  </si>
  <si>
    <t>A unanimous decision means there was no disagreement among the scoring judges about who won the match.</t>
  </si>
  <si>
    <t>During a match, a fighter's hand tape comes completely loose. What must the referee do?</t>
  </si>
  <si>
    <t>A) Let the fight continue, B) Stop the fight to have the tape removed or repaired, C) Disqualify the fighter, D) Award a point to the opponent</t>
  </si>
  <si>
    <t>B) Stop the fight to have the tape removed or repaired</t>
  </si>
  <si>
    <t>For the safety of both fighters, the referee will pause the fight at a safe moment to fix any equipment issues like loose hand wraps.</t>
  </si>
  <si>
    <t>A fighter is warned for "lacing" in the clinch. What does this mean?</t>
  </si>
  <si>
    <t>A) They are lacing their gloves too tight, B) They are using the laces of their glove to rub against the opponent's face, C) Their shorts are coming untied, D) They are moving too slowly</t>
  </si>
  <si>
    <t>B) They are using the laces of their glove to rub against the opponent's face</t>
  </si>
  <si>
    <t>This is an illegal and unsportsmanlike tactic used to cause cuts and abrasions, and it will be penalized.</t>
  </si>
  <si>
    <t>A fighter is knocked down. They get up at the count of 9, but then stumble and fall again without being hit. What is the referee's decision?</t>
  </si>
  <si>
    <t>A) The count continues from 9, B) The referee stops the fight (TKO), C) The point is replayed, D) The fighter is given a warning for falling</t>
  </si>
  <si>
    <t>B) The referee stops the fight (TKO)</t>
  </si>
  <si>
    <t>A fighter falling without being hit is a clear sign that they are seriously dazed and unable to continue safely.</t>
  </si>
  <si>
    <t>A fighter wins a round 10-8, but there were no knockdowns. How is this possible?</t>
  </si>
  <si>
    <t>A) It is not possible, B) The winning fighter was far more dominant, C) The losing fighter was penalized a point for a foul, D) The referee made a mistake</t>
  </si>
  <si>
    <t>C) The losing fighter was penalized a point for a foul</t>
  </si>
  <si>
    <t>A normal winning round is 10-9. If the loser also gets a point deducted for a foul, the score becomes 10-8.</t>
  </si>
  <si>
    <t>The founder Achmad Drajat's training philosophy is often summarized as "harden the body, then the spirit". What does this imply?</t>
  </si>
  <si>
    <t>A) Spiritual training is more important, B) Rigorous physical conditioning is the gateway to developing mental and spiritual toughness, C) One should only focus on physical strength, D) It is a purely meditative art</t>
  </si>
  <si>
    <t>B) Rigorous physical conditioning is the gateway to developing mental and spiritual toughness</t>
  </si>
  <si>
    <t>The art believes that overcoming physical hardship in training is what forges the discipline and resilience of the mind and spirit.</t>
  </si>
  <si>
    <t>A fighter is cut by an accidental headbutt, and the doctor stops the fight after two of three rounds are complete. How is a winner determined?</t>
  </si>
  <si>
    <t>A) The fight is a "no contest", B) The fighter who was not cut wins, C) The winner is decided by going to the judges' scorecards, D) The fight is replayed</t>
  </si>
  <si>
    <t>C) The winner is decided by going to the judges' scorecards</t>
  </si>
  <si>
    <t>If a fight is stopped by an accidental foul after a predetermined number of rounds, the result is determined by the scores up to that point (a "technical decision").</t>
  </si>
  <si>
    <t>During a break, a fighter's corner applies a substance to a cut that is not approved by the commission. If caught, what is the penalty?</t>
  </si>
  <si>
    <t>A) A warning, B) The fighter is immediately disqualified, C) The opponent gets an extra point, D) The round is replayed</t>
  </si>
  <si>
    <t>B) The fighter is immediately disqualified</t>
  </si>
  <si>
    <t>Using unauthorized substances or medications is a serious violation of the rules and can result in disqualification.</t>
  </si>
  <si>
    <t>A fighter is known for having a "high fight IQ". What does this mean?</t>
  </si>
  <si>
    <t>A) They are a certified genius, B) They have an excellent ability to adapt, solve problems, and apply the right strategy during a fight, C) They can remember all the rules, D) They talk a lot during the fight</t>
  </si>
  <si>
    <t>B) They have an excellent ability to adapt, solve problems, and apply the right strategy during a fight</t>
  </si>
  <si>
    <t>High fight IQ refers to a fighter's intelligence in the ring, such as recognizing patterns and exploiting weaknesses.</t>
  </si>
  <si>
    <t>A fighter is warned for grabbing the ropes. Why is this a foul?</t>
  </si>
  <si>
    <t>A) It can damage the ropes, B) It is a way to rest illegally, C) It can be used as leverage for an attack or to avoid a takedown, D) It is disrespectful to the ring</t>
  </si>
  <si>
    <t>C) It can be used as leverage for an attack or to avoid a takedown</t>
  </si>
  <si>
    <t>The ropes cannot be used for any purpose other than defining the boundary of the fighting area.</t>
  </si>
  <si>
    <t>What is the primary purpose of a 'jab' in Tarung Derajat?</t>
  </si>
  <si>
    <t>A) To knock the opponent out, B) To measure distance, disrupt the opponent's rhythm, and set up more powerful strikes, C) It is a defensive move, D) It does not score points</t>
  </si>
  <si>
    <t>B) To measure distance, disrupt the opponent's rhythm, and set up more powerful strikes</t>
  </si>
  <si>
    <t>The jab is a fast, efficient punch used to control the fight, not typically for power.</t>
  </si>
  <si>
    <t>A fighter lands a clean punch at the exact same moment the bell rings to end the round. Does the punch score?</t>
  </si>
  <si>
    <t>A) No, it was after the bell, B) Yes, it is considered part of the round's action, C) The point is replayed, D) The judges decide if it was early or late</t>
  </si>
  <si>
    <t>B) Yes, it is considered part of the round's action</t>
  </si>
  <si>
    <t>A strike thrown at the same instant as the bell is considered legal, even if it lands a fraction of a second after.</t>
  </si>
  <si>
    <t>A fighter is knocked down hard. They get to their feet at the count of 8. Before resuming, what will the referee likely do?</t>
  </si>
  <si>
    <t>A) Ask the opponent to help, B) Look closely at the fighter, ask them a question, and check their eyes, C) Immediately let the fight continue, D) End the fight</t>
  </si>
  <si>
    <t>B) Look closely at the fighter, ask them a question, and check their eyes</t>
  </si>
  <si>
    <t>The referee must assess if the fighter is coherent and able to intelligently defend themselves before allowing the action to resume.</t>
  </si>
  <si>
    <t>A fighter is penalized for pushing off the opponent with their hand. Is this a correct call?</t>
  </si>
  <si>
    <t>A) No, pushing is allowed, B) Yes, a straight-arm push is a foul, C) Only if it is to the face, D) Only if the opponent falls</t>
  </si>
  <si>
    <t>B) Yes, a straight-arm push is a foul</t>
  </si>
  <si>
    <t>Pushing is not a legal strike and is penalized to maintain the focus on skillful striking techniques.</t>
  </si>
  <si>
    <t>A fighter from Bandung is facing a fighter from Jakarta. What can be expected in terms of their style?</t>
  </si>
  <si>
    <t>A) They will have identical styles, B) Their styles might have slight regional variations but will adhere to the core Tarung Derajat curriculum, C) The Jakarta fighter will use more grappling, D) The Bandung fighter will be more aggressive</t>
  </si>
  <si>
    <t>B) Their styles might have slight regional variations but will adhere to the core Tarung Derajat curriculum</t>
  </si>
  <si>
    <t>While the core art is standardized, different training centers (padepokan) may emphasize different aspects of the art.</t>
  </si>
  <si>
    <t>A fighter wins by a "majority draw". What does this mean?</t>
  </si>
  <si>
    <t>A) All judges scored it a draw, B) Two judges scored the fight as a draw, while one judge picked a winner, C) One judge scored it a draw, and the other two were split, D) The referee declared a draw</t>
  </si>
  <si>
    <t>B) Two judges scored the fight as a draw, while one judge picked a winner</t>
  </si>
  <si>
    <t>A majority draw is an outcome where one fighter wins on one scorecard, but the other two judges rule it even, resulting in an overall draw.</t>
  </si>
  <si>
    <t>What is the significance of the black uniform (seragam) worn by practitioners?</t>
  </si>
  <si>
    <t>A) It is slimming, B) It is a traditional color of warriors and symbolizes the depth of the art, C) It is the cheapest dye color, D) It is a modern branding choice</t>
  </si>
  <si>
    <t>B) It is a traditional color of warriors and symbolizes the depth of the art</t>
  </si>
  <si>
    <t>The black uniform is a nod to traditional warrior attire and carries philosophical weight within the art.</t>
  </si>
  <si>
    <t>A fighter is found to have tape on their gloves. What is the ruling?</t>
  </si>
  <si>
    <t>A) This is legal for extra support, B) This is illegal unless approved by the commission for a specific reason, C) It is allowed on the thumbs only, D) It is only allowed in training</t>
  </si>
  <si>
    <t>B) This is illegal unless approved by the commission for a specific reason</t>
  </si>
  <si>
    <t>Modifying the exterior of the gloves is forbidden as it can change the impact surface.</t>
  </si>
  <si>
    <t>A fighter is hit with a spinning kick and falls. They get up immediately. What is the score for the kick?</t>
  </si>
  <si>
    <t>A) 2 points for the kick, B) 3 points for the kick, C) 2 points for the kick + 1 point for the knockdown, D) 3 points for the kick + 1 point for the knockdown</t>
  </si>
  <si>
    <t>D) 3 points for the kick + 1 point for the knockdown</t>
  </si>
  <si>
    <t>A legal kick to the head scores 3 points, and the knockdown adds an additional point, making the total for the sequence 4 points.</t>
  </si>
  <si>
    <t>A fighter is warned for "hitting behind the head". Which part of the head is illegal to strike?</t>
  </si>
  <si>
    <t>A) The forehead, B) The jaw, C) The back of the head and neck area, D) The temple</t>
  </si>
  <si>
    <t>C) The back of the head and neck area</t>
  </si>
  <si>
    <t>Striking the back of the head (the "occipital region") is a serious foul due to the risk of severe injury.</t>
  </si>
  <si>
    <t>A fighter who is being dominated verbally quits the fight between rounds. What is the official result?</t>
  </si>
  <si>
    <t>A) The fighter loses by TKO (corner stoppage), B) The fight is a No Contest, C) The fighter loses by disqualification, D) The fight is scored up to that point</t>
  </si>
  <si>
    <t>A) The fighter loses by TKO (corner stoppage)</t>
  </si>
  <si>
    <t>If a fighter refuses to continue, it is considered a corner stoppage and is ruled a TKO victory for the opponent.</t>
  </si>
  <si>
    <t>What is the main principle of the "short-range attacks" in Tarung Derajat?</t>
  </si>
  <si>
    <t>A) They are used to keep an opponent at a distance, B) They focus on powerful, looping strikes, C) They are rapid, efficient strikes like elbows and uppercuts designed for close-quarters combat, D) They are primarily defensive</t>
  </si>
  <si>
    <t>C) They are rapid, efficient strikes like elbows and uppercuts designed for close-quarters combat</t>
  </si>
  <si>
    <t>The art is known for its effectiveness in close range, using strikes that don't require a lot of space to generate power.</t>
  </si>
  <si>
    <t>A fighter is warned for holding the ropes to avoid being taken down. Is this a correct call?</t>
  </si>
  <si>
    <t>A) No, it is a smart defensive move, B) Yes, using the ropes for any advantage is a foul, C) Only if they hold for more than 5 seconds, D) A point should be deducted, not a warning</t>
  </si>
  <si>
    <t>B) Yes, using the ropes for any advantage is a foul</t>
  </si>
  <si>
    <t>The ropes are a boundary, not a piece of equipment to be used for leverage or defense.</t>
  </si>
  <si>
    <t>What is the most common use of the front kick (Tendangan Lurus)?</t>
  </si>
  <si>
    <t>A) As a knockout blow to the head, B) As a defensive tool to stop an opponent's advance and maintain distance, C) To sweep the opponent's legs, D) It is not a common technique</t>
  </si>
  <si>
    <t>B) As a defensive tool to stop an opponent's advance and maintain distance</t>
  </si>
  <si>
    <t>The front kick is often called a "teep" in other arts; it functions like a jab to control range and disrupt the opponent's rhythm.</t>
  </si>
  <si>
    <t>The referee is from the same city as Fighter A. Fighter B's coach protests. Is this a valid concern?</t>
  </si>
  <si>
    <t>A) No, referees are always impartial, B) Yes, to ensure fairness, officials should ideally be neutral, C) The coach should be penalized for questioning the ref, D) Only if the referee makes a bad call</t>
  </si>
  <si>
    <t>B) Yes, to ensure fairness, officials should ideally be neutral</t>
  </si>
  <si>
    <t>In major tournaments, officials from neutral regions are often used to avoid any appearance of bias.</t>
  </si>
  <si>
    <t>A fighter lands a punch that causes a large swelling under the opponent's eye. The doctor stops the fight. What is the result?</t>
  </si>
  <si>
    <t>A) It is a draw, B) The injured fighter wins, C) The fighter who landed the punch wins by TKO, D) The fight is a no contest</t>
  </si>
  <si>
    <t>If a legal strike causes an injury (like a severe swelling that closes the eye) that makes it unsafe to continue, the fight is stopped.</t>
  </si>
  <si>
    <t>What is the purpose of the five levels of physical training in Tarung Derajat?</t>
  </si>
  <si>
    <t>A) To teach five different fighting styles, B) To progressively develop a student's power, speed, precision, courage, and stamina, C) To correspond to the five rounds of a match, D) To teach weapon skills</t>
  </si>
  <si>
    <t>B) To progressively develop a student's power, speed, precision, courage, and stamina</t>
  </si>
  <si>
    <t>The training is structured to build the "five moral nerves" through systematic physical development.</t>
  </si>
  <si>
    <t>A fighter is knocked down and their head hits the canvas hard. They get up quickly. What should the referee do?</t>
  </si>
  <si>
    <t>A) Let the fight continue immediately, B) Give the fighter a mandatory eight-count and assess their condition carefully, C) Stop the fight immediately, D) Ask the coach if their fighter is okay</t>
  </si>
  <si>
    <t>B) Give the fighter a mandatory eight-count and assess their condition carefully</t>
  </si>
  <si>
    <t>Even if a fighter gets up quickly, a knockdown, especially one involving head trauma, requires a mandatory count to assess their fitness to continue.</t>
  </si>
  <si>
    <t>Why is it strategically unwise for a fighter to chase an opponent around the ring?</t>
  </si>
  <si>
    <t>A) It is a sign of weakness, B) It uses a lot of energy and can lead to the chaser walking into a counter-strike, C) It is a foul for being too aggressive, D) It does not score points</t>
  </si>
  <si>
    <t>B) It uses a lot of energy and can lead to the chaser walking into a counter-strike</t>
  </si>
  <si>
    <t>A smart fighter cuts off the ring with angles rather than following their opponent, which is inefficient and dangerous.</t>
  </si>
  <si>
    <t>A fighter is warned for putting their thumb on the opponent's eye during a clinch. Why is this a serious foul?</t>
  </si>
  <si>
    <t>A) It is disrespectful, B) It can cause permanent eye damage, C) It is not a real fighting technique, D) It is distracting</t>
  </si>
  <si>
    <t>B) It can cause permanent eye damage</t>
  </si>
  <si>
    <t>An "eye gouge," intentional or not, is one of the most dangerous fouls in combat sports.</t>
  </si>
  <si>
    <t>A fighter is known for their "in-fighting" style. What does this mean?</t>
  </si>
  <si>
    <t>A) They prefer to fight at a long distance, B) They excel at close-range combat, using short punches, elbows, and clinching, C) They argue with their opponents, D) They are a defensive fighter</t>
  </si>
  <si>
    <t>B) They excel at close-range combat, using short punches, elbows, and clinching</t>
  </si>
  <si>
    <t>An in-fighter's strategy is to get close to their opponent, neutralizing their long-range attacks and working from the inside.</t>
  </si>
  <si>
    <t>A fighter wins a match. A post-fight drug test comes back positive for a banned substance. What happens?</t>
  </si>
  <si>
    <t>A) The win is overturned and becomes a "No Contest", B) The win stands, but the fighter is fined, C) The opponent is declared the winner, D) The fighter is given a warning</t>
  </si>
  <si>
    <t>A) The win is overturned and becomes a "No Contest"</t>
  </si>
  <si>
    <t>A positive drug test results in the disqualification of the offending athlete, and the result of the bout is typically changed to a No Contest.</t>
  </si>
  <si>
    <t>A fighter is wearing gloves that appear old and worn, with the padding compressed. What should the pre-fight inspector do?</t>
  </si>
  <si>
    <t>A) Allow them, as they are broken in, B) Reject the gloves as they are unsafe and no longer offer adequate protection, C) Ask the opponent if they are okay with it, D) Let the referee decide</t>
  </si>
  <si>
    <t>B) Reject the gloves as they are unsafe and no longer offer adequate protection</t>
  </si>
  <si>
    <t>Gloves must meet specific standards of padding and condition to be approved for competition.</t>
  </si>
  <si>
    <t>A fighter is knocked down at the very end of a round. They get up at the count of 5, but the bell rings. What happens at the start of the next round?</t>
  </si>
  <si>
    <t>A) The fight resumes as normal, B) The fighter who was knocked down loses a point, C) The referee gives another 10-count, D) The fight is stopped</t>
  </si>
  <si>
    <t>A) The fight resumes as normal</t>
  </si>
  <si>
    <t>The fighter beat the count, and the round ended. The fight continues in the next round, but the knockdown will be scored 10-8 against them for that round.</t>
  </si>
  <si>
    <t>What is the main purpose of a "body shot"?</t>
  </si>
  <si>
    <t>A) To score a knockout, B) To drain an opponent's stamina and slow them down, C) It is easier to land than a head shot, D) It looks impressive</t>
  </si>
  <si>
    <t>B) To drain an opponent's stamina and slow them down</t>
  </si>
  <si>
    <t>Consistent attacks to the body are a key strategy for breaking down an opponent's endurance over the course of a fight.</t>
  </si>
  <si>
    <t>A fighter is warned for "hitting and holding". What does this mean?</t>
  </si>
  <si>
    <t>A) They held onto the opponent with one hand while hitting with the other, B) They hit the opponent and then held a clinch for too long, C) They held onto the ropes while hitting, D) They hit the opponent after the bell</t>
  </si>
  <si>
    <t>A) They held onto the opponent with one hand while hitting with the other</t>
  </si>
  <si>
    <t>This is a foul because it prevents the opponent from being able to defend themselves properly.</t>
  </si>
  <si>
    <t>The founder, Achmad Drajat, survived a famously brutal street fight that inspired him. What was the outcome?</t>
  </si>
  <si>
    <t>A) He lost the fight, B) He defeated multiple assailants, C) The fight was a draw, D) He ran away</t>
  </si>
  <si>
    <t>B) He defeated multiple assailants</t>
  </si>
  <si>
    <t>According to the art's history, his victory against multiple attackers led him to codify his practical techniques into the system of Tarung Derajat.</t>
  </si>
  <si>
    <t>A fighter successfully catches a kick and trips the opponent to the ground. How many points is this sequence worth?</t>
  </si>
  <si>
    <t>C) 4 points</t>
  </si>
  <si>
    <t>The successful catch is worth 1 point, and the subsequent takedown (a trip) is worth 3 points, for a total of 4.</t>
  </si>
  <si>
    <t>A fighter is warned for pushing their opponent's face with an open glove. Why is this a foul?</t>
  </si>
  <si>
    <t>A) It is not a foul, B) It can be used to obstruct vision or cause an eye injury with the thumb, C) It is disrespectful, D) It is not a real punch</t>
  </si>
  <si>
    <t>B) It can be used to obstruct vision or cause an eye injury with the thumb</t>
  </si>
  <si>
    <t>Pushing the face or head with an open hand is an illegal move due to the high risk of eye pokes.</t>
  </si>
  <si>
    <t>What is the main difference between a TKO (Technical Knockout) and a KO (Knockout)?</t>
  </si>
  <si>
    <t>A) There is no difference, B) A KO is when a fighter is counted out; a TKO is when the referee stops the fight for other reasons, C) A TKO is more decisive, D) A KO is when the coach stops the fight</t>
  </si>
  <si>
    <t>B) A KO is when a fighter is counted out; a TKO is when the referee stops the fight for other reasons</t>
  </si>
  <si>
    <t>A TKO occurs due to referee, doctor, or corner stoppage, or if a fighter is unable to continue after a knockdown. A KO is specifically when a fighter does not beat the 10-count.</t>
  </si>
  <si>
    <t>A fighter is known for having very good "head movement". What does this skill involve?</t>
  </si>
  <si>
    <t>A) The ability to take a punch to the head, B) Using nods and gestures, C) The ability to move the head defensively to make it a difficult target, D) Having a strong neck</t>
  </si>
  <si>
    <t>C) The ability to move the head defensively to make it a difficult target</t>
  </si>
  <si>
    <t>Good head movement (slipping, rolling, bobbing) is a key defensive skill for avoiding punches.</t>
  </si>
  <si>
    <t>A fighter wins a round 10-7 on a judge's scorecard. How is this score possible?</t>
  </si>
  <si>
    <t>A) It is not possible, B) The winning fighter scored two knockdowns in the round, C) The winning fighter scored one knockdown, and the opponent was penalized a point, D) Both B and C are possible</t>
  </si>
  <si>
    <t>D) Both B and C are possible</t>
  </si>
  <si>
    <t>A round starts 10-9. A knockdown makes it 10-8. A second knockdown or a point deduction would make the score 10-7.</t>
  </si>
  <si>
    <t>A fighter is warned for not wearing a mouthpiece. They put it in, but it falls out again. What happens next?</t>
  </si>
  <si>
    <t>A) The fight continues without it, B) The referee can deduct a point for delay of game, C) The fighter is disqualified, D) The opponent gets a point</t>
  </si>
  <si>
    <t>B) The referee can deduct a point for delay of game</t>
  </si>
  <si>
    <t>A fighter is responsible for their equipment. If the mouthpiece repeatedly falls out, it can be seen as a delay tactic or an equipment failure, and a point can be deducted.</t>
  </si>
  <si>
    <t>A fighter is hit with a body shot and turns their back on the opponent. What should the referee do?</t>
  </si>
  <si>
    <t>A) Stop the fight immediately (TKO), B) Let the fight continue, C) Give the fighter a count, D) Warn the fighter for turning their back</t>
  </si>
  <si>
    <t>A) Stop the fight immediately (TKO)</t>
  </si>
  <si>
    <t>Turning your back is the ultimate sign of being unable to defend yourself. A referee will stop the contest to protect the fighter.</t>
  </si>
  <si>
    <t>What is the purpose of the moral tenet "Keberanian dan Keuletan" (Courage and Tenacity)?</t>
  </si>
  <si>
    <t>A) To encourage fighters to be reckless, B) To teach a practitioner to face challenges without giving up, C) To win at all costs, D) To be aggressive</t>
  </si>
  <si>
    <t>B) To teach a practitioner to face challenges without giving up</t>
  </si>
  <si>
    <t>This principle is about developing the inner strength and perseverance to overcome adversity, both in a fight and in life.</t>
  </si>
  <si>
    <t>A fighter attempts a takedown, but the opponent holds onto the ropes to stay up. What should the referee do?</t>
  </si>
  <si>
    <t>A) Nothing, it is a smart defense, B) Award the takedown to the first fighter, C) Stop the action and issue a warning or point deduction for holding the ropes, D) Let the fight continue</t>
  </si>
  <si>
    <t>C) Stop the action and issue a warning or point deduction for holding the ropes</t>
  </si>
  <si>
    <t>Using the ropes for leverage is a foul. The referee will separate the fighters and penalize the infraction.</t>
  </si>
  <si>
    <t>What is the main reason Tarung Derajat was created?</t>
  </si>
  <si>
    <t>A) As a sport for the Olympic Games, B) As a traditional dance, C) As a practical system of self-defense for the street, D) As a form of meditation</t>
  </si>
  <si>
    <t>C) As a practical system of self-defense for the street</t>
  </si>
  <si>
    <t>The art was born out of Achmad Drajat's need for an effective fighting system to survive violent street encounters.</t>
  </si>
  <si>
    <t>A fighter lands a hook that hits the opponent's glove in front of their face. Is this a scoring blow?</t>
  </si>
  <si>
    <t>A) Yes, it is a head strike, B) No, a strike that lands on the glove is considered a block, C) A partial point is awarded, D) The point is replayed</t>
  </si>
  <si>
    <t>B) No, a strike that lands on the glove is considered a block</t>
  </si>
  <si>
    <t>To score, a punch must land cleanly on the target, not on the opponent's gloves or arms that are part of their guard.</t>
  </si>
  <si>
    <t>A fighter is knocked down. Their coach gets on the ring apron and yells at the referee. What can the referee do?</t>
  </si>
  <si>
    <t>A) Nothing, the coach can be there, B) Eject the coach from the corner, C) Stop the count, D) Add seconds to the rest period</t>
  </si>
  <si>
    <t>B) Eject the coach from the corner</t>
  </si>
  <si>
    <t>A coach is not allowed to enter the ring or step on the apron during a live round. This can result in a warning or ejection.</t>
  </si>
  <si>
    <t>What is the main benefit of a fighter having a strong "jab"?</t>
  </si>
  <si>
    <t>A) It is the most powerful punch, B) It can control the distance of the fight and set up other strikes, C) It scores the most points, D) It is easy to learn</t>
  </si>
  <si>
    <t>B) It can control the distance of the fight and set up other strikes</t>
  </si>
  <si>
    <t>The jab is a strategic weapon used to disrupt the opponent, measure range, and create openings for more powerful attacks.</t>
  </si>
  <si>
    <t>Two fighters clash, and both fall to the ground. What is the referee's call?</t>
  </si>
  <si>
    <t>A) A double knockdown, the count begins for both, B) No knockdown is scored, and the referee orders them to get up, C) The fighter who fell first loses the point, D) The round is a draw</t>
  </si>
  <si>
    <t>B) No knockdown is scored, and the referee orders them to get up</t>
  </si>
  <si>
    <t>A knockdown can only be scored by a legal strike. If both fighters fall from a tangle or clash, it is considered a slip.</t>
  </si>
  <si>
    <t>A fighter wins a match, but their post-fight conduct is deemed disrespectful. What can the governing body do?</t>
  </si>
  <si>
    <t>A) Nothing, the result is final, B) They can fine or suspend the fighter, C) They can reverse the decision, D) They can order a rematch</t>
  </si>
  <si>
    <t>B) They can fine or suspend the fighter</t>
  </si>
  <si>
    <t>A fighter's conduct is under scrutiny even after the match ends. The athletic commission can issue fines or suspensions for post-fight misconduct.</t>
  </si>
  <si>
    <t>A fighter is having trouble with an opponent who keeps clinching. What is a good counter-strategy?</t>
  </si>
  <si>
    <t>A) To clinch back, B) To throw uppercuts and hooks as the opponent tries to come inside, C) To run away, D) To complain to the referee</t>
  </si>
  <si>
    <t>B) To throw uppercuts and hooks as the opponent tries to come inside</t>
  </si>
  <si>
    <t>Short, powerful punches like uppercuts are very effective at punishing an opponent who is trying to close the distance to initiate a clinch.</t>
  </si>
  <si>
    <t>What is the main physical attribute developed by hitting a heavy bag?</t>
  </si>
  <si>
    <t>A) Speed, B) Accuracy, C) Power and endurance, D) Footwork</t>
  </si>
  <si>
    <t>C) Power and endurance</t>
  </si>
  <si>
    <t>The heavy bag is the primary tool for developing punching power and the stamina to throw powerful shots throughout a fight.</t>
  </si>
  <si>
    <t>A fighter is knocked down. They get up, but the referee waves off the fight. The fighter protests that they are okay. Why did the ref stop it?</t>
  </si>
  <si>
    <t>A) The referee is biased, B) The fighter's safety is the referee's top priority, and they judged them unfit to continue, C) The coach told the ref to stop it, D) The fighter took too long to get up</t>
  </si>
  <si>
    <t>B) The fighter's safety is the referee's top priority, and they judged them unfit to continue</t>
  </si>
  <si>
    <t>The referee has the sole responsibility to protect the fighters, even from their own courage.</t>
  </si>
  <si>
    <t>A fighter wins a decision that the crowd disagrees with, and they begin to boo. What should the winning fighter do?</t>
  </si>
  <si>
    <t>A) Argue with the crowd, B) Show sportsmanship and respect to their opponent and the officials, C) Leave the ring immediately, D) Demand a rematch</t>
  </si>
  <si>
    <t>B) Show sportsmanship and respect to their opponent and the officials</t>
  </si>
  <si>
    <t>A true martial artist is expected to remain respectful and disciplined, regardless of the crowd's reaction.</t>
  </si>
  <si>
    <t>What is the most fundamental lesson of the Tarung Derajat philosophy?</t>
  </si>
  <si>
    <t>A) How to win a fight, B) How to build muscle, C) That the art is a tool for self-improvement and developing a noble character, D) How to become a professional fighter</t>
  </si>
  <si>
    <t>C) That the art is a tool for self-improvement and developing a noble character</t>
  </si>
  <si>
    <t>The ultimate goal of the training is to use physical and mental challenges to become a better, more resilient, and honorable person.</t>
  </si>
  <si>
    <t>During a match, a fighter lands a kick to the opponent's thigh. The opponent stumbles. Is this a scoring move?</t>
  </si>
  <si>
    <t>A) Yes, a kick to the thigh is worth 2 points, B) No, kicks to the legs do not score points, C) It is a foul for a low kick, D) A warning is issued</t>
  </si>
  <si>
    <t>B) No, kicks to the legs do not score points</t>
  </si>
  <si>
    <t>In sport Tarung Derajat, the legal scoring areas for kicks are the torso and the head. Leg kicks are not scored.</t>
  </si>
  <si>
    <t>A fighter is given a point deduction for repeatedly losing their mouthpiece. Why is this penalized?</t>
  </si>
  <si>
    <t>A) It shows the fighter is not well-prepared, B) It is considered a way to illegally stall the fight and get extra rest, C) It is unhygienic, D) The mouthpiece is expensive</t>
  </si>
  <si>
    <t>B) It is considered a way to illegally stall the fight and get extra rest</t>
  </si>
  <si>
    <t>If it happens repeatedly, the referee can rule it a delay tactic and penalize the fighter.</t>
  </si>
  <si>
    <t>A fighter is knocked down. Their corner enters the ring to tend to them before the referee has finished the count. What is the result?</t>
  </si>
  <si>
    <t>A) The fighter is given extra recovery time, B) The fighter is disqualified, C) The corner is ejected, D) The round is replayed</t>
  </si>
  <si>
    <t>B) The fighter is disqualified</t>
  </si>
  <si>
    <t>A corner cannot enter the ring during a live round or a count. Doing so results in the immediate disqualification of their fighter.</t>
  </si>
  <si>
    <t>A fighter lands a spinning back fist that hits the opponent's glove. How is this scored?</t>
  </si>
  <si>
    <t>A) 2 points for a head strike, B) 1 point for a body strike, C) No points are scored as it was blocked by the glove, D) A partial point is awarded</t>
  </si>
  <si>
    <t>C) No points are scored as it was blocked by the glove</t>
  </si>
  <si>
    <t>A strike must land cleanly on a legal target area. A strike that hits the opponent's guard (their gloves) is a blocked punch.</t>
  </si>
  <si>
    <t>A fighter is bleeding from the lip. The referee stops the fight and takes them to the doctor, who says the cut is minor. What happens next?</t>
  </si>
  <si>
    <t>A) The fight is stopped, B) The fighter is given petroleum jelly for the cut and the fight resumes, C) The fighter must forfeit, D) The round is scored 10-8</t>
  </si>
  <si>
    <t>B) The fighter is given petroleum jelly for the cut and the fight resumes</t>
  </si>
  <si>
    <t>If the doctor deems the injury to be minor and not dangerous, it will be treated, and the fight will be allowed to continue.</t>
  </si>
  <si>
    <t>A fighter from an orthodox stance is facing a southpaw. What is the most important aspect of their footwork?</t>
  </si>
  <si>
    <t>A) To keep their lead foot outside the opponent's lead foot, B) To keep their lead foot inside the opponent's lead foot, C) To stand still, D) To jump frequently</t>
  </si>
  <si>
    <t>A) To keep their lead foot outside the opponent's lead foot</t>
  </si>
  <si>
    <t>In an orthodox vs. southpaw matchup, controlling the "outside foot" position gives a fighter a dominant angle for their power hand.</t>
  </si>
  <si>
    <t>A fighter is warned for pushing the opponent's head down in a clinch. Is this a valid warning?</t>
  </si>
  <si>
    <t>A) No, this is a key part of clinch control, B) Yes, controlling or manipulating the opponent's head is a foul, C) Only if it leads to an injury, D) Only if the fighter is taller</t>
  </si>
  <si>
    <t>B) Yes, controlling or manipulating the opponent's head is a foul</t>
  </si>
  <si>
    <t>For safety, fighters are not allowed to grab, pull, or push the head of their opponent.</t>
  </si>
  <si>
    <t>A fighter wins a match by "majority decision". What does this mean?</t>
  </si>
  <si>
    <t>A) All judges agreed on the winner, B) Two judges scored it for the winner, and one scored it a draw, C) The referee made the final decision, D) The crowd voted for the winner</t>
  </si>
  <si>
    <t>B) Two judges scored it for the winner, and one scored it a draw</t>
  </si>
  <si>
    <t>This indicates that most, but not all, of the judges agreed on the winner.</t>
  </si>
  <si>
    <t>A fighter attempts a takedown, but the opponent holds the ropes to prevent it. What is the correct action from the referee?</t>
  </si>
  <si>
    <t>A) Allow the play to continue, B) Award the takedown to the attacker, C) Stop the fight and issue a warning or point deduction for holding the ropes, D) Coach the defender on how to escape</t>
  </si>
  <si>
    <t>C) Stop the fight and issue a warning or point deduction for holding the ropes</t>
  </si>
  <si>
    <t>Using the ropes for leverage to defend a takedown is an illegal move and will be penalized.</t>
  </si>
  <si>
    <t>What is the main purpose of "road work" (long-distance running) for a fighter?</t>
  </si>
  <si>
    <t>A) To build punching power, B) To build cardiovascular endurance for a long fight, C) To practice footwork, D) To lose weight quickly</t>
  </si>
  <si>
    <t>B) To build cardiovascular endurance for a long fight</t>
  </si>
  <si>
    <t>Road work is fundamental for developing the stamina needed to maintain a high pace for all three rounds.</t>
  </si>
  <si>
    <t>A fighter is knocked down at the end of the round. The bell rings while the referee is at the count of 4. What happens?</t>
  </si>
  <si>
    <t>A) The fighter is "saved by the bell", B) The count continues after the bell, C) The round is over and the knockdown is scored, D) The fighter is disqualified</t>
  </si>
  <si>
    <t>C) The round is over and the knockdown is scored</t>
  </si>
  <si>
    <t>The round officially ends. The fighter does not need to beat the count, but the knockdown will be scored as 10-8 against them for that round.</t>
  </si>
  <si>
    <t>A fighter lands a punch that causes a large swelling to close the opponent's eye. The doctor stops the fight. This is a win by what?</t>
  </si>
  <si>
    <t>A) Knockout (KO), B) Technical Knockout (TKO), C) Decision, D) Disqualification</t>
  </si>
  <si>
    <t>B) Technical Knockout (TKO)</t>
  </si>
  <si>
    <t>If a legal strike causes an injury (like a severe swelling) that prevents a fighter from being able to see or defend themselves, the doctor will stop the contest.</t>
  </si>
  <si>
    <t>Why is it important for a fighter to pivot their feet when throwing hooks or kicks?</t>
  </si>
  <si>
    <t>A) It looks more professional, B) It allows them to generate power from the rotation of their hips and core, C) It is a specific rule, D) It helps them maintain balance after the strike</t>
  </si>
  <si>
    <t>B) It allows them to generate power from the rotation of their hips and core</t>
  </si>
  <si>
    <t>True power comes from the ground up, through the rotation of the body, which starts with pivoting the feet.</t>
  </si>
  <si>
    <t>A fighter wins a round 10-8. What is the most likely reason?</t>
  </si>
  <si>
    <t>A) They were simply more aggressive, B) They scored a knockdown in the round, C) The opponent was penalized a point, D) Both B and C are likely</t>
  </si>
  <si>
    <t>D) Both B and C are likely</t>
  </si>
  <si>
    <t>A standard winning round is 10-9. A 10-8 score is given if the winner also scores a knockdown, OR if the loser is penalized a point for a foul.</t>
  </si>
  <si>
    <t>What is the name of the white sash worn by a beginner in Tarung Derajat?</t>
  </si>
  <si>
    <t>A) Kurata I, B) Sabuk Putih, C) Ksatria, D) Boxer</t>
  </si>
  <si>
    <t>A) Kurata I</t>
  </si>
  <si>
    <t>Kurata I is the first level in the grading system, and its practitioners wear a white sash.</t>
  </si>
  <si>
    <t>A fighter is known for their excellent "in-fighting". What does this mean?</t>
  </si>
  <si>
    <t>A) They prefer to fight at a long distance, B) They excel at close-range combat, using hooks, uppercuts, and knees, C) They are an internal, spiritual fighter, D) They have a good defensive guard</t>
  </si>
  <si>
    <t>B) They excel at close-range combat, using hooks, uppercuts, and knees</t>
  </si>
  <si>
    <t>An "in-fighter" is a boxer who likes to get close to their opponent and work on the inside.</t>
  </si>
  <si>
    <t>A fighter is cut by an accidental headbutt, and the doctor stops the fight in the final round. How is a winner decided?</t>
  </si>
  <si>
    <t>A) The fight is a "no contest", B) The fighter who was not cut wins, C) The winner is decided by going to the judges' scorecards up to that point, D) The round is replayed</t>
  </si>
  <si>
    <t>C) The winner is decided by going to the judges' scorecards up to that point</t>
  </si>
  <si>
    <t>If a fight is stopped by an accidental foul after a majority of the rounds are complete, the result is determined by the scores (a "technical decision").</t>
  </si>
  <si>
    <t>Why is it important for a fighter to keep their chin tucked?</t>
  </si>
  <si>
    <t>A) It helps with breathing, B) It protects the jaw from a direct impact, reducing the chance of a knockout, C) It is a sign of respect, D) It improves overall balance</t>
  </si>
  <si>
    <t>B) It protects the jaw from a direct impact, reducing the chance of a knockout</t>
  </si>
  <si>
    <t>An exposed chin is a prime target. Tucking it makes it much harder for an opponent to land a clean, concussive blow.</t>
  </si>
  <si>
    <t>A fighter is hit with a body shot and turns their back on the opponent. What is the correct action from the referee?</t>
  </si>
  <si>
    <t>A) Stop the fight immediately (TKO), B) Let the fight continue, C) Give the fighter a standing 8-count, D) Warn the fighter for turning their back</t>
  </si>
  <si>
    <t>Turning your back is the ultimate sign of being unable or unwilling to defend yourself. A referee will always stop the contest to protect the fighter.</t>
  </si>
  <si>
    <t>What is the main purpose of "shadowboxing" in a fighter's training?</t>
  </si>
  <si>
    <t>A) To build muscle mass, B) To improve technique, rhythm, and footwork without a partner, C) To impress the coach, D) To warm up the arms and legs</t>
  </si>
  <si>
    <t>B) To improve technique, rhythm, and footwork without a partner</t>
  </si>
  <si>
    <t>Shadowboxing is a fundamental drill for perfecting form and movement, and for visualizing a fight.</t>
  </si>
  <si>
    <t>A fighter is hit with a jab that lands on their forehead. Is this a scoring strike?</t>
  </si>
  <si>
    <t>A) Yes, a punch to the head scores 2 points, B) No, the forehead is not a legal target, C) Only if it causes a cut, D) Yes, but it only scores 1 point</t>
  </si>
  <si>
    <t>A) Yes, a punch to the head scores 2 points</t>
  </si>
  <si>
    <t>The head is a legal target area, and a clean punch that lands there is awarded 2 points.</t>
  </si>
  <si>
    <t>A fighter is knocked down. Their coach gets onto the ring apron and yells at the referee. What can the referee do?</t>
  </si>
  <si>
    <t>A) Nothing, the coach is allowed to be there, B) Eject the coach from the corner and disqualify the fighter, C) Stop the count and address the coach, D) Add seconds to the rest period</t>
  </si>
  <si>
    <t>B) Eject the coach from the corner and disqualify the fighter</t>
  </si>
  <si>
    <t>A coach is not allowed to enter the ring or step on the apron during a round. This serious violation can lead to the disqualification of their fighter.</t>
  </si>
  <si>
    <t>What is the main advantage of having a longer reach than your opponent?</t>
  </si>
  <si>
    <t>A) You can hit them while staying out of the range of their punches, B) Your punches are naturally more powerful, C) You are a smaller target, D) You have better defense</t>
  </si>
  <si>
    <t>A) You can hit them while staying out of the range of their punches</t>
  </si>
  <si>
    <t>A reach advantage allows a fighter to control the distance of the fight and land strikes from a safer range.</t>
  </si>
  <si>
    <t>A fighter wins a match, but their post-fight celebration is deemed excessively disrespectful. What can the athletic commission do?</t>
  </si>
  <si>
    <t>A) Nothing, the result is final, B) They can fine or suspend the fighter, C) They can reverse the decision, D) They can order an immediate rematch</t>
  </si>
  <si>
    <t>A fighter's conduct is under scrutiny even after the match. The commission can issue sanctions for post-fight misconduct.</t>
  </si>
  <si>
    <t>A fighter is having success with low kicks. What is a common way for their opponent to counter this?</t>
  </si>
  <si>
    <t>A) To block the kick with their own leg, B) To try to catch the kick, C) To respond with a straight punch down the middle as the kick is thrown, D) All of the above</t>
  </si>
  <si>
    <t>There are multiple ways to counter a low kick, including checking it (blocking), catching it, or striking while the opponent is on one leg.</t>
  </si>
  <si>
    <t>A fighter is knocked down. The referee's count reaches ten at the exact same moment the bell rings to end the match. What is the result?</t>
  </si>
  <si>
    <t>A) The fighter is saved by the bell, and the fight goes to a decision, B) The fighter is counted out and loses by Knockout (KO), C) The final round is replayed, D) The fighter who was winning on points wins</t>
  </si>
  <si>
    <t>B) The fighter is counted out and loses by Knockout (KO)</t>
  </si>
  <si>
    <t>The bell cannot save a fighter from a ten-count. If the count is completed, the fight is over, regardless of the bell.</t>
  </si>
  <si>
    <t>What is the main characteristic of the moral principle of "Kemandirian" (Self-sufficiency)?</t>
  </si>
  <si>
    <t>A) A fighter must train alone, B) It teaches a practitioner to be independent and not be a burden to others, C) It refers to financial independence, D) It is a defensive strategy</t>
  </si>
  <si>
    <t>B) It teaches a practitioner to be independent and not be a burden to others</t>
  </si>
  <si>
    <t>This is one of the Five Moral Nerves, emphasizing personal responsibility and the ability to stand on one's own feet in life.</t>
  </si>
  <si>
    <t>What is a "liver shot" considered one of the most debilitating body punches?</t>
  </si>
  <si>
    <t>A) It is close to the heart, B) A heavy blow to the liver can cause a severe neurological reaction and intense pain, C) It can break the ribs easily, D) It is easy to land</t>
  </si>
  <si>
    <t>B) A heavy blow to the liver can cause a severe neurological reaction and intense pain</t>
  </si>
  <si>
    <t>A clean shot to the liver, located on the right side of the body under the ribs, can shut down an opponent's body.</t>
  </si>
  <si>
    <t>A fighter wins by "majority decision." What does this mean?</t>
  </si>
  <si>
    <t>A) All the judges agreed, B) Two judges scored it for the winner, while one judge scored it as a draw, C) The referee made the final decision, D) The crowd's vote decided the winner</t>
  </si>
  <si>
    <t>B) Two judges scored it for the winner, while one judge scored it as a draw</t>
  </si>
  <si>
    <t>This indicates that a majority, but not all, of the judges agreed on the winner, with one judge seeing the contest as even.</t>
  </si>
  <si>
    <t>What is the purpose of the head movement known as "slipping" a punch?</t>
  </si>
  <si>
    <t>A) To deliberately fall to the ground, B) To move the head slightly to one side, causing a punch to miss, C) To block a punch with the head, D) To signal a foul</t>
  </si>
  <si>
    <t>B) To move the head slightly to one side, causing a punch to miss</t>
  </si>
  <si>
    <t>Slipping is a subtle defensive technique that makes the opponent miss their target, often setting up an opportunity for a counter-punch.</t>
  </si>
  <si>
    <t>A fighter is warned for using their elbows. In which situation would this be a correct call?</t>
  </si>
  <si>
    <t>A) During a clinch, B) It is never a correct call, as elbows are legal, C) If the elbow strike was a downward "12-to-6" motion, D) When the opponent is against the ropes</t>
  </si>
  <si>
    <t>C) If the elbow strike was a downward "12-to-6" motion</t>
  </si>
  <si>
    <t>While many elbow strikes are legal, a straight downward strike is often banned in combat sports due to the high risk of causing severe cuts.</t>
  </si>
  <si>
    <t>What is the primary purpose of touching gloves before the final round?</t>
  </si>
  <si>
    <t>A) It is a secret signal to a coach, B) It is a gesture of mutual respect acknowledging the hard fight, C) It is a required rule, D) To check the opponent's gloves for tampering</t>
  </si>
  <si>
    <t>B) It is a gesture of mutual respect acknowledging the hard fight</t>
  </si>
  <si>
    <t>It is a traditional sign of sportsmanship, showing respect for the opponent before the final round of combat.</t>
  </si>
  <si>
    <t>A fighter is hit, and their corner throws in the towel to stop the fight. What is the official result?</t>
  </si>
  <si>
    <t>A) No Contest, B) Win by TKO (corner stoppage), C) Win by disqualification, D) Win by forfeit</t>
  </si>
  <si>
    <t>B) Win by TKO (corner stoppage)</t>
  </si>
  <si>
    <t>A corner stopping the fight results in a Technical Knockout victory for the opponent.</t>
  </si>
  <si>
    <t>A fighter is struggling to land hits on a very agile opponent. What is a good strategy?</t>
  </si>
  <si>
    <t>A) Throw wilder, more powerful punches, B) Aim for the opponent's body to slow them down, C) Complain to the referee, D) Wait for the opponent to get tired</t>
  </si>
  <si>
    <t>B) Aim for the opponent's body to slow them down</t>
  </si>
  <si>
    <t>A moving target is harder to hit in the head. Attacking the larger, less mobile target of the body is a classic strategy to reduce an opponent's agility.</t>
  </si>
  <si>
    <t>What is the highest rank a practitioner can achieve in the Kurata system, signified by a red sash?</t>
  </si>
  <si>
    <t>A) Kurata V, B) Kurata VI, C) Kurata VII, D) Grandmaster</t>
  </si>
  <si>
    <t>C) Kurata VII</t>
  </si>
  <si>
    <t>Kurata VII is the highest technical grade for a practitioner, with higher levels often being honorary for masters.</t>
  </si>
  <si>
    <t>A fighter is knocked down and the referee begins a count. The fighter's coach enters the ring. What is the immediate result?</t>
  </si>
  <si>
    <t>A) The coach is ejected, B) The fighter is given extra recovery time, C) The fighter is disqualified, D) The round is replayed</t>
  </si>
  <si>
    <t>C) The fighter is disqualified</t>
  </si>
  <si>
    <t>A coach cannot enter the ring during a live round or count. This action results in the immediate disqualification of their fighter.</t>
  </si>
  <si>
    <t>A fighter lands a hook that hits the opponent's glove directly in front of their face. Is this a scoring strike?</t>
  </si>
  <si>
    <t>A) Yes, it is a head strike, B) No, a strike that is blocked by the glove does not score, C) A partial point is awarded, D) The point is replayed</t>
  </si>
  <si>
    <t>B) No, a strike that is blocked by the glove does not score</t>
  </si>
  <si>
    <t>To score, a punch must land cleanly on the target area, not on the opponent's defensive guard.</t>
  </si>
  <si>
    <t>A fighter is warned for "hitting and holding." What does this mean?</t>
  </si>
  <si>
    <t>A) They held the opponent with one hand and hit with the other, B) They hit the opponent and then held a clinch too long, C) They held the ropes while hitting, D) They hit after the bell</t>
  </si>
  <si>
    <t>A) They held the opponent with one hand and hit with the other</t>
  </si>
  <si>
    <t>This is a foul because it unfairly immobilizes the opponent, preventing them from defending themselves properly.</t>
  </si>
  <si>
    <t>A fighter from a tall, long-limbed build is often referred to as an "out-fighter." What does this mean?</t>
  </si>
  <si>
    <t>A) They fight outside the ring, B) They prefer to fight at a long range using jabs and straight kicks, C) They are often disqualified, D) They are aggressive</t>
  </si>
  <si>
    <t>B) They prefer to fight at a long range using jabs and straight kicks</t>
  </si>
  <si>
    <t>An out-fighter uses their reach advantage to control the distance and fight from the outside.</t>
  </si>
  <si>
    <t>The referee determines that a cut was caused by an intentional headbutt. What is the ruling?</t>
  </si>
  <si>
    <t>A) The fight continues, B) The offending fighter is immediately disqualified, C) The injured fighter loses, D) The point is replayed</t>
  </si>
  <si>
    <t>B) The offending fighter is immediately disqualified</t>
  </si>
  <si>
    <t>An intentional foul that causes an injury is the most serious type of foul and results in an immediate disqualification.</t>
  </si>
  <si>
    <t>What is the main tactical disadvantage of having a weak jab?</t>
  </si>
  <si>
    <t>A) You cannot score knockouts, B) It is difficult to control the distance and set up power shots, C) You will get tired more quickly, D) The referee will deduct points</t>
  </si>
  <si>
    <t>B) It is difficult to control the distance and set up power shots</t>
  </si>
  <si>
    <t>A strong jab is a fundamental tool for controlling the fight. Without it, a fighter struggles to establish their offense.</t>
  </si>
  <si>
    <t>A fighter is knocked down, gets up, and is given a mandatory eight-count. What must they do when the referee asks them to "Box"?</t>
  </si>
  <si>
    <t>A) Touch gloves with the opponent, B) Walk forward to show they are steady, C) Go to their corner, D) Start fighting immediately</t>
  </si>
  <si>
    <t>B) Walk forward to show they are steady</t>
  </si>
  <si>
    <t>The referee will often ask the fighter to walk towards them or to the side to prove they have recovered their balance and are fit to continue.</t>
  </si>
  <si>
    <t>A fighter wins a round 10-9, but the opponent looked much more aggressive. Why would the judges score it this way?</t>
  </si>
  <si>
    <t>A) The judges made a mistake, B) Aggression is not a scoring factor, C) The winning fighter landed the cleaner, more effective strikes, D) The crowd was cheering for the winner</t>
  </si>
  <si>
    <t>C) The winning fighter landed the cleaner, more effective strikes</t>
  </si>
  <si>
    <t>"Effective aggression" is a scoring criterion, but landing clean shots is more important than simply moving forward without effect.</t>
  </si>
  <si>
    <t>A fighter is known for having excellent "ring generalship". What does this skill involve?</t>
  </si>
  <si>
    <t>A) Being the captain of the team, B) Following the rules perfectly, C) The ability to control the pace and positioning of the fight through smart footwork and tactics, D) Being popular with the judges</t>
  </si>
  <si>
    <t>C) The ability to control the pace and positioning of the fight through smart footwork and tactics</t>
  </si>
  <si>
    <t>Ring generalship is the art of controlling the geography of the ring to create advantages.</t>
  </si>
  <si>
    <t>A fighter is warned for using their shoulder to hit an opponent. Is this a foul?</t>
  </si>
  <si>
    <t>A) No, shoulder strikes are legal, B) Yes, it is an illegal strike, C) Only if it hits the head, D) Only if it causes an injury</t>
  </si>
  <si>
    <t>B) Yes, it is an illegal strike</t>
  </si>
  <si>
    <t>Using the shoulder, head, or hip to strike an opponent is typically a foul in regulated combat sports.</t>
  </si>
  <si>
    <t>A fighter is knocked down. Their opponent stands directly over them and taunts them. What will the referee do?</t>
  </si>
  <si>
    <t>A) Start the count, B) Immediately stop the count and penalize or disqualify the standing fighter, C) Let it happen, D) Ask the standing fighter to help their opponent up</t>
  </si>
  <si>
    <t>B) Immediately stop the count and penalize or disqualify the standing fighter</t>
  </si>
  <si>
    <t>A fighter must go to a neutral corner after a knockdown. Refusing to do so and showing unsportsmanlike conduct is a major foul.</t>
  </si>
  <si>
    <t>What is the main purpose of combination drills in training?</t>
  </si>
  <si>
    <t>A) To build muscle memory for fluid, multi-strike attacks, B) To improve single-punch power, C) To practice defense, D) To increase a fighter's weight</t>
  </si>
  <si>
    <t>A) To build muscle memory for fluid, multi-strike attacks</t>
  </si>
  <si>
    <t>Repetitive drilling of combinations allows a fighter to throw them automatically in a fight without having to think about each move.</t>
  </si>
  <si>
    <t>A fighter is hit with a legal strike and quits the fight (verbal submission). What is the official result?</t>
  </si>
  <si>
    <t>A) No Contest, B) Win by TKO (verbal submission), C) Win by disqualification, D) The fighter who quit is fined</t>
  </si>
  <si>
    <t>B) Win by TKO (verbal submission)</t>
  </si>
  <si>
    <t>A fighter verbally surrendering to the referee is a form of stoppage and results in a TKO.</t>
  </si>
  <si>
    <t>A fighter has a "glass chin". What does this mean?</t>
  </si>
  <si>
    <t>A) They have a very strong chin, B) They have a poor ability to take a punch to the jaw without being knocked down or out, C) They are a very defensive fighter, D) They have a transparent mouthguard</t>
  </si>
  <si>
    <t>B) They have a poor ability to take a punch to the jaw without being knocked down or out</t>
  </si>
  <si>
    <t>This is a slang term for a fighter who is not durable and is susceptible to knockouts.</t>
  </si>
  <si>
    <t>A fighter wins a close, controversial decision. What is the most respectful and sportsmanlike thing for them to do in the post-fight interview?</t>
  </si>
  <si>
    <t>A) Brag about their victory, B) Criticize the judges for the close score, C) Praise their opponent's skill and toughness, D) Demand a bigger prize</t>
  </si>
  <si>
    <t>C) Praise their opponent's skill and toughness</t>
  </si>
  <si>
    <t>A core tenet of martial arts is respect. Acknowledging the effort and skill of one's opponent is the mark of a true champion.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</si>
</sst>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shrinkToFit="0" vertical="center" wrapText="0"/>
    </xf>
    <xf borderId="0" fillId="0" fontId="1" numFmtId="0" xfId="0" applyAlignment="1" applyFont="1">
      <alignment shrinkToFit="0" vertical="bottom" wrapText="0"/>
    </xf>
    <xf borderId="0" fillId="0" fontId="1"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Karapan_Sapi-style">
      <tableStyleElement dxfId="1" type="headerRow"/>
      <tableStyleElement dxfId="2" type="firstRowStripe"/>
      <tableStyleElement dxfId="3" type="secondRowStripe"/>
      <tableStyleElement dxfId="4" size="0" type="wholeTable"/>
    </tableStyle>
    <tableStyle count="4" pivot="0" name="Karapan_Sapi-style 2">
      <tableStyleElement dxfId="1" type="headerRow"/>
      <tableStyleElement dxfId="2" type="firstRowStripe"/>
      <tableStyleElement dxfId="3" type="secondRowStripe"/>
      <tableStyleElement dxfId="4" size="0" type="wholeTable"/>
    </tableStyle>
    <tableStyle count="4" pivot="0" name="Peresean-style">
      <tableStyleElement dxfId="1" type="headerRow"/>
      <tableStyleElement dxfId="2" type="firstRowStripe"/>
      <tableStyleElement dxfId="3" type="secondRowStripe"/>
      <tableStyleElement dxfId="4" size="0" type="wholeTable"/>
    </tableStyle>
    <tableStyle count="4" pivot="0" name="Peresean-style 2">
      <tableStyleElement dxfId="1" type="headerRow"/>
      <tableStyleElement dxfId="2" type="firstRowStripe"/>
      <tableStyleElement dxfId="3" type="secondRowStripe"/>
      <tableStyleElement dxfId="4" size="0" type="wholeTable"/>
    </tableStyle>
    <tableStyle count="4" pivot="0" name="Sepak_Takraw-style">
      <tableStyleElement dxfId="1" type="headerRow"/>
      <tableStyleElement dxfId="2" type="firstRowStripe"/>
      <tableStyleElement dxfId="3" type="secondRowStripe"/>
      <tableStyleElement dxfId="4" size="0" type="wholeTable"/>
    </tableStyle>
    <tableStyle count="4" pivot="0" name="Sepak_Takraw-style 2">
      <tableStyleElement dxfId="1" type="headerRow"/>
      <tableStyleElement dxfId="2" type="firstRowStripe"/>
      <tableStyleElement dxfId="3" type="secondRowStripe"/>
      <tableStyleElement dxfId="4" size="0" type="wholeTable"/>
    </tableStyle>
    <tableStyle count="4" pivot="0" name="Pencak_Silat-style">
      <tableStyleElement dxfId="1" type="headerRow"/>
      <tableStyleElement dxfId="2" type="firstRowStripe"/>
      <tableStyleElement dxfId="3" type="secondRowStripe"/>
      <tableStyleElement dxfId="4" size="0" type="wholeTable"/>
    </tableStyle>
    <tableStyle count="4" pivot="0" name="Pencak_Silat-style 2">
      <tableStyleElement dxfId="1" type="headerRow"/>
      <tableStyleElement dxfId="2" type="firstRowStripe"/>
      <tableStyleElement dxfId="3" type="secondRowStripe"/>
      <tableStyleElement dxfId="4" size="0" type="wholeTable"/>
    </tableStyle>
    <tableStyle count="4" pivot="0" name="Tarung_Derajat-style">
      <tableStyleElement dxfId="1" type="headerRow"/>
      <tableStyleElement dxfId="2" type="firstRowStripe"/>
      <tableStyleElement dxfId="3" type="secondRowStripe"/>
      <tableStyleElement dxfId="4" size="0" type="wholeTable"/>
    </tableStyle>
    <tableStyle count="4" pivot="0" name="Tarung_Derajat-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1" displayName="Table3" name="Table3" id="1">
  <tableColumns count="5">
    <tableColumn name="Question No." id="1"/>
    <tableColumn name="Question" id="2"/>
    <tableColumn name="Options" id="3"/>
    <tableColumn name="Answer" id="4"/>
    <tableColumn name="Description" id="5"/>
  </tableColumns>
  <tableStyleInfo name="Karapan_Sapi-style" showColumnStripes="0" showFirstColumn="1" showLastColumn="1" showRowStripes="1"/>
</table>
</file>

<file path=xl/tables/table2.xml><?xml version="1.0" encoding="utf-8"?>
<table xmlns="http://schemas.openxmlformats.org/spreadsheetml/2006/main" ref="G1:K151" displayName="Table4" name="Table4" id="2">
  <tableColumns count="5">
    <tableColumn name="Pertanyaan No." id="1"/>
    <tableColumn name="Pertanyaan" id="2"/>
    <tableColumn name="Pilihan" id="3"/>
    <tableColumn name="Menjawab" id="4"/>
    <tableColumn name="Keterangan" id="5"/>
  </tableColumns>
  <tableStyleInfo name="Karapan_Sapi-style 2" showColumnStripes="0" showFirstColumn="1" showLastColumn="1" showRowStripes="1"/>
</table>
</file>

<file path=xl/tables/table3.xml><?xml version="1.0" encoding="utf-8"?>
<table xmlns="http://schemas.openxmlformats.org/spreadsheetml/2006/main" ref="A1:E191" displayName="Table5" name="Table5" id="3">
  <tableColumns count="5">
    <tableColumn name="Question No." id="1"/>
    <tableColumn name="Question" id="2"/>
    <tableColumn name="Options" id="3"/>
    <tableColumn name="Answer" id="4"/>
    <tableColumn name="Description" id="5"/>
  </tableColumns>
  <tableStyleInfo name="Peresean-style" showColumnStripes="0" showFirstColumn="1" showLastColumn="1" showRowStripes="1"/>
</table>
</file>

<file path=xl/tables/table4.xml><?xml version="1.0" encoding="utf-8"?>
<table xmlns="http://schemas.openxmlformats.org/spreadsheetml/2006/main" ref="G1:K191" displayName="Table6" name="Table6" id="4">
  <tableColumns count="5">
    <tableColumn name="Pertanyaan No." id="1"/>
    <tableColumn name="Pertanyaan" id="2"/>
    <tableColumn name="Pilihan" id="3"/>
    <tableColumn name="Menjawab" id="4"/>
    <tableColumn name="Keterangan" id="5"/>
  </tableColumns>
  <tableStyleInfo name="Peresean-style 2" showColumnStripes="0" showFirstColumn="1" showLastColumn="1" showRowStripes="1"/>
</table>
</file>

<file path=xl/tables/table5.xml><?xml version="1.0" encoding="utf-8"?>
<table xmlns="http://schemas.openxmlformats.org/spreadsheetml/2006/main" ref="A1:E151" displayName="Table7" name="Table7" id="5">
  <tableColumns count="5">
    <tableColumn name="Question No." id="1"/>
    <tableColumn name="Question" id="2"/>
    <tableColumn name="Options" id="3"/>
    <tableColumn name="Answer" id="4"/>
    <tableColumn name="Description" id="5"/>
  </tableColumns>
  <tableStyleInfo name="Sepak_Takraw-style" showColumnStripes="0" showFirstColumn="1" showLastColumn="1" showRowStripes="1"/>
</table>
</file>

<file path=xl/tables/table6.xml><?xml version="1.0" encoding="utf-8"?>
<table xmlns="http://schemas.openxmlformats.org/spreadsheetml/2006/main" ref="G1:K151" displayName="Table8" name="Table8" id="6">
  <tableColumns count="5">
    <tableColumn name="Pertanyaan No." id="1"/>
    <tableColumn name="Pertanyaan" id="2"/>
    <tableColumn name="Pilihan" id="3"/>
    <tableColumn name="Menjawab" id="4"/>
    <tableColumn name="Keterangan" id="5"/>
  </tableColumns>
  <tableStyleInfo name="Sepak_Takraw-style 2" showColumnStripes="0" showFirstColumn="1" showLastColumn="1" showRowStripes="1"/>
</table>
</file>

<file path=xl/tables/table7.xml><?xml version="1.0" encoding="utf-8"?>
<table xmlns="http://schemas.openxmlformats.org/spreadsheetml/2006/main" ref="A1:E151" displayName="Table1" name="Table1" id="7">
  <tableColumns count="5">
    <tableColumn name="Question No." id="1"/>
    <tableColumn name="Question" id="2"/>
    <tableColumn name="Options" id="3"/>
    <tableColumn name="Answer" id="4"/>
    <tableColumn name="Description" id="5"/>
  </tableColumns>
  <tableStyleInfo name="Pencak_Silat-style" showColumnStripes="0" showFirstColumn="1" showLastColumn="1" showRowStripes="1"/>
</table>
</file>

<file path=xl/tables/table8.xml><?xml version="1.0" encoding="utf-8"?>
<table xmlns="http://schemas.openxmlformats.org/spreadsheetml/2006/main" ref="G1:K151" displayName="Table2" name="Table2" id="8">
  <tableColumns count="5">
    <tableColumn name="Pertanyaan No." id="1"/>
    <tableColumn name="Pertanyaan" id="2"/>
    <tableColumn name="Pilihan" id="3"/>
    <tableColumn name="Menjawab" id="4"/>
    <tableColumn name="Keterangan" id="5"/>
  </tableColumns>
  <tableStyleInfo name="Pencak_Silat-style 2" showColumnStripes="0" showFirstColumn="1" showLastColumn="1" showRowStripes="1"/>
</table>
</file>

<file path=xl/tables/table9.xml><?xml version="1.0" encoding="utf-8"?>
<table xmlns="http://schemas.openxmlformats.org/spreadsheetml/2006/main" ref="A1:E151" displayName="Table9" name="Table9" id="9">
  <tableColumns count="5">
    <tableColumn name="Question No." id="1"/>
    <tableColumn name="Question" id="2"/>
    <tableColumn name="Options" id="3"/>
    <tableColumn name="Answer" id="4"/>
    <tableColumn name="Description" id="5"/>
  </tableColumns>
  <tableStyleInfo name="Tarung_Derajat-style" showColumnStripes="0" showFirstColumn="1" showLastColumn="1" showRowStripes="1"/>
</table>
</file>

<file path=xl/tables/table10.xml><?xml version="1.0" encoding="utf-8"?>
<table xmlns="http://schemas.openxmlformats.org/spreadsheetml/2006/main" ref="G1:K151" displayName="Table10" name="Table10" id="10">
  <tableColumns count="5">
    <tableColumn name="Pertanyaan No." id="1"/>
    <tableColumn name="Pertanyaan" id="2"/>
    <tableColumn name="Pilihan" id="3"/>
    <tableColumn name="Menjawab" id="4"/>
    <tableColumn name="Keterangan" id="5"/>
  </tableColumns>
  <tableStyleInfo name="Tarung_Deraja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6.88"/>
    <col customWidth="1" min="8" max="11" width="37.63"/>
  </cols>
  <sheetData>
    <row r="1">
      <c r="A1" s="1" t="s">
        <v>0</v>
      </c>
      <c r="B1" s="1" t="s">
        <v>1</v>
      </c>
      <c r="C1" s="1" t="s">
        <v>2</v>
      </c>
      <c r="D1" s="1" t="s">
        <v>3</v>
      </c>
      <c r="E1" s="1" t="s">
        <v>4</v>
      </c>
      <c r="G1" s="2" t="s">
        <v>5</v>
      </c>
      <c r="H1" s="2" t="s">
        <v>6</v>
      </c>
      <c r="I1" s="2" t="s">
        <v>7</v>
      </c>
      <c r="J1" s="2" t="s">
        <v>8</v>
      </c>
      <c r="K1" s="2" t="s">
        <v>9</v>
      </c>
    </row>
    <row r="2">
      <c r="A2" s="3">
        <v>1.0</v>
      </c>
      <c r="B2" s="4" t="s">
        <v>10</v>
      </c>
      <c r="C2" s="4" t="s">
        <v>11</v>
      </c>
      <c r="D2" s="4" t="s">
        <v>12</v>
      </c>
      <c r="E2" s="4" t="s">
        <v>13</v>
      </c>
      <c r="G2" s="5" t="str">
        <f>IFERROR(__xludf.DUMMYFUNCTION("GOOGLETRANSLATE(A2, ""en"", ""id"")"),"1")</f>
        <v>1</v>
      </c>
      <c r="H2" s="5" t="str">
        <f>IFERROR(__xludf.DUMMYFUNCTION("GOOGLETRANSLATE(B2, ""en"", ""id"")"),"Dalam perlombaan Karapan Sapi, apa faktor utama yang menentukan pemenangnya?")</f>
        <v>Dalam perlombaan Karapan Sapi, apa faktor utama yang menentukan pemenangnya?</v>
      </c>
      <c r="I2" s="5" t="str">
        <f>IFERROR(__xludf.DUMMYFUNCTION("GOOGLETRANSLATE(C2, ""en"", ""id"")"),"A) Waktu mulai tim, B) Keterampilan joki, C) Hidung banteng pertama yang melewati garis finis, D) Kecepatan keseluruhan rata-rata selama perlombaan")</f>
        <v>A) Waktu mulai tim, B) Keterampilan joki, C) Hidung banteng pertama yang melewati garis finis, D) Kecepatan keseluruhan rata-rata selama perlombaan</v>
      </c>
      <c r="J2" s="5" t="str">
        <f>IFERROR(__xludf.DUMMYFUNCTION("GOOGLETRANSLATE(D2, ""en"", ""id"")"),"C) Hidung banteng pertama yang melintasi garis finis")</f>
        <v>C) Hidung banteng pertama yang melintasi garis finis</v>
      </c>
      <c r="K2" s="5" t="str">
        <f>IFERROR(__xludf.DUMMYFUNCTION("GOOGLETRANSLATE(E2, ""en"", ""id"")"),"Pemenangnya ditentukan secara definitif oleh banteng pertama yang mematahkan garis akhir dengan hidungnya, tanpa mempertimbangkan faktor lainnya.")</f>
        <v>Pemenangnya ditentukan secara definitif oleh banteng pertama yang mematahkan garis akhir dengan hidungnya, tanpa mempertimbangkan faktor lainnya.</v>
      </c>
    </row>
    <row r="3">
      <c r="A3" s="3">
        <v>2.0</v>
      </c>
      <c r="B3" s="4" t="s">
        <v>14</v>
      </c>
      <c r="C3" s="4" t="s">
        <v>15</v>
      </c>
      <c r="D3" s="4" t="s">
        <v>16</v>
      </c>
      <c r="E3" s="4" t="s">
        <v>17</v>
      </c>
      <c r="G3" s="5" t="str">
        <f>IFERROR(__xludf.DUMMYFUNCTION("GOOGLETRANSLATE(A3, ""en"", ""id"")"),"2")</f>
        <v>2</v>
      </c>
      <c r="H3" s="5" t="str">
        <f>IFERROR(__xludf.DUMMYFUNCTION("GOOGLETRANSLATE(B3, ""en"", ""id"")"),"Banteng dari satu tim tersandung dan jatuh tepat sebelum garis finis, tetapi momentumnya membawa kereta luncur lebih dulu. Banteng dari tim lain menyeberang dengan kakinya beberapa saat kemudian. Siapa yang menang?")</f>
        <v>Banteng dari satu tim tersandung dan jatuh tepat sebelum garis finis, tetapi momentumnya membawa kereta luncur lebih dulu. Banteng dari tim lain menyeberang dengan kakinya beberapa saat kemudian. Siapa yang menang?</v>
      </c>
      <c r="I3" s="5" t="str">
        <f>IFERROR(__xludf.DUMMYFUNCTION("GOOGLETRANSLATE(C3, ""en"", ""id"")"),"A) Tim yang bantengnya menyeberang dengan kakinya, B) Tim yang kereta luncurnya menyeberang terlebih dahulu, C) Perlombaan dinyatakan seri, D) Perlombaan ulang diperintahkan")</f>
        <v>A) Tim yang bantengnya menyeberang dengan kakinya, B) Tim yang kereta luncurnya menyeberang terlebih dahulu, C) Perlombaan dinyatakan seri, D) Perlombaan ulang diperintahkan</v>
      </c>
      <c r="J3" s="5" t="str">
        <f>IFERROR(__xludf.DUMMYFUNCTION("GOOGLETRANSLATE(D3, ""en"", ""id"")"),"A) Tim yang bantengnya menyeberang dengan kakinya")</f>
        <v>A) Tim yang bantengnya menyeberang dengan kakinya</v>
      </c>
      <c r="K3" s="5" t="str">
        <f>IFERROR(__xludf.DUMMYFUNCTION("GOOGLETRANSLATE(E3, ""en"", ""id"")"),"Banteng-banteng itu sendiri harus melewati garis finis dengan terkendali. Jatuh tepat sebelum garis finis akan membatalkan finis.")</f>
        <v>Banteng-banteng itu sendiri harus melewati garis finis dengan terkendali. Jatuh tepat sebelum garis finis akan membatalkan finis.</v>
      </c>
    </row>
    <row r="4">
      <c r="A4" s="3">
        <v>3.0</v>
      </c>
      <c r="B4" s="4" t="s">
        <v>18</v>
      </c>
      <c r="C4" s="4" t="s">
        <v>19</v>
      </c>
      <c r="D4" s="4" t="s">
        <v>20</v>
      </c>
      <c r="E4" s="4" t="s">
        <v>21</v>
      </c>
      <c r="G4" s="5" t="str">
        <f>IFERROR(__xludf.DUMMYFUNCTION("GOOGLETRANSLATE(A4, ""en"", ""id"")"),"3")</f>
        <v>3</v>
      </c>
      <c r="H4" s="5" t="str">
        <f>IFERROR(__xludf.DUMMYFUNCTION("GOOGLETRANSLATE(B4, ""en"", ""id"")"),"Saat balapan, seorang joki kehilangan kendali dan salah satu bantengnya melesat keluar jalur. Apa keputusan langsungnya?")</f>
        <v>Saat balapan, seorang joki kehilangan kendali dan salah satu bantengnya melesat keluar jalur. Apa keputusan langsungnya?</v>
      </c>
      <c r="I4" s="5" t="str">
        <f>IFERROR(__xludf.DUMMYFUNCTION("GOOGLETRANSLATE(C4, ""en"", ""id"")"),"A) Tim menerima penalti waktu 10 detik, B) Tim didiskualifikasi, C) Perlombaan dihentikan sementara sampai banteng ditemukan kembali, D) Tim dapat melanjutkan dengan satu banteng.")</f>
        <v>A) Tim menerima penalti waktu 10 detik, B) Tim didiskualifikasi, C) Perlombaan dihentikan sementara sampai banteng ditemukan kembali, D) Tim dapat melanjutkan dengan satu banteng.</v>
      </c>
      <c r="J4" s="5" t="str">
        <f>IFERROR(__xludf.DUMMYFUNCTION("GOOGLETRANSLATE(D4, ""en"", ""id"")"),"B) Tim tersebut didiskualifikasi")</f>
        <v>B) Tim tersebut didiskualifikasi</v>
      </c>
      <c r="K4" s="5" t="str">
        <f>IFERROR(__xludf.DUMMYFUNCTION("GOOGLETRANSLATE(E4, ""en"", ""id"")"),"Menjaga kendali atas banteng dan tetap pada jalurnya adalah aturan mendasar; penyimpangan apa pun akan mengakibatkan diskualifikasi langsung.")</f>
        <v>Menjaga kendali atas banteng dan tetap pada jalurnya adalah aturan mendasar; penyimpangan apa pun akan mengakibatkan diskualifikasi langsung.</v>
      </c>
    </row>
    <row r="5">
      <c r="A5" s="3">
        <v>4.0</v>
      </c>
      <c r="B5" s="4" t="s">
        <v>22</v>
      </c>
      <c r="C5" s="4" t="s">
        <v>23</v>
      </c>
      <c r="D5" s="4" t="s">
        <v>24</v>
      </c>
      <c r="E5" s="4" t="s">
        <v>25</v>
      </c>
      <c r="G5" s="5" t="str">
        <f>IFERROR(__xludf.DUMMYFUNCTION("GOOGLETRANSLATE(A5, ""en"", ""id"")"),"4")</f>
        <v>4</v>
      </c>
      <c r="H5" s="5" t="str">
        <f>IFERROR(__xludf.DUMMYFUNCTION("GOOGLETRANSLATE(B5, ""en"", ""id"")"),"Jika banteng suatu tim roboh karena kelelahan di tengah perlombaan dan tidak dapat melanjutkan perlombaan, apa yang akan terjadi pada tim tersebut?")</f>
        <v>Jika banteng suatu tim roboh karena kelelahan di tengah perlombaan dan tidak dapat melanjutkan perlombaan, apa yang akan terjadi pada tim tersebut?</v>
      </c>
      <c r="I5" s="5" t="str">
        <f>IFERROR(__xludf.DUMMYFUNCTION("GOOGLETRANSLATE(C5, ""en"", ""id"")"),"A) Mereka diperbolehkan mengganti banteng baru, B) Mereka langsung didiskualifikasi, C) Perlombaan dihentikan untuk bantuan dokter hewan, D) Mereka diberi penalti waktu")</f>
        <v>A) Mereka diperbolehkan mengganti banteng baru, B) Mereka langsung didiskualifikasi, C) Perlombaan dihentikan untuk bantuan dokter hewan, D) Mereka diberi penalti waktu</v>
      </c>
      <c r="J5" s="5" t="str">
        <f>IFERROR(__xludf.DUMMYFUNCTION("GOOGLETRANSLATE(D5, ""en"", ""id"")"),"B) Mereka langsung didiskualifikasi")</f>
        <v>B) Mereka langsung didiskualifikasi</v>
      </c>
      <c r="K5" s="5" t="str">
        <f>IFERROR(__xludf.DUMMYFUNCTION("GOOGLETRANSLATE(E5, ""en"", ""id"")"),"Tim harus menyelesaikan lomba dengan banteng yang sama dengan yang mereka bawa sejak awal. Sapi yang tidak dapat melanjutkan lomba akan didiskualifikasi.")</f>
        <v>Tim harus menyelesaikan lomba dengan banteng yang sama dengan yang mereka bawa sejak awal. Sapi yang tidak dapat melanjutkan lomba akan didiskualifikasi.</v>
      </c>
    </row>
    <row r="6">
      <c r="A6" s="3">
        <v>5.0</v>
      </c>
      <c r="B6" s="4" t="s">
        <v>26</v>
      </c>
      <c r="C6" s="4" t="s">
        <v>27</v>
      </c>
      <c r="D6" s="4" t="s">
        <v>28</v>
      </c>
      <c r="E6" s="4" t="s">
        <v>29</v>
      </c>
      <c r="G6" s="5" t="str">
        <f>IFERROR(__xludf.DUMMYFUNCTION("GOOGLETRANSLATE(A6, ""en"", ""id"")"),"5")</f>
        <v>5</v>
      </c>
      <c r="H6" s="5" t="str">
        <f>IFERROR(__xludf.DUMMYFUNCTION("GOOGLETRANSLATE(B6, ""en"", ""id"")"),"Sebuah tim diketahui telah memberikan zat peningkat performa kepada banteng mereka sebelum perlombaan. Apa konsekuensinya?")</f>
        <v>Sebuah tim diketahui telah memberikan zat peningkat performa kepada banteng mereka sebelum perlombaan. Apa konsekuensinya?</v>
      </c>
      <c r="I6" s="5" t="str">
        <f>IFERROR(__xludf.DUMMYFUNCTION("GOOGLETRANSLATE(C6, ""en"", ""id"")"),"A) Peringatan dikeluarkan, B) Tim didiskualifikasi dan mungkin menghadapi larangan, C) Tim diizinkan untuk berlomba tetapi kehilangan hadiah apa pun, D) Penalti waktu diterapkan")</f>
        <v>A) Peringatan dikeluarkan, B) Tim didiskualifikasi dan mungkin menghadapi larangan, C) Tim diizinkan untuk berlomba tetapi kehilangan hadiah apa pun, D) Penalti waktu diterapkan</v>
      </c>
      <c r="J6" s="5" t="str">
        <f>IFERROR(__xludf.DUMMYFUNCTION("GOOGLETRANSLATE(D6, ""en"", ""id"")"),"B) Tim tersebut didiskualifikasi dan mungkin menghadapi larangan")</f>
        <v>B) Tim tersebut didiskualifikasi dan mungkin menghadapi larangan</v>
      </c>
      <c r="K6" s="5" t="str">
        <f>IFERROR(__xludf.DUMMYFUNCTION("GOOGLETRANSLATE(E6, ""en"", ""id"")"),"Doping merupakan pelanggaran serius terhadap permainan adil dan kesejahteraan hewan, yang dapat mengakibatkan diskualifikasi dan potensi penangguhan dari acara mendatang.")</f>
        <v>Doping merupakan pelanggaran serius terhadap permainan adil dan kesejahteraan hewan, yang dapat mengakibatkan diskualifikasi dan potensi penangguhan dari acara mendatang.</v>
      </c>
    </row>
    <row r="7">
      <c r="A7" s="3">
        <v>6.0</v>
      </c>
      <c r="B7" s="4" t="s">
        <v>30</v>
      </c>
      <c r="C7" s="4" t="s">
        <v>31</v>
      </c>
      <c r="D7" s="4" t="s">
        <v>32</v>
      </c>
      <c r="E7" s="4" t="s">
        <v>33</v>
      </c>
      <c r="G7" s="5" t="str">
        <f>IFERROR(__xludf.DUMMYFUNCTION("GOOGLETRANSLATE(A7, ""en"", ""id"")"),"6")</f>
        <v>6</v>
      </c>
      <c r="H7" s="5" t="str">
        <f>IFERROR(__xludf.DUMMYFUNCTION("GOOGLETRANSLATE(B7, ""en"", ""id"")"),"Seorang joki tidak sengaja menjatuhkan cambuknya saat balapan. Bagaimana prosedur yang benar?")</f>
        <v>Seorang joki tidak sengaja menjatuhkan cambuknya saat balapan. Bagaimana prosedur yang benar?</v>
      </c>
      <c r="I7" s="5" t="str">
        <f>IFERROR(__xludf.DUMMYFUNCTION("GOOGLETRANSLATE(C7, ""en"", ""id"")"),"A) Joki didiskualifikasi karena kehilangan perlengkapan, B) Perlombaan berlanjut; joki dapat menyelesaikan lomba tanpa cambuk, C) Asisten dapat memberinya cambuk baru, D) Perlombaan harus dihentikan")</f>
        <v>A) Joki didiskualifikasi karena kehilangan perlengkapan, B) Perlombaan berlanjut; joki dapat menyelesaikan lomba tanpa cambuk, C) Asisten dapat memberinya cambuk baru, D) Perlombaan harus dihentikan</v>
      </c>
      <c r="J7" s="5" t="str">
        <f>IFERROR(__xludf.DUMMYFUNCTION("GOOGLETRANSLATE(D7, ""en"", ""id"")"),"B) Perlombaan terus berlanjut; joki dapat menyelesaikannya tanpa cambuk")</f>
        <v>B) Perlombaan terus berlanjut; joki dapat menyelesaikannya tanpa cambuk</v>
      </c>
      <c r="K7" s="5" t="str">
        <f>IFERROR(__xludf.DUMMYFUNCTION("GOOGLETRANSLATE(E7, ""en"", ""id"")"),"Menjatuhkan cambuk bukanlah pelanggaran. Joki dapat memilih untuk mengambilnya kembali jika aman atau melanjutkan balapan tanpa cambuk.")</f>
        <v>Menjatuhkan cambuk bukanlah pelanggaran. Joki dapat memilih untuk mengambilnya kembali jika aman atau melanjutkan balapan tanpa cambuk.</v>
      </c>
    </row>
    <row r="8">
      <c r="A8" s="3">
        <v>7.0</v>
      </c>
      <c r="B8" s="4" t="s">
        <v>34</v>
      </c>
      <c r="C8" s="4" t="s">
        <v>35</v>
      </c>
      <c r="D8" s="4" t="s">
        <v>36</v>
      </c>
      <c r="E8" s="4" t="s">
        <v>37</v>
      </c>
      <c r="G8" s="5" t="str">
        <f>IFERROR(__xludf.DUMMYFUNCTION("GOOGLETRANSLATE(A8, ""en"", ""id"")"),"7")</f>
        <v>7</v>
      </c>
      <c r="H8" s="5" t="str">
        <f>IFERROR(__xludf.DUMMYFUNCTION("GOOGLETRANSLATE(B8, ""en"", ""id"")"),"Saat balapan di lintasan berlumpur, strategi apa yang paling efektif bagi joki untuk mempertahankan kecepatan dan kendali?")</f>
        <v>Saat balapan di lintasan berlumpur, strategi apa yang paling efektif bagi joki untuk mempertahankan kecepatan dan kendali?</v>
      </c>
      <c r="I8" s="5" t="str">
        <f>IFERROR(__xludf.DUMMYFUNCTION("GOOGLETRANSLATE(C8, ""en"", ""id"")"),"A) Mendorong banteng hingga kecepatan maksimal, B) Menggunakan belokan yang lebih lebar untuk menghindari tergelincir, C) Memandu banteng di sepanjang jalur yang paling lurus, D) Menggunakan kereta yang lebih berat untuk traksi yang lebih baik")</f>
        <v>A) Mendorong banteng hingga kecepatan maksimal, B) Menggunakan belokan yang lebih lebar untuk menghindari tergelincir, C) Memandu banteng di sepanjang jalur yang paling lurus, D) Menggunakan kereta yang lebih berat untuk traksi yang lebih baik</v>
      </c>
      <c r="J8" s="5" t="str">
        <f>IFERROR(__xludf.DUMMYFUNCTION("GOOGLETRANSLATE(D8, ""en"", ""id"")"),"C) Memandu banteng di sepanjang jalur yang paling lurus")</f>
        <v>C) Memandu banteng di sepanjang jalur yang paling lurus</v>
      </c>
      <c r="K8" s="5" t="str">
        <f>IFERROR(__xludf.DUMMYFUNCTION("GOOGLETRANSLATE(E8, ""en"", ""id"")"),"Meminimalkan belokan dan menjaga garis lurus sangat penting pada permukaan licin untuk menjaga momentum dan mencegah hilangnya kendali.")</f>
        <v>Meminimalkan belokan dan menjaga garis lurus sangat penting pada permukaan licin untuk menjaga momentum dan mencegah hilangnya kendali.</v>
      </c>
    </row>
    <row r="9">
      <c r="A9" s="3">
        <v>8.0</v>
      </c>
      <c r="B9" s="4" t="s">
        <v>38</v>
      </c>
      <c r="C9" s="4" t="s">
        <v>39</v>
      </c>
      <c r="D9" s="4" t="s">
        <v>40</v>
      </c>
      <c r="E9" s="4" t="s">
        <v>41</v>
      </c>
      <c r="G9" s="5" t="str">
        <f>IFERROR(__xludf.DUMMYFUNCTION("GOOGLETRANSLATE(A9, ""en"", ""id"")"),"8")</f>
        <v>8</v>
      </c>
      <c r="H9" s="5" t="str">
        <f>IFERROR(__xludf.DUMMYFUNCTION("GOOGLETRANSLATE(B9, ""en"", ""id"")"),"Apa makna budaya dari hiasan dan ornamen berwarna-warni yang ditaruh di atas banteng sebelum perlombaan?")</f>
        <v>Apa makna budaya dari hiasan dan ornamen berwarna-warni yang ditaruh di atas banteng sebelum perlombaan?</v>
      </c>
      <c r="I9" s="5" t="str">
        <f>IFERROR(__xludf.DUMMYFUNCTION("GOOGLETRANSLATE(C9, ""en"", ""id"")"),"A) Mereka digunakan untuk mengintimidasi tim lawan, B) Mereka meningkatkan aerodinamika banteng, C) Mereka melambangkan kekayaan, status, dan kebanggaan pemiliknya, D) Mereka membantu menjaga banteng tetap tenang")</f>
        <v>A) Mereka digunakan untuk mengintimidasi tim lawan, B) Mereka meningkatkan aerodinamika banteng, C) Mereka melambangkan kekayaan, status, dan kebanggaan pemiliknya, D) Mereka membantu menjaga banteng tetap tenang</v>
      </c>
      <c r="J9" s="5" t="str">
        <f>IFERROR(__xludf.DUMMYFUNCTION("GOOGLETRANSLATE(D9, ""en"", ""id"")"),"C) Melambangkan kekayaan, status, dan kebanggaan pemiliknya")</f>
        <v>C) Melambangkan kekayaan, status, dan kebanggaan pemiliknya</v>
      </c>
      <c r="K9" s="5" t="str">
        <f>IFERROR(__xludf.DUMMYFUNCTION("GOOGLETRANSLATE(E9, ""en"", ""id"")"),"Hiasan yang rumit tersebut merupakan wujud penghormatan, warisan keluarga, dan kedudukan sosial di masyarakat Madura.")</f>
        <v>Hiasan yang rumit tersebut merupakan wujud penghormatan, warisan keluarga, dan kedudukan sosial di masyarakat Madura.</v>
      </c>
    </row>
    <row r="10">
      <c r="A10" s="3">
        <v>9.0</v>
      </c>
      <c r="B10" s="4" t="s">
        <v>42</v>
      </c>
      <c r="C10" s="4" t="s">
        <v>43</v>
      </c>
      <c r="D10" s="4" t="s">
        <v>44</v>
      </c>
      <c r="E10" s="4" t="s">
        <v>45</v>
      </c>
      <c r="G10" s="5" t="str">
        <f>IFERROR(__xludf.DUMMYFUNCTION("GOOGLETRANSLATE(A10, ""en"", ""id"")"),"9")</f>
        <v>9</v>
      </c>
      <c r="H10" s="5" t="str">
        <f>IFERROR(__xludf.DUMMYFUNCTION("GOOGLETRANSLATE(B10, ""en"", ""id"")"),"Orkestra gamelan merupakan bagian integral dari acara Karapan Sapi. Apa peran utamanya?")</f>
        <v>Orkestra gamelan merupakan bagian integral dari acara Karapan Sapi. Apa peran utamanya?</v>
      </c>
      <c r="I10" s="5" t="str">
        <f>IFERROR(__xludf.DUMMYFUNCTION("GOOGLETRANSLATE(C10, ""en"", ""id"")"),"A) Untuk menandai dimulainya dan berakhirnya perlombaan, B) Untuk menciptakan suasana yang meriah dan tradisional, C) Untuk memotivasi banteng dengan ketukan berirama, D) Untuk meredam kebisingan dari kerumunan.")</f>
        <v>A) Untuk menandai dimulainya dan berakhirnya perlombaan, B) Untuk menciptakan suasana yang meriah dan tradisional, C) Untuk memotivasi banteng dengan ketukan berirama, D) Untuk meredam kebisingan dari kerumunan.</v>
      </c>
      <c r="J10" s="5" t="str">
        <f>IFERROR(__xludf.DUMMYFUNCTION("GOOGLETRANSLATE(D10, ""en"", ""id"")"),"B) Untuk menciptakan suasana yang meriah dan tradisional")</f>
        <v>B) Untuk menciptakan suasana yang meriah dan tradisional</v>
      </c>
      <c r="K10" s="5" t="str">
        <f>IFERROR(__xludf.DUMMYFUNCTION("GOOGLETRANSLATE(E10, ""en"", ""id"")"),"Musik merupakan bagian utama dari kemeriahan budaya suatu acara, yang meningkatkan semangat perayaan dan tradisi bagi para penonton.")</f>
        <v>Musik merupakan bagian utama dari kemeriahan budaya suatu acara, yang meningkatkan semangat perayaan dan tradisi bagi para penonton.</v>
      </c>
    </row>
    <row r="11">
      <c r="A11" s="3">
        <v>10.0</v>
      </c>
      <c r="B11" s="4" t="s">
        <v>46</v>
      </c>
      <c r="C11" s="4" t="s">
        <v>47</v>
      </c>
      <c r="D11" s="4" t="s">
        <v>48</v>
      </c>
      <c r="E11" s="4" t="s">
        <v>49</v>
      </c>
      <c r="G11" s="5" t="str">
        <f>IFERROR(__xludf.DUMMYFUNCTION("GOOGLETRANSLATE(A11, ""en"", ""id"")"),"10")</f>
        <v>10</v>
      </c>
      <c r="H11" s="5" t="str">
        <f>IFERROR(__xludf.DUMMYFUNCTION("GOOGLETRANSLATE(B11, ""en"", ""id"")"),"Jika lomba karapan sapi dihentikan sementara karena hujan deras sehingga membahayakan keselamatan lintasan, bagaimana protokolnya?")</f>
        <v>Jika lomba karapan sapi dihentikan sementara karena hujan deras sehingga membahayakan keselamatan lintasan, bagaimana protokolnya?</v>
      </c>
      <c r="I11" s="5" t="str">
        <f>IFERROR(__xludf.DUMMYFUNCTION("GOOGLETRANSLATE(C11, ""en"", ""id"")"),"A) Acara dibatalkan segera, B) Tim yang memimpin dinyatakan sebagai pemenang, C) Perlombaan dijadwalkan ulang untuk hari lain, D) Perlombaan dilanjutkan setelah hujan berhenti dan lintasan dianggap aman.")</f>
        <v>A) Acara dibatalkan segera, B) Tim yang memimpin dinyatakan sebagai pemenang, C) Perlombaan dijadwalkan ulang untuk hari lain, D) Perlombaan dilanjutkan setelah hujan berhenti dan lintasan dianggap aman.</v>
      </c>
      <c r="J11" s="5" t="str">
        <f>IFERROR(__xludf.DUMMYFUNCTION("GOOGLETRANSLATE(D11, ""en"", ""id"")"),"D) Balapan dilanjutkan setelah hujan berhenti dan lintasan dianggap aman")</f>
        <v>D) Balapan dilanjutkan setelah hujan berhenti dan lintasan dianggap aman</v>
      </c>
      <c r="K11" s="5" t="str">
        <f>IFERROR(__xludf.DUMMYFUNCTION("GOOGLETRANSLATE(E11, ""en"", ""id"")"),"Balapan biasanya dihentikan sementara demi keselamatan dan dilanjutkan kembali setelah kondisi membaik, dilanjutkan dari titik terakhir atau memulai kembali pemanasan.")</f>
        <v>Balapan biasanya dihentikan sementara demi keselamatan dan dilanjutkan kembali setelah kondisi membaik, dilanjutkan dari titik terakhir atau memulai kembali pemanasan.</v>
      </c>
    </row>
    <row r="12">
      <c r="A12" s="3">
        <v>11.0</v>
      </c>
      <c r="B12" s="4" t="s">
        <v>50</v>
      </c>
      <c r="C12" s="4" t="s">
        <v>51</v>
      </c>
      <c r="D12" s="4" t="s">
        <v>52</v>
      </c>
      <c r="E12" s="4" t="s">
        <v>53</v>
      </c>
      <c r="G12" s="5" t="str">
        <f>IFERROR(__xludf.DUMMYFUNCTION("GOOGLETRANSLATE(A12, ""en"", ""id"")"),"11")</f>
        <v>11</v>
      </c>
      <c r="H12" s="5" t="str">
        <f>IFERROR(__xludf.DUMMYFUNCTION("GOOGLETRANSLATE(B12, ""en"", ""id"")"),"Dalam mempersiapkan banteng untuk kompetisi, pelatih sering meminta mereka menarik kereta yang lebih berat daripada kereta yang digunakan dalam lomba. Apa manfaat utama dari metode ini?")</f>
        <v>Dalam mempersiapkan banteng untuk kompetisi, pelatih sering meminta mereka menarik kereta yang lebih berat daripada kereta yang digunakan dalam lomba. Apa manfaat utama dari metode ini?</v>
      </c>
      <c r="I12" s="5" t="str">
        <f>IFERROR(__xludf.DUMMYFUNCTION("GOOGLETRANSLATE(C12, ""en"", ""id"")"),"A) Meningkatkan sinkronisasi banteng, B) Membangun kekuatan dan stamina yang diperlukan untuk balapan, C) Membuat kereta balap terasa lebih ringan bagi banteng, D) Melatih banteng untuk berlari dalam garis lurus")</f>
        <v>A) Meningkatkan sinkronisasi banteng, B) Membangun kekuatan dan stamina yang diperlukan untuk balapan, C) Membuat kereta balap terasa lebih ringan bagi banteng, D) Melatih banteng untuk berlari dalam garis lurus</v>
      </c>
      <c r="J12" s="5" t="str">
        <f>IFERROR(__xludf.DUMMYFUNCTION("GOOGLETRANSLATE(D12, ""en"", ""id"")"),"B) Membangun kekuatan dan stamina yang diperlukan untuk balapan")</f>
        <v>B) Membangun kekuatan dan stamina yang diperlukan untuk balapan</v>
      </c>
      <c r="K12" s="5" t="str">
        <f>IFERROR(__xludf.DUMMYFUNCTION("GOOGLETRANSLATE(E12, ""en"", ""id"")"),"Bentuk latihan ketahanan ini mengembangkan otot kaki yang kuat dan daya tahan yang dibutuhkan untuk lari cepat berkecepatan tinggi.")</f>
        <v>Bentuk latihan ketahanan ini mengembangkan otot kaki yang kuat dan daya tahan yang dibutuhkan untuk lari cepat berkecepatan tinggi.</v>
      </c>
    </row>
    <row r="13">
      <c r="A13" s="3">
        <v>12.0</v>
      </c>
      <c r="B13" s="4" t="s">
        <v>54</v>
      </c>
      <c r="C13" s="4" t="s">
        <v>55</v>
      </c>
      <c r="D13" s="4" t="s">
        <v>56</v>
      </c>
      <c r="E13" s="4" t="s">
        <v>57</v>
      </c>
      <c r="G13" s="5" t="str">
        <f>IFERROR(__xludf.DUMMYFUNCTION("GOOGLETRANSLATE(A13, ""en"", ""id"")"),"12")</f>
        <v>12</v>
      </c>
      <c r="H13" s="5" t="str">
        <f>IFERROR(__xludf.DUMMYFUNCTION("GOOGLETRANSLATE(B13, ""en"", ""id"")"),"Jika dua tim melewati garis finis dalam kondisi seri, dan teknologi foto-finish tidak tersedia, apa resolusi tradisional yang paling umum?")</f>
        <v>Jika dua tim melewati garis finis dalam kondisi seri, dan teknologi foto-finish tidak tersedia, apa resolusi tradisional yang paling umum?</v>
      </c>
      <c r="I13" s="5" t="str">
        <f>IFERROR(__xludf.DUMMYFUNCTION("GOOGLETRANSLATE(C13, ""en"", ""id"")"),"A) Tim yang memulai dengan lebih baik dinyatakan sebagai pemenang, B) Balapan ulang (tanden) diperintahkan oleh juri, C) Hadiah dibagi antara kedua tim, D) Pemenang ditentukan dengan lemparan koin.")</f>
        <v>A) Tim yang memulai dengan lebih baik dinyatakan sebagai pemenang, B) Balapan ulang (tanden) diperintahkan oleh juri, C) Hadiah dibagi antara kedua tim, D) Pemenang ditentukan dengan lemparan koin.</v>
      </c>
      <c r="J13" s="5" t="str">
        <f>IFERROR(__xludf.DUMMYFUNCTION("GOOGLETRANSLATE(D13, ""en"", ""id"")"),"B) Balapan ulang (tanden) diperintahkan oleh juri")</f>
        <v>B) Balapan ulang (tanden) diperintahkan oleh juri</v>
      </c>
      <c r="K13" s="5" t="str">
        <f>IFERROR(__xludf.DUMMYFUNCTION("GOOGLETRANSLATE(E13, ""en"", ""id"")"),"Jika terjadi seri, metode paling tradisional dan adil untuk menentukan pemenang yang jelas adalah dengan mengadakan perlombaan lagi.")</f>
        <v>Jika terjadi seri, metode paling tradisional dan adil untuk menentukan pemenang yang jelas adalah dengan mengadakan perlombaan lagi.</v>
      </c>
    </row>
    <row r="14">
      <c r="A14" s="3">
        <v>13.0</v>
      </c>
      <c r="B14" s="4" t="s">
        <v>58</v>
      </c>
      <c r="C14" s="4" t="s">
        <v>59</v>
      </c>
      <c r="D14" s="4" t="s">
        <v>60</v>
      </c>
      <c r="E14" s="4" t="s">
        <v>61</v>
      </c>
      <c r="G14" s="5" t="str">
        <f>IFERROR(__xludf.DUMMYFUNCTION("GOOGLETRANSLATE(A14, ""en"", ""id"")"),"13")</f>
        <v>13</v>
      </c>
      <c r="H14" s="5" t="str">
        <f>IFERROR(__xludf.DUMMYFUNCTION("GOOGLETRANSLATE(B14, ""en"", ""id"")"),"Apa istilah resmi untuk kereta luncur kayu atau luncur tempat joki berdiri selama balapan?")</f>
        <v>Apa istilah resmi untuk kereta luncur kayu atau luncur tempat joki berdiri selama balapan?</v>
      </c>
      <c r="I14" s="5" t="str">
        <f>IFERROR(__xludf.DUMMYFUNCTION("GOOGLETRANSLATE(C14, ""en"", ""id"")"),"A) Kaleles, B) Pangonong, C) Saronen, D) Raga")</f>
        <v>A) Kaleles, B) Pangonong, C) Saronen, D) Raga</v>
      </c>
      <c r="J14" s="5" t="str">
        <f>IFERROR(__xludf.DUMMYFUNCTION("GOOGLETRANSLATE(D14, ""en"", ""id"")"),"A) Kaleles")</f>
        <v>A) Kaleles</v>
      </c>
      <c r="K14" s="5" t="str">
        <f>IFERROR(__xludf.DUMMYFUNCTION("GOOGLETRANSLATE(E14, ""en"", ""id"")"),"Kaleles adalah kereta luncur kayu ringan tradisional yang digunakan joki untuk menjaga keseimbangan.")</f>
        <v>Kaleles adalah kereta luncur kayu ringan tradisional yang digunakan joki untuk menjaga keseimbangan.</v>
      </c>
    </row>
    <row r="15">
      <c r="A15" s="3">
        <v>14.0</v>
      </c>
      <c r="B15" s="4" t="s">
        <v>62</v>
      </c>
      <c r="C15" s="4" t="s">
        <v>63</v>
      </c>
      <c r="D15" s="4" t="s">
        <v>64</v>
      </c>
      <c r="E15" s="4" t="s">
        <v>65</v>
      </c>
      <c r="G15" s="5" t="str">
        <f>IFERROR(__xludf.DUMMYFUNCTION("GOOGLETRANSLATE(A15, ""en"", ""id"")"),"14")</f>
        <v>14</v>
      </c>
      <c r="H15" s="5" t="str">
        <f>IFERROR(__xludf.DUMMYFUNCTION("GOOGLETRANSLATE(B15, ""en"", ""id"")"),"Seorang joki terlihat menggunakan teriakan keras yang konstan, alih-alih perintah berirama. Apa risiko utama dari teknik ini?")</f>
        <v>Seorang joki terlihat menggunakan teriakan keras yang konstan, alih-alih perintah berirama. Apa risiko utama dari teknik ini?</v>
      </c>
      <c r="I15" s="5" t="str">
        <f>IFERROR(__xludf.DUMMYFUNCTION("GOOGLETRANSLATE(C15, ""en"", ""id"")"),"A) Sapi jantan mungkin mengabaikan perintah karena kelelahan karena kebisingan, B) Sapi jantan akan berlari lebih cepat dari yang dimaksudkan, C) Hal ini dapat membuat joki mengalami dehidrasi, D) Hal ini melanggar aturan kebisingan")</f>
        <v>A) Sapi jantan mungkin mengabaikan perintah karena kelelahan karena kebisingan, B) Sapi jantan akan berlari lebih cepat dari yang dimaksudkan, C) Hal ini dapat membuat joki mengalami dehidrasi, D) Hal ini melanggar aturan kebisingan</v>
      </c>
      <c r="J15" s="5" t="str">
        <f>IFERROR(__xludf.DUMMYFUNCTION("GOOGLETRANSLATE(D15, ""en"", ""id"")"),"A) Sapi jantan mungkin mengabaikan perintah karena kelelahan karena suara bising")</f>
        <v>A) Sapi jantan mungkin mengabaikan perintah karena kelelahan karena suara bising</v>
      </c>
      <c r="K15" s="5" t="str">
        <f>IFERROR(__xludf.DUMMYFUNCTION("GOOGLETRANSLATE(E15, ""en"", ""id"")"),"Banteng merespons sinyal-sinyal berirama yang familiar. Teriakan yang terus-menerus dapat membingungkan dan membuat mereka tidak responsif.")</f>
        <v>Banteng merespons sinyal-sinyal berirama yang familiar. Teriakan yang terus-menerus dapat membingungkan dan membuat mereka tidak responsif.</v>
      </c>
    </row>
    <row r="16">
      <c r="A16" s="3">
        <v>15.0</v>
      </c>
      <c r="B16" s="4" t="s">
        <v>66</v>
      </c>
      <c r="C16" s="4" t="s">
        <v>67</v>
      </c>
      <c r="D16" s="4" t="s">
        <v>68</v>
      </c>
      <c r="E16" s="4" t="s">
        <v>69</v>
      </c>
      <c r="G16" s="5" t="str">
        <f>IFERROR(__xludf.DUMMYFUNCTION("GOOGLETRANSLATE(A16, ""en"", ""id"")"),"15")</f>
        <v>15</v>
      </c>
      <c r="H16" s="5" t="str">
        <f>IFERROR(__xludf.DUMMYFUNCTION("GOOGLETRANSLATE(B16, ""en"", ""id"")"),"Apa tujuan utama memijat kaki banteng dengan campuran herbal dan minyak sebelum perlombaan?")</f>
        <v>Apa tujuan utama memijat kaki banteng dengan campuran herbal dan minyak sebelum perlombaan?</v>
      </c>
      <c r="I16" s="5" t="str">
        <f>IFERROR(__xludf.DUMMYFUNCTION("GOOGLETRANSLATE(C16, ""en"", ""id"")"),"A) Untuk membuat bulunya berkilau sebagai hiasan, B) Untuk meningkatkan fleksibilitas otot dan mencegah kram, C) Untuk menambah berat kaki mereka, D) Untuk memberikan aroma yang menyenangkan")</f>
        <v>A) Untuk membuat bulunya berkilau sebagai hiasan, B) Untuk meningkatkan fleksibilitas otot dan mencegah kram, C) Untuk menambah berat kaki mereka, D) Untuk memberikan aroma yang menyenangkan</v>
      </c>
      <c r="J16" s="5" t="str">
        <f>IFERROR(__xludf.DUMMYFUNCTION("GOOGLETRANSLATE(D16, ""en"", ""id"")"),"B) Untuk meningkatkan fleksibilitas otot dan mencegah kram")</f>
        <v>B) Untuk meningkatkan fleksibilitas otot dan mencegah kram</v>
      </c>
      <c r="K16" s="5" t="str">
        <f>IFERROR(__xludf.DUMMYFUNCTION("GOOGLETRANSLATE(E16, ""en"", ""id"")"),"Latihan tradisional ini membantu menjaga otot tetap rileks, meningkatkan sirkulasi, dan mengurangi risiko tegang selama perlombaan.")</f>
        <v>Latihan tradisional ini membantu menjaga otot tetap rileks, meningkatkan sirkulasi, dan mengurangi risiko tegang selama perlombaan.</v>
      </c>
    </row>
    <row r="17">
      <c r="A17" s="3">
        <v>16.0</v>
      </c>
      <c r="B17" s="4" t="s">
        <v>70</v>
      </c>
      <c r="C17" s="4" t="s">
        <v>71</v>
      </c>
      <c r="D17" s="4" t="s">
        <v>72</v>
      </c>
      <c r="E17" s="4" t="s">
        <v>73</v>
      </c>
      <c r="G17" s="5" t="str">
        <f>IFERROR(__xludf.DUMMYFUNCTION("GOOGLETRANSLATE(A17, ""en"", ""id"")"),"16")</f>
        <v>16</v>
      </c>
      <c r="H17" s="5" t="str">
        <f>IFERROR(__xludf.DUMMYFUNCTION("GOOGLETRANSLATE(B17, ""en"", ""id"")"),"Sebelum lomba besar, banteng sering ditempatkan di kandang yang teduh dan tenang. Apa alasan utamanya?")</f>
        <v>Sebelum lomba besar, banteng sering ditempatkan di kandang yang teduh dan tenang. Apa alasan utamanya?</v>
      </c>
      <c r="I17" s="5" t="str">
        <f>IFERROR(__xludf.DUMMYFUNCTION("GOOGLETRANSLATE(C17, ""en"", ""id"")"),"A) Untuk menyembunyikan mereka dari tim lawan, B) Untuk menerapkan dekorasi secara pribadi, C) Untuk mencegah kepanasan dan menghemat energi, D) Untuk membuat mereka lebih agresif")</f>
        <v>A) Untuk menyembunyikan mereka dari tim lawan, B) Untuk menerapkan dekorasi secara pribadi, C) Untuk mencegah kepanasan dan menghemat energi, D) Untuk membuat mereka lebih agresif</v>
      </c>
      <c r="J17" s="5" t="str">
        <f>IFERROR(__xludf.DUMMYFUNCTION("GOOGLETRANSLATE(D17, ""en"", ""id"")"),"C) Untuk mencegah panas berlebih dan menghemat energi")</f>
        <v>C) Untuk mencegah panas berlebih dan menghemat energi</v>
      </c>
      <c r="K17" s="5" t="str">
        <f>IFERROR(__xludf.DUMMYFUNCTION("GOOGLETRANSLATE(E17, ""en"", ""id"")"),"Beristirahat di lingkungan yang sejuk dan tenang sebelum perlombaan mencegah stres akibat panas dan memastikan banteng tidak kelelahan sebelum bertanding.")</f>
        <v>Beristirahat di lingkungan yang sejuk dan tenang sebelum perlombaan mencegah stres akibat panas dan memastikan banteng tidak kelelahan sebelum bertanding.</v>
      </c>
    </row>
    <row r="18">
      <c r="A18" s="3">
        <v>17.0</v>
      </c>
      <c r="B18" s="4" t="s">
        <v>74</v>
      </c>
      <c r="C18" s="4" t="s">
        <v>75</v>
      </c>
      <c r="D18" s="4" t="s">
        <v>76</v>
      </c>
      <c r="E18" s="4" t="s">
        <v>77</v>
      </c>
      <c r="G18" s="5" t="str">
        <f>IFERROR(__xludf.DUMMYFUNCTION("GOOGLETRANSLATE(A18, ""en"", ""id"")"),"17")</f>
        <v>17</v>
      </c>
      <c r="H18" s="5" t="str">
        <f>IFERROR(__xludf.DUMMYFUNCTION("GOOGLETRANSLATE(B18, ""en"", ""id"")"),"Apa alasan utama festival Karapan Sapi secara tradisional diadakan setelah musim panen (Agustus-Oktober)?")</f>
        <v>Apa alasan utama festival Karapan Sapi secara tradisional diadakan setelah musim panen (Agustus-Oktober)?</v>
      </c>
      <c r="I18" s="5" t="str">
        <f>IFERROR(__xludf.DUMMYFUNCTION("GOOGLETRANSLATE(C18, ""en"", ""id"")"),"A) Cuaca lebih dingin, B) Sapi jantan paling kuat setelah musim membajak, C) Ini adalah waktu perayaan dan kemakmuran masyarakat, D) Lintasan hanya tersedia saat itu")</f>
        <v>A) Cuaca lebih dingin, B) Sapi jantan paling kuat setelah musim membajak, C) Ini adalah waktu perayaan dan kemakmuran masyarakat, D) Lintasan hanya tersedia saat itu</v>
      </c>
      <c r="J18" s="5" t="str">
        <f>IFERROR(__xludf.DUMMYFUNCTION("GOOGLETRANSLATE(D18, ""en"", ""id"")"),"C) Ini adalah waktu perayaan dan kemakmuran masyarakat")</f>
        <v>C) Ini adalah waktu perayaan dan kemakmuran masyarakat</v>
      </c>
      <c r="K18" s="5" t="str">
        <f>IFERROR(__xludf.DUMMYFUNCTION("GOOGLETRANSLATE(E18, ""en"", ""id"")"),"Festival ini merupakan ungkapan budaya rasa syukur dan perayaan atas keberhasilan panen, saat petani memiliki lebih banyak waktu luang.")</f>
        <v>Festival ini merupakan ungkapan budaya rasa syukur dan perayaan atas keberhasilan panen, saat petani memiliki lebih banyak waktu luang.</v>
      </c>
    </row>
    <row r="19">
      <c r="A19" s="3">
        <v>18.0</v>
      </c>
      <c r="B19" s="4" t="s">
        <v>78</v>
      </c>
      <c r="C19" s="4" t="s">
        <v>79</v>
      </c>
      <c r="D19" s="4" t="s">
        <v>80</v>
      </c>
      <c r="E19" s="4" t="s">
        <v>81</v>
      </c>
      <c r="G19" s="5" t="str">
        <f>IFERROR(__xludf.DUMMYFUNCTION("GOOGLETRANSLATE(A19, ""en"", ""id"")"),"18")</f>
        <v>18</v>
      </c>
      <c r="H19" s="5" t="str">
        <f>IFERROR(__xludf.DUMMYFUNCTION("GOOGLETRANSLATE(B19, ""en"", ""id"")"),"Saat lomba, seekor banteng mulai bergerak menyamping ke arah kerumunan. Apa tindakan korektif yang paling efektif dan segera dilakukan joki?")</f>
        <v>Saat lomba, seekor banteng mulai bergerak menyamping ke arah kerumunan. Apa tindakan korektif yang paling efektif dan segera dilakukan joki?</v>
      </c>
      <c r="I19" s="5" t="str">
        <f>IFERROR(__xludf.DUMMYFUNCTION("GOOGLETRANSLATE(C19, ""en"", ""id"")"),"A) Menggunakan cambuk pada banteng yang berlawanan, B) Menarik kendali dengan tajam ke arah tengah lintasan, C) Mengalihkan berat badan mereka dari lintasan, D) Meneriakkan perintah untuk berhenti")</f>
        <v>A) Menggunakan cambuk pada banteng yang berlawanan, B) Menarik kendali dengan tajam ke arah tengah lintasan, C) Mengalihkan berat badan mereka dari lintasan, D) Meneriakkan perintah untuk berhenti</v>
      </c>
      <c r="J19" s="5" t="str">
        <f>IFERROR(__xludf.DUMMYFUNCTION("GOOGLETRANSLATE(D19, ""en"", ""id"")"),"B) Menarik kendali dengan tajam ke arah tengah lintasan")</f>
        <v>B) Menarik kendali dengan tajam ke arah tengah lintasan</v>
      </c>
      <c r="K19" s="5" t="str">
        <f>IFERROR(__xludf.DUMMYFUNCTION("GOOGLETRANSLATE(E19, ""en"", ""id"")"),"Kendali merupakan alat utama untuk mengendalikan; tarikan yang menentukan adalah cara tercepat untuk menyelaraskan kembali banteng dan memastikan keselamatan.")</f>
        <v>Kendali merupakan alat utama untuk mengendalikan; tarikan yang menentukan adalah cara tercepat untuk menyelaraskan kembali banteng dan memastikan keselamatan.</v>
      </c>
    </row>
    <row r="20">
      <c r="A20" s="3">
        <v>19.0</v>
      </c>
      <c r="B20" s="4" t="s">
        <v>82</v>
      </c>
      <c r="C20" s="4" t="s">
        <v>83</v>
      </c>
      <c r="D20" s="4" t="s">
        <v>84</v>
      </c>
      <c r="E20" s="4" t="s">
        <v>85</v>
      </c>
      <c r="G20" s="5" t="str">
        <f>IFERROR(__xludf.DUMMYFUNCTION("GOOGLETRANSLATE(A20, ""en"", ""id"")"),"19")</f>
        <v>19</v>
      </c>
      <c r="H20" s="5" t="str">
        <f>IFERROR(__xludf.DUMMYFUNCTION("GOOGLETRANSLATE(B20, ""en"", ""id"")"),"Apa yang dimaksud dengan istilah pangonong dalam konteks peralatan Karapan Sapi?")</f>
        <v>Apa yang dimaksud dengan istilah pangonong dalam konteks peralatan Karapan Sapi?</v>
      </c>
      <c r="I20" s="5" t="str">
        <f>IFERROR(__xludf.DUMMYFUNCTION("GOOGLETRANSLATE(C20, ""en"", ""id"")"),"A) Cambuk joki, B) Rumbai hias, C) Kuk kayu yang menghubungkan kedua banteng, D) Tiang garis finis")</f>
        <v>A) Cambuk joki, B) Rumbai hias, C) Kuk kayu yang menghubungkan kedua banteng, D) Tiang garis finis</v>
      </c>
      <c r="J20" s="5" t="str">
        <f>IFERROR(__xludf.DUMMYFUNCTION("GOOGLETRANSLATE(D20, ""en"", ""id"")"),"C) Kuk kayu yang menghubungkan kedua lembu jantan tersebut")</f>
        <v>C) Kuk kayu yang menghubungkan kedua lembu jantan tersebut</v>
      </c>
      <c r="K20" s="5" t="str">
        <f>IFERROR(__xludf.DUMMYFUNCTION("GOOGLETRANSLATE(E20, ""en"", ""id"")"),"Pangonong merupakan peralatan penting yang mengikat banteng-banteng menjadi satu kesatuan.")</f>
        <v>Pangonong merupakan peralatan penting yang mengikat banteng-banteng menjadi satu kesatuan.</v>
      </c>
    </row>
    <row r="21">
      <c r="A21" s="3">
        <v>20.0</v>
      </c>
      <c r="B21" s="4" t="s">
        <v>86</v>
      </c>
      <c r="C21" s="4" t="s">
        <v>87</v>
      </c>
      <c r="D21" s="4" t="s">
        <v>88</v>
      </c>
      <c r="E21" s="4" t="s">
        <v>89</v>
      </c>
      <c r="G21" s="5" t="str">
        <f>IFERROR(__xludf.DUMMYFUNCTION("GOOGLETRANSLATE(A21, ""en"", ""id"")"),"20")</f>
        <v>20</v>
      </c>
      <c r="H21" s="5" t="str">
        <f>IFERROR(__xludf.DUMMYFUNCTION("GOOGLETRANSLATE(B21, ""en"", ""id"")"),"Seorang joki memperhatikan seekor banteng menarik lebih keras daripada pasangannya, menyebabkan kalele miring. Bagaimana mereka harus menstabilkan balapan?")</f>
        <v>Seorang joki memperhatikan seekor banteng menarik lebih keras daripada pasangannya, menyebabkan kalele miring. Bagaimana mereka harus menstabilkan balapan?</v>
      </c>
      <c r="I21" s="5" t="str">
        <f>IFERROR(__xludf.DUMMYFUNCTION("GOOGLETRANSLATE(C21, ""en"", ""id"")"),"A) Kendalikan banteng yang lebih cepat dengan kendali yang lebih kuat, B) Gunakan cambuk pada banteng yang lebih lambat untuk menyamakan kecepatan, C) Hentikan balapan segera untuk menghindari kecelakaan, D) Lompat dari kereta")</f>
        <v>A) Kendalikan banteng yang lebih cepat dengan kendali yang lebih kuat, B) Gunakan cambuk pada banteng yang lebih lambat untuk menyamakan kecepatan, C) Hentikan balapan segera untuk menghindari kecelakaan, D) Lompat dari kereta</v>
      </c>
      <c r="J21" s="5" t="str">
        <f>IFERROR(__xludf.DUMMYFUNCTION("GOOGLETRANSLATE(D21, ""en"", ""id"")"),"A) Terapkan kendali yang lebih kuat pada banteng yang lebih cepat")</f>
        <v>A) Terapkan kendali yang lebih kuat pada banteng yang lebih cepat</v>
      </c>
      <c r="K21" s="5" t="str">
        <f>IFERROR(__xludf.DUMMYFUNCTION("GOOGLETRANSLATE(E21, ""en"", ""id"")"),"Sang joki harus menyeimbangkan hasil kerja kedua banteng tersebut dengan cara menahan banteng yang lebih kuat, bukan hanya mencambuk banteng yang lebih lemah.")</f>
        <v>Sang joki harus menyeimbangkan hasil kerja kedua banteng tersebut dengan cara menahan banteng yang lebih kuat, bukan hanya mencambuk banteng yang lebih lemah.</v>
      </c>
    </row>
    <row r="22">
      <c r="A22" s="3">
        <v>21.0</v>
      </c>
      <c r="B22" s="4" t="s">
        <v>90</v>
      </c>
      <c r="C22" s="4" t="s">
        <v>91</v>
      </c>
      <c r="D22" s="4" t="s">
        <v>92</v>
      </c>
      <c r="E22" s="4" t="s">
        <v>93</v>
      </c>
      <c r="G22" s="5" t="str">
        <f>IFERROR(__xludf.DUMMYFUNCTION("GOOGLETRANSLATE(A22, ""en"", ""id"")"),"21")</f>
        <v>21</v>
      </c>
      <c r="H22" s="5" t="str">
        <f>IFERROR(__xludf.DUMMYFUNCTION("GOOGLETRANSLATE(B22, ""en"", ""id"")"),"Seorang wasit memperhatikan sebuah tim menggunakan kereta dorong yang jauh lebih ringan daripada standar informal. Mengapa hal ini bisa dianggap sebagai keuntungan yang tidak adil?")</f>
        <v>Seorang wasit memperhatikan sebuah tim menggunakan kereta dorong yang jauh lebih ringan daripada standar informal. Mengapa hal ini bisa dianggap sebagai keuntungan yang tidak adil?</v>
      </c>
      <c r="I22" s="5" t="str">
        <f>IFERROR(__xludf.DUMMYFUNCTION("GOOGLETRANSLATE(C22, ""en"", ""id"")"),"A) Lebih sulit untuk menyeimbangkan, B) Lebih berisik, C) Mengurangi hambatan dan tekanan, sehingga memungkinkan kecepatan lebih tinggi, D) Lebih mudah pecah")</f>
        <v>A) Lebih sulit untuk menyeimbangkan, B) Lebih berisik, C) Mengurangi hambatan dan tekanan, sehingga memungkinkan kecepatan lebih tinggi, D) Lebih mudah pecah</v>
      </c>
      <c r="J22" s="5" t="str">
        <f>IFERROR(__xludf.DUMMYFUNCTION("GOOGLETRANSLATE(D22, ""en"", ""id"")"),"C) Mengurangi hambatan dan ketegangan, sehingga memungkinkan kecepatan lebih tinggi")</f>
        <v>C) Mengurangi hambatan dan ketegangan, sehingga memungkinkan kecepatan lebih tinggi</v>
      </c>
      <c r="K22" s="5" t="str">
        <f>IFERROR(__xludf.DUMMYFUNCTION("GOOGLETRANSLATE(E22, ""en"", ""id"")"),"Kereta yang lebih ringan berarti banteng harus menarik beban lebih ringan, sehingga memberi mereka keuntungan kecepatan yang signifikan dibandingkan tim dengan kereta yang lebih berat.")</f>
        <v>Kereta yang lebih ringan berarti banteng harus menarik beban lebih ringan, sehingga memberi mereka keuntungan kecepatan yang signifikan dibandingkan tim dengan kereta yang lebih berat.</v>
      </c>
    </row>
    <row r="23">
      <c r="A23" s="3">
        <v>22.0</v>
      </c>
      <c r="B23" s="4" t="s">
        <v>94</v>
      </c>
      <c r="C23" s="4" t="s">
        <v>95</v>
      </c>
      <c r="D23" s="4" t="s">
        <v>96</v>
      </c>
      <c r="E23" s="4" t="s">
        <v>97</v>
      </c>
      <c r="G23" s="5" t="str">
        <f>IFERROR(__xludf.DUMMYFUNCTION("GOOGLETRANSLATE(A23, ""en"", ""id"")"),"22")</f>
        <v>22</v>
      </c>
      <c r="H23" s="5" t="str">
        <f>IFERROR(__xludf.DUMMYFUNCTION("GOOGLETRANSLATE(B23, ""en"", ""id"")"),"Mengapa sinkronisasi antara kedua banteng sangat penting untuk keberhasilan lomba?")</f>
        <v>Mengapa sinkronisasi antara kedua banteng sangat penting untuk keberhasilan lomba?</v>
      </c>
      <c r="I23" s="5" t="str">
        <f>IFERROR(__xludf.DUMMYFUNCTION("GOOGLETRANSLATE(C23, ""en"", ""id"")"),"A) Merupakan persyaratan untuk penilaian estetika, B) Mencegah kuk patah, C) Memastikan banteng berlari dengan serempak, memaksimalkan kekuatan dan kecepatan, D) Menenangkan banteng")</f>
        <v>A) Merupakan persyaratan untuk penilaian estetika, B) Mencegah kuk patah, C) Memastikan banteng berlari dengan serempak, memaksimalkan kekuatan dan kecepatan, D) Menenangkan banteng</v>
      </c>
      <c r="J23" s="5" t="str">
        <f>IFERROR(__xludf.DUMMYFUNCTION("GOOGLETRANSLATE(D23, ""en"", ""id"")"),"C) Memastikan banteng berlari dengan serempak, memaksimalkan kekuatan dan kecepatan")</f>
        <v>C) Memastikan banteng berlari dengan serempak, memaksimalkan kekuatan dan kecepatan</v>
      </c>
      <c r="K23" s="5" t="str">
        <f>IFERROR(__xludf.DUMMYFUNCTION("GOOGLETRANSLATE(E23, ""en"", ""id"")"),"Jika banteng tidak sinkron, mereka akan saling tarik menarik, membuang-buang energi dan mengurangi kecepatan tertinggi mereka secara keseluruhan.")</f>
        <v>Jika banteng tidak sinkron, mereka akan saling tarik menarik, membuang-buang energi dan mengurangi kecepatan tertinggi mereka secara keseluruhan.</v>
      </c>
    </row>
    <row r="24">
      <c r="A24" s="3">
        <v>23.0</v>
      </c>
      <c r="B24" s="4" t="s">
        <v>98</v>
      </c>
      <c r="C24" s="4" t="s">
        <v>99</v>
      </c>
      <c r="D24" s="4" t="s">
        <v>100</v>
      </c>
      <c r="E24" s="4" t="s">
        <v>101</v>
      </c>
      <c r="G24" s="5" t="str">
        <f>IFERROR(__xludf.DUMMYFUNCTION("GOOGLETRANSLATE(A24, ""en"", ""id"")"),"23")</f>
        <v>23</v>
      </c>
      <c r="H24" s="5" t="str">
        <f>IFERROR(__xludf.DUMMYFUNCTION("GOOGLETRANSLATE(B24, ""en"", ""id"")"),"Seekor banteng tiba-tiba menundukkan kepalanya dan meratakan telinganya saat balapan. Apa yang kemungkinan besar ditunjukkan oleh bahasa tubuh ini?")</f>
        <v>Seekor banteng tiba-tiba menundukkan kepalanya dan meratakan telinganya saat balapan. Apa yang kemungkinan besar ditunjukkan oleh bahasa tubuh ini?</v>
      </c>
      <c r="I24" s="5" t="str">
        <f>IFERROR(__xludf.DUMMYFUNCTION("GOOGLETRANSLATE(C24, ""en"", ""id"")"),"A) Banteng fokus dan mengerahkan usaha maksimal, B) Banteng menunjukkan agresi atau iritasi, C) Banteng hendak berhenti, D) Banteng rileks")</f>
        <v>A) Banteng fokus dan mengerahkan usaha maksimal, B) Banteng menunjukkan agresi atau iritasi, C) Banteng hendak berhenti, D) Banteng rileks</v>
      </c>
      <c r="J24" s="5" t="str">
        <f>IFERROR(__xludf.DUMMYFUNCTION("GOOGLETRANSLATE(D24, ""en"", ""id"")"),"B) Banteng menunjukkan agresi atau iritasi")</f>
        <v>B) Banteng menunjukkan agresi atau iritasi</v>
      </c>
      <c r="K24" s="5" t="str">
        <f>IFERROR(__xludf.DUMMYFUNCTION("GOOGLETRANSLATE(E24, ""en"", ""id"")"),"Telinga yang rata merupakan tanda umum stres, kekesalan (akibat cambuk atau tali kekang), atau agresi pada sapi.")</f>
        <v>Telinga yang rata merupakan tanda umum stres, kekesalan (akibat cambuk atau tali kekang), atau agresi pada sapi.</v>
      </c>
    </row>
    <row r="25">
      <c r="A25" s="3">
        <v>24.0</v>
      </c>
      <c r="B25" s="4" t="s">
        <v>102</v>
      </c>
      <c r="C25" s="4" t="s">
        <v>103</v>
      </c>
      <c r="D25" s="4" t="s">
        <v>104</v>
      </c>
      <c r="E25" s="4" t="s">
        <v>105</v>
      </c>
      <c r="G25" s="5" t="str">
        <f>IFERROR(__xludf.DUMMYFUNCTION("GOOGLETRANSLATE(A25, ""en"", ""id"")"),"24")</f>
        <v>24</v>
      </c>
      <c r="H25" s="5" t="str">
        <f>IFERROR(__xludf.DUMMYFUNCTION("GOOGLETRANSLATE(B25, ""en"", ""id"")"),"Dalam sebuah kejuaraan, wasit mulai menimbang kereta sebelum setiap balapan. Apa tujuan dari aturan ini?")</f>
        <v>Dalam sebuah kejuaraan, wasit mulai menimbang kereta sebelum setiap balapan. Apa tujuan dari aturan ini?</v>
      </c>
      <c r="I25" s="5" t="str">
        <f>IFERROR(__xludf.DUMMYFUNCTION("GOOGLETRANSLATE(C25, ""en"", ""id"")"),"A) Untuk memastikan semua tim memenuhi berat standar untuk kompetisi yang adil, B) Untuk memeriksa kualitas kayu, C) Untuk menghitung berat joki, D) Untuk mencegah kelebihan beban pada banteng.")</f>
        <v>A) Untuk memastikan semua tim memenuhi berat standar untuk kompetisi yang adil, B) Untuk memeriksa kualitas kayu, C) Untuk menghitung berat joki, D) Untuk mencegah kelebihan beban pada banteng.</v>
      </c>
      <c r="J25" s="5" t="str">
        <f>IFERROR(__xludf.DUMMYFUNCTION("GOOGLETRANSLATE(D25, ""en"", ""id"")"),"A) Untuk memastikan semua tim memenuhi berat standar untuk kompetisi yang adil")</f>
        <v>A) Untuk memastikan semua tim memenuhi berat standar untuk kompetisi yang adil</v>
      </c>
      <c r="K25" s="5" t="str">
        <f>IFERROR(__xludf.DUMMYFUNCTION("GOOGLETRANSLATE(E25, ""en"", ""id"")"),"Standarisasi berat kereta adalah aturan modern untuk memastikan bahwa kemenangan didasarkan pada kualitas banteng dan joki, bukan keunggulan peralatan.")</f>
        <v>Standarisasi berat kereta adalah aturan modern untuk memastikan bahwa kemenangan didasarkan pada kualitas banteng dan joki, bukan keunggulan peralatan.</v>
      </c>
    </row>
    <row r="26">
      <c r="A26" s="3">
        <v>25.0</v>
      </c>
      <c r="B26" s="4" t="s">
        <v>106</v>
      </c>
      <c r="C26" s="4" t="s">
        <v>107</v>
      </c>
      <c r="D26" s="4" t="s">
        <v>108</v>
      </c>
      <c r="E26" s="4" t="s">
        <v>109</v>
      </c>
      <c r="G26" s="5" t="str">
        <f>IFERROR(__xludf.DUMMYFUNCTION("GOOGLETRANSLATE(A26, ""en"", ""id"")"),"25")</f>
        <v>25</v>
      </c>
      <c r="H26" s="5" t="str">
        <f>IFERROR(__xludf.DUMMYFUNCTION("GOOGLETRANSLATE(B26, ""en"", ""id"")"),"Seekor banteng berulang kali menolak mendekati garis start, menunjukkan tanda-tanda panik. Apa kemungkinan penyebab perilaku ini?")</f>
        <v>Seekor banteng berulang kali menolak mendekati garis start, menunjukkan tanda-tanda panik. Apa kemungkinan penyebab perilaku ini?</v>
      </c>
      <c r="I26" s="5" t="str">
        <f>IFERROR(__xludf.DUMMYFUNCTION("GOOGLETRANSLATE(C26, ""en"", ""id"")"),"A) Banteng itu pemalas, B) Banteng itu kekenyangan, C) Banteng itu kurang terlatih dan tidak terbiasa dengan kebisingan orang banyak, D) Banteng itu tidak menyukai pasangannya")</f>
        <v>A) Banteng itu pemalas, B) Banteng itu kekenyangan, C) Banteng itu kurang terlatih dan tidak terbiasa dengan kebisingan orang banyak, D) Banteng itu tidak menyukai pasangannya</v>
      </c>
      <c r="J26" s="5" t="str">
        <f>IFERROR(__xludf.DUMMYFUNCTION("GOOGLETRANSLATE(D26, ""en"", ""id"")"),"C) Banteng kurang terlatih dan tidak terbiasa dengan kebisingan keramaian")</f>
        <v>C) Banteng kurang terlatih dan tidak terbiasa dengan kebisingan keramaian</v>
      </c>
      <c r="K26" s="5" t="str">
        <f>IFERROR(__xludf.DUMMYFUNCTION("GOOGLETRANSLATE(E26, ""en"", ""id"")"),"Suasana dan kebisingan yang intens pada suatu perlombaan dapat membuat banteng kewalahan karena belum terlatih dengan baik selama pelatihan.")</f>
        <v>Suasana dan kebisingan yang intens pada suatu perlombaan dapat membuat banteng kewalahan karena belum terlatih dengan baik selama pelatihan.</v>
      </c>
    </row>
    <row r="27">
      <c r="A27" s="3">
        <v>26.0</v>
      </c>
      <c r="B27" s="4" t="s">
        <v>110</v>
      </c>
      <c r="C27" s="4" t="s">
        <v>111</v>
      </c>
      <c r="D27" s="4" t="s">
        <v>112</v>
      </c>
      <c r="E27" s="4" t="s">
        <v>113</v>
      </c>
      <c r="G27" s="5" t="str">
        <f>IFERROR(__xludf.DUMMYFUNCTION("GOOGLETRANSLATE(A27, ""en"", ""id"")"),"26")</f>
        <v>26</v>
      </c>
      <c r="H27" s="5" t="str">
        <f>IFERROR(__xludf.DUMMYFUNCTION("GOOGLETRANSLATE(B27, ""en"", ""id"")"),"Selama latihan di luar musim, seorang joki melatih bantengnya berlari di air laut dangkal. Apa manfaat utama dari latihan ini?")</f>
        <v>Selama latihan di luar musim, seorang joki melatih bantengnya berlari di air laut dangkal. Apa manfaat utama dari latihan ini?</v>
      </c>
      <c r="I27" s="5" t="str">
        <f>IFERROR(__xludf.DUMMYFUNCTION("GOOGLETRANSLATE(C27, ""en"", ""id"")"),"A) Membersihkan bulu banteng, B) Tahan air membangun otot kaki yang lebih kuat dan daya tahan, C) Mengajari mereka berenang, D) Mendinginkan mereka saat cuaca panas")</f>
        <v>A) Membersihkan bulu banteng, B) Tahan air membangun otot kaki yang lebih kuat dan daya tahan, C) Mengajari mereka berenang, D) Mendinginkan mereka saat cuaca panas</v>
      </c>
      <c r="J27" s="5" t="str">
        <f>IFERROR(__xludf.DUMMYFUNCTION("GOOGLETRANSLATE(D27, ""en"", ""id"")"),"B) Tahan air membangun otot kaki yang lebih kuat dan daya tahan")</f>
        <v>B) Tahan air membangun otot kaki yang lebih kuat dan daya tahan</v>
      </c>
      <c r="K27" s="5" t="str">
        <f>IFERROR(__xludf.DUMMYFUNCTION("GOOGLETRANSLATE(E27, ""en"", ""id"")"),"Latihan air merupakan metode tradisional yang berfungsi sebagai bentuk latihan ketahanan, meningkatkan stamina dan kekuatan.")</f>
        <v>Latihan air merupakan metode tradisional yang berfungsi sebagai bentuk latihan ketahanan, meningkatkan stamina dan kekuatan.</v>
      </c>
    </row>
    <row r="28">
      <c r="A28" s="3">
        <v>27.0</v>
      </c>
      <c r="B28" s="4" t="s">
        <v>114</v>
      </c>
      <c r="C28" s="4" t="s">
        <v>115</v>
      </c>
      <c r="D28" s="4" t="s">
        <v>116</v>
      </c>
      <c r="E28" s="4" t="s">
        <v>117</v>
      </c>
      <c r="G28" s="5" t="str">
        <f>IFERROR(__xludf.DUMMYFUNCTION("GOOGLETRANSLATE(A28, ""en"", ""id"")"),"27")</f>
        <v>27</v>
      </c>
      <c r="H28" s="5" t="str">
        <f>IFERROR(__xludf.DUMMYFUNCTION("GOOGLETRANSLATE(B28, ""en"", ""id"")"),"Jika perlombaan diadakan di lintasan yang luar biasa kering dan keras, apa risiko utama bagi banteng?")</f>
        <v>Jika perlombaan diadakan di lintasan yang luar biasa kering dan keras, apa risiko utama bagi banteng?</v>
      </c>
      <c r="I28" s="5" t="str">
        <f>IFERROR(__xludf.DUMMYFUNCTION("GOOGLETRANSLATE(C28, ""en"", ""id"")"),"A) Mereka akan lebih sering terpeleset, B) Dehidrasi akan terjadi lebih cepat, C) Permukaan yang keras dapat menyebabkan cedera kuku dan tekanan pada sendi, D) Mereka akan berlari lebih lambat")</f>
        <v>A) Mereka akan lebih sering terpeleset, B) Dehidrasi akan terjadi lebih cepat, C) Permukaan yang keras dapat menyebabkan cedera kuku dan tekanan pada sendi, D) Mereka akan berlari lebih lambat</v>
      </c>
      <c r="J28" s="5" t="str">
        <f>IFERROR(__xludf.DUMMYFUNCTION("GOOGLETRANSLATE(D28, ""en"", ""id"")"),"C) Permukaan yang keras dapat menyebabkan cedera kuku dan tekanan pada sendi")</f>
        <v>C) Permukaan yang keras dapat menyebabkan cedera kuku dan tekanan pada sendi</v>
      </c>
      <c r="K28" s="5" t="str">
        <f>IFERROR(__xludf.DUMMYFUNCTION("GOOGLETRANSLATE(E28, ""en"", ""id"")"),"Tanah yang keras dan tidak lentur meningkatkan tekanan benturan pada kuku dan kaki banteng, sehingga meningkatkan risiko cedera.")</f>
        <v>Tanah yang keras dan tidak lentur meningkatkan tekanan benturan pada kuku dan kaki banteng, sehingga meningkatkan risiko cedera.</v>
      </c>
    </row>
    <row r="29">
      <c r="A29" s="3">
        <v>28.0</v>
      </c>
      <c r="B29" s="4" t="s">
        <v>118</v>
      </c>
      <c r="C29" s="4" t="s">
        <v>119</v>
      </c>
      <c r="D29" s="4" t="s">
        <v>120</v>
      </c>
      <c r="E29" s="4" t="s">
        <v>121</v>
      </c>
      <c r="G29" s="5" t="str">
        <f>IFERROR(__xludf.DUMMYFUNCTION("GOOGLETRANSLATE(A29, ""en"", ""id"")"),"28")</f>
        <v>28</v>
      </c>
      <c r="H29" s="5" t="str">
        <f>IFERROR(__xludf.DUMMYFUNCTION("GOOGLETRANSLATE(B29, ""en"", ""id"")"),"Apa itu saronen dalam festival Karapan Sapi?")</f>
        <v>Apa itu saronen dalam festival Karapan Sapi?</v>
      </c>
      <c r="I29" s="5" t="str">
        <f>IFERROR(__xludf.DUMMYFUNCTION("GOOGLETRANSLATE(C29, ""en"", ""id"")"),"A) Lintasan balap, B) Jenis ramuan herbal untuk banteng, C) Alat musik tradisional seperti terompet yang dimainkan pada acara tersebut, D) Piala hadiah")</f>
        <v>A) Lintasan balap, B) Jenis ramuan herbal untuk banteng, C) Alat musik tradisional seperti terompet yang dimainkan pada acara tersebut, D) Piala hadiah</v>
      </c>
      <c r="J29" s="5" t="str">
        <f>IFERROR(__xludf.DUMMYFUNCTION("GOOGLETRANSLATE(D29, ""en"", ""id"")"),"C) Alat musik tradisional sejenis terompet yang dimainkan pada acara tersebut")</f>
        <v>C) Alat musik tradisional sejenis terompet yang dimainkan pada acara tersebut</v>
      </c>
      <c r="K29" s="5" t="str">
        <f>IFERROR(__xludf.DUMMYFUNCTION("GOOGLETRANSLATE(E29, ""en"", ""id"")"),"Suara saronen yang khas dan keras merupakan bagian utama dari musik Gamelan yang mengiringi festival tersebut.")</f>
        <v>Suara saronen yang khas dan keras merupakan bagian utama dari musik Gamelan yang mengiringi festival tersebut.</v>
      </c>
    </row>
    <row r="30">
      <c r="A30" s="3">
        <v>29.0</v>
      </c>
      <c r="B30" s="4" t="s">
        <v>122</v>
      </c>
      <c r="C30" s="4" t="s">
        <v>123</v>
      </c>
      <c r="D30" s="4" t="s">
        <v>124</v>
      </c>
      <c r="E30" s="4" t="s">
        <v>125</v>
      </c>
      <c r="G30" s="5" t="str">
        <f>IFERROR(__xludf.DUMMYFUNCTION("GOOGLETRANSLATE(A30, ""en"", ""id"")"),"29")</f>
        <v>29</v>
      </c>
      <c r="H30" s="5" t="str">
        <f>IFERROR(__xludf.DUMMYFUNCTION("GOOGLETRANSLATE(B30, ""en"", ""id"")"),"Sepasang banteng didiskualifikasi karena pemeriksaan pasca-perlombaan menunjukkan kuku mereka telah diberi alas kaki yang tidak tepat dengan material tajam. Mengapa ini pelanggaran serius?")</f>
        <v>Sepasang banteng didiskualifikasi karena pemeriksaan pasca-perlombaan menunjukkan kuku mereka telah diberi alas kaki yang tidak tepat dengan material tajam. Mengapa ini pelanggaran serius?</v>
      </c>
      <c r="I30" s="5" t="str">
        <f>IFERROR(__xludf.DUMMYFUNCTION("GOOGLETRANSLATE(C30, ""en"", ""id"")"),"A) Merusak permukaan lintasan, B) Dianggap sebagai kekejaman terhadap hewan dan menciptakan keuntungan yang tidak adil, C) Menambah berat ekstra, D) Bertentangan dengan tradisi")</f>
        <v>A) Merusak permukaan lintasan, B) Dianggap sebagai kekejaman terhadap hewan dan menciptakan keuntungan yang tidak adil, C) Menambah berat ekstra, D) Bertentangan dengan tradisi</v>
      </c>
      <c r="J30" s="5" t="str">
        <f>IFERROR(__xludf.DUMMYFUNCTION("GOOGLETRANSLATE(D30, ""en"", ""id"")"),"B) Hal ini dianggap sebagai kekejaman terhadap hewan dan menciptakan keuntungan yang tidak adil")</f>
        <v>B) Hal ini dianggap sebagai kekejaman terhadap hewan dan menciptakan keuntungan yang tidak adil</v>
      </c>
      <c r="K30" s="5" t="str">
        <f>IFERROR(__xludf.DUMMYFUNCTION("GOOGLETRANSLATE(E30, ""en"", ""id"")"),"Mengubah kuku dengan cara yang dapat menimbulkan rasa sakit adalah kejam dan dianggap sebagai upaya untuk membuat banteng berlari lebih cepat karena rasa tidak nyaman.")</f>
        <v>Mengubah kuku dengan cara yang dapat menimbulkan rasa sakit adalah kejam dan dianggap sebagai upaya untuk membuat banteng berlari lebih cepat karena rasa tidak nyaman.</v>
      </c>
    </row>
    <row r="31">
      <c r="A31" s="3">
        <v>30.0</v>
      </c>
      <c r="B31" s="4" t="s">
        <v>126</v>
      </c>
      <c r="C31" s="4" t="s">
        <v>127</v>
      </c>
      <c r="D31" s="4" t="s">
        <v>128</v>
      </c>
      <c r="E31" s="4" t="s">
        <v>129</v>
      </c>
      <c r="G31" s="5" t="str">
        <f>IFERROR(__xludf.DUMMYFUNCTION("GOOGLETRANSLATE(A31, ""en"", ""id"")"),"30")</f>
        <v>30</v>
      </c>
      <c r="H31" s="5" t="str">
        <f>IFERROR(__xludf.DUMMYFUNCTION("GOOGLETRANSLATE(B31, ""en"", ""id"")"),"Sebuah tim dihukum karena ""start yang salah"". Apa artinya ini?")</f>
        <v>Sebuah tim dihukum karena "start yang salah". Apa artinya ini?</v>
      </c>
      <c r="I31" s="5" t="str">
        <f>IFERROR(__xludf.DUMMYFUNCTION("GOOGLETRANSLATE(C31, ""en"", ""id"")"),"A) Mereka melewati garis start sebelum sinyal resmi, B) Mereka menolak untuk memulai, C) Sapi jantan mereka tidak dihias dengan benar, D) Kereta mereka belum siap")</f>
        <v>A) Mereka melewati garis start sebelum sinyal resmi, B) Mereka menolak untuk memulai, C) Sapi jantan mereka tidak dihias dengan benar, D) Kereta mereka belum siap</v>
      </c>
      <c r="J31" s="5" t="str">
        <f>IFERROR(__xludf.DUMMYFUNCTION("GOOGLETRANSLATE(D31, ""en"", ""id"")"),"A) Mereka melewati garis start sebelum sinyal resmi")</f>
        <v>A) Mereka melewati garis start sebelum sinyal resmi</v>
      </c>
      <c r="K31" s="5" t="str">
        <f>IFERROR(__xludf.DUMMYFUNCTION("GOOGLETRANSLATE(E31, ""en"", ""id"")"),"Start yang salah terjadi saat suatu tim memulai perlombaan sebelum waktunya, sehingga diperlukan pemanasan ulang untuk memastikan keadilan.")</f>
        <v>Start yang salah terjadi saat suatu tim memulai perlombaan sebelum waktunya, sehingga diperlukan pemanasan ulang untuk memastikan keadilan.</v>
      </c>
    </row>
    <row r="32">
      <c r="A32" s="3">
        <v>31.0</v>
      </c>
      <c r="B32" s="4" t="s">
        <v>130</v>
      </c>
      <c r="C32" s="4" t="s">
        <v>131</v>
      </c>
      <c r="D32" s="4" t="s">
        <v>132</v>
      </c>
      <c r="E32" s="4" t="s">
        <v>133</v>
      </c>
      <c r="G32" s="5" t="str">
        <f>IFERROR(__xludf.DUMMYFUNCTION("GOOGLETRANSLATE(A32, ""en"", ""id"")"),"31")</f>
        <v>31</v>
      </c>
      <c r="H32" s="5" t="str">
        <f>IFERROR(__xludf.DUMMYFUNCTION("GOOGLETRANSLATE(B32, ""en"", ""id"")"),"Seorang joki terlihat mencondongkan tubuh ke depan di atas kaleles saat balapan berlumpur. Apa alasan taktis untuk postur ini?")</f>
        <v>Seorang joki terlihat mencondongkan tubuh ke depan di atas kaleles saat balapan berlumpur. Apa alasan taktis untuk postur ini?</v>
      </c>
      <c r="I32" s="5" t="str">
        <f>IFERROR(__xludf.DUMMYFUNCTION("GOOGLETRANSLATE(C32, ""en"", ""id"")"),"A) Untuk melihat garis akhir dengan lebih baik, B) Untuk memindahkan berat badan ke depan, membantu banteng mendapatkan daya tarik, C) Untuk melindungi dirinya dari lumpur, D) Untuk membuat kereta melaju lebih cepat dengan mengurangi hambatan angin")</f>
        <v>A) Untuk melihat garis akhir dengan lebih baik, B) Untuk memindahkan berat badan ke depan, membantu banteng mendapatkan daya tarik, C) Untuk melindungi dirinya dari lumpur, D) Untuk membuat kereta melaju lebih cepat dengan mengurangi hambatan angin</v>
      </c>
      <c r="J32" s="5" t="str">
        <f>IFERROR(__xludf.DUMMYFUNCTION("GOOGLETRANSLATE(D32, ""en"", ""id"")"),"B) Untuk memindahkan berat badan ke depan, membantu banteng mendapatkan daya tarik")</f>
        <v>B) Untuk memindahkan berat badan ke depan, membantu banteng mendapatkan daya tarik</v>
      </c>
      <c r="K32" s="5" t="str">
        <f>IFERROR(__xludf.DUMMYFUNCTION("GOOGLETRANSLATE(E32, ""en"", ""id"")"),"Menggeser pusat gravitasinya membantu menekan bagian depan kereta luncur ke bawah, yang dapat meningkatkan cengkeraman banteng dalam kondisi licin.")</f>
        <v>Menggeser pusat gravitasinya membantu menekan bagian depan kereta luncur ke bawah, yang dapat meningkatkan cengkeraman banteng dalam kondisi licin.</v>
      </c>
    </row>
    <row r="33">
      <c r="A33" s="3">
        <v>32.0</v>
      </c>
      <c r="B33" s="4" t="s">
        <v>134</v>
      </c>
      <c r="C33" s="4" t="s">
        <v>135</v>
      </c>
      <c r="D33" s="4" t="s">
        <v>136</v>
      </c>
      <c r="E33" s="4" t="s">
        <v>137</v>
      </c>
      <c r="G33" s="5" t="str">
        <f>IFERROR(__xludf.DUMMYFUNCTION("GOOGLETRANSLATE(A33, ""en"", ""id"")"),"32")</f>
        <v>32</v>
      </c>
      <c r="H33" s="5" t="str">
        <f>IFERROR(__xludf.DUMMYFUNCTION("GOOGLETRANSLATE(B33, ""en"", ""id"")"),"Apa alasan utama mengapa tim yang menggunakan banteng yang lebih muda dan lebih energik bisa kalah dari tim dengan banteng yang lebih tua dan lebih berpengalaman?")</f>
        <v>Apa alasan utama mengapa tim yang menggunakan banteng yang lebih muda dan lebih energik bisa kalah dari tim dengan banteng yang lebih tua dan lebih berpengalaman?</v>
      </c>
      <c r="I33" s="5" t="str">
        <f>IFERROR(__xludf.DUMMYFUNCTION("GOOGLETRANSLATE(C33, ""en"", ""id"")"),"A) Sapi jantan muda kurang memiliki kecepatan yang baik, B) Sapi jantan yang lebih tua lebih berat, C) Sapi jantan yang lebih muda seringkali kurang memiliki sinkronisasi dan disiplin lomba seperti sapi jantan yang sudah tua, D) Sapi jantan yang lebih tua"&amp;" lebih agresif.")</f>
        <v>A) Sapi jantan muda kurang memiliki kecepatan yang baik, B) Sapi jantan yang lebih tua lebih berat, C) Sapi jantan yang lebih muda seringkali kurang memiliki sinkronisasi dan disiplin lomba seperti sapi jantan yang sudah tua, D) Sapi jantan yang lebih tua lebih agresif.</v>
      </c>
      <c r="J33" s="5" t="str">
        <f>IFERROR(__xludf.DUMMYFUNCTION("GOOGLETRANSLATE(D33, ""en"", ""id"")"),"C) Banteng muda seringkali tidak memiliki sinkronisasi dan disiplin lomba seperti banteng veteran.")</f>
        <v>C) Banteng muda seringkali tidak memiliki sinkronisasi dan disiplin lomba seperti banteng veteran.</v>
      </c>
      <c r="K33" s="5" t="str">
        <f>IFERROR(__xludf.DUMMYFUNCTION("GOOGLETRANSLATE(E33, ""en"", ""id"")"),"Pengalaman dalam balapan bersama menghasilkan kerja sama tim dan pengelolaan energi yang lebih baik, yang sering kali melebihi energi mentah hewan yang lebih muda.")</f>
        <v>Pengalaman dalam balapan bersama menghasilkan kerja sama tim dan pengelolaan energi yang lebih baik, yang sering kali melebihi energi mentah hewan yang lebih muda.</v>
      </c>
    </row>
    <row r="34">
      <c r="A34" s="3">
        <v>33.0</v>
      </c>
      <c r="B34" s="4" t="s">
        <v>138</v>
      </c>
      <c r="C34" s="4" t="s">
        <v>139</v>
      </c>
      <c r="D34" s="4" t="s">
        <v>140</v>
      </c>
      <c r="E34" s="4" t="s">
        <v>141</v>
      </c>
      <c r="G34" s="5" t="str">
        <f>IFERROR(__xludf.DUMMYFUNCTION("GOOGLETRANSLATE(A34, ""en"", ""id"")"),"33")</f>
        <v>33</v>
      </c>
      <c r="H34" s="5" t="str">
        <f>IFERROR(__xludf.DUMMYFUNCTION("GOOGLETRANSLATE(B34, ""en"", ""id"")"),"Saat parade pra-balapan, payung diletakkan di atas banteng juara. Apa artinya ini?")</f>
        <v>Saat parade pra-balapan, payung diletakkan di atas banteng juara. Apa artinya ini?</v>
      </c>
      <c r="I34" s="5" t="str">
        <f>IFERROR(__xludf.DUMMYFUNCTION("GOOGLETRANSLATE(C34, ""en"", ""id"")"),"A) Melindungi mereka dari sinar matahari, B) Merupakan tanda kebangsawanan, kehormatan, dan rasa hormat, C) Membantu menyembunyikan mereka dari pandangan pesaing, D) Merupakan persyaratan bagi sponsor")</f>
        <v>A) Melindungi mereka dari sinar matahari, B) Merupakan tanda kebangsawanan, kehormatan, dan rasa hormat, C) Membantu menyembunyikan mereka dari pandangan pesaing, D) Merupakan persyaratan bagi sponsor</v>
      </c>
      <c r="J34" s="5" t="str">
        <f>IFERROR(__xludf.DUMMYFUNCTION("GOOGLETRANSLATE(D34, ""en"", ""id"")"),"B) Merupakan tanda kebangsawanan, kehormatan, dan rasa hormat")</f>
        <v>B) Merupakan tanda kebangsawanan, kehormatan, dan rasa hormat</v>
      </c>
      <c r="K34" s="5" t="str">
        <f>IFERROR(__xludf.DUMMYFUNCTION("GOOGLETRANSLATE(E34, ""en"", ""id"")"),"Dalam budaya Indonesia, payung upacara (pajeng) merupakan simbol martabat dan status tinggi, menghormati banteng sebagai juara.")</f>
        <v>Dalam budaya Indonesia, payung upacara (pajeng) merupakan simbol martabat dan status tinggi, menghormati banteng sebagai juara.</v>
      </c>
    </row>
    <row r="35">
      <c r="A35" s="3">
        <v>34.0</v>
      </c>
      <c r="B35" s="4" t="s">
        <v>142</v>
      </c>
      <c r="C35" s="4" t="s">
        <v>143</v>
      </c>
      <c r="D35" s="4" t="s">
        <v>144</v>
      </c>
      <c r="E35" s="4" t="s">
        <v>145</v>
      </c>
      <c r="G35" s="5" t="str">
        <f>IFERROR(__xludf.DUMMYFUNCTION("GOOGLETRANSLATE(A35, ""en"", ""id"")"),"34")</f>
        <v>34</v>
      </c>
      <c r="H35" s="5" t="str">
        <f>IFERROR(__xludf.DUMMYFUNCTION("GOOGLETRANSLATE(B35, ""en"", ""id"")"),"Kereta tim terbalik di tengah perlombaan, tetapi banteng-banteng tetap berlari. Apa tindakan langsung wasit?")</f>
        <v>Kereta tim terbalik di tengah perlombaan, tetapi banteng-banteng tetap berlari. Apa tindakan langsung wasit?</v>
      </c>
      <c r="I35" s="5" t="str">
        <f>IFERROR(__xludf.DUMMYFUNCTION("GOOGLETRANSLATE(C35, ""en"", ""id"")"),"A) Biarkan banteng menyelesaikan lomba, B) Beri sinyal untuk segera menghentikan lomba demi keselamatan, C) Diskualifikasi tim, D) Berikan kemenangan kepada tim lawan")</f>
        <v>A) Biarkan banteng menyelesaikan lomba, B) Beri sinyal untuk segera menghentikan lomba demi keselamatan, C) Diskualifikasi tim, D) Berikan kemenangan kepada tim lawan</v>
      </c>
      <c r="J35" s="5" t="str">
        <f>IFERROR(__xludf.DUMMYFUNCTION("GOOGLETRANSLATE(D35, ""en"", ""id"")"),"B) Sinyal untuk menghentikan balapan segera demi keselamatan")</f>
        <v>B) Sinyal untuk menghentikan balapan segera demi keselamatan</v>
      </c>
      <c r="K35" s="5" t="str">
        <f>IFERROR(__xludf.DUMMYFUNCTION("GOOGLETRANSLATE(E35, ""en"", ""id"")"),"Kereta yang terbalik dan joki yang lepas menciptakan situasi yang sangat berbahaya, yang mengharuskan perlombaan dihentikan segera.")</f>
        <v>Kereta yang terbalik dan joki yang lepas menciptakan situasi yang sangat berbahaya, yang mengharuskan perlombaan dihentikan segera.</v>
      </c>
    </row>
    <row r="36">
      <c r="A36" s="3">
        <v>35.0</v>
      </c>
      <c r="B36" s="4" t="s">
        <v>146</v>
      </c>
      <c r="C36" s="4" t="s">
        <v>147</v>
      </c>
      <c r="D36" s="4" t="s">
        <v>148</v>
      </c>
      <c r="E36" s="4" t="s">
        <v>149</v>
      </c>
      <c r="G36" s="5" t="str">
        <f>IFERROR(__xludf.DUMMYFUNCTION("GOOGLETRANSLATE(A36, ""en"", ""id"")"),"35")</f>
        <v>35</v>
      </c>
      <c r="H36" s="5" t="str">
        <f>IFERROR(__xludf.DUMMYFUNCTION("GOOGLETRANSLATE(B36, ""en"", ""id"")"),"Mengapa penting bagi banteng untuk melakukan pemanasan dengan benar sebelum perlombaan?")</f>
        <v>Mengapa penting bagi banteng untuk melakukan pemanasan dengan benar sebelum perlombaan?</v>
      </c>
      <c r="I36" s="5" t="str">
        <f>IFERROR(__xludf.DUMMYFUNCTION("GOOGLETRANSLATE(C36, ""en"", ""id"")"),"A) Agar mereka berkeringat dan mengurangi berat badan, B) Untuk mencegah kram otot dan cedera selama lari cepat, C) Untuk memamerkan otot mereka kepada juri, D) Untuk membuat mereka sedikit lelah sehingga mereka tidak terlalu agresif.")</f>
        <v>A) Agar mereka berkeringat dan mengurangi berat badan, B) Untuk mencegah kram otot dan cedera selama lari cepat, C) Untuk memamerkan otot mereka kepada juri, D) Untuk membuat mereka sedikit lelah sehingga mereka tidak terlalu agresif.</v>
      </c>
      <c r="J36" s="5" t="str">
        <f>IFERROR(__xludf.DUMMYFUNCTION("GOOGLETRANSLATE(D36, ""en"", ""id"")"),"B) Untuk mencegah kram otot dan cedera saat lari cepat")</f>
        <v>B) Untuk mencegah kram otot dan cedera saat lari cepat</v>
      </c>
      <c r="K36" s="5" t="str">
        <f>IFERROR(__xludf.DUMMYFUNCTION("GOOGLETRANSLATE(E36, ""en"", ""id"")"),"Sama seperti atlet manusia, pemanasan mempersiapkan otot banteng untuk aktivitas berat, mengurangi risiko tegang dan kram.")</f>
        <v>Sama seperti atlet manusia, pemanasan mempersiapkan otot banteng untuk aktivitas berat, mengurangi risiko tegang dan kram.</v>
      </c>
    </row>
    <row r="37">
      <c r="A37" s="3">
        <v>36.0</v>
      </c>
      <c r="B37" s="4" t="s">
        <v>150</v>
      </c>
      <c r="C37" s="4" t="s">
        <v>151</v>
      </c>
      <c r="D37" s="4" t="s">
        <v>152</v>
      </c>
      <c r="E37" s="4" t="s">
        <v>153</v>
      </c>
      <c r="G37" s="5" t="str">
        <f>IFERROR(__xludf.DUMMYFUNCTION("GOOGLETRANSLATE(A37, ""en"", ""id"")"),"36")</f>
        <v>36</v>
      </c>
      <c r="H37" s="5" t="str">
        <f>IFERROR(__xludf.DUMMYFUNCTION("GOOGLETRANSLATE(B37, ""en"", ""id"")"),"Tradisi balap sapi di Madura diperkirakan dimulai oleh siapa?")</f>
        <v>Tradisi balap sapi di Madura diperkirakan dimulai oleh siapa?</v>
      </c>
      <c r="I37" s="5" t="str">
        <f>IFERROR(__xludf.DUMMYFUNCTION("GOOGLETRANSLATE(C37, ""en"", ""id"")"),"A) Seorang penjajah Belanda, B) Seorang pangeran atau bangsawan setempat, C) Sekelompok petani padi, D) Seorang pemimpin agama")</f>
        <v>A) Seorang penjajah Belanda, B) Seorang pangeran atau bangsawan setempat, C) Sekelompok petani padi, D) Seorang pemimpin agama</v>
      </c>
      <c r="J37" s="5" t="str">
        <f>IFERROR(__xludf.DUMMYFUNCTION("GOOGLETRANSLATE(D37, ""en"", ""id"")"),"C) Sekelompok petani padi")</f>
        <v>C) Sekelompok petani padi</v>
      </c>
      <c r="K37" s="5" t="str">
        <f>IFERROR(__xludf.DUMMYFUNCTION("GOOGLETRANSLATE(E37, ""en"", ""id"")"),"Tradisi mengatakan bahwa Karapan Sapi dimulai oleh petani sebagai cara yang menyenangkan untuk membajak ladang dan kemudian berkembang menjadi olahraga kompetitif.")</f>
        <v>Tradisi mengatakan bahwa Karapan Sapi dimulai oleh petani sebagai cara yang menyenangkan untuk membajak ladang dan kemudian berkembang menjadi olahraga kompetitif.</v>
      </c>
    </row>
    <row r="38">
      <c r="A38" s="3">
        <v>37.0</v>
      </c>
      <c r="B38" s="4" t="s">
        <v>154</v>
      </c>
      <c r="C38" s="4" t="s">
        <v>155</v>
      </c>
      <c r="D38" s="4" t="s">
        <v>156</v>
      </c>
      <c r="E38" s="4" t="s">
        <v>157</v>
      </c>
      <c r="G38" s="5" t="str">
        <f>IFERROR(__xludf.DUMMYFUNCTION("GOOGLETRANSLATE(A38, ""en"", ""id"")"),"37")</f>
        <v>37</v>
      </c>
      <c r="H38" s="5" t="str">
        <f>IFERROR(__xludf.DUMMYFUNCTION("GOOGLETRANSLATE(B38, ""en"", ""id"")"),"Sebuah tim didiskualifikasi karena jokinya ditemukan berusia di bawah batas usia minimum. Berapa batas usia yang umum untuk joki?")</f>
        <v>Sebuah tim didiskualifikasi karena jokinya ditemukan berusia di bawah batas usia minimum. Berapa batas usia yang umum untuk joki?</v>
      </c>
      <c r="I38" s="5" t="str">
        <f>IFERROR(__xludf.DUMMYFUNCTION("GOOGLETRANSLATE(C38, ""en"", ""id"")"),"A) 10-12 tahun, B) 12-14 tahun, C) 14-16 tahun, D) Tidak ada batasan usia")</f>
        <v>A) 10-12 tahun, B) 12-14 tahun, C) 14-16 tahun, D) Tidak ada batasan usia</v>
      </c>
      <c r="J38" s="5" t="str">
        <f>IFERROR(__xludf.DUMMYFUNCTION("GOOGLETRANSLATE(D38, ""en"", ""id"")"),"B) 12-14 tahun")</f>
        <v>B) 12-14 tahun</v>
      </c>
      <c r="K38" s="5" t="str">
        <f>IFERROR(__xludf.DUMMYFUNCTION("GOOGLETRANSLATE(E38, ""en"", ""id"")"),"Meskipun perlombaan informal mungkin melibatkan joki yang lebih muda, kompetisi resmi sering kali memiliki batasan usia minimum di awal belasan tahun demi alasan keselamatan.")</f>
        <v>Meskipun perlombaan informal mungkin melibatkan joki yang lebih muda, kompetisi resmi sering kali memiliki batasan usia minimum di awal belasan tahun demi alasan keselamatan.</v>
      </c>
    </row>
    <row r="39">
      <c r="A39" s="3">
        <v>38.0</v>
      </c>
      <c r="B39" s="4" t="s">
        <v>158</v>
      </c>
      <c r="C39" s="4" t="s">
        <v>159</v>
      </c>
      <c r="D39" s="4" t="s">
        <v>160</v>
      </c>
      <c r="E39" s="4" t="s">
        <v>161</v>
      </c>
      <c r="G39" s="5" t="str">
        <f>IFERROR(__xludf.DUMMYFUNCTION("GOOGLETRANSLATE(A39, ""en"", ""id"")"),"38")</f>
        <v>38</v>
      </c>
      <c r="H39" s="5" t="str">
        <f>IFERROR(__xludf.DUMMYFUNCTION("GOOGLETRANSLATE(B39, ""en"", ""id"")"),"Apa hukumnya jika ada penonton yang melempar benda ke lintasan sehingga mengganggu jalannya pertandingan?")</f>
        <v>Apa hukumnya jika ada penonton yang melempar benda ke lintasan sehingga mengganggu jalannya pertandingan?</v>
      </c>
      <c r="I39" s="5" t="str">
        <f>IFERROR(__xludf.DUMMYFUNCTION("GOOGLETRANSLATE(C39, ""en"", ""id"")"),"A) Perlombaan berlanjut, B) Penonton dikeluarkan dan hasil perlombaan tetap berlaku, C) Heat dinyatakan ""no-contest"" dan diulang, D) Tim yang terkena dampak didiskualifikasi")</f>
        <v>A) Perlombaan berlanjut, B) Penonton dikeluarkan dan hasil perlombaan tetap berlaku, C) Heat dinyatakan "no-contest" dan diulang, D) Tim yang terkena dampak didiskualifikasi</v>
      </c>
      <c r="J39" s="5" t="str">
        <f>IFERROR(__xludf.DUMMYFUNCTION("GOOGLETRANSLATE(D39, ""en"", ""id"")"),"C) Panasnya dinyatakan ""tidak ada kontes"" dan dijalankan ulang")</f>
        <v>C) Panasnya dinyatakan "tidak ada kontes" dan dijalankan ulang</v>
      </c>
      <c r="K39" s="5" t="str">
        <f>IFERROR(__xludf.DUMMYFUNCTION("GOOGLETRANSLATE(E39, ""en"", ""id"")"),"Gangguan eksternal yang memengaruhi keadilan perlombaan biasanya mengakibatkan babak penyisihan dibatalkan dan diulang.")</f>
        <v>Gangguan eksternal yang memengaruhi keadilan perlombaan biasanya mengakibatkan babak penyisihan dibatalkan dan diulang.</v>
      </c>
    </row>
    <row r="40">
      <c r="A40" s="3">
        <v>39.0</v>
      </c>
      <c r="B40" s="4" t="s">
        <v>162</v>
      </c>
      <c r="C40" s="4" t="s">
        <v>163</v>
      </c>
      <c r="D40" s="4" t="s">
        <v>164</v>
      </c>
      <c r="E40" s="4" t="s">
        <v>165</v>
      </c>
      <c r="G40" s="5" t="str">
        <f>IFERROR(__xludf.DUMMYFUNCTION("GOOGLETRANSLATE(A40, ""en"", ""id"")"),"39")</f>
        <v>39</v>
      </c>
      <c r="H40" s="5" t="str">
        <f>IFERROR(__xludf.DUMMYFUNCTION("GOOGLETRANSLATE(B40, ""en"", ""id"")"),"Seorang joki menggunakan cambuk berujung logam, yang ditemukan setelah ia memenangkan perlombaan. Apa kemungkinan hasilnya?")</f>
        <v>Seorang joki menggunakan cambuk berujung logam, yang ditemukan setelah ia memenangkan perlombaan. Apa kemungkinan hasilnya?</v>
      </c>
      <c r="I40" s="5" t="str">
        <f>IFERROR(__xludf.DUMMYFUNCTION("GOOGLETRANSLATE(C40, ""en"", ""id"")"),"A) Kemenangannya tetap berlaku, tetapi dia didenda, B) Dia diberi peringatan untuk perlombaan berikutnya, C) Kemenangannya dibatalkan, dan dia didiskualifikasi, D) Cambuknya disita")</f>
        <v>A) Kemenangannya tetap berlaku, tetapi dia didenda, B) Dia diberi peringatan untuk perlombaan berikutnya, C) Kemenangannya dibatalkan, dan dia didiskualifikasi, D) Cambuknya disita</v>
      </c>
      <c r="J40" s="5" t="str">
        <f>IFERROR(__xludf.DUMMYFUNCTION("GOOGLETRANSLATE(D40, ""en"", ""id"")"),"C) Kemenangannya dibatalkan dan dia didiskualifikasi")</f>
        <v>C) Kemenangannya dibatalkan dan dia didiskualifikasi</v>
      </c>
      <c r="K40" s="5" t="str">
        <f>IFERROR(__xludf.DUMMYFUNCTION("GOOGLETRANSLATE(E40, ""en"", ""id"")"),"Menggunakan peralatan ilegal dan berbahaya merupakan pelanggaran berat yang berakibat diskualifikasi secara retroaktif.")</f>
        <v>Menggunakan peralatan ilegal dan berbahaya merupakan pelanggaran berat yang berakibat diskualifikasi secara retroaktif.</v>
      </c>
    </row>
    <row r="41">
      <c r="A41" s="3">
        <v>40.0</v>
      </c>
      <c r="B41" s="4" t="s">
        <v>166</v>
      </c>
      <c r="C41" s="4" t="s">
        <v>167</v>
      </c>
      <c r="D41" s="4" t="s">
        <v>168</v>
      </c>
      <c r="E41" s="4" t="s">
        <v>169</v>
      </c>
      <c r="G41" s="5" t="str">
        <f>IFERROR(__xludf.DUMMYFUNCTION("GOOGLETRANSLATE(A41, ""en"", ""id"")"),"40")</f>
        <v>40</v>
      </c>
      <c r="H41" s="5" t="str">
        <f>IFERROR(__xludf.DUMMYFUNCTION("GOOGLETRANSLATE(B41, ""en"", ""id"")"),"Apa artinya jika suatu tim memenangkan Piala Presiden?")</f>
        <v>Apa artinya jika suatu tim memenangkan Piala Presiden?</v>
      </c>
      <c r="I41" s="5" t="str">
        <f>IFERROR(__xludf.DUMMYFUNCTION("GOOGLETRANSLATE(C41, ""en"", ""id"")"),"A) Mereka telah memenangkan perlombaan desa setempat, B) Mereka telah memenangkan kejuaraan final besar musim ini, C) Mereka telah memenangkan perlombaan pameran khusus, D) Mereka telah memenangkan hadiah untuk dekorasi terbaik")</f>
        <v>A) Mereka telah memenangkan perlombaan desa setempat, B) Mereka telah memenangkan kejuaraan final besar musim ini, C) Mereka telah memenangkan perlombaan pameran khusus, D) Mereka telah memenangkan hadiah untuk dekorasi terbaik</v>
      </c>
      <c r="J41" s="5" t="str">
        <f>IFERROR(__xludf.DUMMYFUNCTION("GOOGLETRANSLATE(D41, ""en"", ""id"")"),"B) Mereka telah memenangkan kejuaraan final besar musim ini")</f>
        <v>B) Mereka telah memenangkan kejuaraan final besar musim ini</v>
      </c>
      <c r="K41" s="5" t="str">
        <f>IFERROR(__xludf.DUMMYFUNCTION("GOOGLETRANSLATE(E41, ""en"", ""id"")"),"Piala Presiden merupakan ajang tahunan paling bergengsi yang menandai kejuaraan tertinggi di musim Karapan Sapi.")</f>
        <v>Piala Presiden merupakan ajang tahunan paling bergengsi yang menandai kejuaraan tertinggi di musim Karapan Sapi.</v>
      </c>
    </row>
    <row r="42">
      <c r="A42" s="3">
        <v>41.0</v>
      </c>
      <c r="B42" s="4" t="s">
        <v>170</v>
      </c>
      <c r="C42" s="4" t="s">
        <v>171</v>
      </c>
      <c r="D42" s="4" t="s">
        <v>172</v>
      </c>
      <c r="E42" s="4" t="s">
        <v>173</v>
      </c>
      <c r="G42" s="5" t="str">
        <f>IFERROR(__xludf.DUMMYFUNCTION("GOOGLETRANSLATE(A42, ""en"", ""id"")"),"41")</f>
        <v>41</v>
      </c>
      <c r="H42" s="5" t="str">
        <f>IFERROR(__xludf.DUMMYFUNCTION("GOOGLETRANSLATE(B42, ""en"", ""id"")"),"Seekor banteng menghentakkan kukunya berulang kali ke tanah sebelum memulai. Apa yang ditunjukkan oleh perilaku ini?")</f>
        <v>Seekor banteng menghentakkan kukunya berulang kali ke tanah sebelum memulai. Apa yang ditunjukkan oleh perilaku ini?</v>
      </c>
      <c r="I42" s="5" t="str">
        <f>IFERROR(__xludf.DUMMYFUNCTION("GOOGLETRANSLATE(C42, ""en"", ""id"")"),"A) Banteng itu terluka, B) Banteng itu mencoba untuk mendapatkan pegangan yang lebih baik, C) Banteng itu menunjukkan tanda-tanda kegelisahan dan keinginan untuk berlari, D) Banteng itu ketakutan")</f>
        <v>A) Banteng itu terluka, B) Banteng itu mencoba untuk mendapatkan pegangan yang lebih baik, C) Banteng itu menunjukkan tanda-tanda kegelisahan dan keinginan untuk berlari, D) Banteng itu ketakutan</v>
      </c>
      <c r="J42" s="5" t="str">
        <f>IFERROR(__xludf.DUMMYFUNCTION("GOOGLETRANSLATE(D42, ""en"", ""id"")"),"C) Banteng menunjukkan tanda-tanda gelisah dan bersemangat untuk berlari")</f>
        <v>C) Banteng menunjukkan tanda-tanda gelisah dan bersemangat untuk berlari</v>
      </c>
      <c r="K42" s="5" t="str">
        <f>IFERROR(__xludf.DUMMYFUNCTION("GOOGLETRANSLATE(E42, ""en"", ""id"")"),"Ini adalah perilaku umum sebelum lomba yang menunjukkan banteng waspada, bersemangat, dan siap bertanding.")</f>
        <v>Ini adalah perilaku umum sebelum lomba yang menunjukkan banteng waspada, bersemangat, dan siap bertanding.</v>
      </c>
    </row>
    <row r="43">
      <c r="A43" s="3">
        <v>42.0</v>
      </c>
      <c r="B43" s="4" t="s">
        <v>174</v>
      </c>
      <c r="C43" s="4" t="s">
        <v>175</v>
      </c>
      <c r="D43" s="4" t="s">
        <v>176</v>
      </c>
      <c r="E43" s="4" t="s">
        <v>177</v>
      </c>
      <c r="G43" s="5" t="str">
        <f>IFERROR(__xludf.DUMMYFUNCTION("GOOGLETRANSLATE(A43, ""en"", ""id"")"),"42")</f>
        <v>42</v>
      </c>
      <c r="H43" s="5" t="str">
        <f>IFERROR(__xludf.DUMMYFUNCTION("GOOGLETRANSLATE(B43, ""en"", ""id"")"),"Apa alasan utama mengapa banteng Karapan Sapi biasanya lebih ramping dan berotot daripada banteng pembajak ladang?")</f>
        <v>Apa alasan utama mengapa banteng Karapan Sapi biasanya lebih ramping dan berotot daripada banteng pembajak ladang?</v>
      </c>
      <c r="I43" s="5" t="str">
        <f>IFERROR(__xludf.DUMMYFUNCTION("GOOGLETRANSLATE(C43, ""en"", ""id"")"),"A) Mereka adalah ras yang berbeda, B) Mereka diberi makan makanan khusus dan menjalani pelatihan atletik, C) Mereka lebih muda, D) Mereka melakukan lebih sedikit pekerjaan")</f>
        <v>A) Mereka adalah ras yang berbeda, B) Mereka diberi makan makanan khusus dan menjalani pelatihan atletik, C) Mereka lebih muda, D) Mereka melakukan lebih sedikit pekerjaan</v>
      </c>
      <c r="J43" s="5" t="str">
        <f>IFERROR(__xludf.DUMMYFUNCTION("GOOGLETRANSLATE(D43, ""en"", ""id"")"),"B) Mereka diberi makan makanan khusus dan menjalani pelatihan atletik")</f>
        <v>B) Mereka diberi makan makanan khusus dan menjalani pelatihan atletik</v>
      </c>
      <c r="K43" s="5" t="str">
        <f>IFERROR(__xludf.DUMMYFUNCTION("GOOGLETRANSLATE(E43, ""en"", ""id"")"),"Banteng balap adalah atlet elit, yang dilatih melalui latihan keras dan diet khusus untuk membentuk otot agar cepat, bukan untuk menarik beban.")</f>
        <v>Banteng balap adalah atlet elit, yang dilatih melalui latihan keras dan diet khusus untuk membentuk otot agar cepat, bukan untuk menarik beban.</v>
      </c>
    </row>
    <row r="44">
      <c r="A44" s="3">
        <v>43.0</v>
      </c>
      <c r="B44" s="4" t="s">
        <v>178</v>
      </c>
      <c r="C44" s="4" t="s">
        <v>179</v>
      </c>
      <c r="D44" s="4" t="s">
        <v>180</v>
      </c>
      <c r="E44" s="4" t="s">
        <v>181</v>
      </c>
      <c r="G44" s="5" t="str">
        <f>IFERROR(__xludf.DUMMYFUNCTION("GOOGLETRANSLATE(A44, ""en"", ""id"")"),"43")</f>
        <v>43</v>
      </c>
      <c r="H44" s="5" t="str">
        <f>IFERROR(__xludf.DUMMYFUNCTION("GOOGLETRANSLATE(B44, ""en"", ""id"")"),"Jika as roda kereta tidak diminyaki dengan benar sebelum perlombaan, apa akibat langsungnya terhadap kinerja?")</f>
        <v>Jika as roda kereta tidak diminyaki dengan benar sebelum perlombaan, apa akibat langsungnya terhadap kinerja?</v>
      </c>
      <c r="I44" s="5" t="str">
        <f>IFERROR(__xludf.DUMMYFUNCTION("GOOGLETRANSLATE(C44, ""en"", ""id"")"),"A) Gerobak akan lebih tenang, B) Gerobak akan lebih stabil, C) Peningkatan gesekan akan memperlambat banteng, D) Banteng akan lebih mudah dikendalikan")</f>
        <v>A) Gerobak akan lebih tenang, B) Gerobak akan lebih stabil, C) Peningkatan gesekan akan memperlambat banteng, D) Banteng akan lebih mudah dikendalikan</v>
      </c>
      <c r="J44" s="5" t="str">
        <f>IFERROR(__xludf.DUMMYFUNCTION("GOOGLETRANSLATE(D44, ""en"", ""id"")"),"C) Peningkatan gesekan akan memperlambat banteng")</f>
        <v>C) Peningkatan gesekan akan memperlambat banteng</v>
      </c>
      <c r="K44" s="5" t="str">
        <f>IFERROR(__xludf.DUMMYFUNCTION("GOOGLETRANSLATE(E44, ""en"", ""id"")"),"Gandar yang kering menimbulkan hambatan, memaksa banteng bekerja lebih keras dan secara signifikan mengurangi kecepatan tertinggi potensialnya.")</f>
        <v>Gandar yang kering menimbulkan hambatan, memaksa banteng bekerja lebih keras dan secara signifikan mengurangi kecepatan tertinggi potensialnya.</v>
      </c>
    </row>
    <row r="45">
      <c r="A45" s="3">
        <v>44.0</v>
      </c>
      <c r="B45" s="4" t="s">
        <v>182</v>
      </c>
      <c r="C45" s="4" t="s">
        <v>183</v>
      </c>
      <c r="D45" s="4" t="s">
        <v>184</v>
      </c>
      <c r="E45" s="4" t="s">
        <v>185</v>
      </c>
      <c r="G45" s="5" t="str">
        <f>IFERROR(__xludf.DUMMYFUNCTION("GOOGLETRANSLATE(A45, ""en"", ""id"")"),"44")</f>
        <v>44</v>
      </c>
      <c r="H45" s="5" t="str">
        <f>IFERROR(__xludf.DUMMYFUNCTION("GOOGLETRANSLATE(B45, ""en"", ""id"")"),"Sebuah tim dipuji karena memenangkan penghargaan untuk ""sinkronisasi paling lancar"". Apa yang akan diamati para juri?")</f>
        <v>Sebuah tim dipuji karena memenangkan penghargaan untuk "sinkronisasi paling lancar". Apa yang akan diamati para juri?</v>
      </c>
      <c r="I45" s="5" t="str">
        <f>IFERROR(__xludf.DUMMYFUNCTION("GOOGLETRANSLATE(C45, ""en"", ""id"")"),"A) Tanduk banteng-banteng tersebut sejajar sempurna, B) Joki menggunakan perintah yang paling pelan, C) Banteng-banteng tersebut berlari bersama-sama dalam irama yang lurus dan harmonis tanpa melawan kuk, D) Kereta itu memiliki dekorasi terbaik")</f>
        <v>A) Tanduk banteng-banteng tersebut sejajar sempurna, B) Joki menggunakan perintah yang paling pelan, C) Banteng-banteng tersebut berlari bersama-sama dalam irama yang lurus dan harmonis tanpa melawan kuk, D) Kereta itu memiliki dekorasi terbaik</v>
      </c>
      <c r="J45" s="5" t="str">
        <f>IFERROR(__xludf.DUMMYFUNCTION("GOOGLETRANSLATE(D45, ""en"", ""id"")"),"C) Sapi jantan berlari bersama-sama dalam irama yang lurus dan harmonis tanpa melawan kuk")</f>
        <v>C) Sapi jantan berlari bersama-sama dalam irama yang lurus dan harmonis tanpa melawan kuk</v>
      </c>
      <c r="K45" s="5" t="str">
        <f>IFERROR(__xludf.DUMMYFUNCTION("GOOGLETRANSLATE(E45, ""en"", ""id"")"),"Sinkronisasi yang baik dinilai dari seberapa baik banteng bekerja sebagai satu unit tunggal yang efisien, dengan langkah yang halus dan terkoordinasi.")</f>
        <v>Sinkronisasi yang baik dinilai dari seberapa baik banteng bekerja sebagai satu unit tunggal yang efisien, dengan langkah yang halus dan terkoordinasi.</v>
      </c>
    </row>
    <row r="46">
      <c r="A46" s="3">
        <v>45.0</v>
      </c>
      <c r="B46" s="4" t="s">
        <v>186</v>
      </c>
      <c r="C46" s="4" t="s">
        <v>187</v>
      </c>
      <c r="D46" s="4" t="s">
        <v>188</v>
      </c>
      <c r="E46" s="4" t="s">
        <v>189</v>
      </c>
      <c r="G46" s="5" t="str">
        <f>IFERROR(__xludf.DUMMYFUNCTION("GOOGLETRANSLATE(A46, ""en"", ""id"")"),"45")</f>
        <v>45</v>
      </c>
      <c r="H46" s="5" t="str">
        <f>IFERROR(__xludf.DUMMYFUNCTION("GOOGLETRANSLATE(B46, ""en"", ""id"")"),"Suatu balapan diadakan di lintasan dengan tikungan tajam. Keterampilan spesifik apa yang lebih penting bagi joki?")</f>
        <v>Suatu balapan diadakan di lintasan dengan tikungan tajam. Keterampilan spesifik apa yang lebih penting bagi joki?</v>
      </c>
      <c r="I46" s="5" t="str">
        <f>IFERROR(__xludf.DUMMYFUNCTION("GOOGLETRANSLATE(C46, ""en"", ""id"")"),"A) Teknik mencambuk, B) Berteriak lebih keras, C) Mengendalikan kecepatan banteng luar untuk mencegah melayang, D) Menyeimbangkan dengan satu kaki")</f>
        <v>A) Teknik mencambuk, B) Berteriak lebih keras, C) Mengendalikan kecepatan banteng luar untuk mencegah melayang, D) Menyeimbangkan dengan satu kaki</v>
      </c>
      <c r="J46" s="5" t="str">
        <f>IFERROR(__xludf.DUMMYFUNCTION("GOOGLETRANSLATE(D46, ""en"", ""id"")"),"C) Mengontrol kecepatan banteng luar untuk mencegah drifting")</f>
        <v>C) Mengontrol kecepatan banteng luar untuk mencegah drifting</v>
      </c>
      <c r="K46" s="5" t="str">
        <f>IFERROR(__xludf.DUMMYFUNCTION("GOOGLETRANSLATE(E46, ""en"", ""id"")"),"Pada tikungan, banteng luar harus menempuh jarak yang lebih jauh dan cenderung menarik lebar, sehingga memerlukan kendali kendali yang ahli dari joki.")</f>
        <v>Pada tikungan, banteng luar harus menempuh jarak yang lebih jauh dan cenderung menarik lebar, sehingga memerlukan kendali kendali yang ahli dari joki.</v>
      </c>
    </row>
    <row r="47">
      <c r="A47" s="3">
        <v>46.0</v>
      </c>
      <c r="B47" s="4" t="s">
        <v>190</v>
      </c>
      <c r="C47" s="4" t="s">
        <v>191</v>
      </c>
      <c r="D47" s="4" t="s">
        <v>192</v>
      </c>
      <c r="E47" s="4" t="s">
        <v>193</v>
      </c>
      <c r="G47" s="5" t="str">
        <f>IFERROR(__xludf.DUMMYFUNCTION("GOOGLETRANSLATE(A47, ""en"", ""id"")"),"46")</f>
        <v>46</v>
      </c>
      <c r="H47" s="5" t="str">
        <f>IFERROR(__xludf.DUMMYFUNCTION("GOOGLETRANSLATE(B47, ""en"", ""id"")"),"Dalam konteks Karapan Sapi, apa yang dimaksud dengan kalabbangan?")</f>
        <v>Dalam konteks Karapan Sapi, apa yang dimaksud dengan kalabbangan?</v>
      </c>
      <c r="I47" s="5" t="str">
        <f>IFERROR(__xludf.DUMMYFUNCTION("GOOGLETRANSLATE(C47, ""en"", ""id"")"),"A) Gerbang start, B) Piala kejuaraan, C) Area garis finish, sering ditandai dengan spanduk, D) Kostum tradisional joki")</f>
        <v>A) Gerbang start, B) Piala kejuaraan, C) Area garis finish, sering ditandai dengan spanduk, D) Kostum tradisional joki</v>
      </c>
      <c r="J47" s="5" t="str">
        <f>IFERROR(__xludf.DUMMYFUNCTION("GOOGLETRANSLATE(D47, ""en"", ""id"")"),"C) Area garis finis, sering ditandai dengan spanduk")</f>
        <v>C) Area garis finis, sering ditandai dengan spanduk</v>
      </c>
      <c r="K47" s="5" t="str">
        <f>IFERROR(__xludf.DUMMYFUNCTION("GOOGLETRANSLATE(E47, ""en"", ""id"")"),"Kalabbangan adalah garis akhir, target yang semua tim berlomba untuk mencapainya.")</f>
        <v>Kalabbangan adalah garis akhir, target yang semua tim berlomba untuk mencapainya.</v>
      </c>
    </row>
    <row r="48">
      <c r="A48" s="3">
        <v>47.0</v>
      </c>
      <c r="B48" s="4" t="s">
        <v>194</v>
      </c>
      <c r="C48" s="4" t="s">
        <v>195</v>
      </c>
      <c r="D48" s="4" t="s">
        <v>196</v>
      </c>
      <c r="E48" s="4" t="s">
        <v>197</v>
      </c>
      <c r="G48" s="5" t="str">
        <f>IFERROR(__xludf.DUMMYFUNCTION("GOOGLETRANSLATE(A48, ""en"", ""id"")"),"47")</f>
        <v>47</v>
      </c>
      <c r="H48" s="5" t="str">
        <f>IFERROR(__xludf.DUMMYFUNCTION("GOOGLETRANSLATE(B48, ""en"", ""id"")"),"Mengapa perlombaan biasanya dilaksanakan dalam serangkaian babak?")</f>
        <v>Mengapa perlombaan biasanya dilaksanakan dalam serangkaian babak?</v>
      </c>
      <c r="I48" s="5" t="str">
        <f>IFERROR(__xludf.DUMMYFUNCTION("GOOGLETRANSLATE(C48, ""en"", ""id"")"),"A) Untuk memungkinkan banteng beristirahat di antara sprint, B) Untuk mengakomodasi sejumlah besar tim yang berkompetisi dalam format turnamen, C) Untuk membuat acara berlangsung lebih lama bagi penonton, D) Untuk memungkinkan taruhan pada setiap babak")</f>
        <v>A) Untuk memungkinkan banteng beristirahat di antara sprint, B) Untuk mengakomodasi sejumlah besar tim yang berkompetisi dalam format turnamen, C) Untuk membuat acara berlangsung lebih lama bagi penonton, D) Untuk memungkinkan taruhan pada setiap babak</v>
      </c>
      <c r="J48" s="5" t="str">
        <f>IFERROR(__xludf.DUMMYFUNCTION("GOOGLETRANSLATE(D48, ""en"", ""id"")"),"B) Untuk menampung sejumlah besar tim yang berkompetisi dalam format turnamen")</f>
        <v>B) Untuk menampung sejumlah besar tim yang berkompetisi dalam format turnamen</v>
      </c>
      <c r="K48" s="5" t="str">
        <f>IFERROR(__xludf.DUMMYFUNCTION("GOOGLETRANSLATE(E48, ""en"", ""id"")"),"Sistem panas memungkinkan penyelenggara mengelola sejumlah besar peserta, dengan para pemenang melaju melalui beberapa babak hingga akhirnya mencapai final.")</f>
        <v>Sistem panas memungkinkan penyelenggara mengelola sejumlah besar peserta, dengan para pemenang melaju melalui beberapa babak hingga akhirnya mencapai final.</v>
      </c>
    </row>
    <row r="49">
      <c r="A49" s="3">
        <v>48.0</v>
      </c>
      <c r="B49" s="4" t="s">
        <v>198</v>
      </c>
      <c r="C49" s="4" t="s">
        <v>199</v>
      </c>
      <c r="D49" s="4" t="s">
        <v>200</v>
      </c>
      <c r="E49" s="4" t="s">
        <v>201</v>
      </c>
      <c r="G49" s="5" t="str">
        <f>IFERROR(__xludf.DUMMYFUNCTION("GOOGLETRANSLATE(A49, ""en"", ""id"")"),"48")</f>
        <v>48</v>
      </c>
      <c r="H49" s="5" t="str">
        <f>IFERROR(__xludf.DUMMYFUNCTION("GOOGLETRANSLATE(B49, ""en"", ""id"")"),"Seekor banteng memiliki satu tanduk yang jauh lebih panjang daripada tanduk lainnya. Bagaimana hal ini dapat memengaruhi performanya?")</f>
        <v>Seekor banteng memiliki satu tanduk yang jauh lebih panjang daripada tanduk lainnya. Bagaimana hal ini dapat memengaruhi performanya?</v>
      </c>
      <c r="I49" s="5" t="str">
        <f>IFERROR(__xludf.DUMMYFUNCTION("GOOGLETRANSLATE(C49, ""en"", ""id"")"),"A) Tidak akan mempengaruhi performa, B) Bisa menyebabkan sedikit ketidakseimbangan, mempengaruhi sinkronisasi dan lari lurus, C) Akan membuat banteng lebih agresif, D) Akan membantu banteng berlari lebih cepat")</f>
        <v>A) Tidak akan mempengaruhi performa, B) Bisa menyebabkan sedikit ketidakseimbangan, mempengaruhi sinkronisasi dan lari lurus, C) Akan membuat banteng lebih agresif, D) Akan membantu banteng berlari lebih cepat</v>
      </c>
      <c r="J49" s="5" t="str">
        <f>IFERROR(__xludf.DUMMYFUNCTION("GOOGLETRANSLATE(D49, ""en"", ""id"")"),"B) Hal ini dapat menyebabkan sedikit ketidakseimbangan, yang mempengaruhi sinkronisasi dan lari lurus")</f>
        <v>B) Hal ini dapat menyebabkan sedikit ketidakseimbangan, yang mempengaruhi sinkronisasi dan lari lurus</v>
      </c>
      <c r="K49" s="5" t="str">
        <f>IFERROR(__xludf.DUMMYFUNCTION("GOOGLETRANSLATE(E49, ""en"", ""id"")"),"Meskipun sering dihias, tanduk juga berperan dalam keseimbangan alami banteng, dan asimetri yang signifikan bisa menjadi kerugian kecil.")</f>
        <v>Meskipun sering dihias, tanduk juga berperan dalam keseimbangan alami banteng, dan asimetri yang signifikan bisa menjadi kerugian kecil.</v>
      </c>
    </row>
    <row r="50">
      <c r="A50" s="3">
        <v>49.0</v>
      </c>
      <c r="B50" s="4" t="s">
        <v>202</v>
      </c>
      <c r="C50" s="4" t="s">
        <v>203</v>
      </c>
      <c r="D50" s="4" t="s">
        <v>204</v>
      </c>
      <c r="E50" s="4" t="s">
        <v>205</v>
      </c>
      <c r="G50" s="5" t="str">
        <f>IFERROR(__xludf.DUMMYFUNCTION("GOOGLETRANSLATE(A50, ""en"", ""id"")"),"49")</f>
        <v>49</v>
      </c>
      <c r="H50" s="5" t="str">
        <f>IFERROR(__xludf.DUMMYFUNCTION("GOOGLETRANSLATE(B50, ""en"", ""id"")"),"Apa alasan paling umum bagi suatu tim untuk secara sukarela mengundurkan diri dari perlombaan yang telah mereka mulai?")</f>
        <v>Apa alasan paling umum bagi suatu tim untuk secara sukarela mengundurkan diri dari perlombaan yang telah mereka mulai?</v>
      </c>
      <c r="I50" s="5" t="str">
        <f>IFERROR(__xludf.DUMMYFUNCTION("GOOGLETRANSLATE(C50, ""en"", ""id"")"),"A) Jokinya lelah, B) Mereka terlalu jauh tertinggal untuk menang, C) Untuk mencegah cedera pada banteng yang jelas-jelas sedang berjuang atau lelah, D) Mereka tidak setuju dengan keputusan wasit")</f>
        <v>A) Jokinya lelah, B) Mereka terlalu jauh tertinggal untuk menang, C) Untuk mencegah cedera pada banteng yang jelas-jelas sedang berjuang atau lelah, D) Mereka tidak setuju dengan keputusan wasit</v>
      </c>
      <c r="J50" s="5" t="str">
        <f>IFERROR(__xludf.DUMMYFUNCTION("GOOGLETRANSLATE(D50, ""en"", ""id"")"),"C) Untuk mencegah cedera pada banteng yang jelas-jelas sedang berjuang atau kelelahan")</f>
        <v>C) Untuk mencegah cedera pada banteng yang jelas-jelas sedang berjuang atau kelelahan</v>
      </c>
      <c r="K50" s="5" t="str">
        <f>IFERROR(__xludf.DUMMYFUNCTION("GOOGLETRANSLATE(E50, ""en"", ""id"")"),"Pemilik atau joki yang bertanggung jawab akan mengutamakan kesejahteraan hewan daripada menyelesaikan perlombaan jika banteng dalam keadaan tertekan.")</f>
        <v>Pemilik atau joki yang bertanggung jawab akan mengutamakan kesejahteraan hewan daripada menyelesaikan perlombaan jika banteng dalam keadaan tertekan.</v>
      </c>
    </row>
    <row r="51">
      <c r="A51" s="3">
        <v>50.0</v>
      </c>
      <c r="B51" s="4" t="s">
        <v>206</v>
      </c>
      <c r="C51" s="4" t="s">
        <v>207</v>
      </c>
      <c r="D51" s="4" t="s">
        <v>208</v>
      </c>
      <c r="E51" s="4" t="s">
        <v>209</v>
      </c>
      <c r="G51" s="5" t="str">
        <f>IFERROR(__xludf.DUMMYFUNCTION("GOOGLETRANSLATE(A51, ""en"", ""id"")"),"50")</f>
        <v>50</v>
      </c>
      <c r="H51" s="5" t="str">
        <f>IFERROR(__xludf.DUMMYFUNCTION("GOOGLETRANSLATE(B51, ""en"", ""id"")"),"Sebuah tim memperkenalkan desain kereta baru dengan roda yang lebih lebar. Apa saja kemungkinan kerugian dari desain ini?")</f>
        <v>Sebuah tim memperkenalkan desain kereta baru dengan roda yang lebih lebar. Apa saja kemungkinan kerugian dari desain ini?</v>
      </c>
      <c r="I51" s="5" t="str">
        <f>IFERROR(__xludf.DUMMYFUNCTION("GOOGLETRANSLATE(C51, ""en"", ""id"")"),"A) Akan lebih cepat tapi kurang stabil, B) Akan lebih lambat karena gesekan lebih besar tapi lebih stabil di lintasan yang tidak rata, C) Akan lebih ringan tapi lebih lemah, D) Akan lebih berat tapi lebih aerodinamis")</f>
        <v>A) Akan lebih cepat tapi kurang stabil, B) Akan lebih lambat karena gesekan lebih besar tapi lebih stabil di lintasan yang tidak rata, C) Akan lebih ringan tapi lebih lemah, D) Akan lebih berat tapi lebih aerodinamis</v>
      </c>
      <c r="J51" s="5" t="str">
        <f>IFERROR(__xludf.DUMMYFUNCTION("GOOGLETRANSLATE(D51, ""en"", ""id"")"),"B) Akan lebih lambat karena gesekan yang lebih besar tetapi lebih stabil di trek yang tidak rata")</f>
        <v>B) Akan lebih lambat karena gesekan yang lebih besar tetapi lebih stabil di trek yang tidak rata</v>
      </c>
      <c r="K51" s="5" t="str">
        <f>IFERROR(__xludf.DUMMYFUNCTION("GOOGLETRANSLATE(E51, ""en"", ""id"")"),"Roda yang lebih lebar meningkatkan stabilitas dan kendali, terutama di medan kasar, tetapi dengan mengorbankan hambatan yang lebih besar dan kecepatan yang lebih lambat di lintasan datar.")</f>
        <v>Roda yang lebih lebar meningkatkan stabilitas dan kendali, terutama di medan kasar, tetapi dengan mengorbankan hambatan yang lebih besar dan kecepatan yang lebih lambat di lintasan datar.</v>
      </c>
    </row>
    <row r="52">
      <c r="A52" s="3">
        <v>51.0</v>
      </c>
      <c r="B52" s="4" t="s">
        <v>210</v>
      </c>
      <c r="C52" s="4" t="s">
        <v>211</v>
      </c>
      <c r="D52" s="4" t="s">
        <v>212</v>
      </c>
      <c r="E52" s="4" t="s">
        <v>213</v>
      </c>
      <c r="G52" s="5" t="str">
        <f>IFERROR(__xludf.DUMMYFUNCTION("GOOGLETRANSLATE(A52, ""en"", ""id"")"),"51")</f>
        <v>51</v>
      </c>
      <c r="H52" s="5" t="str">
        <f>IFERROR(__xludf.DUMMYFUNCTION("GOOGLETRANSLATE(B52, ""en"", ""id"")"),"Saat balapan, seorang joki kehilangan keseimbangan dan terseret ke belakang kereta luncur, tetapi tetap memegang kendali. Apa keputusannya?")</f>
        <v>Saat balapan, seorang joki kehilangan keseimbangan dan terseret ke belakang kereta luncur, tetapi tetap memegang kendali. Apa keputusannya?</v>
      </c>
      <c r="I52" s="5" t="str">
        <f>IFERROR(__xludf.DUMMYFUNCTION("GOOGLETRANSLATE(C52, ""en"", ""id"")"),"A) Didiskualifikasi karena kehilangan kendali, B) Diizinkan melanjutkan jika ia kembali ke atas, C) Balapan dihentikan demi keselamatan, D) Penalti waktu diterapkan")</f>
        <v>A) Didiskualifikasi karena kehilangan kendali, B) Diizinkan melanjutkan jika ia kembali ke atas, C) Balapan dihentikan demi keselamatan, D) Penalti waktu diterapkan</v>
      </c>
      <c r="J52" s="5" t="str">
        <f>IFERROR(__xludf.DUMMYFUNCTION("GOOGLETRANSLATE(D52, ""en"", ""id"")"),"A) Didiskualifikasi karena kehilangan kendali")</f>
        <v>A) Didiskualifikasi karena kehilangan kendali</v>
      </c>
      <c r="K52" s="5" t="str">
        <f>IFERROR(__xludf.DUMMYFUNCTION("GOOGLETRANSLATE(E52, ""en"", ""id"")"),"Joki harus tetap berdiri dan memegang kendali di atas kaleles. Terseret berarti kehilangan kendali.")</f>
        <v>Joki harus tetap berdiri dan memegang kendali di atas kaleles. Terseret berarti kehilangan kendali.</v>
      </c>
    </row>
    <row r="53">
      <c r="A53" s="3">
        <v>52.0</v>
      </c>
      <c r="B53" s="4" t="s">
        <v>214</v>
      </c>
      <c r="C53" s="4" t="s">
        <v>215</v>
      </c>
      <c r="D53" s="4" t="s">
        <v>216</v>
      </c>
      <c r="E53" s="4" t="s">
        <v>217</v>
      </c>
      <c r="G53" s="5" t="str">
        <f>IFERROR(__xludf.DUMMYFUNCTION("GOOGLETRANSLATE(A53, ""en"", ""id"")"),"52")</f>
        <v>52</v>
      </c>
      <c r="H53" s="5" t="str">
        <f>IFERROR(__xludf.DUMMYFUNCTION("GOOGLETRANSLATE(B53, ""en"", ""id"")"),"Sebelum kompetisi besar, apa tujuan diadakannya acara Sapi Sonok?")</f>
        <v>Sebelum kompetisi besar, apa tujuan diadakannya acara Sapi Sonok?</v>
      </c>
      <c r="I53" s="5" t="str">
        <f>IFERROR(__xludf.DUMMYFUNCTION("GOOGLETRANSLATE(C53, ""en"", ""id"")"),"A) Uji kecepatan awal, B) ""Kontes kecantikan"" untuk banteng yang berpakaian dan terawat terbaik, C) Pasar untuk menjual banteng balap, D) Uji kekuatan banteng")</f>
        <v>A) Uji kecepatan awal, B) "Kontes kecantikan" untuk banteng yang berpakaian dan terawat terbaik, C) Pasar untuk menjual banteng balap, D) Uji kekuatan banteng</v>
      </c>
      <c r="J53" s="5" t="str">
        <f>IFERROR(__xludf.DUMMYFUNCTION("GOOGLETRANSLATE(D53, ""en"", ""id"")"),"B) ""Kontes kecantikan"" untuk banteng yang berpakaian dan terawat terbaik")</f>
        <v>B) "Kontes kecantikan" untuk banteng yang berpakaian dan terawat terbaik</v>
      </c>
      <c r="K53" s="5" t="str">
        <f>IFERROR(__xludf.DUMMYFUNCTION("GOOGLETRANSLATE(E53, ""en"", ""id"")"),"Sapi Sonok merupakan pawai budaya yang diadakan sebelum pacuan kuda, dengan fokus pada keanggunan, perawatan diri, dan dekorasi sapi jantan.")</f>
        <v>Sapi Sonok merupakan pawai budaya yang diadakan sebelum pacuan kuda, dengan fokus pada keanggunan, perawatan diri, dan dekorasi sapi jantan.</v>
      </c>
    </row>
    <row r="54">
      <c r="A54" s="3">
        <v>53.0</v>
      </c>
      <c r="B54" s="4" t="s">
        <v>218</v>
      </c>
      <c r="C54" s="4" t="s">
        <v>219</v>
      </c>
      <c r="D54" s="4" t="s">
        <v>220</v>
      </c>
      <c r="E54" s="4" t="s">
        <v>221</v>
      </c>
      <c r="G54" s="5" t="str">
        <f>IFERROR(__xludf.DUMMYFUNCTION("GOOGLETRANSLATE(A54, ""en"", ""id"")"),"53")</f>
        <v>53</v>
      </c>
      <c r="H54" s="5" t="str">
        <f>IFERROR(__xludf.DUMMYFUNCTION("GOOGLETRANSLATE(B54, ""en"", ""id"")"),"Kereta tim mogok di tengah balapan, tetapi mereka sudah sangat dekat dengan garis finis. Apa tindakan yang benar?")</f>
        <v>Kereta tim mogok di tengah balapan, tetapi mereka sudah sangat dekat dengan garis finis. Apa tindakan yang benar?</v>
      </c>
      <c r="I54" s="5" t="str">
        <f>IFERROR(__xludf.DUMMYFUNCTION("GOOGLETRANSLATE(C54, ""en"", ""id"")"),"A) Joki dapat berlari melewati garis finis, B) Tim langsung didiskualifikasi, C) Mereka dapat mencoba mendorong kereta melewati garis finis, D) Mereka diberikan kereta baru")</f>
        <v>A) Joki dapat berlari melewati garis finis, B) Tim langsung didiskualifikasi, C) Mereka dapat mencoba mendorong kereta melewati garis finis, D) Mereka diberikan kereta baru</v>
      </c>
      <c r="J54" s="5" t="str">
        <f>IFERROR(__xludf.DUMMYFUNCTION("GOOGLETRANSLATE(D54, ""en"", ""id"")"),"B) Tim tersebut langsung didiskualifikasi")</f>
        <v>B) Tim tersebut langsung didiskualifikasi</v>
      </c>
      <c r="K54" s="5" t="str">
        <f>IFERROR(__xludf.DUMMYFUNCTION("GOOGLETRANSLATE(E54, ""en"", ""id"")"),"Balapan harus diselesaikan dengan semua perlengkapan yang utuh. Kegagalan perlengkapan yang menyebabkan tim berhenti akan mengakibatkan DQ.")</f>
        <v>Balapan harus diselesaikan dengan semua perlengkapan yang utuh. Kegagalan perlengkapan yang menyebabkan tim berhenti akan mengakibatkan DQ.</v>
      </c>
    </row>
    <row r="55">
      <c r="A55" s="3">
        <v>54.0</v>
      </c>
      <c r="B55" s="4" t="s">
        <v>222</v>
      </c>
      <c r="C55" s="4" t="s">
        <v>223</v>
      </c>
      <c r="D55" s="4" t="s">
        <v>224</v>
      </c>
      <c r="E55" s="4" t="s">
        <v>225</v>
      </c>
      <c r="G55" s="5" t="str">
        <f>IFERROR(__xludf.DUMMYFUNCTION("GOOGLETRANSLATE(A55, ""en"", ""id"")"),"54")</f>
        <v>54</v>
      </c>
      <c r="H55" s="5" t="str">
        <f>IFERROR(__xludf.DUMMYFUNCTION("GOOGLETRANSLATE(B55, ""en"", ""id"")"),"Seekor banteng terlihat menjulurkan lidah dan terengah-engah saat balapan. Ini pertanda apa?")</f>
        <v>Seekor banteng terlihat menjulurkan lidah dan terengah-engah saat balapan. Ini pertanda apa?</v>
      </c>
      <c r="I55" s="5" t="str">
        <f>IFERROR(__xludf.DUMMYFUNCTION("GOOGLETRANSLATE(C55, ""en"", ""id"")"),"A) Agresi, B) Performa puncak, C) Pengerahan tenaga yang berat dan potensi stres panas, D) Kemalasan")</f>
        <v>A) Agresi, B) Performa puncak, C) Pengerahan tenaga yang berat dan potensi stres panas, D) Kemalasan</v>
      </c>
      <c r="J55" s="5" t="str">
        <f>IFERROR(__xludf.DUMMYFUNCTION("GOOGLETRANSLATE(D55, ""en"", ""id"")"),"C) Aktivitas berat dan potensi stres panas")</f>
        <v>C) Aktivitas berat dan potensi stres panas</v>
      </c>
      <c r="K55" s="5" t="str">
        <f>IFERROR(__xludf.DUMMYFUNCTION("GOOGLETRANSLATE(E55, ""en"", ""id"")"),"Ini adalah tanda-tanda fisiologis yang jelas bahwa banteng mencapai batas fisiknya dan berisiko kelelahan.")</f>
        <v>Ini adalah tanda-tanda fisiologis yang jelas bahwa banteng mencapai batas fisiknya dan berisiko kelelahan.</v>
      </c>
    </row>
    <row r="56">
      <c r="A56" s="3">
        <v>55.0</v>
      </c>
      <c r="B56" s="4" t="s">
        <v>226</v>
      </c>
      <c r="C56" s="4" t="s">
        <v>227</v>
      </c>
      <c r="D56" s="4" t="s">
        <v>228</v>
      </c>
      <c r="E56" s="4" t="s">
        <v>229</v>
      </c>
      <c r="G56" s="5" t="str">
        <f>IFERROR(__xludf.DUMMYFUNCTION("GOOGLETRANSLATE(A56, ""en"", ""id"")"),"55")</f>
        <v>55</v>
      </c>
      <c r="H56" s="5" t="str">
        <f>IFERROR(__xludf.DUMMYFUNCTION("GOOGLETRANSLATE(B56, ""en"", ""id"")"),"Apa kayu utama yang digunakan untuk membuat kaleles tradisional?")</f>
        <v>Apa kayu utama yang digunakan untuk membuat kaleles tradisional?</v>
      </c>
      <c r="I56" s="5" t="str">
        <f>IFERROR(__xludf.DUMMYFUNCTION("GOOGLETRANSLATE(C56, ""en"", ""id"")"),"A) Jati, B) Mahoni, C) Bambu dan kayu keras ringan, D) Pinus")</f>
        <v>A) Jati, B) Mahoni, C) Bambu dan kayu keras ringan, D) Pinus</v>
      </c>
      <c r="J56" s="5" t="str">
        <f>IFERROR(__xludf.DUMMYFUNCTION("GOOGLETRANSLATE(D56, ""en"", ""id"")"),"C) Bambu dan kayu keras ringan")</f>
        <v>C) Bambu dan kayu keras ringan</v>
      </c>
      <c r="K56" s="5" t="str">
        <f>IFERROR(__xludf.DUMMYFUNCTION("GOOGLETRANSLATE(E56, ""en"", ""id"")"),"Kereta luncur harus kuat dan sangat ringan, menjadikan bambu dan kayu lokal tertentu sebagai bahan yang ideal.")</f>
        <v>Kereta luncur harus kuat dan sangat ringan, menjadikan bambu dan kayu lokal tertentu sebagai bahan yang ideal.</v>
      </c>
    </row>
    <row r="57">
      <c r="A57" s="3">
        <v>56.0</v>
      </c>
      <c r="B57" s="4" t="s">
        <v>230</v>
      </c>
      <c r="C57" s="4" t="s">
        <v>231</v>
      </c>
      <c r="D57" s="4" t="s">
        <v>232</v>
      </c>
      <c r="E57" s="4" t="s">
        <v>233</v>
      </c>
      <c r="G57" s="5" t="str">
        <f>IFERROR(__xludf.DUMMYFUNCTION("GOOGLETRANSLATE(A57, ""en"", ""id"")"),"56")</f>
        <v>56</v>
      </c>
      <c r="H57" s="5" t="str">
        <f>IFERROR(__xludf.DUMMYFUNCTION("GOOGLETRANSLATE(B57, ""en"", ""id"")"),"Jika sebuah tim dari Surabaya berpartisipasi dalam perlombaan di Madura, tantangan apa yang mungkin dihadapi banteng mereka?")</f>
        <v>Jika sebuah tim dari Surabaya berpartisipasi dalam perlombaan di Madura, tantangan apa yang mungkin dihadapi banteng mereka?</v>
      </c>
      <c r="I57" s="5" t="str">
        <f>IFERROR(__xludf.DUMMYFUNCTION("GOOGLETRANSLATE(C57, ""en"", ""id"")"),"A) Makanannya akan berbeda, B) Iklimnya terlalu panas, C) Tidak terbiasa dengan kondisi lintasan dan atmosfer tertentu, D) Aturannya berbeda")</f>
        <v>A) Makanannya akan berbeda, B) Iklimnya terlalu panas, C) Tidak terbiasa dengan kondisi lintasan dan atmosfer tertentu, D) Aturannya berbeda</v>
      </c>
      <c r="J57" s="5" t="str">
        <f>IFERROR(__xludf.DUMMYFUNCTION("GOOGLETRANSLATE(D57, ""en"", ""id"")"),"C) Kurang familiar dengan kondisi lintasan dan atmosfer spesifik")</f>
        <v>C) Kurang familiar dengan kondisi lintasan dan atmosfer spesifik</v>
      </c>
      <c r="K57" s="5" t="str">
        <f>IFERROR(__xludf.DUMMYFUNCTION("GOOGLETRANSLATE(E57, ""en"", ""id"")"),"Banteng, seperti halnya kuda, bisa sensitif terhadap lingkungan baru. Lintasan dan kerumunan yang asing dapat memengaruhi performa mereka.")</f>
        <v>Banteng, seperti halnya kuda, bisa sensitif terhadap lingkungan baru. Lintasan dan kerumunan yang asing dapat memengaruhi performa mereka.</v>
      </c>
    </row>
    <row r="58">
      <c r="A58" s="3">
        <v>57.0</v>
      </c>
      <c r="B58" s="4" t="s">
        <v>234</v>
      </c>
      <c r="C58" s="4" t="s">
        <v>235</v>
      </c>
      <c r="D58" s="4" t="s">
        <v>236</v>
      </c>
      <c r="E58" s="4" t="s">
        <v>237</v>
      </c>
      <c r="G58" s="5" t="str">
        <f>IFERROR(__xludf.DUMMYFUNCTION("GOOGLETRANSLATE(A58, ""en"", ""id"")"),"57")</f>
        <v>57</v>
      </c>
      <c r="H58" s="5" t="str">
        <f>IFERROR(__xludf.DUMMYFUNCTION("GOOGLETRANSLATE(B58, ""en"", ""id"")"),"Seorang joki didiskualifikasi karena menggunakan cambuk yang terlalu panjang. Apa tujuan pengaturan panjang cambuk?")</f>
        <v>Seorang joki didiskualifikasi karena menggunakan cambuk yang terlalu panjang. Apa tujuan pengaturan panjang cambuk?</v>
      </c>
      <c r="I58" s="5" t="str">
        <f>IFERROR(__xludf.DUMMYFUNCTION("GOOGLETRANSLATE(C58, ""en"", ""id"")"),"A) Untuk memastikan semua joki terlihat seragam, B) Untuk mencegah cambuk kusut, C) Untuk membatasi kekuatan pukulan dan memastikan kesejahteraan hewan, D) Untuk membuat perlombaan lebih menantang")</f>
        <v>A) Untuk memastikan semua joki terlihat seragam, B) Untuk mencegah cambuk kusut, C) Untuk membatasi kekuatan pukulan dan memastikan kesejahteraan hewan, D) Untuk membuat perlombaan lebih menantang</v>
      </c>
      <c r="J58" s="5" t="str">
        <f>IFERROR(__xludf.DUMMYFUNCTION("GOOGLETRANSLATE(D58, ""en"", ""id"")"),"C) Untuk membatasi kekuatan pemogokan dan memastikan kesejahteraan hewan")</f>
        <v>C) Untuk membatasi kekuatan pemogokan dan memastikan kesejahteraan hewan</v>
      </c>
      <c r="K58" s="5" t="str">
        <f>IFERROR(__xludf.DUMMYFUNCTION("GOOGLETRANSLATE(E58, ""en"", ""id"")"),"Cambuk yang lebih panjang dapat menghasilkan daya ungkit yang lebih besar dan menyebabkan cedera yang lebih parah, sehingga panjangnya dibatasi untuk mencegah kekejaman.")</f>
        <v>Cambuk yang lebih panjang dapat menghasilkan daya ungkit yang lebih besar dan menyebabkan cedera yang lebih parah, sehingga panjangnya dibatasi untuk mencegah kekejaman.</v>
      </c>
    </row>
    <row r="59">
      <c r="A59" s="3">
        <v>58.0</v>
      </c>
      <c r="B59" s="4" t="s">
        <v>238</v>
      </c>
      <c r="C59" s="4" t="s">
        <v>239</v>
      </c>
      <c r="D59" s="4" t="s">
        <v>240</v>
      </c>
      <c r="E59" s="4" t="s">
        <v>241</v>
      </c>
      <c r="G59" s="5" t="str">
        <f>IFERROR(__xludf.DUMMYFUNCTION("GOOGLETRANSLATE(A59, ""en"", ""id"")"),"58")</f>
        <v>58</v>
      </c>
      <c r="H59" s="5" t="str">
        <f>IFERROR(__xludf.DUMMYFUNCTION("GOOGLETRANSLATE(B59, ""en"", ""id"")"),"Apa perbedaan utama antara sapi jantan yang dipilih untuk Karapan Sapi dan sapi jantan yang digunakan untuk sapi potong?")</f>
        <v>Apa perbedaan utama antara sapi jantan yang dipilih untuk Karapan Sapi dan sapi jantan yang digunakan untuk sapi potong?</v>
      </c>
      <c r="I59" s="5" t="str">
        <f>IFERROR(__xludf.DUMMYFUNCTION("GOOGLETRANSLATE(C59, ""en"", ""id"")"),"A) Warna kulitnya, B) Pola makannya, C) Temperamen dan bentuk fisiknya untuk kecepatan, D) Ukuran tanduknya")</f>
        <v>A) Warna kulitnya, B) Pola makannya, C) Temperamen dan bentuk fisiknya untuk kecepatan, D) Ukuran tanduknya</v>
      </c>
      <c r="J59" s="5" t="str">
        <f>IFERROR(__xludf.DUMMYFUNCTION("GOOGLETRANSLATE(D59, ""en"", ""id"")"),"C) Temperamen dan bentuk fisik mereka untuk kecepatan")</f>
        <v>C) Temperamen dan bentuk fisik mereka untuk kecepatan</v>
      </c>
      <c r="K59" s="5" t="str">
        <f>IFERROR(__xludf.DUMMYFUNCTION("GOOGLETRANSLATE(E59, ""en"", ""id"")"),"Sapi jantan Karapan dibiakkan secara selektif dan dilatih agar memiliki tubuh ramping, berotot, dan memiliki temperamen kompetitif, seperti kuda pacu.")</f>
        <v>Sapi jantan Karapan dibiakkan secara selektif dan dilatih agar memiliki tubuh ramping, berotot, dan memiliki temperamen kompetitif, seperti kuda pacu.</v>
      </c>
    </row>
    <row r="60">
      <c r="A60" s="3">
        <v>59.0</v>
      </c>
      <c r="B60" s="4" t="s">
        <v>242</v>
      </c>
      <c r="C60" s="4" t="s">
        <v>243</v>
      </c>
      <c r="D60" s="4" t="s">
        <v>244</v>
      </c>
      <c r="E60" s="4" t="s">
        <v>245</v>
      </c>
      <c r="G60" s="5" t="str">
        <f>IFERROR(__xludf.DUMMYFUNCTION("GOOGLETRANSLATE(A60, ""en"", ""id"")"),"59")</f>
        <v>59</v>
      </c>
      <c r="H60" s="5" t="str">
        <f>IFERROR(__xludf.DUMMYFUNCTION("GOOGLETRANSLATE(B60, ""en"", ""id"")"),"Sebuah protes diajukan dengan klaim bahwa kemenangan suatu tim tidak sah karena pelanggaran lintasan. Bukti apa yang paling mungkin digunakan untuk menyelesaikan perselisihan tersebut?")</f>
        <v>Sebuah protes diajukan dengan klaim bahwa kemenangan suatu tim tidak sah karena pelanggaran lintasan. Bukti apa yang paling mungkin digunakan untuk menyelesaikan perselisihan tersebut?</v>
      </c>
      <c r="I60" s="5" t="str">
        <f>IFERROR(__xludf.DUMMYFUNCTION("GOOGLETRANSLATE(C60, ""en"", ""id"")"),"A) Pendapat penonton, B) Kesaksian joki, C) Rekaman video dari berbagai sudut, D) Tayangan ulang balapan")</f>
        <v>A) Pendapat penonton, B) Kesaksian joki, C) Rekaman video dari berbagai sudut, D) Tayangan ulang balapan</v>
      </c>
      <c r="J60" s="5" t="str">
        <f>IFERROR(__xludf.DUMMYFUNCTION("GOOGLETRANSLATE(D60, ""en"", ""id"")"),"C) Rekaman tayangan ulang video dari berbagai sudut")</f>
        <v>C) Rekaman tayangan ulang video dari berbagai sudut</v>
      </c>
      <c r="K60" s="5" t="str">
        <f>IFERROR(__xludf.DUMMYFUNCTION("GOOGLETRANSLATE(E60, ""en"", ""id"")"),"Dalam kompetisi modern, para pejabat mengandalkan bukti video untuk membuat keputusan yang akurat dan tidak memihak terhadap protes.")</f>
        <v>Dalam kompetisi modern, para pejabat mengandalkan bukti video untuk membuat keputusan yang akurat dan tidak memihak terhadap protes.</v>
      </c>
    </row>
    <row r="61">
      <c r="A61" s="3">
        <v>60.0</v>
      </c>
      <c r="B61" s="4" t="s">
        <v>246</v>
      </c>
      <c r="C61" s="4" t="s">
        <v>247</v>
      </c>
      <c r="D61" s="4" t="s">
        <v>248</v>
      </c>
      <c r="E61" s="4" t="s">
        <v>249</v>
      </c>
      <c r="G61" s="5" t="str">
        <f>IFERROR(__xludf.DUMMYFUNCTION("GOOGLETRANSLATE(A61, ""en"", ""id"")"),"60")</f>
        <v>60</v>
      </c>
      <c r="H61" s="5" t="str">
        <f>IFERROR(__xludf.DUMMYFUNCTION("GOOGLETRANSLATE(B61, ""en"", ""id"")"),"Sebuah tim dikenal karena ""awal yang eksplosif"" dari banteng mereka. Ciri fisik spesifik apa yang paling berkontribusi pada hal ini?")</f>
        <v>Sebuah tim dikenal karena "awal yang eksplosif" dari banteng mereka. Ciri fisik spesifik apa yang paling berkontribusi pada hal ini?</v>
      </c>
      <c r="I61" s="5" t="str">
        <f>IFERROR(__xludf.DUMMYFUNCTION("GOOGLETRANSLATE(C61, ""en"", ""id"")"),"A) Otot leher kuat, B) Tanduk besar, C) Kaki belakang kuat dan serat otot kedutan cepat, D) Berat badan tinggi")</f>
        <v>A) Otot leher kuat, B) Tanduk besar, C) Kaki belakang kuat dan serat otot kedutan cepat, D) Berat badan tinggi</v>
      </c>
      <c r="J61" s="5" t="str">
        <f>IFERROR(__xludf.DUMMYFUNCTION("GOOGLETRANSLATE(D61, ""en"", ""id"")"),"C) Kaki belakang yang kuat dan serat otot berkedut cepat")</f>
        <v>C) Kaki belakang yang kuat dan serat otot berkedut cepat</v>
      </c>
      <c r="K61" s="5" t="str">
        <f>IFERROR(__xludf.DUMMYFUNCTION("GOOGLETRANSLATE(E61, ""en"", ""id"")"),"Percepatan dalam lari cepat terutama dihasilkan oleh daya ledak otot kaki belakang.")</f>
        <v>Percepatan dalam lari cepat terutama dihasilkan oleh daya ledak otot kaki belakang.</v>
      </c>
    </row>
    <row r="62">
      <c r="A62" s="3">
        <v>61.0</v>
      </c>
      <c r="B62" s="4" t="s">
        <v>250</v>
      </c>
      <c r="C62" s="6" t="s">
        <v>251</v>
      </c>
      <c r="D62" s="4" t="s">
        <v>252</v>
      </c>
      <c r="E62" s="4" t="s">
        <v>253</v>
      </c>
      <c r="G62" s="5" t="str">
        <f>IFERROR(__xludf.DUMMYFUNCTION("GOOGLETRANSLATE(A62, ""en"", ""id"")"),"61")</f>
        <v>61</v>
      </c>
      <c r="H62" s="5" t="str">
        <f>IFERROR(__xludf.DUMMYFUNCTION("GOOGLETRANSLATE(B62, ""en"", ""id"")"),"Setelah memenangkan perlombaan besar, apa yang biasanya terjadi pada nilai pasangan banteng yang menang?")</f>
        <v>Setelah memenangkan perlombaan besar, apa yang biasanya terjadi pada nilai pasangan banteng yang menang?</v>
      </c>
      <c r="I62" s="5" t="str">
        <f>IFERROR(__xludf.DUMMYFUNCTION("GOOGLETRANSLATE(C62, ""en"", ""id"")"),"A) Sedikit menurun, B) Tetap sama, C) Meningkat drastis, D) Mereka sudah tidak lagi berjualan")</f>
        <v>A) Sedikit menurun, B) Tetap sama, C) Meningkat drastis, D) Mereka sudah tidak lagi berjualan</v>
      </c>
      <c r="J62" s="5" t="str">
        <f>IFERROR(__xludf.DUMMYFUNCTION("GOOGLETRANSLATE(D62, ""en"", ""id"")"),"C) Meningkat secara drastis")</f>
        <v>C) Meningkat secara drastis</v>
      </c>
      <c r="K62" s="5" t="str">
        <f>IFERROR(__xludf.DUMMYFUNCTION("GOOGLETRANSLATE(E62, ""en"", ""id"")"),"Banteng juara menjadi stok pembiakan yang sangat berharga dan simbol status, dan nilai moneternya dapat meroket.")</f>
        <v>Banteng juara menjadi stok pembiakan yang sangat berharga dan simbol status, dan nilai moneternya dapat meroket.</v>
      </c>
    </row>
    <row r="63">
      <c r="A63" s="3">
        <v>62.0</v>
      </c>
      <c r="B63" s="4" t="s">
        <v>254</v>
      </c>
      <c r="C63" s="6" t="s">
        <v>255</v>
      </c>
      <c r="D63" s="4" t="s">
        <v>256</v>
      </c>
      <c r="E63" s="4" t="s">
        <v>257</v>
      </c>
      <c r="G63" s="5" t="str">
        <f>IFERROR(__xludf.DUMMYFUNCTION("GOOGLETRANSLATE(A63, ""en"", ""id"")"),"62")</f>
        <v>62</v>
      </c>
      <c r="H63" s="5" t="str">
        <f>IFERROR(__xludf.DUMMYFUNCTION("GOOGLETRANSLATE(B63, ""en"", ""id"")"),"Jika seorang joki kedapatan mabuk sebelum balapan, apa konsekuensinya?")</f>
        <v>Jika seorang joki kedapatan mabuk sebelum balapan, apa konsekuensinya?</v>
      </c>
      <c r="I63" s="5" t="str">
        <f>IFERROR(__xludf.DUMMYFUNCTION("GOOGLETRANSLATE(C63, ""en"", ""id"")"),"A) Dia diizinkan untuk balapan tetapi didenda, B) Dia langsung didiskualifikasi dan digantikan, C) Tim harus kehilangan balapan, D) Dia diberi peringatan")</f>
        <v>A) Dia diizinkan untuk balapan tetapi didenda, B) Dia langsung didiskualifikasi dan digantikan, C) Tim harus kehilangan balapan, D) Dia diberi peringatan</v>
      </c>
      <c r="J63" s="5" t="str">
        <f>IFERROR(__xludf.DUMMYFUNCTION("GOOGLETRANSLATE(D63, ""en"", ""id"")"),"C) Tim tersebut harus mengundurkan diri dari perlombaan")</f>
        <v>C) Tim tersebut harus mengundurkan diri dari perlombaan</v>
      </c>
      <c r="K63" s="5" t="str">
        <f>IFERROR(__xludf.DUMMYFUNCTION("GOOGLETRANSLATE(E63, ""en"", ""id"")"),"Demi alasan keselamatan, joki harus sadar. Jika tidak ada pengganti yang disetujui, tim harus mundur.")</f>
        <v>Demi alasan keselamatan, joki harus sadar. Jika tidak ada pengganti yang disetujui, tim harus mundur.</v>
      </c>
    </row>
    <row r="64">
      <c r="A64" s="3">
        <v>63.0</v>
      </c>
      <c r="B64" s="4" t="s">
        <v>258</v>
      </c>
      <c r="C64" s="6" t="s">
        <v>259</v>
      </c>
      <c r="D64" s="4" t="s">
        <v>260</v>
      </c>
      <c r="E64" s="4" t="s">
        <v>261</v>
      </c>
      <c r="G64" s="5" t="str">
        <f>IFERROR(__xludf.DUMMYFUNCTION("GOOGLETRANSLATE(A64, ""en"", ""id"")"),"63")</f>
        <v>63</v>
      </c>
      <c r="H64" s="5" t="str">
        <f>IFERROR(__xludf.DUMMYFUNCTION("GOOGLETRANSLATE(B64, ""en"", ""id"")"),"Permukaan lintasan sedang dipersiapkan sebelum balapan besar. Bagaimana kondisi idealnya?")</f>
        <v>Permukaan lintasan sedang dipersiapkan sebelum balapan besar. Bagaimana kondisi idealnya?</v>
      </c>
      <c r="I64" s="5" t="str">
        <f>IFERROR(__xludf.DUMMYFUNCTION("GOOGLETRANSLATE(C64, ""en"", ""id"")"),"A) Basah dan berlumpur agar cengkeraman lebih baik, B) Kering dan sangat keras agar kecepatan lebih tinggi, C) Padat, sedikit lembap, dan bebas dari batu, D) Tertutup pasir lembut")</f>
        <v>A) Basah dan berlumpur agar cengkeraman lebih baik, B) Kering dan sangat keras agar kecepatan lebih tinggi, C) Padat, sedikit lembap, dan bebas dari batu, D) Tertutup pasir lembut</v>
      </c>
      <c r="J64" s="5" t="str">
        <f>IFERROR(__xludf.DUMMYFUNCTION("GOOGLETRANSLATE(D64, ""en"", ""id"")"),"C) Padat, agak lembap, dan bebas dari batu")</f>
        <v>C) Padat, agak lembap, dan bebas dari batu</v>
      </c>
      <c r="K64" s="5" t="str">
        <f>IFERROR(__xludf.DUMMYFUNCTION("GOOGLETRANSLATE(E64, ""en"", ""id"")"),"Ini memberikan keseimbangan terbaik antara traksi dan keamanan, mengurangi risiko tergelincir dan cedera kuku.")</f>
        <v>Ini memberikan keseimbangan terbaik antara traksi dan keamanan, mengurangi risiko tergelincir dan cedera kuku.</v>
      </c>
    </row>
    <row r="65">
      <c r="A65" s="3">
        <v>64.0</v>
      </c>
      <c r="B65" s="4" t="s">
        <v>262</v>
      </c>
      <c r="C65" s="6" t="s">
        <v>263</v>
      </c>
      <c r="D65" s="4" t="s">
        <v>264</v>
      </c>
      <c r="E65" s="4" t="s">
        <v>265</v>
      </c>
      <c r="G65" s="5" t="str">
        <f>IFERROR(__xludf.DUMMYFUNCTION("GOOGLETRANSLATE(A65, ""en"", ""id"")"),"64")</f>
        <v>64</v>
      </c>
      <c r="H65" s="5" t="str">
        <f>IFERROR(__xludf.DUMMYFUNCTION("GOOGLETRANSLATE(B65, ""en"", ""id"")"),"Istilah ""kerrab"" atau ""kerapan"" itu sendiri merujuk pada apa?")</f>
        <v>Istilah "kerrab" atau "kerapan" itu sendiri merujuk pada apa?</v>
      </c>
      <c r="I65" s="5" t="str">
        <f>IFERROR(__xludf.DUMMYFUNCTION("GOOGLETRANSLATE(C65, ""en"", ""id"")"),"A) Banteng, B) Joki, C) Tindakan mengejar atau balapan, D) Hadiah")</f>
        <v>A) Banteng, B) Joki, C) Tindakan mengejar atau balapan, D) Hadiah</v>
      </c>
      <c r="J65" s="5" t="str">
        <f>IFERROR(__xludf.DUMMYFUNCTION("GOOGLETRANSLATE(D65, ""en"", ""id"")"),"C) Tindakan mengejar atau balapan")</f>
        <v>C) Tindakan mengejar atau balapan</v>
      </c>
      <c r="K65" s="5" t="str">
        <f>IFERROR(__xludf.DUMMYFUNCTION("GOOGLETRANSLATE(E65, ""en"", ""id"")"),"Nama olahraga ini berasal dari bahasa Madura yang berarti perlombaan atau kejar-kejaran.")</f>
        <v>Nama olahraga ini berasal dari bahasa Madura yang berarti perlombaan atau kejar-kejaran.</v>
      </c>
    </row>
    <row r="66">
      <c r="A66" s="3">
        <v>65.0</v>
      </c>
      <c r="B66" s="4" t="s">
        <v>266</v>
      </c>
      <c r="C66" s="6" t="s">
        <v>267</v>
      </c>
      <c r="D66" s="4" t="s">
        <v>268</v>
      </c>
      <c r="E66" s="4" t="s">
        <v>269</v>
      </c>
      <c r="G66" s="5" t="str">
        <f>IFERROR(__xludf.DUMMYFUNCTION("GOOGLETRANSLATE(A66, ""en"", ""id"")"),"65")</f>
        <v>65</v>
      </c>
      <c r="H66" s="5" t="str">
        <f>IFERROR(__xludf.DUMMYFUNCTION("GOOGLETRANSLATE(B66, ""en"", ""id"")"),"Aturan baru mewajibkan semua joki memenuhi berat minimum. Apa kemungkinan tujuan dari aturan ini?")</f>
        <v>Aturan baru mewajibkan semua joki memenuhi berat minimum. Apa kemungkinan tujuan dari aturan ini?</v>
      </c>
      <c r="I66" s="5" t="str">
        <f>IFERROR(__xludf.DUMMYFUNCTION("GOOGLETRANSLATE(C66, ""en"", ""id"")"),"A) Untuk membuat perlombaan lebih sulit, B) Untuk merugikan tim yang lebih ringan, C) Untuk mengatasi kekhawatiran tentang penggunaan anak-anak yang sangat muda dan kekurangan berat badan sebagai joki, D) Untuk membuat kereta lebih stabil")</f>
        <v>A) Untuk membuat perlombaan lebih sulit, B) Untuk merugikan tim yang lebih ringan, C) Untuk mengatasi kekhawatiran tentang penggunaan anak-anak yang sangat muda dan kekurangan berat badan sebagai joki, D) Untuk membuat kereta lebih stabil</v>
      </c>
      <c r="J66" s="5" t="str">
        <f>IFERROR(__xludf.DUMMYFUNCTION("GOOGLETRANSLATE(D66, ""en"", ""id"")"),"C) Untuk mengatasi kekhawatiran tentang penggunaan anak-anak yang sangat muda dan kekurangan berat badan sebagai joki")</f>
        <v>C) Untuk mengatasi kekhawatiran tentang penggunaan anak-anak yang sangat muda dan kekurangan berat badan sebagai joki</v>
      </c>
      <c r="K66" s="5" t="str">
        <f>IFERROR(__xludf.DUMMYFUNCTION("GOOGLETRANSLATE(E66, ""en"", ""id"")"),"Perubahan aturan ini ditujukan untuk meningkatkan keselamatan dan kesejahteraan joki, memastikan mereka memiliki kekuatan yang cukup untuk mengendalikan banteng.")</f>
        <v>Perubahan aturan ini ditujukan untuk meningkatkan keselamatan dan kesejahteraan joki, memastikan mereka memiliki kekuatan yang cukup untuk mengendalikan banteng.</v>
      </c>
    </row>
    <row r="67">
      <c r="A67" s="3">
        <v>66.0</v>
      </c>
      <c r="B67" s="4" t="s">
        <v>270</v>
      </c>
      <c r="C67" s="6" t="s">
        <v>271</v>
      </c>
      <c r="D67" s="4" t="s">
        <v>272</v>
      </c>
      <c r="E67" s="4" t="s">
        <v>273</v>
      </c>
      <c r="G67" s="5" t="str">
        <f>IFERROR(__xludf.DUMMYFUNCTION("GOOGLETRANSLATE(A67, ""en"", ""id"")"),"66")</f>
        <v>66</v>
      </c>
      <c r="H67" s="5" t="str">
        <f>IFERROR(__xludf.DUMMYFUNCTION("GOOGLETRANSLATE(B67, ""en"", ""id"")"),"Mengapa joki berdiri selama perlombaan dan bukannya duduk?")</f>
        <v>Mengapa joki berdiri selama perlombaan dan bukannya duduk?</v>
      </c>
      <c r="I67" s="5" t="str">
        <f>IFERROR(__xludf.DUMMYFUNCTION("GOOGLETRANSLATE(C67, ""en"", ""id"")"),"A) Lebih nyaman, B) Untuk menyerap guncangan dengan kaki mereka dan menjaga keseimbangan dinamis, C) Untuk melihat di atas kepala banteng, D) Ini adalah aturan tradisional tanpa tujuan praktis")</f>
        <v>A) Lebih nyaman, B) Untuk menyerap guncangan dengan kaki mereka dan menjaga keseimbangan dinamis, C) Untuk melihat di atas kepala banteng, D) Ini adalah aturan tradisional tanpa tujuan praktis</v>
      </c>
      <c r="J67" s="5" t="str">
        <f>IFERROR(__xludf.DUMMYFUNCTION("GOOGLETRANSLATE(D67, ""en"", ""id"")"),"B) Untuk menyerap guncangan dengan kaki mereka dan menjaga keseimbangan dinamis")</f>
        <v>B) Untuk menyerap guncangan dengan kaki mereka dan menjaga keseimbangan dinamis</v>
      </c>
      <c r="K67" s="5" t="str">
        <f>IFERROR(__xludf.DUMMYFUNCTION("GOOGLETRANSLATE(E67, ""en"", ""id"")"),"Berdiri memungkinkan joki bertindak sebagai peredam kejut manusia dan menggeser berat badan mereka dengan cepat untuk mengarahkan dan menyeimbangkan kereta luncur yang ringan.")</f>
        <v>Berdiri memungkinkan joki bertindak sebagai peredam kejut manusia dan menggeser berat badan mereka dengan cepat untuk mengarahkan dan menyeimbangkan kereta luncur yang ringan.</v>
      </c>
    </row>
    <row r="68">
      <c r="A68" s="3">
        <v>67.0</v>
      </c>
      <c r="B68" s="4" t="s">
        <v>274</v>
      </c>
      <c r="C68" s="6" t="s">
        <v>275</v>
      </c>
      <c r="D68" s="4" t="s">
        <v>276</v>
      </c>
      <c r="E68" s="4" t="s">
        <v>277</v>
      </c>
      <c r="G68" s="5" t="str">
        <f>IFERROR(__xludf.DUMMYFUNCTION("GOOGLETRANSLATE(A68, ""en"", ""id"")"),"67")</f>
        <v>67</v>
      </c>
      <c r="H68" s="5" t="str">
        <f>IFERROR(__xludf.DUMMYFUNCTION("GOOGLETRANSLATE(B68, ""en"", ""id"")"),"Apa peran utama asisten tunggal yang diizinkan di lintasan untuk setiap tim?")</f>
        <v>Apa peran utama asisten tunggal yang diizinkan di lintasan untuk setiap tim?</v>
      </c>
      <c r="I68" s="5" t="str">
        <f>IFERROR(__xludf.DUMMYFUNCTION("GOOGLETRANSLATE(C68, ""en"", ""id"")"),"A) Membantu mendorong kereta di awal, B) Mengelola banteng di area awal dan melepaskannya, C) Memberikan cambuk baru kepada joki jika diperlukan, D) Membersihkan jalan di depan banteng")</f>
        <v>A) Membantu mendorong kereta di awal, B) Mengelola banteng di area awal dan melepaskannya, C) Memberikan cambuk baru kepada joki jika diperlukan, D) Membersihkan jalan di depan banteng</v>
      </c>
      <c r="J68" s="5" t="str">
        <f>IFERROR(__xludf.DUMMYFUNCTION("GOOGLETRANSLATE(D68, ""en"", ""id"")"),"B) Mengelola banteng di area awal dan melepaskannya")</f>
        <v>B) Mengelola banteng di area awal dan melepaskannya</v>
      </c>
      <c r="K68" s="5" t="str">
        <f>IFERROR(__xludf.DUMMYFUNCTION("GOOGLETRANSLATE(E68, ""en"", ""id"")"),"Pekerjaan utama asisten adalah membantu memposisikan banteng yang sering gelisah di awal dan memastikan pelepasan yang bersih saat sinyal diberikan.")</f>
        <v>Pekerjaan utama asisten adalah membantu memposisikan banteng yang sering gelisah di awal dan memastikan pelepasan yang bersih saat sinyal diberikan.</v>
      </c>
    </row>
    <row r="69">
      <c r="A69" s="3">
        <v>68.0</v>
      </c>
      <c r="B69" s="4" t="s">
        <v>278</v>
      </c>
      <c r="C69" s="6" t="s">
        <v>279</v>
      </c>
      <c r="D69" s="4" t="s">
        <v>280</v>
      </c>
      <c r="E69" s="4" t="s">
        <v>281</v>
      </c>
      <c r="G69" s="5" t="str">
        <f>IFERROR(__xludf.DUMMYFUNCTION("GOOGLETRANSLATE(A69, ""en"", ""id"")"),"68")</f>
        <v>68</v>
      </c>
      <c r="H69" s="5" t="str">
        <f>IFERROR(__xludf.DUMMYFUNCTION("GOOGLETRANSLATE(B69, ""en"", ""id"")"),"Sebuah tim didiskualifikasi karena menggunakan banteng yang bukan berasal dari daerah tersebut. Mengapa aturan seperti itu ada?")</f>
        <v>Sebuah tim didiskualifikasi karena menggunakan banteng yang bukan berasal dari daerah tersebut. Mengapa aturan seperti itu ada?</v>
      </c>
      <c r="I69" s="5" t="str">
        <f>IFERROR(__xludf.DUMMYFUNCTION("GOOGLETRANSLATE(C69, ""en"", ""id"")"),"A) Untuk melestarikan tradisi dan jenis sapi lokal Madura, B) Karena sapi jantan dari luar negeri terlalu lambat, C) Untuk mencegah penyakit, D) Karena sapi jantan dari luar negeri terlalu agresif.")</f>
        <v>A) Untuk melestarikan tradisi dan jenis sapi lokal Madura, B) Karena sapi jantan dari luar negeri terlalu lambat, C) Untuk mencegah penyakit, D) Karena sapi jantan dari luar negeri terlalu agresif.</v>
      </c>
      <c r="J69" s="5" t="str">
        <f>IFERROR(__xludf.DUMMYFUNCTION("GOOGLETRANSLATE(D69, ""en"", ""id"")"),"A) Untuk melestarikan adat istiadat dan jenis sapi lokal Madura")</f>
        <v>A) Untuk melestarikan adat istiadat dan jenis sapi lokal Madura</v>
      </c>
      <c r="K69" s="5" t="str">
        <f>IFERROR(__xludf.DUMMYFUNCTION("GOOGLETRANSLATE(E69, ""en"", ""id"")"),"Aturan semacam itu ditujukan untuk menjaga integritas budaya olahraga dan mempromosikan warisan ternak lokal.")</f>
        <v>Aturan semacam itu ditujukan untuk menjaga integritas budaya olahraga dan mempromosikan warisan ternak lokal.</v>
      </c>
    </row>
    <row r="70">
      <c r="A70" s="3">
        <v>69.0</v>
      </c>
      <c r="B70" s="4" t="s">
        <v>282</v>
      </c>
      <c r="C70" s="6" t="s">
        <v>283</v>
      </c>
      <c r="D70" s="4" t="s">
        <v>284</v>
      </c>
      <c r="E70" s="4" t="s">
        <v>285</v>
      </c>
      <c r="G70" s="5" t="str">
        <f>IFERROR(__xludf.DUMMYFUNCTION("GOOGLETRANSLATE(A70, ""en"", ""id"")"),"69")</f>
        <v>69</v>
      </c>
      <c r="H70" s="5" t="str">
        <f>IFERROR(__xludf.DUMMYFUNCTION("GOOGLETRANSLATE(B70, ""en"", ""id"")"),"Saat balapan, penutup kepala tradisional (odheng) seorang joki terlepas. Apa yang harus ia lakukan?")</f>
        <v>Saat balapan, penutup kepala tradisional (odheng) seorang joki terlepas. Apa yang harus ia lakukan?</v>
      </c>
      <c r="I70" s="5" t="str">
        <f>IFERROR(__xludf.DUMMYFUNCTION("GOOGLETRANSLATE(C70, ""en"", ""id"")"),"A) Berhenti segera untuk mengambilnya, B) Tim didiskualifikasi, C) Abaikan dan lanjutkan balapan, D) Asisten dapat mengambilnya untuknya")</f>
        <v>A) Berhenti segera untuk mengambilnya, B) Tim didiskualifikasi, C) Abaikan dan lanjutkan balapan, D) Asisten dapat mengambilnya untuknya</v>
      </c>
      <c r="J70" s="5" t="str">
        <f>IFERROR(__xludf.DUMMYFUNCTION("GOOGLETRANSLATE(D70, ""en"", ""id"")"),"C) Abaikan saja dan lanjutkan balapannya")</f>
        <v>C) Abaikan saja dan lanjutkan balapannya</v>
      </c>
      <c r="K70" s="5" t="str">
        <f>IFERROR(__xludf.DUMMYFUNCTION("GOOGLETRANSLATE(E70, ""en"", ""id"")"),"Meski penting secara budaya, penutup kepala bukanlah perlengkapan keselamatan yang penting, dan berhenti untuk mengambilnya berarti kalah dalam perlombaan.")</f>
        <v>Meski penting secara budaya, penutup kepala bukanlah perlengkapan keselamatan yang penting, dan berhenti untuk mengambilnya berarti kalah dalam perlombaan.</v>
      </c>
    </row>
    <row r="71">
      <c r="A71" s="3">
        <v>70.0</v>
      </c>
      <c r="B71" s="4" t="s">
        <v>286</v>
      </c>
      <c r="C71" s="6" t="s">
        <v>287</v>
      </c>
      <c r="D71" s="4" t="s">
        <v>288</v>
      </c>
      <c r="E71" s="4" t="s">
        <v>289</v>
      </c>
      <c r="G71" s="5" t="str">
        <f>IFERROR(__xludf.DUMMYFUNCTION("GOOGLETRANSLATE(A71, ""en"", ""id"")"),"70")</f>
        <v>70</v>
      </c>
      <c r="H71" s="5" t="str">
        <f>IFERROR(__xludf.DUMMYFUNCTION("GOOGLETRANSLATE(B71, ""en"", ""id"")"),"Kemenangan suatu tim terancam karena tanduk banteng mereka diasah. Mengapa ini dianggap pelanggaran?")</f>
        <v>Kemenangan suatu tim terancam karena tanduk banteng mereka diasah. Mengapa ini dianggap pelanggaran?</v>
      </c>
      <c r="I71" s="5" t="str">
        <f>IFERROR(__xludf.DUMMYFUNCTION("GOOGLETRANSLATE(C71, ""en"", ""id"")"),"A) Membuat banteng terlihat kurang tradisional, B) Dianggap sebagai modifikasi yang tidak perlu dan kejam, C) Memberikan keuntungan aerodinamis, D) Dapat digunakan sebagai senjata melawan banteng lainnya")</f>
        <v>A) Membuat banteng terlihat kurang tradisional, B) Dianggap sebagai modifikasi yang tidak perlu dan kejam, C) Memberikan keuntungan aerodinamis, D) Dapat digunakan sebagai senjata melawan banteng lainnya</v>
      </c>
      <c r="J71" s="5" t="str">
        <f>IFERROR(__xludf.DUMMYFUNCTION("GOOGLETRANSLATE(D71, ""en"", ""id"")"),"D) Dapat digunakan sebagai senjata melawan banteng lainnya")</f>
        <v>D) Dapat digunakan sebagai senjata melawan banteng lainnya</v>
      </c>
      <c r="K71" s="5" t="str">
        <f>IFERROR(__xludf.DUMMYFUNCTION("GOOGLETRANSLATE(E71, ""en"", ""id"")"),"Tanduk yang tajam menimbulkan bahaya yang signifikan jika terjadi tabrakan dengan tim lain atau jika banteng menjadi tidak terkendali.")</f>
        <v>Tanduk yang tajam menimbulkan bahaya yang signifikan jika terjadi tabrakan dengan tim lain atau jika banteng menjadi tidak terkendali.</v>
      </c>
    </row>
    <row r="72">
      <c r="A72" s="3">
        <v>71.0</v>
      </c>
      <c r="B72" s="4" t="s">
        <v>290</v>
      </c>
      <c r="C72" s="6" t="s">
        <v>291</v>
      </c>
      <c r="D72" s="4" t="s">
        <v>292</v>
      </c>
      <c r="E72" s="4" t="s">
        <v>293</v>
      </c>
      <c r="G72" s="5" t="str">
        <f>IFERROR(__xludf.DUMMYFUNCTION("GOOGLETRANSLATE(A72, ""en"", ""id"")"),"71")</f>
        <v>71</v>
      </c>
      <c r="H72" s="5" t="str">
        <f>IFERROR(__xludf.DUMMYFUNCTION("GOOGLETRANSLATE(B72, ""en"", ""id"")"),"Jika suatu tim secara konsisten menang dengan selisih yang sangat besar, apa yang mungkin dilakukan penyelenggara lomba di kompetisi mendatang untuk memastikan keadilan?")</f>
        <v>Jika suatu tim secara konsisten menang dengan selisih yang sangat besar, apa yang mungkin dilakukan penyelenggara lomba di kompetisi mendatang untuk memastikan keadilan?</v>
      </c>
      <c r="I72" s="5" t="str">
        <f>IFERROR(__xludf.DUMMYFUNCTION("GOOGLETRANSLATE(C72, ""en"", ""id"")"),"A) Tambahkan beban ekstra pada kereta mereka sebagai handicap, B) Paksa mereka untuk menggunakan banteng yang lebih muda, C) Pindahkan mereka ke divisi yang lebih tinggi dan lebih kompetitif, D) Berikan tim lain keunggulan")</f>
        <v>A) Tambahkan beban ekstra pada kereta mereka sebagai handicap, B) Paksa mereka untuk menggunakan banteng yang lebih muda, C) Pindahkan mereka ke divisi yang lebih tinggi dan lebih kompetitif, D) Berikan tim lain keunggulan</v>
      </c>
      <c r="J72" s="5" t="str">
        <f>IFERROR(__xludf.DUMMYFUNCTION("GOOGLETRANSLATE(D72, ""en"", ""id"")"),"C) Memindahkan mereka ke divisi yang lebih tinggi dan lebih kompetitif")</f>
        <v>C) Memindahkan mereka ke divisi yang lebih tinggi dan lebih kompetitif</v>
      </c>
      <c r="K72" s="5" t="str">
        <f>IFERROR(__xludf.DUMMYFUNCTION("GOOGLETRANSLATE(E72, ""en"", ""id"")"),"Sistem berjenjang (seperti Divisi I, II, dst.) memastikan bahwa tim bersaing dengan tim lain yang memiliki keterampilan dan kecepatan serupa.")</f>
        <v>Sistem berjenjang (seperti Divisi I, II, dst.) memastikan bahwa tim bersaing dengan tim lain yang memiliki keterampilan dan kecepatan serupa.</v>
      </c>
    </row>
    <row r="73">
      <c r="A73" s="3">
        <v>72.0</v>
      </c>
      <c r="B73" s="4" t="s">
        <v>294</v>
      </c>
      <c r="C73" s="6" t="s">
        <v>295</v>
      </c>
      <c r="D73" s="4" t="s">
        <v>296</v>
      </c>
      <c r="E73" s="4" t="s">
        <v>297</v>
      </c>
      <c r="G73" s="5" t="str">
        <f>IFERROR(__xludf.DUMMYFUNCTION("GOOGLETRANSLATE(A73, ""en"", ""id"")"),"72")</f>
        <v>72</v>
      </c>
      <c r="H73" s="5" t="str">
        <f>IFERROR(__xludf.DUMMYFUNCTION("GOOGLETRANSLATE(B73, ""en"", ""id"")"),"Apa alasan utama mengapa joki dalam Karapan Sapi biasanya bertubuh kecil dan ringan?")</f>
        <v>Apa alasan utama mengapa joki dalam Karapan Sapi biasanya bertubuh kecil dan ringan?</v>
      </c>
      <c r="I73" s="5" t="str">
        <f>IFERROR(__xludf.DUMMYFUNCTION("GOOGLETRANSLATE(C73, ""en"", ""id"")"),"A) Ini adalah aturan, B) Untuk mengurangi berat total yang harus ditarik oleh banteng, memaksimalkan kecepatan, C) Hanya anak laki-laki muda yang cukup berani, D) Mereka lebih mudah dilatih")</f>
        <v>A) Ini adalah aturan, B) Untuk mengurangi berat total yang harus ditarik oleh banteng, memaksimalkan kecepatan, C) Hanya anak laki-laki muda yang cukup berani, D) Mereka lebih mudah dilatih</v>
      </c>
      <c r="J73" s="5" t="str">
        <f>IFERROR(__xludf.DUMMYFUNCTION("GOOGLETRANSLATE(D73, ""en"", ""id"")"),"B) Untuk mengurangi berat total yang harus ditarik oleh banteng, memaksimalkan kecepatan")</f>
        <v>B) Untuk mengurangi berat total yang harus ditarik oleh banteng, memaksimalkan kecepatan</v>
      </c>
      <c r="K73" s="5" t="str">
        <f>IFERROR(__xludf.DUMMYFUNCTION("GOOGLETRANSLATE(E73, ""en"", ""id"")"),"Setiap kilogram sangat berarti dalam lari cepat. Joki yang lebih ringan berarti banteng dapat berlari lebih cepat.")</f>
        <v>Setiap kilogram sangat berarti dalam lari cepat. Joki yang lebih ringan berarti banteng dapat berlari lebih cepat.</v>
      </c>
    </row>
    <row r="74">
      <c r="A74" s="3">
        <v>73.0</v>
      </c>
      <c r="B74" s="4" t="s">
        <v>298</v>
      </c>
      <c r="C74" s="6" t="s">
        <v>299</v>
      </c>
      <c r="D74" s="4" t="s">
        <v>300</v>
      </c>
      <c r="E74" s="4" t="s">
        <v>301</v>
      </c>
      <c r="G74" s="5" t="str">
        <f>IFERROR(__xludf.DUMMYFUNCTION("GOOGLETRANSLATE(A74, ""en"", ""id"")"),"73")</f>
        <v>73</v>
      </c>
      <c r="H74" s="5" t="str">
        <f>IFERROR(__xludf.DUMMYFUNCTION("GOOGLETRANSLATE(B74, ""en"", ""id"")"),"Balapan dinyatakan batal karena gerbang start tidak berfungsi. Apa yang terjadi selanjutnya?")</f>
        <v>Balapan dinyatakan batal karena gerbang start tidak berfungsi. Apa yang terjadi selanjutnya?</v>
      </c>
      <c r="I74" s="5" t="str">
        <f>IFERROR(__xludf.DUMMYFUNCTION("GOOGLETRANSLATE(C74, ""en"", ""id"")"),"A) Tim yang bereaksi paling cepat adalah pemenangnya, B) Pertandingan dijadwalkan ulang dan diulang dari awal, C) Kedua tim didiskualifikasi, D) Pemenangnya ditentukan dengan lemparan koin.")</f>
        <v>A) Tim yang bereaksi paling cepat adalah pemenangnya, B) Pertandingan dijadwalkan ulang dan diulang dari awal, C) Kedua tim didiskualifikasi, D) Pemenangnya ditentukan dengan lemparan koin.</v>
      </c>
      <c r="J74" s="5" t="str">
        <f>IFERROR(__xludf.DUMMYFUNCTION("GOOGLETRANSLATE(D74, ""en"", ""id"")"),"B) Panasnya dijadwalkan ulang dan dijalankan ulang dari awal")</f>
        <v>B) Panasnya dijadwalkan ulang dan dijalankan ulang dari awal</v>
      </c>
      <c r="K74" s="5" t="str">
        <f>IFERROR(__xludf.DUMMYFUNCTION("GOOGLETRANSLATE(E74, ""en"", ""id"")"),"Kegagalan teknis yang mengganggu permulaan yang adil mengharuskan pemanasan dijalankan kembali.")</f>
        <v>Kegagalan teknis yang mengganggu permulaan yang adil mengharuskan pemanasan dijalankan kembali.</v>
      </c>
    </row>
    <row r="75">
      <c r="A75" s="3">
        <v>74.0</v>
      </c>
      <c r="B75" s="4" t="s">
        <v>302</v>
      </c>
      <c r="C75" s="6" t="s">
        <v>303</v>
      </c>
      <c r="D75" s="4" t="s">
        <v>304</v>
      </c>
      <c r="E75" s="4" t="s">
        <v>305</v>
      </c>
      <c r="G75" s="5" t="str">
        <f>IFERROR(__xludf.DUMMYFUNCTION("GOOGLETRANSLATE(A75, ""en"", ""id"")"),"74")</f>
        <v>74</v>
      </c>
      <c r="H75" s="5" t="str">
        <f>IFERROR(__xludf.DUMMYFUNCTION("GOOGLETRANSLATE(B75, ""en"", ""id"")"),"Sesaat sebelum lomba, seorang pawang terlihat berbisik kepada banteng-banteng. Apa tujuannya?")</f>
        <v>Sesaat sebelum lomba, seorang pawang terlihat berbisik kepada banteng-banteng. Apa tujuannya?</v>
      </c>
      <c r="I75" s="5" t="str">
        <f>IFERROR(__xludf.DUMMYFUNCTION("GOOGLETRANSLATE(C75, ""en"", ""id"")"),"A) Untuk memberi mereka perintah rahasia, B) Untuk memeriksa pendengaran mereka, C) Untuk menenangkan dan menenteramkan hewan sebelum ledakan dimulai, D) Ini adalah tindakan seremonial semata.")</f>
        <v>A) Untuk memberi mereka perintah rahasia, B) Untuk memeriksa pendengaran mereka, C) Untuk menenangkan dan menenteramkan hewan sebelum ledakan dimulai, D) Ini adalah tindakan seremonial semata.</v>
      </c>
      <c r="J75" s="5" t="str">
        <f>IFERROR(__xludf.DUMMYFUNCTION("GOOGLETRANSLATE(D75, ""en"", ""id"")"),"C) Untuk menenangkan dan menentramkan hewan sebelum ledakan dimulai")</f>
        <v>C) Untuk menenangkan dan menentramkan hewan sebelum ledakan dimulai</v>
      </c>
      <c r="K75" s="5" t="str">
        <f>IFERROR(__xludf.DUMMYFUNCTION("GOOGLETRANSLATE(E75, ""en"", ""id"")"),"Menjaga banteng-banteng yang kuat tetap tenang dan fokus di tengah kekacauan di area awal sangat penting untuk perlombaan yang baik.")</f>
        <v>Menjaga banteng-banteng yang kuat tetap tenang dan fokus di tengah kekacauan di area awal sangat penting untuk perlombaan yang baik.</v>
      </c>
    </row>
    <row r="76">
      <c r="A76" s="3">
        <v>75.0</v>
      </c>
      <c r="B76" s="4" t="s">
        <v>306</v>
      </c>
      <c r="C76" s="6" t="s">
        <v>307</v>
      </c>
      <c r="D76" s="4" t="s">
        <v>308</v>
      </c>
      <c r="E76" s="4" t="s">
        <v>309</v>
      </c>
      <c r="G76" s="5" t="str">
        <f>IFERROR(__xludf.DUMMYFUNCTION("GOOGLETRANSLATE(A76, ""en"", ""id"")"),"75")</f>
        <v>75</v>
      </c>
      <c r="H76" s="5" t="str">
        <f>IFERROR(__xludf.DUMMYFUNCTION("GOOGLETRANSLATE(B76, ""en"", ""id"")"),"Seekor banteng didiskualifikasi dalam pemeriksaan pra-perlombaan karena memiliki ""temperamen buruk"". Apa yang mungkin diamati oleh dokter hewan?")</f>
        <v>Seekor banteng didiskualifikasi dalam pemeriksaan pra-perlombaan karena memiliki "temperamen buruk". Apa yang mungkin diamati oleh dokter hewan?</v>
      </c>
      <c r="I76" s="5" t="str">
        <f>IFERROR(__xludf.DUMMYFUNCTION("GOOGLETRANSLATE(C76, ""en"", ""id"")"),"A) Banteng itu terlalu tenang, B) Banteng itu luar biasa agresif, gugup, atau tidak terkendali, C) Banteng itu terlalu ramah, D) Banteng itu tidak mau makan")</f>
        <v>A) Banteng itu terlalu tenang, B) Banteng itu luar biasa agresif, gugup, atau tidak terkendali, C) Banteng itu terlalu ramah, D) Banteng itu tidak mau makan</v>
      </c>
      <c r="J76" s="5" t="str">
        <f>IFERROR(__xludf.DUMMYFUNCTION("GOOGLETRANSLATE(D76, ""en"", ""id"")"),"B) Banteng itu sangat agresif, gugup, atau tidak terkendali")</f>
        <v>B) Banteng itu sangat agresif, gugup, atau tidak terkendali</v>
      </c>
      <c r="K76" s="5" t="str">
        <f>IFERROR(__xludf.DUMMYFUNCTION("GOOGLETRANSLATE(E76, ""en"", ""id"")"),"Seekor banteng dengan temperamen berbahaya menimbulkan risiko keselamatan bagi joki, tim lain, dan penonton.")</f>
        <v>Seekor banteng dengan temperamen berbahaya menimbulkan risiko keselamatan bagi joki, tim lain, dan penonton.</v>
      </c>
    </row>
    <row r="77">
      <c r="A77" s="3">
        <v>76.0</v>
      </c>
      <c r="B77" s="4" t="s">
        <v>310</v>
      </c>
      <c r="C77" s="6" t="s">
        <v>311</v>
      </c>
      <c r="D77" s="4" t="s">
        <v>312</v>
      </c>
      <c r="E77" s="4" t="s">
        <v>313</v>
      </c>
      <c r="G77" s="5" t="str">
        <f>IFERROR(__xludf.DUMMYFUNCTION("GOOGLETRANSLATE(A77, ""en"", ""id"")"),"76")</f>
        <v>76</v>
      </c>
      <c r="H77" s="5" t="str">
        <f>IFERROR(__xludf.DUMMYFUNCTION("GOOGLETRANSLATE(B77, ""en"", ""id"")"),"Mengapa keseimbangan joki di kaleles dianggap sebagai keterampilan utama?")</f>
        <v>Mengapa keseimbangan joki di kaleles dianggap sebagai keterampilan utama?</v>
      </c>
      <c r="I77" s="5" t="str">
        <f>IFERROR(__xludf.DUMMYFUNCTION("GOOGLETRANSLATE(C77, ""en"", ""id"")"),"A) Kelihatannya menarik bagi penonton, B) Mencegah joki menjadi lelah, C) Kereta luncur pada dasarnya tidak stabil dan joki harus terus-menerus menyesuaikan diri agar tidak terbalik, D) Ini adalah bagian dari sistem penilaian")</f>
        <v>A) Kelihatannya menarik bagi penonton, B) Mencegah joki menjadi lelah, C) Kereta luncur pada dasarnya tidak stabil dan joki harus terus-menerus menyesuaikan diri agar tidak terbalik, D) Ini adalah bagian dari sistem penilaian</v>
      </c>
      <c r="J77" s="5" t="str">
        <f>IFERROR(__xludf.DUMMYFUNCTION("GOOGLETRANSLATE(D77, ""en"", ""id"")"),"C) Kereta luncur pada dasarnya tidak stabil dan joki harus terus-menerus menyesuaikan diri agar tidak terbalik")</f>
        <v>C) Kereta luncur pada dasarnya tidak stabil dan joki harus terus-menerus menyesuaikan diri agar tidak terbalik</v>
      </c>
      <c r="K77" s="5" t="str">
        <f>IFERROR(__xludf.DUMMYFUNCTION("GOOGLETRANSLATE(E77, ""en"", ""id"")"),"Kereta luncur yang ringan dan sederhana tidak memiliki stabilitas bawaan; keterampilan joki dalam memindahkan berat badan adalah satu-satunya hal yang menjaganya tetap tegak.")</f>
        <v>Kereta luncur yang ringan dan sederhana tidak memiliki stabilitas bawaan; keterampilan joki dalam memindahkan berat badan adalah satu-satunya hal yang menjaganya tetap tegak.</v>
      </c>
    </row>
    <row r="78">
      <c r="A78" s="3">
        <v>77.0</v>
      </c>
      <c r="B78" s="4" t="s">
        <v>314</v>
      </c>
      <c r="C78" s="6" t="s">
        <v>315</v>
      </c>
      <c r="D78" s="4" t="s">
        <v>316</v>
      </c>
      <c r="E78" s="4" t="s">
        <v>317</v>
      </c>
      <c r="G78" s="5" t="str">
        <f>IFERROR(__xludf.DUMMYFUNCTION("GOOGLETRANSLATE(A78, ""en"", ""id"")"),"77")</f>
        <v>77</v>
      </c>
      <c r="H78" s="5" t="str">
        <f>IFERROR(__xludf.DUMMYFUNCTION("GOOGLETRANSLATE(B78, ""en"", ""id"")"),"Sebuah tim akan dikenai penalti jika memiliki terlalu banyak asisten di area awal. Apa tujuan dari aturan ini?")</f>
        <v>Sebuah tim akan dikenai penalti jika memiliki terlalu banyak asisten di area awal. Apa tujuan dari aturan ini?</v>
      </c>
      <c r="I78" s="5" t="str">
        <f>IFERROR(__xludf.DUMMYFUNCTION("GOOGLETRANSLATE(C78, ""en"", ""id"")"),"A) Untuk menghemat tempat, B) Untuk mencegah kepadatan dan kekacauan, memastikan awal yang adil dan aman, C) Untuk mengurangi keuntungan tim, D) Untuk mempersulit tim")</f>
        <v>A) Untuk menghemat tempat, B) Untuk mencegah kepadatan dan kekacauan, memastikan awal yang adil dan aman, C) Untuk mengurangi keuntungan tim, D) Untuk mempersulit tim</v>
      </c>
      <c r="J78" s="5" t="str">
        <f>IFERROR(__xludf.DUMMYFUNCTION("GOOGLETRANSLATE(D78, ""en"", ""id"")"),"B) Untuk mencegah kepadatan dan kekacauan, memastikan awal yang adil dan aman")</f>
        <v>B) Untuk mencegah kepadatan dan kekacauan, memastikan awal yang adil dan aman</v>
      </c>
      <c r="K78" s="5" t="str">
        <f>IFERROR(__xludf.DUMMYFUNCTION("GOOGLETRANSLATE(E78, ""en"", ""id"")"),"Membatasi jumlah pengendali memastikan prosedur permulaan berjalan tertib dan tidak ada tim yang dapat secara fisik menghalangi tim lain.")</f>
        <v>Membatasi jumlah pengendali memastikan prosedur permulaan berjalan tertib dan tidak ada tim yang dapat secara fisik menghalangi tim lain.</v>
      </c>
    </row>
    <row r="79">
      <c r="A79" s="3">
        <v>78.0</v>
      </c>
      <c r="B79" s="4" t="s">
        <v>318</v>
      </c>
      <c r="C79" s="6" t="s">
        <v>319</v>
      </c>
      <c r="D79" s="4" t="s">
        <v>320</v>
      </c>
      <c r="E79" s="4" t="s">
        <v>321</v>
      </c>
      <c r="G79" s="5" t="str">
        <f>IFERROR(__xludf.DUMMYFUNCTION("GOOGLETRANSLATE(A79, ""en"", ""id"")"),"78")</f>
        <v>78</v>
      </c>
      <c r="H79" s="5" t="str">
        <f>IFERROR(__xludf.DUMMYFUNCTION("GOOGLETRANSLATE(B79, ""en"", ""id"")"),"Bagian manakah dari banteng yang paling bergengsi untuk dimiliki setelah memenangkan kejuaraan?")</f>
        <v>Bagian manakah dari banteng yang paling bergengsi untuk dimiliki setelah memenangkan kejuaraan?</v>
      </c>
      <c r="I79" s="5" t="str">
        <f>IFERROR(__xludf.DUMMYFUNCTION("GOOGLETRANSLATE(C79, ""en"", ""id"")"),"A) Tanduknya, B) Kulitnya, C) Statusnya sebagai juara dalam perkembangbiakan, D) Ekornya")</f>
        <v>A) Tanduknya, B) Kulitnya, C) Statusnya sebagai juara dalam perkembangbiakan, D) Ekornya</v>
      </c>
      <c r="J79" s="5" t="str">
        <f>IFERROR(__xludf.DUMMYFUNCTION("GOOGLETRANSLATE(D79, ""en"", ""id"")"),"C) Statusnya sebagai juara dalam pemuliaan")</f>
        <v>C) Statusnya sebagai juara dalam pemuliaan</v>
      </c>
      <c r="K79" s="5" t="str">
        <f>IFERROR(__xludf.DUMMYFUNCTION("GOOGLETRANSLATE(E79, ""en"", ""id"")"),"Nilai sejati seekor banteng juara terletak pada genetikanya, karena keturunannya diharapkan menjadi pembalap cepat juga.")</f>
        <v>Nilai sejati seekor banteng juara terletak pada genetikanya, karena keturunannya diharapkan menjadi pembalap cepat juga.</v>
      </c>
    </row>
    <row r="80">
      <c r="A80" s="3">
        <v>79.0</v>
      </c>
      <c r="B80" s="4" t="s">
        <v>322</v>
      </c>
      <c r="C80" s="6" t="s">
        <v>323</v>
      </c>
      <c r="D80" s="4" t="s">
        <v>324</v>
      </c>
      <c r="E80" s="4" t="s">
        <v>325</v>
      </c>
      <c r="G80" s="5" t="str">
        <f>IFERROR(__xludf.DUMMYFUNCTION("GOOGLETRANSLATE(A80, ""en"", ""id"")"),"79")</f>
        <v>79</v>
      </c>
      <c r="H80" s="5" t="str">
        <f>IFERROR(__xludf.DUMMYFUNCTION("GOOGLETRANSLATE(B80, ""en"", ""id"")"),"Lintasan untuk acara besar dibersihkan dengan teliti dari semua batu dan puing. Mengapa ini begitu penting?")</f>
        <v>Lintasan untuk acara besar dibersihkan dengan teliti dari semua batu dan puing. Mengapa ini begitu penting?</v>
      </c>
      <c r="I80" s="5" t="str">
        <f>IFERROR(__xludf.DUMMYFUNCTION("GOOGLETRANSLATE(C80, ""en"", ""id"")"),"A) Membuat lintasan terlihat lebih bagus, B) Batu kecil dapat menyebabkan banteng tersandung atau melukai kukunya, yang mengakibatkan kerugian atau kecelakaan, C) Membuat banteng berlari lebih lambat, D) Ini adalah persyaratan tradisional")</f>
        <v>A) Membuat lintasan terlihat lebih bagus, B) Batu kecil dapat menyebabkan banteng tersandung atau melukai kukunya, yang mengakibatkan kerugian atau kecelakaan, C) Membuat banteng berlari lebih lambat, D) Ini adalah persyaratan tradisional</v>
      </c>
      <c r="J80" s="5" t="str">
        <f>IFERROR(__xludf.DUMMYFUNCTION("GOOGLETRANSLATE(D80, ""en"", ""id"")"),"B) Batu kecil dapat menyebabkan banteng tersandung atau melukai kukunya, yang mengakibatkan kerugian atau kecelakaan.")</f>
        <v>B) Batu kecil dapat menyebabkan banteng tersandung atau melukai kukunya, yang mengakibatkan kerugian atau kecelakaan.</v>
      </c>
      <c r="K80" s="5" t="str">
        <f>IFERROR(__xludf.DUMMYFUNCTION("GOOGLETRANSLATE(E80, ""en"", ""id"")"),"Pada kecepatan tinggi Karapan Sapi, rintangan kecil sekalipun dapat berakibat fatal bagi hewan yang bergerak cepat tersebut.")</f>
        <v>Pada kecepatan tinggi Karapan Sapi, rintangan kecil sekalipun dapat berakibat fatal bagi hewan yang bergerak cepat tersebut.</v>
      </c>
    </row>
    <row r="81">
      <c r="A81" s="3">
        <v>80.0</v>
      </c>
      <c r="B81" s="4" t="s">
        <v>326</v>
      </c>
      <c r="C81" s="6" t="s">
        <v>327</v>
      </c>
      <c r="D81" s="4" t="s">
        <v>328</v>
      </c>
      <c r="E81" s="4" t="s">
        <v>329</v>
      </c>
      <c r="G81" s="5" t="str">
        <f>IFERROR(__xludf.DUMMYFUNCTION("GOOGLETRANSLATE(A81, ""en"", ""id"")"),"80")</f>
        <v>80</v>
      </c>
      <c r="H81" s="5" t="str">
        <f>IFERROR(__xludf.DUMMYFUNCTION("GOOGLETRANSLATE(B81, ""en"", ""id"")"),"Sebuah tim menggunakan kereta beroda, bukan kereta luncur tradisional (kaleles). Apakah ini diperbolehkan dalam perlombaan resmi?")</f>
        <v>Sebuah tim menggunakan kereta beroda, bukan kereta luncur tradisional (kaleles). Apakah ini diperbolehkan dalam perlombaan resmi?</v>
      </c>
      <c r="I81" s="5" t="str">
        <f>IFERROR(__xludf.DUMMYFUNCTION("GOOGLETRANSLATE(C81, ""en"", ""id"")"),"A) Ya, jika rodanya kecil, B) Ya, itu adalah inovasi modern, C) Tidak, itu melanggar aturan peralatan tradisional, D) Hanya dalam balapan pameran")</f>
        <v>A) Ya, jika rodanya kecil, B) Ya, itu adalah inovasi modern, C) Tidak, itu melanggar aturan peralatan tradisional, D) Hanya dalam balapan pameran</v>
      </c>
      <c r="J81" s="5" t="str">
        <f>IFERROR(__xludf.DUMMYFUNCTION("GOOGLETRANSLATE(D81, ""en"", ""id"")"),"C) Tidak, itu melanggar aturan peralatan tradisional")</f>
        <v>C) Tidak, itu melanggar aturan peralatan tradisional</v>
      </c>
      <c r="K81" s="5" t="str">
        <f>IFERROR(__xludf.DUMMYFUNCTION("GOOGLETRANSLATE(E81, ""en"", ""id"")"),"Penggunaan kaleles tradisional yang berbentuk seperti selip merupakan ciri khas olahraga ini; roda tidak diizinkan dalam balapan resmi.")</f>
        <v>Penggunaan kaleles tradisional yang berbentuk seperti selip merupakan ciri khas olahraga ini; roda tidak diizinkan dalam balapan resmi.</v>
      </c>
    </row>
    <row r="82">
      <c r="A82" s="3">
        <v>81.0</v>
      </c>
      <c r="B82" s="4" t="s">
        <v>330</v>
      </c>
      <c r="C82" s="6" t="s">
        <v>331</v>
      </c>
      <c r="D82" s="4" t="s">
        <v>332</v>
      </c>
      <c r="E82" s="4" t="s">
        <v>333</v>
      </c>
      <c r="G82" s="5" t="str">
        <f>IFERROR(__xludf.DUMMYFUNCTION("GOOGLETRANSLATE(A82, ""en"", ""id"")"),"81")</f>
        <v>81</v>
      </c>
      <c r="H82" s="5" t="str">
        <f>IFERROR(__xludf.DUMMYFUNCTION("GOOGLETRANSLATE(B82, ""en"", ""id"")"),"Saat finis di garis finis yang ketat, salah satu joki mencondongkan tubuhnya jauh ke depan melewati garis finis. Apakah ini memengaruhi hasil?")</f>
        <v>Saat finis di garis finis yang ketat, salah satu joki mencondongkan tubuhnya jauh ke depan melewati garis finis. Apakah ini memengaruhi hasil?</v>
      </c>
      <c r="I82" s="5" t="str">
        <f>IFERROR(__xludf.DUMMYFUNCTION("GOOGLETRANSLATE(C82, ""en"", ""id"")"),"A) Ya, posisi joki diperhitungkan, B) Tidak, hanya hidung banteng yang menentukan pemenang, C) Hal ini dapat menyebabkan diskualifikasi, D) Hal ini menghasilkan bonus waktu")</f>
        <v>A) Ya, posisi joki diperhitungkan, B) Tidak, hanya hidung banteng yang menentukan pemenang, C) Hal ini dapat menyebabkan diskualifikasi, D) Hal ini menghasilkan bonus waktu</v>
      </c>
      <c r="J82" s="5" t="str">
        <f>IFERROR(__xludf.DUMMYFUNCTION("GOOGLETRANSLATE(D82, ""en"", ""id"")"),"B) Tidak, hanya hidung banteng yang menentukan pemenangnya")</f>
        <v>B) Tidak, hanya hidung banteng yang menentukan pemenangnya</v>
      </c>
      <c r="K82" s="5" t="str">
        <f>IFERROR(__xludf.DUMMYFUNCTION("GOOGLETRANSLATE(E82, ""en"", ""id"")"),"Posisi joki atau kereta luncur tidak relevan dalam menentukan garis akhir; perlombaan dimenangkan oleh banteng itu sendiri.")</f>
        <v>Posisi joki atau kereta luncur tidak relevan dalam menentukan garis akhir; perlombaan dimenangkan oleh banteng itu sendiri.</v>
      </c>
    </row>
    <row r="83">
      <c r="A83" s="3">
        <v>82.0</v>
      </c>
      <c r="B83" s="4" t="s">
        <v>334</v>
      </c>
      <c r="C83" s="6" t="s">
        <v>335</v>
      </c>
      <c r="D83" s="4" t="s">
        <v>336</v>
      </c>
      <c r="E83" s="4" t="s">
        <v>337</v>
      </c>
      <c r="G83" s="5" t="str">
        <f>IFERROR(__xludf.DUMMYFUNCTION("GOOGLETRANSLATE(A83, ""en"", ""id"")"),"82")</f>
        <v>82</v>
      </c>
      <c r="H83" s="5" t="str">
        <f>IFERROR(__xludf.DUMMYFUNCTION("GOOGLETRANSLATE(B83, ""en"", ""id"")"),"Jika seorang joki menggunakan dua cambuk secara bersamaan, apa hukumnya?")</f>
        <v>Jika seorang joki menggunakan dua cambuk secara bersamaan, apa hukumnya?</v>
      </c>
      <c r="I83" s="5" t="str">
        <f>IFERROR(__xludf.DUMMYFUNCTION("GOOGLETRANSLATE(C83, ""en"", ""id"")"),"A) Diperbolehkan untuk kecepatan berlebih, B) Peringatan diberikan, C) Diskualifikasi langsung untuk peralatan ilegal, D) Tim mendapat penalti waktu")</f>
        <v>A) Diperbolehkan untuk kecepatan berlebih, B) Peringatan diberikan, C) Diskualifikasi langsung untuk peralatan ilegal, D) Tim mendapat penalti waktu</v>
      </c>
      <c r="J83" s="5" t="str">
        <f>IFERROR(__xludf.DUMMYFUNCTION("GOOGLETRANSLATE(D83, ""en"", ""id"")"),"C) Diskualifikasi langsung untuk peralatan ilegal")</f>
        <v>C) Diskualifikasi langsung untuk peralatan ilegal</v>
      </c>
      <c r="K83" s="5" t="str">
        <f>IFERROR(__xludf.DUMMYFUNCTION("GOOGLETRANSLATE(E83, ""en"", ""id"")"),"Peraturan biasanya membatasi joki pada satu cambuk untuk mencegah perlakuan berlebihan dan kejam terhadap hewan.")</f>
        <v>Peraturan biasanya membatasi joki pada satu cambuk untuk mencegah perlakuan berlebihan dan kejam terhadap hewan.</v>
      </c>
    </row>
    <row r="84">
      <c r="A84" s="3">
        <v>83.0</v>
      </c>
      <c r="B84" s="4" t="s">
        <v>338</v>
      </c>
      <c r="C84" s="6" t="s">
        <v>339</v>
      </c>
      <c r="D84" s="4" t="s">
        <v>340</v>
      </c>
      <c r="E84" s="4" t="s">
        <v>341</v>
      </c>
      <c r="G84" s="5" t="str">
        <f>IFERROR(__xludf.DUMMYFUNCTION("GOOGLETRANSLATE(A84, ""en"", ""id"")"),"83")</f>
        <v>83</v>
      </c>
      <c r="H84" s="5" t="str">
        <f>IFERROR(__xludf.DUMMYFUNCTION("GOOGLETRANSLATE(B84, ""en"", ""id"")"),"Hiasan kepala banteng jatuh di tengah lomba dan menjegal banteng lawan. Siapa yang salah?")</f>
        <v>Hiasan kepala banteng jatuh di tengah lomba dan menjegal banteng lawan. Siapa yang salah?</v>
      </c>
      <c r="I84" s="5" t="str">
        <f>IFERROR(__xludf.DUMMYFUNCTION("GOOGLETRANSLATE(C84, ""en"", ""id"")"),"A) Tim yang bantengnya tersandung, B) Tim yang dekorasinya jatuh, C) Ini dianggap sebagai insiden balap tanpa kesalahan, D) Penyelenggara balapan")</f>
        <v>A) Tim yang bantengnya tersandung, B) Tim yang dekorasinya jatuh, C) Ini dianggap sebagai insiden balap tanpa kesalahan, D) Penyelenggara balapan</v>
      </c>
      <c r="J84" s="5" t="str">
        <f>IFERROR(__xludf.DUMMYFUNCTION("GOOGLETRANSLATE(D84, ""en"", ""id"")"),"B) Tim yang dekorasinya jatuh")</f>
        <v>B) Tim yang dekorasinya jatuh</v>
      </c>
      <c r="K84" s="5" t="str">
        <f>IFERROR(__xludf.DUMMYFUNCTION("GOOGLETRANSLATE(E84, ""en"", ""id"")"),"Tim bertanggung jawab untuk memastikan semua peralatan dan dekorasi mereka aman. Gangguan akan mengakibatkan kerusakan.")</f>
        <v>Tim bertanggung jawab untuk memastikan semua peralatan dan dekorasi mereka aman. Gangguan akan mengakibatkan kerusakan.</v>
      </c>
    </row>
    <row r="85">
      <c r="A85" s="3">
        <v>84.0</v>
      </c>
      <c r="B85" s="4" t="s">
        <v>342</v>
      </c>
      <c r="C85" s="6" t="s">
        <v>343</v>
      </c>
      <c r="D85" s="4" t="s">
        <v>344</v>
      </c>
      <c r="E85" s="4" t="s">
        <v>345</v>
      </c>
      <c r="G85" s="5" t="str">
        <f>IFERROR(__xludf.DUMMYFUNCTION("GOOGLETRANSLATE(A85, ""en"", ""id"")"),"84")</f>
        <v>84</v>
      </c>
      <c r="H85" s="5" t="str">
        <f>IFERROR(__xludf.DUMMYFUNCTION("GOOGLETRANSLATE(B85, ""en"", ""id"")"),"Mengapa beberapa banteng memakai penutup mata atau penglihatannya sebagian dikaburkan selama parade?")</f>
        <v>Mengapa beberapa banteng memakai penutup mata atau penglihatannya sebagian dikaburkan selama parade?</v>
      </c>
      <c r="I85" s="5" t="str">
        <f>IFERROR(__xludf.DUMMYFUNCTION("GOOGLETRANSLATE(C85, ""en"", ""id"")"),"A) Agar mereka terlihat lebih mengintimidasi, B) Agar mereka tetap tenang dan fokus dengan mengurangi gangguan visual, C) Ini adalah mode tradisional, D) Untuk melindungi mata mereka dari sinar matahari")</f>
        <v>A) Agar mereka terlihat lebih mengintimidasi, B) Agar mereka tetap tenang dan fokus dengan mengurangi gangguan visual, C) Ini adalah mode tradisional, D) Untuk melindungi mata mereka dari sinar matahari</v>
      </c>
      <c r="J85" s="5" t="str">
        <f>IFERROR(__xludf.DUMMYFUNCTION("GOOGLETRANSLATE(D85, ""en"", ""id"")"),"B) Untuk menjaga mereka tetap tenang dan fokus dengan mengurangi gangguan visual")</f>
        <v>B) Untuk menjaga mereka tetap tenang dan fokus dengan mengurangi gangguan visual</v>
      </c>
      <c r="K85" s="5" t="str">
        <f>IFERROR(__xludf.DUMMYFUNCTION("GOOGLETRANSLATE(E85, ""en"", ""id"")"),"Membatasi jangkauan penglihatan banteng dapat membantu mencegah mereka ketakutan oleh kerumunan besar dan lingkungan yang kacau.")</f>
        <v>Membatasi jangkauan penglihatan banteng dapat membantu mencegah mereka ketakutan oleh kerumunan besar dan lingkungan yang kacau.</v>
      </c>
    </row>
    <row r="86">
      <c r="A86" s="3">
        <v>85.0</v>
      </c>
      <c r="B86" s="4" t="s">
        <v>346</v>
      </c>
      <c r="C86" s="6" t="s">
        <v>347</v>
      </c>
      <c r="D86" s="4" t="s">
        <v>348</v>
      </c>
      <c r="E86" s="4" t="s">
        <v>349</v>
      </c>
      <c r="G86" s="5" t="str">
        <f>IFERROR(__xludf.DUMMYFUNCTION("GOOGLETRANSLATE(A86, ""en"", ""id"")"),"85")</f>
        <v>85</v>
      </c>
      <c r="H86" s="5" t="str">
        <f>IFERROR(__xludf.DUMMYFUNCTION("GOOGLETRANSLATE(B86, ""en"", ""id"")"),"Sebuah tim menang, tetapi penimbangan pasca-lomba menunjukkan banteng mereka berada di kelas yang salah, yaitu kelas yang lebih ringan. Apa yang terjadi?")</f>
        <v>Sebuah tim menang, tetapi penimbangan pasca-lomba menunjukkan banteng mereka berada di kelas yang salah, yaitu kelas yang lebih ringan. Apa yang terjadi?</v>
      </c>
      <c r="I86" s="5" t="str">
        <f>IFERROR(__xludf.DUMMYFUNCTION("GOOGLETRANSLATE(C86, ""en"", ""id"")"),"A) Kemenangan tetap berlaku, B) Mereka dipindahkan ke kelas yang benar untuk perlombaan berikutnya, C) Mereka didiskualifikasi dan runner-up menang, D) Mereka didenda")</f>
        <v>A) Kemenangan tetap berlaku, B) Mereka dipindahkan ke kelas yang benar untuk perlombaan berikutnya, C) Mereka didiskualifikasi dan runner-up menang, D) Mereka didenda</v>
      </c>
      <c r="J86" s="5" t="str">
        <f>IFERROR(__xludf.DUMMYFUNCTION("GOOGLETRANSLATE(D86, ""en"", ""id"")"),"C) Mereka didiskualifikasi dan runner-up menang")</f>
        <v>C) Mereka didiskualifikasi dan runner-up menang</v>
      </c>
      <c r="K86" s="5" t="str">
        <f>IFERROR(__xludf.DUMMYFUNCTION("GOOGLETRANSLATE(E86, ""en"", ""id"")"),"Berkompetisi di kelas yang salah merupakan pelanggaran serius terhadap keadilan, yang dapat mengakibatkan diskualifikasi retroaktif.")</f>
        <v>Berkompetisi di kelas yang salah merupakan pelanggaran serius terhadap keadilan, yang dapat mengakibatkan diskualifikasi retroaktif.</v>
      </c>
    </row>
    <row r="87">
      <c r="A87" s="3">
        <v>86.0</v>
      </c>
      <c r="B87" s="4" t="s">
        <v>350</v>
      </c>
      <c r="C87" s="6" t="s">
        <v>351</v>
      </c>
      <c r="D87" s="4" t="s">
        <v>352</v>
      </c>
      <c r="E87" s="4" t="s">
        <v>353</v>
      </c>
      <c r="G87" s="5" t="str">
        <f>IFERROR(__xludf.DUMMYFUNCTION("GOOGLETRANSLATE(A87, ""en"", ""id"")"),"86")</f>
        <v>86</v>
      </c>
      <c r="H87" s="5" t="str">
        <f>IFERROR(__xludf.DUMMYFUNCTION("GOOGLETRANSLATE(B87, ""en"", ""id"")"),"Apa tujuan utama dari tarian seremonial yang sering ditampilkan sebelum pertandingan final?")</f>
        <v>Apa tujuan utama dari tarian seremonial yang sering ditampilkan sebelum pertandingan final?</v>
      </c>
      <c r="I87" s="5" t="str">
        <f>IFERROR(__xludf.DUMMYFUNCTION("GOOGLETRANSLATE(C87, ""en"", ""id"")"),"A) Untuk menghibur para sponsor, B) Untuk pemanasan para joki, C) Untuk menghormati tradisi olahraga dan membangun kegembiraan, D) Untuk memprediksi pemenangnya")</f>
        <v>A) Untuk menghibur para sponsor, B) Untuk pemanasan para joki, C) Untuk menghormati tradisi olahraga dan membangun kegembiraan, D) Untuk memprediksi pemenangnya</v>
      </c>
      <c r="J87" s="5" t="str">
        <f>IFERROR(__xludf.DUMMYFUNCTION("GOOGLETRANSLATE(D87, ""en"", ""id"")"),"C) Untuk menghormati tradisi olahraga dan membangun kegembiraan")</f>
        <v>C) Untuk menghormati tradisi olahraga dan membangun kegembiraan</v>
      </c>
      <c r="K87" s="5" t="str">
        <f>IFERROR(__xludf.DUMMYFUNCTION("GOOGLETRANSLATE(E87, ""en"", ""id"")"),"Tarian tersebut merupakan bagian penting dari pawai budaya yang merayakan warisan Karapan Sapi.")</f>
        <v>Tarian tersebut merupakan bagian penting dari pawai budaya yang merayakan warisan Karapan Sapi.</v>
      </c>
    </row>
    <row r="88">
      <c r="A88" s="3">
        <v>87.0</v>
      </c>
      <c r="B88" s="4" t="s">
        <v>354</v>
      </c>
      <c r="C88" s="6" t="s">
        <v>355</v>
      </c>
      <c r="D88" s="4" t="s">
        <v>356</v>
      </c>
      <c r="E88" s="4" t="s">
        <v>357</v>
      </c>
      <c r="G88" s="5" t="str">
        <f>IFERROR(__xludf.DUMMYFUNCTION("GOOGLETRANSLATE(A88, ""en"", ""id"")"),"87")</f>
        <v>87</v>
      </c>
      <c r="H88" s="5" t="str">
        <f>IFERROR(__xludf.DUMMYFUNCTION("GOOGLETRANSLATE(B88, ""en"", ""id"")"),"Seorang joki terlihat menggigit ekor bantengnya. Mengapa ia melakukan hal ini, dan apakah tindakan ini legal?")</f>
        <v>Seorang joki terlihat menggigit ekor bantengnya. Mengapa ia melakukan hal ini, dan apakah tindakan ini legal?</v>
      </c>
      <c r="I88" s="5" t="str">
        <f>IFERROR(__xludf.DUMMYFUNCTION("GOOGLETRANSLATE(C88, ""en"", ""id"")"),"A) Untuk mengikat banteng; itu sah, B) Untuk mengendalikan banteng; itu adalah teknik tradisional tetapi sekarang dilarang, C) Untuk membersihkan ekor; itu sah, D) Untuk pamer; itu adalah kesalahan")</f>
        <v>A) Untuk mengikat banteng; itu sah, B) Untuk mengendalikan banteng; itu adalah teknik tradisional tetapi sekarang dilarang, C) Untuk membersihkan ekor; itu sah, D) Untuk pamer; itu adalah kesalahan</v>
      </c>
      <c r="J88" s="5" t="str">
        <f>IFERROR(__xludf.DUMMYFUNCTION("GOOGLETRANSLATE(D88, ""en"", ""id"")"),"B) Untuk mengendalikan banteng; ini adalah teknik tradisional namun sekarang dilarang")</f>
        <v>B) Untuk mengendalikan banteng; ini adalah teknik tradisional namun sekarang dilarang</v>
      </c>
      <c r="K88" s="5" t="str">
        <f>IFERROR(__xludf.DUMMYFUNCTION("GOOGLETRANSLATE(E88, ""en"", ""id"")"),"Ini adalah metode lama yang kejam untuk menimbulkan rasa sakit agar banteng berlari lebih cepat atau lebih lurus. Metode ini sekarang ilegal berdasarkan aturan kesejahteraan hewan.")</f>
        <v>Ini adalah metode lama yang kejam untuk menimbulkan rasa sakit agar banteng berlari lebih cepat atau lebih lurus. Metode ini sekarang ilegal berdasarkan aturan kesejahteraan hewan.</v>
      </c>
    </row>
    <row r="89">
      <c r="A89" s="3">
        <v>88.0</v>
      </c>
      <c r="B89" s="4" t="s">
        <v>358</v>
      </c>
      <c r="C89" s="6" t="s">
        <v>359</v>
      </c>
      <c r="D89" s="4" t="s">
        <v>360</v>
      </c>
      <c r="E89" s="4" t="s">
        <v>361</v>
      </c>
      <c r="G89" s="5" t="str">
        <f>IFERROR(__xludf.DUMMYFUNCTION("GOOGLETRANSLATE(A89, ""en"", ""id"")"),"88")</f>
        <v>88</v>
      </c>
      <c r="H89" s="5" t="str">
        <f>IFERROR(__xludf.DUMMYFUNCTION("GOOGLETRANSLATE(B89, ""en"", ""id"")"),"Jika perlombaan diadakan pada hari yang sangat berangin, bagaimana hal ini dapat memengaruhi strategi tim?")</f>
        <v>Jika perlombaan diadakan pada hari yang sangat berangin, bagaimana hal ini dapat memengaruhi strategi tim?</v>
      </c>
      <c r="I89" s="5" t="str">
        <f>IFERROR(__xludf.DUMMYFUNCTION("GOOGLETRANSLATE(C89, ""en"", ""id"")"),"A) Hal ini tidak mempengaruhi strategi, B) Tim akan lebih memilih jalur yang terlindung dari angin, C) Joki mungkin berjongkok lebih rendah untuk mengurangi hambatan, D) Baik B dan C")</f>
        <v>A) Hal ini tidak mempengaruhi strategi, B) Tim akan lebih memilih jalur yang terlindung dari angin, C) Joki mungkin berjongkok lebih rendah untuk mengurangi hambatan, D) Baik B dan C</v>
      </c>
      <c r="J89" s="5" t="str">
        <f>IFERROR(__xludf.DUMMYFUNCTION("GOOGLETRANSLATE(D89, ""en"", ""id"")"),"D) B dan C")</f>
        <v>D) B dan C</v>
      </c>
      <c r="K89" s="5" t="str">
        <f>IFERROR(__xludf.DUMMYFUNCTION("GOOGLETRANSLATE(E89, ""en"", ""id"")"),"Hambatan angin merupakan faktor utama. Jalur yang terlindung merupakan keuntungan yang signifikan, dan para joki akan berusaha lebih aerodinamis.")</f>
        <v>Hambatan angin merupakan faktor utama. Jalur yang terlindung merupakan keuntungan yang signifikan, dan para joki akan berusaha lebih aerodinamis.</v>
      </c>
    </row>
    <row r="90">
      <c r="A90" s="3">
        <v>89.0</v>
      </c>
      <c r="B90" s="4" t="s">
        <v>362</v>
      </c>
      <c r="C90" s="6" t="s">
        <v>363</v>
      </c>
      <c r="D90" s="4" t="s">
        <v>364</v>
      </c>
      <c r="E90" s="4" t="s">
        <v>365</v>
      </c>
      <c r="G90" s="5" t="str">
        <f>IFERROR(__xludf.DUMMYFUNCTION("GOOGLETRANSLATE(A90, ""en"", ""id"")"),"89")</f>
        <v>89</v>
      </c>
      <c r="H90" s="5" t="str">
        <f>IFERROR(__xludf.DUMMYFUNCTION("GOOGLETRANSLATE(B90, ""en"", ""id"")"),"Pemilik tim yang kalah mengajukan protes terhadap tim pemenang. Apa yang biasanya harus mereka lakukan?")</f>
        <v>Pemilik tim yang kalah mengajukan protes terhadap tim pemenang. Apa yang biasanya harus mereka lakukan?</v>
      </c>
      <c r="I90" s="5" t="str">
        <f>IFERROR(__xludf.DUMMYFUNCTION("GOOGLETRANSLATE(C90, ""en"", ""id"")"),"A) Mengumumkannya secara terbuka, B) Mengajukan keluhan tertulis resmi dengan biaya, C) Menantang pemilik lain untuk berdebat, D) Mendapatkan suara mayoritas dari kerumunan")</f>
        <v>A) Mengumumkannya secara terbuka, B) Mengajukan keluhan tertulis resmi dengan biaya, C) Menantang pemilik lain untuk berdebat, D) Mendapatkan suara mayoritas dari kerumunan</v>
      </c>
      <c r="J90" s="5" t="str">
        <f>IFERROR(__xludf.DUMMYFUNCTION("GOOGLETRANSLATE(D90, ""en"", ""id"")"),"B) Mengajukan pengaduan tertulis resmi dengan biaya")</f>
        <v>B) Mengajukan pengaduan tertulis resmi dengan biaya</v>
      </c>
      <c r="K90" s="5" t="str">
        <f>IFERROR(__xludf.DUMMYFUNCTION("GOOGLETRANSLATE(E90, ""en"", ""id"")"),"Protes resmi harus mengikuti prosedur formal, yang biasanya mencakup klaim tertulis dan deposit yang dikembalikan jika protes berhasil.")</f>
        <v>Protes resmi harus mengikuti prosedur formal, yang biasanya mencakup klaim tertulis dan deposit yang dikembalikan jika protes berhasil.</v>
      </c>
    </row>
    <row r="91">
      <c r="A91" s="3">
        <v>90.0</v>
      </c>
      <c r="B91" s="4" t="s">
        <v>366</v>
      </c>
      <c r="C91" s="6" t="s">
        <v>367</v>
      </c>
      <c r="D91" s="4" t="s">
        <v>368</v>
      </c>
      <c r="E91" s="4" t="s">
        <v>369</v>
      </c>
      <c r="G91" s="5" t="str">
        <f>IFERROR(__xludf.DUMMYFUNCTION("GOOGLETRANSLATE(A91, ""en"", ""id"")"),"90")</f>
        <v>90</v>
      </c>
      <c r="H91" s="5" t="str">
        <f>IFERROR(__xludf.DUMMYFUNCTION("GOOGLETRANSLATE(B91, ""en"", ""id"")"),"Apa pemeriksaan kesehatan utama yang dilakukan dokter hewan pada banteng sebelum lomba?")</f>
        <v>Apa pemeriksaan kesehatan utama yang dilakukan dokter hewan pada banteng sebelum lomba?</v>
      </c>
      <c r="I91" s="5" t="str">
        <f>IFERROR(__xludf.DUMMYFUNCTION("GOOGLETRANSLATE(C91, ""en"", ""id"")"),"A) Memeriksa panjang tanduknya, B) Memeriksa tanda-tanda pincang, cedera, atau kelelahan, C) Mengukur berat badannya, D) Memeriksa giginya")</f>
        <v>A) Memeriksa panjang tanduknya, B) Memeriksa tanda-tanda pincang, cedera, atau kelelahan, C) Mengukur berat badannya, D) Memeriksa giginya</v>
      </c>
      <c r="J91" s="5" t="str">
        <f>IFERROR(__xludf.DUMMYFUNCTION("GOOGLETRANSLATE(D91, ""en"", ""id"")"),"B) Memeriksa tanda-tanda kepincangan, cedera, atau kelelahan")</f>
        <v>B) Memeriksa tanda-tanda kepincangan, cedera, atau kelelahan</v>
      </c>
      <c r="K91" s="5" t="str">
        <f>IFERROR(__xludf.DUMMYFUNCTION("GOOGLETRANSLATE(E91, ""en"", ""id"")"),"Prioritas dokter hewan adalah memastikan hewan-hewan tersebut sehat secara fisik untuk berkompetisi tanpa risiko terhadap kesehatan dan kesejahteraannya.")</f>
        <v>Prioritas dokter hewan adalah memastikan hewan-hewan tersebut sehat secara fisik untuk berkompetisi tanpa risiko terhadap kesehatan dan kesejahteraannya.</v>
      </c>
    </row>
    <row r="92">
      <c r="A92" s="3">
        <v>91.0</v>
      </c>
      <c r="B92" s="4" t="s">
        <v>370</v>
      </c>
      <c r="C92" s="6" t="s">
        <v>371</v>
      </c>
      <c r="D92" s="4" t="s">
        <v>372</v>
      </c>
      <c r="E92" s="4" t="s">
        <v>373</v>
      </c>
      <c r="G92" s="5" t="str">
        <f>IFERROR(__xludf.DUMMYFUNCTION("GOOGLETRANSLATE(A92, ""en"", ""id"")"),"91")</f>
        <v>91</v>
      </c>
      <c r="H92" s="5" t="str">
        <f>IFERROR(__xludf.DUMMYFUNCTION("GOOGLETRANSLATE(B92, ""en"", ""id"")"),"Apa hukumnya jika seekor banteng lolos pemeriksaan dokter hewan tetapi kemudian menunjukkan tanda-tanda kesusahan yang jelas di garis start?")</f>
        <v>Apa hukumnya jika seekor banteng lolos pemeriksaan dokter hewan tetapi kemudian menunjukkan tanda-tanda kesusahan yang jelas di garis start?</v>
      </c>
      <c r="I92" s="5" t="str">
        <f>IFERROR(__xludf.DUMMYFUNCTION("GOOGLETRANSLATE(C92, ""en"", ""id"")"),"A) Tim harus tetap bertanding, B) Ketua juri atau dokter hewan dapat memerintahkan penarikan pada menit terakhir, C) Tim diberi waktu 5 menit untuk memulihkan diri, D) Tim mendapat penalti waktu")</f>
        <v>A) Tim harus tetap bertanding, B) Ketua juri atau dokter hewan dapat memerintahkan penarikan pada menit terakhir, C) Tim diberi waktu 5 menit untuk memulihkan diri, D) Tim mendapat penalti waktu</v>
      </c>
      <c r="J92" s="5" t="str">
        <f>IFERROR(__xludf.DUMMYFUNCTION("GOOGLETRANSLATE(D92, ""en"", ""id"")"),"B) Hakim ketua atau dokter hewan dapat memerintahkan penarikan pada menit terakhir")</f>
        <v>B) Hakim ketua atau dokter hewan dapat memerintahkan penarikan pada menit terakhir</v>
      </c>
      <c r="K92" s="5" t="str">
        <f>IFERROR(__xludf.DUMMYFUNCTION("GOOGLETRANSLATE(E92, ""en"", ""id"")"),"Keselamatan dan kesejahteraan hewan adalah yang terpenting. Panitia dapat menarik tim dari perlombaan kapan saja sebelum dimulai jika hewan tersebut tampak tidak sehat.")</f>
        <v>Keselamatan dan kesejahteraan hewan adalah yang terpenting. Panitia dapat menarik tim dari perlombaan kapan saja sebelum dimulai jika hewan tersebut tampak tidak sehat.</v>
      </c>
    </row>
    <row r="93">
      <c r="A93" s="3">
        <v>92.0</v>
      </c>
      <c r="B93" s="4" t="s">
        <v>374</v>
      </c>
      <c r="C93" s="6" t="s">
        <v>375</v>
      </c>
      <c r="D93" s="4" t="s">
        <v>376</v>
      </c>
      <c r="E93" s="4" t="s">
        <v>377</v>
      </c>
      <c r="G93" s="5" t="str">
        <f>IFERROR(__xludf.DUMMYFUNCTION("GOOGLETRANSLATE(A93, ""en"", ""id"")"),"92")</f>
        <v>92</v>
      </c>
      <c r="H93" s="5" t="str">
        <f>IFERROR(__xludf.DUMMYFUNCTION("GOOGLETRANSLATE(B93, ""en"", ""id"")"),"Sebuah tim dikenal karena jamu unik yang mereka berikan kepada banteng mereka. Apa tujuan pemberian jamu ini?")</f>
        <v>Sebuah tim dikenal karena jamu unik yang mereka berikan kepada banteng mereka. Apa tujuan pemberian jamu ini?</v>
      </c>
      <c r="I93" s="5" t="str">
        <f>IFERROR(__xludf.DUMMYFUNCTION("GOOGLETRANSLATE(C93, ""en"", ""id"")"),"A) Untuk menambah berat badan banteng, B) Untuk meningkatkan stamina, kekuatan, dan kesehatan secara keseluruhan, C) Untuk membuat bulu banteng lebih berkilau, D) Untuk menenangkan banteng dan menjaganya tetap tenang")</f>
        <v>A) Untuk menambah berat badan banteng, B) Untuk meningkatkan stamina, kekuatan, dan kesehatan secara keseluruhan, C) Untuk membuat bulu banteng lebih berkilau, D) Untuk menenangkan banteng dan menjaganya tetap tenang</v>
      </c>
      <c r="J93" s="5" t="str">
        <f>IFERROR(__xludf.DUMMYFUNCTION("GOOGLETRANSLATE(D93, ""en"", ""id"")"),"B) Untuk meningkatkan stamina, kekuatan, dan kesehatan secara keseluruhan")</f>
        <v>B) Untuk meningkatkan stamina, kekuatan, dan kesehatan secara keseluruhan</v>
      </c>
      <c r="K93" s="5" t="str">
        <f>IFERROR(__xludf.DUMMYFUNCTION("GOOGLETRANSLATE(E93, ""en"", ""id"")"),"Jamu adalah campuran herbal tradisional yang dipercaya dapat meningkatkan performa atletik dan vitalitas banteng balap.")</f>
        <v>Jamu adalah campuran herbal tradisional yang dipercaya dapat meningkatkan performa atletik dan vitalitas banteng balap.</v>
      </c>
    </row>
    <row r="94">
      <c r="A94" s="3">
        <v>93.0</v>
      </c>
      <c r="B94" s="4" t="s">
        <v>378</v>
      </c>
      <c r="C94" s="6" t="s">
        <v>379</v>
      </c>
      <c r="D94" s="4" t="s">
        <v>380</v>
      </c>
      <c r="E94" s="4" t="s">
        <v>381</v>
      </c>
      <c r="G94" s="5" t="str">
        <f>IFERROR(__xludf.DUMMYFUNCTION("GOOGLETRANSLATE(A94, ""en"", ""id"")"),"93")</f>
        <v>93</v>
      </c>
      <c r="H94" s="5" t="str">
        <f>IFERROR(__xludf.DUMMYFUNCTION("GOOGLETRANSLATE(B94, ""en"", ""id"")"),"Mengapa dianggap pelanggaran jika seorang asisten berlari mendahului bantengnya sendiri saat perlombaan?")</f>
        <v>Mengapa dianggap pelanggaran jika seorang asisten berlari mendahului bantengnya sendiri saat perlombaan?</v>
      </c>
      <c r="I94" s="5" t="str">
        <f>IFERROR(__xludf.DUMMYFUNCTION("GOOGLETRANSLATE(C94, ""en"", ""id"")"),"A) Menghalangi pandangan juri, B) Dapat dianggap sebagai ""berjalan mondar-mandir"" atau memimpin banteng secara tidak adil, C) Berbahaya bagi asisten, D) Membuat asisten lelah")</f>
        <v>A) Menghalangi pandangan juri, B) Dapat dianggap sebagai "berjalan mondar-mandir" atau memimpin banteng secara tidak adil, C) Berbahaya bagi asisten, D) Membuat asisten lelah</v>
      </c>
      <c r="J94" s="5" t="str">
        <f>IFERROR(__xludf.DUMMYFUNCTION("GOOGLETRANSLATE(D94, ""en"", ""id"")"),"B) Hal ini dapat dilihat sebagai ""mengendalikan"" atau memimpin banteng secara tidak adil")</f>
        <v>B) Hal ini dapat dilihat sebagai "mengendalikan" atau memimpin banteng secara tidak adil</v>
      </c>
      <c r="K94" s="5" t="str">
        <f>IFERROR(__xludf.DUMMYFUNCTION("GOOGLETRANSLATE(E94, ""en"", ""id"")"),"Sapi jantan harus berlari sendiri, dipandu oleh joki. Membiarkan seseorang berlari di depan merupakan bentuk bantuan yang ilegal.")</f>
        <v>Sapi jantan harus berlari sendiri, dipandu oleh joki. Membiarkan seseorang berlari di depan merupakan bentuk bantuan yang ilegal.</v>
      </c>
    </row>
    <row r="95">
      <c r="A95" s="3">
        <v>94.0</v>
      </c>
      <c r="B95" s="4" t="s">
        <v>382</v>
      </c>
      <c r="C95" s="6" t="s">
        <v>383</v>
      </c>
      <c r="D95" s="4" t="s">
        <v>384</v>
      </c>
      <c r="E95" s="4" t="s">
        <v>385</v>
      </c>
      <c r="G95" s="5" t="str">
        <f>IFERROR(__xludf.DUMMYFUNCTION("GOOGLETRANSLATE(A95, ""en"", ""id"")"),"94")</f>
        <v>94</v>
      </c>
      <c r="H95" s="5" t="str">
        <f>IFERROR(__xludf.DUMMYFUNCTION("GOOGLETRANSLATE(B95, ""en"", ""id"")"),"Setelah lomba, banteng pemenang akan diselimuti kain upacara. Apa maknanya?")</f>
        <v>Setelah lomba, banteng pemenang akan diselimuti kain upacara. Apa maknanya?</v>
      </c>
      <c r="I95" s="5" t="str">
        <f>IFERROR(__xludf.DUMMYFUNCTION("GOOGLETRANSLATE(C95, ""en"", ""id"")"),"A) Ini untuk membantu banteng menjadi dingin, B) Ini menandai banteng sebagai juara dan menghormatinya, C) Ini untuk menyembunyikan banteng dari pandangan publik, D) Ini adalah iklan untuk sponsor")</f>
        <v>A) Ini untuk membantu banteng menjadi dingin, B) Ini menandai banteng sebagai juara dan menghormatinya, C) Ini untuk menyembunyikan banteng dari pandangan publik, D) Ini adalah iklan untuk sponsor</v>
      </c>
      <c r="J95" s="5" t="str">
        <f>IFERROR(__xludf.DUMMYFUNCTION("GOOGLETRANSLATE(D95, ""en"", ""id"")"),"B) Menandai banteng sebagai juara dan menghormatinya")</f>
        <v>B) Menandai banteng sebagai juara dan menghormatinya</v>
      </c>
      <c r="K95" s="5" t="str">
        <f>IFERROR(__xludf.DUMMYFUNCTION("GOOGLETRANSLATE(E95, ""en"", ""id"")"),"Ini merupakan isyarat simbolis penghormatan, serupa dengan meletakkan karangan bunga di atas kuda pemenang.")</f>
        <v>Ini merupakan isyarat simbolis penghormatan, serupa dengan meletakkan karangan bunga di atas kuda pemenang.</v>
      </c>
    </row>
    <row r="96">
      <c r="A96" s="3">
        <v>95.0</v>
      </c>
      <c r="B96" s="4" t="s">
        <v>386</v>
      </c>
      <c r="C96" s="6" t="s">
        <v>387</v>
      </c>
      <c r="D96" s="4" t="s">
        <v>388</v>
      </c>
      <c r="E96" s="4" t="s">
        <v>389</v>
      </c>
      <c r="G96" s="5" t="str">
        <f>IFERROR(__xludf.DUMMYFUNCTION("GOOGLETRANSLATE(A96, ""en"", ""id"")"),"95")</f>
        <v>95</v>
      </c>
      <c r="H96" s="5" t="str">
        <f>IFERROR(__xludf.DUMMYFUNCTION("GOOGLETRANSLATE(B96, ""en"", ""id"")"),"Sebuah perlombaan menampilkan piala ""antar-desa"" khusus. Apa makna sosial dari kemenangan ini?")</f>
        <v>Sebuah perlombaan menampilkan piala "antar-desa" khusus. Apa makna sosial dari kemenangan ini?</v>
      </c>
      <c r="I96" s="5" t="str">
        <f>IFERROR(__xludf.DUMMYFUNCTION("GOOGLETRANSLATE(C96, ""en"", ""id"")"),"A) Memberikan hak bertani khusus, B) Memberikan kehormatan dan prestise yang besar bagi seluruh desa pemiliknya, C) Berarti desa tersebut menjadi tuan rumah perlombaan berikutnya, D) Dilengkapi dengan sebidang tanah yang luas")</f>
        <v>A) Memberikan hak bertani khusus, B) Memberikan kehormatan dan prestise yang besar bagi seluruh desa pemiliknya, C) Berarti desa tersebut menjadi tuan rumah perlombaan berikutnya, D) Dilengkapi dengan sebidang tanah yang luas</v>
      </c>
      <c r="J96" s="5" t="str">
        <f>IFERROR(__xludf.DUMMYFUNCTION("GOOGLETRANSLATE(D96, ""en"", ""id"")"),"B) Memberikan kehormatan dan gengsi yang besar bagi seluruh desa pemiliknya")</f>
        <v>B) Memberikan kehormatan dan gengsi yang besar bagi seluruh desa pemiliknya</v>
      </c>
      <c r="K96" s="5" t="str">
        <f>IFERROR(__xludf.DUMMYFUNCTION("GOOGLETRANSLATE(E96, ""en"", ""id"")"),"Karapan Sapi adalah olahraga yang sangat komunal, dan kemenangannya merupakan sumber kebanggaan besar bagi seluruh komunitas, bukan hanya pemiliknya.")</f>
        <v>Karapan Sapi adalah olahraga yang sangat komunal, dan kemenangannya merupakan sumber kebanggaan besar bagi seluruh komunitas, bukan hanya pemiliknya.</v>
      </c>
    </row>
    <row r="97">
      <c r="A97" s="3">
        <v>96.0</v>
      </c>
      <c r="B97" s="4" t="s">
        <v>390</v>
      </c>
      <c r="C97" s="6" t="s">
        <v>391</v>
      </c>
      <c r="D97" s="4" t="s">
        <v>392</v>
      </c>
      <c r="E97" s="4" t="s">
        <v>393</v>
      </c>
      <c r="G97" s="5" t="str">
        <f>IFERROR(__xludf.DUMMYFUNCTION("GOOGLETRANSLATE(A97, ""en"", ""id"")"),"96")</f>
        <v>96</v>
      </c>
      <c r="H97" s="5" t="str">
        <f>IFERROR(__xludf.DUMMYFUNCTION("GOOGLETRANSLATE(B97, ""en"", ""id"")"),"Seorang joki mengendalikan bantengnya dengan menarik tali. Di mana tali-tali ini diikat?")</f>
        <v>Seorang joki mengendalikan bantengnya dengan menarik tali. Di mana tali-tali ini diikat?</v>
      </c>
      <c r="I97" s="5" t="str">
        <f>IFERROR(__xludf.DUMMYFUNCTION("GOOGLETRANSLATE(C97, ""en"", ""id"")"),"A) Ke tanduk, B) Ke cincin di hidung banteng, C) Ke kuk, D) Ke tali kekang di sekitar tubuh banteng")</f>
        <v>A) Ke tanduk, B) Ke cincin di hidung banteng, C) Ke kuk, D) Ke tali kekang di sekitar tubuh banteng</v>
      </c>
      <c r="J97" s="5" t="str">
        <f>IFERROR(__xludf.DUMMYFUNCTION("GOOGLETRANSLATE(D97, ""en"", ""id"")"),"B) Ke cincin di hidung banteng")</f>
        <v>B) Ke cincin di hidung banteng</v>
      </c>
      <c r="K97" s="5" t="str">
        <f>IFERROR(__xludf.DUMMYFUNCTION("GOOGLETRANSLATE(E97, ""en"", ""id"")"),"Tali kekang biasanya diikatkan pada cincin hidung, yang memberikan joki kendali kemudi yang efektif.")</f>
        <v>Tali kekang biasanya diikatkan pada cincin hidung, yang memberikan joki kendali kemudi yang efektif.</v>
      </c>
    </row>
    <row r="98">
      <c r="A98" s="3">
        <v>97.0</v>
      </c>
      <c r="B98" s="4" t="s">
        <v>394</v>
      </c>
      <c r="C98" s="6" t="s">
        <v>395</v>
      </c>
      <c r="D98" s="4" t="s">
        <v>396</v>
      </c>
      <c r="E98" s="4" t="s">
        <v>397</v>
      </c>
      <c r="G98" s="5" t="str">
        <f>IFERROR(__xludf.DUMMYFUNCTION("GOOGLETRANSLATE(A98, ""en"", ""id"")"),"97")</f>
        <v>97</v>
      </c>
      <c r="H98" s="5" t="str">
        <f>IFERROR(__xludf.DUMMYFUNCTION("GOOGLETRANSLATE(B98, ""en"", ""id"")"),"Apa alasan utama mengapa peran joki dianggap sangat berbahaya?")</f>
        <v>Apa alasan utama mengapa peran joki dianggap sangat berbahaya?</v>
      </c>
      <c r="I98" s="5" t="str">
        <f>IFERROR(__xludf.DUMMYFUNCTION("GOOGLETRANSLATE(C98, ""en"", ""id"")"),"A) Risiko serpihan dari kereta luncur, B) Kecepatan tinggi dikombinasikan dengan kurangnya kandang atau pelana pelindung, C) Banteng-banteng itu agresif, D) Jejaknya selalu berlumpur")</f>
        <v>A) Risiko serpihan dari kereta luncur, B) Kecepatan tinggi dikombinasikan dengan kurangnya kandang atau pelana pelindung, C) Banteng-banteng itu agresif, D) Jejaknya selalu berlumpur</v>
      </c>
      <c r="J98" s="5" t="str">
        <f>IFERROR(__xludf.DUMMYFUNCTION("GOOGLETRANSLATE(D98, ""en"", ""id"")"),"B) Kecepatan tinggi dikombinasikan dengan tidak adanya kandang atau pelana pelindung")</f>
        <v>B) Kecepatan tinggi dikombinasikan dengan tidak adanya kandang atau pelana pelindung</v>
      </c>
      <c r="K98" s="5" t="str">
        <f>IFERROR(__xludf.DUMMYFUNCTION("GOOGLETRANSLATE(E98, ""en"", ""id"")"),"Jokinya benar-benar terekspos, menjaga keseimbangan di atas kereta luncur kecil yang melaju dengan kecepatan sangat tinggi, dengan risiko tinggi terjatuh dan terinjak.")</f>
        <v>Jokinya benar-benar terekspos, menjaga keseimbangan di atas kereta luncur kecil yang melaju dengan kecepatan sangat tinggi, dengan risiko tinggi terjatuh dan terinjak.</v>
      </c>
    </row>
    <row r="99">
      <c r="A99" s="3">
        <v>98.0</v>
      </c>
      <c r="B99" s="4" t="s">
        <v>398</v>
      </c>
      <c r="C99" s="6" t="s">
        <v>399</v>
      </c>
      <c r="D99" s="4" t="s">
        <v>400</v>
      </c>
      <c r="E99" s="4" t="s">
        <v>401</v>
      </c>
      <c r="G99" s="5" t="str">
        <f>IFERROR(__xludf.DUMMYFUNCTION("GOOGLETRANSLATE(A99, ""en"", ""id"")"),"98")</f>
        <v>98</v>
      </c>
      <c r="H99" s="5" t="str">
        <f>IFERROR(__xludf.DUMMYFUNCTION("GOOGLETRANSLATE(B99, ""en"", ""id"")"),"Sebuah tim dituduh menggunakan kereta luncur yang terbuat dari material non-tradisional berteknologi tinggi seperti serat karbon. Mengapa hal ini kontroversial?")</f>
        <v>Sebuah tim dituduh menggunakan kereta luncur yang terbuat dari material non-tradisional berteknologi tinggi seperti serat karbon. Mengapa hal ini kontroversial?</v>
      </c>
      <c r="I99" s="5" t="str">
        <f>IFERROR(__xludf.DUMMYFUNCTION("GOOGLETRANSLATE(C99, ""en"", ""id"")"),"A) Akan terlalu ringan, B) Menyimpang dari warisan budaya dan keahlian olahraga, C) Akan terlalu mahal, D) Mungkin mudah pecah")</f>
        <v>A) Akan terlalu ringan, B) Menyimpang dari warisan budaya dan keahlian olahraga, C) Akan terlalu mahal, D) Mungkin mudah pecah</v>
      </c>
      <c r="J99" s="5" t="str">
        <f>IFERROR(__xludf.DUMMYFUNCTION("GOOGLETRANSLATE(D99, ""en"", ""id"")"),"B) Menyimpang dari warisan budaya dan keahlian olahraga tersebut")</f>
        <v>B) Menyimpang dari warisan budaya dan keahlian olahraga tersebut</v>
      </c>
      <c r="K99" s="5" t="str">
        <f>IFERROR(__xludf.DUMMYFUNCTION("GOOGLETRANSLATE(E99, ""en"", ""id"")"),"Bagian penting dari Karapan Sapi adalah kesenian tradisionalnya. Penggunaan komposisi modern akan dianggap melanggar semangat acara.")</f>
        <v>Bagian penting dari Karapan Sapi adalah kesenian tradisionalnya. Penggunaan komposisi modern akan dianggap melanggar semangat acara.</v>
      </c>
    </row>
    <row r="100">
      <c r="A100" s="3">
        <v>99.0</v>
      </c>
      <c r="B100" s="4" t="s">
        <v>402</v>
      </c>
      <c r="C100" s="6" t="s">
        <v>403</v>
      </c>
      <c r="D100" s="4" t="s">
        <v>404</v>
      </c>
      <c r="E100" s="4" t="s">
        <v>405</v>
      </c>
      <c r="G100" s="5" t="str">
        <f>IFERROR(__xludf.DUMMYFUNCTION("GOOGLETRANSLATE(A100, ""en"", ""id"")"),"99")</f>
        <v>99</v>
      </c>
      <c r="H100" s="5" t="str">
        <f>IFERROR(__xludf.DUMMYFUNCTION("GOOGLETRANSLATE(B100, ""en"", ""id"")"),"Jika suatu tim didiskualifikasi, apa yang terjadi dengan waktu dan posisi penyelesaian mereka?")</f>
        <v>Jika suatu tim didiskualifikasi, apa yang terjadi dengan waktu dan posisi penyelesaian mereka?</v>
      </c>
      <c r="I100" s="5" t="str">
        <f>IFERROR(__xludf.DUMMYFUNCTION("GOOGLETRANSLATE(C100, ""en"", ""id"")"),"A) Dicatat dengan catatan DQ, B) Dihapus sepenuhnya dari hasil resmi, C) Mereka ditempatkan terakhir, D) Mereka diberi waktu paling lambat dari panas")</f>
        <v>A) Dicatat dengan catatan DQ, B) Dihapus sepenuhnya dari hasil resmi, C) Mereka ditempatkan terakhir, D) Mereka diberi waktu paling lambat dari panas</v>
      </c>
      <c r="J100" s="5" t="str">
        <f>IFERROR(__xludf.DUMMYFUNCTION("GOOGLETRANSLATE(D100, ""en"", ""id"")"),"B) Itu dihapus sepenuhnya dari hasil resmi")</f>
        <v>B) Itu dihapus sepenuhnya dari hasil resmi</v>
      </c>
      <c r="K100" s="5" t="str">
        <f>IFERROR(__xludf.DUMMYFUNCTION("GOOGLETRANSLATE(E100, ""en"", ""id"")"),"Diskualifikasi berarti tim tersebut dianggap tidak menyelesaikan balapan dan mereka dikeluarkan dari klasemen.")</f>
        <v>Diskualifikasi berarti tim tersebut dianggap tidak menyelesaikan balapan dan mereka dikeluarkan dari klasemen.</v>
      </c>
    </row>
    <row r="101">
      <c r="A101" s="3">
        <v>100.0</v>
      </c>
      <c r="B101" s="4" t="s">
        <v>406</v>
      </c>
      <c r="C101" s="6" t="s">
        <v>407</v>
      </c>
      <c r="D101" s="4" t="s">
        <v>408</v>
      </c>
      <c r="E101" s="4" t="s">
        <v>409</v>
      </c>
      <c r="G101" s="5" t="str">
        <f>IFERROR(__xludf.DUMMYFUNCTION("GOOGLETRANSLATE(A101, ""en"", ""id"")"),"100")</f>
        <v>100</v>
      </c>
      <c r="H101" s="5" t="str">
        <f>IFERROR(__xludf.DUMMYFUNCTION("GOOGLETRANSLATE(B101, ""en"", ""id"")"),"Apa tujuan utama dari musik yang keras dan terus-menerus serta bunyi drum selama perlombaan?")</f>
        <v>Apa tujuan utama dari musik yang keras dan terus-menerus serta bunyi drum selama perlombaan?</v>
      </c>
      <c r="I101" s="5" t="str">
        <f>IFERROR(__xludf.DUMMYFUNCTION("GOOGLETRANSLATE(C101, ""en"", ""id"")"),"A) Untuk membingungkan banteng, B) Untuk memberi energi pada kerumunan dan menciptakan suasana dramatis, C) Untuk memberikan ritme bagi banteng untuk berlari, D) Untuk memberi sinyal pemenang")</f>
        <v>A) Untuk membingungkan banteng, B) Untuk memberi energi pada kerumunan dan menciptakan suasana dramatis, C) Untuk memberikan ritme bagi banteng untuk berlari, D) Untuk memberi sinyal pemenang</v>
      </c>
      <c r="J101" s="5" t="str">
        <f>IFERROR(__xludf.DUMMYFUNCTION("GOOGLETRANSLATE(D101, ""en"", ""id"")"),"B) Untuk memberi energi pada orang banyak dan menciptakan suasana dramatis")</f>
        <v>B) Untuk memberi energi pada orang banyak dan menciptakan suasana dramatis</v>
      </c>
      <c r="K101" s="5" t="str">
        <f>IFERROR(__xludf.DUMMYFUNCTION("GOOGLETRANSLATE(E101, ""en"", ""id"")"),"Musik merupakan bagian inti dari pengalaman perayaan, menciptakan kegembiraan dan rasa kebersamaan bagi seluruh masyarakat.")</f>
        <v>Musik merupakan bagian inti dari pengalaman perayaan, menciptakan kegembiraan dan rasa kebersamaan bagi seluruh masyarakat.</v>
      </c>
    </row>
    <row r="102">
      <c r="A102" s="3">
        <v>101.0</v>
      </c>
      <c r="B102" s="4" t="s">
        <v>410</v>
      </c>
      <c r="C102" s="6" t="s">
        <v>411</v>
      </c>
      <c r="D102" s="4" t="s">
        <v>412</v>
      </c>
      <c r="E102" s="4" t="s">
        <v>413</v>
      </c>
      <c r="G102" s="5" t="str">
        <f>IFERROR(__xludf.DUMMYFUNCTION("GOOGLETRANSLATE(A102, ""en"", ""id"")"),"101")</f>
        <v>101</v>
      </c>
      <c r="H102" s="5" t="str">
        <f>IFERROR(__xludf.DUMMYFUNCTION("GOOGLETRANSLATE(B102, ""en"", ""id"")"),"Apa istilah untuk babak penyisihan turnamen Karapan Sapi?")</f>
        <v>Apa istilah untuk babak penyisihan turnamen Karapan Sapi?</v>
      </c>
      <c r="I102" s="5" t="str">
        <f>IFERROR(__xludf.DUMMYFUNCTION("GOOGLETRANSLATE(C102, ""en"", ""id"")"),"A) Penyisihan (Eliminasi), B) Final, C) Kejuaraan (Kejuaraan), D) Latihan (Latihan)")</f>
        <v>A) Penyisihan (Eliminasi), B) Final, C) Kejuaraan (Kejuaraan), D) Latihan (Latihan)</v>
      </c>
      <c r="J102" s="5" t="str">
        <f>IFERROR(__xludf.DUMMYFUNCTION("GOOGLETRANSLATE(D102, ""en"", ""id"")"),"A) Penyisihan (Elimination)")</f>
        <v>A) Penyisihan (Elimination)</v>
      </c>
      <c r="K102" s="5" t="str">
        <f>IFERROR(__xludf.DUMMYFUNCTION("GOOGLETRANSLATE(E102, ""en"", ""id"")"),"Babak penyisihan adalah babak kualifikasi di mana tim berkompetisi untuk maju ke tahap berikutnya.")</f>
        <v>Babak penyisihan adalah babak kualifikasi di mana tim berkompetisi untuk maju ke tahap berikutnya.</v>
      </c>
    </row>
    <row r="103">
      <c r="A103" s="3">
        <v>102.0</v>
      </c>
      <c r="B103" s="4" t="s">
        <v>414</v>
      </c>
      <c r="C103" s="6" t="s">
        <v>415</v>
      </c>
      <c r="D103" s="4" t="s">
        <v>416</v>
      </c>
      <c r="E103" s="4" t="s">
        <v>417</v>
      </c>
      <c r="G103" s="5" t="str">
        <f>IFERROR(__xludf.DUMMYFUNCTION("GOOGLETRANSLATE(A103, ""en"", ""id"")"),"102")</f>
        <v>102</v>
      </c>
      <c r="H103" s="5" t="str">
        <f>IFERROR(__xludf.DUMMYFUNCTION("GOOGLETRANSLATE(B103, ""en"", ""id"")"),"Seorang joki terlihat menggunakan taji di sepatunya. Apakah ini peralatan yang legal?")</f>
        <v>Seorang joki terlihat menggunakan taji di sepatunya. Apakah ini peralatan yang legal?</v>
      </c>
      <c r="I103" s="5" t="str">
        <f>IFERROR(__xludf.DUMMYFUNCTION("GOOGLETRANSLATE(C103, ""en"", ""id"")"),"A) Ya, itu adalah alat tradisional, B) Tidak, taji dianggap kejam dan bukan bagian dari perlengkapan Karapan Sapi, C) Hanya jika tajinya tumpul, D) Hanya dalam perlombaan kejuaraan")</f>
        <v>A) Ya, itu adalah alat tradisional, B) Tidak, taji dianggap kejam dan bukan bagian dari perlengkapan Karapan Sapi, C) Hanya jika tajinya tumpul, D) Hanya dalam perlombaan kejuaraan</v>
      </c>
      <c r="J103" s="5" t="str">
        <f>IFERROR(__xludf.DUMMYFUNCTION("GOOGLETRANSLATE(D103, ""en"", ""id"")"),"B) Tidak, taji dianggap kejam dan bukan bagian dari peralatan Karapan Sapi")</f>
        <v>B) Tidak, taji dianggap kejam dan bukan bagian dari peralatan Karapan Sapi</v>
      </c>
      <c r="K103" s="5" t="str">
        <f>IFERROR(__xludf.DUMMYFUNCTION("GOOGLETRANSLATE(E103, ""en"", ""id"")"),"Pengendalian joki berasal dari kendali dan cambuk; taji logam adalah alat asing dan ilegal yang akan dikenakan sanksi.")</f>
        <v>Pengendalian joki berasal dari kendali dan cambuk; taji logam adalah alat asing dan ilegal yang akan dikenakan sanksi.</v>
      </c>
    </row>
    <row r="104">
      <c r="A104" s="3">
        <v>103.0</v>
      </c>
      <c r="B104" s="4" t="s">
        <v>418</v>
      </c>
      <c r="C104" s="6" t="s">
        <v>419</v>
      </c>
      <c r="D104" s="4" t="s">
        <v>420</v>
      </c>
      <c r="E104" s="4" t="s">
        <v>421</v>
      </c>
      <c r="G104" s="5" t="str">
        <f>IFERROR(__xludf.DUMMYFUNCTION("GOOGLETRANSLATE(A104, ""en"", ""id"")"),"103")</f>
        <v>103</v>
      </c>
      <c r="H104" s="5" t="str">
        <f>IFERROR(__xludf.DUMMYFUNCTION("GOOGLETRANSLATE(B104, ""en"", ""id"")"),"Balapan diadakan di lintasan yang jauh lebih pendek daripada standar resmi. Apa nama jenis balapan ini?")</f>
        <v>Balapan diadakan di lintasan yang jauh lebih pendek daripada standar resmi. Apa nama jenis balapan ini?</v>
      </c>
      <c r="I104" s="5" t="str">
        <f>IFERROR(__xludf.DUMMYFUNCTION("GOOGLETRANSLATE(C104, ""en"", ""id"")"),"A) Lomba lari maraton, B) Lomba eksibisi atau lomba desa, C) Lomba kejuaraan, D) Lomba junior")</f>
        <v>A) Lomba lari maraton, B) Lomba eksibisi atau lomba desa, C) Lomba kejuaraan, D) Lomba junior</v>
      </c>
      <c r="J104" s="5" t="str">
        <f>IFERROR(__xludf.DUMMYFUNCTION("GOOGLETRANSLATE(D104, ""en"", ""id"")"),"B) Pameran atau lomba desa")</f>
        <v>B) Pameran atau lomba desa</v>
      </c>
      <c r="K104" s="5" t="str">
        <f>IFERROR(__xludf.DUMMYFUNCTION("GOOGLETRANSLATE(E104, ""en"", ""id"")"),"Meskipun kejuaraan memiliki panjang standar, balapan lokal atau informal sering kali menggunakan lintasan yang lebih pendek yang disesuaikan dengan ruang yang tersedia.")</f>
        <v>Meskipun kejuaraan memiliki panjang standar, balapan lokal atau informal sering kali menggunakan lintasan yang lebih pendek yang disesuaikan dengan ruang yang tersedia.</v>
      </c>
    </row>
    <row r="105">
      <c r="A105" s="3">
        <v>104.0</v>
      </c>
      <c r="B105" s="4" t="s">
        <v>422</v>
      </c>
      <c r="C105" s="6" t="s">
        <v>423</v>
      </c>
      <c r="D105" s="4" t="s">
        <v>424</v>
      </c>
      <c r="E105" s="4" t="s">
        <v>425</v>
      </c>
      <c r="G105" s="5" t="str">
        <f>IFERROR(__xludf.DUMMYFUNCTION("GOOGLETRANSLATE(A105, ""en"", ""id"")"),"104")</f>
        <v>104</v>
      </c>
      <c r="H105" s="5" t="str">
        <f>IFERROR(__xludf.DUMMYFUNCTION("GOOGLETRANSLATE(B105, ""en"", ""id"")"),"""Gengsi"" (gengsi/status sosial) yang dikaitkan dengan kemenangan dalam lomba Karapan Sapi sering dianggap lebih penting daripada apa?")</f>
        <v>"Gengsi" (gengsi/status sosial) yang dikaitkan dengan kemenangan dalam lomba Karapan Sapi sering dianggap lebih penting daripada apa?</v>
      </c>
      <c r="I105" s="5" t="str">
        <f>IFERROR(__xludf.DUMMYFUNCTION("GOOGLETRANSLATE(C105, ""en"", ""id"")"),"A) Keselamatan joki, B) Kesehatan banteng, C) Hadiah uang, D) Kecepatan lomba")</f>
        <v>A) Keselamatan joki, B) Kesehatan banteng, C) Hadiah uang, D) Kecepatan lomba</v>
      </c>
      <c r="J105" s="5" t="str">
        <f>IFERROR(__xludf.DUMMYFUNCTION("GOOGLETRANSLATE(D105, ""en"", ""id"")"),"C) Hadiah uang")</f>
        <v>C) Hadiah uang</v>
      </c>
      <c r="K105" s="5" t="str">
        <f>IFERROR(__xludf.DUMMYFUNCTION("GOOGLETRANSLATE(E105, ""en"", ""id"")"),"Kehormatan sosial, kebanggaan, dan status tinggi bagi pemilik dan desanya sering kali menjadi hadiah yang paling didambakan.")</f>
        <v>Kehormatan sosial, kebanggaan, dan status tinggi bagi pemilik dan desanya sering kali menjadi hadiah yang paling didambakan.</v>
      </c>
    </row>
    <row r="106">
      <c r="A106" s="3">
        <v>105.0</v>
      </c>
      <c r="B106" s="4" t="s">
        <v>426</v>
      </c>
      <c r="C106" s="6" t="s">
        <v>427</v>
      </c>
      <c r="D106" s="4" t="s">
        <v>428</v>
      </c>
      <c r="E106" s="4" t="s">
        <v>429</v>
      </c>
      <c r="G106" s="5" t="str">
        <f>IFERROR(__xludf.DUMMYFUNCTION("GOOGLETRANSLATE(A106, ""en"", ""id"")"),"105")</f>
        <v>105</v>
      </c>
      <c r="H106" s="5" t="str">
        <f>IFERROR(__xludf.DUMMYFUNCTION("GOOGLETRANSLATE(B106, ""en"", ""id"")"),"Seperti apa bentuk tubuh ideal untuk banteng karapan sapi?")</f>
        <v>Seperti apa bentuk tubuh ideal untuk banteng karapan sapi?</v>
      </c>
      <c r="I106" s="5" t="str">
        <f>IFERROR(__xludf.DUMMYFUNCTION("GOOGLETRANSLATE(C106, ""en"", ""id"")"),"A) Berat dan besar untuk kekuatan, B) Ramping, dengan kaki panjang dan bagian belakang yang kuat untuk kecepatan, C) Kecil dan kompak untuk kelincahan, D) Leher tebal untuk menarik")</f>
        <v>A) Berat dan besar untuk kekuatan, B) Ramping, dengan kaki panjang dan bagian belakang yang kuat untuk kecepatan, C) Kecil dan kompak untuk kelincahan, D) Leher tebal untuk menarik</v>
      </c>
      <c r="J106" s="5" t="str">
        <f>IFERROR(__xludf.DUMMYFUNCTION("GOOGLETRANSLATE(D106, ""en"", ""id"")"),"B) Ramping, dengan kaki panjang dan bagian belakang yang kuat untuk kecepatan")</f>
        <v>B) Ramping, dengan kaki panjang dan bagian belakang yang kuat untuk kecepatan</v>
      </c>
      <c r="K106" s="5" t="str">
        <f>IFERROR(__xludf.DUMMYFUNCTION("GOOGLETRANSLATE(E106, ""en"", ""id"")"),"Seperti anjing greyhound atau cheetah, banteng balap yang ideal diciptakan untuk berlari cepat, bukan untuk kekuatan kasar.")</f>
        <v>Seperti anjing greyhound atau cheetah, banteng balap yang ideal diciptakan untuk berlari cepat, bukan untuk kekuatan kasar.</v>
      </c>
    </row>
    <row r="107">
      <c r="A107" s="3">
        <v>106.0</v>
      </c>
      <c r="B107" s="4" t="s">
        <v>430</v>
      </c>
      <c r="C107" s="6" t="s">
        <v>431</v>
      </c>
      <c r="D107" s="4" t="s">
        <v>432</v>
      </c>
      <c r="E107" s="4" t="s">
        <v>433</v>
      </c>
      <c r="G107" s="5" t="str">
        <f>IFERROR(__xludf.DUMMYFUNCTION("GOOGLETRANSLATE(A107, ""en"", ""id"")"),"106")</f>
        <v>106</v>
      </c>
      <c r="H107" s="5" t="str">
        <f>IFERROR(__xludf.DUMMYFUNCTION("GOOGLETRANSLATE(B107, ""en"", ""id"")"),"Jika asisten tim ketahuan mencoba mengalihkan perhatian banteng tim lawan di garis start, apa hukumannya?")</f>
        <v>Jika asisten tim ketahuan mencoba mengalihkan perhatian banteng tim lawan di garis start, apa hukumannya?</v>
      </c>
      <c r="I107" s="5" t="str">
        <f>IFERROR(__xludf.DUMMYFUNCTION("GOOGLETRANSLATE(C107, ""en"", ""id"")"),"A) Peringatan lisan, B) Hukuman waktu ditambahkan, C) Asisten dikeluarkan dan tim didiskualifikasi, D) Tim harus berpindah jalur")</f>
        <v>A) Peringatan lisan, B) Hukuman waktu ditambahkan, C) Asisten dikeluarkan dan tim didiskualifikasi, D) Tim harus berpindah jalur</v>
      </c>
      <c r="J107" s="5" t="str">
        <f>IFERROR(__xludf.DUMMYFUNCTION("GOOGLETRANSLATE(D107, ""en"", ""id"")"),"C) Asisten dikeluarkan dan tim didiskualifikasi")</f>
        <v>C) Asisten dikeluarkan dan tim didiskualifikasi</v>
      </c>
      <c r="K107" s="5" t="str">
        <f>IFERROR(__xludf.DUMMYFUNCTION("GOOGLETRANSLATE(E107, ""en"", ""id"")"),"Tindakan tidak sportif dan gangguan langsung ini merupakan pelanggaran serius yang dapat berujung pada diskualifikasi.")</f>
        <v>Tindakan tidak sportif dan gangguan langsung ini merupakan pelanggaran serius yang dapat berujung pada diskualifikasi.</v>
      </c>
    </row>
    <row r="108">
      <c r="A108" s="3">
        <v>107.0</v>
      </c>
      <c r="B108" s="4" t="s">
        <v>434</v>
      </c>
      <c r="C108" s="6" t="s">
        <v>435</v>
      </c>
      <c r="D108" s="4" t="s">
        <v>436</v>
      </c>
      <c r="E108" s="4" t="s">
        <v>437</v>
      </c>
      <c r="G108" s="5" t="str">
        <f>IFERROR(__xludf.DUMMYFUNCTION("GOOGLETRANSLATE(A108, ""en"", ""id"")"),"107")</f>
        <v>107</v>
      </c>
      <c r="H108" s="5" t="str">
        <f>IFERROR(__xludf.DUMMYFUNCTION("GOOGLETRANSLATE(B108, ""en"", ""id"")"),"Seekor banteng didiskualifikasi karena memiliki ""kuku terbelah"". Apa kekhawatiran utama terkait kondisi ini?")</f>
        <v>Seekor banteng didiskualifikasi karena memiliki "kuku terbelah". Apa kekhawatiran utama terkait kondisi ini?</v>
      </c>
      <c r="I108" s="5" t="str">
        <f>IFERROR(__xludf.DUMMYFUNCTION("GOOGLETRANSLATE(C108, ""en"", ""id"")"),"A) Kelihatannya tidak menarik, B) Itu adalah tanda banteng yang lemah, C) Itu dapat menyebabkan rasa sakit dan mengakibatkan cedera parah selama perlombaan, D) Itu memberi banteng keuntungan yang tidak adil")</f>
        <v>A) Kelihatannya tidak menarik, B) Itu adalah tanda banteng yang lemah, C) Itu dapat menyebabkan rasa sakit dan mengakibatkan cedera parah selama perlombaan, D) Itu memberi banteng keuntungan yang tidak adil</v>
      </c>
      <c r="J108" s="5" t="str">
        <f>IFERROR(__xludf.DUMMYFUNCTION("GOOGLETRANSLATE(D108, ""en"", ""id"")"),"C) Dapat menyebabkan rasa sakit dan mengakibatkan cedera parah saat balapan")</f>
        <v>C) Dapat menyebabkan rasa sakit dan mengakibatkan cedera parah saat balapan</v>
      </c>
      <c r="K108" s="5" t="str">
        <f>IFERROR(__xludf.DUMMYFUNCTION("GOOGLETRANSLATE(E108, ""en"", ""id"")"),"Kuku yang rusak atau terbelah merupakan masalah kesehatan utama yang membuat hewan tidak aman untuk berlari dengan kecepatan tinggi.")</f>
        <v>Kuku yang rusak atau terbelah merupakan masalah kesehatan utama yang membuat hewan tidak aman untuk berlari dengan kecepatan tinggi.</v>
      </c>
    </row>
    <row r="109">
      <c r="A109" s="3">
        <v>108.0</v>
      </c>
      <c r="B109" s="4" t="s">
        <v>438</v>
      </c>
      <c r="C109" s="6" t="s">
        <v>439</v>
      </c>
      <c r="D109" s="4" t="s">
        <v>440</v>
      </c>
      <c r="E109" s="4" t="s">
        <v>441</v>
      </c>
      <c r="G109" s="5" t="str">
        <f>IFERROR(__xludf.DUMMYFUNCTION("GOOGLETRANSLATE(A109, ""en"", ""id"")"),"108")</f>
        <v>108</v>
      </c>
      <c r="H109" s="5" t="str">
        <f>IFERROR(__xludf.DUMMYFUNCTION("GOOGLETRANSLATE(B109, ""en"", ""id"")"),"Kesuksesan seorang joki sering dikaitkan dengan ""perasaan"" yang baik terhadap banteng. Apa artinya ini?")</f>
        <v>Kesuksesan seorang joki sering dikaitkan dengan "perasaan" yang baik terhadap banteng. Apa artinya ini?</v>
      </c>
      <c r="I109" s="5" t="str">
        <f>IFERROR(__xludf.DUMMYFUNCTION("GOOGLETRANSLATE(C109, ""en"", ""id"")"),"A) Dia memiliki cengkeraman yang paling kuat, B) Dia memiliki cambuk yang paling kuat, C) Dia memiliki pemahaman intuitif tentang ritme dan energi hewan-hewannya, D) Dia adalah yang paling ringan")</f>
        <v>A) Dia memiliki cengkeraman yang paling kuat, B) Dia memiliki cambuk yang paling kuat, C) Dia memiliki pemahaman intuitif tentang ritme dan energi hewan-hewannya, D) Dia adalah yang paling ringan</v>
      </c>
      <c r="J109" s="5" t="str">
        <f>IFERROR(__xludf.DUMMYFUNCTION("GOOGLETRANSLATE(D109, ""en"", ""id"")"),"C) Dia memiliki pemahaman intuitif tentang ritme dan energi hewannya")</f>
        <v>C) Dia memiliki pemahaman intuitif tentang ritme dan energi hewannya</v>
      </c>
      <c r="K109" s="5" t="str">
        <f>IFERROR(__xludf.DUMMYFUNCTION("GOOGLETRANSLATE(E109, ""en"", ""id"")"),"Seorang joki yang hebat dapat merasakan kapan harus memacu, kapan harus menghemat tenaga, dan bagaimana menjaga banteng tetap sinkron melalui penyesuaian yang halus.")</f>
        <v>Seorang joki yang hebat dapat merasakan kapan harus memacu, kapan harus menghemat tenaga, dan bagaimana menjaga banteng tetap sinkron melalui penyesuaian yang halus.</v>
      </c>
    </row>
    <row r="110">
      <c r="A110" s="3">
        <v>109.0</v>
      </c>
      <c r="B110" s="4" t="s">
        <v>442</v>
      </c>
      <c r="C110" s="6" t="s">
        <v>443</v>
      </c>
      <c r="D110" s="4" t="s">
        <v>444</v>
      </c>
      <c r="E110" s="4" t="s">
        <v>445</v>
      </c>
      <c r="G110" s="5" t="str">
        <f>IFERROR(__xludf.DUMMYFUNCTION("GOOGLETRANSLATE(A110, ""en"", ""id"")"),"109")</f>
        <v>109</v>
      </c>
      <c r="H110" s="5" t="str">
        <f>IFERROR(__xludf.DUMMYFUNCTION("GOOGLETRANSLATE(B110, ""en"", ""id"")"),"Tradisi menghias banteng dipercaya mendatangkan apa, selain kehormatan?")</f>
        <v>Tradisi menghias banteng dipercaya mendatangkan apa, selain kehormatan?</v>
      </c>
      <c r="I110" s="5" t="str">
        <f>IFERROR(__xludf.DUMMYFUNCTION("GOOGLETRANSLATE(C110, ""en"", ""id"")"),"A) Kecepatan yang lebih baik, B) Keberuntungan dan perlindungan dari bahaya, C) Lebih banyak hadiah uang, D) Cuaca yang lebih baik")</f>
        <v>A) Kecepatan yang lebih baik, B) Keberuntungan dan perlindungan dari bahaya, C) Lebih banyak hadiah uang, D) Cuaca yang lebih baik</v>
      </c>
      <c r="J110" s="5" t="str">
        <f>IFERROR(__xludf.DUMMYFUNCTION("GOOGLETRANSLATE(D110, ""en"", ""id"")"),"B) Semoga beruntung dan terlindungi dari bahaya")</f>
        <v>B) Semoga beruntung dan terlindungi dari bahaya</v>
      </c>
      <c r="K110" s="5" t="str">
        <f>IFERROR(__xludf.DUMMYFUNCTION("GOOGLETRANSLATE(E110, ""en"", ""id"")"),"Banyak dekorasi dan ritual tradisional berakar pada kepercayaan bahwa mereka akan memberkati banteng dan menjaganya tetap aman.")</f>
        <v>Banyak dekorasi dan ritual tradisional berakar pada kepercayaan bahwa mereka akan memberkati banteng dan menjaganya tetap aman.</v>
      </c>
    </row>
    <row r="111">
      <c r="A111" s="3">
        <v>110.0</v>
      </c>
      <c r="B111" s="4" t="s">
        <v>446</v>
      </c>
      <c r="C111" s="6" t="s">
        <v>447</v>
      </c>
      <c r="D111" s="4" t="s">
        <v>448</v>
      </c>
      <c r="E111" s="4" t="s">
        <v>449</v>
      </c>
      <c r="G111" s="5" t="str">
        <f>IFERROR(__xludf.DUMMYFUNCTION("GOOGLETRANSLATE(A111, ""en"", ""id"")"),"110")</f>
        <v>110</v>
      </c>
      <c r="H111" s="5" t="str">
        <f>IFERROR(__xludf.DUMMYFUNCTION("GOOGLETRANSLATE(B111, ""en"", ""id"")"),"Mengapa banteng Karapan Sapi hampir selalu jantan?")</f>
        <v>Mengapa banteng Karapan Sapi hampir selalu jantan?</v>
      </c>
      <c r="I111" s="5" t="str">
        <f>IFERROR(__xludf.DUMMYFUNCTION("GOOGLETRANSLATE(C111, ""en"", ""id"")"),"A) Sapi jantan secara tradisional dianggap lebih bergengsi, B) Sapi jantan secara alami lebih kuat dan cepat, C) Sapi betina disediakan untuk peternakan, D) Semua jawaban di atas")</f>
        <v>A) Sapi jantan secara tradisional dianggap lebih bergengsi, B) Sapi jantan secara alami lebih kuat dan cepat, C) Sapi betina disediakan untuk peternakan, D) Semua jawaban di atas</v>
      </c>
      <c r="J111" s="5" t="str">
        <f>IFERROR(__xludf.DUMMYFUNCTION("GOOGLETRANSLATE(D111, ""en"", ""id"")"),"D) Semua jawaban di atas")</f>
        <v>D) Semua jawaban di atas</v>
      </c>
      <c r="K111" s="5" t="str">
        <f>IFERROR(__xludf.DUMMYFUNCTION("GOOGLETRANSLATE(E111, ""en"", ""id"")"),"Kombinasi prestise budaya, atribut fisik (kekuatan/kecepatan), dan peran pertanian tradisional berarti hanya banteng jantan yang digunakan.")</f>
        <v>Kombinasi prestise budaya, atribut fisik (kekuatan/kecepatan), dan peran pertanian tradisional berarti hanya banteng jantan yang digunakan.</v>
      </c>
    </row>
    <row r="112">
      <c r="A112" s="3">
        <v>111.0</v>
      </c>
      <c r="B112" s="4" t="s">
        <v>450</v>
      </c>
      <c r="C112" s="6" t="s">
        <v>451</v>
      </c>
      <c r="D112" s="4" t="s">
        <v>452</v>
      </c>
      <c r="E112" s="4" t="s">
        <v>453</v>
      </c>
      <c r="G112" s="5" t="str">
        <f>IFERROR(__xludf.DUMMYFUNCTION("GOOGLETRANSLATE(A112, ""en"", ""id"")"),"111")</f>
        <v>111</v>
      </c>
      <c r="H112" s="5" t="str">
        <f>IFERROR(__xludf.DUMMYFUNCTION("GOOGLETRANSLATE(B112, ""en"", ""id"")"),"Jika suatu tim membawa banteng dari pulau lain (misalnya Jawa) untuk bertanding, apa potensi kerugiannya?")</f>
        <v>Jika suatu tim membawa banteng dari pulau lain (misalnya Jawa) untuk bertanding, apa potensi kerugiannya?</v>
      </c>
      <c r="I112" s="5" t="str">
        <f>IFERROR(__xludf.DUMMYFUNCTION("GOOGLETRANSLATE(C112, ""en"", ""id"")"),"A) Sapi jantan mungkin tidak terbiasa dengan iklim dan pola makan orang Madura, B) Sapi jantan tidak diperbolehkan oleh peraturan, C) Sapi jantan akan terlalu lambat, D) Sapi jantan akan terlalu agresif")</f>
        <v>A) Sapi jantan mungkin tidak terbiasa dengan iklim dan pola makan orang Madura, B) Sapi jantan tidak diperbolehkan oleh peraturan, C) Sapi jantan akan terlalu lambat, D) Sapi jantan akan terlalu agresif</v>
      </c>
      <c r="J112" s="5" t="str">
        <f>IFERROR(__xludf.DUMMYFUNCTION("GOOGLETRANSLATE(D112, ""en"", ""id"")"),"A) Sapi jantan mungkin tidak terbiasa dengan iklim dan pola makan orang Madura")</f>
        <v>A) Sapi jantan mungkin tidak terbiasa dengan iklim dan pola makan orang Madura</v>
      </c>
      <c r="K112" s="5" t="str">
        <f>IFERROR(__xludf.DUMMYFUNCTION("GOOGLETRANSLATE(E112, ""en"", ""id"")"),"Aklimatisasi merupakan faktor kunci, dan banteng yang tidak dibesarkan di lingkungan lokal mungkin kinerjanya buruk.")</f>
        <v>Aklimatisasi merupakan faktor kunci, dan banteng yang tidak dibesarkan di lingkungan lokal mungkin kinerjanya buruk.</v>
      </c>
    </row>
    <row r="113">
      <c r="A113" s="3">
        <v>112.0</v>
      </c>
      <c r="B113" s="4" t="s">
        <v>454</v>
      </c>
      <c r="C113" s="6" t="s">
        <v>455</v>
      </c>
      <c r="D113" s="4" t="s">
        <v>360</v>
      </c>
      <c r="E113" s="4" t="s">
        <v>456</v>
      </c>
      <c r="G113" s="5" t="str">
        <f>IFERROR(__xludf.DUMMYFUNCTION("GOOGLETRANSLATE(A113, ""en"", ""id"")"),"112")</f>
        <v>112</v>
      </c>
      <c r="H113" s="5" t="str">
        <f>IFERROR(__xludf.DUMMYFUNCTION("GOOGLETRANSLATE(B113, ""en"", ""id"")"),"Apa penyebab utama menurunnya jumlah pagelaran karapan sapi di sejumlah daerah di Madura?")</f>
        <v>Apa penyebab utama menurunnya jumlah pagelaran karapan sapi di sejumlah daerah di Madura?</v>
      </c>
      <c r="I113" s="5" t="str">
        <f>IFERROR(__xludf.DUMMYFUNCTION("GOOGLETRANSLATE(C113, ""en"", ""id"")"),"A) Olahraga ini menjadi terlalu berbahaya, B) Biaya yang mahal untuk membesarkan dan melatih banteng juara, C) Kurangnya minat dari generasi muda, D) Baik B maupun C")</f>
        <v>A) Olahraga ini menjadi terlalu berbahaya, B) Biaya yang mahal untuk membesarkan dan melatih banteng juara, C) Kurangnya minat dari generasi muda, D) Baik B maupun C</v>
      </c>
      <c r="J113" s="5" t="str">
        <f>IFERROR(__xludf.DUMMYFUNCTION("GOOGLETRANSLATE(D113, ""en"", ""id"")"),"D) B dan C")</f>
        <v>D) B dan C</v>
      </c>
      <c r="K113" s="5" t="str">
        <f>IFERROR(__xludf.DUMMYFUNCTION("GOOGLETRANSLATE(E113, ""en"", ""id"")"),"Investasi keuangan yang signifikan dan pergeseran minat di kalangan anak muda menghadirkan tantangan bagi keberlangsungan olahraga ini.")</f>
        <v>Investasi keuangan yang signifikan dan pergeseran minat di kalangan anak muda menghadirkan tantangan bagi keberlangsungan olahraga ini.</v>
      </c>
    </row>
    <row r="114">
      <c r="A114" s="3">
        <v>113.0</v>
      </c>
      <c r="B114" s="4" t="s">
        <v>457</v>
      </c>
      <c r="C114" s="6" t="s">
        <v>458</v>
      </c>
      <c r="D114" s="4" t="s">
        <v>459</v>
      </c>
      <c r="E114" s="4" t="s">
        <v>460</v>
      </c>
      <c r="G114" s="5" t="str">
        <f>IFERROR(__xludf.DUMMYFUNCTION("GOOGLETRANSLATE(A114, ""en"", ""id"")"),"113")</f>
        <v>113</v>
      </c>
      <c r="H114" s="5" t="str">
        <f>IFERROR(__xludf.DUMMYFUNCTION("GOOGLETRANSLATE(B114, ""en"", ""id"")"),"Joki yang menang dirayakan dan dipikul di pundak warga desanya. Apa maknanya?")</f>
        <v>Joki yang menang dirayakan dan dipikul di pundak warga desanya. Apa maknanya?</v>
      </c>
      <c r="I114" s="5" t="str">
        <f>IFERROR(__xludf.DUMMYFUNCTION("GOOGLETRANSLATE(C114, ""en"", ""id"")"),"A) Dia sekarang menjadi kepala desa, B) Dia telah membawa kehormatan besar bagi komunitasnya, C) Dia dihukum karena melanggar aturan, D) Dia terlalu lelah untuk berjalan")</f>
        <v>A) Dia sekarang menjadi kepala desa, B) Dia telah membawa kehormatan besar bagi komunitasnya, C) Dia dihukum karena melanggar aturan, D) Dia terlalu lelah untuk berjalan</v>
      </c>
      <c r="J114" s="5" t="str">
        <f>IFERROR(__xludf.DUMMYFUNCTION("GOOGLETRANSLATE(D114, ""en"", ""id"")"),"B) Dia telah membawa kehormatan besar bagi komunitasnya")</f>
        <v>B) Dia telah membawa kehormatan besar bagi komunitasnya</v>
      </c>
      <c r="K114" s="5" t="str">
        <f>IFERROR(__xludf.DUMMYFUNCTION("GOOGLETRANSLATE(E114, ""en"", ""id"")"),"Ini adalah perayaan bersama atas kemenangan bersama, mengakui joki sebagai pahlawan lokal.")</f>
        <v>Ini adalah perayaan bersama atas kemenangan bersama, mengakui joki sebagai pahlawan lokal.</v>
      </c>
    </row>
    <row r="115">
      <c r="A115" s="3">
        <v>114.0</v>
      </c>
      <c r="B115" s="4" t="s">
        <v>461</v>
      </c>
      <c r="C115" s="6" t="s">
        <v>462</v>
      </c>
      <c r="D115" s="4" t="s">
        <v>463</v>
      </c>
      <c r="E115" s="4" t="s">
        <v>464</v>
      </c>
      <c r="G115" s="5" t="str">
        <f>IFERROR(__xludf.DUMMYFUNCTION("GOOGLETRANSLATE(A115, ""en"", ""id"")"),"114")</f>
        <v>114</v>
      </c>
      <c r="H115" s="5" t="str">
        <f>IFERROR(__xludf.DUMMYFUNCTION("GOOGLETRANSLATE(B115, ""en"", ""id"")"),"Apa yang terjadi pada banteng juara setelah pensiun dari balapan?")</f>
        <v>Apa yang terjadi pada banteng juara setelah pensiun dari balapan?</v>
      </c>
      <c r="I115" s="5" t="str">
        <f>IFERROR(__xludf.DUMMYFUNCTION("GOOGLETRANSLATE(C115, ""en"", ""id"")"),"A) Dijual untuk diambil dagingnya, B) Digunakan untuk membajak ladang, C) Menjadi kuda betina yang bernilai tinggi, D) Dilepas ke alam liar")</f>
        <v>A) Dijual untuk diambil dagingnya, B) Digunakan untuk membajak ladang, C) Menjadi kuda betina yang bernilai tinggi, D) Dilepas ke alam liar</v>
      </c>
      <c r="J115" s="5" t="str">
        <f>IFERROR(__xludf.DUMMYFUNCTION("GOOGLETRANSLATE(D115, ""en"", ""id"")"),"C) Menjadi pejantan pembiakan yang sangat berharga")</f>
        <v>C) Menjadi pejantan pembiakan yang sangat berharga</v>
      </c>
      <c r="K115" s="5" t="str">
        <f>IFERROR(__xludf.DUMMYFUNCTION("GOOGLETRANSLATE(E115, ""en"", ""id"")"),"Nilai seorang juara yang sudah pensiun terletak pada genetikanya, yang digunakan untuk menghasilkan generasi banteng balap berikutnya.")</f>
        <v>Nilai seorang juara yang sudah pensiun terletak pada genetikanya, yang digunakan untuk menghasilkan generasi banteng balap berikutnya.</v>
      </c>
    </row>
    <row r="116">
      <c r="A116" s="3">
        <v>115.0</v>
      </c>
      <c r="B116" s="4" t="s">
        <v>465</v>
      </c>
      <c r="C116" s="6" t="s">
        <v>466</v>
      </c>
      <c r="D116" s="4" t="s">
        <v>467</v>
      </c>
      <c r="E116" s="4" t="s">
        <v>468</v>
      </c>
      <c r="G116" s="5" t="str">
        <f>IFERROR(__xludf.DUMMYFUNCTION("GOOGLETRANSLATE(A116, ""en"", ""id"")"),"115")</f>
        <v>115</v>
      </c>
      <c r="H116" s="5" t="str">
        <f>IFERROR(__xludf.DUMMYFUNCTION("GOOGLETRANSLATE(B116, ""en"", ""id"")"),"Acara Karapan Sapi disponsori oleh sebuah perusahaan besar. Apa saja potensi isu budayanya?")</f>
        <v>Acara Karapan Sapi disponsori oleh sebuah perusahaan besar. Apa saja potensi isu budayanya?</v>
      </c>
      <c r="I116" s="5" t="str">
        <f>IFERROR(__xludf.DUMMYFUNCTION("GOOGLETRANSLATE(C116, ""en"", ""id"")"),"A) Perlombaan akan menjadi terlalu profesional, B) Acara ini mungkin kehilangan semangat tradisional dan berfokus pada komunitas, C) Hadiahnya akan terlalu besar, D) Sapi jantan akan diperlakukan lebih baik")</f>
        <v>A) Perlombaan akan menjadi terlalu profesional, B) Acara ini mungkin kehilangan semangat tradisional dan berfokus pada komunitas, C) Hadiahnya akan terlalu besar, D) Sapi jantan akan diperlakukan lebih baik</v>
      </c>
      <c r="J116" s="5" t="str">
        <f>IFERROR(__xludf.DUMMYFUNCTION("GOOGLETRANSLATE(D116, ""en"", ""id"")"),"B) Acara ini mungkin kehilangan semangat tradisionalnya yang berfokus pada komunitas")</f>
        <v>B) Acara ini mungkin kehilangan semangat tradisionalnya yang berfokus pada komunitas</v>
      </c>
      <c r="K116" s="5" t="str">
        <f>IFERROR(__xludf.DUMMYFUNCTION("GOOGLETRANSLATE(E116, ""en"", ""id"")"),"Sering kali terjadi ketegangan antara komersialisasi dan pelestarian aspek budaya dan ritualistik festival yang autentik.")</f>
        <v>Sering kali terjadi ketegangan antara komersialisasi dan pelestarian aspek budaya dan ritualistik festival yang autentik.</v>
      </c>
    </row>
    <row r="117">
      <c r="A117" s="3">
        <v>116.0</v>
      </c>
      <c r="B117" s="4" t="s">
        <v>469</v>
      </c>
      <c r="C117" s="6" t="s">
        <v>470</v>
      </c>
      <c r="D117" s="4" t="s">
        <v>471</v>
      </c>
      <c r="E117" s="4" t="s">
        <v>472</v>
      </c>
      <c r="G117" s="5" t="str">
        <f>IFERROR(__xludf.DUMMYFUNCTION("GOOGLETRANSLATE(A117, ""en"", ""id"")"),"116")</f>
        <v>116</v>
      </c>
      <c r="H117" s="5" t="str">
        <f>IFERROR(__xludf.DUMMYFUNCTION("GOOGLETRANSLATE(B117, ""en"", ""id"")"),"Tali kekang joki putus di tengah balapan. Apa kemungkinan besar hasilnya?")</f>
        <v>Tali kekang joki putus di tengah balapan. Apa kemungkinan besar hasilnya?</v>
      </c>
      <c r="I117" s="5" t="str">
        <f>IFERROR(__xludf.DUMMYFUNCTION("GOOGLETRANSLATE(C117, ""en"", ""id"")"),"A) Dia dapat terus mengendalikan dengan satu kendali, B) Tim langsung didiskualifikasi karena kehilangan kendali, C) Balapan dihentikan, D) Dia dapat membuat kendali baru")</f>
        <v>A) Dia dapat terus mengendalikan dengan satu kendali, B) Tim langsung didiskualifikasi karena kehilangan kendali, C) Balapan dihentikan, D) Dia dapat membuat kendali baru</v>
      </c>
      <c r="J117" s="5" t="str">
        <f>IFERROR(__xludf.DUMMYFUNCTION("GOOGLETRANSLATE(D117, ""en"", ""id"")"),"B) Tim tersebut langsung didiskualifikasi karena kehilangan kendali")</f>
        <v>B) Tim tersebut langsung didiskualifikasi karena kehilangan kendali</v>
      </c>
      <c r="K117" s="5" t="str">
        <f>IFERROR(__xludf.DUMMYFUNCTION("GOOGLETRANSLATE(E117, ""en"", ""id"")"),"Kendali adalah mekanisme kendali utama. Kegagalan peralatan yang menyebabkan kemudi mustahil mengakibatkan DQ demi alasan keselamatan.")</f>
        <v>Kendali adalah mekanisme kendali utama. Kegagalan peralatan yang menyebabkan kemudi mustahil mengakibatkan DQ demi alasan keselamatan.</v>
      </c>
    </row>
    <row r="118">
      <c r="A118" s="3">
        <v>117.0</v>
      </c>
      <c r="B118" s="4" t="s">
        <v>473</v>
      </c>
      <c r="C118" s="6" t="s">
        <v>474</v>
      </c>
      <c r="D118" s="4" t="s">
        <v>475</v>
      </c>
      <c r="E118" s="4" t="s">
        <v>476</v>
      </c>
      <c r="G118" s="5" t="str">
        <f>IFERROR(__xludf.DUMMYFUNCTION("GOOGLETRANSLATE(A118, ""en"", ""id"")"),"117")</f>
        <v>117</v>
      </c>
      <c r="H118" s="5" t="str">
        <f>IFERROR(__xludf.DUMMYFUNCTION("GOOGLETRANSLATE(B118, ""en"", ""id"")"),"Tanah di Pulau Madura konon memberikan keunggulan khusus bagi bantengnya. Apa hubungannya dengan karakteristik ini?")</f>
        <v>Tanah di Pulau Madura konon memberikan keunggulan khusus bagi bantengnya. Apa hubungannya dengan karakteristik ini?</v>
      </c>
      <c r="I118" s="5" t="str">
        <f>IFERROR(__xludf.DUMMYFUNCTION("GOOGLETRANSLATE(C118, ""en"", ""id"")"),"A) Kandungan mineral yang tinggi dipercaya dapat membangun tulang yang lebih kuat, B) Tanah lebih lunak untuk latihan, C) Tanah membuat kuku mereka lebih keras, D) Ini hanyalah mitos belaka.")</f>
        <v>A) Kandungan mineral yang tinggi dipercaya dapat membangun tulang yang lebih kuat, B) Tanah lebih lunak untuk latihan, C) Tanah membuat kuku mereka lebih keras, D) Ini hanyalah mitos belaka.</v>
      </c>
      <c r="J118" s="5" t="str">
        <f>IFERROR(__xludf.DUMMYFUNCTION("GOOGLETRANSLATE(D118, ""en"", ""id"")"),"A) Kandungan mineral yang tinggi dipercaya dapat membangun tulang yang lebih kuat")</f>
        <v>A) Kandungan mineral yang tinggi dipercaya dapat membangun tulang yang lebih kuat</v>
      </c>
      <c r="K118" s="5" t="str">
        <f>IFERROR(__xludf.DUMMYFUNCTION("GOOGLETRANSLATE(E118, ""en"", ""id"")"),"Kepercayaan setempat menyatakan bahwa tanah dan vegetasi yang unik di pulau tersebut berkontribusi terhadap kekuatan dan bentuk tubuh sapi Madura yang unggul.")</f>
        <v>Kepercayaan setempat menyatakan bahwa tanah dan vegetasi yang unik di pulau tersebut berkontribusi terhadap kekuatan dan bentuk tubuh sapi Madura yang unggul.</v>
      </c>
    </row>
    <row r="119">
      <c r="A119" s="3">
        <v>118.0</v>
      </c>
      <c r="B119" s="4" t="s">
        <v>477</v>
      </c>
      <c r="C119" s="6" t="s">
        <v>478</v>
      </c>
      <c r="D119" s="4" t="s">
        <v>479</v>
      </c>
      <c r="E119" s="4" t="s">
        <v>480</v>
      </c>
      <c r="G119" s="5" t="str">
        <f>IFERROR(__xludf.DUMMYFUNCTION("GOOGLETRANSLATE(A119, ""en"", ""id"")"),"118")</f>
        <v>118</v>
      </c>
      <c r="H119" s="5" t="str">
        <f>IFERROR(__xludf.DUMMYFUNCTION("GOOGLETRANSLATE(B119, ""en"", ""id"")"),"Suatu tim didiskualifikasi karena ""perilaku tidak sportif"". Tindakan mana yang memenuhi syarat?")</f>
        <v>Suatu tim didiskualifikasi karena "perilaku tidak sportif". Tindakan mana yang memenuhi syarat?</v>
      </c>
      <c r="I119" s="5" t="str">
        <f>IFERROR(__xludf.DUMMYFUNCTION("GOOGLETRANSLATE(C119, ""en"", ""id"")"),"A) Merayakan kemenangan dengan suara terlalu keras, B) Sengaja menghalangi atau berteriak pada joki lawan selama perlombaan, C) Menggunakan kereta non-tradisional, D) Memiliki banteng tercepat")</f>
        <v>A) Merayakan kemenangan dengan suara terlalu keras, B) Sengaja menghalangi atau berteriak pada joki lawan selama perlombaan, C) Menggunakan kereta non-tradisional, D) Memiliki banteng tercepat</v>
      </c>
      <c r="J119" s="5" t="str">
        <f>IFERROR(__xludf.DUMMYFUNCTION("GOOGLETRANSLATE(D119, ""en"", ""id"")"),"B) Sengaja menghalangi atau berteriak kepada joki lawan saat balapan")</f>
        <v>B) Sengaja menghalangi atau berteriak kepada joki lawan saat balapan</v>
      </c>
      <c r="K119" s="5" t="str">
        <f>IFERROR(__xludf.DUMMYFUNCTION("GOOGLETRANSLATE(E119, ""en"", ""id"")"),"Tindakan apa pun yang dilakukan secara sengaja dan tidak adil untuk mengganggu kinerja pesaing merupakan perilaku tidak sportif.")</f>
        <v>Tindakan apa pun yang dilakukan secara sengaja dan tidak adil untuk mengganggu kinerja pesaing merupakan perilaku tidak sportif.</v>
      </c>
    </row>
    <row r="120">
      <c r="A120" s="3">
        <v>119.0</v>
      </c>
      <c r="B120" s="4" t="s">
        <v>481</v>
      </c>
      <c r="C120" s="6" t="s">
        <v>482</v>
      </c>
      <c r="D120" s="4" t="s">
        <v>483</v>
      </c>
      <c r="E120" s="4" t="s">
        <v>484</v>
      </c>
      <c r="G120" s="5" t="str">
        <f>IFERROR(__xludf.DUMMYFUNCTION("GOOGLETRANSLATE(A120, ""en"", ""id"")"),"119")</f>
        <v>119</v>
      </c>
      <c r="H120" s="5" t="str">
        <f>IFERROR(__xludf.DUMMYFUNCTION("GOOGLETRANSLATE(B120, ""en"", ""id"")"),"Apa arti kaki telanjang joki di kaleles?")</f>
        <v>Apa arti kaki telanjang joki di kaleles?</v>
      </c>
      <c r="I120" s="5" t="str">
        <f>IFERROR(__xludf.DUMMYFUNCTION("GOOGLETRANSLATE(C120, ""en"", ""id"")"),"A) Merupakan tanda kemiskinan, B) Memberikan pegangan dan rasa yang lebih baik untuk keseimbangan kereta luncur, C) Sepatu tidak diperbolehkan menurut peraturan, D) Menjaga joki tetap dingin")</f>
        <v>A) Merupakan tanda kemiskinan, B) Memberikan pegangan dan rasa yang lebih baik untuk keseimbangan kereta luncur, C) Sepatu tidak diperbolehkan menurut peraturan, D) Menjaga joki tetap dingin</v>
      </c>
      <c r="J120" s="5" t="str">
        <f>IFERROR(__xludf.DUMMYFUNCTION("GOOGLETRANSLATE(D120, ""en"", ""id"")"),"B) Memberikan pegangan dan rasa yang lebih baik untuk keseimbangan kereta luncur")</f>
        <v>B) Memberikan pegangan dan rasa yang lebih baik untuk keseimbangan kereta luncur</v>
      </c>
      <c r="K120" s="5" t="str">
        <f>IFERROR(__xludf.DUMMYFUNCTION("GOOGLETRANSLATE(E120, ""en"", ""id"")"),"Kaki telanjang memungkinkan joki melakukan penyesuaian mikro dan merasakan getaran kereta luncur, membantu mereka dalam tindakan keseimbangan yang luar biasa.")</f>
        <v>Kaki telanjang memungkinkan joki melakukan penyesuaian mikro dan merasakan getaran kereta luncur, membantu mereka dalam tindakan keseimbangan yang luar biasa.</v>
      </c>
    </row>
    <row r="121">
      <c r="A121" s="3">
        <v>120.0</v>
      </c>
      <c r="B121" s="4" t="s">
        <v>485</v>
      </c>
      <c r="C121" s="6" t="s">
        <v>486</v>
      </c>
      <c r="D121" s="4" t="s">
        <v>487</v>
      </c>
      <c r="E121" s="4" t="s">
        <v>488</v>
      </c>
      <c r="G121" s="5" t="str">
        <f>IFERROR(__xludf.DUMMYFUNCTION("GOOGLETRANSLATE(A121, ""en"", ""id"")"),"120")</f>
        <v>120</v>
      </c>
      <c r="H121" s="5" t="str">
        <f>IFERROR(__xludf.DUMMYFUNCTION("GOOGLETRANSLATE(B121, ""en"", ""id"")"),"Jika suatu tim dituduh menukar salah satu bantengnya di antara babak penyisihan, bagaimana petugas akan memverifikasi hal ini?")</f>
        <v>Jika suatu tim dituduh menukar salah satu bantengnya di antara babak penyisihan, bagaimana petugas akan memverifikasi hal ini?</v>
      </c>
      <c r="I121" s="5" t="str">
        <f>IFERROR(__xludf.DUMMYFUNCTION("GOOGLETRANSLATE(C121, ""en"", ""id"")"),"A) Dengan menanyakan kepada joki, B) Dengan memeriksa cat dekoratif banteng, C) Dengan memeriksa foto pra-perlombaan, label telinga, atau tanda, D) Dengan menimbang banteng lagi")</f>
        <v>A) Dengan menanyakan kepada joki, B) Dengan memeriksa cat dekoratif banteng, C) Dengan memeriksa foto pra-perlombaan, label telinga, atau tanda, D) Dengan menimbang banteng lagi</v>
      </c>
      <c r="J121" s="5" t="str">
        <f>IFERROR(__xludf.DUMMYFUNCTION("GOOGLETRANSLATE(D121, ""en"", ""id"")"),"C) Dengan memeriksa foto pra-balapan, tanda telinga, atau tanda")</f>
        <v>C) Dengan memeriksa foto pra-balapan, tanda telinga, atau tanda</v>
      </c>
      <c r="K121" s="5" t="str">
        <f>IFERROR(__xludf.DUMMYFUNCTION("GOOGLETRANSLATE(E121, ""en"", ""id"")"),"Petugas menggunakan penanda identifikasi yang dicatat selama pendaftaran untuk memastikan hewan yang sama berkompetisi sepanjang hari.")</f>
        <v>Petugas menggunakan penanda identifikasi yang dicatat selama pendaftaran untuk memastikan hewan yang sama berkompetisi sepanjang hari.</v>
      </c>
    </row>
    <row r="122">
      <c r="A122" s="3">
        <v>121.0</v>
      </c>
      <c r="B122" s="4" t="s">
        <v>489</v>
      </c>
      <c r="C122" s="6" t="s">
        <v>490</v>
      </c>
      <c r="D122" s="4" t="s">
        <v>491</v>
      </c>
      <c r="E122" s="4" t="s">
        <v>492</v>
      </c>
      <c r="G122" s="5" t="str">
        <f>IFERROR(__xludf.DUMMYFUNCTION("GOOGLETRANSLATE(A122, ""en"", ""id"")"),"121")</f>
        <v>121</v>
      </c>
      <c r="H122" s="5" t="str">
        <f>IFERROR(__xludf.DUMMYFUNCTION("GOOGLETRANSLATE(B122, ""en"", ""id"")"),"""Uji coba"" atau ""eksperimen"" diadakan sebelum perlombaan utama. Apa tujuannya?")</f>
        <v>"Uji coba" atau "eksperimen" diadakan sebelum perlombaan utama. Apa tujuannya?</v>
      </c>
      <c r="I122" s="5" t="str">
        <f>IFERROR(__xludf.DUMMYFUNCTION("GOOGLETRANSLATE(C122, ""en"", ""id"")"),"A) Untuk menentukan pemenang akhir, B) Agar banteng dapat mengenal lintasan, C) Untuk menjual tiket, D) Untuk menimbang joki")</f>
        <v>A) Untuk menentukan pemenang akhir, B) Agar banteng dapat mengenal lintasan, C) Untuk menjual tiket, D) Untuk menimbang joki</v>
      </c>
      <c r="J122" s="5" t="str">
        <f>IFERROR(__xludf.DUMMYFUNCTION("GOOGLETRANSLATE(D122, ""en"", ""id"")"),"B) Untuk memungkinkan banteng membiasakan diri dengan lintasannya")</f>
        <v>B) Untuk memungkinkan banteng membiasakan diri dengan lintasannya</v>
      </c>
      <c r="K122" s="5" t="str">
        <f>IFERROR(__xludf.DUMMYFUNCTION("GOOGLETRANSLATE(E122, ""en"", ""id"")"),"Latihan membantu banteng terbiasa dengan kondisi lintasan dan atmosfer tertentu sebelum pemanasan yang dinilai dimulai.")</f>
        <v>Latihan membantu banteng terbiasa dengan kondisi lintasan dan atmosfer tertentu sebelum pemanasan yang dinilai dimulai.</v>
      </c>
    </row>
    <row r="123">
      <c r="A123" s="3">
        <v>122.0</v>
      </c>
      <c r="B123" s="4" t="s">
        <v>493</v>
      </c>
      <c r="C123" s="6" t="s">
        <v>494</v>
      </c>
      <c r="D123" s="4" t="s">
        <v>448</v>
      </c>
      <c r="E123" s="4" t="s">
        <v>495</v>
      </c>
      <c r="G123" s="5" t="str">
        <f>IFERROR(__xludf.DUMMYFUNCTION("GOOGLETRANSLATE(A123, ""en"", ""id"")"),"122")</f>
        <v>122</v>
      </c>
      <c r="H123" s="5" t="str">
        <f>IFERROR(__xludf.DUMMYFUNCTION("GOOGLETRANSLATE(B123, ""en"", ""id"")"),"Apa perbedaan utama antara lomba karapan sapi dengan lomba gerobak sapi biasa yang ada di tempat lain?")</f>
        <v>Apa perbedaan utama antara lomba karapan sapi dengan lomba gerobak sapi biasa yang ada di tempat lain?</v>
      </c>
      <c r="I123" s="5" t="str">
        <f>IFERROR(__xludf.DUMMYFUNCTION("GOOGLETRANSLATE(C123, ""en"", ""id"")"),"A) Jumlah roda, B) Joki berdiri bukannya duduk, C) Fokus pada kecepatan mentah dalam jarak pendek, D) Semua jawaban di atas")</f>
        <v>A) Jumlah roda, B) Joki berdiri bukannya duduk, C) Fokus pada kecepatan mentah dalam jarak pendek, D) Semua jawaban di atas</v>
      </c>
      <c r="J123" s="5" t="str">
        <f>IFERROR(__xludf.DUMMYFUNCTION("GOOGLETRANSLATE(D123, ""en"", ""id"")"),"D) Semua jawaban di atas")</f>
        <v>D) Semua jawaban di atas</v>
      </c>
      <c r="K123" s="5" t="str">
        <f>IFERROR(__xludf.DUMMYFUNCTION("GOOGLETRANSLATE(E123, ""en"", ""id"")"),"Karapan Sapi merupakan bentuk unik dari balap banteng yang ditandai dengan kereta luncur tanpa roda, joki yang berdiri, dan sifatnya yang berlari cepat.")</f>
        <v>Karapan Sapi merupakan bentuk unik dari balap banteng yang ditandai dengan kereta luncur tanpa roda, joki yang berdiri, dan sifatnya yang berlari cepat.</v>
      </c>
    </row>
    <row r="124">
      <c r="A124" s="3">
        <v>123.0</v>
      </c>
      <c r="B124" s="4" t="s">
        <v>496</v>
      </c>
      <c r="C124" s="6" t="s">
        <v>497</v>
      </c>
      <c r="D124" s="4" t="s">
        <v>448</v>
      </c>
      <c r="E124" s="4" t="s">
        <v>498</v>
      </c>
      <c r="G124" s="5" t="str">
        <f>IFERROR(__xludf.DUMMYFUNCTION("GOOGLETRANSLATE(A124, ""en"", ""id"")"),"123")</f>
        <v>123</v>
      </c>
      <c r="H124" s="5" t="str">
        <f>IFERROR(__xludf.DUMMYFUNCTION("GOOGLETRANSLATE(B124, ""en"", ""id"")"),"Banteng memiliki temperamen yang tenang tetapi kurang cepat. Peran apa yang mungkin lebih cocok untuknya?")</f>
        <v>Banteng memiliki temperamen yang tenang tetapi kurang cepat. Peran apa yang mungkin lebih cocok untuknya?</v>
      </c>
      <c r="I124" s="5" t="str">
        <f>IFERROR(__xludf.DUMMYFUNCTION("GOOGLETRANSLATE(C124, ""en"", ""id"")"),"A) Sapi Sonok (kontes kecantikan), B) Lomba kereta jenis lain, C) Membajak sawah, D) Semua jawaban di atas")</f>
        <v>A) Sapi Sonok (kontes kecantikan), B) Lomba kereta jenis lain, C) Membajak sawah, D) Semua jawaban di atas</v>
      </c>
      <c r="J124" s="5" t="str">
        <f>IFERROR(__xludf.DUMMYFUNCTION("GOOGLETRANSLATE(D124, ""en"", ""id"")"),"D) Semua jawaban di atas")</f>
        <v>D) Semua jawaban di atas</v>
      </c>
      <c r="K124" s="5" t="str">
        <f>IFERROR(__xludf.DUMMYFUNCTION("GOOGLETRANSLATE(E124, ""en"", ""id"")"),"Temperamen dan kemampuan fisik banteng menentukan penggunaan terbaiknya, baik dalam kontes budaya, pekerjaan, atau olahraga lainnya.")</f>
        <v>Temperamen dan kemampuan fisik banteng menentukan penggunaan terbaiknya, baik dalam kontes budaya, pekerjaan, atau olahraga lainnya.</v>
      </c>
    </row>
    <row r="125">
      <c r="A125" s="3">
        <v>124.0</v>
      </c>
      <c r="B125" s="4" t="s">
        <v>499</v>
      </c>
      <c r="C125" s="6" t="s">
        <v>500</v>
      </c>
      <c r="D125" s="4" t="s">
        <v>501</v>
      </c>
      <c r="E125" s="4" t="s">
        <v>502</v>
      </c>
      <c r="G125" s="5" t="str">
        <f>IFERROR(__xludf.DUMMYFUNCTION("GOOGLETRANSLATE(A125, ""en"", ""id"")"),"124")</f>
        <v>124</v>
      </c>
      <c r="H125" s="5" t="str">
        <f>IFERROR(__xludf.DUMMYFUNCTION("GOOGLETRANSLATE(B125, ""en"", ""id"")"),"Kepemilikan tim Karapan Sapi juara sering dipegang oleh siapa?")</f>
        <v>Kepemilikan tim Karapan Sapi juara sering dipegang oleh siapa?</v>
      </c>
      <c r="I125" s="5" t="str">
        <f>IFERROR(__xludf.DUMMYFUNCTION("GOOGLETRANSLATE(C125, ""en"", ""id"")"),"A) Seorang individu atau keluarga kaya, B) Koperasi petani, C) Pemerintah daerah, D) Perusahaan")</f>
        <v>A) Seorang individu atau keluarga kaya, B) Koperasi petani, C) Pemerintah daerah, D) Perusahaan</v>
      </c>
      <c r="J125" s="5" t="str">
        <f>IFERROR(__xludf.DUMMYFUNCTION("GOOGLETRANSLATE(D125, ""en"", ""id"")"),"A) Seorang individu atau keluarga kaya")</f>
        <v>A) Seorang individu atau keluarga kaya</v>
      </c>
      <c r="K125" s="5" t="str">
        <f>IFERROR(__xludf.DUMMYFUNCTION("GOOGLETRANSLATE(E125, ""en"", ""id"")"),"Karena biayanya yang tinggi, memiliki tim balap papan atas sering kali menjadi incaran orang-orang kaya yang mencari prestise terkait.")</f>
        <v>Karena biayanya yang tinggi, memiliki tim balap papan atas sering kali menjadi incaran orang-orang kaya yang mencari prestise terkait.</v>
      </c>
    </row>
    <row r="126">
      <c r="A126" s="3">
        <v>125.0</v>
      </c>
      <c r="B126" s="4" t="s">
        <v>503</v>
      </c>
      <c r="C126" s="6" t="s">
        <v>504</v>
      </c>
      <c r="D126" s="4" t="s">
        <v>505</v>
      </c>
      <c r="E126" s="4" t="s">
        <v>506</v>
      </c>
      <c r="G126" s="5" t="str">
        <f>IFERROR(__xludf.DUMMYFUNCTION("GOOGLETRANSLATE(A126, ""en"", ""id"")"),"125")</f>
        <v>125</v>
      </c>
      <c r="H126" s="5" t="str">
        <f>IFERROR(__xludf.DUMMYFUNCTION("GOOGLETRANSLATE(B126, ""en"", ""id"")"),"Apa cedera paling umum yang mungkin dialami joki dalam kecelakaan?")</f>
        <v>Apa cedera paling umum yang mungkin dialami joki dalam kecelakaan?</v>
      </c>
      <c r="I126" s="5" t="str">
        <f>IFERROR(__xludf.DUMMYFUNCTION("GOOGLETRANSLATE(C126, ""en"", ""id"")"),"A) Tulang patah karena jatuh atau terinjak, B) Terbakar sinar matahari, C) Dehidrasi, D) Serpihan dari kereta luncur")</f>
        <v>A) Tulang patah karena jatuh atau terinjak, B) Terbakar sinar matahari, C) Dehidrasi, D) Serpihan dari kereta luncur</v>
      </c>
      <c r="J126" s="5" t="str">
        <f>IFERROR(__xludf.DUMMYFUNCTION("GOOGLETRANSLATE(D126, ""en"", ""id"")"),"A) Tulang patah karena jatuh atau terinjak")</f>
        <v>A) Tulang patah karena jatuh atau terinjak</v>
      </c>
      <c r="K126" s="5" t="str">
        <f>IFERROR(__xludf.DUMMYFUNCTION("GOOGLETRANSLATE(E126, ""en"", ""id"")"),"Kecepatan tinggi dan kurangnya perlindungan membuat cedera akibat benturan parah menjadi bahaya terbesar bagi joki.")</f>
        <v>Kecepatan tinggi dan kurangnya perlindungan membuat cedera akibat benturan parah menjadi bahaya terbesar bagi joki.</v>
      </c>
    </row>
    <row r="127">
      <c r="A127" s="3">
        <v>126.0</v>
      </c>
      <c r="B127" s="4" t="s">
        <v>507</v>
      </c>
      <c r="C127" s="6" t="s">
        <v>508</v>
      </c>
      <c r="D127" s="4" t="s">
        <v>509</v>
      </c>
      <c r="E127" s="4" t="s">
        <v>510</v>
      </c>
      <c r="G127" s="5" t="str">
        <f>IFERROR(__xludf.DUMMYFUNCTION("GOOGLETRANSLATE(A127, ""en"", ""id"")"),"126")</f>
        <v>126</v>
      </c>
      <c r="H127" s="5" t="str">
        <f>IFERROR(__xludf.DUMMYFUNCTION("GOOGLETRANSLATE(B127, ""en"", ""id"")"),"Sebuah tim didiskualifikasi karena memiliki joki yang bukan berasal dari Madura. Apa alasan aturan tersebut?")</f>
        <v>Sebuah tim didiskualifikasi karena memiliki joki yang bukan berasal dari Madura. Apa alasan aturan tersebut?</v>
      </c>
      <c r="I127" s="5" t="str">
        <f>IFERROR(__xludf.DUMMYFUNCTION("GOOGLETRANSLATE(C127, ""en"", ""id"")"),"A) Untuk memastikan joki memahami perintah bahasa setempat, B) Untuk melestarikan olahraga ini sebagai warisan budaya Madura, C) Joki dari pulau lain tidak cukup terampil, D) Untuk mencegah mata-mata")</f>
        <v>A) Untuk memastikan joki memahami perintah bahasa setempat, B) Untuk melestarikan olahraga ini sebagai warisan budaya Madura, C) Joki dari pulau lain tidak cukup terampil, D) Untuk mencegah mata-mata</v>
      </c>
      <c r="J127" s="5" t="str">
        <f>IFERROR(__xludf.DUMMYFUNCTION("GOOGLETRANSLATE(D127, ""en"", ""id"")"),"B) Melestarikan olahraga sebagai warisan budaya Madura")</f>
        <v>B) Melestarikan olahraga sebagai warisan budaya Madura</v>
      </c>
      <c r="K127" s="5" t="str">
        <f>IFERROR(__xludf.DUMMYFUNCTION("GOOGLETRANSLATE(E127, ""en"", ""id"")"),"Beberapa acara mungkin memiliki aturan yang dirancang untuk mempertahankan identitas lokal dan tradisional dari kompetisi tersebut.")</f>
        <v>Beberapa acara mungkin memiliki aturan yang dirancang untuk mempertahankan identitas lokal dan tradisional dari kompetisi tersebut.</v>
      </c>
    </row>
    <row r="128">
      <c r="A128" s="3">
        <v>127.0</v>
      </c>
      <c r="B128" s="4" t="s">
        <v>511</v>
      </c>
      <c r="C128" s="6" t="s">
        <v>512</v>
      </c>
      <c r="D128" s="4" t="s">
        <v>513</v>
      </c>
      <c r="E128" s="4" t="s">
        <v>514</v>
      </c>
      <c r="G128" s="5" t="str">
        <f>IFERROR(__xludf.DUMMYFUNCTION("GOOGLETRANSLATE(A128, ""en"", ""id"")"),"127")</f>
        <v>127</v>
      </c>
      <c r="H128" s="5" t="str">
        <f>IFERROR(__xludf.DUMMYFUNCTION("GOOGLETRANSLATE(B128, ""en"", ""id"")"),"Sebelum lomba, seorang pawang menutupi mata banteng dengan kain. Apa tujuannya?")</f>
        <v>Sebelum lomba, seorang pawang menutupi mata banteng dengan kain. Apa tujuannya?</v>
      </c>
      <c r="I128" s="5" t="str">
        <f>IFERROR(__xludf.DUMMYFUNCTION("GOOGLETRANSLATE(C128, ""en"", ""id"")"),"A) Untuk melindungi dari sinar matahari, B) Untuk menjaga banteng tetap tenang dan mencegahnya melihat sinyal awal sebelum waktunya, C) Ini adalah ritual keagamaan, D) Untuk memeriksa kebutaan")</f>
        <v>A) Untuk melindungi dari sinar matahari, B) Untuk menjaga banteng tetap tenang dan mencegahnya melihat sinyal awal sebelum waktunya, C) Ini adalah ritual keagamaan, D) Untuk memeriksa kebutaan</v>
      </c>
      <c r="J128" s="5" t="str">
        <f>IFERROR(__xludf.DUMMYFUNCTION("GOOGLETRANSLATE(D128, ""en"", ""id"")"),"B) Untuk menjaga banteng tetap tenang dan mencegahnya melihat sinyal awal sebelum waktunya")</f>
        <v>B) Untuk menjaga banteng tetap tenang dan mencegahnya melihat sinyal awal sebelum waktunya</v>
      </c>
      <c r="K128" s="5" t="str">
        <f>IFERROR(__xludf.DUMMYFUNCTION("GOOGLETRANSLATE(E128, ""en"", ""id"")"),"Ini adalah teknik untuk mengelola kecemasan banteng dan memfokuskan energinya untuk memulai secara eksplosif tepat pada saat kainnya disingkirkan.")</f>
        <v>Ini adalah teknik untuk mengelola kecemasan banteng dan memfokuskan energinya untuk memulai secara eksplosif tepat pada saat kainnya disingkirkan.</v>
      </c>
    </row>
    <row r="129">
      <c r="A129" s="3">
        <v>128.0</v>
      </c>
      <c r="B129" s="4" t="s">
        <v>515</v>
      </c>
      <c r="C129" s="6" t="s">
        <v>516</v>
      </c>
      <c r="D129" s="4" t="s">
        <v>517</v>
      </c>
      <c r="E129" s="4" t="s">
        <v>518</v>
      </c>
      <c r="G129" s="5" t="str">
        <f>IFERROR(__xludf.DUMMYFUNCTION("GOOGLETRANSLATE(A129, ""en"", ""id"")"),"128")</f>
        <v>128</v>
      </c>
      <c r="H129" s="5" t="str">
        <f>IFERROR(__xludf.DUMMYFUNCTION("GOOGLETRANSLATE(B129, ""en"", ""id"")"),"Apa peran tokang tongko?")</f>
        <v>Apa peran tokang tongko?</v>
      </c>
      <c r="I129" s="5" t="str">
        <f>IFERROR(__xludf.DUMMYFUNCTION("GOOGLETRANSLATE(C129, ""en"", ""id"")"),"A) Dia adalah joki, B) Dia adalah pemilik banteng, C) Dia adalah juri utama, D) Dia adalah pembuat kereta")</f>
        <v>A) Dia adalah joki, B) Dia adalah pemilik banteng, C) Dia adalah juri utama, D) Dia adalah pembuat kereta</v>
      </c>
      <c r="J129" s="5" t="str">
        <f>IFERROR(__xludf.DUMMYFUNCTION("GOOGLETRANSLATE(D129, ""en"", ""id"")"),"A) Dia adalah joki")</f>
        <v>A) Dia adalah joki</v>
      </c>
      <c r="K129" s="5" t="str">
        <f>IFERROR(__xludf.DUMMYFUNCTION("GOOGLETRANSLATE(E129, ""en"", ""id"")"),"Tokang Tongko adalah istilah lokal lain untuk joki Karapan Sapi yang mengemudikan kereta luncur.")</f>
        <v>Tokang Tongko adalah istilah lokal lain untuk joki Karapan Sapi yang mengemudikan kereta luncur.</v>
      </c>
    </row>
    <row r="130">
      <c r="A130" s="3">
        <v>129.0</v>
      </c>
      <c r="B130" s="4" t="s">
        <v>519</v>
      </c>
      <c r="C130" s="6" t="s">
        <v>520</v>
      </c>
      <c r="D130" s="4" t="s">
        <v>521</v>
      </c>
      <c r="E130" s="4" t="s">
        <v>522</v>
      </c>
      <c r="G130" s="5" t="str">
        <f>IFERROR(__xludf.DUMMYFUNCTION("GOOGLETRANSLATE(A130, ""en"", ""id"")"),"129")</f>
        <v>129</v>
      </c>
      <c r="H130" s="5" t="str">
        <f>IFERROR(__xludf.DUMMYFUNCTION("GOOGLETRANSLATE(B130, ""en"", ""id"")"),"Kereta tim dibuat dengan sedikit lengkungan ke atas di bagian depan. Apa tujuan aerodinamisnya?")</f>
        <v>Kereta tim dibuat dengan sedikit lengkungan ke atas di bagian depan. Apa tujuan aerodinamisnya?</v>
      </c>
      <c r="I130" s="5" t="str">
        <f>IFERROR(__xludf.DUMMYFUNCTION("GOOGLETRANSLATE(C130, ""en"", ""id"")"),"A) Untuk menciptakan downforce demi stabilitas, B) Untuk mengurangi hambatan dengan mengangkat bagian depan sedikit pada kecepatan tinggi, C) Agar terlihat lebih elegan, D) Untuk menangkis lumpur")</f>
        <v>A) Untuk menciptakan downforce demi stabilitas, B) Untuk mengurangi hambatan dengan mengangkat bagian depan sedikit pada kecepatan tinggi, C) Agar terlihat lebih elegan, D) Untuk menangkis lumpur</v>
      </c>
      <c r="J130" s="5" t="str">
        <f>IFERROR(__xludf.DUMMYFUNCTION("GOOGLETRANSLATE(D130, ""en"", ""id"")"),"B) Untuk mengurangi hambatan dengan mengangkat bagian depan sedikit pada kecepatan tinggi")</f>
        <v>B) Untuk mengurangi hambatan dengan mengangkat bagian depan sedikit pada kecepatan tinggi</v>
      </c>
      <c r="K130" s="5" t="str">
        <f>IFERROR(__xludf.DUMMYFUNCTION("GOOGLETRANSLATE(E130, ""en"", ""id"")"),"Fitur desain ini dapat membantu kereta luncur meluncur di permukaan lintasan, sehingga mengurangi gesekan.")</f>
        <v>Fitur desain ini dapat membantu kereta luncur meluncur di permukaan lintasan, sehingga mengurangi gesekan.</v>
      </c>
    </row>
    <row r="131">
      <c r="A131" s="3">
        <v>130.0</v>
      </c>
      <c r="B131" s="4" t="s">
        <v>523</v>
      </c>
      <c r="C131" s="6" t="s">
        <v>524</v>
      </c>
      <c r="D131" s="4" t="s">
        <v>525</v>
      </c>
      <c r="E131" s="4" t="s">
        <v>526</v>
      </c>
      <c r="G131" s="5" t="str">
        <f>IFERROR(__xludf.DUMMYFUNCTION("GOOGLETRANSLATE(A131, ""en"", ""id"")"),"130")</f>
        <v>130</v>
      </c>
      <c r="H131" s="5" t="str">
        <f>IFERROR(__xludf.DUMMYFUNCTION("GOOGLETRANSLATE(B131, ""en"", ""id"")"),"Bila seekor banteng terlihat mengeluarkan busa di mulutnya selama perlombaan, itu merupakan tanda kritis apa?")</f>
        <v>Bila seekor banteng terlihat mengeluarkan busa di mulutnya selama perlombaan, itu merupakan tanda kritis apa?</v>
      </c>
      <c r="I131" s="5" t="str">
        <f>IFERROR(__xludf.DUMMYFUNCTION("GOOGLETRANSLATE(C131, ""en"", ""id"")"),"A) Puncak performa atletik, B) Dehidrasi ekstrem dan sengatan panas, C) Agresi, D) Makan makanan yang salah")</f>
        <v>A) Puncak performa atletik, B) Dehidrasi ekstrem dan sengatan panas, C) Agresi, D) Makan makanan yang salah</v>
      </c>
      <c r="J131" s="5" t="str">
        <f>IFERROR(__xludf.DUMMYFUNCTION("GOOGLETRANSLATE(D131, ""en"", ""id"")"),"B) Dehidrasi ekstrem dan sengatan panas")</f>
        <v>B) Dehidrasi ekstrem dan sengatan panas</v>
      </c>
      <c r="K131" s="5" t="str">
        <f>IFERROR(__xludf.DUMMYFUNCTION("GOOGLETRANSLATE(E131, ""en"", ""id"")"),"Berbusa merupakan tanda bahaya yang menunjukkan banteng telah melampaui batas kemampuan normal dan memasuki kondisi tekanan fisik yang parah.")</f>
        <v>Berbusa merupakan tanda bahaya yang menunjukkan banteng telah melampaui batas kemampuan normal dan memasuki kondisi tekanan fisik yang parah.</v>
      </c>
    </row>
    <row r="132">
      <c r="A132" s="3">
        <v>131.0</v>
      </c>
      <c r="B132" s="4" t="s">
        <v>527</v>
      </c>
      <c r="C132" s="6" t="s">
        <v>528</v>
      </c>
      <c r="D132" s="4" t="s">
        <v>529</v>
      </c>
      <c r="E132" s="4" t="s">
        <v>530</v>
      </c>
      <c r="G132" s="5" t="str">
        <f>IFERROR(__xludf.DUMMYFUNCTION("GOOGLETRANSLATE(A132, ""en"", ""id"")"),"131")</f>
        <v>131</v>
      </c>
      <c r="H132" s="5" t="str">
        <f>IFERROR(__xludf.DUMMYFUNCTION("GOOGLETRANSLATE(B132, ""en"", ""id"")"),"Sebuah perlombaan diadakan, tetapi musik Gamelan tradisional tidak ada. Bagaimana hal ini dapat memengaruhi acara tersebut?")</f>
        <v>Sebuah perlombaan diadakan, tetapi musik Gamelan tradisional tidak ada. Bagaimana hal ini dapat memengaruhi acara tersebut?</v>
      </c>
      <c r="I132" s="5" t="str">
        <f>IFERROR(__xludf.DUMMYFUNCTION("GOOGLETRANSLATE(C132, ""en"", ""id"")"),"A) Hal ini tidak akan mempengaruhi, B) Sapi jantan dapat berlari lebih cepat tanpa gangguan, C) Hal ini akan terasa kurang meriah dan tidak lengkap secara budaya bagi masyarakat, D) Para joki akan merasa lebih sulit untuk berkonsentrasi")</f>
        <v>A) Hal ini tidak akan mempengaruhi, B) Sapi jantan dapat berlari lebih cepat tanpa gangguan, C) Hal ini akan terasa kurang meriah dan tidak lengkap secara budaya bagi masyarakat, D) Para joki akan merasa lebih sulit untuk berkonsentrasi</v>
      </c>
      <c r="J132" s="5" t="str">
        <f>IFERROR(__xludf.DUMMYFUNCTION("GOOGLETRANSLATE(D132, ""en"", ""id"")"),"C) Akan terasa kurang meriah dan kurang lengkap secara budaya bagi masyarakat")</f>
        <v>C) Akan terasa kurang meriah dan kurang lengkap secara budaya bagi masyarakat</v>
      </c>
      <c r="K132" s="5" t="str">
        <f>IFERROR(__xludf.DUMMYFUNCTION("GOOGLETRANSLATE(E132, ""en"", ""id"")"),"Musik dianggap sebagai bagian penting dari jiwa acara tersebut, dan ketidakhadirannya akan mengurangi pengalaman budaya.")</f>
        <v>Musik dianggap sebagai bagian penting dari jiwa acara tersebut, dan ketidakhadirannya akan mengurangi pengalaman budaya.</v>
      </c>
    </row>
    <row r="133">
      <c r="A133" s="3">
        <v>132.0</v>
      </c>
      <c r="B133" s="4" t="s">
        <v>531</v>
      </c>
      <c r="C133" s="6" t="s">
        <v>532</v>
      </c>
      <c r="D133" s="4" t="s">
        <v>533</v>
      </c>
      <c r="E133" s="4" t="s">
        <v>534</v>
      </c>
      <c r="G133" s="5" t="str">
        <f>IFERROR(__xludf.DUMMYFUNCTION("GOOGLETRANSLATE(A133, ""en"", ""id"")"),"132")</f>
        <v>132</v>
      </c>
      <c r="H133" s="5" t="str">
        <f>IFERROR(__xludf.DUMMYFUNCTION("GOOGLETRANSLATE(B133, ""en"", ""id"")"),"Apa itu ""Jus Gendong""?")</f>
        <v>Apa itu "Jus Gendong"?</v>
      </c>
      <c r="I133" s="5" t="str">
        <f>IFERROR(__xludf.DUMMYFUNCTION("GOOGLETRANSLATE(C133, ""en"", ""id"")"),"A) Jenis piala kemenangan, B) Minuman herbal berenergi khusus untuk banteng, C) Parade seremonial, D) Gaya mencambuk")</f>
        <v>A) Jenis piala kemenangan, B) Minuman herbal berenergi khusus untuk banteng, C) Parade seremonial, D) Gaya mencambuk</v>
      </c>
      <c r="J133" s="5" t="str">
        <f>IFERROR(__xludf.DUMMYFUNCTION("GOOGLETRANSLATE(D133, ""en"", ""id"")"),"B) Minuman energi herbal khusus untuk banteng")</f>
        <v>B) Minuman energi herbal khusus untuk banteng</v>
      </c>
      <c r="K133" s="5" t="str">
        <f>IFERROR(__xludf.DUMMYFUNCTION("GOOGLETRANSLATE(E133, ""en"", ""id"")"),"Ini adalah bagian dari diet khusus, tonik tradisional yang terbuat dari herbal dan telur yang dipercaya dapat meningkatkan stamina.")</f>
        <v>Ini adalah bagian dari diet khusus, tonik tradisional yang terbuat dari herbal dan telur yang dipercaya dapat meningkatkan stamina.</v>
      </c>
    </row>
    <row r="134">
      <c r="A134" s="3">
        <v>133.0</v>
      </c>
      <c r="B134" s="4" t="s">
        <v>535</v>
      </c>
      <c r="C134" s="6" t="s">
        <v>536</v>
      </c>
      <c r="D134" s="4" t="s">
        <v>537</v>
      </c>
      <c r="E134" s="4" t="s">
        <v>538</v>
      </c>
      <c r="G134" s="5" t="str">
        <f>IFERROR(__xludf.DUMMYFUNCTION("GOOGLETRANSLATE(A134, ""en"", ""id"")"),"133")</f>
        <v>133</v>
      </c>
      <c r="H134" s="5" t="str">
        <f>IFERROR(__xludf.DUMMYFUNCTION("GOOGLETRANSLATE(B134, ""en"", ""id"")"),"Mengapa tanduk banteng sering dihiasi dengan daun emas atau cat?")</f>
        <v>Mengapa tanduk banteng sering dihiasi dengan daun emas atau cat?</v>
      </c>
      <c r="I134" s="5" t="str">
        <f>IFERROR(__xludf.DUMMYFUNCTION("GOOGLETRANSLATE(C134, ""en"", ""id"")"),"A) Untuk membuat mereka lebih berat agar keseimbangannya lebih baik, B) Untuk menunjukkan nilai dan status hewan yang tinggi, C) Untuk membuat mereka lebih terlihat selama perlombaan, D) Untuk melindungi mereka dari kerusakan.")</f>
        <v>A) Untuk membuat mereka lebih berat agar keseimbangannya lebih baik, B) Untuk menunjukkan nilai dan status hewan yang tinggi, C) Untuk membuat mereka lebih terlihat selama perlombaan, D) Untuk melindungi mereka dari kerusakan.</v>
      </c>
      <c r="J134" s="5" t="str">
        <f>IFERROR(__xludf.DUMMYFUNCTION("GOOGLETRANSLATE(D134, ""en"", ""id"")"),"B) Untuk menunjukkan nilai dan status hewan yang tinggi")</f>
        <v>B) Untuk menunjukkan nilai dan status hewan yang tinggi</v>
      </c>
      <c r="K134" s="5" t="str">
        <f>IFERROR(__xludf.DUMMYFUNCTION("GOOGLETRANSLATE(E134, ""en"", ""id"")"),"Penyepuhan pada tanduk merupakan peningkatan kosmetik yang menandakan bahwa banteng adalah hewan berharga dan berkelas juara.")</f>
        <v>Penyepuhan pada tanduk merupakan peningkatan kosmetik yang menandakan bahwa banteng adalah hewan berharga dan berkelas juara.</v>
      </c>
    </row>
    <row r="135">
      <c r="A135" s="3">
        <v>134.0</v>
      </c>
      <c r="B135" s="4" t="s">
        <v>539</v>
      </c>
      <c r="C135" s="6" t="s">
        <v>540</v>
      </c>
      <c r="D135" s="4" t="s">
        <v>541</v>
      </c>
      <c r="E135" s="4" t="s">
        <v>542</v>
      </c>
      <c r="G135" s="5" t="str">
        <f>IFERROR(__xludf.DUMMYFUNCTION("GOOGLETRANSLATE(A135, ""en"", ""id"")"),"134")</f>
        <v>134</v>
      </c>
      <c r="H135" s="5" t="str">
        <f>IFERROR(__xludf.DUMMYFUNCTION("GOOGLETRANSLATE(B135, ""en"", ""id"")"),"Seorang joki menggunakan peluit berirama tertentu untuk memerintah bantengnya. Mengapa ini lebih efektif daripada berteriak?")</f>
        <v>Seorang joki menggunakan peluit berirama tertentu untuk memerintah bantengnya. Mengapa ini lebih efektif daripada berteriak?</v>
      </c>
      <c r="I135" s="5" t="str">
        <f>IFERROR(__xludf.DUMMYFUNCTION("GOOGLETRANSLATE(C135, ""en"", ""id"")"),"A) Peluitnya lebih keras, B) Ini adalah sinyal yang lebih jelas dan lebih konsisten yang dapat dikenali oleh banteng dengan mudah, C) Menggunakan lebih sedikit energi, D) Itu diwajibkan oleh aturan")</f>
        <v>A) Peluitnya lebih keras, B) Ini adalah sinyal yang lebih jelas dan lebih konsisten yang dapat dikenali oleh banteng dengan mudah, C) Menggunakan lebih sedikit energi, D) Itu diwajibkan oleh aturan</v>
      </c>
      <c r="J135" s="5" t="str">
        <f>IFERROR(__xludf.DUMMYFUNCTION("GOOGLETRANSLATE(D135, ""en"", ""id"")"),"B) Ini adalah sinyal yang lebih jelas dan konsisten yang dapat dengan mudah dikenali oleh para bulls")</f>
        <v>B) Ini adalah sinyal yang lebih jelas dan konsisten yang dapat dengan mudah dikenali oleh para bulls</v>
      </c>
      <c r="K135" s="5" t="str">
        <f>IFERROR(__xludf.DUMMYFUNCTION("GOOGLETRANSLATE(E135, ""en"", ""id"")"),"Sinyal akustik yang jelas dapat menembus kebisingan keramaian lebih efektif daripada suara manusia dan memberikan isyarat yang jelas bagi hewan.")</f>
        <v>Sinyal akustik yang jelas dapat menembus kebisingan keramaian lebih efektif daripada suara manusia dan memberikan isyarat yang jelas bagi hewan.</v>
      </c>
    </row>
    <row r="136">
      <c r="A136" s="3">
        <v>135.0</v>
      </c>
      <c r="B136" s="4" t="s">
        <v>543</v>
      </c>
      <c r="C136" s="6" t="s">
        <v>544</v>
      </c>
      <c r="D136" s="4" t="s">
        <v>545</v>
      </c>
      <c r="E136" s="4" t="s">
        <v>546</v>
      </c>
      <c r="G136" s="5" t="str">
        <f>IFERROR(__xludf.DUMMYFUNCTION("GOOGLETRANSLATE(A136, ""en"", ""id"")"),"135")</f>
        <v>135</v>
      </c>
      <c r="H136" s="5" t="str">
        <f>IFERROR(__xludf.DUMMYFUNCTION("GOOGLETRANSLATE(B136, ""en"", ""id"")"),"Apa alasan utama Karapan Sapi belum menjadi olahraga besar internasional?")</f>
        <v>Apa alasan utama Karapan Sapi belum menjadi olahraga besar internasional?</v>
      </c>
      <c r="I136" s="5" t="str">
        <f>IFERROR(__xludf.DUMMYFUNCTION("GOOGLETRANSLATE(C136, ""en"", ""id"")"),"A) Dianggap terlalu berbahaya, B) Spesialisasi banteng yang tinggi dan konteks budaya membuatnya sulit untuk ditiru di tempat lain, C) Tidak ada cukup hadiah uang, D) Aturannya terlalu rumit")</f>
        <v>A) Dianggap terlalu berbahaya, B) Spesialisasi banteng yang tinggi dan konteks budaya membuatnya sulit untuk ditiru di tempat lain, C) Tidak ada cukup hadiah uang, D) Aturannya terlalu rumit</v>
      </c>
      <c r="J136" s="5" t="str">
        <f>IFERROR(__xludf.DUMMYFUNCTION("GOOGLETRANSLATE(D136, ""en"", ""id"")"),"B) Tingginya spesialisasi banteng dan konteks budaya membuat hal ini sulit ditiru di tempat lain")</f>
        <v>B) Tingginya spesialisasi banteng dan konteks budaya membuat hal ini sulit ditiru di tempat lain</v>
      </c>
      <c r="K136" s="5" t="str">
        <f>IFERROR(__xludf.DUMMYFUNCTION("GOOGLETRANSLATE(E136, ""en"", ""id"")"),"Olahraga ini sangat erat kaitannya dengan jenis sapi Madura dan tradisi budayanya, yang tidak mudah untuk diekspor.")</f>
        <v>Olahraga ini sangat erat kaitannya dengan jenis sapi Madura dan tradisi budayanya, yang tidak mudah untuk diekspor.</v>
      </c>
    </row>
    <row r="137">
      <c r="A137" s="3">
        <v>136.0</v>
      </c>
      <c r="B137" s="4" t="s">
        <v>547</v>
      </c>
      <c r="C137" s="6" t="s">
        <v>548</v>
      </c>
      <c r="D137" s="4" t="s">
        <v>549</v>
      </c>
      <c r="E137" s="4" t="s">
        <v>550</v>
      </c>
      <c r="G137" s="5" t="str">
        <f>IFERROR(__xludf.DUMMYFUNCTION("GOOGLETRANSLATE(A137, ""en"", ""id"")"),"136")</f>
        <v>136</v>
      </c>
      <c r="H137" s="5" t="str">
        <f>IFERROR(__xludf.DUMMYFUNCTION("GOOGLETRANSLATE(B137, ""en"", ""id"")"),"Jika suatu tim didiskualifikasi, apakah mereka mendapat kembali biaya pendaftarannya?")</f>
        <v>Jika suatu tim didiskualifikasi, apakah mereka mendapat kembali biaya pendaftarannya?</v>
      </c>
      <c r="I137" s="5" t="str">
        <f>IFERROR(__xludf.DUMMYFUNCTION("GOOGLETRANSLATE(C137, ""en"", ""id"")"),"A) Ya, selalu, B) Hanya jika diskualifikasi karena alasan teknis, C) Tidak, biaya pendaftaran tidak dapat dikembalikan, D) Mereka mendapatkan kembali 50%")</f>
        <v>A) Ya, selalu, B) Hanya jika diskualifikasi karena alasan teknis, C) Tidak, biaya pendaftaran tidak dapat dikembalikan, D) Mereka mendapatkan kembali 50%</v>
      </c>
      <c r="J137" s="5" t="str">
        <f>IFERROR(__xludf.DUMMYFUNCTION("GOOGLETRANSLATE(D137, ""en"", ""id"")"),"C) Tidak, biaya pendaftaran tidak dapat dikembalikan")</f>
        <v>C) Tidak, biaya pendaftaran tidak dapat dikembalikan</v>
      </c>
      <c r="K137" s="5" t="str">
        <f>IFERROR(__xludf.DUMMYFUNCTION("GOOGLETRANSLATE(E137, ""en"", ""id"")"),"Diskualifikasi karena pelanggaran aturan yang dilakukan oleh tim akan mengakibatkan hilangnya biaya pendaftaran.")</f>
        <v>Diskualifikasi karena pelanggaran aturan yang dilakukan oleh tim akan mengakibatkan hilangnya biaya pendaftaran.</v>
      </c>
    </row>
    <row r="138">
      <c r="A138" s="3">
        <v>137.0</v>
      </c>
      <c r="B138" s="4" t="s">
        <v>551</v>
      </c>
      <c r="C138" s="6" t="s">
        <v>552</v>
      </c>
      <c r="D138" s="4" t="s">
        <v>553</v>
      </c>
      <c r="E138" s="4" t="s">
        <v>554</v>
      </c>
      <c r="G138" s="5" t="str">
        <f>IFERROR(__xludf.DUMMYFUNCTION("GOOGLETRANSLATE(A138, ""en"", ""id"")"),"137")</f>
        <v>137</v>
      </c>
      <c r="H138" s="5" t="str">
        <f>IFERROR(__xludf.DUMMYFUNCTION("GOOGLETRANSLATE(B138, ""en"", ""id"")"),"Seekor banteng didiskualifikasi karena ""berhias berlebihan"". Apa artinya ini?")</f>
        <v>Seekor banteng didiskualifikasi karena "berhias berlebihan". Apa artinya ini?</v>
      </c>
      <c r="I138" s="5" t="str">
        <f>IFERROR(__xludf.DUMMYFUNCTION("GOOGLETRANSLATE(C138, ""en"", ""id"")"),"A) Hiasannya tidak tradisional, B) Berat hiasannya melebihi batas yang diperbolehkan, C) Hiasannya berasal dari desa lawan, D) Warna catnya salah")</f>
        <v>A) Hiasannya tidak tradisional, B) Berat hiasannya melebihi batas yang diperbolehkan, C) Hiasannya berasal dari desa lawan, D) Warna catnya salah</v>
      </c>
      <c r="J138" s="5" t="str">
        <f>IFERROR(__xludf.DUMMYFUNCTION("GOOGLETRANSLATE(D138, ""en"", ""id"")"),"B) Berat dekorasi melebihi batas yang diizinkan")</f>
        <v>B) Berat dekorasi melebihi batas yang diizinkan</v>
      </c>
      <c r="K138" s="5" t="str">
        <f>IFERROR(__xludf.DUMMYFUNCTION("GOOGLETRANSLATE(E138, ""en"", ""id"")"),"Untuk memastikan keadilan, sering kali ada aturan yang membatasi berat total dekorasi non-esensial yang dapat dibawa seekor banteng.")</f>
        <v>Untuk memastikan keadilan, sering kali ada aturan yang membatasi berat total dekorasi non-esensial yang dapat dibawa seekor banteng.</v>
      </c>
    </row>
    <row r="139">
      <c r="A139" s="3">
        <v>138.0</v>
      </c>
      <c r="B139" s="4" t="s">
        <v>555</v>
      </c>
      <c r="C139" s="6" t="s">
        <v>556</v>
      </c>
      <c r="D139" s="4" t="s">
        <v>557</v>
      </c>
      <c r="E139" s="4" t="s">
        <v>558</v>
      </c>
      <c r="G139" s="5" t="str">
        <f>IFERROR(__xludf.DUMMYFUNCTION("GOOGLETRANSLATE(A139, ""en"", ""id"")"),"138")</f>
        <v>138</v>
      </c>
      <c r="H139" s="5" t="str">
        <f>IFERROR(__xludf.DUMMYFUNCTION("GOOGLETRANSLATE(B139, ""en"", ""id"")"),"Apa pentingnya lintasan balap yang sering terletak di sawah?")</f>
        <v>Apa pentingnya lintasan balap yang sering terletak di sawah?</v>
      </c>
      <c r="I139" s="5" t="str">
        <f>IFERROR(__xludf.DUMMYFUNCTION("GOOGLETRANSLATE(C139, ""en"", ""id"")"),"A) Ini adalah satu-satunya ruang terbuka yang tersedia, B) Ini menghubungkan olahraga dengan asal usul pertaniannya, C) Lumpur baik untuk kuku banteng, D) A dan B")</f>
        <v>A) Ini adalah satu-satunya ruang terbuka yang tersedia, B) Ini menghubungkan olahraga dengan asal usul pertaniannya, C) Lumpur baik untuk kuku banteng, D) A dan B</v>
      </c>
      <c r="J139" s="5" t="str">
        <f>IFERROR(__xludf.DUMMYFUNCTION("GOOGLETRANSLATE(D139, ""en"", ""id"")"),"D) A dan B")</f>
        <v>D) A dan B</v>
      </c>
      <c r="K139" s="5" t="str">
        <f>IFERROR(__xludf.DUMMYFUNCTION("GOOGLETRANSLATE(E139, ""en"", ""id"")"),"Pemanfaatan sawah bersifat praktis dan simbolis, menghormati akar olahraga ini dalam budaya pertanian.")</f>
        <v>Pemanfaatan sawah bersifat praktis dan simbolis, menghormati akar olahraga ini dalam budaya pertanian.</v>
      </c>
    </row>
    <row r="140">
      <c r="A140" s="3">
        <v>139.0</v>
      </c>
      <c r="B140" s="4" t="s">
        <v>559</v>
      </c>
      <c r="C140" s="6" t="s">
        <v>560</v>
      </c>
      <c r="D140" s="4" t="s">
        <v>561</v>
      </c>
      <c r="E140" s="4" t="s">
        <v>562</v>
      </c>
      <c r="G140" s="5" t="str">
        <f>IFERROR(__xludf.DUMMYFUNCTION("GOOGLETRANSLATE(A140, ""en"", ""id"")"),"139")</f>
        <v>139</v>
      </c>
      <c r="H140" s="5" t="str">
        <f>IFERROR(__xludf.DUMMYFUNCTION("GOOGLETRANSLATE(B140, ""en"", ""id"")"),"Seorang joki terlihat menepuk-nepuk bantengnya dan berbicara dengan tenang setelah balapan. Apa pentingnya hal ini?")</f>
        <v>Seorang joki terlihat menepuk-nepuk bantengnya dan berbicara dengan tenang setelah balapan. Apa pentingnya hal ini?</v>
      </c>
      <c r="I140" s="5" t="str">
        <f>IFERROR(__xludf.DUMMYFUNCTION("GOOGLETRANSLATE(C140, ""en"", ""id"")"),"A) Ini hanya untuk pertunjukan, B) Ini membantu mendinginkan hewan, C) Ini membangun ikatan dan kepercayaan antara joki dan hewannya, D) Ini adalah ritual pasca-perlombaan yang wajib dilakukan")</f>
        <v>A) Ini hanya untuk pertunjukan, B) Ini membantu mendinginkan hewan, C) Ini membangun ikatan dan kepercayaan antara joki dan hewannya, D) Ini adalah ritual pasca-perlombaan yang wajib dilakukan</v>
      </c>
      <c r="J140" s="5" t="str">
        <f>IFERROR(__xludf.DUMMYFUNCTION("GOOGLETRANSLATE(D140, ""en"", ""id"")"),"C) Membangun ikatan dan kepercayaan antara joki dan hewannya")</f>
        <v>C) Membangun ikatan dan kepercayaan antara joki dan hewannya</v>
      </c>
      <c r="K140" s="5" t="str">
        <f>IFERROR(__xludf.DUMMYFUNCTION("GOOGLETRANSLATE(E140, ""en"", ""id"")"),"Hubungan antara joki dan banteng sangat penting; pemeliharaan hewan yang baik dan ikatan yang baik adalah kunci keberhasilan.")</f>
        <v>Hubungan antara joki dan banteng sangat penting; pemeliharaan hewan yang baik dan ikatan yang baik adalah kunci keberhasilan.</v>
      </c>
    </row>
    <row r="141">
      <c r="A141" s="3">
        <v>140.0</v>
      </c>
      <c r="B141" s="4" t="s">
        <v>563</v>
      </c>
      <c r="C141" s="6" t="s">
        <v>564</v>
      </c>
      <c r="D141" s="4" t="s">
        <v>565</v>
      </c>
      <c r="E141" s="4" t="s">
        <v>566</v>
      </c>
      <c r="G141" s="5" t="str">
        <f>IFERROR(__xludf.DUMMYFUNCTION("GOOGLETRANSLATE(A141, ""en"", ""id"")"),"140")</f>
        <v>140</v>
      </c>
      <c r="H141" s="5" t="str">
        <f>IFERROR(__xludf.DUMMYFUNCTION("GOOGLETRANSLATE(B141, ""en"", ""id"")"),"Apa ""roh"" atau filosofi utama di balik Karapan Sapi bagi masyarakat Madura?")</f>
        <v>Apa "roh" atau filosofi utama di balik Karapan Sapi bagi masyarakat Madura?</v>
      </c>
      <c r="I141" s="5" t="str">
        <f>IFERROR(__xludf.DUMMYFUNCTION("GOOGLETRANSLATE(C141, ""en"", ""id"")"),"A) Hanya untuk hiburan semata, B) Merupakan cara untuk menjadi kaya dengan cepat, C) Merupakan ujian gengsi, kehormatan, dan kerja keras (harkat dan martabat), D) Merupakan bentuk protes")</f>
        <v>A) Hanya untuk hiburan semata, B) Merupakan cara untuk menjadi kaya dengan cepat, C) Merupakan ujian gengsi, kehormatan, dan kerja keras (harkat dan martabat), D) Merupakan bentuk protes</v>
      </c>
      <c r="J141" s="5" t="str">
        <f>IFERROR(__xludf.DUMMYFUNCTION("GOOGLETRANSLATE(D141, ""en"", ""id"")"),"C) Merupakan suatu ujian gengsi, kehormatan, dan kerja keras.")</f>
        <v>C) Merupakan suatu ujian gengsi, kehormatan, dan kerja keras.</v>
      </c>
      <c r="K141" s="5" t="str">
        <f>IFERROR(__xludf.DUMMYFUNCTION("GOOGLETRANSLATE(E141, ""en"", ""id"")"),"Olahraga adalah lembaga budaya yang sangat serius yang mencerminkan nilai-nilai masyarakat berupa martabat, kebanggaan, dan usaha keras.")</f>
        <v>Olahraga adalah lembaga budaya yang sangat serius yang mencerminkan nilai-nilai masyarakat berupa martabat, kebanggaan, dan usaha keras.</v>
      </c>
    </row>
    <row r="142">
      <c r="A142" s="3">
        <v>141.0</v>
      </c>
      <c r="B142" s="4" t="s">
        <v>567</v>
      </c>
      <c r="C142" s="6" t="s">
        <v>568</v>
      </c>
      <c r="D142" s="4" t="s">
        <v>569</v>
      </c>
      <c r="E142" s="4" t="s">
        <v>570</v>
      </c>
      <c r="G142" s="5" t="str">
        <f>IFERROR(__xludf.DUMMYFUNCTION("GOOGLETRANSLATE(A142, ""en"", ""id"")"),"141")</f>
        <v>141</v>
      </c>
      <c r="H142" s="5" t="str">
        <f>IFERROR(__xludf.DUMMYFUNCTION("GOOGLETRANSLATE(B142, ""en"", ""id"")"),"Saat tim berlari, musik Gamelan berubah menjadi tempo yang lebih cepat. Apa artinya ini?")</f>
        <v>Saat tim berlari, musik Gamelan berubah menjadi tempo yang lebih cepat. Apa artinya ini?</v>
      </c>
      <c r="I142" s="5" t="str">
        <f>IFERROR(__xludf.DUMMYFUNCTION("GOOGLETRANSLATE(C142, ""en"", ""id"")"),"A) Tim akan didiskualifikasi, B) Ini adalah sinyal bagi joki untuk mempercepat, C) Ini mencerminkan meningkatnya kegembiraan saat tim mendekati garis finis, D) Para musisi melakukan kesalahan")</f>
        <v>A) Tim akan didiskualifikasi, B) Ini adalah sinyal bagi joki untuk mempercepat, C) Ini mencerminkan meningkatnya kegembiraan saat tim mendekati garis finis, D) Para musisi melakukan kesalahan</v>
      </c>
      <c r="J142" s="5" t="str">
        <f>IFERROR(__xludf.DUMMYFUNCTION("GOOGLETRANSLATE(D142, ""en"", ""id"")"),"C) Hal ini mencerminkan meningkatnya kegembiraan saat tim mendekati garis finis")</f>
        <v>C) Hal ini mencerminkan meningkatnya kegembiraan saat tim mendekati garis finis</v>
      </c>
      <c r="K142" s="5" t="str">
        <f>IFERROR(__xludf.DUMMYFUNCTION("GOOGLETRANSLATE(E142, ""en"", ""id"")"),"Musiknya seringkali dinamis dan merespons aksi di lintasan, membangun klimaks kegembiraan dalam balapan.")</f>
        <v>Musiknya seringkali dinamis dan merespons aksi di lintasan, membangun klimaks kegembiraan dalam balapan.</v>
      </c>
    </row>
    <row r="143">
      <c r="A143" s="3">
        <v>142.0</v>
      </c>
      <c r="B143" s="4" t="s">
        <v>571</v>
      </c>
      <c r="C143" s="6" t="s">
        <v>572</v>
      </c>
      <c r="D143" s="4" t="s">
        <v>573</v>
      </c>
      <c r="E143" s="4" t="s">
        <v>574</v>
      </c>
      <c r="G143" s="5" t="str">
        <f>IFERROR(__xludf.DUMMYFUNCTION("GOOGLETRANSLATE(A143, ""en"", ""id"")"),"142")</f>
        <v>142</v>
      </c>
      <c r="H143" s="5" t="str">
        <f>IFERROR(__xludf.DUMMYFUNCTION("GOOGLETRANSLATE(B143, ""en"", ""id"")"),"Bila seekor banteng memiliki reputasi sebagai ""pembalap yang terlambat"", apa implikasinya?")</f>
        <v>Bila seekor banteng memiliki reputasi sebagai "pembalap yang terlambat", apa implikasinya?</v>
      </c>
      <c r="I143" s="5" t="str">
        <f>IFERROR(__xludf.DUMMYFUNCTION("GOOGLETRANSLATE(C143, ""en"", ""id"")"),"A) Staminanya buruk, B) Startnya lambat tapi memiliki lonjakan kecepatan yang kuat di paruh kedua balapan, C) Selalu start terlambat, D) Mudah terganggu")</f>
        <v>A) Staminanya buruk, B) Startnya lambat tapi memiliki lonjakan kecepatan yang kuat di paruh kedua balapan, C) Selalu start terlambat, D) Mudah terganggu</v>
      </c>
      <c r="J143" s="5" t="str">
        <f>IFERROR(__xludf.DUMMYFUNCTION("GOOGLETRANSLATE(D143, ""en"", ""id"")"),"B) Awalnya lambat tetapi memiliki lonjakan kecepatan yang kuat di paruh kedua balapan")</f>
        <v>B) Awalnya lambat tetapi memiliki lonjakan kecepatan yang kuat di paruh kedua balapan</v>
      </c>
      <c r="K143" s="5" t="str">
        <f>IFERROR(__xludf.DUMMYFUNCTION("GOOGLETRANSLATE(E143, ""en"", ""id"")"),"Ini menggambarkan gaya balap di mana banteng menghemat energi di awal dan mengandalkan stamina unggul untuk menyalip lawan menjelang akhir.")</f>
        <v>Ini menggambarkan gaya balap di mana banteng menghemat energi di awal dan mengandalkan stamina unggul untuk menyalip lawan menjelang akhir.</v>
      </c>
    </row>
    <row r="144">
      <c r="A144" s="3">
        <v>143.0</v>
      </c>
      <c r="B144" s="4" t="s">
        <v>575</v>
      </c>
      <c r="C144" s="6" t="s">
        <v>576</v>
      </c>
      <c r="D144" s="4" t="s">
        <v>360</v>
      </c>
      <c r="E144" s="4" t="s">
        <v>577</v>
      </c>
      <c r="G144" s="5" t="str">
        <f>IFERROR(__xludf.DUMMYFUNCTION("GOOGLETRANSLATE(A144, ""en"", ""id"")"),"143")</f>
        <v>143</v>
      </c>
      <c r="H144" s="5" t="str">
        <f>IFERROR(__xludf.DUMMYFUNCTION("GOOGLETRANSLATE(B144, ""en"", ""id"")"),"Sebuah tim didiskualifikasi karena asistennya menggunakan penunjuk laser pada banteng lawan. Mengapa ini pelanggaran serius?")</f>
        <v>Sebuah tim didiskualifikasi karena asistennya menggunakan penunjuk laser pada banteng lawan. Mengapa ini pelanggaran serius?</v>
      </c>
      <c r="I144" s="5" t="str">
        <f>IFERROR(__xludf.DUMMYFUNCTION("GOOGLETRANSLATE(C144, ""en"", ""id"")"),"A) Ini bukan tradisi, B) Ini adalah usaha yang berbahaya dan tidak adil untuk mengalihkan perhatian atau menakut-nakuti hewan lawan, C) Ini bisa merusak sasaran, D) Baik B maupun C")</f>
        <v>A) Ini bukan tradisi, B) Ini adalah usaha yang berbahaya dan tidak adil untuk mengalihkan perhatian atau menakut-nakuti hewan lawan, C) Ini bisa merusak sasaran, D) Baik B maupun C</v>
      </c>
      <c r="J144" s="5" t="str">
        <f>IFERROR(__xludf.DUMMYFUNCTION("GOOGLETRANSLATE(D144, ""en"", ""id"")"),"D) B dan C")</f>
        <v>D) B dan C</v>
      </c>
      <c r="K144" s="5" t="str">
        <f>IFERROR(__xludf.DUMMYFUNCTION("GOOGLETRANSLATE(E144, ""en"", ""id"")"),"Menggunakan perangkat modern untuk mengganggu tim lain secara tidak adil dan berbahaya merupakan pelanggaran besar terhadap sportivitas dan keselamatan.")</f>
        <v>Menggunakan perangkat modern untuk mengganggu tim lain secara tidak adil dan berbahaya merupakan pelanggaran besar terhadap sportivitas dan keselamatan.</v>
      </c>
    </row>
    <row r="145">
      <c r="A145" s="3">
        <v>144.0</v>
      </c>
      <c r="B145" s="4" t="s">
        <v>578</v>
      </c>
      <c r="C145" s="6" t="s">
        <v>579</v>
      </c>
      <c r="D145" s="4" t="s">
        <v>580</v>
      </c>
      <c r="E145" s="4" t="s">
        <v>581</v>
      </c>
      <c r="G145" s="5" t="str">
        <f>IFERROR(__xludf.DUMMYFUNCTION("GOOGLETRANSLATE(A145, ""en"", ""id"")"),"144")</f>
        <v>144</v>
      </c>
      <c r="H145" s="5" t="str">
        <f>IFERROR(__xludf.DUMMYFUNCTION("GOOGLETRANSLATE(B145, ""en"", ""id"")"),"Mengapa biasanya ada kelas kompetisi terpisah (misalnya, Divisi I, II, III)?")</f>
        <v>Mengapa biasanya ada kelas kompetisi terpisah (misalnya, Divisi I, II, III)?</v>
      </c>
      <c r="I145" s="5" t="str">
        <f>IFERROR(__xludf.DUMMYFUNCTION("GOOGLETRANSLATE(C145, ""en"", ""id"")"),"A) Untuk memisahkan banteng berdasarkan warna, B) Untuk mengelompokkan tim dengan kecepatan dan kemampuan yang sama untuk kompetisi yang lebih adil, C) Untuk memisahkan banteng berdasarkan usia, D) Untuk membuat acara lebih lama")</f>
        <v>A) Untuk memisahkan banteng berdasarkan warna, B) Untuk mengelompokkan tim dengan kecepatan dan kemampuan yang sama untuk kompetisi yang lebih adil, C) Untuk memisahkan banteng berdasarkan usia, D) Untuk membuat acara lebih lama</v>
      </c>
      <c r="J145" s="5" t="str">
        <f>IFERROR(__xludf.DUMMYFUNCTION("GOOGLETRANSLATE(D145, ""en"", ""id"")"),"B) Untuk mengelompokkan tim dengan kecepatan dan kemampuan yang sama untuk kompetisi yang lebih adil")</f>
        <v>B) Untuk mengelompokkan tim dengan kecepatan dan kemampuan yang sama untuk kompetisi yang lebih adil</v>
      </c>
      <c r="K145" s="5" t="str">
        <f>IFERROR(__xludf.DUMMYFUNCTION("GOOGLETRANSLATE(E145, ""en"", ""id"")"),"Sistem divisi memastikan bahwa perlombaan bersifat kompetitif dengan mempertandingkan tim-tim yang memiliki tingkat kinerja yang sebanding satu sama lain.")</f>
        <v>Sistem divisi memastikan bahwa perlombaan bersifat kompetitif dengan mempertandingkan tim-tim yang memiliki tingkat kinerja yang sebanding satu sama lain.</v>
      </c>
    </row>
    <row r="146">
      <c r="A146" s="3">
        <v>145.0</v>
      </c>
      <c r="B146" s="4" t="s">
        <v>582</v>
      </c>
      <c r="C146" s="6" t="s">
        <v>583</v>
      </c>
      <c r="D146" s="4" t="s">
        <v>584</v>
      </c>
      <c r="E146" s="4" t="s">
        <v>585</v>
      </c>
      <c r="G146" s="5" t="str">
        <f>IFERROR(__xludf.DUMMYFUNCTION("GOOGLETRANSLATE(A146, ""en"", ""id"")"),"145")</f>
        <v>145</v>
      </c>
      <c r="H146" s="5" t="str">
        <f>IFERROR(__xludf.DUMMYFUNCTION("GOOGLETRANSLATE(B146, ""en"", ""id"")"),"Seekor banteng juara diberi nama seperti ""Bintang Timur"". Apa tujuan nama tersebut?")</f>
        <v>Seekor banteng juara diberi nama seperti "Bintang Timur". Apa tujuan nama tersebut?</v>
      </c>
      <c r="I146" s="5" t="str">
        <f>IFERROR(__xludf.DUMMYFUNCTION("GOOGLETRANSLATE(C146, ""en"", ""id"")"),"A) Merupakan merek dagang terdaftar, B) Memberikan identitas pada banteng dan meningkatkan status legendarisnya, C) Diperlukan untuk taruhan, D) Menjelaskan warna banteng")</f>
        <v>A) Merupakan merek dagang terdaftar, B) Memberikan identitas pada banteng dan meningkatkan status legendarisnya, C) Diperlukan untuk taruhan, D) Menjelaskan warna banteng</v>
      </c>
      <c r="J146" s="5" t="str">
        <f>IFERROR(__xludf.DUMMYFUNCTION("GOOGLETRANSLATE(D146, ""en"", ""id"")"),"B) Memberikan identitas pada banteng dan meningkatkan status legendarisnya")</f>
        <v>B) Memberikan identitas pada banteng dan meningkatkan status legendarisnya</v>
      </c>
      <c r="K146" s="5" t="str">
        <f>IFERROR(__xludf.DUMMYFUNCTION("GOOGLETRANSLATE(E146, ""en"", ""id"")"),"Memberi nama pada banteng juara, seperti halnya pada kuda pacu, akan membangun karakter dan ketenarannya di dalam komunitas.")</f>
        <v>Memberi nama pada banteng juara, seperti halnya pada kuda pacu, akan membangun karakter dan ketenarannya di dalam komunitas.</v>
      </c>
    </row>
    <row r="147">
      <c r="A147" s="3">
        <v>146.0</v>
      </c>
      <c r="B147" s="4" t="s">
        <v>586</v>
      </c>
      <c r="C147" s="6" t="s">
        <v>587</v>
      </c>
      <c r="D147" s="4" t="s">
        <v>588</v>
      </c>
      <c r="E147" s="4" t="s">
        <v>589</v>
      </c>
      <c r="G147" s="5" t="str">
        <f>IFERROR(__xludf.DUMMYFUNCTION("GOOGLETRANSLATE(A147, ""en"", ""id"")"),"146")</f>
        <v>146</v>
      </c>
      <c r="H147" s="5" t="str">
        <f>IFERROR(__xludf.DUMMYFUNCTION("GOOGLETRANSLATE(B147, ""en"", ""id"")"),"Jika lintasan memiliki titik ""basah"" dan titik ""kering"", jalur mana yang kemungkinan besar akan dipilih oleh joki yang terampil?")</f>
        <v>Jika lintasan memiliki titik "basah" dan titik "kering", jalur mana yang kemungkinan besar akan dipilih oleh joki yang terampil?</v>
      </c>
      <c r="I147" s="5" t="str">
        <f>IFERROR(__xludf.DUMMYFUNCTION("GOOGLETRANSLATE(C147, ""en"", ""id"")"),"A) Titik basah untuk cengkeraman yang lebih baik, B) Titik kering untuk mengurangi hambatan dan kecepatan yang lebih tinggi, C) Mereka akan mengincar bagian tengah, D) Tidak ada bedanya")</f>
        <v>A) Titik basah untuk cengkeraman yang lebih baik, B) Titik kering untuk mengurangi hambatan dan kecepatan yang lebih tinggi, C) Mereka akan mengincar bagian tengah, D) Tidak ada bedanya</v>
      </c>
      <c r="J147" s="5" t="str">
        <f>IFERROR(__xludf.DUMMYFUNCTION("GOOGLETRANSLATE(D147, ""en"", ""id"")"),"B) Titik kering untuk mengurangi hambatan dan kecepatan lebih tinggi")</f>
        <v>B) Titik kering untuk mengurangi hambatan dan kecepatan lebih tinggi</v>
      </c>
      <c r="K147" s="5" t="str">
        <f>IFERROR(__xludf.DUMMYFUNCTION("GOOGLETRANSLATE(E147, ""en"", ""id"")"),"Seorang joki dengan kesadaran lintasan yang baik akan selalu mengarahkan bantengnya ke jalur yang paling mudah untuk mempertahankan kecepatan tertinggi.")</f>
        <v>Seorang joki dengan kesadaran lintasan yang baik akan selalu mengarahkan bantengnya ke jalur yang paling mudah untuk mempertahankan kecepatan tertinggi.</v>
      </c>
    </row>
    <row r="148">
      <c r="A148" s="3">
        <v>147.0</v>
      </c>
      <c r="B148" s="4" t="s">
        <v>590</v>
      </c>
      <c r="C148" s="6" t="s">
        <v>591</v>
      </c>
      <c r="D148" s="4" t="s">
        <v>592</v>
      </c>
      <c r="E148" s="4" t="s">
        <v>593</v>
      </c>
      <c r="G148" s="5" t="str">
        <f>IFERROR(__xludf.DUMMYFUNCTION("GOOGLETRANSLATE(A148, ""en"", ""id"")"),"147")</f>
        <v>147</v>
      </c>
      <c r="H148" s="5" t="str">
        <f>IFERROR(__xludf.DUMMYFUNCTION("GOOGLETRANSLATE(B148, ""en"", ""id"")"),"Sebuah tim dikenal karena kereta luncurnya yang luar biasa. Apa yang membuat kereta luncurnya luar biasa?")</f>
        <v>Sebuah tim dikenal karena kereta luncurnya yang luar biasa. Apa yang membuat kereta luncurnya luar biasa?</v>
      </c>
      <c r="I148" s="5" t="str">
        <f>IFERROR(__xludf.DUMMYFUNCTION("GOOGLETRANSLATE(C148, ""en"", ""id"")"),"A) Warnanya, B) Penggunaan kayu langka, sangat ringan dan pengerjaan yang unggul, C) Usianya, D) Dekorasinya")</f>
        <v>A) Warnanya, B) Penggunaan kayu langka, sangat ringan dan pengerjaan yang unggul, C) Usianya, D) Dekorasinya</v>
      </c>
      <c r="J148" s="5" t="str">
        <f>IFERROR(__xludf.DUMMYFUNCTION("GOOGLETRANSLATE(D148, ""en"", ""id"")"),"B) Penggunaan kayu langka, sangat ringan dan pengerjaan yang unggul")</f>
        <v>B) Penggunaan kayu langka, sangat ringan dan pengerjaan yang unggul</v>
      </c>
      <c r="K148" s="5" t="str">
        <f>IFERROR(__xludf.DUMMYFUNCTION("GOOGLETRANSLATE(E148, ""en"", ""id"")"),"Kereta luncur yang dibuat dengan sangat ahli, sangat ringan, dan tahan lama memberikan keunggulan kompetitif yang signifikan.")</f>
        <v>Kereta luncur yang dibuat dengan sangat ahli, sangat ringan, dan tahan lama memberikan keunggulan kompetitif yang signifikan.</v>
      </c>
    </row>
    <row r="149">
      <c r="A149" s="3">
        <v>148.0</v>
      </c>
      <c r="B149" s="4" t="s">
        <v>594</v>
      </c>
      <c r="C149" s="6" t="s">
        <v>595</v>
      </c>
      <c r="D149" s="4" t="s">
        <v>596</v>
      </c>
      <c r="E149" s="4" t="s">
        <v>597</v>
      </c>
      <c r="G149" s="5" t="str">
        <f>IFERROR(__xludf.DUMMYFUNCTION("GOOGLETRANSLATE(A149, ""en"", ""id"")"),"148")</f>
        <v>148</v>
      </c>
      <c r="H149" s="5" t="str">
        <f>IFERROR(__xludf.DUMMYFUNCTION("GOOGLETRANSLATE(B149, ""en"", ""id"")"),"Apa alasan utama mengapa joki Karapan Sapi tidak menggunakan pelana atau bentuk tempat duduk apa pun?")</f>
        <v>Apa alasan utama mengapa joki Karapan Sapi tidak menggunakan pelana atau bentuk tempat duduk apa pun?</v>
      </c>
      <c r="I149" s="5" t="str">
        <f>IFERROR(__xludf.DUMMYFUNCTION("GOOGLETRANSLATE(C149, ""en"", ""id"")"),"A) Pelana terlalu mahal, B) Akan menambah berat badan dan membatasi kemampuan joki untuk menjaga keseimbangan, C) Ini adalah ujian keberanian, D) Sapi jantan tidak cukup kuat")</f>
        <v>A) Pelana terlalu mahal, B) Akan menambah berat badan dan membatasi kemampuan joki untuk menjaga keseimbangan, C) Ini adalah ujian keberanian, D) Sapi jantan tidak cukup kuat</v>
      </c>
      <c r="J149" s="5" t="str">
        <f>IFERROR(__xludf.DUMMYFUNCTION("GOOGLETRANSLATE(D149, ""en"", ""id"")"),"B) Ini akan menambah beban yang terlalu berat dan membatasi kemampuan joki untuk menjaga keseimbangan.")</f>
        <v>B) Ini akan menambah beban yang terlalu berat dan membatasi kemampuan joki untuk menjaga keseimbangan.</v>
      </c>
      <c r="K149" s="5" t="str">
        <f>IFERROR(__xludf.DUMMYFUNCTION("GOOGLETRANSLATE(E149, ""en"", ""id"")"),"Seluruh olahraga ini didasarkan pada bobot yang ringan dan dinamis; pelana akan menambah berat dan mencegah joki melakukan penyesuaian keseimbangan yang penting.")</f>
        <v>Seluruh olahraga ini didasarkan pada bobot yang ringan dan dinamis; pelana akan menambah berat dan mencegah joki melakukan penyesuaian keseimbangan yang penting.</v>
      </c>
    </row>
    <row r="150">
      <c r="A150" s="3">
        <v>149.0</v>
      </c>
      <c r="B150" s="4" t="s">
        <v>598</v>
      </c>
      <c r="C150" s="6" t="s">
        <v>599</v>
      </c>
      <c r="D150" s="4" t="s">
        <v>600</v>
      </c>
      <c r="E150" s="4" t="s">
        <v>601</v>
      </c>
      <c r="G150" s="5" t="str">
        <f>IFERROR(__xludf.DUMMYFUNCTION("GOOGLETRANSLATE(A150, ""en"", ""id"")"),"149")</f>
        <v>149</v>
      </c>
      <c r="H150" s="5" t="str">
        <f>IFERROR(__xludf.DUMMYFUNCTION("GOOGLETRANSLATE(B150, ""en"", ""id"")"),"Sebuah tim didiskualifikasi karena ""mengintimidasi banteng lawan"" sebelum pertandingan dimulai. Apa yang mungkin telah mereka lakukan?")</f>
        <v>Sebuah tim didiskualifikasi karena "mengintimidasi banteng lawan" sebelum pertandingan dimulai. Apa yang mungkin telah mereka lakukan?</v>
      </c>
      <c r="I150" s="5" t="str">
        <f>IFERROR(__xludf.DUMMYFUNCTION("GOOGLETRANSLATE(C150, ""en"", ""id"")"),"A) Menghias banteng mereka sendiri secara agresif, B) Membuat suara keras tiba-tiba di dekat banteng saingan, C) Menatap banteng saingan, D) Memberi makan banteng mereka dengan makanan yang lebih baik")</f>
        <v>A) Menghias banteng mereka sendiri secara agresif, B) Membuat suara keras tiba-tiba di dekat banteng saingan, C) Menatap banteng saingan, D) Memberi makan banteng mereka dengan makanan yang lebih baik</v>
      </c>
      <c r="J150" s="5" t="str">
        <f>IFERROR(__xludf.DUMMYFUNCTION("GOOGLETRANSLATE(D150, ""en"", ""id"")"),"B) Membuat suara keras tiba-tiba di dekat banteng lawan")</f>
        <v>B) Membuat suara keras tiba-tiba di dekat banteng lawan</v>
      </c>
      <c r="K150" s="5" t="str">
        <f>IFERROR(__xludf.DUMMYFUNCTION("GOOGLETRANSLATE(E150, ""en"", ""id"")"),"Tindakan apa pun yang dimaksudkan untuk menakuti atau mengganggu hewan peserta sebelum perlombaan dimulai merupakan tindakan tidak sportif.")</f>
        <v>Tindakan apa pun yang dimaksudkan untuk menakuti atau mengganggu hewan peserta sebelum perlombaan dimulai merupakan tindakan tidak sportif.</v>
      </c>
    </row>
    <row r="151">
      <c r="A151" s="3">
        <v>150.0</v>
      </c>
      <c r="B151" s="4" t="s">
        <v>602</v>
      </c>
      <c r="C151" s="6" t="s">
        <v>603</v>
      </c>
      <c r="D151" s="4" t="s">
        <v>604</v>
      </c>
      <c r="E151" s="4" t="s">
        <v>605</v>
      </c>
      <c r="G151" s="5" t="str">
        <f>IFERROR(__xludf.DUMMYFUNCTION("GOOGLETRANSLATE(A151, ""en"", ""id"")"),"150")</f>
        <v>150</v>
      </c>
      <c r="H151" s="5" t="str">
        <f>IFERROR(__xludf.DUMMYFUNCTION("GOOGLETRANSLATE(B151, ""en"", ""id"")"),"Parade kemenangan terakhir untuk juara musim ini disebut arak-arakan. Apa tujuan utamanya?")</f>
        <v>Parade kemenangan terakhir untuk juara musim ini disebut arak-arakan. Apa tujuan utamanya?</v>
      </c>
      <c r="I151" s="5" t="str">
        <f>IFERROR(__xludf.DUMMYFUNCTION("GOOGLETRANSLATE(C151, ""en"", ""id"")"),"A) Untuk menjual sapi pemenang, B) Untuk memajang secara resmi tim juara dan berbagi kemenangan dengan seluruh masyarakat, C) Untuk menantang desa lain, D) Untuk melaksanakan upacara pemberian hadiah")</f>
        <v>A) Untuk menjual sapi pemenang, B) Untuk memajang secara resmi tim juara dan berbagi kemenangan dengan seluruh masyarakat, C) Untuk menantang desa lain, D) Untuk melaksanakan upacara pemberian hadiah</v>
      </c>
      <c r="J151" s="5" t="str">
        <f>IFERROR(__xludf.DUMMYFUNCTION("GOOGLETRANSLATE(D151, ""en"", ""id"")"),"B) Untuk secara resmi menampilkan tim juara dan berbagi kemenangan dengan seluruh komunitas")</f>
        <v>B) Untuk secara resmi menampilkan tim juara dan berbagi kemenangan dengan seluruh komunitas</v>
      </c>
      <c r="K151" s="5" t="str">
        <f>IFERROR(__xludf.DUMMYFUNCTION("GOOGLETRANSLATE(E151, ""en"", ""id"")"),"Parade ini merupakan puncak musim, sebuah perayaan publik di mana pemilik pemenang dan desanya memamerkan prestise yang diperoleh dengan susah payah.")</f>
        <v>Parade ini merupakan puncak musim, sebuah perayaan publik di mana pemilik pemenang dan desanya memamerkan prestise yang diperoleh dengan susah payah.</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6.88"/>
    <col customWidth="1" min="8" max="11" width="37.63"/>
  </cols>
  <sheetData>
    <row r="1">
      <c r="A1" s="1" t="s">
        <v>0</v>
      </c>
      <c r="B1" s="1" t="s">
        <v>1</v>
      </c>
      <c r="C1" s="1" t="s">
        <v>2</v>
      </c>
      <c r="D1" s="1" t="s">
        <v>3</v>
      </c>
      <c r="E1" s="1" t="s">
        <v>4</v>
      </c>
      <c r="G1" s="2" t="s">
        <v>5</v>
      </c>
      <c r="H1" s="2" t="s">
        <v>6</v>
      </c>
      <c r="I1" s="2" t="s">
        <v>7</v>
      </c>
      <c r="J1" s="2" t="s">
        <v>8</v>
      </c>
      <c r="K1" s="2" t="s">
        <v>9</v>
      </c>
    </row>
    <row r="2">
      <c r="A2" s="3">
        <v>1.0</v>
      </c>
      <c r="B2" s="4" t="s">
        <v>606</v>
      </c>
      <c r="C2" s="4" t="s">
        <v>607</v>
      </c>
      <c r="D2" s="4" t="s">
        <v>608</v>
      </c>
      <c r="E2" s="4" t="s">
        <v>609</v>
      </c>
      <c r="G2" s="5" t="str">
        <f>IFERROR(__xludf.DUMMYFUNCTION("GOOGLETRANSLATE(A2, ""en"", ""id"")"),"1")</f>
        <v>1</v>
      </c>
      <c r="H2" s="5" t="str">
        <f>IFERROR(__xludf.DUMMYFUNCTION("GOOGLETRANSLATE(B2, ""en"", ""id"")"),"Apa saja dua perlengkapan utama yang digunakan oleh seorang petarung (pepadu) dalam pertandingan Peresean?")</f>
        <v>Apa saja dua perlengkapan utama yang digunakan oleh seorang petarung (pepadu) dalam pertandingan Peresean?</v>
      </c>
      <c r="I2" s="5" t="str">
        <f>IFERROR(__xludf.DUMMYFUNCTION("GOOGLETRANSLATE(C2, ""en"", ""id"")"),"A) Pedang dan perisai, B) Tongkat rotan dan perisai, C) Dua tongkat rotan, D) Sarung tangan berlapis dan helm")</f>
        <v>A) Pedang dan perisai, B) Tongkat rotan dan perisai, C) Dua tongkat rotan, D) Sarung tangan berlapis dan helm</v>
      </c>
      <c r="J2" s="5" t="str">
        <f>IFERROR(__xludf.DUMMYFUNCTION("GOOGLETRANSLATE(D2, ""en"", ""id"")"),"B) Tongkat rotan dan perisai")</f>
        <v>B) Tongkat rotan dan perisai</v>
      </c>
      <c r="K2" s="5" t="str">
        <f>IFERROR(__xludf.DUMMYFUNCTION("GOOGLETRANSLATE(E2, ""en"", ""id"")"),"Peralatan tradisional terdiri dari tongkat rotan (penjalin) untuk memukul dan perisai (ende) untuk pertahanan.")</f>
        <v>Peralatan tradisional terdiri dari tongkat rotan (penjalin) untuk memukul dan perisai (ende) untuk pertahanan.</v>
      </c>
    </row>
    <row r="3">
      <c r="A3" s="3">
        <v>2.0</v>
      </c>
      <c r="B3" s="4" t="s">
        <v>610</v>
      </c>
      <c r="C3" s="4" t="s">
        <v>611</v>
      </c>
      <c r="D3" s="4" t="s">
        <v>612</v>
      </c>
      <c r="E3" s="4" t="s">
        <v>613</v>
      </c>
      <c r="G3" s="5" t="str">
        <f>IFERROR(__xludf.DUMMYFUNCTION("GOOGLETRANSLATE(A3, ""en"", ""id"")"),"2")</f>
        <v>2</v>
      </c>
      <c r="H3" s="5" t="str">
        <f>IFERROR(__xludf.DUMMYFUNCTION("GOOGLETRANSLATE(B3, ""en"", ""id"")"),"Dari pulau manakah di Indonesia seni bela diri Peresean berasal?")</f>
        <v>Dari pulau manakah di Indonesia seni bela diri Peresean berasal?</v>
      </c>
      <c r="I3" s="5" t="str">
        <f>IFERROR(__xludf.DUMMYFUNCTION("GOOGLETRANSLATE(C3, ""en"", ""id"")"),"A) Bali, B) Jawa, C) Sumatera, D) Lombok")</f>
        <v>A) Bali, B) Jawa, C) Sumatera, D) Lombok</v>
      </c>
      <c r="J3" s="5" t="str">
        <f>IFERROR(__xludf.DUMMYFUNCTION("GOOGLETRANSLATE(D3, ""en"", ""id"")"),"D) Lombok")</f>
        <v>D) Lombok</v>
      </c>
      <c r="K3" s="5" t="str">
        <f>IFERROR(__xludf.DUMMYFUNCTION("GOOGLETRANSLATE(E3, ""en"", ""id"")"),"Peresean adalah seni bela diri tradisional dan pertarungan ritual yang dipraktikkan oleh masyarakat Sasak di Lombok.")</f>
        <v>Peresean adalah seni bela diri tradisional dan pertarungan ritual yang dipraktikkan oleh masyarakat Sasak di Lombok.</v>
      </c>
    </row>
    <row r="4">
      <c r="A4" s="3">
        <v>3.0</v>
      </c>
      <c r="B4" s="4" t="s">
        <v>614</v>
      </c>
      <c r="C4" s="4" t="s">
        <v>615</v>
      </c>
      <c r="D4" s="4" t="s">
        <v>616</v>
      </c>
      <c r="E4" s="4" t="s">
        <v>617</v>
      </c>
      <c r="G4" s="5" t="str">
        <f>IFERROR(__xludf.DUMMYFUNCTION("GOOGLETRANSLATE(A4, ""en"", ""id"")"),"3")</f>
        <v>3</v>
      </c>
      <c r="H4" s="5" t="str">
        <f>IFERROR(__xludf.DUMMYFUNCTION("GOOGLETRANSLATE(B4, ""en"", ""id"")"),"Dalam pertandingan Peresean, sebuah pukulan telak mendarat di badan lawan. Apa hasil langsungnya?")</f>
        <v>Dalam pertandingan Peresean, sebuah pukulan telak mendarat di badan lawan. Apa hasil langsungnya?</v>
      </c>
      <c r="I4" s="5" t="str">
        <f>IFERROR(__xludf.DUMMYFUNCTION("GOOGLETRANSLATE(C4, ""en"", ""id"")"),"A) Pertandingan berlanjut, B) Poin diberikan kepada penyerang, C) Peringatan dikeluarkan karena penggunaan kekuatan yang berlebihan, D) Babak berakhir")</f>
        <v>A) Pertandingan berlanjut, B) Poin diberikan kepada penyerang, C) Peringatan dikeluarkan karena penggunaan kekuatan yang berlebihan, D) Babak berakhir</v>
      </c>
      <c r="J4" s="5" t="str">
        <f>IFERROR(__xludf.DUMMYFUNCTION("GOOGLETRANSLATE(D4, ""en"", ""id"")"),"B) Poin diberikan kepada penyerang")</f>
        <v>B) Poin diberikan kepada penyerang</v>
      </c>
      <c r="K4" s="5" t="str">
        <f>IFERROR(__xludf.DUMMYFUNCTION("GOOGLETRANSLATE(E4, ""en"", ""id"")"),"Serangan sah ke area target yang sah (dari pinggang hingga bahu) mendapat poin.")</f>
        <v>Serangan sah ke area target yang sah (dari pinggang hingga bahu) mendapat poin.</v>
      </c>
    </row>
    <row r="5">
      <c r="A5" s="3">
        <v>4.0</v>
      </c>
      <c r="B5" s="4" t="s">
        <v>618</v>
      </c>
      <c r="C5" s="4" t="s">
        <v>619</v>
      </c>
      <c r="D5" s="4" t="s">
        <v>620</v>
      </c>
      <c r="E5" s="4" t="s">
        <v>621</v>
      </c>
      <c r="G5" s="5" t="str">
        <f>IFERROR(__xludf.DUMMYFUNCTION("GOOGLETRANSLATE(A5, ""en"", ""id"")"),"4")</f>
        <v>4</v>
      </c>
      <c r="H5" s="5" t="str">
        <f>IFERROR(__xludf.DUMMYFUNCTION("GOOGLETRANSLATE(B5, ""en"", ""id"")"),"Apa hukumnya jika seorang petarung memukul kepala lawannya?")</f>
        <v>Apa hukumnya jika seorang petarung memukul kepala lawannya?</v>
      </c>
      <c r="I5" s="5" t="str">
        <f>IFERROR(__xludf.DUMMYFUNCTION("GOOGLETRANSLATE(C5, ""en"", ""id"")"),"A) Poin diberikan untuk target yang sulit, B) Pukulan tersebut dianggap pelanggaran, C) Pertandingan segera berakhir, D) Poin diulang")</f>
        <v>A) Poin diberikan untuk target yang sulit, B) Pukulan tersebut dianggap pelanggaran, C) Pertandingan segera berakhir, D) Poin diulang</v>
      </c>
      <c r="J5" s="5" t="str">
        <f>IFERROR(__xludf.DUMMYFUNCTION("GOOGLETRANSLATE(D5, ""en"", ""id"")"),"B) Pukulan tersebut dianggap pelanggaran")</f>
        <v>B) Pukulan tersebut dianggap pelanggaran</v>
      </c>
      <c r="K5" s="5" t="str">
        <f>IFERROR(__xludf.DUMMYFUNCTION("GOOGLETRANSLATE(E5, ""en"", ""id"")"),"Pukulan ke kepala dan leher dilarang keras karena alasan keselamatan dan dapat mengakibatkan hukuman.")</f>
        <v>Pukulan ke kepala dan leher dilarang keras karena alasan keselamatan dan dapat mengakibatkan hukuman.</v>
      </c>
    </row>
    <row r="6">
      <c r="A6" s="3">
        <v>5.0</v>
      </c>
      <c r="B6" s="4" t="s">
        <v>622</v>
      </c>
      <c r="C6" s="4" t="s">
        <v>623</v>
      </c>
      <c r="D6" s="4" t="s">
        <v>624</v>
      </c>
      <c r="E6" s="4" t="s">
        <v>625</v>
      </c>
      <c r="G6" s="5" t="str">
        <f>IFERROR(__xludf.DUMMYFUNCTION("GOOGLETRANSLATE(A6, ""en"", ""id"")"),"5")</f>
        <v>5</v>
      </c>
      <c r="H6" s="5" t="str">
        <f>IFERROR(__xludf.DUMMYFUNCTION("GOOGLETRANSLATE(B6, ""en"", ""id"")"),"Seorang petarung mengayunkan tongkat rotannya, tetapi kehilangan keseimbangan dan jatuh ke tanah tanpa tersentuh. Apa hasilnya?")</f>
        <v>Seorang petarung mengayunkan tongkat rotannya, tetapi kehilangan keseimbangan dan jatuh ke tanah tanpa tersentuh. Apa hasilnya?</v>
      </c>
      <c r="I6" s="5" t="str">
        <f>IFERROR(__xludf.DUMMYFUNCTION("GOOGLETRANSLATE(C6, ""en"", ""id"")"),"A) Poin diulang, B) Petarung diberi peringatan, C) Poin diberikan kepada lawan, D) Pertandingan berlanjut tanpa poin yang dicetak")</f>
        <v>A) Poin diulang, B) Petarung diberi peringatan, C) Poin diberikan kepada lawan, D) Pertandingan berlanjut tanpa poin yang dicetak</v>
      </c>
      <c r="J6" s="5" t="str">
        <f>IFERROR(__xludf.DUMMYFUNCTION("GOOGLETRANSLATE(D6, ""en"", ""id"")"),"C) Satu poin diberikan kepada lawan")</f>
        <v>C) Satu poin diberikan kepada lawan</v>
      </c>
      <c r="K6" s="5" t="str">
        <f>IFERROR(__xludf.DUMMYFUNCTION("GOOGLETRANSLATE(E6, ""en"", ""id"")"),"Kehilangan pijakan dan terjatuh dianggap sebagai hilangnya kendali, yang secara otomatis berarti kehilangan satu poin.")</f>
        <v>Kehilangan pijakan dan terjatuh dianggap sebagai hilangnya kendali, yang secara otomatis berarti kehilangan satu poin.</v>
      </c>
    </row>
    <row r="7">
      <c r="A7" s="3">
        <v>6.0</v>
      </c>
      <c r="B7" s="4" t="s">
        <v>626</v>
      </c>
      <c r="C7" s="4" t="s">
        <v>627</v>
      </c>
      <c r="D7" s="4" t="s">
        <v>620</v>
      </c>
      <c r="E7" s="4" t="s">
        <v>628</v>
      </c>
      <c r="G7" s="5" t="str">
        <f>IFERROR(__xludf.DUMMYFUNCTION("GOOGLETRANSLATE(A7, ""en"", ""id"")"),"6")</f>
        <v>6</v>
      </c>
      <c r="H7" s="5" t="str">
        <f>IFERROR(__xludf.DUMMYFUNCTION("GOOGLETRANSLATE(B7, ""en"", ""id"")"),"Seorang petarung mendaratkan serangan di kaki lawan, di bawah lutut. Bagaimana tindakan ini dinilai?")</f>
        <v>Seorang petarung mendaratkan serangan di kaki lawan, di bawah lutut. Bagaimana tindakan ini dinilai?</v>
      </c>
      <c r="I7" s="5" t="str">
        <f>IFERROR(__xludf.DUMMYFUNCTION("GOOGLETRANSLATE(C7, ""en"", ""id"")"),"A) Poin diberikan, B) Pukulan tersebut dianggap pelanggaran, C) Sah jika tidak disengaja, D) Tidak ada poin yang diberikan, tetapi pertandingan tetap berlanjut")</f>
        <v>A) Poin diberikan, B) Pukulan tersebut dianggap pelanggaran, C) Sah jika tidak disengaja, D) Tidak ada poin yang diberikan, tetapi pertandingan tetap berlanjut</v>
      </c>
      <c r="J7" s="5" t="str">
        <f>IFERROR(__xludf.DUMMYFUNCTION("GOOGLETRANSLATE(D7, ""en"", ""id"")"),"B) Pukulan tersebut dianggap pelanggaran")</f>
        <v>B) Pukulan tersebut dianggap pelanggaran</v>
      </c>
      <c r="K7" s="5" t="str">
        <f>IFERROR(__xludf.DUMMYFUNCTION("GOOGLETRANSLATE(E7, ""en"", ""id"")"),"Semua serangan harus diarahkan ke tubuh dari pinggang ke atas. Memukul kaki adalah tindakan ilegal.")</f>
        <v>Semua serangan harus diarahkan ke tubuh dari pinggang ke atas. Memukul kaki adalah tindakan ilegal.</v>
      </c>
    </row>
    <row r="8">
      <c r="A8" s="3">
        <v>7.0</v>
      </c>
      <c r="B8" s="4" t="s">
        <v>629</v>
      </c>
      <c r="C8" s="4" t="s">
        <v>630</v>
      </c>
      <c r="D8" s="4" t="s">
        <v>631</v>
      </c>
      <c r="E8" s="4" t="s">
        <v>632</v>
      </c>
      <c r="G8" s="5" t="str">
        <f>IFERROR(__xludf.DUMMYFUNCTION("GOOGLETRANSLATE(A8, ""en"", ""id"")"),"7")</f>
        <v>7</v>
      </c>
      <c r="H8" s="5" t="str">
        <f>IFERROR(__xludf.DUMMYFUNCTION("GOOGLETRANSLATE(B8, ""en"", ""id"")"),"Selama pertukaran, seorang petarung melangkah sepenuhnya ke luar lingkaran pertarungan (arena) yang ditentukan. Apa keputusannya?")</f>
        <v>Selama pertukaran, seorang petarung melangkah sepenuhnya ke luar lingkaran pertarungan (arena) yang ditentukan. Apa keputusannya?</v>
      </c>
      <c r="I8" s="5" t="str">
        <f>IFERROR(__xludf.DUMMYFUNCTION("GOOGLETRANSLATE(C8, ""en"", ""id"")"),"A) Petarung diberi peringatan, B) Poin diberikan kepada lawan, C) Ronde dihentikan dan direset, D) Petarung dapat kembali maju tanpa penalti")</f>
        <v>A) Petarung diberi peringatan, B) Poin diberikan kepada lawan, C) Ronde dihentikan dan direset, D) Petarung dapat kembali maju tanpa penalti</v>
      </c>
      <c r="J8" s="5" t="str">
        <f>IFERROR(__xludf.DUMMYFUNCTION("GOOGLETRANSLATE(D8, ""en"", ""id"")"),"B) Satu poin diberikan kepada lawan")</f>
        <v>B) Satu poin diberikan kepada lawan</v>
      </c>
      <c r="K8" s="5" t="str">
        <f>IFERROR(__xludf.DUMMYFUNCTION("GOOGLETRANSLATE(E8, ""en"", ""id"")"),"Meninggalkan arena selama pertarungan akan memberikan poin otomatis bagi petarung yang tetap berada di dalam.")</f>
        <v>Meninggalkan arena selama pertarungan akan memberikan poin otomatis bagi petarung yang tetap berada di dalam.</v>
      </c>
    </row>
    <row r="9">
      <c r="A9" s="3">
        <v>8.0</v>
      </c>
      <c r="B9" s="4" t="s">
        <v>633</v>
      </c>
      <c r="C9" s="4" t="s">
        <v>634</v>
      </c>
      <c r="D9" s="4" t="s">
        <v>635</v>
      </c>
      <c r="E9" s="4" t="s">
        <v>636</v>
      </c>
      <c r="G9" s="5" t="str">
        <f>IFERROR(__xludf.DUMMYFUNCTION("GOOGLETRANSLATE(A9, ""en"", ""id"")"),"8")</f>
        <v>8</v>
      </c>
      <c r="H9" s="5" t="str">
        <f>IFERROR(__xludf.DUMMYFUNCTION("GOOGLETRANSLATE(B9, ""en"", ""id"")"),"Setelah wasit (pakembar) memanggil ""berhenti"" untuk mengakhiri ronde, seorang petarung melancarkan satu pukulan lagi. Apa konsekuensinya?")</f>
        <v>Setelah wasit (pakembar) memanggil "berhenti" untuk mengakhiri ronde, seorang petarung melancarkan satu pukulan lagi. Apa konsekuensinya?</v>
      </c>
      <c r="I9" s="5" t="str">
        <f>IFERROR(__xludf.DUMMYFUNCTION("GOOGLETRANSLATE(C9, ""en"", ""id"")"),"A) Pukulan dihitung jika mendarat, B) Poin dari ronde tersebut diulang, C) Tindakan tersebut adalah pelanggaran dan petarung dihukum, D) Wasit mengabaikannya")</f>
        <v>A) Pukulan dihitung jika mendarat, B) Poin dari ronde tersebut diulang, C) Tindakan tersebut adalah pelanggaran dan petarung dihukum, D) Wasit mengabaikannya</v>
      </c>
      <c r="J9" s="5" t="str">
        <f>IFERROR(__xludf.DUMMYFUNCTION("GOOGLETRANSLATE(D9, ""en"", ""id"")"),"C) Tindakan tersebut merupakan pelanggaran dan petarung tersebut mendapat hukuman")</f>
        <v>C) Tindakan tersebut merupakan pelanggaran dan petarung tersebut mendapat hukuman</v>
      </c>
      <c r="K9" s="5" t="str">
        <f>IFERROR(__xludf.DUMMYFUNCTION("GOOGLETRANSLATE(E9, ""en"", ""id"")"),"Serangan apa pun yang dilakukan setelah sinyal resmi untuk berhenti merupakan pelanggaran serius terhadap aturan.")</f>
        <v>Serangan apa pun yang dilakukan setelah sinyal resmi untuk berhenti merupakan pelanggaran serius terhadap aturan.</v>
      </c>
    </row>
    <row r="10">
      <c r="A10" s="3">
        <v>9.0</v>
      </c>
      <c r="B10" s="4" t="s">
        <v>637</v>
      </c>
      <c r="C10" s="4" t="s">
        <v>638</v>
      </c>
      <c r="D10" s="4" t="s">
        <v>639</v>
      </c>
      <c r="E10" s="4" t="s">
        <v>640</v>
      </c>
      <c r="G10" s="5" t="str">
        <f>IFERROR(__xludf.DUMMYFUNCTION("GOOGLETRANSLATE(A10, ""en"", ""id"")"),"9")</f>
        <v>9</v>
      </c>
      <c r="H10" s="5" t="str">
        <f>IFERROR(__xludf.DUMMYFUNCTION("GOOGLETRANSLATE(B10, ""en"", ""id"")"),"Seorang petarung berhasil menangkis serangan dengan perisainya dan langsung mendaratkan serangan balik yang tepat ke bahu lawan. Apa hasilnya?")</f>
        <v>Seorang petarung berhasil menangkis serangan dengan perisainya dan langsung mendaratkan serangan balik yang tepat ke bahu lawan. Apa hasilnya?</v>
      </c>
      <c r="I10" s="5" t="str">
        <f>IFERROR(__xludf.DUMMYFUNCTION("GOOGLETRANSLATE(C10, ""en"", ""id"")"),"A) Tidak ada poin, karena merupakan gerakan bertahan, B) Poin diberikan untuk serangan balik yang berhasil, C) Poin diulang, D) Poin diberikan untuk blok saja")</f>
        <v>A) Tidak ada poin, karena merupakan gerakan bertahan, B) Poin diberikan untuk serangan balik yang berhasil, C) Poin diulang, D) Poin diberikan untuk blok saja</v>
      </c>
      <c r="J10" s="5" t="str">
        <f>IFERROR(__xludf.DUMMYFUNCTION("GOOGLETRANSLATE(D10, ""en"", ""id"")"),"B) Poin diberikan untuk serangan balik yang berhasil")</f>
        <v>B) Poin diberikan untuk serangan balik yang berhasil</v>
      </c>
      <c r="K10" s="5" t="str">
        <f>IFERROR(__xludf.DUMMYFUNCTION("GOOGLETRANSLATE(E10, ""en"", ""id"")"),"Pertahanan yang berhasil diikuti dengan serangan balik yang bersih dan langsung adalah cara klasik untuk mencetak poin.")</f>
        <v>Pertahanan yang berhasil diikuti dengan serangan balik yang bersih dan langsung adalah cara klasik untuk mencetak poin.</v>
      </c>
    </row>
    <row r="11">
      <c r="A11" s="3">
        <v>10.0</v>
      </c>
      <c r="B11" s="4" t="s">
        <v>641</v>
      </c>
      <c r="C11" s="4" t="s">
        <v>642</v>
      </c>
      <c r="D11" s="4" t="s">
        <v>643</v>
      </c>
      <c r="E11" s="4" t="s">
        <v>644</v>
      </c>
      <c r="G11" s="5" t="str">
        <f>IFERROR(__xludf.DUMMYFUNCTION("GOOGLETRANSLATE(A11, ""en"", ""id"")"),"10")</f>
        <v>10</v>
      </c>
      <c r="H11" s="5" t="str">
        <f>IFERROR(__xludf.DUMMYFUNCTION("GOOGLETRANSLATE(B11, ""en"", ""id"")"),"Saat bertanding, tongkat rotan seorang petarung patah. Bagaimana prosedur yang benar?")</f>
        <v>Saat bertanding, tongkat rotan seorang petarung patah. Bagaimana prosedur yang benar?</v>
      </c>
      <c r="I11" s="5" t="str">
        <f>IFERROR(__xludf.DUMMYFUNCTION("GOOGLETRANSLATE(C11, ""en"", ""id"")"),"A) Petarung didiskualifikasi, B) Petarung harus melanjutkan pertandingan tanpa tongkat, C) Pertandingan dihentikan sementara untuk memberikan kesempatan tongkat pengganti, D) Satu poin diberikan kepada lawan")</f>
        <v>A) Petarung didiskualifikasi, B) Petarung harus melanjutkan pertandingan tanpa tongkat, C) Pertandingan dihentikan sementara untuk memberikan kesempatan tongkat pengganti, D) Satu poin diberikan kepada lawan</v>
      </c>
      <c r="J11" s="5" t="str">
        <f>IFERROR(__xludf.DUMMYFUNCTION("GOOGLETRANSLATE(D11, ""en"", ""id"")"),"C) Pertandingan dihentikan sementara untuk memberi kesempatan kepada tongkat pengganti")</f>
        <v>C) Pertandingan dihentikan sementara untuk memberi kesempatan kepada tongkat pengganti</v>
      </c>
      <c r="K11" s="5" t="str">
        <f>IFERROR(__xludf.DUMMYFUNCTION("GOOGLETRANSLATE(E11, ""en"", ""id"")"),"Jika peralatan rusak, wasit akan menghentikan pertarungan sementara untuk memastikan petarung dilengkapi dengan peralatan yang tepat.")</f>
        <v>Jika peralatan rusak, wasit akan menghentikan pertarungan sementara untuk memastikan petarung dilengkapi dengan peralatan yang tepat.</v>
      </c>
    </row>
    <row r="12">
      <c r="A12" s="3">
        <v>11.0</v>
      </c>
      <c r="B12" s="4" t="s">
        <v>645</v>
      </c>
      <c r="C12" s="4" t="s">
        <v>646</v>
      </c>
      <c r="D12" s="4" t="s">
        <v>647</v>
      </c>
      <c r="E12" s="4" t="s">
        <v>648</v>
      </c>
      <c r="G12" s="5" t="str">
        <f>IFERROR(__xludf.DUMMYFUNCTION("GOOGLETRANSLATE(A12, ""en"", ""id"")"),"11")</f>
        <v>11</v>
      </c>
      <c r="H12" s="5" t="str">
        <f>IFERROR(__xludf.DUMMYFUNCTION("GOOGLETRANSLATE(B12, ""en"", ""id"")"),"Perisai tradisional (ende) yang digunakan dalam Peresean biasanya terbuat dari bahan apa?")</f>
        <v>Perisai tradisional (ende) yang digunakan dalam Peresean biasanya terbuat dari bahan apa?</v>
      </c>
      <c r="I12" s="5" t="str">
        <f>IFERROR(__xludf.DUMMYFUNCTION("GOOGLETRANSLATE(C12, ""en"", ""id"")"),"A) Kayu, B) Logam, C) Kulit kerbau atau sapi kering yang tebal, D) Rotan anyaman")</f>
        <v>A) Kayu, B) Logam, C) Kulit kerbau atau sapi kering yang tebal, D) Rotan anyaman</v>
      </c>
      <c r="J12" s="5" t="str">
        <f>IFERROR(__xludf.DUMMYFUNCTION("GOOGLETRANSLATE(D12, ""en"", ""id"")"),"C) Kulit kerbau atau sapi yang tebal dan kering")</f>
        <v>C) Kulit kerbau atau sapi yang tebal dan kering</v>
      </c>
      <c r="K12" s="5" t="str">
        <f>IFERROR(__xludf.DUMMYFUNCTION("GOOGLETRANSLATE(E12, ""en"", ""id"")"),"Ende adalah perisai kuat dan tahan lama yang terbuat dari kulit binatang yang dikeraskan, dirancang untuk menahan benturan tongkat rotan.")</f>
        <v>Ende adalah perisai kuat dan tahan lama yang terbuat dari kulit binatang yang dikeraskan, dirancang untuk menahan benturan tongkat rotan.</v>
      </c>
    </row>
    <row r="13">
      <c r="A13" s="3">
        <v>12.0</v>
      </c>
      <c r="B13" s="4" t="s">
        <v>649</v>
      </c>
      <c r="C13" s="4" t="s">
        <v>650</v>
      </c>
      <c r="D13" s="4" t="s">
        <v>651</v>
      </c>
      <c r="E13" s="4" t="s">
        <v>652</v>
      </c>
      <c r="G13" s="5" t="str">
        <f>IFERROR(__xludf.DUMMYFUNCTION("GOOGLETRANSLATE(A13, ""en"", ""id"")"),"12")</f>
        <v>12</v>
      </c>
      <c r="H13" s="5" t="str">
        <f>IFERROR(__xludf.DUMMYFUNCTION("GOOGLETRANSLATE(B13, ""en"", ""id"")"),"Apa tujuan atau asal usul Peresean secara tradisional?")</f>
        <v>Apa tujuan atau asal usul Peresean secara tradisional?</v>
      </c>
      <c r="I13" s="5" t="str">
        <f>IFERROR(__xludf.DUMMYFUNCTION("GOOGLETRANSLATE(C13, ""en"", ""id"")"),"A) Suatu bentuk tarian, B) Suatu upacara keagamaan, C) Suatu bentuk pelatihan perang pra-kolonial bagi para prajurit Sasak, D) Suatu permainan yang dimainkan oleh anak-anak")</f>
        <v>A) Suatu bentuk tarian, B) Suatu upacara keagamaan, C) Suatu bentuk pelatihan perang pra-kolonial bagi para prajurit Sasak, D) Suatu permainan yang dimainkan oleh anak-anak</v>
      </c>
      <c r="J13" s="5" t="str">
        <f>IFERROR(__xludf.DUMMYFUNCTION("GOOGLETRANSLATE(D13, ""en"", ""id"")"),"C) Suatu bentuk pelatihan perang pra-kolonial bagi para prajurit Sasak")</f>
        <v>C) Suatu bentuk pelatihan perang pra-kolonial bagi para prajurit Sasak</v>
      </c>
      <c r="K13" s="5" t="str">
        <f>IFERROR(__xludf.DUMMYFUNCTION("GOOGLETRANSLATE(E13, ""en"", ""id"")"),"Peresean bermula sebagai cara bagi para lelaki Sasak untuk melatih keterampilan tempur, keberanian, dan ketangkasan dalam berperang.")</f>
        <v>Peresean bermula sebagai cara bagi para lelaki Sasak untuk melatih keterampilan tempur, keberanian, dan ketangkasan dalam berperang.</v>
      </c>
    </row>
    <row r="14">
      <c r="A14" s="3">
        <v>13.0</v>
      </c>
      <c r="B14" s="4" t="s">
        <v>653</v>
      </c>
      <c r="C14" s="4" t="s">
        <v>654</v>
      </c>
      <c r="D14" s="4" t="s">
        <v>616</v>
      </c>
      <c r="E14" s="4" t="s">
        <v>655</v>
      </c>
      <c r="G14" s="5" t="str">
        <f>IFERROR(__xludf.DUMMYFUNCTION("GOOGLETRANSLATE(A14, ""en"", ""id"")"),"13")</f>
        <v>13</v>
      </c>
      <c r="H14" s="5" t="str">
        <f>IFERROR(__xludf.DUMMYFUNCTION("GOOGLETRANSLATE(B14, ""en"", ""id"")"),"Seorang petarung dilucuti senjatanya, dan tongkatnya terlepas dari tangannya akibat pukulan yang sah. Apa putusannya?")</f>
        <v>Seorang petarung dilucuti senjatanya, dan tongkatnya terlepas dari tangannya akibat pukulan yang sah. Apa putusannya?</v>
      </c>
      <c r="I14" s="5" t="str">
        <f>IFERROR(__xludf.DUMMYFUNCTION("GOOGLETRANSLATE(C14, ""en"", ""id"")"),"A) Pertandingan dihentikan sementara agar mereka dapat mengambilnya kembali, B) Poin diberikan kepada penyerang, C) Petarung dapat melanjutkan pertandingan hanya dengan perisai mereka, D) Pelanggaran dilakukan pada penyerang karena penggunaan kekuatan yan"&amp;"g berlebihan")</f>
        <v>A) Pertandingan dihentikan sementara agar mereka dapat mengambilnya kembali, B) Poin diberikan kepada penyerang, C) Petarung dapat melanjutkan pertandingan hanya dengan perisai mereka, D) Pelanggaran dilakukan pada penyerang karena penggunaan kekuatan yang berlebihan</v>
      </c>
      <c r="J14" s="5" t="str">
        <f>IFERROR(__xludf.DUMMYFUNCTION("GOOGLETRANSLATE(D14, ""en"", ""id"")"),"B) Poin diberikan kepada penyerang")</f>
        <v>B) Poin diberikan kepada penyerang</v>
      </c>
      <c r="K14" s="5" t="str">
        <f>IFERROR(__xludf.DUMMYFUNCTION("GOOGLETRANSLATE(E14, ""en"", ""id"")"),"Berhasil melucuti senjata lawan dengan serangan yang sah adalah cara yang jelas untuk memenangkan poin.")</f>
        <v>Berhasil melucuti senjata lawan dengan serangan yang sah adalah cara yang jelas untuk memenangkan poin.</v>
      </c>
    </row>
    <row r="15">
      <c r="A15" s="3">
        <v>14.0</v>
      </c>
      <c r="B15" s="4" t="s">
        <v>656</v>
      </c>
      <c r="C15" s="4" t="s">
        <v>657</v>
      </c>
      <c r="D15" s="4" t="s">
        <v>658</v>
      </c>
      <c r="E15" s="4" t="s">
        <v>659</v>
      </c>
      <c r="G15" s="5" t="str">
        <f>IFERROR(__xludf.DUMMYFUNCTION("GOOGLETRANSLATE(A15, ""en"", ""id"")"),"14")</f>
        <v>14</v>
      </c>
      <c r="H15" s="5" t="str">
        <f>IFERROR(__xludf.DUMMYFUNCTION("GOOGLETRANSLATE(B15, ""en"", ""id"")"),"Apa peran musik Gamelan yang dimainkan saat pertandingan Peresean?")</f>
        <v>Apa peran musik Gamelan yang dimainkan saat pertandingan Peresean?</v>
      </c>
      <c r="I15" s="5" t="str">
        <f>IFERROR(__xludf.DUMMYFUNCTION("GOOGLETRANSLATE(C15, ""en"", ""id"")"),"A) Untuk memberi tanda pemenang, B) Untuk mengalihkan perhatian para petarung, C) Untuk mengatur tempo pertarungan dan memberi energi pada peserta dan penonton, D) Itu hanya hiburan latar belakang")</f>
        <v>A) Untuk memberi tanda pemenang, B) Untuk mengalihkan perhatian para petarung, C) Untuk mengatur tempo pertarungan dan memberi energi pada peserta dan penonton, D) Itu hanya hiburan latar belakang</v>
      </c>
      <c r="J15" s="5" t="str">
        <f>IFERROR(__xludf.DUMMYFUNCTION("GOOGLETRANSLATE(D15, ""en"", ""id"")"),"C) Untuk mengatur tempo pertarungan dan memberi energi pada peserta dan penonton")</f>
        <v>C) Untuk mengatur tempo pertarungan dan memberi energi pada peserta dan penonton</v>
      </c>
      <c r="K15" s="5" t="str">
        <f>IFERROR(__xludf.DUMMYFUNCTION("GOOGLETRANSLATE(E15, ""en"", ""id"")"),"Musik merupakan bagian yang tak terpisahkan dari pertandingan, dengan iramanya yang sering menentukan kecepatan aksi dan membangun kegembiraan.")</f>
        <v>Musik merupakan bagian yang tak terpisahkan dari pertandingan, dengan iramanya yang sering menentukan kecepatan aksi dan membangun kegembiraan.</v>
      </c>
    </row>
    <row r="16">
      <c r="A16" s="3">
        <v>15.0</v>
      </c>
      <c r="B16" s="4" t="s">
        <v>660</v>
      </c>
      <c r="C16" s="4" t="s">
        <v>661</v>
      </c>
      <c r="D16" s="4" t="s">
        <v>662</v>
      </c>
      <c r="E16" s="4" t="s">
        <v>663</v>
      </c>
      <c r="G16" s="5" t="str">
        <f>IFERROR(__xludf.DUMMYFUNCTION("GOOGLETRANSLATE(A16, ""en"", ""id"")"),"15")</f>
        <v>15</v>
      </c>
      <c r="H16" s="5" t="str">
        <f>IFERROR(__xludf.DUMMYFUNCTION("GOOGLETRANSLATE(B16, ""en"", ""id"")"),"Seorang petarung mendorong lawannya dengan perisai, alih-alih menyerang dengan rotan. Bagaimana tindakan ini dinilai?")</f>
        <v>Seorang petarung mendorong lawannya dengan perisai, alih-alih menyerang dengan rotan. Bagaimana tindakan ini dinilai?</v>
      </c>
      <c r="I16" s="5" t="str">
        <f>IFERROR(__xludf.DUMMYFUNCTION("GOOGLETRANSLATE(C16, ""en"", ""id"")"),"A) Ini adalah gerakan bertahan yang cerdas, B) Poin diberikan untuk agresi, C) Ini adalah pelanggaran karena penggunaan perisai secara ilegal, D) Pertandingan berlanjut tanpa panggilan")</f>
        <v>A) Ini adalah gerakan bertahan yang cerdas, B) Poin diberikan untuk agresi, C) Ini adalah pelanggaran karena penggunaan perisai secara ilegal, D) Pertandingan berlanjut tanpa panggilan</v>
      </c>
      <c r="J16" s="5" t="str">
        <f>IFERROR(__xludf.DUMMYFUNCTION("GOOGLETRANSLATE(D16, ""en"", ""id"")"),"C) Merupakan pelanggaran karena menggunakan perisai secara ilegal")</f>
        <v>C) Merupakan pelanggaran karena menggunakan perisai secara ilegal</v>
      </c>
      <c r="K16" s="5" t="str">
        <f>IFERROR(__xludf.DUMMYFUNCTION("GOOGLETRANSLATE(E16, ""en"", ""id"")"),"Perisai hanya untuk menangkis. Dilarang menggunakannya untuk mendorong atau menjegal lawan.")</f>
        <v>Perisai hanya untuk menangkis. Dilarang menggunakannya untuk mendorong atau menjegal lawan.</v>
      </c>
    </row>
    <row r="17">
      <c r="A17" s="3">
        <v>16.0</v>
      </c>
      <c r="B17" s="4" t="s">
        <v>664</v>
      </c>
      <c r="C17" s="4" t="s">
        <v>665</v>
      </c>
      <c r="D17" s="4" t="s">
        <v>666</v>
      </c>
      <c r="E17" s="4" t="s">
        <v>667</v>
      </c>
      <c r="G17" s="5" t="str">
        <f>IFERROR(__xludf.DUMMYFUNCTION("GOOGLETRANSLATE(A17, ""en"", ""id"")"),"16")</f>
        <v>16</v>
      </c>
      <c r="H17" s="5" t="str">
        <f>IFERROR(__xludf.DUMMYFUNCTION("GOOGLETRANSLATE(B17, ""en"", ""id"")"),"Istilah pepadu merujuk kepada siapa dalam konteks Peresean?")</f>
        <v>Istilah pepadu merujuk kepada siapa dalam konteks Peresean?</v>
      </c>
      <c r="I17" s="5" t="str">
        <f>IFERROR(__xludf.DUMMYFUNCTION("GOOGLETRANSLATE(C17, ""en"", ""id"")"),"A) Wasit, B) Petarung atau prajurit, C) Musisi, D) Juara desa")</f>
        <v>A) Wasit, B) Petarung atau prajurit, C) Musisi, D) Juara desa</v>
      </c>
      <c r="J17" s="5" t="str">
        <f>IFERROR(__xludf.DUMMYFUNCTION("GOOGLETRANSLATE(D17, ""en"", ""id"")"),"B) Petarung atau prajurit")</f>
        <v>B) Petarung atau prajurit</v>
      </c>
      <c r="K17" s="5" t="str">
        <f>IFERROR(__xludf.DUMMYFUNCTION("GOOGLETRANSLATE(E17, ""en"", ""id"")"),"Pepadu adalah peserta, petarung yang memasuki arena untuk bertanding.")</f>
        <v>Pepadu adalah peserta, petarung yang memasuki arena untuk bertanding.</v>
      </c>
    </row>
    <row r="18">
      <c r="A18" s="3">
        <v>17.0</v>
      </c>
      <c r="B18" s="4" t="s">
        <v>668</v>
      </c>
      <c r="C18" s="4" t="s">
        <v>669</v>
      </c>
      <c r="D18" s="4" t="s">
        <v>670</v>
      </c>
      <c r="E18" s="4" t="s">
        <v>671</v>
      </c>
      <c r="G18" s="5" t="str">
        <f>IFERROR(__xludf.DUMMYFUNCTION("GOOGLETRANSLATE(A18, ""en"", ""id"")"),"17")</f>
        <v>17</v>
      </c>
      <c r="H18" s="5" t="str">
        <f>IFERROR(__xludf.DUMMYFUNCTION("GOOGLETRANSLATE(B18, ""en"", ""id"")"),"Jika seorang petarung mendaratkan serangan yang dianggap ""terlalu lemah"" atau sekadar tap oleh lawan, apa keputusannya?")</f>
        <v>Jika seorang petarung mendaratkan serangan yang dianggap "terlalu lemah" atau sekadar tap oleh lawan, apa keputusannya?</v>
      </c>
      <c r="I18" s="5" t="str">
        <f>IFERROR(__xludf.DUMMYFUNCTION("GOOGLETRANSLATE(C18, ""en"", ""id"")"),"A) Poin tidak diberikan, B) Poin diberikan jika kontak bersih dan disengaja, C) Petarung diperingatkan karena tidak cukup agresif, D) Poin diputar ulang")</f>
        <v>A) Poin tidak diberikan, B) Poin diberikan jika kontak bersih dan disengaja, C) Petarung diperingatkan karena tidak cukup agresif, D) Poin diputar ulang</v>
      </c>
      <c r="J18" s="5" t="str">
        <f>IFERROR(__xludf.DUMMYFUNCTION("GOOGLETRANSLATE(D18, ""en"", ""id"")"),"B) Poin diberikan jika kontak tersebut bersih dan disengaja")</f>
        <v>B) Poin diberikan jika kontak tersebut bersih dan disengaja</v>
      </c>
      <c r="K18" s="5" t="str">
        <f>IFERROR(__xludf.DUMMYFUNCTION("GOOGLETRANSLATE(E18, ""en"", ""id"")"),"Aturan biasanya tidak menilai kekuatan pukulan, hanya legalitas dan penempatannya. Ketukan yang terkontrol dan legal akan dinilai.")</f>
        <v>Aturan biasanya tidak menilai kekuatan pukulan, hanya legalitas dan penempatannya. Ketukan yang terkontrol dan legal akan dinilai.</v>
      </c>
    </row>
    <row r="19">
      <c r="A19" s="3">
        <v>18.0</v>
      </c>
      <c r="B19" s="4" t="s">
        <v>672</v>
      </c>
      <c r="C19" s="4" t="s">
        <v>673</v>
      </c>
      <c r="D19" s="4" t="s">
        <v>674</v>
      </c>
      <c r="E19" s="4" t="s">
        <v>675</v>
      </c>
      <c r="G19" s="5" t="str">
        <f>IFERROR(__xludf.DUMMYFUNCTION("GOOGLETRANSLATE(A19, ""en"", ""id"")"),"18")</f>
        <v>18</v>
      </c>
      <c r="H19" s="5" t="str">
        <f>IFERROR(__xludf.DUMMYFUNCTION("GOOGLETRANSLATE(B19, ""en"", ""id"")"),"Apa tujuan utama pertandingan Peresean?")</f>
        <v>Apa tujuan utama pertandingan Peresean?</v>
      </c>
      <c r="I19" s="5" t="str">
        <f>IFERROR(__xludf.DUMMYFUNCTION("GOOGLETRANSLATE(C19, ""en"", ""id"")"),"A) Membuat lawan pingsan, B) Mencetak poin dengan melakukan serangan yang sah, C) Menghancurkan perisai lawan, D) Membuat penonton terkesan dengan gerakan akrobatik")</f>
        <v>A) Membuat lawan pingsan, B) Mencetak poin dengan melakukan serangan yang sah, C) Menghancurkan perisai lawan, D) Membuat penonton terkesan dengan gerakan akrobatik</v>
      </c>
      <c r="J19" s="5" t="str">
        <f>IFERROR(__xludf.DUMMYFUNCTION("GOOGLETRANSLATE(D19, ""en"", ""id"")"),"B) Untuk mencetak poin dengan melakukan serangan yang sah")</f>
        <v>B) Untuk mencetak poin dengan melakukan serangan yang sah</v>
      </c>
      <c r="K19" s="5" t="str">
        <f>IFERROR(__xludf.DUMMYFUNCTION("GOOGLETRANSLATE(E19, ""en"", ""id"")"),"Peresean adalah seni bela diri berbasis poin di mana kemenangan dicapai dengan menunjukkan keterampilan unggul melalui penilaian, bukan dengan menyebabkan cedera.")</f>
        <v>Peresean adalah seni bela diri berbasis poin di mana kemenangan dicapai dengan menunjukkan keterampilan unggul melalui penilaian, bukan dengan menyebabkan cedera.</v>
      </c>
    </row>
    <row r="20">
      <c r="A20" s="3">
        <v>19.0</v>
      </c>
      <c r="B20" s="4" t="s">
        <v>676</v>
      </c>
      <c r="C20" s="4" t="s">
        <v>677</v>
      </c>
      <c r="D20" s="4" t="s">
        <v>678</v>
      </c>
      <c r="E20" s="4" t="s">
        <v>679</v>
      </c>
      <c r="G20" s="5" t="str">
        <f>IFERROR(__xludf.DUMMYFUNCTION("GOOGLETRANSLATE(A20, ""en"", ""id"")"),"19")</f>
        <v>19</v>
      </c>
      <c r="H20" s="5" t="str">
        <f>IFERROR(__xludf.DUMMYFUNCTION("GOOGLETRANSLATE(B20, ""en"", ""id"")"),"Apa peran pakembar dalam pertandingan peresean?")</f>
        <v>Apa peran pakembar dalam pertandingan peresean?</v>
      </c>
      <c r="I20" s="5" t="str">
        <f>IFERROR(__xludf.DUMMYFUNCTION("GOOGLETRANSLATE(C20, ""en"", ""id"")"),"A) Pemain kedua atau pemain sudut petarung, B) Tabib tradisional, C) Wasit yang menilai pertandingan, D) Orang yang membuat tongkat rotan")</f>
        <v>A) Pemain kedua atau pemain sudut petarung, B) Tabib tradisional, C) Wasit yang menilai pertandingan, D) Orang yang membuat tongkat rotan</v>
      </c>
      <c r="J20" s="5" t="str">
        <f>IFERROR(__xludf.DUMMYFUNCTION("GOOGLETRANSLATE(D20, ""en"", ""id"")"),"C) Wasit atau wasit yang menilai pertandingan")</f>
        <v>C) Wasit atau wasit yang menilai pertandingan</v>
      </c>
      <c r="K20" s="5" t="str">
        <f>IFERROR(__xludf.DUMMYFUNCTION("GOOGLETRANSLATE(E20, ""en"", ""id"")"),"Pakembar merupakan pejabat yang menegakkan peraturan, memulai dan menghentikan aksi, serta memberikan poin.")</f>
        <v>Pakembar merupakan pejabat yang menegakkan peraturan, memulai dan menghentikan aksi, serta memberikan poin.</v>
      </c>
    </row>
    <row r="21">
      <c r="A21" s="3">
        <v>20.0</v>
      </c>
      <c r="B21" s="4" t="s">
        <v>680</v>
      </c>
      <c r="C21" s="4" t="s">
        <v>681</v>
      </c>
      <c r="D21" s="4" t="s">
        <v>682</v>
      </c>
      <c r="E21" s="4" t="s">
        <v>683</v>
      </c>
      <c r="G21" s="5" t="str">
        <f>IFERROR(__xludf.DUMMYFUNCTION("GOOGLETRANSLATE(A21, ""en"", ""id"")"),"20")</f>
        <v>20</v>
      </c>
      <c r="H21" s="5" t="str">
        <f>IFERROR(__xludf.DUMMYFUNCTION("GOOGLETRANSLATE(B21, ""en"", ""id"")"),"Seorang petarung mendaratkan pukulan telak ke lengan atas lawan. Apakah ini area penilaian yang valid?")</f>
        <v>Seorang petarung mendaratkan pukulan telak ke lengan atas lawan. Apakah ini area penilaian yang valid?</v>
      </c>
      <c r="I21" s="5" t="str">
        <f>IFERROR(__xludf.DUMMYFUNCTION("GOOGLETRANSLATE(C21, ""en"", ""id"")"),"A) Ya, lengan atas adalah target yang sah, B) Tidak, hanya badan yang merupakan target yang sah, C) Itu adalah pelanggaran, D) Hanya jika itu menyebabkan lawan menjatuhkan tongkatnya")</f>
        <v>A) Ya, lengan atas adalah target yang sah, B) Tidak, hanya badan yang merupakan target yang sah, C) Itu adalah pelanggaran, D) Hanya jika itu menyebabkan lawan menjatuhkan tongkatnya</v>
      </c>
      <c r="J21" s="5" t="str">
        <f>IFERROR(__xludf.DUMMYFUNCTION("GOOGLETRANSLATE(D21, ""en"", ""id"")"),"A) Ya, lengan atas adalah target yang sah")</f>
        <v>A) Ya, lengan atas adalah target yang sah</v>
      </c>
      <c r="K21" s="5" t="str">
        <f>IFERROR(__xludf.DUMMYFUNCTION("GOOGLETRANSLATE(E21, ""en"", ""id"")"),"Area target yang valid dalam Peresean umumnya adalah tubuh dari pinggang hingga bahu.")</f>
        <v>Area target yang valid dalam Peresean umumnya adalah tubuh dari pinggang hingga bahu.</v>
      </c>
    </row>
    <row r="22">
      <c r="A22" s="3">
        <v>21.0</v>
      </c>
      <c r="B22" s="4" t="s">
        <v>684</v>
      </c>
      <c r="C22" s="4" t="s">
        <v>685</v>
      </c>
      <c r="D22" s="4" t="s">
        <v>686</v>
      </c>
      <c r="E22" s="4" t="s">
        <v>687</v>
      </c>
      <c r="G22" s="5" t="str">
        <f>IFERROR(__xludf.DUMMYFUNCTION("GOOGLETRANSLATE(A22, ""en"", ""id"")"),"21")</f>
        <v>21</v>
      </c>
      <c r="H22" s="5" t="str">
        <f>IFERROR(__xludf.DUMMYFUNCTION("GOOGLETRANSLATE(B22, ""en"", ""id"")"),"Secara historis, Peresean terkadang dilakukan sebagai ritual untuk meminta apa?")</f>
        <v>Secara historis, Peresean terkadang dilakukan sebagai ritual untuk meminta apa?</v>
      </c>
      <c r="I22" s="5" t="str">
        <f>IFERROR(__xludf.DUMMYFUNCTION("GOOGLETRANSLATE(C22, ""en"", ""id"")"),"A) Panen yang baik, B) Hujan saat kemarau, C) Perlindungan dari roh jahat, D) Kemenangan dalam perang")</f>
        <v>A) Panen yang baik, B) Hujan saat kemarau, C) Perlindungan dari roh jahat, D) Kemenangan dalam perang</v>
      </c>
      <c r="J22" s="5" t="str">
        <f>IFERROR(__xludf.DUMMYFUNCTION("GOOGLETRANSLATE(D22, ""en"", ""id"")"),"B) Hujan saat kemarau")</f>
        <v>B) Hujan saat kemarau</v>
      </c>
      <c r="K22" s="5" t="str">
        <f>IFERROR(__xludf.DUMMYFUNCTION("GOOGLETRANSLATE(E22, ""en"", ""id"")"),"Penumpahan darah, bahkan secara simbolis, merupakan bagian dari ritual kuno untuk memohon kepada langit agar menurunkan hujan.")</f>
        <v>Penumpahan darah, bahkan secara simbolis, merupakan bagian dari ritual kuno untuk memohon kepada langit agar menurunkan hujan.</v>
      </c>
    </row>
    <row r="23">
      <c r="A23" s="3">
        <v>22.0</v>
      </c>
      <c r="B23" s="4" t="s">
        <v>688</v>
      </c>
      <c r="C23" s="4" t="s">
        <v>689</v>
      </c>
      <c r="D23" s="4" t="s">
        <v>690</v>
      </c>
      <c r="E23" s="4" t="s">
        <v>691</v>
      </c>
      <c r="G23" s="5" t="str">
        <f>IFERROR(__xludf.DUMMYFUNCTION("GOOGLETRANSLATE(A23, ""en"", ""id"")"),"22")</f>
        <v>22</v>
      </c>
      <c r="H23" s="5" t="str">
        <f>IFERROR(__xludf.DUMMYFUNCTION("GOOGLETRANSLATE(B23, ""en"", ""id"")"),"Seorang petarung mendaratkan pukulan yang sah, tetapi segera setelah itu, mengangkat tongkatnya untuk merayakan kemenangan sebelum wasit memberikan poin. Apa kemungkinan hasilnya?")</f>
        <v>Seorang petarung mendaratkan pukulan yang sah, tetapi segera setelah itu, mengangkat tongkatnya untuk merayakan kemenangan sebelum wasit memberikan poin. Apa kemungkinan hasilnya?</v>
      </c>
      <c r="I23" s="5" t="str">
        <f>IFERROR(__xludf.DUMMYFUNCTION("GOOGLETRANSLATE(C23, ""en"", ""id"")"),"A) Poin dibatalkan karena perilaku tidak sportif, B) Poin tetap berlaku, tetapi petarung menerima peringatan lisan, C) Poin diberikan kepada lawan, D) Ronde segera diakhiri")</f>
        <v>A) Poin dibatalkan karena perilaku tidak sportif, B) Poin tetap berlaku, tetapi petarung menerima peringatan lisan, C) Poin diberikan kepada lawan, D) Ronde segera diakhiri</v>
      </c>
      <c r="J23" s="5" t="str">
        <f>IFERROR(__xludf.DUMMYFUNCTION("GOOGLETRANSLATE(D23, ""en"", ""id"")"),"B) Poinnya tetap sama, tetapi petarung menerima peringatan lisan")</f>
        <v>B) Poinnya tetap sama, tetapi petarung menerima peringatan lisan</v>
      </c>
      <c r="K23" s="5" t="str">
        <f>IFERROR(__xludf.DUMMYFUNCTION("GOOGLETRANSLATE(E23, ""en"", ""id"")"),"Poin yang sah akan dicetak, tetapi merayakan sebelum waktunya dianggap tidak sopan dan akan mendapat peringatan dari wasit.")</f>
        <v>Poin yang sah akan dicetak, tetapi merayakan sebelum waktunya dianggap tidak sopan dan akan mendapat peringatan dari wasit.</v>
      </c>
    </row>
    <row r="24">
      <c r="A24" s="3">
        <v>23.0</v>
      </c>
      <c r="B24" s="4" t="s">
        <v>692</v>
      </c>
      <c r="C24" s="4" t="s">
        <v>693</v>
      </c>
      <c r="D24" s="4" t="s">
        <v>694</v>
      </c>
      <c r="E24" s="4" t="s">
        <v>695</v>
      </c>
      <c r="G24" s="5" t="str">
        <f>IFERROR(__xludf.DUMMYFUNCTION("GOOGLETRANSLATE(A24, ""en"", ""id"")"),"23")</f>
        <v>23</v>
      </c>
      <c r="H24" s="5" t="str">
        <f>IFERROR(__xludf.DUMMYFUNCTION("GOOGLETRANSLATE(B24, ""en"", ""id"")"),"Apa pakaian adat yang dikenakan oleh seorang pepadu saat bertanding?")</f>
        <v>Apa pakaian adat yang dikenakan oleh seorang pepadu saat bertanding?</v>
      </c>
      <c r="I24" s="5" t="str">
        <f>IFERROR(__xludf.DUMMYFUNCTION("GOOGLETRANSLATE(C24, ""en"", ""id"")"),"A) Pelindung tubuh penuh, B) Saput, ikat kepala, dan selempang, C) Setelan formal, D) Celana pendek atletik standar dan kaos oblong")</f>
        <v>A) Pelindung tubuh penuh, B) Saput, ikat kepala, dan selempang, C) Setelan formal, D) Celana pendek atletik standar dan kaos oblong</v>
      </c>
      <c r="J24" s="5" t="str">
        <f>IFERROR(__xludf.DUMMYFUNCTION("GOOGLETRANSLATE(D24, ""en"", ""id"")"),"B) Saput, ikat kepala, dan selempang")</f>
        <v>B) Saput, ikat kepala, dan selempang</v>
      </c>
      <c r="K24" s="5" t="str">
        <f>IFERROR(__xludf.DUMMYFUNCTION("GOOGLETRANSLATE(E24, ""en"", ""id"")"),"Para petarung mengenakan pakaian tradisional Sasak, yang memberikan kebebasan bergerak dan menjunjung tinggi aspek budaya olahraga tersebut.")</f>
        <v>Para petarung mengenakan pakaian tradisional Sasak, yang memberikan kebebasan bergerak dan menjunjung tinggi aspek budaya olahraga tersebut.</v>
      </c>
    </row>
    <row r="25">
      <c r="A25" s="3">
        <v>24.0</v>
      </c>
      <c r="B25" s="4" t="s">
        <v>696</v>
      </c>
      <c r="C25" s="4" t="s">
        <v>697</v>
      </c>
      <c r="D25" s="4" t="s">
        <v>698</v>
      </c>
      <c r="E25" s="4" t="s">
        <v>699</v>
      </c>
      <c r="G25" s="5" t="str">
        <f>IFERROR(__xludf.DUMMYFUNCTION("GOOGLETRANSLATE(A25, ""en"", ""id"")"),"24")</f>
        <v>24</v>
      </c>
      <c r="H25" s="5" t="str">
        <f>IFERROR(__xludf.DUMMYFUNCTION("GOOGLETRANSLATE(B25, ""en"", ""id"")"),"Jika kedua petarung mendaratkan serangan bersih satu sama lain pada saat yang bersamaan, apa keputusan yang paling mungkin?")</f>
        <v>Jika kedua petarung mendaratkan serangan bersih satu sama lain pada saat yang bersamaan, apa keputusan yang paling mungkin?</v>
      </c>
      <c r="I25" s="5" t="str">
        <f>IFERROR(__xludf.DUMMYFUNCTION("GOOGLETRANSLATE(C25, ""en"", ""id"")"),"A) Poin diberikan kepada petarung yang lebih agresif, B) Kedua petarung mendapatkan poin, C) Pertukaran poin dibatalkan dan ronde direset, D) Petarung yang mengenai titik lebih tinggi pada tubuh menang")</f>
        <v>A) Poin diberikan kepada petarung yang lebih agresif, B) Kedua petarung mendapatkan poin, C) Pertukaran poin dibatalkan dan ronde direset, D) Petarung yang mengenai titik lebih tinggi pada tubuh menang</v>
      </c>
      <c r="J25" s="5" t="str">
        <f>IFERROR(__xludf.DUMMYFUNCTION("GOOGLETRANSLATE(D25, ""en"", ""id"")"),"C) Pertukaran dibatalkan dan putaran direset")</f>
        <v>C) Pertukaran dibatalkan dan putaran direset</v>
      </c>
      <c r="K25" s="5" t="str">
        <f>IFERROR(__xludf.DUMMYFUNCTION("GOOGLETRANSLATE(E25, ""en"", ""id"")"),"Dalam kasus serangan sah yang dilakukan secara serentak, tidak ada satu pun petarung yang menunjukkan keunggulan, sehingga pertukaran serangan tersebut biasanya batal.")</f>
        <v>Dalam kasus serangan sah yang dilakukan secara serentak, tidak ada satu pun petarung yang menunjukkan keunggulan, sehingga pertukaran serangan tersebut biasanya batal.</v>
      </c>
    </row>
    <row r="26">
      <c r="A26" s="3">
        <v>25.0</v>
      </c>
      <c r="B26" s="4" t="s">
        <v>700</v>
      </c>
      <c r="C26" s="4" t="s">
        <v>701</v>
      </c>
      <c r="D26" s="4" t="s">
        <v>702</v>
      </c>
      <c r="E26" s="4" t="s">
        <v>703</v>
      </c>
      <c r="G26" s="5" t="str">
        <f>IFERROR(__xludf.DUMMYFUNCTION("GOOGLETRANSLATE(A26, ""en"", ""id"")"),"25")</f>
        <v>25</v>
      </c>
      <c r="H26" s="5" t="str">
        <f>IFERROR(__xludf.DUMMYFUNCTION("GOOGLETRANSLATE(B26, ""en"", ""id"")"),"Seorang petarung berdarah karena pukulan. Apa prioritas utama wasit?")</f>
        <v>Seorang petarung berdarah karena pukulan. Apa prioritas utama wasit?</v>
      </c>
      <c r="I26" s="5" t="str">
        <f>IFERROR(__xludf.DUMMYFUNCTION("GOOGLETRANSLATE(C26, ""en"", ""id"")"),"A) Memberikan poin kepada penyerang, B) Menghentikan pertandingan dan meminta penilaian medis, C) Menanyakan kepada petarung apakah mereka dapat melanjutkan, D) Membersihkan matras")</f>
        <v>A) Memberikan poin kepada penyerang, B) Menghentikan pertandingan dan meminta penilaian medis, C) Menanyakan kepada petarung apakah mereka dapat melanjutkan, D) Membersihkan matras</v>
      </c>
      <c r="J26" s="5" t="str">
        <f>IFERROR(__xludf.DUMMYFUNCTION("GOOGLETRANSLATE(D26, ""en"", ""id"")"),"B) Untuk menghentikan pertandingan dan meminta penilaian medis")</f>
        <v>B) Untuk menghentikan pertandingan dan meminta penilaian medis</v>
      </c>
      <c r="K26" s="5" t="str">
        <f>IFERROR(__xludf.DUMMYFUNCTION("GOOGLETRANSLATE(E26, ""en"", ""id"")"),"Keselamatan para petarung adalah yang terpenting. ""Penghentian darah"" diperlukan untuk menilai dan mengobati cedera.")</f>
        <v>Keselamatan para petarung adalah yang terpenting. "Penghentian darah" diperlukan untuk menilai dan mengobati cedera.</v>
      </c>
    </row>
    <row r="27">
      <c r="A27" s="3">
        <v>26.0</v>
      </c>
      <c r="B27" s="4" t="s">
        <v>704</v>
      </c>
      <c r="C27" s="4" t="s">
        <v>705</v>
      </c>
      <c r="D27" s="4" t="s">
        <v>706</v>
      </c>
      <c r="E27" s="4" t="s">
        <v>707</v>
      </c>
      <c r="G27" s="5" t="str">
        <f>IFERROR(__xludf.DUMMYFUNCTION("GOOGLETRANSLATE(A27, ""en"", ""id"")"),"26")</f>
        <v>26</v>
      </c>
      <c r="H27" s="5" t="str">
        <f>IFERROR(__xludf.DUMMYFUNCTION("GOOGLETRANSLATE(B27, ""en"", ""id"")"),"Tongkat rotan, atau penjalin, dipilih karena sifat-sifatnya yang spesifik. Apa sajakah itu?")</f>
        <v>Tongkat rotan, atau penjalin, dipilih karena sifat-sifatnya yang spesifik. Apa sajakah itu?</v>
      </c>
      <c r="I27" s="5" t="str">
        <f>IFERROR(__xludf.DUMMYFUNCTION("GOOGLETRANSLATE(C27, ""en"", ""id"")"),"A) Sangat berat dan kaku, B) Ringan, fleksibel, dan tahan lama, C) Berongga dan mengeluarkan suara keras, D) Lunak dan tidak dapat menyebabkan cedera")</f>
        <v>A) Sangat berat dan kaku, B) Ringan, fleksibel, dan tahan lama, C) Berongga dan mengeluarkan suara keras, D) Lunak dan tidak dapat menyebabkan cedera</v>
      </c>
      <c r="J27" s="5" t="str">
        <f>IFERROR(__xludf.DUMMYFUNCTION("GOOGLETRANSLATE(D27, ""en"", ""id"")"),"B) Ringan, fleksibel, dan tahan lama")</f>
        <v>B) Ringan, fleksibel, dan tahan lama</v>
      </c>
      <c r="K27" s="5" t="str">
        <f>IFERROR(__xludf.DUMMYFUNCTION("GOOGLETRANSLATE(E27, ""en"", ""id"")"),"Rotan digunakan karena dapat menahan benturan berulang-ulang, cukup lentur sehingga tidak mudah patah, dan cukup ringan untuk pukulan cepat.")</f>
        <v>Rotan digunakan karena dapat menahan benturan berulang-ulang, cukup lentur sehingga tidak mudah patah, dan cukup ringan untuk pukulan cepat.</v>
      </c>
    </row>
    <row r="28">
      <c r="A28" s="3">
        <v>27.0</v>
      </c>
      <c r="B28" s="4" t="s">
        <v>708</v>
      </c>
      <c r="C28" s="4" t="s">
        <v>709</v>
      </c>
      <c r="D28" s="4" t="s">
        <v>710</v>
      </c>
      <c r="E28" s="4" t="s">
        <v>711</v>
      </c>
      <c r="G28" s="5" t="str">
        <f>IFERROR(__xludf.DUMMYFUNCTION("GOOGLETRANSLATE(A28, ""en"", ""id"")"),"27")</f>
        <v>27</v>
      </c>
      <c r="H28" s="5" t="str">
        <f>IFERROR(__xludf.DUMMYFUNCTION("GOOGLETRANSLATE(B28, ""en"", ""id"")"),"Bagaimana para petarung biasanya dipertandingkan dalam festival tradisional Peresean?")</f>
        <v>Bagaimana para petarung biasanya dipertandingkan dalam festival tradisional Peresean?</v>
      </c>
      <c r="I28" s="5" t="str">
        <f>IFERROR(__xludf.DUMMYFUNCTION("GOOGLETRANSLATE(C28, ""en"", ""id"")"),"A) Mereka dicocokkan oleh komite penyemaian formal, B) Mereka dicocokkan berdasarkan kelas berat, C) Petarung dari penonton ditantang untuk berpartisipasi, D) Mereka dicocokkan berdasarkan usia")</f>
        <v>A) Mereka dicocokkan oleh komite penyemaian formal, B) Mereka dicocokkan berdasarkan kelas berat, C) Petarung dari penonton ditantang untuk berpartisipasi, D) Mereka dicocokkan berdasarkan usia</v>
      </c>
      <c r="J28" s="5" t="str">
        <f>IFERROR(__xludf.DUMMYFUNCTION("GOOGLETRANSLATE(D28, ""en"", ""id"")"),"C) Pejuang dari penonton ditantang untuk berpartisipasi")</f>
        <v>C) Pejuang dari penonton ditantang untuk berpartisipasi</v>
      </c>
      <c r="K28" s="5" t="str">
        <f>IFERROR(__xludf.DUMMYFUNCTION("GOOGLETRANSLATE(E28, ""en"", ""id"")"),"Secara tradisional, wasit memanggil penantang dari kerumunan, dan petarung mengajukan diri untuk menguji keberanian dan keterampilan mereka.")</f>
        <v>Secara tradisional, wasit memanggil penantang dari kerumunan, dan petarung mengajukan diri untuk menguji keberanian dan keterampilan mereka.</v>
      </c>
    </row>
    <row r="29">
      <c r="A29" s="3">
        <v>28.0</v>
      </c>
      <c r="B29" s="4" t="s">
        <v>712</v>
      </c>
      <c r="C29" s="4" t="s">
        <v>713</v>
      </c>
      <c r="D29" s="4" t="s">
        <v>714</v>
      </c>
      <c r="E29" s="4" t="s">
        <v>715</v>
      </c>
      <c r="G29" s="5" t="str">
        <f>IFERROR(__xludf.DUMMYFUNCTION("GOOGLETRANSLATE(A29, ""en"", ""id"")"),"28")</f>
        <v>28</v>
      </c>
      <c r="H29" s="5" t="str">
        <f>IFERROR(__xludf.DUMMYFUNCTION("GOOGLETRANSLATE(B29, ""en"", ""id"")"),"Apa yang ditekankan filosofi ""kare"" dalam Peresean?")</f>
        <v>Apa yang ditekankan filosofi "kare" dalam Peresean?</v>
      </c>
      <c r="I29" s="5" t="str">
        <f>IFERROR(__xludf.DUMMYFUNCTION("GOOGLETRANSLATE(C29, ""en"", ""id"")"),"A) Menang dengan cara apapun, B) Penggunaan teknik rahasia, C) Sportifitas, keberanian, dan menghormati lawan, D) Pentingnya perisai di atas tongkat")</f>
        <v>A) Menang dengan cara apapun, B) Penggunaan teknik rahasia, C) Sportifitas, keberanian, dan menghormati lawan, D) Pentingnya perisai di atas tongkat</v>
      </c>
      <c r="J29" s="5" t="str">
        <f>IFERROR(__xludf.DUMMYFUNCTION("GOOGLETRANSLATE(D29, ""en"", ""id"")"),"C) Sportivitas, keberanian, dan menghormati lawan")</f>
        <v>C) Sportivitas, keberanian, dan menghormati lawan</v>
      </c>
      <c r="K29" s="5" t="str">
        <f>IFERROR(__xludf.DUMMYFUNCTION("GOOGLETRANSLATE(E29, ""en"", ""id"")"),"Selain bertarung, Peresean adalah ujian karakter, yang menekankan kebajikan dan rasa hormat seorang ksatria.")</f>
        <v>Selain bertarung, Peresean adalah ujian karakter, yang menekankan kebajikan dan rasa hormat seorang ksatria.</v>
      </c>
    </row>
    <row r="30">
      <c r="A30" s="3">
        <v>29.0</v>
      </c>
      <c r="B30" s="4" t="s">
        <v>716</v>
      </c>
      <c r="C30" s="4" t="s">
        <v>717</v>
      </c>
      <c r="D30" s="4" t="s">
        <v>718</v>
      </c>
      <c r="E30" s="4" t="s">
        <v>719</v>
      </c>
      <c r="G30" s="5" t="str">
        <f>IFERROR(__xludf.DUMMYFUNCTION("GOOGLETRANSLATE(A30, ""en"", ""id"")"),"29")</f>
        <v>29</v>
      </c>
      <c r="H30" s="5" t="str">
        <f>IFERROR(__xludf.DUMMYFUNCTION("GOOGLETRANSLATE(B30, ""en"", ""id"")"),"Apa hukumnya jika pukulan mendarat di bantalan bahu pelindung lawan tetapi tidak mengenai tubuhnya?")</f>
        <v>Apa hukumnya jika pukulan mendarat di bantalan bahu pelindung lawan tetapi tidak mengenai tubuhnya?</v>
      </c>
      <c r="I30" s="5" t="str">
        <f>IFERROR(__xludf.DUMMYFUNCTION("GOOGLETRANSLATE(C30, ""en"", ""id"")"),"A) Poin diberikan, B) Tidak ada poin yang diberikan, C) Poin parsial diberikan, D) Penyerang diperingatkan")</f>
        <v>A) Poin diberikan, B) Tidak ada poin yang diberikan, C) Poin parsial diberikan, D) Penyerang diperingatkan</v>
      </c>
      <c r="J30" s="5" t="str">
        <f>IFERROR(__xludf.DUMMYFUNCTION("GOOGLETRANSLATE(D30, ""en"", ""id"")"),"B) Tidak ada poin yang diberikan")</f>
        <v>B) Tidak ada poin yang diberikan</v>
      </c>
      <c r="K30" s="5" t="str">
        <f>IFERROR(__xludf.DUMMYFUNCTION("GOOGLETRANSLATE(E30, ""en"", ""id"")"),"Pada sebagian besar rangkaian aturan, serangan harus mendarat tepat di badan itu sendiri, bukan pada peralatan pelindung yang bukan bagian dari zona target yang sah.")</f>
        <v>Pada sebagian besar rangkaian aturan, serangan harus mendarat tepat di badan itu sendiri, bukan pada peralatan pelindung yang bukan bagian dari zona target yang sah.</v>
      </c>
    </row>
    <row r="31">
      <c r="A31" s="3">
        <v>30.0</v>
      </c>
      <c r="B31" s="4" t="s">
        <v>720</v>
      </c>
      <c r="C31" s="4" t="s">
        <v>721</v>
      </c>
      <c r="D31" s="4" t="s">
        <v>722</v>
      </c>
      <c r="E31" s="4" t="s">
        <v>723</v>
      </c>
      <c r="G31" s="5" t="str">
        <f>IFERROR(__xludf.DUMMYFUNCTION("GOOGLETRANSLATE(A31, ""en"", ""id"")"),"30")</f>
        <v>30</v>
      </c>
      <c r="H31" s="5" t="str">
        <f>IFERROR(__xludf.DUMMYFUNCTION("GOOGLETRANSLATE(B31, ""en"", ""id"")"),"Berapa ronde biasanya dalam satu pertandingan Peresean profesional?")</f>
        <v>Berapa ronde biasanya dalam satu pertandingan Peresean profesional?</v>
      </c>
      <c r="I31" s="5" t="str">
        <f>IFERROR(__xludf.DUMMYFUNCTION("GOOGLETRANSLATE(C31, ""en"", ""id"")"),"A) Satu putaran terus menerus, B) Tiga putaran, C) Lima putaran, D) Yang terbaik dari tujuh putaran")</f>
        <v>A) Satu putaran terus menerus, B) Tiga putaran, C) Lima putaran, D) Yang terbaik dari tujuh putaran</v>
      </c>
      <c r="J31" s="5" t="str">
        <f>IFERROR(__xludf.DUMMYFUNCTION("GOOGLETRANSLATE(D31, ""en"", ""id"")"),"C) Lima putaran")</f>
        <v>C) Lima putaran</v>
      </c>
      <c r="K31" s="5" t="str">
        <f>IFERROR(__xludf.DUMMYFUNCTION("GOOGLETRANSLATE(E31, ""en"", ""id"")"),"Pertarungan profesional standar biasanya berlangsung dalam lima ronde.")</f>
        <v>Pertarungan profesional standar biasanya berlangsung dalam lima ronde.</v>
      </c>
    </row>
    <row r="32">
      <c r="A32" s="3">
        <v>31.0</v>
      </c>
      <c r="B32" s="4" t="s">
        <v>724</v>
      </c>
      <c r="C32" s="4" t="s">
        <v>725</v>
      </c>
      <c r="D32" s="4" t="s">
        <v>726</v>
      </c>
      <c r="E32" s="4" t="s">
        <v>727</v>
      </c>
      <c r="G32" s="5" t="str">
        <f>IFERROR(__xludf.DUMMYFUNCTION("GOOGLETRANSLATE(A32, ""en"", ""id"")"),"31")</f>
        <v>31</v>
      </c>
      <c r="H32" s="5" t="str">
        <f>IFERROR(__xludf.DUMMYFUNCTION("GOOGLETRANSLATE(B32, ""en"", ""id"")"),"Seorang petarung menggunakan tongkatnya untuk mengaitkan atau menjebak lengan perisai lawan sebelum menyerang. Apakah ini legal?")</f>
        <v>Seorang petarung menggunakan tongkatnya untuk mengaitkan atau menjebak lengan perisai lawan sebelum menyerang. Apakah ini legal?</v>
      </c>
      <c r="I32" s="5" t="str">
        <f>IFERROR(__xludf.DUMMYFUNCTION("GOOGLETRANSLATE(C32, ""en"", ""id"")"),"A) Ya, itu taktik yang cerdas, B) Tidak, itu pelanggaran untuk melakukan hooking atau holding, C) Hanya jika hook-nya pendek, D) Itu sah tetapi tidak ada poin yang dicetak")</f>
        <v>A) Ya, itu taktik yang cerdas, B) Tidak, itu pelanggaran untuk melakukan hooking atau holding, C) Hanya jika hook-nya pendek, D) Itu sah tetapi tidak ada poin yang dicetak</v>
      </c>
      <c r="J32" s="5" t="str">
        <f>IFERROR(__xludf.DUMMYFUNCTION("GOOGLETRANSLATE(D32, ""en"", ""id"")"),"B) Tidak, melakukan hooking atau holding merupakan pelanggaran.")</f>
        <v>B) Tidak, melakukan hooking atau holding merupakan pelanggaran.</v>
      </c>
      <c r="K32" s="5" t="str">
        <f>IFERROR(__xludf.DUMMYFUNCTION("GOOGLETRANSLATE(E32, ""en"", ""id"")"),"Tongkat harus digunakan hanya untuk memukul. Segala bentuk pengait, jebakan, atau pergulatan dengan tongkat adalah ilegal.")</f>
        <v>Tongkat harus digunakan hanya untuk memukul. Segala bentuk pengait, jebakan, atau pergulatan dengan tongkat adalah ilegal.</v>
      </c>
    </row>
    <row r="33">
      <c r="A33" s="3">
        <v>32.0</v>
      </c>
      <c r="B33" s="4" t="s">
        <v>728</v>
      </c>
      <c r="C33" s="4" t="s">
        <v>729</v>
      </c>
      <c r="D33" s="4" t="s">
        <v>730</v>
      </c>
      <c r="E33" s="4" t="s">
        <v>731</v>
      </c>
      <c r="G33" s="5" t="str">
        <f>IFERROR(__xludf.DUMMYFUNCTION("GOOGLETRANSLATE(A33, ""en"", ""id"")"),"32")</f>
        <v>32</v>
      </c>
      <c r="H33" s="5" t="str">
        <f>IFERROR(__xludf.DUMMYFUNCTION("GOOGLETRANSLATE(B33, ""en"", ""id"")"),"Sebelum pertandingan dimulai, ritual apa yang dilakukan para petarung?")</f>
        <v>Sebelum pertandingan dimulai, ritual apa yang dilakukan para petarung?</v>
      </c>
      <c r="I33" s="5" t="str">
        <f>IFERROR(__xludf.DUMMYFUNCTION("GOOGLETRANSLATE(C33, ""en"", ""id"")"),"A) Mereka berjabat tangan, B) Mereka melakukan tarian upacara dan memberi hormat (sembah), C) Mereka bertukar hadiah, D) Mereka menimbang berat badan di timbangan")</f>
        <v>A) Mereka berjabat tangan, B) Mereka melakukan tarian upacara dan memberi hormat (sembah), C) Mereka bertukar hadiah, D) Mereka menimbang berat badan di timbangan</v>
      </c>
      <c r="J33" s="5" t="str">
        <f>IFERROR(__xludf.DUMMYFUNCTION("GOOGLETRANSLATE(D33, ""en"", ""id"")"),"B) Mereka melakukan tarian seremonial dan memberi hormat (sembah)")</f>
        <v>B) Mereka melakukan tarian seremonial dan memberi hormat (sembah)</v>
      </c>
      <c r="K33" s="5" t="str">
        <f>IFERROR(__xludf.DUMMYFUNCTION("GOOGLETRANSLATE(E33, ""en"", ""id"")"),"Para petarung melakukan tarian ritual untuk pemanasan dan menunjukkan rasa hormat kepada penonton dan tradisi olahraga.")</f>
        <v>Para petarung melakukan tarian ritual untuk pemanasan dan menunjukkan rasa hormat kepada penonton dan tradisi olahraga.</v>
      </c>
    </row>
    <row r="34">
      <c r="A34" s="3">
        <v>33.0</v>
      </c>
      <c r="B34" s="4" t="s">
        <v>732</v>
      </c>
      <c r="C34" s="4" t="s">
        <v>733</v>
      </c>
      <c r="D34" s="4" t="s">
        <v>734</v>
      </c>
      <c r="E34" s="4" t="s">
        <v>735</v>
      </c>
      <c r="G34" s="5" t="str">
        <f>IFERROR(__xludf.DUMMYFUNCTION("GOOGLETRANSLATE(A34, ""en"", ""id"")"),"33")</f>
        <v>33</v>
      </c>
      <c r="H34" s="5" t="str">
        <f>IFERROR(__xludf.DUMMYFUNCTION("GOOGLETRANSLATE(B34, ""en"", ""id"")"),"Jika seorang petarung secara konsisten pasif dan menghindari pertarungan dengan terus-menerus mundur, apa yang dapat dilakukan wasit?")</f>
        <v>Jika seorang petarung secara konsisten pasif dan menghindari pertarungan dengan terus-menerus mundur, apa yang dapat dilakukan wasit?</v>
      </c>
      <c r="I34" s="5" t="str">
        <f>IFERROR(__xludf.DUMMYFUNCTION("GOOGLETRANSLATE(C34, ""en"", ""id"")"),"A) Tidak ada, ini adalah strategi yang valid, B) Berikan poin kepada petarung yang agresif, C) Berikan peringatan untuk pasif, diikuti dengan pengurangan poin, D) Akhiri pertandingan")</f>
        <v>A) Tidak ada, ini adalah strategi yang valid, B) Berikan poin kepada petarung yang agresif, C) Berikan peringatan untuk pasif, diikuti dengan pengurangan poin, D) Akhiri pertandingan</v>
      </c>
      <c r="J34" s="5" t="str">
        <f>IFERROR(__xludf.DUMMYFUNCTION("GOOGLETRANSLATE(D34, ""en"", ""id"")"),"C) Memberikan peringatan karena pasif, diikuti dengan pengurangan poin")</f>
        <v>C) Memberikan peringatan karena pasif, diikuti dengan pengurangan poin</v>
      </c>
      <c r="K34" s="5" t="str">
        <f>IFERROR(__xludf.DUMMYFUNCTION("GOOGLETRANSLATE(E34, ""en"", ""id"")"),"Para petarung diharapkan untuk bertarung. Petarung yang terus-menerus menolak untuk bertarung akan diperingatkan dan kemudian dihukum.")</f>
        <v>Para petarung diharapkan untuk bertarung. Petarung yang terus-menerus menolak untuk bertarung akan diperingatkan dan kemudian dihukum.</v>
      </c>
    </row>
    <row r="35">
      <c r="A35" s="3">
        <v>34.0</v>
      </c>
      <c r="B35" s="4" t="s">
        <v>736</v>
      </c>
      <c r="C35" s="4" t="s">
        <v>737</v>
      </c>
      <c r="D35" s="4" t="s">
        <v>738</v>
      </c>
      <c r="E35" s="4" t="s">
        <v>739</v>
      </c>
      <c r="G35" s="5" t="str">
        <f>IFERROR(__xludf.DUMMYFUNCTION("GOOGLETRANSLATE(A35, ""en"", ""id"")"),"34")</f>
        <v>34</v>
      </c>
      <c r="H35" s="5" t="str">
        <f>IFERROR(__xludf.DUMMYFUNCTION("GOOGLETRANSLATE(B35, ""en"", ""id"")"),"Apa peran pengadok?")</f>
        <v>Apa peran pengadok?</v>
      </c>
      <c r="I35" s="5" t="str">
        <f>IFERROR(__xludf.DUMMYFUNCTION("GOOGLETRANSLATE(C35, ""en"", ""id"")"),"A) Pemimpin Gamelan, B) Pendamping atau penjaga sudut yang membantu petarung di antara ronde, C) Tetua desa yang memberkati arena, D) Sponsor acara")</f>
        <v>A) Pemimpin Gamelan, B) Pendamping atau penjaga sudut yang membantu petarung di antara ronde, C) Tetua desa yang memberkati arena, D) Sponsor acara</v>
      </c>
      <c r="J35" s="5" t="str">
        <f>IFERROR(__xludf.DUMMYFUNCTION("GOOGLETRANSLATE(D35, ""en"", ""id"")"),"B) Pemain kedua atau cornermen yang membantu petarung di antara ronde")</f>
        <v>B) Pemain kedua atau cornermen yang membantu petarung di antara ronde</v>
      </c>
      <c r="K35" s="5" t="str">
        <f>IFERROR(__xludf.DUMMYFUNCTION("GOOGLETRANSLATE(E35, ""en"", ""id"")"),"Pengadok menyediakan air, saran taktis, dan dorongan kepada pepadu mereka selama istirahat.")</f>
        <v>Pengadok menyediakan air, saran taktis, dan dorongan kepada pepadu mereka selama istirahat.</v>
      </c>
    </row>
    <row r="36">
      <c r="A36" s="3">
        <v>35.0</v>
      </c>
      <c r="B36" s="4" t="s">
        <v>740</v>
      </c>
      <c r="C36" s="4" t="s">
        <v>741</v>
      </c>
      <c r="D36" s="4" t="s">
        <v>742</v>
      </c>
      <c r="E36" s="4" t="s">
        <v>743</v>
      </c>
      <c r="G36" s="5" t="str">
        <f>IFERROR(__xludf.DUMMYFUNCTION("GOOGLETRANSLATE(A36, ""en"", ""id"")"),"35")</f>
        <v>35</v>
      </c>
      <c r="H36" s="5" t="str">
        <f>IFERROR(__xludf.DUMMYFUNCTION("GOOGLETRANSLATE(B36, ""en"", ""id"")"),"Sebuah serangan mendarat di tangan lawan saat sedang menggenggam perisai. Apakah ini poin yang valid?")</f>
        <v>Sebuah serangan mendarat di tangan lawan saat sedang menggenggam perisai. Apakah ini poin yang valid?</v>
      </c>
      <c r="I36" s="5" t="str">
        <f>IFERROR(__xludf.DUMMYFUNCTION("GOOGLETRANSLATE(C36, ""en"", ""id"")"),"A) Ya, tangan adalah target yang sah, B) Tidak, tangan dilindungi oleh perisai, C) Itu adalah pelanggaran, D) Poin diulang")</f>
        <v>A) Ya, tangan adalah target yang sah, B) Tidak, tangan dilindungi oleh perisai, C) Itu adalah pelanggaran, D) Poin diulang</v>
      </c>
      <c r="J36" s="5" t="str">
        <f>IFERROR(__xludf.DUMMYFUNCTION("GOOGLETRANSLATE(D36, ""en"", ""id"")"),"A) Ya, tangan adalah target yang sah")</f>
        <v>A) Ya, tangan adalah target yang sah</v>
      </c>
      <c r="K36" s="5" t="str">
        <f>IFERROR(__xludf.DUMMYFUNCTION("GOOGLETRANSLATE(E36, ""en"", ""id"")"),"Tangan yang memegang perisai terbuka dan dianggap sebagai bagian dari area target yang valid.")</f>
        <v>Tangan yang memegang perisai terbuka dan dianggap sebagai bagian dari area target yang valid.</v>
      </c>
    </row>
    <row r="37">
      <c r="A37" s="3">
        <v>36.0</v>
      </c>
      <c r="B37" s="4" t="s">
        <v>744</v>
      </c>
      <c r="C37" s="4" t="s">
        <v>745</v>
      </c>
      <c r="D37" s="4" t="s">
        <v>746</v>
      </c>
      <c r="E37" s="4" t="s">
        <v>747</v>
      </c>
      <c r="G37" s="5" t="str">
        <f>IFERROR(__xludf.DUMMYFUNCTION("GOOGLETRANSLATE(A37, ""en"", ""id"")"),"36")</f>
        <v>36</v>
      </c>
      <c r="H37" s="5" t="str">
        <f>IFERROR(__xludf.DUMMYFUNCTION("GOOGLETRANSLATE(B37, ""en"", ""id"")"),"Jika serangan petarung memantul dari perisai lawan dan tidak sengaja mengenai kepala lawan, apa panggilannya?")</f>
        <v>Jika serangan petarung memantul dari perisai lawan dan tidak sengaja mengenai kepala lawan, apa panggilannya?</v>
      </c>
      <c r="I37" s="5" t="str">
        <f>IFERROR(__xludf.DUMMYFUNCTION("GOOGLETRANSLATE(C37, ""en"", ""id"")"),"A) Poin diberikan untuk pukulan tersebut, B) Ini adalah pelanggaran terhadap penyerang karena kontak kepala, C) Ini adalah insiden tanpa kesalahan dan ronde direset, D) Ini adalah pelanggaran terhadap bek karena pemblokiran yang buruk")</f>
        <v>A) Poin diberikan untuk pukulan tersebut, B) Ini adalah pelanggaran terhadap penyerang karena kontak kepala, C) Ini adalah insiden tanpa kesalahan dan ronde direset, D) Ini adalah pelanggaran terhadap bek karena pemblokiran yang buruk</v>
      </c>
      <c r="J37" s="5" t="str">
        <f>IFERROR(__xludf.DUMMYFUNCTION("GOOGLETRANSLATE(D37, ""en"", ""id"")"),"B) Merupakan pelanggaran bagi penyerang karena kontak kepala")</f>
        <v>B) Merupakan pelanggaran bagi penyerang karena kontak kepala</v>
      </c>
      <c r="K37" s="5" t="str">
        <f>IFERROR(__xludf.DUMMYFUNCTION("GOOGLETRANSLATE(E37, ""en"", ""id"")"),"Penyerang bertanggung jawab atas senjatanya. Setiap kontak dengan kepala, baik disengaja maupun tidak, merupakan pelanggaran.")</f>
        <v>Penyerang bertanggung jawab atas senjatanya. Setiap kontak dengan kepala, baik disengaja maupun tidak, merupakan pelanggaran.</v>
      </c>
    </row>
    <row r="38">
      <c r="A38" s="3">
        <v>37.0</v>
      </c>
      <c r="B38" s="4" t="s">
        <v>748</v>
      </c>
      <c r="C38" s="4" t="s">
        <v>749</v>
      </c>
      <c r="D38" s="4" t="s">
        <v>750</v>
      </c>
      <c r="E38" s="4" t="s">
        <v>751</v>
      </c>
      <c r="G38" s="5" t="str">
        <f>IFERROR(__xludf.DUMMYFUNCTION("GOOGLETRANSLATE(A38, ""en"", ""id"")"),"37")</f>
        <v>37</v>
      </c>
      <c r="H38" s="5" t="str">
        <f>IFERROR(__xludf.DUMMYFUNCTION("GOOGLETRANSLATE(B38, ""en"", ""id"")"),"Penambahan modern apa yang telah dilakukan pada Peresean untuk meningkatkan keselamatan pesawat tempur?")</f>
        <v>Penambahan modern apa yang telah dilakukan pada Peresean untuk meningkatkan keselamatan pesawat tempur?</v>
      </c>
      <c r="I38" s="5" t="str">
        <f>IFERROR(__xludf.DUMMYFUNCTION("GOOGLETRANSLATE(C38, ""en"", ""id"")"),"A) Menggunakan tongkat yang diberi bantalan, B) Penggunaan penutup kepala dalam beberapa kompetisi, C) Memperbesar perisai, D) Melarang semua serangan")</f>
        <v>A) Menggunakan tongkat yang diberi bantalan, B) Penggunaan penutup kepala dalam beberapa kompetisi, C) Memperbesar perisai, D) Melarang semua serangan</v>
      </c>
      <c r="J38" s="5" t="str">
        <f>IFERROR(__xludf.DUMMYFUNCTION("GOOGLETRANSLATE(D38, ""en"", ""id"")"),"B) Penggunaan penutup kepala dalam beberapa kompetisi")</f>
        <v>B) Penggunaan penutup kepala dalam beberapa kompetisi</v>
      </c>
      <c r="K38" s="5" t="str">
        <f>IFERROR(__xludf.DUMMYFUNCTION("GOOGLETRANSLATE(E38, ""en"", ""id"")"),"Meskipun tidak selalu digunakan dalam suasana tradisional, beberapa turnamen terorganisasi mengharuskan penutup kepala untuk mengurangi risiko cedera.")</f>
        <v>Meskipun tidak selalu digunakan dalam suasana tradisional, beberapa turnamen terorganisasi mengharuskan penutup kepala untuk mengurangi risiko cedera.</v>
      </c>
    </row>
    <row r="39">
      <c r="A39" s="3">
        <v>38.0</v>
      </c>
      <c r="B39" s="4" t="s">
        <v>752</v>
      </c>
      <c r="C39" s="4" t="s">
        <v>753</v>
      </c>
      <c r="D39" s="4" t="s">
        <v>754</v>
      </c>
      <c r="E39" s="4" t="s">
        <v>755</v>
      </c>
      <c r="G39" s="5" t="str">
        <f>IFERROR(__xludf.DUMMYFUNCTION("GOOGLETRANSLATE(A39, ""en"", ""id"")"),"38")</f>
        <v>38</v>
      </c>
      <c r="H39" s="5" t="str">
        <f>IFERROR(__xludf.DUMMYFUNCTION("GOOGLETRANSLATE(B39, ""en"", ""id"")"),"Jika pertandingan berakhir dengan skor seri, apa hasil yang paling umum?")</f>
        <v>Jika pertandingan berakhir dengan skor seri, apa hasil yang paling umum?</v>
      </c>
      <c r="I39" s="5" t="str">
        <f>IFERROR(__xludf.DUMMYFUNCTION("GOOGLETRANSLATE(C39, ""en"", ""id"")"),"A) Pertandingan dinyatakan seri, B) Dilanjutkan dengan babak tambahan, C) Pemenangnya adalah petarung yang lebih agresif, D) Pemenangnya ditentukan oleh penonton.")</f>
        <v>A) Pertandingan dinyatakan seri, B) Dilanjutkan dengan babak tambahan, C) Pemenangnya adalah petarung yang lebih agresif, D) Pemenangnya ditentukan oleh penonton.</v>
      </c>
      <c r="J39" s="5" t="str">
        <f>IFERROR(__xludf.DUMMYFUNCTION("GOOGLETRANSLATE(D39, ""en"", ""id"")"),"A) Pertandingan dinyatakan seri")</f>
        <v>A) Pertandingan dinyatakan seri</v>
      </c>
      <c r="K39" s="5" t="str">
        <f>IFERROR(__xludf.DUMMYFUNCTION("GOOGLETRANSLATE(E39, ""en"", ""id"")"),"Dalam banyak konteks tradisional, jika tidak ada pemenang yang jelas setelah babak final, pertandingan dinyatakan seri dengan saling menghormati.")</f>
        <v>Dalam banyak konteks tradisional, jika tidak ada pemenang yang jelas setelah babak final, pertandingan dinyatakan seri dengan saling menghormati.</v>
      </c>
    </row>
    <row r="40">
      <c r="A40" s="3">
        <v>39.0</v>
      </c>
      <c r="B40" s="4" t="s">
        <v>756</v>
      </c>
      <c r="C40" s="4" t="s">
        <v>757</v>
      </c>
      <c r="D40" s="4" t="s">
        <v>758</v>
      </c>
      <c r="E40" s="4" t="s">
        <v>759</v>
      </c>
      <c r="G40" s="5" t="str">
        <f>IFERROR(__xludf.DUMMYFUNCTION("GOOGLETRANSLATE(A40, ""en"", ""id"")"),"39")</f>
        <v>39</v>
      </c>
      <c r="H40" s="5" t="str">
        <f>IFERROR(__xludf.DUMMYFUNCTION("GOOGLETRANSLATE(B40, ""en"", ""id"")"),"Seorang petarung mendaratkan pukulan, tetapi rotan menyentuh tanah saat melakukan gerakan lanjutan. Apa keputusannya?")</f>
        <v>Seorang petarung mendaratkan pukulan, tetapi rotan menyentuh tanah saat melakukan gerakan lanjutan. Apa keputusannya?</v>
      </c>
      <c r="I40" s="5" t="str">
        <f>IFERROR(__xludf.DUMMYFUNCTION("GOOGLETRANSLATE(C40, ""en"", ""id"")"),"A) Poinnya valid, B) Poinnya dibatalkan karena tongkat menyentuh tanah, C) Petarung diperingatkan karena teknik yang buruk, D) Poin diberikan kepada lawan")</f>
        <v>A) Poinnya valid, B) Poinnya dibatalkan karena tongkat menyentuh tanah, C) Petarung diperingatkan karena teknik yang buruk, D) Poin diberikan kepada lawan</v>
      </c>
      <c r="J40" s="5" t="str">
        <f>IFERROR(__xludf.DUMMYFUNCTION("GOOGLETRANSLATE(D40, ""en"", ""id"")"),"B) Poinnya menjadi nol karena tongkat menyentuh tanah")</f>
        <v>B) Poinnya menjadi nol karena tongkat menyentuh tanah</v>
      </c>
      <c r="K40" s="5" t="str">
        <f>IFERROR(__xludf.DUMMYFUNCTION("GOOGLETRANSLATE(E40, ""en"", ""id"")"),"Agar serangan dianggap sah, petarung harus mempertahankan kendali atas senjatanya selama seluruh gerakan, termasuk pemulihan.")</f>
        <v>Agar serangan dianggap sah, petarung harus mempertahankan kendali atas senjatanya selama seluruh gerakan, termasuk pemulihan.</v>
      </c>
    </row>
    <row r="41">
      <c r="A41" s="3">
        <v>40.0</v>
      </c>
      <c r="B41" s="4" t="s">
        <v>760</v>
      </c>
      <c r="C41" s="4" t="s">
        <v>761</v>
      </c>
      <c r="D41" s="4" t="s">
        <v>762</v>
      </c>
      <c r="E41" s="4" t="s">
        <v>763</v>
      </c>
      <c r="G41" s="5" t="str">
        <f>IFERROR(__xludf.DUMMYFUNCTION("GOOGLETRANSLATE(A41, ""en"", ""id"")"),"40")</f>
        <v>40</v>
      </c>
      <c r="H41" s="5" t="str">
        <f>IFERROR(__xludf.DUMMYFUNCTION("GOOGLETRANSLATE(B41, ""en"", ""id"")"),"Mengapa Peresean sering dipentaskan saat festival Bau Nyale di Lombok?")</f>
        <v>Mengapa Peresean sering dipentaskan saat festival Bau Nyale di Lombok?</v>
      </c>
      <c r="I41" s="5" t="str">
        <f>IFERROR(__xludf.DUMMYFUNCTION("GOOGLETRANSLATE(C41, ""en"", ""id"")"),"A) Ini adalah satu-satunya waktu dalam setahun yang diperbolehkan, B) Festival ini merayakan pahlawan Sasak dan tradisi prajurit, C) Ini adalah objek wisata, D) Cuaca terbaik untuk berperang")</f>
        <v>A) Ini adalah satu-satunya waktu dalam setahun yang diperbolehkan, B) Festival ini merayakan pahlawan Sasak dan tradisi prajurit, C) Ini adalah objek wisata, D) Cuaca terbaik untuk berperang</v>
      </c>
      <c r="J41" s="5" t="str">
        <f>IFERROR(__xludf.DUMMYFUNCTION("GOOGLETRANSLATE(D41, ""en"", ""id"")"),"B) Festival ini merayakan pahlawan Sasak dan tradisi prajuritnya")</f>
        <v>B) Festival ini merayakan pahlawan Sasak dan tradisi prajuritnya</v>
      </c>
      <c r="K41" s="5" t="str">
        <f>IFERROR(__xludf.DUMMYFUNCTION("GOOGLETRANSLATE(E41, ""en"", ""id"")"),"Festival Bau Nyale merupakan acara budaya besar, dan Peresean ditampilkan sebagai perwujudan kuat identitas dan warisan Sasak.")</f>
        <v>Festival Bau Nyale merupakan acara budaya besar, dan Peresean ditampilkan sebagai perwujudan kuat identitas dan warisan Sasak.</v>
      </c>
    </row>
    <row r="42">
      <c r="A42" s="3">
        <v>41.0</v>
      </c>
      <c r="B42" s="4" t="s">
        <v>764</v>
      </c>
      <c r="C42" s="4" t="s">
        <v>765</v>
      </c>
      <c r="D42" s="4" t="s">
        <v>766</v>
      </c>
      <c r="E42" s="4" t="s">
        <v>767</v>
      </c>
      <c r="G42" s="5" t="str">
        <f>IFERROR(__xludf.DUMMYFUNCTION("GOOGLETRANSLATE(A42, ""en"", ""id"")"),"41")</f>
        <v>41</v>
      </c>
      <c r="H42" s="5" t="str">
        <f>IFERROR(__xludf.DUMMYFUNCTION("GOOGLETRANSLATE(B42, ""en"", ""id"")"),"Seorang petarung secara tidak sengaja memukul kakinya sendiri saat berayun. Apa sebutannya?")</f>
        <v>Seorang petarung secara tidak sengaja memukul kakinya sendiri saat berayun. Apa sebutannya?</v>
      </c>
      <c r="I42" s="5" t="str">
        <f>IFERROR(__xludf.DUMMYFUNCTION("GOOGLETRANSLATE(C42, ""en"", ""id"")"),"A) Pertandingan dihentikan karena cedera, B) Poin diberikan kepada lawan, C) Pertandingan berlanjut tanpa poin, D) Petarung didiskualifikasi")</f>
        <v>A) Pertandingan dihentikan karena cedera, B) Poin diberikan kepada lawan, C) Pertandingan berlanjut tanpa poin, D) Petarung didiskualifikasi</v>
      </c>
      <c r="J42" s="5" t="str">
        <f>IFERROR(__xludf.DUMMYFUNCTION("GOOGLETRANSLATE(D42, ""en"", ""id"")"),"B) Poin diberikan kepada lawan")</f>
        <v>B) Poin diberikan kepada lawan</v>
      </c>
      <c r="K42" s="5" t="str">
        <f>IFERROR(__xludf.DUMMYFUNCTION("GOOGLETRANSLATE(E42, ""en"", ""id"")"),"Pukulan yang dilakukan sendiri dianggap sebagai hilangnya kendali, dan poin diberikan kepada lawan.")</f>
        <v>Pukulan yang dilakukan sendiri dianggap sebagai hilangnya kendali, dan poin diberikan kepada lawan.</v>
      </c>
    </row>
    <row r="43">
      <c r="A43" s="3">
        <v>42.0</v>
      </c>
      <c r="B43" s="4" t="s">
        <v>768</v>
      </c>
      <c r="C43" s="4" t="s">
        <v>769</v>
      </c>
      <c r="D43" s="4" t="s">
        <v>770</v>
      </c>
      <c r="E43" s="4" t="s">
        <v>771</v>
      </c>
      <c r="G43" s="5" t="str">
        <f>IFERROR(__xludf.DUMMYFUNCTION("GOOGLETRANSLATE(A43, ""en"", ""id"")"),"42")</f>
        <v>42</v>
      </c>
      <c r="H43" s="5" t="str">
        <f>IFERROR(__xludf.DUMMYFUNCTION("GOOGLETRANSLATE(B43, ""en"", ""id"")"),"Istilah ""Peresean"" berasal dari kata ""perisai"". Apa arti ""perisai""?")</f>
        <v>Istilah "Peresean" berasal dari kata "perisai". Apa arti "perisai"?</v>
      </c>
      <c r="I43" s="5" t="str">
        <f>IFERROR(__xludf.DUMMYFUNCTION("GOOGLETRANSLATE(C43, ""en"", ""id"")"),"A) Tongkat, B) Bertarung, C) Perisai, D) Keberanian")</f>
        <v>A) Tongkat, B) Bertarung, C) Perisai, D) Keberanian</v>
      </c>
      <c r="J43" s="5" t="str">
        <f>IFERROR(__xludf.DUMMYFUNCTION("GOOGLETRANSLATE(D43, ""en"", ""id"")"),"C) Perisai")</f>
        <v>C) Perisai</v>
      </c>
      <c r="K43" s="5" t="str">
        <f>IFERROR(__xludf.DUMMYFUNCTION("GOOGLETRANSLATE(E43, ""en"", ""id"")"),"Nama olahraga ini menekankan pentingnya perisai dalam bentuk pertarungan tradisional ini.")</f>
        <v>Nama olahraga ini menekankan pentingnya perisai dalam bentuk pertarungan tradisional ini.</v>
      </c>
    </row>
    <row r="44">
      <c r="A44" s="3">
        <v>43.0</v>
      </c>
      <c r="B44" s="4" t="s">
        <v>772</v>
      </c>
      <c r="C44" s="4" t="s">
        <v>773</v>
      </c>
      <c r="D44" s="4" t="s">
        <v>774</v>
      </c>
      <c r="E44" s="4" t="s">
        <v>775</v>
      </c>
      <c r="G44" s="5" t="str">
        <f>IFERROR(__xludf.DUMMYFUNCTION("GOOGLETRANSLATE(A44, ""en"", ""id"")"),"43")</f>
        <v>43</v>
      </c>
      <c r="H44" s="5" t="str">
        <f>IFERROR(__xludf.DUMMYFUNCTION("GOOGLETRANSLATE(B44, ""en"", ""id"")"),"Apakah seorang petarung diperbolehkan mengganti tongkat dan perisai ke tangan yang berlawanan selama pertandingan?")</f>
        <v>Apakah seorang petarung diperbolehkan mengganti tongkat dan perisai ke tangan yang berlawanan selama pertandingan?</v>
      </c>
      <c r="I44" s="5" t="str">
        <f>IFERROR(__xludf.DUMMYFUNCTION("GOOGLETRANSLATE(C44, ""en"", ""id"")"),"A) Tidak, dilarang, B) Ya, diperbolehkan dan bisa menjadi langkah strategis, C) Hanya di antara ronde, D) Hanya jika wasit menyetujuinya")</f>
        <v>A) Tidak, dilarang, B) Ya, diperbolehkan dan bisa menjadi langkah strategis, C) Hanya di antara ronde, D) Hanya jika wasit menyetujuinya</v>
      </c>
      <c r="J44" s="5" t="str">
        <f>IFERROR(__xludf.DUMMYFUNCTION("GOOGLETRANSLATE(D44, ""en"", ""id"")"),"B) Ya, hal itu diperbolehkan dan bisa menjadi langkah strategis.")</f>
        <v>B) Ya, hal itu diperbolehkan dan bisa menjadi langkah strategis.</v>
      </c>
      <c r="K44" s="5" t="str">
        <f>IFERROR(__xludf.DUMMYFUNCTION("GOOGLETRANSLATE(E44, ""en"", ""id"")"),"Seorang petarung yang terampil dapat mengganti posisi untuk membingungkan lawan atau menyerang dari sudut yang berbeda.")</f>
        <v>Seorang petarung yang terampil dapat mengganti posisi untuk membingungkan lawan atau menyerang dari sudut yang berbeda.</v>
      </c>
    </row>
    <row r="45">
      <c r="A45" s="3">
        <v>44.0</v>
      </c>
      <c r="B45" s="4" t="s">
        <v>776</v>
      </c>
      <c r="C45" s="4" t="s">
        <v>777</v>
      </c>
      <c r="D45" s="4" t="s">
        <v>24</v>
      </c>
      <c r="E45" s="4" t="s">
        <v>778</v>
      </c>
      <c r="G45" s="5" t="str">
        <f>IFERROR(__xludf.DUMMYFUNCTION("GOOGLETRANSLATE(A45, ""en"", ""id"")"),"44")</f>
        <v>44</v>
      </c>
      <c r="H45" s="5" t="str">
        <f>IFERROR(__xludf.DUMMYFUNCTION("GOOGLETRANSLATE(B45, ""en"", ""id"")"),"Apa hukumnya jika seorang petarung jelas-jelas mabuk sebelum bertanding?")</f>
        <v>Apa hukumnya jika seorang petarung jelas-jelas mabuk sebelum bertanding?</v>
      </c>
      <c r="I45" s="5" t="str">
        <f>IFERROR(__xludf.DUMMYFUNCTION("GOOGLETRANSLATE(C45, ""en"", ""id"")"),"A) Mereka diperbolehkan bertarung dengan risiko mereka sendiri, B) Mereka langsung didiskualifikasi, C) Mereka diberi handicap, D) Pertandingan ditunda")</f>
        <v>A) Mereka diperbolehkan bertarung dengan risiko mereka sendiri, B) Mereka langsung didiskualifikasi, C) Mereka diberi handicap, D) Pertandingan ditunda</v>
      </c>
      <c r="J45" s="5" t="str">
        <f>IFERROR(__xludf.DUMMYFUNCTION("GOOGLETRANSLATE(D45, ""en"", ""id"")"),"B) Mereka langsung didiskualifikasi")</f>
        <v>B) Mereka langsung didiskualifikasi</v>
      </c>
      <c r="K45" s="5" t="str">
        <f>IFERROR(__xludf.DUMMYFUNCTION("GOOGLETRANSLATE(E45, ""en"", ""id"")"),"Demi keselamatan kedua peserta, perkelahian di bawah pengaruh alkohol atau narkoba dilarang keras.")</f>
        <v>Demi keselamatan kedua peserta, perkelahian di bawah pengaruh alkohol atau narkoba dilarang keras.</v>
      </c>
    </row>
    <row r="46">
      <c r="A46" s="3">
        <v>45.0</v>
      </c>
      <c r="B46" s="4" t="s">
        <v>779</v>
      </c>
      <c r="C46" s="4" t="s">
        <v>780</v>
      </c>
      <c r="D46" s="4" t="s">
        <v>781</v>
      </c>
      <c r="E46" s="4" t="s">
        <v>782</v>
      </c>
      <c r="G46" s="5" t="str">
        <f>IFERROR(__xludf.DUMMYFUNCTION("GOOGLETRANSLATE(A46, ""en"", ""id"")"),"45")</f>
        <v>45</v>
      </c>
      <c r="H46" s="5" t="str">
        <f>IFERROR(__xludf.DUMMYFUNCTION("GOOGLETRANSLATE(B46, ""en"", ""id"")"),"Seorang petarung menang dengan KO. Apa artinya ini dalam konteks Peresean?")</f>
        <v>Seorang petarung menang dengan KO. Apa artinya ini dalam konteks Peresean?</v>
      </c>
      <c r="I46" s="5" t="str">
        <f>IFERROR(__xludf.DUMMYFUNCTION("GOOGLETRANSLATE(C46, ""en"", ""id"")"),"A) Lawan dibuat pingsan, B) Lawan dilucuti senjatanya, C) Lawan didorong keluar arena, D) Ini bukan istilah yang digunakan dalam Peresean; kemenangan ditentukan dengan poin")</f>
        <v>A) Lawan dibuat pingsan, B) Lawan dilucuti senjatanya, C) Lawan didorong keluar arena, D) Ini bukan istilah yang digunakan dalam Peresean; kemenangan ditentukan dengan poin</v>
      </c>
      <c r="J46" s="5" t="str">
        <f>IFERROR(__xludf.DUMMYFUNCTION("GOOGLETRANSLATE(D46, ""en"", ""id"")"),"D) Bukan istilah yang digunakan dalam Peresean, kemenangan ditentukan dengan poin")</f>
        <v>D) Bukan istilah yang digunakan dalam Peresean, kemenangan ditentukan dengan poin</v>
      </c>
      <c r="K46" s="5" t="str">
        <f>IFERROR(__xludf.DUMMYFUNCTION("GOOGLETRANSLATE(E46, ""en"", ""id"")"),"Peresean adalah seni mencetak poin. Meskipun seorang petarung mungkin menyerah, konsep KO seperti dalam tinju tidak berlaku.")</f>
        <v>Peresean adalah seni mencetak poin. Meskipun seorang petarung mungkin menyerah, konsep KO seperti dalam tinju tidak berlaku.</v>
      </c>
    </row>
    <row r="47">
      <c r="A47" s="3">
        <v>46.0</v>
      </c>
      <c r="B47" s="4" t="s">
        <v>783</v>
      </c>
      <c r="C47" s="4" t="s">
        <v>784</v>
      </c>
      <c r="D47" s="4" t="s">
        <v>785</v>
      </c>
      <c r="E47" s="4" t="s">
        <v>786</v>
      </c>
      <c r="G47" s="5" t="str">
        <f>IFERROR(__xludf.DUMMYFUNCTION("GOOGLETRANSLATE(A47, ""en"", ""id"")"),"46")</f>
        <v>46</v>
      </c>
      <c r="H47" s="5" t="str">
        <f>IFERROR(__xludf.DUMMYFUNCTION("GOOGLETRANSLATE(B47, ""en"", ""id"")"),"Jika seorang petarung yakin wasit telah melakukan kesalahan, apa prosedur yang tepat?")</f>
        <v>Jika seorang petarung yakin wasit telah melakukan kesalahan, apa prosedur yang tepat?</v>
      </c>
      <c r="I47" s="5" t="str">
        <f>IFERROR(__xludf.DUMMYFUNCTION("GOOGLETRANSLATE(C47, ""en"", ""id"")"),"A) Berhenti berkelahi dan berdebat dengan wasit, B) Minta pengadok (kedua) mengajukan protes resmi di antara ronde, C) Ajak penonton, D) Terus berkelahi dan protes nanti")</f>
        <v>A) Berhenti berkelahi dan berdebat dengan wasit, B) Minta pengadok (kedua) mengajukan protes resmi di antara ronde, C) Ajak penonton, D) Terus berkelahi dan protes nanti</v>
      </c>
      <c r="J47" s="5" t="str">
        <f>IFERROR(__xludf.DUMMYFUNCTION("GOOGLETRANSLATE(D47, ""en"", ""id"")"),"B) Minta pengadok (kedua) mengajukan protes resmi di antara putaran")</f>
        <v>B) Minta pengadok (kedua) mengajukan protes resmi di antara putaran</v>
      </c>
      <c r="K47" s="5" t="str">
        <f>IFERROR(__xludf.DUMMYFUNCTION("GOOGLETRANSLATE(E47, ""en"", ""id"")"),"Protes harus ditangani secara tertib melalui sudut petarung, bukan dengan menghentikan pertandingan.")</f>
        <v>Protes harus ditangani secara tertib melalui sudut petarung, bukan dengan menghentikan pertandingan.</v>
      </c>
    </row>
    <row r="48">
      <c r="A48" s="3">
        <v>47.0</v>
      </c>
      <c r="B48" s="4" t="s">
        <v>787</v>
      </c>
      <c r="C48" s="4" t="s">
        <v>788</v>
      </c>
      <c r="D48" s="4" t="s">
        <v>789</v>
      </c>
      <c r="E48" s="4" t="s">
        <v>790</v>
      </c>
      <c r="G48" s="5" t="str">
        <f>IFERROR(__xludf.DUMMYFUNCTION("GOOGLETRANSLATE(A48, ""en"", ""id"")"),"47")</f>
        <v>47</v>
      </c>
      <c r="H48" s="5" t="str">
        <f>IFERROR(__xludf.DUMMYFUNCTION("GOOGLETRANSLATE(B48, ""en"", ""id"")"),"Ikat kepala seorang petarung terlepas saat bertukar ikat pinggang. Apa yang seharusnya terjadi?")</f>
        <v>Ikat kepala seorang petarung terlepas saat bertukar ikat pinggang. Apa yang seharusnya terjadi?</v>
      </c>
      <c r="I48" s="5" t="str">
        <f>IFERROR(__xludf.DUMMYFUNCTION("GOOGLETRANSLATE(C48, ""en"", ""id"")"),"A) Petarung didiskualifikasi, B) Pertandingan dihentikan sementara untuk memungkinkan mereka memakainya kembali, C) Pertandingan berlanjut tanpa gangguan, D) Satu poin diberikan kepada lawan")</f>
        <v>A) Petarung didiskualifikasi, B) Pertandingan dihentikan sementara untuk memungkinkan mereka memakainya kembali, C) Pertandingan berlanjut tanpa gangguan, D) Satu poin diberikan kepada lawan</v>
      </c>
      <c r="J48" s="5" t="str">
        <f>IFERROR(__xludf.DUMMYFUNCTION("GOOGLETRANSLATE(D48, ""en"", ""id"")"),"C) Pertandingan terus berlanjut tanpa gangguan")</f>
        <v>C) Pertandingan terus berlanjut tanpa gangguan</v>
      </c>
      <c r="K48" s="5" t="str">
        <f>IFERROR(__xludf.DUMMYFUNCTION("GOOGLETRANSLATE(E48, ""en"", ""id"")"),"Ikat kepala merupakan bagian dari pakaian tradisional tetapi bukan perlengkapan keselamatan yang penting, jadi kehilangannya tidak menjamin dihentikannya pertarungan.")</f>
        <v>Ikat kepala merupakan bagian dari pakaian tradisional tetapi bukan perlengkapan keselamatan yang penting, jadi kehilangannya tidak menjamin dihentikannya pertarungan.</v>
      </c>
    </row>
    <row r="49">
      <c r="A49" s="3">
        <v>48.0</v>
      </c>
      <c r="B49" s="4" t="s">
        <v>791</v>
      </c>
      <c r="C49" s="4" t="s">
        <v>792</v>
      </c>
      <c r="D49" s="4" t="s">
        <v>793</v>
      </c>
      <c r="E49" s="4" t="s">
        <v>794</v>
      </c>
      <c r="G49" s="5" t="str">
        <f>IFERROR(__xludf.DUMMYFUNCTION("GOOGLETRANSLATE(A49, ""en"", ""id"")"),"48")</f>
        <v>48</v>
      </c>
      <c r="H49" s="5" t="str">
        <f>IFERROR(__xludf.DUMMYFUNCTION("GOOGLETRANSLATE(B49, ""en"", ""id"")"),"Apa makna filosofis dari para pejuang yang seringkali merupakan orang asing dari desa yang berbeda?")</f>
        <v>Apa makna filosofis dari para pejuang yang seringkali merupakan orang asing dari desa yang berbeda?</v>
      </c>
      <c r="I49" s="5" t="str">
        <f>IFERROR(__xludf.DUMMYFUNCTION("GOOGLETRANSLATE(C49, ""en"", ""id"")"),"A) Untuk menyelesaikan perselisihan lama, B) Untuk membangun ikatan dan solidaritas antar masyarakat melalui olahraga, C) Untuk membuat perkelahian lebih agresif, D) Untuk mencegah kecurangan")</f>
        <v>A) Untuk menyelesaikan perselisihan lama, B) Untuk membangun ikatan dan solidaritas antar masyarakat melalui olahraga, C) Untuk membuat perkelahian lebih agresif, D) Untuk mencegah kecurangan</v>
      </c>
      <c r="J49" s="5" t="str">
        <f>IFERROR(__xludf.DUMMYFUNCTION("GOOGLETRANSLATE(D49, ""en"", ""id"")"),"B) Membangun ikatan dan solidaritas antar masyarakat melalui olahraga")</f>
        <v>B) Membangun ikatan dan solidaritas antar masyarakat melalui olahraga</v>
      </c>
      <c r="K49" s="5" t="str">
        <f>IFERROR(__xludf.DUMMYFUNCTION("GOOGLETRANSLATE(E49, ""en"", ""id"")"),"Dengan berkompetisi secara saling menghormati, Peresean bertindak sebagai cara untuk memperkuat ikatan dan menumbuhkan rasa identitas bersama di antara desa-desa Sasak.")</f>
        <v>Dengan berkompetisi secara saling menghormati, Peresean bertindak sebagai cara untuk memperkuat ikatan dan menumbuhkan rasa identitas bersama di antara desa-desa Sasak.</v>
      </c>
    </row>
    <row r="50">
      <c r="A50" s="3">
        <v>49.0</v>
      </c>
      <c r="B50" s="4" t="s">
        <v>795</v>
      </c>
      <c r="C50" s="4" t="s">
        <v>796</v>
      </c>
      <c r="D50" s="4" t="s">
        <v>797</v>
      </c>
      <c r="E50" s="4" t="s">
        <v>798</v>
      </c>
      <c r="G50" s="5" t="str">
        <f>IFERROR(__xludf.DUMMYFUNCTION("GOOGLETRANSLATE(A50, ""en"", ""id"")"),"49")</f>
        <v>49</v>
      </c>
      <c r="H50" s="5" t="str">
        <f>IFERROR(__xludf.DUMMYFUNCTION("GOOGLETRANSLATE(B50, ""en"", ""id"")"),"Seorang petarung memukul badan lawan dengan ujung tongkat rotan. Apakah ini pukulan yang sah?")</f>
        <v>Seorang petarung memukul badan lawan dengan ujung tongkat rotan. Apakah ini pukulan yang sah?</v>
      </c>
      <c r="I50" s="5" t="str">
        <f>IFERROR(__xludf.DUMMYFUNCTION("GOOGLETRANSLATE(C50, ""en"", ""id"")"),"A) Tidak, hanya ujungnya saja yang boleh digunakan, B) Ya, bagian manapun dari tongkat pemukul boleh digunakan untuk melakukan strike yang sah, C) Itu adalah pelanggaran, D) Hanya jika wasit mengizinkannya")</f>
        <v>A) Tidak, hanya ujungnya saja yang boleh digunakan, B) Ya, bagian manapun dari tongkat pemukul boleh digunakan untuk melakukan strike yang sah, C) Itu adalah pelanggaran, D) Hanya jika wasit mengizinkannya</v>
      </c>
      <c r="J50" s="5" t="str">
        <f>IFERROR(__xludf.DUMMYFUNCTION("GOOGLETRANSLATE(D50, ""en"", ""id"")"),"B) Ya, bagian mana pun dari tongkat dapat digunakan untuk melakukan pemogokan yang sah.")</f>
        <v>B) Ya, bagian mana pun dari tongkat dapat digunakan untuk melakukan pemogokan yang sah.</v>
      </c>
      <c r="K50" s="5" t="str">
        <f>IFERROR(__xludf.DUMMYFUNCTION("GOOGLETRANSLATE(E50, ""en"", ""id"")"),"Selama serangan mendarat di area target yang sah, tidak masalah bagian tongkat mana yang melakukan kontak.")</f>
        <v>Selama serangan mendarat di area target yang sah, tidak masalah bagian tongkat mana yang melakukan kontak.</v>
      </c>
    </row>
    <row r="51">
      <c r="A51" s="3">
        <v>50.0</v>
      </c>
      <c r="B51" s="4" t="s">
        <v>799</v>
      </c>
      <c r="C51" s="4" t="s">
        <v>800</v>
      </c>
      <c r="D51" s="4" t="s">
        <v>801</v>
      </c>
      <c r="E51" s="4" t="s">
        <v>802</v>
      </c>
      <c r="G51" s="5" t="str">
        <f>IFERROR(__xludf.DUMMYFUNCTION("GOOGLETRANSLATE(A51, ""en"", ""id"")"),"50")</f>
        <v>50</v>
      </c>
      <c r="H51" s="5" t="str">
        <f>IFERROR(__xludf.DUMMYFUNCTION("GOOGLETRANSLATE(B51, ""en"", ""id"")"),"Di akhir pertandingan, apa gestur yang diharapkan antara kedua pepadu, terlepas dari hasilnya?")</f>
        <v>Di akhir pertandingan, apa gestur yang diharapkan antara kedua pepadu, terlepas dari hasilnya?</v>
      </c>
      <c r="I51" s="5" t="str">
        <f>IFERROR(__xludf.DUMMYFUNCTION("GOOGLETRANSLATE(C51, ""en"", ""id"")"),"A) Mereka bertukar perisai, B) Mereka segera meninggalkan arena, C) Mereka berpelukan atau berjabat tangan sebagai tanda sportivitas, D) Mereka saling menantang untuk bertanding ulang")</f>
        <v>A) Mereka bertukar perisai, B) Mereka segera meninggalkan arena, C) Mereka berpelukan atau berjabat tangan sebagai tanda sportivitas, D) Mereka saling menantang untuk bertanding ulang</v>
      </c>
      <c r="J51" s="5" t="str">
        <f>IFERROR(__xludf.DUMMYFUNCTION("GOOGLETRANSLATE(D51, ""en"", ""id"")"),"C) Mereka berpelukan atau berjabat tangan sebagai tanda sportivitas")</f>
        <v>C) Mereka berpelukan atau berjabat tangan sebagai tanda sportivitas</v>
      </c>
      <c r="K51" s="5" t="str">
        <f>IFERROR(__xludf.DUMMYFUNCTION("GOOGLETRANSLATE(E51, ""en"", ""id"")"),"Rasa hormat dan persaudaraan merupakan prinsip inti olahraga ini; para petarung diharapkan menunjukkan rasa saling menghormati setelah pertandingan.")</f>
        <v>Rasa hormat dan persaudaraan merupakan prinsip inti olahraga ini; para petarung diharapkan menunjukkan rasa saling menghormati setelah pertandingan.</v>
      </c>
    </row>
    <row r="52">
      <c r="A52" s="3">
        <v>51.0</v>
      </c>
      <c r="B52" s="4" t="s">
        <v>803</v>
      </c>
      <c r="C52" s="4" t="s">
        <v>804</v>
      </c>
      <c r="D52" s="4" t="s">
        <v>448</v>
      </c>
      <c r="E52" s="4" t="s">
        <v>805</v>
      </c>
      <c r="G52" s="5" t="str">
        <f>IFERROR(__xludf.DUMMYFUNCTION("GOOGLETRANSLATE(A52, ""en"", ""id"")"),"51")</f>
        <v>51</v>
      </c>
      <c r="H52" s="5" t="str">
        <f>IFERROR(__xludf.DUMMYFUNCTION("GOOGLETRANSLATE(B52, ""en"", ""id"")"),"Apa tindakan pertahanan utama yang dapat dilakukan petarung terhadap serangan?")</f>
        <v>Apa tindakan pertahanan utama yang dapat dilakukan petarung terhadap serangan?</v>
      </c>
      <c r="I52" s="5" t="str">
        <f>IFERROR(__xludf.DUMMYFUNCTION("GOOGLETRANSLATE(C52, ""en"", ""id"")"),"A) Memblokir dengan perisai, B) Menghindar atau menghindar, C) Menangkap tongkat, D) Semua jawaban di atas")</f>
        <v>A) Memblokir dengan perisai, B) Menghindar atau menghindar, C) Menangkap tongkat, D) Semua jawaban di atas</v>
      </c>
      <c r="J52" s="5" t="str">
        <f>IFERROR(__xludf.DUMMYFUNCTION("GOOGLETRANSLATE(D52, ""en"", ""id"")"),"D) Semua jawaban di atas")</f>
        <v>D) Semua jawaban di atas</v>
      </c>
      <c r="K52" s="5" t="str">
        <f>IFERROR(__xludf.DUMMYFUNCTION("GOOGLETRANSLATE(E52, ""en"", ""id"")"),"Seorang petarung dapat menggunakan perisainya, gerakan tubuh, atau bahkan mencoba menangkap tongkat rotan sebagai manuver pertahanan yang sah.")</f>
        <v>Seorang petarung dapat menggunakan perisainya, gerakan tubuh, atau bahkan mencoba menangkap tongkat rotan sebagai manuver pertahanan yang sah.</v>
      </c>
    </row>
    <row r="53">
      <c r="A53" s="3">
        <v>52.0</v>
      </c>
      <c r="B53" s="4" t="s">
        <v>806</v>
      </c>
      <c r="C53" s="4" t="s">
        <v>807</v>
      </c>
      <c r="D53" s="4" t="s">
        <v>808</v>
      </c>
      <c r="E53" s="4" t="s">
        <v>809</v>
      </c>
      <c r="G53" s="5" t="str">
        <f>IFERROR(__xludf.DUMMYFUNCTION("GOOGLETRANSLATE(A53, ""en"", ""id"")"),"52")</f>
        <v>52</v>
      </c>
      <c r="H53" s="5" t="str">
        <f>IFERROR(__xludf.DUMMYFUNCTION("GOOGLETRANSLATE(B53, ""en"", ""id"")"),"Jika pertandingan diadakan di gedung olahraga modern dan bukan di arena luar ruangan tradisional, elemen apa yang sering hilang?")</f>
        <v>Jika pertandingan diadakan di gedung olahraga modern dan bukan di arena luar ruangan tradisional, elemen apa yang sering hilang?</v>
      </c>
      <c r="I53" s="5" t="str">
        <f>IFERROR(__xludf.DUMMYFUNCTION("GOOGLETRANSLATE(C53, ""en"", ""id"")"),"A) Wasit, B) Suasana ritual dan spiritual, C) Sistem penilaian, D) Tongkat rotan")</f>
        <v>A) Wasit, B) Suasana ritual dan spiritual, C) Sistem penilaian, D) Tongkat rotan</v>
      </c>
      <c r="J53" s="5" t="str">
        <f>IFERROR(__xludf.DUMMYFUNCTION("GOOGLETRANSLATE(D53, ""en"", ""id"")"),"B) Suasana ritualistik dan spiritual")</f>
        <v>B) Suasana ritualistik dan spiritual</v>
      </c>
      <c r="K53" s="5" t="str">
        <f>IFERROR(__xludf.DUMMYFUNCTION("GOOGLETRANSLATE(E53, ""en"", ""id"")"),"Hubungan dengan bumi, udara terbuka, dan suasana desa tradisional merupakan bagian utama pengalaman Peresean.")</f>
        <v>Hubungan dengan bumi, udara terbuka, dan suasana desa tradisional merupakan bagian utama pengalaman Peresean.</v>
      </c>
    </row>
    <row r="54">
      <c r="A54" s="3">
        <v>53.0</v>
      </c>
      <c r="B54" s="4" t="s">
        <v>810</v>
      </c>
      <c r="C54" s="4" t="s">
        <v>811</v>
      </c>
      <c r="D54" s="4" t="s">
        <v>812</v>
      </c>
      <c r="E54" s="4" t="s">
        <v>813</v>
      </c>
      <c r="G54" s="5" t="str">
        <f>IFERROR(__xludf.DUMMYFUNCTION("GOOGLETRANSLATE(A54, ""en"", ""id"")"),"53")</f>
        <v>53</v>
      </c>
      <c r="H54" s="5" t="str">
        <f>IFERROR(__xludf.DUMMYFUNCTION("GOOGLETRANSLATE(B54, ""en"", ""id"")"),"Seorang petarung diperingatkan karena membelakangi lawannya saat bertukar posisi. Mengapa ini dianggap pelanggaran?")</f>
        <v>Seorang petarung diperingatkan karena membelakangi lawannya saat bertukar posisi. Mengapa ini dianggap pelanggaran?</v>
      </c>
      <c r="I54" s="5" t="str">
        <f>IFERROR(__xludf.DUMMYFUNCTION("GOOGLETRANSLATE(C54, ""en"", ""id"")"),"A) Tidak sopan, B) Posisi ini sangat pasif dan tidak dijaga, C) Membuat tidak mungkin mencetak gol, D) Menghalangi pandangan wasit")</f>
        <v>A) Tidak sopan, B) Posisi ini sangat pasif dan tidak dijaga, C) Membuat tidak mungkin mencetak gol, D) Menghalangi pandangan wasit</v>
      </c>
      <c r="J54" s="5" t="str">
        <f>IFERROR(__xludf.DUMMYFUNCTION("GOOGLETRANSLATE(D54, ""en"", ""id"")"),"B) Ini adalah posisi yang sangat pasif dan tidak dipertahankan")</f>
        <v>B) Ini adalah posisi yang sangat pasif dan tidak dipertahankan</v>
      </c>
      <c r="K54" s="5" t="str">
        <f>IFERROR(__xludf.DUMMYFUNCTION("GOOGLETRANSLATE(E54, ""en"", ""id"")"),"Memalingkan muka dari lawan dilarang karena hal itu menghalangi petarung untuk berpartisipasi aktif dan membela diri, yang mana tidak aman.")</f>
        <v>Memalingkan muka dari lawan dilarang karena hal itu menghalangi petarung untuk berpartisipasi aktif dan membela diri, yang mana tidak aman.</v>
      </c>
    </row>
    <row r="55">
      <c r="A55" s="3">
        <v>54.0</v>
      </c>
      <c r="B55" s="4" t="s">
        <v>814</v>
      </c>
      <c r="C55" s="4" t="s">
        <v>815</v>
      </c>
      <c r="D55" s="4" t="s">
        <v>816</v>
      </c>
      <c r="E55" s="4" t="s">
        <v>817</v>
      </c>
      <c r="G55" s="5" t="str">
        <f>IFERROR(__xludf.DUMMYFUNCTION("GOOGLETRANSLATE(A55, ""en"", ""id"")"),"54")</f>
        <v>54</v>
      </c>
      <c r="H55" s="5" t="str">
        <f>IFERROR(__xludf.DUMMYFUNCTION("GOOGLETRANSLATE(B55, ""en"", ""id"")"),"Berapa panjang tongkat rotan (penjalin) yang biasa digunakan dalam Peresean?")</f>
        <v>Berapa panjang tongkat rotan (penjalin) yang biasa digunakan dalam Peresean?</v>
      </c>
      <c r="I55" s="5" t="str">
        <f>IFERROR(__xludf.DUMMYFUNCTION("GOOGLETRANSLATE(C55, ""en"", ""id"")"),"A) 0,5 meter, B) 1 meter, C) 1,5 meter, D) 2 meter")</f>
        <v>A) 0,5 meter, B) 1 meter, C) 1,5 meter, D) 2 meter</v>
      </c>
      <c r="J55" s="5" t="str">
        <f>IFERROR(__xludf.DUMMYFUNCTION("GOOGLETRANSLATE(D55, ""en"", ""id"")"),"B) 1 meter")</f>
        <v>B) 1 meter</v>
      </c>
      <c r="K55" s="5" t="str">
        <f>IFERROR(__xludf.DUMMYFUNCTION("GOOGLETRANSLATE(E55, ""en"", ""id"")"),"Tongkat tersebut biasanya berukuran panjang sekitar satu meter, memberikan keseimbangan jangkauan dan kemampuan manuver.")</f>
        <v>Tongkat tersebut biasanya berukuran panjang sekitar satu meter, memberikan keseimbangan jangkauan dan kemampuan manuver.</v>
      </c>
    </row>
    <row r="56">
      <c r="A56" s="3">
        <v>55.0</v>
      </c>
      <c r="B56" s="4" t="s">
        <v>818</v>
      </c>
      <c r="C56" s="4" t="s">
        <v>819</v>
      </c>
      <c r="D56" s="4" t="s">
        <v>820</v>
      </c>
      <c r="E56" s="4" t="s">
        <v>821</v>
      </c>
      <c r="G56" s="5" t="str">
        <f>IFERROR(__xludf.DUMMYFUNCTION("GOOGLETRANSLATE(A56, ""en"", ""id"")"),"55")</f>
        <v>55</v>
      </c>
      <c r="H56" s="5" t="str">
        <f>IFERROR(__xludf.DUMMYFUNCTION("GOOGLETRANSLATE(B56, ""en"", ""id"")"),"Bisakah seorang petarung mencetak poin dengan menyerang perisai lawan?")</f>
        <v>Bisakah seorang petarung mencetak poin dengan menyerang perisai lawan?</v>
      </c>
      <c r="I56" s="5" t="str">
        <f>IFERROR(__xludf.DUMMYFUNCTION("GOOGLETRANSLATE(C56, ""en"", ""id"")"),"A) Ya, jika pukulannya cukup keras, B) Tidak, perisai bukan target skor, C) Hanya jika menyebabkan lawan menjatuhkan perisai, D) Poin parsial diberikan")</f>
        <v>A) Ya, jika pukulannya cukup keras, B) Tidak, perisai bukan target skor, C) Hanya jika menyebabkan lawan menjatuhkan perisai, D) Poin parsial diberikan</v>
      </c>
      <c r="J56" s="5" t="str">
        <f>IFERROR(__xludf.DUMMYFUNCTION("GOOGLETRANSLATE(D56, ""en"", ""id"")"),"B) Tidak, perisai bukanlah target skor")</f>
        <v>B) Tidak, perisai bukanlah target skor</v>
      </c>
      <c r="K56" s="5" t="str">
        <f>IFERROR(__xludf.DUMMYFUNCTION("GOOGLETRANSLATE(E56, ""en"", ""id"")"),"Tujuannya adalah menyerang tubuh lawan. Memukul perisai hanyalah serangan yang diblokir.")</f>
        <v>Tujuannya adalah menyerang tubuh lawan. Memukul perisai hanyalah serangan yang diblokir.</v>
      </c>
    </row>
    <row r="57">
      <c r="A57" s="3">
        <v>56.0</v>
      </c>
      <c r="B57" s="4" t="s">
        <v>822</v>
      </c>
      <c r="C57" s="4" t="s">
        <v>823</v>
      </c>
      <c r="D57" s="4" t="s">
        <v>824</v>
      </c>
      <c r="E57" s="4" t="s">
        <v>825</v>
      </c>
      <c r="G57" s="5" t="str">
        <f>IFERROR(__xludf.DUMMYFUNCTION("GOOGLETRANSLATE(A57, ""en"", ""id"")"),"56")</f>
        <v>56</v>
      </c>
      <c r="H57" s="5" t="str">
        <f>IFERROR(__xludf.DUMMYFUNCTION("GOOGLETRANSLATE(B57, ""en"", ""id"")"),"Seorang petarung dianggap ""kalah"" dalam satu ronde jika lawannya mencetak berapa poin?")</f>
        <v>Seorang petarung dianggap "kalah" dalam satu ronde jika lawannya mencetak berapa poin?</v>
      </c>
      <c r="I57" s="5" t="str">
        <f>IFERROR(__xludf.DUMMYFUNCTION("GOOGLETRANSLATE(C57, ""en"", ""id"")"),"A) 1, B) 2, C) 3, D) Konsep memenangkan ronde dengan poin tidak digunakan")</f>
        <v>A) 1, B) 2, C) 3, D) Konsep memenangkan ronde dengan poin tidak digunakan</v>
      </c>
      <c r="J57" s="5" t="str">
        <f>IFERROR(__xludf.DUMMYFUNCTION("GOOGLETRANSLATE(D57, ""en"", ""id"")"),"D) Konsep memenangkan ronde dengan poin tidak digunakan")</f>
        <v>D) Konsep memenangkan ronde dengan poin tidak digunakan</v>
      </c>
      <c r="K57" s="5" t="str">
        <f>IFERROR(__xludf.DUMMYFUNCTION("GOOGLETRANSLATE(E57, ""en"", ""id"")"),"Peresean dinilai berdasarkan jumlah total pukulan bersih selama keseluruhan pertandingan, bukan berdasarkan kemenangan di ronde individu.")</f>
        <v>Peresean dinilai berdasarkan jumlah total pukulan bersih selama keseluruhan pertandingan, bukan berdasarkan kemenangan di ronde individu.</v>
      </c>
    </row>
    <row r="58">
      <c r="A58" s="3">
        <v>57.0</v>
      </c>
      <c r="B58" s="4" t="s">
        <v>826</v>
      </c>
      <c r="C58" s="4" t="s">
        <v>827</v>
      </c>
      <c r="D58" s="4" t="s">
        <v>828</v>
      </c>
      <c r="E58" s="4" t="s">
        <v>829</v>
      </c>
      <c r="G58" s="5" t="str">
        <f>IFERROR(__xludf.DUMMYFUNCTION("GOOGLETRANSLATE(A58, ""en"", ""id"")"),"57")</f>
        <v>57</v>
      </c>
      <c r="H58" s="5" t="str">
        <f>IFERROR(__xludf.DUMMYFUNCTION("GOOGLETRANSLATE(B58, ""en"", ""id"")"),"Apa yang terjadi jika seorang petarung menolak melanjutkan pertandingan karena takut atau kelelahan?")</f>
        <v>Apa yang terjadi jika seorang petarung menolak melanjutkan pertandingan karena takut atau kelelahan?</v>
      </c>
      <c r="I58" s="5" t="str">
        <f>IFERROR(__xludf.DUMMYFUNCTION("GOOGLETRANSLATE(C58, ""en"", ""id"")"),"A) Pertandingan dinyatakan seri, B) Mereka dinyatakan kalah, C) Mereka diberi waktu istirahat panjang, D) Wasit menyemangati mereka untuk melanjutkan pertandingan.")</f>
        <v>A) Pertandingan dinyatakan seri, B) Mereka dinyatakan kalah, C) Mereka diberi waktu istirahat panjang, D) Wasit menyemangati mereka untuk melanjutkan pertandingan.</v>
      </c>
      <c r="J58" s="5" t="str">
        <f>IFERROR(__xludf.DUMMYFUNCTION("GOOGLETRANSLATE(D58, ""en"", ""id"")"),"B) Mereka kalah dalam pertandingan")</f>
        <v>B) Mereka kalah dalam pertandingan</v>
      </c>
      <c r="K58" s="5" t="str">
        <f>IFERROR(__xludf.DUMMYFUNCTION("GOOGLETRANSLATE(E58, ""en"", ""id"")"),"Seorang petarung yang menyerah atau menolak untuk bertarung berarti mengakui kemenangan lawannya.")</f>
        <v>Seorang petarung yang menyerah atau menolak untuk bertarung berarti mengakui kemenangan lawannya.</v>
      </c>
    </row>
    <row r="59">
      <c r="A59" s="3">
        <v>58.0</v>
      </c>
      <c r="B59" s="4" t="s">
        <v>830</v>
      </c>
      <c r="C59" s="4" t="s">
        <v>831</v>
      </c>
      <c r="D59" s="4" t="s">
        <v>832</v>
      </c>
      <c r="E59" s="4" t="s">
        <v>833</v>
      </c>
      <c r="G59" s="5" t="str">
        <f>IFERROR(__xludf.DUMMYFUNCTION("GOOGLETRANSLATE(A59, ""en"", ""id"")"),"58")</f>
        <v>58</v>
      </c>
      <c r="H59" s="5" t="str">
        <f>IFERROR(__xludf.DUMMYFUNCTION("GOOGLETRANSLATE(B59, ""en"", ""id"")"),"Perisai (ende) sering dihiasi dengan simbol-simbol. Apa tujuan dari tanda-tanda ini?")</f>
        <v>Perisai (ende) sering dihiasi dengan simbol-simbol. Apa tujuan dari tanda-tanda ini?</v>
      </c>
      <c r="I59" s="5" t="str">
        <f>IFERROR(__xludf.DUMMYFUNCTION("GOOGLETRANSLATE(C59, ""en"", ""id"")"),"A) Untuk logo sponsor, B) Untuk keindahan estetika, C) Bisa menjadi simbol tradisional untuk perlindungan atau identitas, D) Untuk membantu petarung membidik")</f>
        <v>A) Untuk logo sponsor, B) Untuk keindahan estetika, C) Bisa menjadi simbol tradisional untuk perlindungan atau identitas, D) Untuk membantu petarung membidik</v>
      </c>
      <c r="J59" s="5" t="str">
        <f>IFERROR(__xludf.DUMMYFUNCTION("GOOGLETRANSLATE(D59, ""en"", ""id"")"),"C) Dapat menjadi simbol tradisional untuk perlindungan atau identitas")</f>
        <v>C) Dapat menjadi simbol tradisional untuk perlindungan atau identitas</v>
      </c>
      <c r="K59" s="5" t="str">
        <f>IFERROR(__xludf.DUMMYFUNCTION("GOOGLETRANSLATE(E59, ""en"", ""id"")"),"Dekorasi tersebut dapat memiliki makna budaya atau spiritual, yang mewakili desa atau kepercayaan sang petarung.")</f>
        <v>Dekorasi tersebut dapat memiliki makna budaya atau spiritual, yang mewakili desa atau kepercayaan sang petarung.</v>
      </c>
    </row>
    <row r="60">
      <c r="A60" s="3">
        <v>59.0</v>
      </c>
      <c r="B60" s="4" t="s">
        <v>834</v>
      </c>
      <c r="C60" s="4" t="s">
        <v>835</v>
      </c>
      <c r="D60" s="4" t="s">
        <v>836</v>
      </c>
      <c r="E60" s="4" t="s">
        <v>837</v>
      </c>
      <c r="G60" s="5" t="str">
        <f>IFERROR(__xludf.DUMMYFUNCTION("GOOGLETRANSLATE(A60, ""en"", ""id"")"),"59")</f>
        <v>59</v>
      </c>
      <c r="H60" s="5" t="str">
        <f>IFERROR(__xludf.DUMMYFUNCTION("GOOGLETRANSLATE(B60, ""en"", ""id"")"),"Apakah sah hukumnya bagi seorang petarung untuk sengaja berlutut guna menghindari serangan?")</f>
        <v>Apakah sah hukumnya bagi seorang petarung untuk sengaja berlutut guna menghindari serangan?</v>
      </c>
      <c r="I60" s="5" t="str">
        <f>IFERROR(__xludf.DUMMYFUNCTION("GOOGLETRANSLATE(C60, ""en"", ""id"")"),"A) Ya, itu adalah manuver mengelak yang sah, B) Tidak, petarung harus tetap berdiri, C) Hanya jika mereka tidak menyentuh tanah dengan tangan mereka, D) Itu dianggap jatuh dan poin untuk lawan")</f>
        <v>A) Ya, itu adalah manuver mengelak yang sah, B) Tidak, petarung harus tetap berdiri, C) Hanya jika mereka tidak menyentuh tanah dengan tangan mereka, D) Itu dianggap jatuh dan poin untuk lawan</v>
      </c>
      <c r="J60" s="5" t="str">
        <f>IFERROR(__xludf.DUMMYFUNCTION("GOOGLETRANSLATE(D60, ""en"", ""id"")"),"A) Ya, itu adalah manuver mengelak yang sah")</f>
        <v>A) Ya, itu adalah manuver mengelak yang sah</v>
      </c>
      <c r="K60" s="5" t="str">
        <f>IFERROR(__xludf.DUMMYFUNCTION("GOOGLETRANSLATE(E60, ""en"", ""id"")"),"Menunduk, menjatuhkan diri, dan gerakan tubuh mengelak lainnya merupakan bagian dari keterampilan bertahan dalam olahraga ini, asalkan petarung tidak terjatuh.")</f>
        <v>Menunduk, menjatuhkan diri, dan gerakan tubuh mengelak lainnya merupakan bagian dari keterampilan bertahan dalam olahraga ini, asalkan petarung tidak terjatuh.</v>
      </c>
    </row>
    <row r="61">
      <c r="A61" s="3">
        <v>60.0</v>
      </c>
      <c r="B61" s="4" t="s">
        <v>838</v>
      </c>
      <c r="C61" s="4" t="s">
        <v>839</v>
      </c>
      <c r="D61" s="4" t="s">
        <v>840</v>
      </c>
      <c r="E61" s="4" t="s">
        <v>841</v>
      </c>
      <c r="G61" s="5" t="str">
        <f>IFERROR(__xludf.DUMMYFUNCTION("GOOGLETRANSLATE(A61, ""en"", ""id"")"),"60")</f>
        <v>60</v>
      </c>
      <c r="H61" s="5" t="str">
        <f>IFERROR(__xludf.DUMMYFUNCTION("GOOGLETRANSLATE(B61, ""en"", ""id"")"),"Wasit mengangkat satu jari setelah pukulan bersih. Apa artinya ini?")</f>
        <v>Wasit mengangkat satu jari setelah pukulan bersih. Apa artinya ini?</v>
      </c>
      <c r="I61" s="5" t="str">
        <f>IFERROR(__xludf.DUMMYFUNCTION("GOOGLETRANSLATE(C61, ""en"", ""id"")"),"A) Peringatan, B) Satu poin telah diberikan, C) Satu menit tersisa di babak tersebut, D) Babak pertama telah berakhir")</f>
        <v>A) Peringatan, B) Satu poin telah diberikan, C) Satu menit tersisa di babak tersebut, D) Babak pertama telah berakhir</v>
      </c>
      <c r="J61" s="5" t="str">
        <f>IFERROR(__xludf.DUMMYFUNCTION("GOOGLETRANSLATE(D61, ""en"", ""id"")"),"B) Satu poin telah diberikan")</f>
        <v>B) Satu poin telah diberikan</v>
      </c>
      <c r="K61" s="5" t="str">
        <f>IFERROR(__xludf.DUMMYFUNCTION("GOOGLETRANSLATE(E61, ""en"", ""id"")"),"Ini adalah isyarat tangan umum yang digunakan oleh pakembar untuk menunjukkan dengan jelas bahwa suatu poin telah diperoleh.")</f>
        <v>Ini adalah isyarat tangan umum yang digunakan oleh pakembar untuk menunjukkan dengan jelas bahwa suatu poin telah diperoleh.</v>
      </c>
    </row>
    <row r="62">
      <c r="A62" s="3">
        <v>61.0</v>
      </c>
      <c r="B62" s="4" t="s">
        <v>842</v>
      </c>
      <c r="C62" s="6" t="s">
        <v>843</v>
      </c>
      <c r="D62" s="4" t="s">
        <v>844</v>
      </c>
      <c r="E62" s="4" t="s">
        <v>845</v>
      </c>
      <c r="G62" s="5" t="str">
        <f>IFERROR(__xludf.DUMMYFUNCTION("GOOGLETRANSLATE(A62, ""en"", ""id"")"),"61")</f>
        <v>61</v>
      </c>
      <c r="H62" s="5" t="str">
        <f>IFERROR(__xludf.DUMMYFUNCTION("GOOGLETRANSLATE(B62, ""en"", ""id"")"),"Apa alasan utama mengapa Peresean dianggap sebagai ujian keberanian (nyali)?")</f>
        <v>Apa alasan utama mengapa Peresean dianggap sebagai ujian keberanian (nyali)?</v>
      </c>
      <c r="I62" s="5" t="str">
        <f>IFERROR(__xludf.DUMMYFUNCTION("GOOGLETRANSLATE(C62, ""en"", ""id"")"),"A) Tongkatnya sangat berat, B) Para petarung seringkali adalah orang asing yang menjadi sukarelawan di kerumunan, C) Peraturannya sangat rumit, D) Pertandingan berlangsung selama berjam-jam")</f>
        <v>A) Tongkatnya sangat berat, B) Para petarung seringkali adalah orang asing yang menjadi sukarelawan di kerumunan, C) Peraturannya sangat rumit, D) Pertandingan berlangsung selama berjam-jam</v>
      </c>
      <c r="J62" s="5" t="str">
        <f>IFERROR(__xludf.DUMMYFUNCTION("GOOGLETRANSLATE(D62, ""en"", ""id"")"),"B) Para petarung seringkali adalah orang asing yang menjadi sukarelawan di kerumunan")</f>
        <v>B) Para petarung seringkali adalah orang asing yang menjadi sukarelawan di kerumunan</v>
      </c>
      <c r="K62" s="5" t="str">
        <f>IFERROR(__xludf.DUMMYFUNCTION("GOOGLETRANSLATE(E62, ""en"", ""id"")"),"Tradisi menerima tantangan publik untuk melawan lawan yang tidak dikenal merupakan ujian utama keberanian seorang pria.")</f>
        <v>Tradisi menerima tantangan publik untuk melawan lawan yang tidak dikenal merupakan ujian utama keberanian seorang pria.</v>
      </c>
    </row>
    <row r="63">
      <c r="A63" s="3">
        <v>62.0</v>
      </c>
      <c r="B63" s="4" t="s">
        <v>846</v>
      </c>
      <c r="C63" s="6" t="s">
        <v>847</v>
      </c>
      <c r="D63" s="4" t="s">
        <v>848</v>
      </c>
      <c r="E63" s="4" t="s">
        <v>849</v>
      </c>
      <c r="G63" s="5" t="str">
        <f>IFERROR(__xludf.DUMMYFUNCTION("GOOGLETRANSLATE(A63, ""en"", ""id"")"),"62")</f>
        <v>62</v>
      </c>
      <c r="H63" s="5" t="str">
        <f>IFERROR(__xludf.DUMMYFUNCTION("GOOGLETRANSLATE(B63, ""en"", ""id"")"),"Seorang petarung mendaratkan pukulan di pinggul lawan. Apakah ini area penilaian yang sah?")</f>
        <v>Seorang petarung mendaratkan pukulan di pinggul lawan. Apakah ini area penilaian yang sah?</v>
      </c>
      <c r="I63" s="5" t="str">
        <f>IFERROR(__xludf.DUMMYFUNCTION("GOOGLETRANSLATE(C63, ""en"", ""id"")"),"A) Ya, pinggul merupakan bagian dari badan, B) Tidak, pinggul berada di bawah garis pinggang yang dapat diterima, C) Hanya jika lawan diputar ke samping, D) Hal ini akan mengakibatkan peringatan")</f>
        <v>A) Ya, pinggul merupakan bagian dari badan, B) Tidak, pinggul berada di bawah garis pinggang yang dapat diterima, C) Hanya jika lawan diputar ke samping, D) Hal ini akan mengakibatkan peringatan</v>
      </c>
      <c r="J63" s="5" t="str">
        <f>IFERROR(__xludf.DUMMYFUNCTION("GOOGLETRANSLATE(D63, ""en"", ""id"")"),"A) Ya, pinggul adalah bagian dari batang tubuh")</f>
        <v>A) Ya, pinggul adalah bagian dari batang tubuh</v>
      </c>
      <c r="K63" s="5" t="str">
        <f>IFERROR(__xludf.DUMMYFUNCTION("GOOGLETRANSLATE(E63, ""en"", ""id"")"),"Area target yang valid adalah dari pinggang ke atas, yang meliputi pinggul dan badan.")</f>
        <v>Area target yang valid adalah dari pinggang ke atas, yang meliputi pinggul dan badan.</v>
      </c>
    </row>
    <row r="64">
      <c r="A64" s="3">
        <v>63.0</v>
      </c>
      <c r="B64" s="4" t="s">
        <v>850</v>
      </c>
      <c r="C64" s="6" t="s">
        <v>851</v>
      </c>
      <c r="D64" s="4" t="s">
        <v>852</v>
      </c>
      <c r="E64" s="4" t="s">
        <v>853</v>
      </c>
      <c r="G64" s="5" t="str">
        <f>IFERROR(__xludf.DUMMYFUNCTION("GOOGLETRANSLATE(A64, ""en"", ""id"")"),"63")</f>
        <v>63</v>
      </c>
      <c r="H64" s="5" t="str">
        <f>IFERROR(__xludf.DUMMYFUNCTION("GOOGLETRANSLATE(B64, ""en"", ""id"")"),"Jika selempang petarung terlepas saat pertandingan, bagaimana prosedurnya?")</f>
        <v>Jika selempang petarung terlepas saat pertandingan, bagaimana prosedurnya?</v>
      </c>
      <c r="I64" s="5" t="str">
        <f>IFERROR(__xludf.DUMMYFUNCTION("GOOGLETRANSLATE(C64, ""en"", ""id"")"),"A) Pertarungan berlanjut, B) Petarung didiskualifikasi karena pakaian yang tidak pantas, C) Wasit menghentikan pertandingan untuk memungkinkan pertandingan diulang, D) Satu poin diberikan kepada lawan")</f>
        <v>A) Pertarungan berlanjut, B) Petarung didiskualifikasi karena pakaian yang tidak pantas, C) Wasit menghentikan pertandingan untuk memungkinkan pertandingan diulang, D) Satu poin diberikan kepada lawan</v>
      </c>
      <c r="J64" s="5" t="str">
        <f>IFERROR(__xludf.DUMMYFUNCTION("GOOGLETRANSLATE(D64, ""en"", ""id"")"),"C) Wasit menghentikan pertandingan untuk memungkinkan pertandingan diimbangi kembali")</f>
        <v>C) Wasit menghentikan pertandingan untuk memungkinkan pertandingan diimbangi kembali</v>
      </c>
      <c r="K64" s="5" t="str">
        <f>IFERROR(__xludf.DUMMYFUNCTION("GOOGLETRANSLATE(E64, ""en"", ""id"")"),"Jika pakaian seorang petarung membahayakan atau mengganggu, wasit akan meminta waktu istirahat singkat untuk memperbaikinya.")</f>
        <v>Jika pakaian seorang petarung membahayakan atau mengganggu, wasit akan meminta waktu istirahat singkat untuk memperbaikinya.</v>
      </c>
    </row>
    <row r="65">
      <c r="A65" s="3">
        <v>64.0</v>
      </c>
      <c r="B65" s="4" t="s">
        <v>854</v>
      </c>
      <c r="C65" s="6" t="s">
        <v>855</v>
      </c>
      <c r="D65" s="4" t="s">
        <v>856</v>
      </c>
      <c r="E65" s="4" t="s">
        <v>857</v>
      </c>
      <c r="G65" s="5" t="str">
        <f>IFERROR(__xludf.DUMMYFUNCTION("GOOGLETRANSLATE(A65, ""en"", ""id"")"),"64")</f>
        <v>64</v>
      </c>
      <c r="H65" s="5" t="str">
        <f>IFERROR(__xludf.DUMMYFUNCTION("GOOGLETRANSLATE(B65, ""en"", ""id"")"),"Apa ""semangat"" dari jabat tangan atau pelukan antar petarung sebelum ronde pertama?")</f>
        <v>Apa "semangat" dari jabat tangan atau pelukan antar petarung sebelum ronde pertama?</v>
      </c>
      <c r="I65" s="5" t="str">
        <f>IFERROR(__xludf.DUMMYFUNCTION("GOOGLETRANSLATE(C65, ""en"", ""id"")"),"A) Untuk memeriksa senjata tersembunyi, B) Untuk menunjukkan bahwa pertarungan adalah olahraga, bukan konflik pribadi, C) Untuk meminta pertarungan yang adil, D) Untuk mengintimidasi lawan")</f>
        <v>A) Untuk memeriksa senjata tersembunyi, B) Untuk menunjukkan bahwa pertarungan adalah olahraga, bukan konflik pribadi, C) Untuk meminta pertarungan yang adil, D) Untuk mengintimidasi lawan</v>
      </c>
      <c r="J65" s="5" t="str">
        <f>IFERROR(__xludf.DUMMYFUNCTION("GOOGLETRANSLATE(D65, ""en"", ""id"")"),"B) Untuk menunjukkan bahwa pertarungan adalah olahraga, bukan konflik pribadi")</f>
        <v>B) Untuk menunjukkan bahwa pertarungan adalah olahraga, bukan konflik pribadi</v>
      </c>
      <c r="K65" s="5" t="str">
        <f>IFERROR(__xludf.DUMMYFUNCTION("GOOGLETRANSLATE(E65, ""en"", ""id"")"),"Gerakan ini menunjukkan rasa saling menghormati dan memperkuat gagasan bahwa kontes ini adalah tentang keterampilan dan keberanian, bukan permusuhan.")</f>
        <v>Gerakan ini menunjukkan rasa saling menghormati dan memperkuat gagasan bahwa kontes ini adalah tentang keterampilan dan keberanian, bukan permusuhan.</v>
      </c>
    </row>
    <row r="66">
      <c r="A66" s="3">
        <v>65.0</v>
      </c>
      <c r="B66" s="4" t="s">
        <v>858</v>
      </c>
      <c r="C66" s="6" t="s">
        <v>859</v>
      </c>
      <c r="D66" s="4" t="s">
        <v>860</v>
      </c>
      <c r="E66" s="4" t="s">
        <v>861</v>
      </c>
      <c r="G66" s="5" t="str">
        <f>IFERROR(__xludf.DUMMYFUNCTION("GOOGLETRANSLATE(A66, ""en"", ""id"")"),"65")</f>
        <v>65</v>
      </c>
      <c r="H66" s="5" t="str">
        <f>IFERROR(__xludf.DUMMYFUNCTION("GOOGLETRANSLATE(B66, ""en"", ""id"")"),"Bisakah seorang petarung dihukum karena mengejek atau memaki lawannya secara verbal?")</f>
        <v>Bisakah seorang petarung dihukum karena mengejek atau memaki lawannya secara verbal?</v>
      </c>
      <c r="I66" s="5" t="str">
        <f>IFERROR(__xludf.DUMMYFUNCTION("GOOGLETRANSLATE(C66, ""en"", ""id"")"),"A) Tidak, ini adalah bagian dari permainan psikologis, B) Ya, ini dianggap sebagai perilaku tidak sportif, C) Hanya jika mereka menggunakan kata-kata kasar, D) Hanya jika penonton mengeluh")</f>
        <v>A) Tidak, ini adalah bagian dari permainan psikologis, B) Ya, ini dianggap sebagai perilaku tidak sportif, C) Hanya jika mereka menggunakan kata-kata kasar, D) Hanya jika penonton mengeluh</v>
      </c>
      <c r="J66" s="5" t="str">
        <f>IFERROR(__xludf.DUMMYFUNCTION("GOOGLETRANSLATE(D66, ""en"", ""id"")"),"B) Ya, itu dianggap sebagai perilaku tidak sportif")</f>
        <v>B) Ya, itu dianggap sebagai perilaku tidak sportif</v>
      </c>
      <c r="K66" s="5" t="str">
        <f>IFERROR(__xludf.DUMMYFUNCTION("GOOGLETRANSLATE(E66, ""en"", ""id"")"),"Peresean menuntut rasa hormat (kare). Ejekan melanggar prinsip ini dan dapat dihukum oleh wasit.")</f>
        <v>Peresean menuntut rasa hormat (kare). Ejekan melanggar prinsip ini dan dapat dihukum oleh wasit.</v>
      </c>
    </row>
    <row r="67">
      <c r="A67" s="3">
        <v>66.0</v>
      </c>
      <c r="B67" s="4" t="s">
        <v>862</v>
      </c>
      <c r="C67" s="6" t="s">
        <v>863</v>
      </c>
      <c r="D67" s="4" t="s">
        <v>864</v>
      </c>
      <c r="E67" s="4" t="s">
        <v>865</v>
      </c>
      <c r="G67" s="5" t="str">
        <f>IFERROR(__xludf.DUMMYFUNCTION("GOOGLETRANSLATE(A67, ""en"", ""id"")"),"66")</f>
        <v>66</v>
      </c>
      <c r="H67" s="5" t="str">
        <f>IFERROR(__xludf.DUMMYFUNCTION("GOOGLETRANSLATE(B67, ""en"", ""id"")"),"Seorang petarung memenangkan poin tetapi dianggap telah menggunakan kekuatan berlebihan yang menyebabkan cedera yang tidak perlu. Apa yang bisa dilakukan wasit?")</f>
        <v>Seorang petarung memenangkan poin tetapi dianggap telah menggunakan kekuatan berlebihan yang menyebabkan cedera yang tidak perlu. Apa yang bisa dilakukan wasit?</v>
      </c>
      <c r="I67" s="5" t="str">
        <f>IFERROR(__xludf.DUMMYFUNCTION("GOOGLETRANSLATE(C67, ""en"", ""id"")"),"A) Biarkan poin tersebut tetap berlaku, B) Biarkan poin tersebut tetap berlaku tetapi berikan peringatan, C) Batalkan poin tersebut dan berikan peringatan atau pelanggaran, D) Berikan poin tersebut kepada petarung yang cedera")</f>
        <v>A) Biarkan poin tersebut tetap berlaku, B) Biarkan poin tersebut tetap berlaku tetapi berikan peringatan, C) Batalkan poin tersebut dan berikan peringatan atau pelanggaran, D) Berikan poin tersebut kepada petarung yang cedera</v>
      </c>
      <c r="J67" s="5" t="str">
        <f>IFERROR(__xludf.DUMMYFUNCTION("GOOGLETRANSLATE(D67, ""en"", ""id"")"),"C) Membatalkan poin dan mengeluarkan peringatan atau pelanggaran")</f>
        <v>C) Membatalkan poin dan mengeluarkan peringatan atau pelanggaran</v>
      </c>
      <c r="K67" s="5" t="str">
        <f>IFERROR(__xludf.DUMMYFUNCTION("GOOGLETRANSLATE(E67, ""en"", ""id"")"),"Wasit memiliki kewenangan untuk membatalkan poin jika pukulan dilakukan dengan kekuatan berlebihan atau jahat, bertentangan dengan semangat olahraga.")</f>
        <v>Wasit memiliki kewenangan untuk membatalkan poin jika pukulan dilakukan dengan kekuatan berlebihan atau jahat, bertentangan dengan semangat olahraga.</v>
      </c>
    </row>
    <row r="68">
      <c r="A68" s="3">
        <v>67.0</v>
      </c>
      <c r="B68" s="4" t="s">
        <v>866</v>
      </c>
      <c r="C68" s="6" t="s">
        <v>867</v>
      </c>
      <c r="D68" s="4" t="s">
        <v>868</v>
      </c>
      <c r="E68" s="4" t="s">
        <v>869</v>
      </c>
      <c r="G68" s="5" t="str">
        <f>IFERROR(__xludf.DUMMYFUNCTION("GOOGLETRANSLATE(A68, ""en"", ""id"")"),"67")</f>
        <v>67</v>
      </c>
      <c r="H68" s="5" t="str">
        <f>IFERROR(__xludf.DUMMYFUNCTION("GOOGLETRANSLATE(B68, ""en"", ""id"")"),"Apa asal usul nama festival Bau Nyale yang sering menampilkan Peresean?")</f>
        <v>Apa asal usul nama festival Bau Nyale yang sering menampilkan Peresean?</v>
      </c>
      <c r="I68" s="5" t="str">
        <f>IFERROR(__xludf.DUMMYFUNCTION("GOOGLETRANSLATE(C68, ""en"", ""id"")"),"A) Dinamakan berdasarkan nama seorang pendekar Sasak, B) Berarti ""Festival Laut,"" C) Berarti ""menangkap cacing laut,"" merujuk pada legenda setempat, D) Merupakan nama dewa hujan setempat")</f>
        <v>A) Dinamakan berdasarkan nama seorang pendekar Sasak, B) Berarti "Festival Laut," C) Berarti "menangkap cacing laut," merujuk pada legenda setempat, D) Merupakan nama dewa hujan setempat</v>
      </c>
      <c r="J68" s="5" t="str">
        <f>IFERROR(__xludf.DUMMYFUNCTION("GOOGLETRANSLATE(D68, ""en"", ""id"")"),"C) Artinya “menangkap cacing laut”, merujuk pada legenda setempat")</f>
        <v>C) Artinya “menangkap cacing laut”, merujuk pada legenda setempat</v>
      </c>
      <c r="K68" s="5" t="str">
        <f>IFERROR(__xludf.DUMMYFUNCTION("GOOGLETRANSLATE(E68, ""en"", ""id"")"),"Festival ini berpusat pada kemunculan tahunan cacing laut nyale, yang dikaitkan dengan legenda Putri Mandalika.")</f>
        <v>Festival ini berpusat pada kemunculan tahunan cacing laut nyale, yang dikaitkan dengan legenda Putri Mandalika.</v>
      </c>
    </row>
    <row r="69">
      <c r="A69" s="3">
        <v>68.0</v>
      </c>
      <c r="B69" s="4" t="s">
        <v>870</v>
      </c>
      <c r="C69" s="6" t="s">
        <v>871</v>
      </c>
      <c r="D69" s="4" t="s">
        <v>872</v>
      </c>
      <c r="E69" s="4" t="s">
        <v>873</v>
      </c>
      <c r="G69" s="5" t="str">
        <f>IFERROR(__xludf.DUMMYFUNCTION("GOOGLETRANSLATE(A69, ""en"", ""id"")"),"68")</f>
        <v>68</v>
      </c>
      <c r="H69" s="5" t="str">
        <f>IFERROR(__xludf.DUMMYFUNCTION("GOOGLETRANSLATE(B69, ""en"", ""id"")"),"Seorang petarung mencoba menjegal lawannya dengan kakinya. Apakah ini diperbolehkan?")</f>
        <v>Seorang petarung mencoba menjegal lawannya dengan kakinya. Apakah ini diperbolehkan?</v>
      </c>
      <c r="I69" s="5" t="str">
        <f>IFERROR(__xludf.DUMMYFUNCTION("GOOGLETRANSLATE(C69, ""en"", ""id"")"),"A) Ya, takedown sah, B) Tidak, menggunakan kaki atau bergulat bukan bagian dari Peresean, C) Hanya jika tidak menggunakan tongkat, D) Merupakan pelanggaran terhadap kedua pemain")</f>
        <v>A) Ya, takedown sah, B) Tidak, menggunakan kaki atau bergulat bukan bagian dari Peresean, C) Hanya jika tidak menggunakan tongkat, D) Merupakan pelanggaran terhadap kedua pemain</v>
      </c>
      <c r="J69" s="5" t="str">
        <f>IFERROR(__xludf.DUMMYFUNCTION("GOOGLETRANSLATE(D69, ""en"", ""id"")"),"B) Tidak, menggunakan kaki atau bergulat bukan bagian dari Peresean")</f>
        <v>B) Tidak, menggunakan kaki atau bergulat bukan bagian dari Peresean</v>
      </c>
      <c r="K69" s="5" t="str">
        <f>IFERROR(__xludf.DUMMYFUNCTION("GOOGLETRANSLATE(E69, ""en"", ""id"")"),"Pertarungan hanya terbatas pada serangan rotan dan pertahanan diri dengan perisai; menjegal dan teknik bela diri lainnya adalah ilegal.")</f>
        <v>Pertarungan hanya terbatas pada serangan rotan dan pertahanan diri dengan perisai; menjegal dan teknik bela diri lainnya adalah ilegal.</v>
      </c>
    </row>
    <row r="70">
      <c r="A70" s="3">
        <v>69.0</v>
      </c>
      <c r="B70" s="4" t="s">
        <v>874</v>
      </c>
      <c r="C70" s="6" t="s">
        <v>875</v>
      </c>
      <c r="D70" s="4" t="s">
        <v>876</v>
      </c>
      <c r="E70" s="4" t="s">
        <v>877</v>
      </c>
      <c r="G70" s="5" t="str">
        <f>IFERROR(__xludf.DUMMYFUNCTION("GOOGLETRANSLATE(A70, ""en"", ""id"")"),"69")</f>
        <v>69</v>
      </c>
      <c r="H70" s="5" t="str">
        <f>IFERROR(__xludf.DUMMYFUNCTION("GOOGLETRANSLATE(B70, ""en"", ""id"")"),"Jika musik Gamelan tiba-tiba berhenti di tengah ronde, apa yang harus dilakukan para petarung?")</f>
        <v>Jika musik Gamelan tiba-tiba berhenti di tengah ronde, apa yang harus dilakukan para petarung?</v>
      </c>
      <c r="I70" s="5" t="str">
        <f>IFERROR(__xludf.DUMMYFUNCTION("GOOGLETRANSLATE(C70, ""en"", ""id"")"),"A) Segera hentikan perkelahian, B) Teruslah berkelahi sampai wasit menghentikan mereka, C) Percepat perkelahian, D) Minta musisi baru")</f>
        <v>A) Segera hentikan perkelahian, B) Teruslah berkelahi sampai wasit menghentikan mereka, C) Percepat perkelahian, D) Minta musisi baru</v>
      </c>
      <c r="J70" s="5" t="str">
        <f>IFERROR(__xludf.DUMMYFUNCTION("GOOGLETRANSLATE(D70, ""en"", ""id"")"),"B) Terus bertarung sampai wasit menghentikan mereka")</f>
        <v>B) Terus bertarung sampai wasit menghentikan mereka</v>
      </c>
      <c r="K70" s="5" t="str">
        <f>IFERROR(__xludf.DUMMYFUNCTION("GOOGLETRANSLATE(E70, ""en"", ""id"")"),"Musik memberikan tempo, tetapi perintah wasit adalah satu-satunya sinyal resmi untuk memulai atau menghentikan pertarungan.")</f>
        <v>Musik memberikan tempo, tetapi perintah wasit adalah satu-satunya sinyal resmi untuk memulai atau menghentikan pertarungan.</v>
      </c>
    </row>
    <row r="71">
      <c r="A71" s="3">
        <v>70.0</v>
      </c>
      <c r="B71" s="4" t="s">
        <v>878</v>
      </c>
      <c r="C71" s="6" t="s">
        <v>879</v>
      </c>
      <c r="D71" s="4" t="s">
        <v>880</v>
      </c>
      <c r="E71" s="4" t="s">
        <v>881</v>
      </c>
      <c r="G71" s="5" t="str">
        <f>IFERROR(__xludf.DUMMYFUNCTION("GOOGLETRANSLATE(A71, ""en"", ""id"")"),"70")</f>
        <v>70</v>
      </c>
      <c r="H71" s="5" t="str">
        <f>IFERROR(__xludf.DUMMYFUNCTION("GOOGLETRANSLATE(B71, ""en"", ""id"")"),"Apa atribut fisik utama yang diuji dalam Peresean?")</f>
        <v>Apa atribut fisik utama yang diuji dalam Peresean?</v>
      </c>
      <c r="I71" s="5" t="str">
        <f>IFERROR(__xludf.DUMMYFUNCTION("GOOGLETRANSLATE(C71, ""en"", ""id"")"),"A) Kekuatan kasar, B) Daya tahan, C) Kelincahan, refleks, dan ketepatan, D) Fleksibilitas")</f>
        <v>A) Kekuatan kasar, B) Daya tahan, C) Kelincahan, refleks, dan ketepatan, D) Fleksibilitas</v>
      </c>
      <c r="J71" s="5" t="str">
        <f>IFERROR(__xludf.DUMMYFUNCTION("GOOGLETRANSLATE(D71, ""en"", ""id"")"),"C) Kelincahan, refleks, dan ketepatan")</f>
        <v>C) Kelincahan, refleks, dan ketepatan</v>
      </c>
      <c r="K71" s="5" t="str">
        <f>IFERROR(__xludf.DUMMYFUNCTION("GOOGLETRANSLATE(E71, ""en"", ""id"")"),"Keberhasilan dalam Peresean bergantung pada kemampuan menghindar, bereaksi cepat, dan melancarkan serangan akurat, ketimbang mengalahkan lawan.")</f>
        <v>Keberhasilan dalam Peresean bergantung pada kemampuan menghindar, bereaksi cepat, dan melancarkan serangan akurat, ketimbang mengalahkan lawan.</v>
      </c>
    </row>
    <row r="72">
      <c r="A72" s="3">
        <v>71.0</v>
      </c>
      <c r="B72" s="4" t="s">
        <v>882</v>
      </c>
      <c r="C72" s="6" t="s">
        <v>883</v>
      </c>
      <c r="D72" s="4" t="s">
        <v>884</v>
      </c>
      <c r="E72" s="4" t="s">
        <v>885</v>
      </c>
      <c r="G72" s="5" t="str">
        <f>IFERROR(__xludf.DUMMYFUNCTION("GOOGLETRANSLATE(A72, ""en"", ""id"")"),"71")</f>
        <v>71</v>
      </c>
      <c r="H72" s="5" t="str">
        <f>IFERROR(__xludf.DUMMYFUNCTION("GOOGLETRANSLATE(B72, ""en"", ""id"")"),"Seorang petarung dipukul di dada dan tongkat rotan meninggalkan bekas merah atau bekas luka yang jelas. Apa artinya ini?")</f>
        <v>Seorang petarung dipukul di dada dan tongkat rotan meninggalkan bekas merah atau bekas luka yang jelas. Apa artinya ini?</v>
      </c>
      <c r="I72" s="5" t="str">
        <f>IFERROR(__xludf.DUMMYFUNCTION("GOOGLETRANSLATE(C72, ""en"", ""id"")"),"A) Tongkat itu ilegal, B) Poin yang bersih, kuat, dan tidak dapat disangkal diperoleh, C) Petarung memiliki kulit sensitif, D) Petarung akan menerima skor yang lebih tinggi")</f>
        <v>A) Tongkat itu ilegal, B) Poin yang bersih, kuat, dan tidak dapat disangkal diperoleh, C) Petarung memiliki kulit sensitif, D) Petarung akan menerima skor yang lebih tinggi</v>
      </c>
      <c r="J72" s="5" t="str">
        <f>IFERROR(__xludf.DUMMYFUNCTION("GOOGLETRANSLATE(D72, ""en"", ""id"")"),"B) Sebuah poin yang bersih, kuat, dan tak terbantahkan telah dicetak")</f>
        <v>B) Sebuah poin yang bersih, kuat, dan tak terbantahkan telah dicetak</v>
      </c>
      <c r="K72" s="5" t="str">
        <f>IFERROR(__xludf.DUMMYFUNCTION("GOOGLETRANSLATE(E72, ""en"", ""id"")"),"Tanda yang terlihat (bekas) sering dilihat sebagai bukti pasti suatu pukulan telak, sehingga tidak ada ruang untuk perselisihan.")</f>
        <v>Tanda yang terlihat (bekas) sering dilihat sebagai bukti pasti suatu pukulan telak, sehingga tidak ada ruang untuk perselisihan.</v>
      </c>
    </row>
    <row r="73">
      <c r="A73" s="3">
        <v>72.0</v>
      </c>
      <c r="B73" s="4" t="s">
        <v>886</v>
      </c>
      <c r="C73" s="6" t="s">
        <v>887</v>
      </c>
      <c r="D73" s="4" t="s">
        <v>888</v>
      </c>
      <c r="E73" s="4" t="s">
        <v>889</v>
      </c>
      <c r="G73" s="5" t="str">
        <f>IFERROR(__xludf.DUMMYFUNCTION("GOOGLETRANSLATE(A73, ""en"", ""id"")"),"72")</f>
        <v>72</v>
      </c>
      <c r="H73" s="5" t="str">
        <f>IFERROR(__xludf.DUMMYFUNCTION("GOOGLETRANSLATE(B73, ""en"", ""id"")"),"Apakah seorang petarung diperbolehkan mengajukan banding atas keputusan poin wasit?")</f>
        <v>Apakah seorang petarung diperbolehkan mengajukan banding atas keputusan poin wasit?</v>
      </c>
      <c r="I73" s="5" t="str">
        <f>IFERROR(__xludf.DUMMYFUNCTION("GOOGLETRANSLATE(C73, ""en"", ""id"")"),"A) Ya, mereka bisa menghentikan perkelahian dan berdebat, B) Tidak, keputusan wasit bersifat final, C) Ya, tetapi hanya kapten tim yang dapat mengajukan banding, D) Ya, tetapi hanya melalui pengadok mereka di antara ronde")</f>
        <v>A) Ya, mereka bisa menghentikan perkelahian dan berdebat, B) Tidak, keputusan wasit bersifat final, C) Ya, tetapi hanya kapten tim yang dapat mengajukan banding, D) Ya, tetapi hanya melalui pengadok mereka di antara ronde</v>
      </c>
      <c r="J73" s="5" t="str">
        <f>IFERROR(__xludf.DUMMYFUNCTION("GOOGLETRANSLATE(D73, ""en"", ""id"")"),"D) Ya, tapi hanya melalui pengadok mereka di antara putaran")</f>
        <v>D) Ya, tapi hanya melalui pengadok mereka di antara putaran</v>
      </c>
      <c r="K73" s="5" t="str">
        <f>IFERROR(__xludf.DUMMYFUNCTION("GOOGLETRANSLATE(E73, ""en"", ""id"")"),"Perselisihan ditangani secara formal oleh juru bicara petarung, yang dapat berbicara kepada ofisial selama jeda pertandingan.")</f>
        <v>Perselisihan ditangani secara formal oleh juru bicara petarung, yang dapat berbicara kepada ofisial selama jeda pertandingan.</v>
      </c>
    </row>
    <row r="74">
      <c r="A74" s="3">
        <v>73.0</v>
      </c>
      <c r="B74" s="4" t="s">
        <v>890</v>
      </c>
      <c r="C74" s="6" t="s">
        <v>891</v>
      </c>
      <c r="D74" s="4" t="s">
        <v>892</v>
      </c>
      <c r="E74" s="4" t="s">
        <v>893</v>
      </c>
      <c r="G74" s="5" t="str">
        <f>IFERROR(__xludf.DUMMYFUNCTION("GOOGLETRANSLATE(A74, ""en"", ""id"")"),"73")</f>
        <v>73</v>
      </c>
      <c r="H74" s="5" t="str">
        <f>IFERROR(__xludf.DUMMYFUNCTION("GOOGLETRANSLATE(B74, ""en"", ""id"")"),"Seorang petarung menyerang tepat di tepi perisai lawan. Apa hukumnya?")</f>
        <v>Seorang petarung menyerang tepat di tepi perisai lawan. Apa hukumnya?</v>
      </c>
      <c r="I74" s="5" t="str">
        <f>IFERROR(__xludf.DUMMYFUNCTION("GOOGLETRANSLATE(C74, ""en"", ""id"")"),"A) Satu poin diperoleh, B) Poin parsial diperoleh, C) Serangan diblokir dan tidak ada poin yang diperoleh, D) Petarung diperingatkan karena bidikan yang buruk")</f>
        <v>A) Satu poin diperoleh, B) Poin parsial diperoleh, C) Serangan diblokir dan tidak ada poin yang diperoleh, D) Petarung diperingatkan karena bidikan yang buruk</v>
      </c>
      <c r="J74" s="5" t="str">
        <f>IFERROR(__xludf.DUMMYFUNCTION("GOOGLETRANSLATE(D74, ""en"", ""id"")"),"C) Ini adalah serangan yang diblokir dan tidak ada poin yang dicetak")</f>
        <v>C) Ini adalah serangan yang diblokir dan tidak ada poin yang dicetak</v>
      </c>
      <c r="K74" s="5" t="str">
        <f>IFERROR(__xludf.DUMMYFUNCTION("GOOGLETRANSLATE(E74, ""en"", ""id"")"),"Setiap kontak dengan perisai, di mana pun lokasinya, dianggap sebagai blok.")</f>
        <v>Setiap kontak dengan perisai, di mana pun lokasinya, dianggap sebagai blok.</v>
      </c>
    </row>
    <row r="75">
      <c r="A75" s="3">
        <v>74.0</v>
      </c>
      <c r="B75" s="4" t="s">
        <v>894</v>
      </c>
      <c r="C75" s="6" t="s">
        <v>895</v>
      </c>
      <c r="D75" s="4" t="s">
        <v>896</v>
      </c>
      <c r="E75" s="4" t="s">
        <v>897</v>
      </c>
      <c r="G75" s="5" t="str">
        <f>IFERROR(__xludf.DUMMYFUNCTION("GOOGLETRANSLATE(A75, ""en"", ""id"")"),"74")</f>
        <v>74</v>
      </c>
      <c r="H75" s="5" t="str">
        <f>IFERROR(__xludf.DUMMYFUNCTION("GOOGLETRANSLATE(B75, ""en"", ""id"")"),"Dalam beberapa variasi, apa yang terjadi jika tidak ada petarung yang mencetak poin setelah ronde penuh?")</f>
        <v>Dalam beberapa variasi, apa yang terjadi jika tidak ada petarung yang mencetak poin setelah ronde penuh?</v>
      </c>
      <c r="I75" s="5" t="str">
        <f>IFERROR(__xludf.DUMMYFUNCTION("GOOGLETRANSLATE(C75, ""en"", ""id"")"),"A) Kedua petarung kalah, B) Ronde dinyatakan seri, C) Petarung yang lebih agresif diberi poin, D) Mereka harus bertarung satu menit tambahan")</f>
        <v>A) Kedua petarung kalah, B) Ronde dinyatakan seri, C) Petarung yang lebih agresif diberi poin, D) Mereka harus bertarung satu menit tambahan</v>
      </c>
      <c r="J75" s="5" t="str">
        <f>IFERROR(__xludf.DUMMYFUNCTION("GOOGLETRANSLATE(D75, ""en"", ""id"")"),"C) Petarung yang lebih agresif diberi poin")</f>
        <v>C) Petarung yang lebih agresif diberi poin</v>
      </c>
      <c r="K75" s="5" t="str">
        <f>IFERROR(__xludf.DUMMYFUNCTION("GOOGLETRANSLATE(E75, ""en"", ""id"")"),"Untuk mendorong keterlibatan, beberapa aturan memberikan poin dalam ronde tanpa skor kepada petarung yang menunjukkan lebih banyak inisiatif dan agresi.")</f>
        <v>Untuk mendorong keterlibatan, beberapa aturan memberikan poin dalam ronde tanpa skor kepada petarung yang menunjukkan lebih banyak inisiatif dan agresi.</v>
      </c>
    </row>
    <row r="76">
      <c r="A76" s="3">
        <v>75.0</v>
      </c>
      <c r="B76" s="4" t="s">
        <v>898</v>
      </c>
      <c r="C76" s="6" t="s">
        <v>899</v>
      </c>
      <c r="D76" s="4" t="s">
        <v>900</v>
      </c>
      <c r="E76" s="4" t="s">
        <v>901</v>
      </c>
      <c r="G76" s="5" t="str">
        <f>IFERROR(__xludf.DUMMYFUNCTION("GOOGLETRANSLATE(A76, ""en"", ""id"")"),"75")</f>
        <v>75</v>
      </c>
      <c r="H76" s="5" t="str">
        <f>IFERROR(__xludf.DUMMYFUNCTION("GOOGLETRANSLATE(B76, ""en"", ""id"")"),"Apa pentingnya seorang petarung bertanding tanpa menunjukkan tanda-tanda kesakitan setelah dipukul?")</f>
        <v>Apa pentingnya seorang petarung bertanding tanpa menunjukkan tanda-tanda kesakitan setelah dipukul?</v>
      </c>
      <c r="I76" s="5" t="str">
        <f>IFERROR(__xludf.DUMMYFUNCTION("GOOGLETRANSLATE(C76, ""en"", ""id"")"),"A) Menunjukkan bahwa mereka bukan manusia, B) Menunjukkan ketangguhan dan semangat prajurit, C) Berarti serangannya terlalu lemah, D) Mereka akan dihukum karena tidak bereaksi")</f>
        <v>A) Menunjukkan bahwa mereka bukan manusia, B) Menunjukkan ketangguhan dan semangat prajurit, C) Berarti serangannya terlalu lemah, D) Mereka akan dihukum karena tidak bereaksi</v>
      </c>
      <c r="J76" s="5" t="str">
        <f>IFERROR(__xludf.DUMMYFUNCTION("GOOGLETRANSLATE(D76, ""en"", ""id"")"),"B) Ini adalah tampilan ketangguhan dan semangat prajurit")</f>
        <v>B) Ini adalah tampilan ketangguhan dan semangat prajurit</v>
      </c>
      <c r="K76" s="5" t="str">
        <f>IFERROR(__xludf.DUMMYFUNCTION("GOOGLETRANSLATE(E76, ""en"", ""id"")"),"Menahan serangan tanpa gentar adalah bagian penting dalam olahraga yang menunjukkan keberanian dan ketahanan.")</f>
        <v>Menahan serangan tanpa gentar adalah bagian penting dalam olahraga yang menunjukkan keberanian dan ketahanan.</v>
      </c>
    </row>
    <row r="77">
      <c r="A77" s="3">
        <v>76.0</v>
      </c>
      <c r="B77" s="4" t="s">
        <v>902</v>
      </c>
      <c r="C77" s="6" t="s">
        <v>903</v>
      </c>
      <c r="D77" s="4" t="s">
        <v>904</v>
      </c>
      <c r="E77" s="4" t="s">
        <v>905</v>
      </c>
      <c r="G77" s="5" t="str">
        <f>IFERROR(__xludf.DUMMYFUNCTION("GOOGLETRANSLATE(A77, ""en"", ""id"")"),"76")</f>
        <v>76</v>
      </c>
      <c r="H77" s="5" t="str">
        <f>IFERROR(__xludf.DUMMYFUNCTION("GOOGLETRANSLATE(B77, ""en"", ""id"")"),"Jika seorang petarung dipilih dari kerumunan, perlengkapan penting apa yang diberikan kepada mereka?")</f>
        <v>Jika seorang petarung dipilih dari kerumunan, perlengkapan penting apa yang diberikan kepada mereka?</v>
      </c>
      <c r="I77" s="5" t="str">
        <f>IFERROR(__xludf.DUMMYFUNCTION("GOOGLETRANSLATE(C77, ""en"", ""id"")"),"A) Tongkat dan perisai baru, B) Seragam, C) Ikat kepala, D) Sebotol air")</f>
        <v>A) Tongkat dan perisai baru, B) Seragam, C) Ikat kepala, D) Sebotol air</v>
      </c>
      <c r="J77" s="5" t="str">
        <f>IFERROR(__xludf.DUMMYFUNCTION("GOOGLETRANSLATE(D77, ""en"", ""id"")"),"C) Ikat kepala")</f>
        <v>C) Ikat kepala</v>
      </c>
      <c r="K77" s="5" t="str">
        <f>IFERROR(__xludf.DUMMYFUNCTION("GOOGLETRANSLATE(E77, ""en"", ""id"")"),"Ikat atau ikat kepala merupakan pakaian simbolis yang menandai seseorang sebagai pepadu yang siap turun ke arena.")</f>
        <v>Ikat atau ikat kepala merupakan pakaian simbolis yang menandai seseorang sebagai pepadu yang siap turun ke arena.</v>
      </c>
    </row>
    <row r="78">
      <c r="A78" s="3">
        <v>77.0</v>
      </c>
      <c r="B78" s="4" t="s">
        <v>906</v>
      </c>
      <c r="C78" s="6" t="s">
        <v>907</v>
      </c>
      <c r="D78" s="4" t="s">
        <v>360</v>
      </c>
      <c r="E78" s="4" t="s">
        <v>908</v>
      </c>
      <c r="G78" s="5" t="str">
        <f>IFERROR(__xludf.DUMMYFUNCTION("GOOGLETRANSLATE(A78, ""en"", ""id"")"),"77")</f>
        <v>77</v>
      </c>
      <c r="H78" s="5" t="str">
        <f>IFERROR(__xludf.DUMMYFUNCTION("GOOGLETRANSLATE(B78, ""en"", ""id"")"),"Seorang petarung mendaratkan pukulan sementara lawannya teralihkan oleh instruksi teriakan dari sudutnya. Apakah poinnya valid?")</f>
        <v>Seorang petarung mendaratkan pukulan sementara lawannya teralihkan oleh instruksi teriakan dari sudutnya. Apakah poinnya valid?</v>
      </c>
      <c r="I78" s="5" t="str">
        <f>IFERROR(__xludf.DUMMYFUNCTION("GOOGLETRANSLATE(C78, ""en"", ""id"")"),"A) Tidak, poin diulang karena gangguan, B) Ya, poinnya valid, C) Peringatan dikeluarkan ke sudut, D) Baik B dan C")</f>
        <v>A) Tidak, poin diulang karena gangguan, B) Ya, poinnya valid, C) Peringatan dikeluarkan ke sudut, D) Baik B dan C</v>
      </c>
      <c r="J78" s="5" t="str">
        <f>IFERROR(__xludf.DUMMYFUNCTION("GOOGLETRANSLATE(D78, ""en"", ""id"")"),"D) B dan C")</f>
        <v>D) B dan C</v>
      </c>
      <c r="K78" s="5" t="str">
        <f>IFERROR(__xludf.DUMMYFUNCTION("GOOGLETRANSLATE(E78, ""en"", ""id"")"),"Pukulan tersebut sah karena petarung harus tetap fokus, tetapi sudut lapangan dapat diperingatkan karena teriakan yang berlebihan atau mengganggu.")</f>
        <v>Pukulan tersebut sah karena petarung harus tetap fokus, tetapi sudut lapangan dapat diperingatkan karena teriakan yang berlebihan atau mengganggu.</v>
      </c>
    </row>
    <row r="79">
      <c r="A79" s="3">
        <v>78.0</v>
      </c>
      <c r="B79" s="4" t="s">
        <v>909</v>
      </c>
      <c r="C79" s="6" t="s">
        <v>910</v>
      </c>
      <c r="D79" s="4" t="s">
        <v>911</v>
      </c>
      <c r="E79" s="4" t="s">
        <v>912</v>
      </c>
      <c r="G79" s="5" t="str">
        <f>IFERROR(__xludf.DUMMYFUNCTION("GOOGLETRANSLATE(A79, ""en"", ""id"")"),"78")</f>
        <v>78</v>
      </c>
      <c r="H79" s="5" t="str">
        <f>IFERROR(__xludf.DUMMYFUNCTION("GOOGLETRANSLATE(B79, ""en"", ""id"")"),"Apa filosofi ""tidak boleh mundur"" dalam beberapa pertandingan tradisional Peresean?")</f>
        <v>Apa filosofi "tidak boleh mundur" dalam beberapa pertandingan tradisional Peresean?</v>
      </c>
      <c r="I79" s="5" t="str">
        <f>IFERROR(__xludf.DUMMYFUNCTION("GOOGLETRANSLATE(C79, ""en"", ""id"")"),"A) Pejuang tidak diperbolehkan untuk bergerak mundur, B) Ini adalah metafora untuk keberanian dan tidak pernah mundur dari tantangan, C) Arena terlalu kecil untuk mundur, D) Mundur mengakibatkan diskualifikasi langsung")</f>
        <v>A) Pejuang tidak diperbolehkan untuk bergerak mundur, B) Ini adalah metafora untuk keberanian dan tidak pernah mundur dari tantangan, C) Arena terlalu kecil untuk mundur, D) Mundur mengakibatkan diskualifikasi langsung</v>
      </c>
      <c r="J79" s="5" t="str">
        <f>IFERROR(__xludf.DUMMYFUNCTION("GOOGLETRANSLATE(D79, ""en"", ""id"")"),"B) Ini adalah metafora untuk keberanian dan tidak pernah mundur dari tantangan")</f>
        <v>B) Ini adalah metafora untuk keberanian dan tidak pernah mundur dari tantangan</v>
      </c>
      <c r="K79" s="5" t="str">
        <f>IFERROR(__xludf.DUMMYFUNCTION("GOOGLETRANSLATE(E79, ""en"", ""id"")"),"Meskipun gerakan mundur taktis diperbolehkan, semangat ""tidak boleh mundur"" mendorong para pejuang untuk mempertahankan pendirian mereka dan menunjukkan keberanian.")</f>
        <v>Meskipun gerakan mundur taktis diperbolehkan, semangat "tidak boleh mundur" mendorong para pejuang untuk mempertahankan pendirian mereka dan menunjukkan keberanian.</v>
      </c>
    </row>
    <row r="80">
      <c r="A80" s="3">
        <v>79.0</v>
      </c>
      <c r="B80" s="4" t="s">
        <v>913</v>
      </c>
      <c r="C80" s="6" t="s">
        <v>914</v>
      </c>
      <c r="D80" s="4" t="s">
        <v>915</v>
      </c>
      <c r="E80" s="4" t="s">
        <v>916</v>
      </c>
      <c r="G80" s="5" t="str">
        <f>IFERROR(__xludf.DUMMYFUNCTION("GOOGLETRANSLATE(A80, ""en"", ""id"")"),"79")</f>
        <v>79</v>
      </c>
      <c r="H80" s="5" t="str">
        <f>IFERROR(__xludf.DUMMYFUNCTION("GOOGLETRANSLATE(B80, ""en"", ""id"")"),"Bisakah seorang petarung memenangkan pertandingan jika perisai lawannya pecah?")</f>
        <v>Bisakah seorang petarung memenangkan pertandingan jika perisai lawannya pecah?</v>
      </c>
      <c r="I80" s="5" t="str">
        <f>IFERROR(__xludf.DUMMYFUNCTION("GOOGLETRANSLATE(C80, ""en"", ""id"")"),"A) Ya, segera, B) Tidak, pertandingan dihentikan sementara untuk mengganti perisai, C) Hanya jika petarung terkena pukulan pada saat yang sama, D) Poin diberikan, tetapi pertandingan tetap berlanjut")</f>
        <v>A) Ya, segera, B) Tidak, pertandingan dihentikan sementara untuk mengganti perisai, C) Hanya jika petarung terkena pukulan pada saat yang sama, D) Poin diberikan, tetapi pertandingan tetap berlanjut</v>
      </c>
      <c r="J80" s="5" t="str">
        <f>IFERROR(__xludf.DUMMYFUNCTION("GOOGLETRANSLATE(D80, ""en"", ""id"")"),"B) Tidak, pertandingan dihentikan sementara untuk mengganti perisai")</f>
        <v>B) Tidak, pertandingan dihentikan sementara untuk mengganti perisai</v>
      </c>
      <c r="K80" s="5" t="str">
        <f>IFERROR(__xludf.DUMMYFUNCTION("GOOGLETRANSLATE(E80, ""en"", ""id"")"),"Perisai yang rusak merupakan kegagalan peralatan, dan pertarungan dihentikan untuk menyediakan pengganti guna memastikan pertarungan yang adil.")</f>
        <v>Perisai yang rusak merupakan kegagalan peralatan, dan pertarungan dihentikan untuk menyediakan pengganti guna memastikan pertarungan yang adil.</v>
      </c>
    </row>
    <row r="81">
      <c r="A81" s="3">
        <v>80.0</v>
      </c>
      <c r="B81" s="4" t="s">
        <v>917</v>
      </c>
      <c r="C81" s="6" t="s">
        <v>918</v>
      </c>
      <c r="D81" s="4" t="s">
        <v>919</v>
      </c>
      <c r="E81" s="4" t="s">
        <v>920</v>
      </c>
      <c r="G81" s="5" t="str">
        <f>IFERROR(__xludf.DUMMYFUNCTION("GOOGLETRANSLATE(A81, ""en"", ""id"")"),"80")</f>
        <v>80</v>
      </c>
      <c r="H81" s="5" t="str">
        <f>IFERROR(__xludf.DUMMYFUNCTION("GOOGLETRANSLATE(B81, ""en"", ""id"")"),"Selain hari raya, Peresean kerap dipentaskan untuk menyambut apa?")</f>
        <v>Selain hari raya, Peresean kerap dipentaskan untuk menyambut apa?</v>
      </c>
      <c r="I81" s="5" t="str">
        <f>IFERROR(__xludf.DUMMYFUNCTION("GOOGLETRANSLATE(C81, ""en"", ""id"")"),"A) Musim hujan, B) Wisatawan, C) Tamu penting atau pejabat di Lombok, D) Musim panen")</f>
        <v>A) Musim hujan, B) Wisatawan, C) Tamu penting atau pejabat di Lombok, D) Musim panen</v>
      </c>
      <c r="J81" s="5" t="str">
        <f>IFERROR(__xludf.DUMMYFUNCTION("GOOGLETRANSLATE(D81, ""en"", ""id"")"),"C) Tamu penting atau pejabat di Lombok")</f>
        <v>C) Tamu penting atau pejabat di Lombok</v>
      </c>
      <c r="K81" s="5" t="str">
        <f>IFERROR(__xludf.DUMMYFUNCTION("GOOGLETRANSLATE(E81, ""en"", ""id"")"),"Ini berfungsi sebagai pertunjukan budaya yang kuat untuk menghormati pengunjung terhormat, memamerkan warisan unik masyarakat Sasak.")</f>
        <v>Ini berfungsi sebagai pertunjukan budaya yang kuat untuk menghormati pengunjung terhormat, memamerkan warisan unik masyarakat Sasak.</v>
      </c>
    </row>
    <row r="82">
      <c r="A82" s="3">
        <v>81.0</v>
      </c>
      <c r="B82" s="4" t="s">
        <v>921</v>
      </c>
      <c r="C82" s="6" t="s">
        <v>922</v>
      </c>
      <c r="D82" s="4" t="s">
        <v>923</v>
      </c>
      <c r="E82" s="4" t="s">
        <v>924</v>
      </c>
      <c r="G82" s="5" t="str">
        <f>IFERROR(__xludf.DUMMYFUNCTION("GOOGLETRANSLATE(A82, ""en"", ""id"")"),"81")</f>
        <v>81</v>
      </c>
      <c r="H82" s="5" t="str">
        <f>IFERROR(__xludf.DUMMYFUNCTION("GOOGLETRANSLATE(B82, ""en"", ""id"")"),"Seorang petarung melancarkan serangan yang mengenai selempang atau kain pinggang lawan (saput). Apakah ini pukulan yang menghasilkan skor?")</f>
        <v>Seorang petarung melancarkan serangan yang mengenai selempang atau kain pinggang lawan (saput). Apakah ini pukulan yang menghasilkan skor?</v>
      </c>
      <c r="I82" s="5" t="str">
        <f>IFERROR(__xludf.DUMMYFUNCTION("GOOGLETRANSLATE(C82, ""en"", ""id"")"),"A) Ya, itu bagian dari tubuh, B) Tidak, itu harus di atas pinggang, C) Hanya jika itu menyebabkan lawan tersandung, D) Pelanggaran disebut")</f>
        <v>A) Ya, itu bagian dari tubuh, B) Tidak, itu harus di atas pinggang, C) Hanya jika itu menyebabkan lawan tersandung, D) Pelanggaran disebut</v>
      </c>
      <c r="J82" s="5" t="str">
        <f>IFERROR(__xludf.DUMMYFUNCTION("GOOGLETRANSLATE(D82, ""en"", ""id"")"),"B) Tidak, harus di atas pinggang")</f>
        <v>B) Tidak, harus di atas pinggang</v>
      </c>
      <c r="K82" s="5" t="str">
        <f>IFERROR(__xludf.DUMMYFUNCTION("GOOGLETRANSLATE(E82, ""en"", ""id"")"),"Selempang dikenakan pada atau di bawah pinggang, yang berarti berada di luar zona target yang sah.")</f>
        <v>Selempang dikenakan pada atau di bawah pinggang, yang berarti berada di luar zona target yang sah.</v>
      </c>
    </row>
    <row r="83">
      <c r="A83" s="3">
        <v>82.0</v>
      </c>
      <c r="B83" s="4" t="s">
        <v>925</v>
      </c>
      <c r="C83" s="6" t="s">
        <v>926</v>
      </c>
      <c r="D83" s="4" t="s">
        <v>927</v>
      </c>
      <c r="E83" s="4" t="s">
        <v>928</v>
      </c>
      <c r="G83" s="5" t="str">
        <f>IFERROR(__xludf.DUMMYFUNCTION("GOOGLETRANSLATE(A83, ""en"", ""id"")"),"82")</f>
        <v>82</v>
      </c>
      <c r="H83" s="5" t="str">
        <f>IFERROR(__xludf.DUMMYFUNCTION("GOOGLETRANSLATE(B83, ""en"", ""id"")"),"Jika dua petarung berasal dari desa yang sama, apakah mereka biasanya diizinkan untuk bertarung satu sama lain?")</f>
        <v>Jika dua petarung berasal dari desa yang sama, apakah mereka biasanya diizinkan untuk bertarung satu sama lain?</v>
      </c>
      <c r="I83" s="5" t="str">
        <f>IFERROR(__xludf.DUMMYFUNCTION("GOOGLETRANSLATE(C83, ""en"", ""id"")"),"A) Ya, dianjurkan, B) Tidak, umumnya dihindari untuk mencegah konflik internal, C) Hanya jika mereka bersaudara, D) Hanya dengan izin kepala desa")</f>
        <v>A) Ya, dianjurkan, B) Tidak, umumnya dihindari untuk mencegah konflik internal, C) Hanya jika mereka bersaudara, D) Hanya dengan izin kepala desa</v>
      </c>
      <c r="J83" s="5" t="str">
        <f>IFERROR(__xludf.DUMMYFUNCTION("GOOGLETRANSLATE(D83, ""en"", ""id"")"),"B) Tidak, hal ini umumnya dihindari untuk mencegah konflik internal")</f>
        <v>B) Tidak, hal ini umumnya dihindari untuk mencegah konflik internal</v>
      </c>
      <c r="K83" s="5" t="str">
        <f>IFERROR(__xludf.DUMMYFUNCTION("GOOGLETRANSLATE(E83, ""en"", ""id"")"),"Untuk menjaga kerukunan masyarakat, tradisi ini mendorong para pejuang dari desa lain untuk menantang mereka.")</f>
        <v>Untuk menjaga kerukunan masyarakat, tradisi ini mendorong para pejuang dari desa lain untuk menantang mereka.</v>
      </c>
    </row>
    <row r="84">
      <c r="A84" s="3">
        <v>83.0</v>
      </c>
      <c r="B84" s="4" t="s">
        <v>929</v>
      </c>
      <c r="C84" s="6" t="s">
        <v>930</v>
      </c>
      <c r="D84" s="4" t="s">
        <v>931</v>
      </c>
      <c r="E84" s="4" t="s">
        <v>932</v>
      </c>
      <c r="G84" s="5" t="str">
        <f>IFERROR(__xludf.DUMMYFUNCTION("GOOGLETRANSLATE(A84, ""en"", ""id"")"),"83")</f>
        <v>83</v>
      </c>
      <c r="H84" s="5" t="str">
        <f>IFERROR(__xludf.DUMMYFUNCTION("GOOGLETRANSLATE(B84, ""en"", ""id"")"),"Apa isyarat tangan wasit untuk ""berhenti"" atau ""istirahat""?")</f>
        <v>Apa isyarat tangan wasit untuk "berhenti" atau "istirahat"?</v>
      </c>
      <c r="I84" s="5" t="str">
        <f>IFERROR(__xludf.DUMMYFUNCTION("GOOGLETRANSLATE(C84, ""en"", ""id"")"),"A) Bertepuk tangan, B) Mengangkat satu tangan secara vertikal dengan telapak tangan terbuka, C) Menyilangkan tangan di depan dada, D) Menunjuk ke tanah")</f>
        <v>A) Bertepuk tangan, B) Mengangkat satu tangan secara vertikal dengan telapak tangan terbuka, C) Menyilangkan tangan di depan dada, D) Menunjuk ke tanah</v>
      </c>
      <c r="J84" s="5" t="str">
        <f>IFERROR(__xludf.DUMMYFUNCTION("GOOGLETRANSLATE(D84, ""en"", ""id"")"),"B) Mengangkat satu tangan secara vertikal dengan telapak tangan terbuka")</f>
        <v>B) Mengangkat satu tangan secara vertikal dengan telapak tangan terbuka</v>
      </c>
      <c r="K84" s="5" t="str">
        <f>IFERROR(__xludf.DUMMYFUNCTION("GOOGLETRANSLATE(E84, ""en"", ""id"")"),"Tangan terbuka yang terangkat merupakan sinyal universal bagi para petarung untuk segera menghentikan pertarungan.")</f>
        <v>Tangan terbuka yang terangkat merupakan sinyal universal bagi para petarung untuk segera menghentikan pertarungan.</v>
      </c>
    </row>
    <row r="85">
      <c r="A85" s="3">
        <v>84.0</v>
      </c>
      <c r="B85" s="4" t="s">
        <v>933</v>
      </c>
      <c r="C85" s="6" t="s">
        <v>934</v>
      </c>
      <c r="D85" s="4" t="s">
        <v>935</v>
      </c>
      <c r="E85" s="4" t="s">
        <v>936</v>
      </c>
      <c r="G85" s="5" t="str">
        <f>IFERROR(__xludf.DUMMYFUNCTION("GOOGLETRANSLATE(A85, ""en"", ""id"")"),"84")</f>
        <v>84</v>
      </c>
      <c r="H85" s="5" t="str">
        <f>IFERROR(__xludf.DUMMYFUNCTION("GOOGLETRANSLATE(B85, ""en"", ""id"")"),"Seorang petarung yang terkena pukulan secara sah akan beralih ke wasit untuk mengeluh alih-alih terus bertahan. Apa risikonya?")</f>
        <v>Seorang petarung yang terkena pukulan secara sah akan beralih ke wasit untuk mengeluh alih-alih terus bertahan. Apa risikonya?</v>
      </c>
      <c r="I85" s="5" t="str">
        <f>IFERROR(__xludf.DUMMYFUNCTION("GOOGLETRANSLATE(C85, ""en"", ""id"")"),"A) Wasit akan setuju dengan mereka, B) Mereka kemungkinan akan dipukul lagi saat sedang teralihkan, C) Poin akan diputar ulang, D) Lawan akan diperingatkan")</f>
        <v>A) Wasit akan setuju dengan mereka, B) Mereka kemungkinan akan dipukul lagi saat sedang teralihkan, C) Poin akan diputar ulang, D) Lawan akan diperingatkan</v>
      </c>
      <c r="J85" s="5" t="str">
        <f>IFERROR(__xludf.DUMMYFUNCTION("GOOGLETRANSLATE(D85, ""en"", ""id"")"),"B) Mereka kemungkinan akan dipukul lagi saat sedang tidak fokus")</f>
        <v>B) Mereka kemungkinan akan dipukul lagi saat sedang tidak fokus</v>
      </c>
      <c r="K85" s="5" t="str">
        <f>IFERROR(__xludf.DUMMYFUNCTION("GOOGLETRANSLATE(E85, ""en"", ""id"")"),"Aturan intinya adalah selalu siap. Melakukan protes di tengah ronde membuat petarung rentan terhadap serangan susulan yang sah.")</f>
        <v>Aturan intinya adalah selalu siap. Melakukan protes di tengah ronde membuat petarung rentan terhadap serangan susulan yang sah.</v>
      </c>
    </row>
    <row r="86">
      <c r="A86" s="3">
        <v>85.0</v>
      </c>
      <c r="B86" s="4" t="s">
        <v>937</v>
      </c>
      <c r="C86" s="6" t="s">
        <v>938</v>
      </c>
      <c r="D86" s="4" t="s">
        <v>939</v>
      </c>
      <c r="E86" s="4" t="s">
        <v>940</v>
      </c>
      <c r="G86" s="5" t="str">
        <f>IFERROR(__xludf.DUMMYFUNCTION("GOOGLETRANSLATE(A86, ""en"", ""id"")"),"85")</f>
        <v>85</v>
      </c>
      <c r="H86" s="5" t="str">
        <f>IFERROR(__xludf.DUMMYFUNCTION("GOOGLETRANSLATE(B86, ""en"", ""id"")"),"Mengapa tongkat rotan direndam dalam air sebelum dikorek api?")</f>
        <v>Mengapa tongkat rotan direndam dalam air sebelum dikorek api?</v>
      </c>
      <c r="I86" s="5" t="str">
        <f>IFERROR(__xludf.DUMMYFUNCTION("GOOGLETRANSLATE(C86, ""en"", ""id"")"),"A) Untuk membuatnya lebih berat, B) Untuk membuatnya lebih fleksibel dan tidak mudah pecah, C) Untuk membersihkannya, D) Untuk membuat pukulan lebih menyakitkan")</f>
        <v>A) Untuk membuatnya lebih berat, B) Untuk membuatnya lebih fleksibel dan tidak mudah pecah, C) Untuk membersihkannya, D) Untuk membuat pukulan lebih menyakitkan</v>
      </c>
      <c r="J86" s="5" t="str">
        <f>IFERROR(__xludf.DUMMYFUNCTION("GOOGLETRANSLATE(D86, ""en"", ""id"")"),"B) Agar lebih fleksibel dan tidak mudah pecah")</f>
        <v>B) Agar lebih fleksibel dan tidak mudah pecah</v>
      </c>
      <c r="K86" s="5" t="str">
        <f>IFERROR(__xludf.DUMMYFUNCTION("GOOGLETRANSLATE(E86, ""en"", ""id"")"),"Perendaman rotan membuat serat lebih lentur, mencegah tongkat menjadi kering dan rapuh, yang dapat berbahaya.")</f>
        <v>Perendaman rotan membuat serat lebih lentur, mencegah tongkat menjadi kering dan rapuh, yang dapat berbahaya.</v>
      </c>
    </row>
    <row r="87">
      <c r="A87" s="3">
        <v>86.0</v>
      </c>
      <c r="B87" s="4" t="s">
        <v>941</v>
      </c>
      <c r="C87" s="6" t="s">
        <v>942</v>
      </c>
      <c r="D87" s="4" t="s">
        <v>943</v>
      </c>
      <c r="E87" s="4" t="s">
        <v>944</v>
      </c>
      <c r="G87" s="5" t="str">
        <f>IFERROR(__xludf.DUMMYFUNCTION("GOOGLETRANSLATE(A87, ""en"", ""id"")"),"86")</f>
        <v>86</v>
      </c>
      <c r="H87" s="5" t="str">
        <f>IFERROR(__xludf.DUMMYFUNCTION("GOOGLETRANSLATE(B87, ""en"", ""id"")"),"Jika seorang petarung jelas dominan dan telah mencetak banyak poin, apa yang mungkin dilakukan wasit?")</f>
        <v>Jika seorang petarung jelas dominan dan telah mencetak banyak poin, apa yang mungkin dilakukan wasit?</v>
      </c>
      <c r="I87" s="5" t="str">
        <f>IFERROR(__xludf.DUMMYFUNCTION("GOOGLETRANSLATE(C87, ""en"", ""id"")"),"A) Hentikan pertarungan untuk mencegah ketidakcocokan, B) Berikan poin bonus, C) Paksa petarung yang kalah untuk melanjutkan, D) Biarkan pertarungan terus berlanjut tanpa peduli")</f>
        <v>A) Hentikan pertarungan untuk mencegah ketidakcocokan, B) Berikan poin bonus, C) Paksa petarung yang kalah untuk melanjutkan, D) Biarkan pertarungan terus berlanjut tanpa peduli</v>
      </c>
      <c r="J87" s="5" t="str">
        <f>IFERROR(__xludf.DUMMYFUNCTION("GOOGLETRANSLATE(D87, ""en"", ""id"")"),"A) Hentikan perkelahian untuk mencegah ketidakcocokan")</f>
        <v>A) Hentikan perkelahian untuk mencegah ketidakcocokan</v>
      </c>
      <c r="K87" s="5" t="str">
        <f>IFERROR(__xludf.DUMMYFUNCTION("GOOGLETRANSLATE(E87, ""en"", ""id"")"),"Demi kepentingan keselamatan dan sportivitas, wasit dapat menghentikan pertarungan sepihak untuk melindungi petarung yang kalah.")</f>
        <v>Demi kepentingan keselamatan dan sportivitas, wasit dapat menghentikan pertarungan sepihak untuk melindungi petarung yang kalah.</v>
      </c>
    </row>
    <row r="88">
      <c r="A88" s="3">
        <v>87.0</v>
      </c>
      <c r="B88" s="4" t="s">
        <v>945</v>
      </c>
      <c r="C88" s="6" t="s">
        <v>946</v>
      </c>
      <c r="D88" s="4" t="s">
        <v>947</v>
      </c>
      <c r="E88" s="4" t="s">
        <v>948</v>
      </c>
      <c r="G88" s="5" t="str">
        <f>IFERROR(__xludf.DUMMYFUNCTION("GOOGLETRANSLATE(A88, ""en"", ""id"")"),"87")</f>
        <v>87</v>
      </c>
      <c r="H88" s="5" t="str">
        <f>IFERROR(__xludf.DUMMYFUNCTION("GOOGLETRANSLATE(B88, ""en"", ""id"")"),"Apa arti sentuhan seremonial pada tongkat dan perisai lawan sebelum pertarungan?")</f>
        <v>Apa arti sentuhan seremonial pada tongkat dan perisai lawan sebelum pertarungan?</v>
      </c>
      <c r="I88" s="5" t="str">
        <f>IFERROR(__xludf.DUMMYFUNCTION("GOOGLETRANSLATE(C88, ""en"", ""id"")"),"A) Permintaan untuk pertarungan yang tidak agresif, B) Pengakuan bersama terhadap aturan dan rasa hormat, C) Memeriksa legalitas peralatan, D) Tantangan")</f>
        <v>A) Permintaan untuk pertarungan yang tidak agresif, B) Pengakuan bersama terhadap aturan dan rasa hormat, C) Memeriksa legalitas peralatan, D) Tantangan</v>
      </c>
      <c r="J88" s="5" t="str">
        <f>IFERROR(__xludf.DUMMYFUNCTION("GOOGLETRANSLATE(D88, ""en"", ""id"")"),"B) Saling mengakui aturan dan saling menghormati")</f>
        <v>B) Saling mengakui aturan dan saling menghormati</v>
      </c>
      <c r="K88" s="5" t="str">
        <f>IFERROR(__xludf.DUMMYFUNCTION("GOOGLETRANSLATE(E88, ""en"", ""id"")"),"Ritual ini merupakan wujud sportifitas, yang menegaskan bahwa kedua petarung siap bertanding secara adil.")</f>
        <v>Ritual ini merupakan wujud sportifitas, yang menegaskan bahwa kedua petarung siap bertanding secara adil.</v>
      </c>
    </row>
    <row r="89">
      <c r="A89" s="3">
        <v>88.0</v>
      </c>
      <c r="B89" s="4" t="s">
        <v>949</v>
      </c>
      <c r="C89" s="6" t="s">
        <v>950</v>
      </c>
      <c r="D89" s="4" t="s">
        <v>951</v>
      </c>
      <c r="E89" s="4" t="s">
        <v>952</v>
      </c>
      <c r="G89" s="5" t="str">
        <f>IFERROR(__xludf.DUMMYFUNCTION("GOOGLETRANSLATE(A89, ""en"", ""id"")"),"88")</f>
        <v>88</v>
      </c>
      <c r="H89" s="5" t="str">
        <f>IFERROR(__xludf.DUMMYFUNCTION("GOOGLETRANSLATE(B89, ""en"", ""id"")"),"Seorang petarung menggunakan serangan berputar yang sangat tidak lazim. Bagaimana ini dinilai?")</f>
        <v>Seorang petarung menggunakan serangan berputar yang sangat tidak lazim. Bagaimana ini dinilai?</v>
      </c>
      <c r="I89" s="5" t="str">
        <f>IFERROR(__xludf.DUMMYFUNCTION("GOOGLETRANSLATE(C89, ""en"", ""id"")"),"A) Tidak diperbolehkan, B) Dinilai dengan kriteria yang sama: apakah serangan yang sah berhasil?, C) Poin bonus diberikan untuk kreativitas, D) Petarung diperingatkan karena tidak dapat diprediksi")</f>
        <v>A) Tidak diperbolehkan, B) Dinilai dengan kriteria yang sama: apakah serangan yang sah berhasil?, C) Poin bonus diberikan untuk kreativitas, D) Petarung diperingatkan karena tidak dapat diprediksi</v>
      </c>
      <c r="J89" s="5" t="str">
        <f>IFERROR(__xludf.DUMMYFUNCTION("GOOGLETRANSLATE(D89, ""en"", ""id"")"),"B) Dinilai berdasarkan kriteria yang sama: apakah pemogokan yang sah terjadi?")</f>
        <v>B) Dinilai berdasarkan kriteria yang sama: apakah pemogokan yang sah terjadi?</v>
      </c>
      <c r="K89" s="5" t="str">
        <f>IFERROR(__xludf.DUMMYFUNCTION("GOOGLETRANSLATE(E89, ""en"", ""id"")"),"Gaya serangan tidak penting, yang penting hanyalah hasilnya. Jika putaran menghasilkan strike yang bersih dan sah, maka strike tersebut dinilai.")</f>
        <v>Gaya serangan tidak penting, yang penting hanyalah hasilnya. Jika putaran menghasilkan strike yang bersih dan sah, maka strike tersebut dinilai.</v>
      </c>
    </row>
    <row r="90">
      <c r="A90" s="3">
        <v>89.0</v>
      </c>
      <c r="B90" s="4" t="s">
        <v>953</v>
      </c>
      <c r="C90" s="6" t="s">
        <v>954</v>
      </c>
      <c r="D90" s="4" t="s">
        <v>448</v>
      </c>
      <c r="E90" s="4" t="s">
        <v>955</v>
      </c>
      <c r="G90" s="5" t="str">
        <f>IFERROR(__xludf.DUMMYFUNCTION("GOOGLETRANSLATE(A90, ""en"", ""id"")"),"89")</f>
        <v>89</v>
      </c>
      <c r="H90" s="5" t="str">
        <f>IFERROR(__xludf.DUMMYFUNCTION("GOOGLETRANSLATE(B90, ""en"", ""id"")"),"Apa perbedaan utama antara Peresean dan anggar olahraga modern?")</f>
        <v>Apa perbedaan utama antara Peresean dan anggar olahraga modern?</v>
      </c>
      <c r="I90" s="5" t="str">
        <f>IFERROR(__xludf.DUMMYFUNCTION("GOOGLETRANSLATE(C90, ""en"", ""id"")"),"A) Senjata yang digunakan, B) Area target jauh lebih besar dan kurang spesifik, C) Kurangnya penilaian elektronik, D) Semua jawaban di atas")</f>
        <v>A) Senjata yang digunakan, B) Area target jauh lebih besar dan kurang spesifik, C) Kurangnya penilaian elektronik, D) Semua jawaban di atas</v>
      </c>
      <c r="J90" s="5" t="str">
        <f>IFERROR(__xludf.DUMMYFUNCTION("GOOGLETRANSLATE(D90, ""en"", ""id"")"),"D) Semua jawaban di atas")</f>
        <v>D) Semua jawaban di atas</v>
      </c>
      <c r="K90" s="5" t="str">
        <f>IFERROR(__xludf.DUMMYFUNCTION("GOOGLETRANSLATE(E90, ""en"", ""id"")"),"Peresean menggunakan senjata yang berbeda-beda, memiliki zona target yang lebih luas, mengandalkan hakim manusia, dan merupakan pertarungan ritual yang tertanam secara budaya, bukan hanya sekadar olahraga.")</f>
        <v>Peresean menggunakan senjata yang berbeda-beda, memiliki zona target yang lebih luas, mengandalkan hakim manusia, dan merupakan pertarungan ritual yang tertanam secara budaya, bukan hanya sekadar olahraga.</v>
      </c>
    </row>
    <row r="91">
      <c r="A91" s="3">
        <v>90.0</v>
      </c>
      <c r="B91" s="4" t="s">
        <v>956</v>
      </c>
      <c r="C91" s="6" t="s">
        <v>957</v>
      </c>
      <c r="D91" s="4" t="s">
        <v>958</v>
      </c>
      <c r="E91" s="4" t="s">
        <v>959</v>
      </c>
      <c r="G91" s="5" t="str">
        <f>IFERROR(__xludf.DUMMYFUNCTION("GOOGLETRANSLATE(A91, ""en"", ""id"")"),"90")</f>
        <v>90</v>
      </c>
      <c r="H91" s="5" t="str">
        <f>IFERROR(__xludf.DUMMYFUNCTION("GOOGLETRANSLATE(B91, ""en"", ""id"")"),"Jika sudut petarung melemparkan handuk atau selempang ke arena, apa artinya?")</f>
        <v>Jika sudut petarung melemparkan handuk atau selempang ke arena, apa artinya?</v>
      </c>
      <c r="I91" s="5" t="str">
        <f>IFERROR(__xludf.DUMMYFUNCTION("GOOGLETRANSLATE(C91, ""en"", ""id"")"),"A) Mereka butuh waktu istirahat, B) Mereka memprotes keputusan, C) Mereka menyerahkan pertandingan atas nama petarung mereka, D) Mereka merayakan poin")</f>
        <v>A) Mereka butuh waktu istirahat, B) Mereka memprotes keputusan, C) Mereka menyerahkan pertandingan atas nama petarung mereka, D) Mereka merayakan poin</v>
      </c>
      <c r="J91" s="5" t="str">
        <f>IFERROR(__xludf.DUMMYFUNCTION("GOOGLETRANSLATE(D91, ""en"", ""id"")"),"C) Mereka menyerahkan pertandingan atas nama petarung mereka")</f>
        <v>C) Mereka menyerahkan pertandingan atas nama petarung mereka</v>
      </c>
      <c r="K91" s="5" t="str">
        <f>IFERROR(__xludf.DUMMYFUNCTION("GOOGLETRANSLATE(E91, ""en"", ""id"")"),"Seperti dalam tinju, menyerah merupakan sinyal universal bahwa kubu petarung ingin menghentikan pertarungan demi melindungi pesaingnya.")</f>
        <v>Seperti dalam tinju, menyerah merupakan sinyal universal bahwa kubu petarung ingin menghentikan pertarungan demi melindungi pesaingnya.</v>
      </c>
    </row>
    <row r="92">
      <c r="A92" s="3">
        <v>91.0</v>
      </c>
      <c r="B92" s="4" t="s">
        <v>960</v>
      </c>
      <c r="C92" s="6" t="s">
        <v>961</v>
      </c>
      <c r="D92" s="4" t="s">
        <v>962</v>
      </c>
      <c r="E92" s="4" t="s">
        <v>963</v>
      </c>
      <c r="G92" s="5" t="str">
        <f>IFERROR(__xludf.DUMMYFUNCTION("GOOGLETRANSLATE(A92, ""en"", ""id"")"),"91")</f>
        <v>91</v>
      </c>
      <c r="H92" s="5" t="str">
        <f>IFERROR(__xludf.DUMMYFUNCTION("GOOGLETRANSLATE(B92, ""en"", ""id"")"),"Apakah sah hukumnya bagi seorang petarung untuk mengeluarkan teriakan atau seruan (kiai) saat melakukan serangan?")</f>
        <v>Apakah sah hukumnya bagi seorang petarung untuk mengeluarkan teriakan atau seruan (kiai) saat melakukan serangan?</v>
      </c>
      <c r="I92" s="5" t="str">
        <f>IFERROR(__xludf.DUMMYFUNCTION("GOOGLETRANSLATE(C92, ""en"", ""id"")"),"A) Tidak, hal ini dianggap sebagai gangguan, B) Ya, hal ini merupakan bagian tradisional dari seni untuk memfokuskan energi, C) Hanya jika teriakannya tidak keras, D) Peringatan diberikan")</f>
        <v>A) Tidak, hal ini dianggap sebagai gangguan, B) Ya, hal ini merupakan bagian tradisional dari seni untuk memfokuskan energi, C) Hanya jika teriakannya tidak keras, D) Peringatan diberikan</v>
      </c>
      <c r="J92" s="5" t="str">
        <f>IFERROR(__xludf.DUMMYFUNCTION("GOOGLETRANSLATE(D92, ""en"", ""id"")"),"B) Ya, itu adalah bagian tradisional dari seni untuk memfokuskan energi")</f>
        <v>B) Ya, itu adalah bagian tradisional dari seni untuk memfokuskan energi</v>
      </c>
      <c r="K92" s="5" t="str">
        <f>IFERROR(__xludf.DUMMYFUNCTION("GOOGLETRANSLATE(E92, ""en"", ""id"")"),"Seperti dalam banyak seni bela diri, vokalisasi digunakan untuk memfokuskan kekuatan dan semangat selama serangan dan sepenuhnya legal.")</f>
        <v>Seperti dalam banyak seni bela diri, vokalisasi digunakan untuk memfokuskan kekuatan dan semangat selama serangan dan sepenuhnya legal.</v>
      </c>
    </row>
    <row r="93">
      <c r="A93" s="3">
        <v>92.0</v>
      </c>
      <c r="B93" s="4" t="s">
        <v>964</v>
      </c>
      <c r="C93" s="6" t="s">
        <v>965</v>
      </c>
      <c r="D93" s="4" t="s">
        <v>966</v>
      </c>
      <c r="E93" s="4" t="s">
        <v>967</v>
      </c>
      <c r="G93" s="5" t="str">
        <f>IFERROR(__xludf.DUMMYFUNCTION("GOOGLETRANSLATE(A93, ""en"", ""id"")"),"92")</f>
        <v>92</v>
      </c>
      <c r="H93" s="5" t="str">
        <f>IFERROR(__xludf.DUMMYFUNCTION("GOOGLETRANSLATE(B93, ""en"", ""id"")"),"Seorang petarung dipukul di dada dan pukulannya cukup kuat hingga terdengar oleh penonton. Apa yang biasanya dikonfirmasi oleh hal ini kepada wasit?")</f>
        <v>Seorang petarung dipukul di dada dan pukulannya cukup kuat hingga terdengar oleh penonton. Apa yang biasanya dikonfirmasi oleh hal ini kepada wasit?</v>
      </c>
      <c r="I93" s="5" t="str">
        <f>IFERROR(__xludf.DUMMYFUNCTION("GOOGLETRANSLATE(C93, ""en"", ""id"")"),"A) Tongkatnya terlalu keras, B) Pukulannya jelas merupakan pukulan skor yang bersih dan kuat, C) Perisai petarung terlalu tipis, D) Musiknya harus lebih keras")</f>
        <v>A) Tongkatnya terlalu keras, B) Pukulannya jelas merupakan pukulan skor yang bersih dan kuat, C) Perisai petarung terlalu tipis, D) Musiknya harus lebih keras</v>
      </c>
      <c r="J93" s="5" t="str">
        <f>IFERROR(__xludf.DUMMYFUNCTION("GOOGLETRANSLATE(D93, ""en"", ""id"")"),"B) Pukulan itu jelas merupakan pukulan skor yang bersih dan solid")</f>
        <v>B) Pukulan itu jelas merupakan pukulan skor yang bersih dan solid</v>
      </c>
      <c r="K93" s="5" t="str">
        <f>IFERROR(__xludf.DUMMYFUNCTION("GOOGLETRANSLATE(E93, ""en"", ""id"")"),"Dampak yang dapat didengar memberikan konfirmasi yang jelas bahwa serangan yang signifikan, bukan insidental, telah terjadi.")</f>
        <v>Dampak yang dapat didengar memberikan konfirmasi yang jelas bahwa serangan yang signifikan, bukan insidental, telah terjadi.</v>
      </c>
    </row>
    <row r="94">
      <c r="A94" s="3">
        <v>93.0</v>
      </c>
      <c r="B94" s="4" t="s">
        <v>968</v>
      </c>
      <c r="C94" s="6" t="s">
        <v>969</v>
      </c>
      <c r="D94" s="4" t="s">
        <v>970</v>
      </c>
      <c r="E94" s="4" t="s">
        <v>971</v>
      </c>
      <c r="G94" s="5" t="str">
        <f>IFERROR(__xludf.DUMMYFUNCTION("GOOGLETRANSLATE(A94, ""en"", ""id"")"),"93")</f>
        <v>93</v>
      </c>
      <c r="H94" s="5" t="str">
        <f>IFERROR(__xludf.DUMMYFUNCTION("GOOGLETRANSLATE(B94, ""en"", ""id"")"),"Mengapa tangan seorang petarung yang bukan pemegang senjata harus tetap terbuka atau berada di belakang punggungnya?")</f>
        <v>Mengapa tangan seorang petarung yang bukan pemegang senjata harus tetap terbuka atau berada di belakang punggungnya?</v>
      </c>
      <c r="I94" s="5" t="str">
        <f>IFERROR(__xludf.DUMMYFUNCTION("GOOGLETRANSLATE(C94, ""en"", ""id"")"),"A) Untuk menunjukkan bahwa mereka tidak memegang senjata kedua, B) Untuk meningkatkan keseimbangan, C) Ini adalah aturan untuk mencegah perebutan atau pukulan ilegal, D) Ini hanya sikap tradisional")</f>
        <v>A) Untuk menunjukkan bahwa mereka tidak memegang senjata kedua, B) Untuk meningkatkan keseimbangan, C) Ini adalah aturan untuk mencegah perebutan atau pukulan ilegal, D) Ini hanya sikap tradisional</v>
      </c>
      <c r="J94" s="5" t="str">
        <f>IFERROR(__xludf.DUMMYFUNCTION("GOOGLETRANSLATE(D94, ""en"", ""id"")"),"C) Merupakan aturan untuk mencegah perampasan atau pemukulan yang tidak sah")</f>
        <v>C) Merupakan aturan untuk mencegah perampasan atau pemukulan yang tidak sah</v>
      </c>
      <c r="K94" s="5" t="str">
        <f>IFERROR(__xludf.DUMMYFUNCTION("GOOGLETRANSLATE(E94, ""en"", ""id"")"),"Menjauhkan tangan yang bebas dari perkelahian memastikan bahwa pertarungan terbatas pada tongkat dan perisai saja.")</f>
        <v>Menjauhkan tangan yang bebas dari perkelahian memastikan bahwa pertarungan terbatas pada tongkat dan perisai saja.</v>
      </c>
    </row>
    <row r="95">
      <c r="A95" s="3">
        <v>94.0</v>
      </c>
      <c r="B95" s="4" t="s">
        <v>972</v>
      </c>
      <c r="C95" s="6" t="s">
        <v>973</v>
      </c>
      <c r="D95" s="4" t="s">
        <v>974</v>
      </c>
      <c r="E95" s="4" t="s">
        <v>975</v>
      </c>
      <c r="G95" s="5" t="str">
        <f>IFERROR(__xludf.DUMMYFUNCTION("GOOGLETRANSLATE(A95, ""en"", ""id"")"),"94")</f>
        <v>94</v>
      </c>
      <c r="H95" s="5" t="str">
        <f>IFERROR(__xludf.DUMMYFUNCTION("GOOGLETRANSLATE(B95, ""en"", ""id"")"),"Dalam suasana turnamen, bagaimana ""petarung terbaik"" atau juara umum ditentukan?")</f>
        <v>Dalam suasana turnamen, bagaimana "petarung terbaik" atau juara umum ditentukan?</v>
      </c>
      <c r="I95" s="5" t="str">
        <f>IFERROR(__xludf.DUMMYFUNCTION("GOOGLETRANSLATE(C95, ""en"", ""id"")"),"A) Berdasarkan siapa yang memenangkan pertandingan terbanyak, B) Berdasarkan suara dari wasit, C) Berdasarkan siapa yang mencetak poin terbanyak sepanjang acara, D) Berdasarkan siapa yang memiliki KO terbanyak")</f>
        <v>A) Berdasarkan siapa yang memenangkan pertandingan terbanyak, B) Berdasarkan suara dari wasit, C) Berdasarkan siapa yang mencetak poin terbanyak sepanjang acara, D) Berdasarkan siapa yang memiliki KO terbanyak</v>
      </c>
      <c r="J95" s="5" t="str">
        <f>IFERROR(__xludf.DUMMYFUNCTION("GOOGLETRANSLATE(D95, ""en"", ""id"")"),"A) Berdasarkan siapa yang memenangkan pertandingan terbanyak")</f>
        <v>A) Berdasarkan siapa yang memenangkan pertandingan terbanyak</v>
      </c>
      <c r="K95" s="5" t="str">
        <f>IFERROR(__xludf.DUMMYFUNCTION("GOOGLETRANSLATE(E95, ""en"", ""id"")"),"Seperti kebanyakan turnamen, juaranya adalah dia yang lolos melalui babak dan memenangkan pertandingan final.")</f>
        <v>Seperti kebanyakan turnamen, juaranya adalah dia yang lolos melalui babak dan memenangkan pertandingan final.</v>
      </c>
    </row>
    <row r="96">
      <c r="A96" s="3">
        <v>95.0</v>
      </c>
      <c r="B96" s="4" t="s">
        <v>976</v>
      </c>
      <c r="C96" s="6" t="s">
        <v>977</v>
      </c>
      <c r="D96" s="4" t="s">
        <v>978</v>
      </c>
      <c r="E96" s="4" t="s">
        <v>979</v>
      </c>
      <c r="G96" s="5" t="str">
        <f>IFERROR(__xludf.DUMMYFUNCTION("GOOGLETRANSLATE(A96, ""en"", ""id"")"),"95")</f>
        <v>95</v>
      </c>
      <c r="H96" s="5" t="str">
        <f>IFERROR(__xludf.DUMMYFUNCTION("GOOGLETRANSLATE(B96, ""en"", ""id"")"),"Seorang petarung terkena pukulan, dan kulitnya robek, tetapi ia bersikeras untuk melanjutkan pertarungan. Apa faktor penentu terakhir?")</f>
        <v>Seorang petarung terkena pukulan, dan kulitnya robek, tetapi ia bersikeras untuk melanjutkan pertarungan. Apa faktor penentu terakhir?</v>
      </c>
      <c r="I96" s="5" t="str">
        <f>IFERROR(__xludf.DUMMYFUNCTION("GOOGLETRANSLATE(C96, ""en"", ""id"")"),"A) Keputusan petarung sendiri, B) Pendapat penonton, C) Penilaian keselamatan wasit dan petugas medis, D) Keputusan pelatih")</f>
        <v>A) Keputusan petarung sendiri, B) Pendapat penonton, C) Penilaian keselamatan wasit dan petugas medis, D) Keputusan pelatih</v>
      </c>
      <c r="J96" s="5" t="str">
        <f>IFERROR(__xludf.DUMMYFUNCTION("GOOGLETRANSLATE(D96, ""en"", ""id"")"),"C) Penilaian keselamatan oleh wasit dan petugas medis")</f>
        <v>C) Penilaian keselamatan oleh wasit dan petugas medis</v>
      </c>
      <c r="K96" s="5" t="str">
        <f>IFERROR(__xludf.DUMMYFUNCTION("GOOGLETRANSLATE(E96, ""en"", ""id"")"),"Wasit, dengan saran medis, memiliki keputusan akhir dan akan menghentikan pertarungan jika cedera dianggap terlalu parah untuk dilanjutkan dengan aman.")</f>
        <v>Wasit, dengan saran medis, memiliki keputusan akhir dan akan menghentikan pertarungan jika cedera dianggap terlalu parah untuk dilanjutkan dengan aman.</v>
      </c>
    </row>
    <row r="97">
      <c r="A97" s="3">
        <v>96.0</v>
      </c>
      <c r="B97" s="4" t="s">
        <v>980</v>
      </c>
      <c r="C97" s="6" t="s">
        <v>981</v>
      </c>
      <c r="D97" s="4" t="s">
        <v>982</v>
      </c>
      <c r="E97" s="4" t="s">
        <v>983</v>
      </c>
      <c r="G97" s="5" t="str">
        <f>IFERROR(__xludf.DUMMYFUNCTION("GOOGLETRANSLATE(A97, ""en"", ""id"")"),"96")</f>
        <v>96</v>
      </c>
      <c r="H97" s="5" t="str">
        <f>IFERROR(__xludf.DUMMYFUNCTION("GOOGLETRANSLATE(B97, ""en"", ""id"")"),"Apa makna simbolis tongkat rotan dalam budaya Sasak?")</f>
        <v>Apa makna simbolis tongkat rotan dalam budaya Sasak?</v>
      </c>
      <c r="I97" s="5" t="str">
        <f>IFERROR(__xludf.DUMMYFUNCTION("GOOGLETRANSLATE(C97, ""en"", ""id"")"),"A) Melambangkan kekayaan, B) Melambangkan kebajikan maskulin berupa kekerasan dan fleksibilitas, C) Melambangkan kedamaian, D) Melambangkan pertanian")</f>
        <v>A) Melambangkan kekayaan, B) Melambangkan kebajikan maskulin berupa kekerasan dan fleksibilitas, C) Melambangkan kedamaian, D) Melambangkan pertanian</v>
      </c>
      <c r="J97" s="5" t="str">
        <f>IFERROR(__xludf.DUMMYFUNCTION("GOOGLETRANSLATE(D97, ""en"", ""id"")"),"B) Melambangkan kebajikan maskulin berupa kekerasan dan fleksibilitas")</f>
        <v>B) Melambangkan kebajikan maskulin berupa kekerasan dan fleksibilitas</v>
      </c>
      <c r="K97" s="5" t="str">
        <f>IFERROR(__xludf.DUMMYFUNCTION("GOOGLETRANSLATE(E97, ""en"", ""id"")"),"Rotan melambangkan karakter laki-laki ideal: kuat dan keras, namun fleksibel dan tidak mudah patah.")</f>
        <v>Rotan melambangkan karakter laki-laki ideal: kuat dan keras, namun fleksibel dan tidak mudah patah.</v>
      </c>
    </row>
    <row r="98">
      <c r="A98" s="3">
        <v>97.0</v>
      </c>
      <c r="B98" s="4" t="s">
        <v>984</v>
      </c>
      <c r="C98" s="6" t="s">
        <v>985</v>
      </c>
      <c r="D98" s="4" t="s">
        <v>986</v>
      </c>
      <c r="E98" s="4" t="s">
        <v>987</v>
      </c>
      <c r="G98" s="5" t="str">
        <f>IFERROR(__xludf.DUMMYFUNCTION("GOOGLETRANSLATE(A98, ""en"", ""id"")"),"97")</f>
        <v>97</v>
      </c>
      <c r="H98" s="5" t="str">
        <f>IFERROR(__xludf.DUMMYFUNCTION("GOOGLETRANSLATE(B98, ""en"", ""id"")"),"Jika seorang petarung dihukum karena melakukan pelanggaran, apa prosedur yang paling umum untuk memulai kembali pertandingan?")</f>
        <v>Jika seorang petarung dihukum karena melakukan pelanggaran, apa prosedur yang paling umum untuk memulai kembali pertandingan?</v>
      </c>
      <c r="I98" s="5" t="str">
        <f>IFERROR(__xludf.DUMMYFUNCTION("GOOGLETRANSLATE(C98, ""en"", ""id"")"),"A) Lawan mendapat serangan bebas, B) Para petarung direset ke tengah arena, C) Petarung yang melakukan pelanggaran memulai dengan kerugian, D) Ronde berakhir segera")</f>
        <v>A) Lawan mendapat serangan bebas, B) Para petarung direset ke tengah arena, C) Petarung yang melakukan pelanggaran memulai dengan kerugian, D) Ronde berakhir segera</v>
      </c>
      <c r="J98" s="5" t="str">
        <f>IFERROR(__xludf.DUMMYFUNCTION("GOOGLETRANSLATE(D98, ""en"", ""id"")"),"B) Para petarung direset ke tengah arena")</f>
        <v>B) Para petarung direset ke tengah arena</v>
      </c>
      <c r="K98" s="5" t="str">
        <f>IFERROR(__xludf.DUMMYFUNCTION("GOOGLETRANSLATE(E98, ""en"", ""id"")"),"Setelah pelanggaran dinyatakan dan poin diberikan, para petarung dibawa kembali ke tengah untuk melanjutkan pertandingan secara adil.")</f>
        <v>Setelah pelanggaran dinyatakan dan poin diberikan, para petarung dibawa kembali ke tengah untuk melanjutkan pertandingan secara adil.</v>
      </c>
    </row>
    <row r="99">
      <c r="A99" s="3">
        <v>98.0</v>
      </c>
      <c r="B99" s="4" t="s">
        <v>988</v>
      </c>
      <c r="C99" s="6" t="s">
        <v>989</v>
      </c>
      <c r="D99" s="4" t="s">
        <v>990</v>
      </c>
      <c r="E99" s="4" t="s">
        <v>991</v>
      </c>
      <c r="G99" s="5" t="str">
        <f>IFERROR(__xludf.DUMMYFUNCTION("GOOGLETRANSLATE(A99, ""en"", ""id"")"),"98")</f>
        <v>98</v>
      </c>
      <c r="H99" s="5" t="str">
        <f>IFERROR(__xludf.DUMMYFUNCTION("GOOGLETRANSLATE(B99, ""en"", ""id"")"),"Seorang petarung menggunakan perisai yang sangat kecil dan lincah. Apa konsekuensi dari pilihan ini?")</f>
        <v>Seorang petarung menggunakan perisai yang sangat kecil dan lincah. Apa konsekuensi dari pilihan ini?</v>
      </c>
      <c r="I99" s="5" t="str">
        <f>IFERROR(__xludf.DUMMYFUNCTION("GOOGLETRANSLATE(C99, ""en"", ""id"")"),"A) Lebih berat, B) Memberikan perlindungan lebih sedikit namun lebih cepat untuk bermanuver, C) Lebih protektif namun lebih lambat, D) Itu ilegal")</f>
        <v>A) Lebih berat, B) Memberikan perlindungan lebih sedikit namun lebih cepat untuk bermanuver, C) Lebih protektif namun lebih lambat, D) Itu ilegal</v>
      </c>
      <c r="J99" s="5" t="str">
        <f>IFERROR(__xludf.DUMMYFUNCTION("GOOGLETRANSLATE(D99, ""en"", ""id"")"),"B) Perlindungannya lebih sedikit namun lebih cepat untuk bermanuver")</f>
        <v>B) Perlindungannya lebih sedikit namun lebih cepat untuk bermanuver</v>
      </c>
      <c r="K99" s="5" t="str">
        <f>IFERROR(__xludf.DUMMYFUNCTION("GOOGLETRANSLATE(E99, ""en"", ""id"")"),"Perisai yang lebih kecil memungkinkan pemblokiran dan pergerakan yang lebih cepat tetapi membiarkan lebih banyak bagian tubuh yang terekspos sebagai target.")</f>
        <v>Perisai yang lebih kecil memungkinkan pemblokiran dan pergerakan yang lebih cepat tetapi membiarkan lebih banyak bagian tubuh yang terekspos sebagai target.</v>
      </c>
    </row>
    <row r="100">
      <c r="A100" s="3">
        <v>99.0</v>
      </c>
      <c r="B100" s="4" t="s">
        <v>992</v>
      </c>
      <c r="C100" s="6" t="s">
        <v>993</v>
      </c>
      <c r="D100" s="4" t="s">
        <v>994</v>
      </c>
      <c r="E100" s="4" t="s">
        <v>995</v>
      </c>
      <c r="G100" s="5" t="str">
        <f>IFERROR(__xludf.DUMMYFUNCTION("GOOGLETRANSLATE(A100, ""en"", ""id"")"),"99")</f>
        <v>99</v>
      </c>
      <c r="H100" s="5" t="str">
        <f>IFERROR(__xludf.DUMMYFUNCTION("GOOGLETRANSLATE(B100, ""en"", ""id"")"),"Sebelum aturan modern, apakah Peresean diperjuangkan hingga batas poin tercapai?")</f>
        <v>Sebelum aturan modern, apakah Peresean diperjuangkan hingga batas poin tercapai?</v>
      </c>
      <c r="I100" s="5" t="str">
        <f>IFERROR(__xludf.DUMMYFUNCTION("GOOGLETRANSLATE(C100, ""en"", ""id"")"),"A) Ya, selalu merupakan pertandingan 5 ronde, B) Tidak, sering kali terjadi sampai salah satu petarung menyerah atau tidak dapat melanjutkan, C) Ya, yang pertama mencapai 10 poin menang, D) Tidak, itu murni seremonial")</f>
        <v>A) Ya, selalu merupakan pertandingan 5 ronde, B) Tidak, sering kali terjadi sampai salah satu petarung menyerah atau tidak dapat melanjutkan, C) Ya, yang pertama mencapai 10 poin menang, D) Tidak, itu murni seremonial</v>
      </c>
      <c r="J100" s="5" t="str">
        <f>IFERROR(__xludf.DUMMYFUNCTION("GOOGLETRANSLATE(D100, ""en"", ""id"")"),"B) Tidak, sering terjadi pertempuran sampai salah satu pejuang menyerah atau tidak dapat melanjutkan pertempuran.")</f>
        <v>B) Tidak, sering terjadi pertempuran sampai salah satu pejuang menyerah atau tidak dapat melanjutkan pertempuran.</v>
      </c>
      <c r="K100" s="5" t="str">
        <f>IFERROR(__xludf.DUMMYFUNCTION("GOOGLETRANSLATE(E100, ""en"", ""id"")"),"Bentuk Peresean yang lebih tua dan lebih ritualistik merupakan ujian ketahanan dan kemauan yang sesungguhnya, yang sering kali berakhir hanya dengan penyerahan diri.")</f>
        <v>Bentuk Peresean yang lebih tua dan lebih ritualistik merupakan ujian ketahanan dan kemauan yang sesungguhnya, yang sering kali berakhir hanya dengan penyerahan diri.</v>
      </c>
    </row>
    <row r="101">
      <c r="A101" s="3">
        <v>100.0</v>
      </c>
      <c r="B101" s="4" t="s">
        <v>996</v>
      </c>
      <c r="C101" s="6" t="s">
        <v>997</v>
      </c>
      <c r="D101" s="4" t="s">
        <v>998</v>
      </c>
      <c r="E101" s="4" t="s">
        <v>999</v>
      </c>
      <c r="G101" s="5" t="str">
        <f>IFERROR(__xludf.DUMMYFUNCTION("GOOGLETRANSLATE(A101, ""en"", ""id"")"),"100")</f>
        <v>100</v>
      </c>
      <c r="H101" s="5" t="str">
        <f>IFERROR(__xludf.DUMMYFUNCTION("GOOGLETRANSLATE(B101, ""en"", ""id"")"),"Apa alasan utama Peresean bertahan hingga era modern?")</f>
        <v>Apa alasan utama Peresean bertahan hingga era modern?</v>
      </c>
      <c r="I101" s="5" t="str">
        <f>IFERROR(__xludf.DUMMYFUNCTION("GOOGLETRANSLATE(C101, ""en"", ""id"")"),"A) Merupakan sumber pendapatan utama, B) Merupakan mata pelajaran wajib sekolah, C) Merupakan simbol kuat identitas dan kebanggaan budaya Sasak, D) Merupakan olahraga Olimpiade")</f>
        <v>A) Merupakan sumber pendapatan utama, B) Merupakan mata pelajaran wajib sekolah, C) Merupakan simbol kuat identitas dan kebanggaan budaya Sasak, D) Merupakan olahraga Olimpiade</v>
      </c>
      <c r="J101" s="5" t="str">
        <f>IFERROR(__xludf.DUMMYFUNCTION("GOOGLETRANSLATE(D101, ""en"", ""id"")"),"C) Ini adalah simbol kuat identitas dan kebanggaan budaya Sasak")</f>
        <v>C) Ini adalah simbol kuat identitas dan kebanggaan budaya Sasak</v>
      </c>
      <c r="K101" s="5" t="str">
        <f>IFERROR(__xludf.DUMMYFUNCTION("GOOGLETRANSLATE(E101, ""en"", ""id"")"),"Kelangsungan hidup olahraga ini terkait erat dengan perannya sebagai ekspresi hidup sejarah, nilai-nilai, dan semangat juang masyarakat Sasak.")</f>
        <v>Kelangsungan hidup olahraga ini terkait erat dengan perannya sebagai ekspresi hidup sejarah, nilai-nilai, dan semangat juang masyarakat Sasak.</v>
      </c>
    </row>
    <row r="102">
      <c r="A102" s="3">
        <v>101.0</v>
      </c>
      <c r="B102" s="4" t="s">
        <v>1000</v>
      </c>
      <c r="C102" s="6" t="s">
        <v>1001</v>
      </c>
      <c r="D102" s="4" t="s">
        <v>1002</v>
      </c>
      <c r="E102" s="4" t="s">
        <v>1003</v>
      </c>
      <c r="G102" s="5" t="str">
        <f>IFERROR(__xludf.DUMMYFUNCTION("GOOGLETRANSLATE(A102, ""en"", ""id"")"),"101")</f>
        <v>101</v>
      </c>
      <c r="H102" s="5" t="str">
        <f>IFERROR(__xludf.DUMMYFUNCTION("GOOGLETRANSLATE(B102, ""en"", ""id"")"),"Pukulan petarung mendarat tepat di atas bahu lawan. Apakah ini poin yang valid?")</f>
        <v>Pukulan petarung mendarat tepat di atas bahu lawan. Apakah ini poin yang valid?</v>
      </c>
      <c r="I102" s="5" t="str">
        <f>IFERROR(__xludf.DUMMYFUNCTION("GOOGLETRANSLATE(C102, ""en"", ""id"")"),"A) Ya, bahu adalah target yang sah, B) Tidak, terlalu dekat dengan leher, C) Hanya jika menyebabkan lawan jatuh, D) Itu adalah pelanggaran")</f>
        <v>A) Ya, bahu adalah target yang sah, B) Tidak, terlalu dekat dengan leher, C) Hanya jika menyebabkan lawan jatuh, D) Itu adalah pelanggaran</v>
      </c>
      <c r="J102" s="5" t="str">
        <f>IFERROR(__xludf.DUMMYFUNCTION("GOOGLETRANSLATE(D102, ""en"", ""id"")"),"A) Ya, bahu adalah target yang sah")</f>
        <v>A) Ya, bahu adalah target yang sah</v>
      </c>
      <c r="K102" s="5" t="str">
        <f>IFERROR(__xludf.DUMMYFUNCTION("GOOGLETRANSLATE(E102, ""en"", ""id"")"),"Area bahu dianggap sebagai bagian dari zona target tubuh bagian atas yang valid.")</f>
        <v>Area bahu dianggap sebagai bagian dari zona target tubuh bagian atas yang valid.</v>
      </c>
    </row>
    <row r="103">
      <c r="A103" s="3">
        <v>102.0</v>
      </c>
      <c r="B103" s="4" t="s">
        <v>1004</v>
      </c>
      <c r="C103" s="6" t="s">
        <v>1005</v>
      </c>
      <c r="D103" s="4" t="s">
        <v>1006</v>
      </c>
      <c r="E103" s="4" t="s">
        <v>1007</v>
      </c>
      <c r="G103" s="5" t="str">
        <f>IFERROR(__xludf.DUMMYFUNCTION("GOOGLETRANSLATE(A103, ""en"", ""id"")"),"102")</f>
        <v>102</v>
      </c>
      <c r="H103" s="5" t="str">
        <f>IFERROR(__xludf.DUMMYFUNCTION("GOOGLETRANSLATE(B103, ""en"", ""id"")"),"Apa isyarat tangan wasit untuk pelanggaran, seperti benturan kepala?")</f>
        <v>Apa isyarat tangan wasit untuk pelanggaran, seperti benturan kepala?</v>
      </c>
      <c r="I103" s="5" t="str">
        <f>IFERROR(__xludf.DUMMYFUNCTION("GOOGLETRANSLATE(C103, ""en"", ""id"")"),"A) Menunjuk ke arah pelaku, B) Menyilangkan tangan di dada, C) Menggelengkan kepala, D) Sering menunjuk ke arah area target ilegal dan kemudian ke pelaku")</f>
        <v>A) Menunjuk ke arah pelaku, B) Menyilangkan tangan di dada, C) Menggelengkan kepala, D) Sering menunjuk ke arah area target ilegal dan kemudian ke pelaku</v>
      </c>
      <c r="J103" s="5" t="str">
        <f>IFERROR(__xludf.DUMMYFUNCTION("GOOGLETRANSLATE(D103, ""en"", ""id"")"),"D) Sering menunjuk ke daerah sasaran yang ilegal dan kemudian ke pelaku")</f>
        <v>D) Sering menunjuk ke daerah sasaran yang ilegal dan kemudian ke pelaku</v>
      </c>
      <c r="K103" s="5" t="str">
        <f>IFERROR(__xludf.DUMMYFUNCTION("GOOGLETRANSLATE(E103, ""en"", ""id"")"),"Gerakan dua bagian ini dengan jelas mengomunikasikan di mana pukulan ilegal mendarat dan siapa yang melakukan pelanggaran.")</f>
        <v>Gerakan dua bagian ini dengan jelas mengomunikasikan di mana pukulan ilegal mendarat dan siapa yang melakukan pelanggaran.</v>
      </c>
    </row>
    <row r="104">
      <c r="A104" s="3">
        <v>103.0</v>
      </c>
      <c r="B104" s="4" t="s">
        <v>1008</v>
      </c>
      <c r="C104" s="6" t="s">
        <v>1009</v>
      </c>
      <c r="D104" s="4" t="s">
        <v>1010</v>
      </c>
      <c r="E104" s="4" t="s">
        <v>1011</v>
      </c>
      <c r="G104" s="5" t="str">
        <f>IFERROR(__xludf.DUMMYFUNCTION("GOOGLETRANSLATE(A104, ""en"", ""id"")"),"103")</f>
        <v>103</v>
      </c>
      <c r="H104" s="5" t="str">
        <f>IFERROR(__xludf.DUMMYFUNCTION("GOOGLETRANSLATE(B104, ""en"", ""id"")"),"Jika seorang petarung terkena pukulan dan pukulannya tampak ringan, tetapi mereka jatuh dengan dramatis, apa yang mungkin dicurigai wasit?")</f>
        <v>Jika seorang petarung terkena pukulan dan pukulannya tampak ringan, tetapi mereka jatuh dengan dramatis, apa yang mungkin dicurigai wasit?</v>
      </c>
      <c r="I104" s="5" t="str">
        <f>IFERROR(__xludf.DUMMYFUNCTION("GOOGLETRANSLATE(C104, ""en"", ""id"")"),"A) Pukulan itu lebih keras daripada yang terlihat, B) Petarung memiliki pertahanan yang lemah, C) Petarung berpura-pura atau melebih-lebihkan untuk menghentikan pertarungan, D) Petarung itu lelah")</f>
        <v>A) Pukulan itu lebih keras daripada yang terlihat, B) Petarung memiliki pertahanan yang lemah, C) Petarung berpura-pura atau melebih-lebihkan untuk menghentikan pertarungan, D) Petarung itu lelah</v>
      </c>
      <c r="J104" s="5" t="str">
        <f>IFERROR(__xludf.DUMMYFUNCTION("GOOGLETRANSLATE(D104, ""en"", ""id"")"),"C) Petarung berpura-pura atau melebih-lebihkan untuk menghentikan pertarungan")</f>
        <v>C) Petarung berpura-pura atau melebih-lebihkan untuk menghentikan pertarungan</v>
      </c>
      <c r="K104" s="5" t="str">
        <f>IFERROR(__xludf.DUMMYFUNCTION("GOOGLETRANSLATE(E104, ""en"", ""id"")"),"Wasit yang berpengalaman dapat mengenali ""penyelaman"" dan dapat memperingatkan petarung atas tindakan yang tidak sportif.")</f>
        <v>Wasit yang berpengalaman dapat mengenali "penyelaman" dan dapat memperingatkan petarung atas tindakan yang tidak sportif.</v>
      </c>
    </row>
    <row r="105">
      <c r="A105" s="3">
        <v>104.0</v>
      </c>
      <c r="B105" s="4" t="s">
        <v>1012</v>
      </c>
      <c r="C105" s="6" t="s">
        <v>1013</v>
      </c>
      <c r="D105" s="4" t="s">
        <v>1014</v>
      </c>
      <c r="E105" s="4" t="s">
        <v>1015</v>
      </c>
      <c r="G105" s="5" t="str">
        <f>IFERROR(__xludf.DUMMYFUNCTION("GOOGLETRANSLATE(A105, ""en"", ""id"")"),"104")</f>
        <v>104</v>
      </c>
      <c r="H105" s="5" t="str">
        <f>IFERROR(__xludf.DUMMYFUNCTION("GOOGLETRANSLATE(B105, ""en"", ""id"")"),"Mengapa penting bagi tongkat rotan (penjalin) untuk tidak memiliki ujung yang tajam atau serpihan?")</f>
        <v>Mengapa penting bagi tongkat rotan (penjalin) untuk tidak memiliki ujung yang tajam atau serpihan?</v>
      </c>
      <c r="I105" s="5" t="str">
        <f>IFERROR(__xludf.DUMMYFUNCTION("GOOGLETRANSLATE(C105, ""en"", ""id"")"),"A) Menjadikannya lebih ringan, B) Untuk keamanan, untuk mencegah luka sayat dan tusuk, C) Meningkatkan cengkeraman, D) Itu adalah aturan Gamelan")</f>
        <v>A) Menjadikannya lebih ringan, B) Untuk keamanan, untuk mencegah luka sayat dan tusuk, C) Meningkatkan cengkeraman, D) Itu adalah aturan Gamelan</v>
      </c>
      <c r="J105" s="5" t="str">
        <f>IFERROR(__xludf.DUMMYFUNCTION("GOOGLETRANSLATE(D105, ""en"", ""id"")"),"B) Untuk keamanan, untuk mencegah luka sayat dan luka tusuk")</f>
        <v>B) Untuk keamanan, untuk mencegah luka sayat dan luka tusuk</v>
      </c>
      <c r="K105" s="5" t="str">
        <f>IFERROR(__xludf.DUMMYFUNCTION("GOOGLETRANSLATE(E105, ""en"", ""id"")"),"Senjata tersebut ditujukan untuk benturan tumpul, bukan untuk memotong, jadi harus halus agar dianggap aman untuk kompetisi.")</f>
        <v>Senjata tersebut ditujukan untuk benturan tumpul, bukan untuk memotong, jadi harus halus agar dianggap aman untuk kompetisi.</v>
      </c>
    </row>
    <row r="106">
      <c r="A106" s="3">
        <v>105.0</v>
      </c>
      <c r="B106" s="4" t="s">
        <v>1016</v>
      </c>
      <c r="C106" s="6" t="s">
        <v>1017</v>
      </c>
      <c r="D106" s="4" t="s">
        <v>1018</v>
      </c>
      <c r="E106" s="4" t="s">
        <v>1019</v>
      </c>
      <c r="G106" s="5" t="str">
        <f>IFERROR(__xludf.DUMMYFUNCTION("GOOGLETRANSLATE(A106, ""en"", ""id"")"),"105")</f>
        <v>105</v>
      </c>
      <c r="H106" s="5" t="str">
        <f>IFERROR(__xludf.DUMMYFUNCTION("GOOGLETRANSLATE(B106, ""en"", ""id"")"),"Pengadok petarung memberikan instruksi selama ronde. Apakah ini diperbolehkan?")</f>
        <v>Pengadok petarung memberikan instruksi selama ronde. Apakah ini diperbolehkan?</v>
      </c>
      <c r="I106" s="5" t="str">
        <f>IFERROR(__xludf.DUMMYFUNCTION("GOOGLETRANSLATE(C106, ""en"", ""id"")"),"A) Ya, tapi hanya dengan pelan, B) Tidak, pembinaan selama ronde dilarang, C) Ya, meneriakkan nasihat dan dorongan adalah bagian normal dari olahraga, D) Hanya kapten yang dapat membina")</f>
        <v>A) Ya, tapi hanya dengan pelan, B) Tidak, pembinaan selama ronde dilarang, C) Ya, meneriakkan nasihat dan dorongan adalah bagian normal dari olahraga, D) Hanya kapten yang dapat membina</v>
      </c>
      <c r="J106" s="5" t="str">
        <f>IFERROR(__xludf.DUMMYFUNCTION("GOOGLETRANSLATE(D106, ""en"", ""id"")"),"C) Ya, meneriakkan nasihat dan dorongan adalah bagian normal dari olahraga")</f>
        <v>C) Ya, meneriakkan nasihat dan dorongan adalah bagian normal dari olahraga</v>
      </c>
      <c r="K106" s="5" t="str">
        <f>IFERROR(__xludf.DUMMYFUNCTION("GOOGLETRANSLATE(E106, ""en"", ""id"")"),"Mirip dengan tinju, sudut diperbolehkan untuk melatih petarungnya selama beraksi.")</f>
        <v>Mirip dengan tinju, sudut diperbolehkan untuk melatih petarungnya selama beraksi.</v>
      </c>
    </row>
    <row r="107">
      <c r="A107" s="3">
        <v>106.0</v>
      </c>
      <c r="B107" s="4" t="s">
        <v>1020</v>
      </c>
      <c r="C107" s="6" t="s">
        <v>1021</v>
      </c>
      <c r="D107" s="4" t="s">
        <v>1022</v>
      </c>
      <c r="E107" s="4" t="s">
        <v>1023</v>
      </c>
      <c r="G107" s="5" t="str">
        <f>IFERROR(__xludf.DUMMYFUNCTION("GOOGLETRANSLATE(A107, ""en"", ""id"")"),"106")</f>
        <v>106</v>
      </c>
      <c r="H107" s="5" t="str">
        <f>IFERROR(__xludf.DUMMYFUNCTION("GOOGLETRANSLATE(B107, ""en"", ""id"")"),"Wasit memberikan poin kepada Petarung A. Petarung B sangat tidak setuju. Apa tindakan terbaik bagi Petarung B?")</f>
        <v>Wasit memberikan poin kepada Petarung A. Petarung B sangat tidak setuju. Apa tindakan terbaik bagi Petarung B?</v>
      </c>
      <c r="I107" s="5" t="str">
        <f>IFERROR(__xludf.DUMMYFUNCTION("GOOGLETRANSLATE(C107, ""en"", ""id"")"),"A) Terus berjuang dan bertujuan untuk pukulan yang menentukan, B) Berhenti dan berdebat dengan wasit, C) Keluar dari arena, D) Meminta sudutnya untuk menyerah")</f>
        <v>A) Terus berjuang dan bertujuan untuk pukulan yang menentukan, B) Berhenti dan berdebat dengan wasit, C) Keluar dari arena, D) Meminta sudutnya untuk menyerah</v>
      </c>
      <c r="J107" s="5" t="str">
        <f>IFERROR(__xludf.DUMMYFUNCTION("GOOGLETRANSLATE(D107, ""en"", ""id"")"),"A) Terus berjuang dan bertujuan untuk pukulan yang menentukan")</f>
        <v>A) Terus berjuang dan bertujuan untuk pukulan yang menentukan</v>
      </c>
      <c r="K107" s="5" t="str">
        <f>IFERROR(__xludf.DUMMYFUNCTION("GOOGLETRANSLATE(E107, ""en"", ""id"")"),"Berdebat itu tidak etis. Respons terbaik adalah terus berjuang dan memenangkan perdebatan berikutnya dengan tegas.")</f>
        <v>Berdebat itu tidak etis. Respons terbaik adalah terus berjuang dan memenangkan perdebatan berikutnya dengan tegas.</v>
      </c>
    </row>
    <row r="108">
      <c r="A108" s="3">
        <v>107.0</v>
      </c>
      <c r="B108" s="4" t="s">
        <v>1024</v>
      </c>
      <c r="C108" s="6" t="s">
        <v>1025</v>
      </c>
      <c r="D108" s="4" t="s">
        <v>448</v>
      </c>
      <c r="E108" s="4" t="s">
        <v>1026</v>
      </c>
      <c r="G108" s="5" t="str">
        <f>IFERROR(__xludf.DUMMYFUNCTION("GOOGLETRANSLATE(A108, ""en"", ""id"")"),"107")</f>
        <v>107</v>
      </c>
      <c r="H108" s="5" t="str">
        <f>IFERROR(__xludf.DUMMYFUNCTION("GOOGLETRANSLATE(B108, ""en"", ""id"")"),"Apa perbedaan utama antara seni beladiri tongkat Peresean dan seni beladiri tongkat Barat seperti Canne de combat?")</f>
        <v>Apa perbedaan utama antara seni beladiri tongkat Peresean dan seni beladiri tongkat Barat seperti Canne de combat?</v>
      </c>
      <c r="I108" s="5" t="str">
        <f>IFERROR(__xludf.DUMMYFUNCTION("GOOGLETRANSLATE(C108, ""en"", ""id"")"),"A) Peresean menggunakan perisai, B) Peresean memiliki konteks budaya dan ritual yang mendalam, C) Aturan Peresean kurang terkodifikasi, D) Semua jawaban di atas")</f>
        <v>A) Peresean menggunakan perisai, B) Peresean memiliki konteks budaya dan ritual yang mendalam, C) Aturan Peresean kurang terkodifikasi, D) Semua jawaban di atas</v>
      </c>
      <c r="J108" s="5" t="str">
        <f>IFERROR(__xludf.DUMMYFUNCTION("GOOGLETRANSLATE(D108, ""en"", ""id"")"),"D) Semua jawaban di atas")</f>
        <v>D) Semua jawaban di atas</v>
      </c>
      <c r="K108" s="5" t="str">
        <f>IFERROR(__xludf.DUMMYFUNCTION("GOOGLETRANSLATE(E108, ""en"", ""id"")"),"Peresean berbeda karena penggunaan perisai, perannya sebagai ritual budaya, dan aturannya yang lebih tradisional dan kurang bersifat olahraga.")</f>
        <v>Peresean berbeda karena penggunaan perisai, perannya sebagai ritual budaya, dan aturannya yang lebih tradisional dan kurang bersifat olahraga.</v>
      </c>
    </row>
    <row r="109">
      <c r="A109" s="3">
        <v>108.0</v>
      </c>
      <c r="B109" s="4" t="s">
        <v>1027</v>
      </c>
      <c r="C109" s="6" t="s">
        <v>1028</v>
      </c>
      <c r="D109" s="4" t="s">
        <v>1029</v>
      </c>
      <c r="E109" s="4" t="s">
        <v>1030</v>
      </c>
      <c r="G109" s="5" t="str">
        <f>IFERROR(__xludf.DUMMYFUNCTION("GOOGLETRANSLATE(A109, ""en"", ""id"")"),"108")</f>
        <v>108</v>
      </c>
      <c r="H109" s="5" t="str">
        <f>IFERROR(__xludf.DUMMYFUNCTION("GOOGLETRANSLATE(B109, ""en"", ""id"")"),"Seorang petarung memiliki reputasi sebagai pembela yang hebat. Apa artinya ini?")</f>
        <v>Seorang petarung memiliki reputasi sebagai pembela yang hebat. Apa artinya ini?</v>
      </c>
      <c r="I109" s="5" t="str">
        <f>IFERROR(__xludf.DUMMYFUNCTION("GOOGLETRANSLATE(C109, ""en"", ""id"")"),"A) Dia memiliki perisai yang sangat besar, B) Dia memiliki keterampilan gerak kaki, penghindaran, dan pemblokiran yang sangat baik, C) Dia tidak pernah menyerang, D) Dia sering berdebat dengan wasit")</f>
        <v>A) Dia memiliki perisai yang sangat besar, B) Dia memiliki keterampilan gerak kaki, penghindaran, dan pemblokiran yang sangat baik, C) Dia tidak pernah menyerang, D) Dia sering berdebat dengan wasit</v>
      </c>
      <c r="J109" s="5" t="str">
        <f>IFERROR(__xludf.DUMMYFUNCTION("GOOGLETRANSLATE(D109, ""en"", ""id"")"),"B) Dia memiliki keterampilan gerak kaki, penghindaran, dan pemblokiran yang sangat baik")</f>
        <v>B) Dia memiliki keterampilan gerak kaki, penghindaran, dan pemblokiran yang sangat baik</v>
      </c>
      <c r="K109" s="5" t="str">
        <f>IFERROR(__xludf.DUMMYFUNCTION("GOOGLETRANSLATE(E109, ""en"", ""id"")"),"Seorang bek yang hebat adalah ahli dalam membaca serangan dan menggunakan perisai dan kelincahannya untuk menghindari kebobolan.")</f>
        <v>Seorang bek yang hebat adalah ahli dalam membaca serangan dan menggunakan perisai dan kelincahannya untuk menghindari kebobolan.</v>
      </c>
    </row>
    <row r="110">
      <c r="A110" s="3">
        <v>109.0</v>
      </c>
      <c r="B110" s="4" t="s">
        <v>1031</v>
      </c>
      <c r="C110" s="6" t="s">
        <v>1032</v>
      </c>
      <c r="D110" s="4" t="s">
        <v>1033</v>
      </c>
      <c r="E110" s="4" t="s">
        <v>1034</v>
      </c>
      <c r="G110" s="5" t="str">
        <f>IFERROR(__xludf.DUMMYFUNCTION("GOOGLETRANSLATE(A110, ""en"", ""id"")"),"109")</f>
        <v>109</v>
      </c>
      <c r="H110" s="5" t="str">
        <f>IFERROR(__xludf.DUMMYFUNCTION("GOOGLETRANSLATE(B110, ""en"", ""id"")"),"Jika seorang petarung berdarah dari mulut, apa kemungkinan terbesar penyebabnya?")</f>
        <v>Jika seorang petarung berdarah dari mulut, apa kemungkinan terbesar penyebabnya?</v>
      </c>
      <c r="I110" s="5" t="str">
        <f>IFERROR(__xludf.DUMMYFUNCTION("GOOGLETRANSLATE(C110, ""en"", ""id"")"),"A) Mereka menggigit lidah mereka, B) Pukulan ilegal ke wajah, C) Mereka mengalami dehidrasi, D) Itu adalah tanda usaha yang sangat keras")</f>
        <v>A) Mereka menggigit lidah mereka, B) Pukulan ilegal ke wajah, C) Mereka mengalami dehidrasi, D) Itu adalah tanda usaha yang sangat keras</v>
      </c>
      <c r="J110" s="5" t="str">
        <f>IFERROR(__xludf.DUMMYFUNCTION("GOOGLETRANSLATE(D110, ""en"", ""id"")"),"B) Pukulan ilegal ke wajah")</f>
        <v>B) Pukulan ilegal ke wajah</v>
      </c>
      <c r="K110" s="5" t="str">
        <f>IFERROR(__xludf.DUMMYFUNCTION("GOOGLETRANSLATE(E110, ""en"", ""id"")"),"Pendarahan pada wajah akan langsung menunjukkan telah terjadi pukulan kepala yang tidak sah, yang harus ditangani oleh wasit.")</f>
        <v>Pendarahan pada wajah akan langsung menunjukkan telah terjadi pukulan kepala yang tidak sah, yang harus ditangani oleh wasit.</v>
      </c>
    </row>
    <row r="111">
      <c r="A111" s="3">
        <v>110.0</v>
      </c>
      <c r="B111" s="4" t="s">
        <v>1035</v>
      </c>
      <c r="C111" s="6" t="s">
        <v>1036</v>
      </c>
      <c r="D111" s="4" t="s">
        <v>1037</v>
      </c>
      <c r="E111" s="4" t="s">
        <v>1038</v>
      </c>
      <c r="G111" s="5" t="str">
        <f>IFERROR(__xludf.DUMMYFUNCTION("GOOGLETRANSLATE(A111, ""en"", ""id"")"),"110")</f>
        <v>110</v>
      </c>
      <c r="H111" s="5" t="str">
        <f>IFERROR(__xludf.DUMMYFUNCTION("GOOGLETRANSLATE(B111, ""en"", ""id"")"),"Mengapa tidak ada pertarungan darat atau pergulatan di Peresean?")</f>
        <v>Mengapa tidak ada pertarungan darat atau pergulatan di Peresean?</v>
      </c>
      <c r="I111" s="5" t="str">
        <f>IFERROR(__xludf.DUMMYFUNCTION("GOOGLETRANSLATE(C111, ""en"", ""id"")"),"A) Orang Sasak tidak memiliki keterampilan dalam bergulat, B) Ini adalah seni berdiri yang berfokus pada keterampilan senjata, C) Tanahnya terlalu kasar, D) Itu akan membuat pertandingan terlalu lama")</f>
        <v>A) Orang Sasak tidak memiliki keterampilan dalam bergulat, B) Ini adalah seni berdiri yang berfokus pada keterampilan senjata, C) Tanahnya terlalu kasar, D) Itu akan membuat pertandingan terlalu lama</v>
      </c>
      <c r="J111" s="5" t="str">
        <f>IFERROR(__xludf.DUMMYFUNCTION("GOOGLETRANSLATE(D111, ""en"", ""id"")"),"B) Ini adalah seni menyerang berdiri yang berfokus pada keterampilan senjata")</f>
        <v>B) Ini adalah seni menyerang berdiri yang berfokus pada keterampilan senjata</v>
      </c>
      <c r="K111" s="5" t="str">
        <f>IFERROR(__xludf.DUMMYFUNCTION("GOOGLETRANSLATE(E111, ""en"", ""id"")"),"Disiplin ini secara khusus tentang seni tongkat dan perisai; memukul ke tanah bukan bagian dari tradisi atau aturannya.")</f>
        <v>Disiplin ini secara khusus tentang seni tongkat dan perisai; memukul ke tanah bukan bagian dari tradisi atau aturannya.</v>
      </c>
    </row>
    <row r="112">
      <c r="A112" s="3">
        <v>111.0</v>
      </c>
      <c r="B112" s="4" t="s">
        <v>1039</v>
      </c>
      <c r="C112" s="6" t="s">
        <v>1040</v>
      </c>
      <c r="D112" s="4" t="s">
        <v>1041</v>
      </c>
      <c r="E112" s="4" t="s">
        <v>1042</v>
      </c>
      <c r="G112" s="5" t="str">
        <f>IFERROR(__xludf.DUMMYFUNCTION("GOOGLETRANSLATE(A112, ""en"", ""id"")"),"111")</f>
        <v>111</v>
      </c>
      <c r="H112" s="5" t="str">
        <f>IFERROR(__xludf.DUMMYFUNCTION("GOOGLETRANSLATE(B112, ""en"", ""id"")"),"Seorang petarung mengetuk perisainya sendiri dengan tongkat sebelum memulai ronde. Apa artinya ini?")</f>
        <v>Seorang petarung mengetuk perisainya sendiri dengan tongkat sebelum memulai ronde. Apa artinya ini?</v>
      </c>
      <c r="I112" s="5" t="str">
        <f>IFERROR(__xludf.DUMMYFUNCTION("GOOGLETRANSLATE(C112, ""en"", ""id"")"),"A) Perisai rusak, B) Sinyal kesiapan dan tantangan bagi lawan, C) Permintaan tongkat baru, D) Mereka gugup")</f>
        <v>A) Perisai rusak, B) Sinyal kesiapan dan tantangan bagi lawan, C) Permintaan tongkat baru, D) Mereka gugup</v>
      </c>
      <c r="J112" s="5" t="str">
        <f>IFERROR(__xludf.DUMMYFUNCTION("GOOGLETRANSLATE(D112, ""en"", ""id"")"),"B) Sinyal kesiapan dan tantangan bagi lawan")</f>
        <v>B) Sinyal kesiapan dan tantangan bagi lawan</v>
      </c>
      <c r="K112" s="5" t="str">
        <f>IFERROR(__xludf.DUMMYFUNCTION("GOOGLETRANSLATE(E112, ""en"", ""id"")"),"Ini adalah gerakan ritual umum, penghormatan seorang prajurit yang menunjukkan mereka siap bertempur.")</f>
        <v>Ini adalah gerakan ritual umum, penghormatan seorang prajurit yang menunjukkan mereka siap bertempur.</v>
      </c>
    </row>
    <row r="113">
      <c r="A113" s="3">
        <v>112.0</v>
      </c>
      <c r="B113" s="4" t="s">
        <v>1043</v>
      </c>
      <c r="C113" s="6" t="s">
        <v>1044</v>
      </c>
      <c r="D113" s="4" t="s">
        <v>1045</v>
      </c>
      <c r="E113" s="4" t="s">
        <v>1046</v>
      </c>
      <c r="G113" s="5" t="str">
        <f>IFERROR(__xludf.DUMMYFUNCTION("GOOGLETRANSLATE(A113, ""en"", ""id"")"),"112")</f>
        <v>112</v>
      </c>
      <c r="H113" s="5" t="str">
        <f>IFERROR(__xludf.DUMMYFUNCTION("GOOGLETRANSLATE(B113, ""en"", ""id"")"),"Apa peran masyarakat setempat dalam acara adat Peresean?")</f>
        <v>Apa peran masyarakat setempat dalam acara adat Peresean?</v>
      </c>
      <c r="I113" s="5" t="str">
        <f>IFERROR(__xludf.DUMMYFUNCTION("GOOGLETRANSLATE(C113, ""en"", ""id"")"),"A) Mereka hanya penonton, B) Mereka bertindak sebagai juri, C) Mereka menyediakan petarung, musik, dan suasana pesta, D) Mereka mensponsori acara tersebut")</f>
        <v>A) Mereka hanya penonton, B) Mereka bertindak sebagai juri, C) Mereka menyediakan petarung, musik, dan suasana pesta, D) Mereka mensponsori acara tersebut</v>
      </c>
      <c r="J113" s="5" t="str">
        <f>IFERROR(__xludf.DUMMYFUNCTION("GOOGLETRANSLATE(D113, ""en"", ""id"")"),"C) Mereka menyediakan petarung, musik, dan suasana pesta")</f>
        <v>C) Mereka menyediakan petarung, musik, dan suasana pesta</v>
      </c>
      <c r="K113" s="5" t="str">
        <f>IFERROR(__xludf.DUMMYFUNCTION("GOOGLETRANSLATE(E113, ""en"", ""id"")"),"Peresean merupakan acara masyarakat, dan keberlangsungannya bergantung pada peran serta aktif seluruh warga desa.")</f>
        <v>Peresean merupakan acara masyarakat, dan keberlangsungannya bergantung pada peran serta aktif seluruh warga desa.</v>
      </c>
    </row>
    <row r="114">
      <c r="A114" s="3">
        <v>113.0</v>
      </c>
      <c r="B114" s="4" t="s">
        <v>1047</v>
      </c>
      <c r="C114" s="6" t="s">
        <v>1048</v>
      </c>
      <c r="D114" s="4" t="s">
        <v>1049</v>
      </c>
      <c r="E114" s="4" t="s">
        <v>1050</v>
      </c>
      <c r="G114" s="5" t="str">
        <f>IFERROR(__xludf.DUMMYFUNCTION("GOOGLETRANSLATE(A114, ""en"", ""id"")"),"113")</f>
        <v>113</v>
      </c>
      <c r="H114" s="5" t="str">
        <f>IFERROR(__xludf.DUMMYFUNCTION("GOOGLETRANSLATE(B114, ""en"", ""id"")"),"Pukulan petarung mendarat di tulang pinggul lawan. Apakah ini legal?")</f>
        <v>Pukulan petarung mendarat di tulang pinggul lawan. Apakah ini legal?</v>
      </c>
      <c r="I114" s="5" t="str">
        <f>IFERROR(__xludf.DUMMYFUNCTION("GOOGLETRANSLATE(C114, ""en"", ""id"")"),"A) Ya, di atas pinggang, B) Tidak, tulang bukan target yang sah, C) Itu pelanggaran karena dapat menyebabkan cedera serius, D) Hanya jika tongkat itu diberi bantalan")</f>
        <v>A) Ya, di atas pinggang, B) Tidak, tulang bukan target yang sah, C) Itu pelanggaran karena dapat menyebabkan cedera serius, D) Hanya jika tongkat itu diberi bantalan</v>
      </c>
      <c r="J114" s="5" t="str">
        <f>IFERROR(__xludf.DUMMYFUNCTION("GOOGLETRANSLATE(D114, ""en"", ""id"")"),"A) Ya, itu di atas pinggang")</f>
        <v>A) Ya, itu di atas pinggang</v>
      </c>
      <c r="K114" s="5" t="str">
        <f>IFERROR(__xludf.DUMMYFUNCTION("GOOGLETRANSLATE(E114, ""en"", ""id"")"),"Pinggul adalah bagian dari batang tubuh dan dianggap sebagai target yang sah, meskipun menyakitkan.")</f>
        <v>Pinggul adalah bagian dari batang tubuh dan dianggap sebagai target yang sah, meskipun menyakitkan.</v>
      </c>
    </row>
    <row r="115">
      <c r="A115" s="3">
        <v>114.0</v>
      </c>
      <c r="B115" s="4" t="s">
        <v>1051</v>
      </c>
      <c r="C115" s="6" t="s">
        <v>1052</v>
      </c>
      <c r="D115" s="4" t="s">
        <v>1053</v>
      </c>
      <c r="E115" s="4" t="s">
        <v>1054</v>
      </c>
      <c r="G115" s="5" t="str">
        <f>IFERROR(__xludf.DUMMYFUNCTION("GOOGLETRANSLATE(A115, ""en"", ""id"")"),"114")</f>
        <v>114</v>
      </c>
      <c r="H115" s="5" t="str">
        <f>IFERROR(__xludf.DUMMYFUNCTION("GOOGLETRANSLATE(B115, ""en"", ""id"")"),"Jika dua petarung sangat tidak seimbang dalam ukuran dan keterampilan, apa tanggung jawab wasit?")</f>
        <v>Jika dua petarung sangat tidak seimbang dalam ukuran dan keterampilan, apa tanggung jawab wasit?</v>
      </c>
      <c r="I115" s="5" t="str">
        <f>IFERROR(__xludf.DUMMYFUNCTION("GOOGLETRANSLATE(C115, ""en"", ""id"")"),"A) Agar pertarungan tetap berlanjut apa pun yang terjadi, B) Untuk melatih petarung yang lebih kecil, C) Untuk memantau pertarungan dengan ketat dan menghentikannya untuk mencegah cedera, D) Untuk memberikan petarung yang lebih besar poin lebih banyak")</f>
        <v>A) Agar pertarungan tetap berlanjut apa pun yang terjadi, B) Untuk melatih petarung yang lebih kecil, C) Untuk memantau pertarungan dengan ketat dan menghentikannya untuk mencegah cedera, D) Untuk memberikan petarung yang lebih besar poin lebih banyak</v>
      </c>
      <c r="J115" s="5" t="str">
        <f>IFERROR(__xludf.DUMMYFUNCTION("GOOGLETRANSLATE(D115, ""en"", ""id"")"),"C) Untuk memantau perkelahian dengan ketat dan menghentikannya untuk mencegah cedera")</f>
        <v>C) Untuk memantau perkelahian dengan ketat dan menghentikannya untuk mencegah cedera</v>
      </c>
      <c r="K115" s="5" t="str">
        <f>IFERROR(__xludf.DUMMYFUNCTION("GOOGLETRANSLATE(E115, ""en"", ""id"")"),"Tugas utama wasit adalah keselamatan para petarung, dan mereka dapat dan harus menghentikan ketidaksepakatan yang berbahaya.")</f>
        <v>Tugas utama wasit adalah keselamatan para petarung, dan mereka dapat dan harus menghentikan ketidaksepakatan yang berbahaya.</v>
      </c>
    </row>
    <row r="116">
      <c r="A116" s="3">
        <v>115.0</v>
      </c>
      <c r="B116" s="4" t="s">
        <v>1055</v>
      </c>
      <c r="C116" s="6" t="s">
        <v>1056</v>
      </c>
      <c r="D116" s="4" t="s">
        <v>1057</v>
      </c>
      <c r="E116" s="4" t="s">
        <v>1058</v>
      </c>
      <c r="G116" s="5" t="str">
        <f>IFERROR(__xludf.DUMMYFUNCTION("GOOGLETRANSLATE(A116, ""en"", ""id"")"),"115")</f>
        <v>115</v>
      </c>
      <c r="H116" s="5" t="str">
        <f>IFERROR(__xludf.DUMMYFUNCTION("GOOGLETRANSLATE(B116, ""en"", ""id"")"),"Apa ""tantangan"" dalam pertandingan tradisional di mana petarung dipilih dari kerumunan?")</f>
        <v>Apa "tantangan" dalam pertandingan tradisional di mana petarung dipilih dari kerumunan?</v>
      </c>
      <c r="I116" s="5" t="str">
        <f>IFERROR(__xludf.DUMMYFUNCTION("GOOGLETRANSLATE(C116, ""en"", ""id"")"),"A) Wasit berseru, ""Siapa yang berani?"", B) Para petarung saling menantang secara langsung, C) Kepala desa memilih petarung, D) Tempo para musisi menjadi tantangannya")</f>
        <v>A) Wasit berseru, "Siapa yang berani?", B) Para petarung saling menantang secara langsung, C) Kepala desa memilih petarung, D) Tempo para musisi menjadi tantangannya</v>
      </c>
      <c r="J116" s="5" t="str">
        <f>IFERROR(__xludf.DUMMYFUNCTION("GOOGLETRANSLATE(D116, ""en"", ""id"")"),"A) Wasit berseru, ""Siapa yang berani?""")</f>
        <v>A) Wasit berseru, "Siapa yang berani?"</v>
      </c>
      <c r="K116" s="5" t="str">
        <f>IFERROR(__xludf.DUMMYFUNCTION("GOOGLETRANSLATE(E116, ""en"", ""id"")"),"Pakembar memberikan tantangan terbuka kepada para pria yang hadir, mengundang mereka untuk maju dan membuktikan nyali (keberanian) mereka.")</f>
        <v>Pakembar memberikan tantangan terbuka kepada para pria yang hadir, mengundang mereka untuk maju dan membuktikan nyali (keberanian) mereka.</v>
      </c>
    </row>
    <row r="117">
      <c r="A117" s="3">
        <v>116.0</v>
      </c>
      <c r="B117" s="4" t="s">
        <v>1059</v>
      </c>
      <c r="C117" s="6" t="s">
        <v>1060</v>
      </c>
      <c r="D117" s="4" t="s">
        <v>1061</v>
      </c>
      <c r="E117" s="4" t="s">
        <v>1062</v>
      </c>
      <c r="G117" s="5" t="str">
        <f>IFERROR(__xludf.DUMMYFUNCTION("GOOGLETRANSLATE(A117, ""en"", ""id"")"),"116")</f>
        <v>116</v>
      </c>
      <c r="H117" s="5" t="str">
        <f>IFERROR(__xludf.DUMMYFUNCTION("GOOGLETRANSLATE(B117, ""en"", ""id"")"),"Seorang petarung terkena pukulan di lengan dan tongkat rotannya pecah. Apa tindakan segera yang harus diambil?")</f>
        <v>Seorang petarung terkena pukulan di lengan dan tongkat rotannya pecah. Apa tindakan segera yang harus diambil?</v>
      </c>
      <c r="I117" s="5" t="str">
        <f>IFERROR(__xludf.DUMMYFUNCTION("GOOGLETRANSLATE(C117, ""en"", ""id"")"),"A) Poin diberikan dan pertandingan dihentikan sementara untuk mengganti tongkat, B) Poin dibatalkan, C) Petarung dengan tongkat patah didiskualifikasi, D) Pertandingan dilanjutkan dengan tongkat patah")</f>
        <v>A) Poin diberikan dan pertandingan dihentikan sementara untuk mengganti tongkat, B) Poin dibatalkan, C) Petarung dengan tongkat patah didiskualifikasi, D) Pertandingan dilanjutkan dengan tongkat patah</v>
      </c>
      <c r="J117" s="5" t="str">
        <f>IFERROR(__xludf.DUMMYFUNCTION("GOOGLETRANSLATE(D117, ""en"", ""id"")"),"A) Poin diberikan dan pertandingan dihentikan untuk mengganti tongkat")</f>
        <v>A) Poin diberikan dan pertandingan dihentikan untuk mengganti tongkat</v>
      </c>
      <c r="K117" s="5" t="str">
        <f>IFERROR(__xludf.DUMMYFUNCTION("GOOGLETRANSLATE(E117, ""en"", ""id"")"),"Teguran sah dihitung. Wasit kemudian menghentikan aksi untuk menyingkirkan senjata berbahaya yang rusak dan menyediakan pengganti yang aman.")</f>
        <v>Teguran sah dihitung. Wasit kemudian menghentikan aksi untuk menyingkirkan senjata berbahaya yang rusak dan menyediakan pengganti yang aman.</v>
      </c>
    </row>
    <row r="118">
      <c r="A118" s="3">
        <v>117.0</v>
      </c>
      <c r="B118" s="4" t="s">
        <v>1063</v>
      </c>
      <c r="C118" s="6" t="s">
        <v>1064</v>
      </c>
      <c r="D118" s="4" t="s">
        <v>1065</v>
      </c>
      <c r="E118" s="4" t="s">
        <v>1066</v>
      </c>
      <c r="G118" s="5" t="str">
        <f>IFERROR(__xludf.DUMMYFUNCTION("GOOGLETRANSLATE(A118, ""en"", ""id"")"),"117")</f>
        <v>117</v>
      </c>
      <c r="H118" s="5" t="str">
        <f>IFERROR(__xludf.DUMMYFUNCTION("GOOGLETRANSLATE(B118, ""en"", ""id"")"),"Seorang petarung mencoba serangan berputar, tetapi pusing dan tersandung. Apa itu panggilannya?")</f>
        <v>Seorang petarung mencoba serangan berputar, tetapi pusing dan tersandung. Apa itu panggilannya?</v>
      </c>
      <c r="I118" s="5" t="str">
        <f>IFERROR(__xludf.DUMMYFUNCTION("GOOGLETRANSLATE(C118, ""en"", ""id"")"),"A) Satu poin diberikan untuk percobaan, B) Lawan diberi poin untuk tersandung, C) Poin diulang, D) Pertandingan berlanjut tanpa poin")</f>
        <v>A) Satu poin diberikan untuk percobaan, B) Lawan diberi poin untuk tersandung, C) Poin diulang, D) Pertandingan berlanjut tanpa poin</v>
      </c>
      <c r="J118" s="5" t="str">
        <f>IFERROR(__xludf.DUMMYFUNCTION("GOOGLETRANSLATE(D118, ""en"", ""id"")"),"B) Lawan diberi poin karena tersandung")</f>
        <v>B) Lawan diberi poin karena tersandung</v>
      </c>
      <c r="K118" s="5" t="str">
        <f>IFERROR(__xludf.DUMMYFUNCTION("GOOGLETRANSLATE(E118, ""en"", ""id"")"),"Tersandung atau kehilangan keseimbangan, bahkan yang disebabkan sendiri, akan menghasilkan poin untuk lawan.")</f>
        <v>Tersandung atau kehilangan keseimbangan, bahkan yang disebabkan sendiri, akan menghasilkan poin untuk lawan.</v>
      </c>
    </row>
    <row r="119">
      <c r="A119" s="3">
        <v>118.0</v>
      </c>
      <c r="B119" s="4" t="s">
        <v>1067</v>
      </c>
      <c r="C119" s="6" t="s">
        <v>1068</v>
      </c>
      <c r="D119" s="4" t="s">
        <v>1069</v>
      </c>
      <c r="E119" s="4" t="s">
        <v>1070</v>
      </c>
      <c r="G119" s="5" t="str">
        <f>IFERROR(__xludf.DUMMYFUNCTION("GOOGLETRANSLATE(A119, ""en"", ""id"")"),"118")</f>
        <v>118</v>
      </c>
      <c r="H119" s="5" t="str">
        <f>IFERROR(__xludf.DUMMYFUNCTION("GOOGLETRANSLATE(B119, ""en"", ""id"")"),"Mengapa dianggap lebih jitu untuk memenangi poin dengan menghindar dan membalas daripada dengan sekadar menangkis dan membalas?")</f>
        <v>Mengapa dianggap lebih jitu untuk memenangi poin dengan menghindar dan membalas daripada dengan sekadar menangkis dan membalas?</v>
      </c>
      <c r="I119" s="5" t="str">
        <f>IFERROR(__xludf.DUMMYFUNCTION("GOOGLETRANSLATE(C119, ""en"", ""id"")"),"A) Tidak, keduanya sama saja, B) Menghindar membutuhkan kelincahan lebih dan membuat lawan lebih rentan, C) Memblokir melanggar aturan, D) Menghindar lebih aman")</f>
        <v>A) Tidak, keduanya sama saja, B) Menghindar membutuhkan kelincahan lebih dan membuat lawan lebih rentan, C) Memblokir melanggar aturan, D) Menghindar lebih aman</v>
      </c>
      <c r="J119" s="5" t="str">
        <f>IFERROR(__xludf.DUMMYFUNCTION("GOOGLETRANSLATE(D119, ""en"", ""id"")"),"B) Menghindar membutuhkan kelincahan lebih dan membuat lawan lebih rentan")</f>
        <v>B) Menghindar membutuhkan kelincahan lebih dan membuat lawan lebih rentan</v>
      </c>
      <c r="K119" s="5" t="str">
        <f>IFERROR(__xludf.DUMMYFUNCTION("GOOGLETRANSLATE(E119, ""en"", ""id"")"),"Menghindari serangan sepenuhnya dengan gerakan tubuh menunjukkan refleks yang unggul dan sering kali menciptakan peluang lebih baik untuk serangan balik.")</f>
        <v>Menghindari serangan sepenuhnya dengan gerakan tubuh menunjukkan refleks yang unggul dan sering kali menciptakan peluang lebih baik untuk serangan balik.</v>
      </c>
    </row>
    <row r="120">
      <c r="A120" s="3">
        <v>119.0</v>
      </c>
      <c r="B120" s="4" t="s">
        <v>1071</v>
      </c>
      <c r="C120" s="6" t="s">
        <v>1072</v>
      </c>
      <c r="D120" s="4" t="s">
        <v>1073</v>
      </c>
      <c r="E120" s="4" t="s">
        <v>1074</v>
      </c>
      <c r="G120" s="5" t="str">
        <f>IFERROR(__xludf.DUMMYFUNCTION("GOOGLETRANSLATE(A120, ""en"", ""id"")"),"119")</f>
        <v>119</v>
      </c>
      <c r="H120" s="5" t="str">
        <f>IFERROR(__xludf.DUMMYFUNCTION("GOOGLETRANSLATE(B120, ""en"", ""id"")"),"Seorang petarung menyentuh tanah dengan tangan bebasnya untuk menjaga keseimbangan setelah menyerang. Apakah ini sebuah kesalahan?")</f>
        <v>Seorang petarung menyentuh tanah dengan tangan bebasnya untuk menjaga keseimbangan setelah menyerang. Apakah ini sebuah kesalahan?</v>
      </c>
      <c r="I120" s="5" t="str">
        <f>IFERROR(__xludf.DUMMYFUNCTION("GOOGLETRANSLATE(C120, ""en"", ""id"")"),"A) Tidak, ini adalah pemulihan yang cerdas, B) Ya, ini dianggap jatuh dan poin diberikan kepada lawan, C) Hanya jika tangan tetap di tanah selama lebih dari satu detik, D) Peringatan dikeluarkan")</f>
        <v>A) Tidak, ini adalah pemulihan yang cerdas, B) Ya, ini dianggap jatuh dan poin diberikan kepada lawan, C) Hanya jika tangan tetap di tanah selama lebih dari satu detik, D) Peringatan dikeluarkan</v>
      </c>
      <c r="J120" s="5" t="str">
        <f>IFERROR(__xludf.DUMMYFUNCTION("GOOGLETRANSLATE(D120, ""en"", ""id"")"),"B) Ya, itu dianggap jatuh dan poin diberikan kepada lawan")</f>
        <v>B) Ya, itu dianggap jatuh dan poin diberikan kepada lawan</v>
      </c>
      <c r="K120" s="5" t="str">
        <f>IFERROR(__xludf.DUMMYFUNCTION("GOOGLETRANSLATE(E120, ""en"", ""id"")"),"Bagian tubuh mana pun selain kaki yang menyentuh tanah untuk menjaga keseimbangan merupakan jatuh.")</f>
        <v>Bagian tubuh mana pun selain kaki yang menyentuh tanah untuk menjaga keseimbangan merupakan jatuh.</v>
      </c>
    </row>
    <row r="121">
      <c r="A121" s="3">
        <v>120.0</v>
      </c>
      <c r="B121" s="4" t="s">
        <v>1075</v>
      </c>
      <c r="C121" s="6" t="s">
        <v>1076</v>
      </c>
      <c r="D121" s="4" t="s">
        <v>1077</v>
      </c>
      <c r="E121" s="4" t="s">
        <v>1078</v>
      </c>
      <c r="G121" s="5" t="str">
        <f>IFERROR(__xludf.DUMMYFUNCTION("GOOGLETRANSLATE(A121, ""en"", ""id"")"),"120")</f>
        <v>120</v>
      </c>
      <c r="H121" s="5" t="str">
        <f>IFERROR(__xludf.DUMMYFUNCTION("GOOGLETRANSLATE(B121, ""en"", ""id"")"),"Jika seorang petarung memenangkan pertandingan, apa hadiah tradisional yang diberikan pada masyarakat desa setempat?")</f>
        <v>Jika seorang petarung memenangkan pertandingan, apa hadiah tradisional yang diberikan pada masyarakat desa setempat?</v>
      </c>
      <c r="I121" s="5" t="str">
        <f>IFERROR(__xludf.DUMMYFUNCTION("GOOGLETRANSLATE(C121, ""en"", ""id"")"),"A) Hadiah uang tunai yang besar, B) Perisai dan tongkat baru, C) Penghargaan dan pengakuan sosial (misalnya, sarung atau ayam), D) Sebidang tanah")</f>
        <v>A) Hadiah uang tunai yang besar, B) Perisai dan tongkat baru, C) Penghargaan dan pengakuan sosial (misalnya, sarung atau ayam), D) Sebidang tanah</v>
      </c>
      <c r="J121" s="5" t="str">
        <f>IFERROR(__xludf.DUMMYFUNCTION("GOOGLETRANSLATE(D121, ""en"", ""id"")"),"C) Kehormatan dan pengakuan sosial (misalnya sarung atau ayam)")</f>
        <v>C) Kehormatan dan pengakuan sosial (misalnya sarung atau ayam)</v>
      </c>
      <c r="K121" s="5" t="str">
        <f>IFERROR(__xludf.DUMMYFUNCTION("GOOGLETRANSLATE(E121, ""en"", ""id"")"),"Dalam konteks tradisional, hadiah sering kali bersifat simbolis, dengan penghargaan sesungguhnya adalah prestise dan rasa hormat yang diperoleh.")</f>
        <v>Dalam konteks tradisional, hadiah sering kali bersifat simbolis, dengan penghargaan sesungguhnya adalah prestise dan rasa hormat yang diperoleh.</v>
      </c>
    </row>
    <row r="122">
      <c r="A122" s="3">
        <v>121.0</v>
      </c>
      <c r="B122" s="4" t="s">
        <v>1079</v>
      </c>
      <c r="C122" s="6" t="s">
        <v>1080</v>
      </c>
      <c r="D122" s="4" t="s">
        <v>1081</v>
      </c>
      <c r="E122" s="4" t="s">
        <v>1082</v>
      </c>
      <c r="G122" s="5" t="str">
        <f>IFERROR(__xludf.DUMMYFUNCTION("GOOGLETRANSLATE(A122, ""en"", ""id"")"),"121")</f>
        <v>121</v>
      </c>
      <c r="H122" s="5" t="str">
        <f>IFERROR(__xludf.DUMMYFUNCTION("GOOGLETRANSLATE(B122, ""en"", ""id"")"),"Seorang petarung mengeluh bahwa perisai lawan terlalu besar. Bagaimana perselisihan ini diselesaikan?")</f>
        <v>Seorang petarung mengeluh bahwa perisai lawan terlalu besar. Bagaimana perselisihan ini diselesaikan?</v>
      </c>
      <c r="I122" s="5" t="str">
        <f>IFERROR(__xludf.DUMMYFUNCTION("GOOGLETRANSLATE(C122, ""en"", ""id"")"),"A) Pertarungan berlanjut, B) Wasit mengukur perisai dengan standar, C) Penonton memberikan suaranya, D) Lawan harus mendapatkan perisai yang lebih kecil")</f>
        <v>A) Pertarungan berlanjut, B) Wasit mengukur perisai dengan standar, C) Penonton memberikan suaranya, D) Lawan harus mendapatkan perisai yang lebih kecil</v>
      </c>
      <c r="J122" s="5" t="str">
        <f>IFERROR(__xludf.DUMMYFUNCTION("GOOGLETRANSLATE(D122, ""en"", ""id"")"),"B) Wasit mengukur perisai terhadap standar")</f>
        <v>B) Wasit mengukur perisai terhadap standar</v>
      </c>
      <c r="K122" s="5" t="str">
        <f>IFERROR(__xludf.DUMMYFUNCTION("GOOGLETRANSLATE(E122, ""en"", ""id"")"),"Dalam kompetisi yang diatur, ada aturan untuk dimensi peralatan, yang dapat diverifikasi oleh wasit.")</f>
        <v>Dalam kompetisi yang diatur, ada aturan untuk dimensi peralatan, yang dapat diverifikasi oleh wasit.</v>
      </c>
    </row>
    <row r="123">
      <c r="A123" s="3">
        <v>122.0</v>
      </c>
      <c r="B123" s="4" t="s">
        <v>1083</v>
      </c>
      <c r="C123" s="6" t="s">
        <v>1084</v>
      </c>
      <c r="D123" s="4" t="s">
        <v>1085</v>
      </c>
      <c r="E123" s="4" t="s">
        <v>1086</v>
      </c>
      <c r="G123" s="5" t="str">
        <f>IFERROR(__xludf.DUMMYFUNCTION("GOOGLETRANSLATE(A123, ""en"", ""id"")"),"122")</f>
        <v>122</v>
      </c>
      <c r="H123" s="5" t="str">
        <f>IFERROR(__xludf.DUMMYFUNCTION("GOOGLETRANSLATE(B123, ""en"", ""id"")"),"Apa pentingnya pertarungan yang berakhir dengan ""seri""?")</f>
        <v>Apa pentingnya pertarungan yang berakhir dengan "seri"?</v>
      </c>
      <c r="I123" s="5" t="str">
        <f>IFERROR(__xludf.DUMMYFUNCTION("GOOGLETRANSLATE(C123, ""en"", ""id"")"),"A) Menunjukkan kedua petarung tidak memiliki keterampilan, B) Menandakan bahwa kedua petarung menunjukkan keberanian dan keterampilan yang sama, dan tidak ada yang dikalahkan, C) Berarti juri tidak dapat memutuskan, D) Ini adalah hasil yang mengecewakan")</f>
        <v>A) Menunjukkan kedua petarung tidak memiliki keterampilan, B) Menandakan bahwa kedua petarung menunjukkan keberanian dan keterampilan yang sama, dan tidak ada yang dikalahkan, C) Berarti juri tidak dapat memutuskan, D) Ini adalah hasil yang mengecewakan</v>
      </c>
      <c r="J123" s="5" t="str">
        <f>IFERROR(__xludf.DUMMYFUNCTION("GOOGLETRANSLATE(D123, ""en"", ""id"")"),"B) Ini menandakan bahwa kedua petarung menunjukkan keberanian dan keterampilan yang sama, dan tidak ada yang dikalahkan")</f>
        <v>B) Ini menandakan bahwa kedua petarung menunjukkan keberanian dan keterampilan yang sama, dan tidak ada yang dikalahkan</v>
      </c>
      <c r="K123" s="5" t="str">
        <f>IFERROR(__xludf.DUMMYFUNCTION("GOOGLETRANSLATE(E123, ""en"", ""id"")"),"Hasil seri merupakan hasil yang terhormat, mencerminkan rasa saling menghormati dan kemampuan seimbang dari kedua pepadu.")</f>
        <v>Hasil seri merupakan hasil yang terhormat, mencerminkan rasa saling menghormati dan kemampuan seimbang dari kedua pepadu.</v>
      </c>
    </row>
    <row r="124">
      <c r="A124" s="3">
        <v>123.0</v>
      </c>
      <c r="B124" s="4" t="s">
        <v>1087</v>
      </c>
      <c r="C124" s="6" t="s">
        <v>1088</v>
      </c>
      <c r="D124" s="4" t="s">
        <v>1089</v>
      </c>
      <c r="E124" s="4" t="s">
        <v>1090</v>
      </c>
      <c r="G124" s="5" t="str">
        <f>IFERROR(__xludf.DUMMYFUNCTION("GOOGLETRANSLATE(A124, ""en"", ""id"")"),"123")</f>
        <v>123</v>
      </c>
      <c r="H124" s="5" t="str">
        <f>IFERROR(__xludf.DUMMYFUNCTION("GOOGLETRANSLATE(B124, ""en"", ""id"")"),"Seorang petarung dipukul di tangan yang memegang tongkat, menyebabkan rasa sakit yang luar biasa. Apa yang harus mereka lakukan?")</f>
        <v>Seorang petarung dipukul di tangan yang memegang tongkat, menyebabkan rasa sakit yang luar biasa. Apa yang harus mereka lakukan?</v>
      </c>
      <c r="I124" s="5" t="str">
        <f>IFERROR(__xludf.DUMMYFUNCTION("GOOGLETRANSLATE(C124, ""en"", ""id"")"),"A) Jatuhkan tongkat dan menyerah, B) Mengeluh kepada wasit, C) Menahan rasa sakit dan terus berjuang, D) Poin secara otomatis diberikan kepada penyerang")</f>
        <v>A) Jatuhkan tongkat dan menyerah, B) Mengeluh kepada wasit, C) Menahan rasa sakit dan terus berjuang, D) Poin secara otomatis diberikan kepada penyerang</v>
      </c>
      <c r="J124" s="5" t="str">
        <f>IFERROR(__xludf.DUMMYFUNCTION("GOOGLETRANSLATE(D124, ""en"", ""id"")"),"C) Menahan rasa sakit dan terus berjuang")</f>
        <v>C) Menahan rasa sakit dan terus berjuang</v>
      </c>
      <c r="K124" s="5" t="str">
        <f>IFERROR(__xludf.DUMMYFUNCTION("GOOGLETRANSLATE(E124, ""en"", ""id"")"),"Tangan adalah target yang sah. Menunjukkan rasa sakit atau berhenti adalah tanda kelemahan; seorang pepadu sejati diharapkan mampu melawannya.")</f>
        <v>Tangan adalah target yang sah. Menunjukkan rasa sakit atau berhenti adalah tanda kelemahan; seorang pepadu sejati diharapkan mampu melawannya.</v>
      </c>
    </row>
    <row r="125">
      <c r="A125" s="3">
        <v>124.0</v>
      </c>
      <c r="B125" s="4" t="s">
        <v>1091</v>
      </c>
      <c r="C125" s="6" t="s">
        <v>1092</v>
      </c>
      <c r="D125" s="4" t="s">
        <v>360</v>
      </c>
      <c r="E125" s="4" t="s">
        <v>1093</v>
      </c>
      <c r="G125" s="5" t="str">
        <f>IFERROR(__xludf.DUMMYFUNCTION("GOOGLETRANSLATE(A125, ""en"", ""id"")"),"124")</f>
        <v>124</v>
      </c>
      <c r="H125" s="5" t="str">
        <f>IFERROR(__xludf.DUMMYFUNCTION("GOOGLETRANSLATE(B125, ""en"", ""id"")"),"Apa yang dilambangkan oleh tradisi bertelanjang dada para petarung?")</f>
        <v>Apa yang dilambangkan oleh tradisi bertelanjang dada para petarung?</v>
      </c>
      <c r="I125" s="5" t="str">
        <f>IFERROR(__xludf.DUMMYFUNCTION("GOOGLETRANSLATE(C125, ""en"", ""id"")"),"A) Kurangnya pakaian yang layak, B) Hal ini memudahkan untuk melihat apakah serangan mendarat, C) Ini melambangkan kemauan untuk menghadapi bahaya secara terbuka dan jujur, D) Baik B maupun C")</f>
        <v>A) Kurangnya pakaian yang layak, B) Hal ini memudahkan untuk melihat apakah serangan mendarat, C) Ini melambangkan kemauan untuk menghadapi bahaya secara terbuka dan jujur, D) Baik B maupun C</v>
      </c>
      <c r="J125" s="5" t="str">
        <f>IFERROR(__xludf.DUMMYFUNCTION("GOOGLETRANSLATE(D125, ""en"", ""id"")"),"D) B dan C")</f>
        <v>D) B dan C</v>
      </c>
      <c r="K125" s="5" t="str">
        <f>IFERROR(__xludf.DUMMYFUNCTION("GOOGLETRANSLATE(E125, ""en"", ""id"")"),"Bertarung dengan bertelanjang dada merupakan bentuk keberanian dan juga memiliki tujuan praktis untuk membuat serangan yang sah terlihat jelas oleh wasit dan penonton.")</f>
        <v>Bertarung dengan bertelanjang dada merupakan bentuk keberanian dan juga memiliki tujuan praktis untuk membuat serangan yang sah terlihat jelas oleh wasit dan penonton.</v>
      </c>
    </row>
    <row r="126">
      <c r="A126" s="3">
        <v>125.0</v>
      </c>
      <c r="B126" s="4" t="s">
        <v>1094</v>
      </c>
      <c r="C126" s="6" t="s">
        <v>1095</v>
      </c>
      <c r="D126" s="4" t="s">
        <v>1096</v>
      </c>
      <c r="E126" s="4" t="s">
        <v>1097</v>
      </c>
      <c r="G126" s="5" t="str">
        <f>IFERROR(__xludf.DUMMYFUNCTION("GOOGLETRANSLATE(A126, ""en"", ""id"")"),"125")</f>
        <v>125</v>
      </c>
      <c r="H126" s="5" t="str">
        <f>IFERROR(__xludf.DUMMYFUNCTION("GOOGLETRANSLATE(B126, ""en"", ""id"")"),"Bisakah seorang petarung didiskualifikasi karena tidak cukup agresif?")</f>
        <v>Bisakah seorang petarung didiskualifikasi karena tidak cukup agresif?</v>
      </c>
      <c r="I126" s="5" t="str">
        <f>IFERROR(__xludf.DUMMYFUNCTION("GOOGLETRANSLATE(C126, ""en"", ""id"")"),"A) Ya, setelah peringatan berulang-ulang karena bersikap pasif, B) Tidak, bertahan adalah strategi yang valid, C) Hanya jika massa mencemooh mereka, D) Ya, segera")</f>
        <v>A) Ya, setelah peringatan berulang-ulang karena bersikap pasif, B) Tidak, bertahan adalah strategi yang valid, C) Hanya jika massa mencemooh mereka, D) Ya, segera</v>
      </c>
      <c r="J126" s="5" t="str">
        <f>IFERROR(__xludf.DUMMYFUNCTION("GOOGLETRANSLATE(D126, ""en"", ""id"")"),"A) Ya, setelah peringatan berulang kali karena bersikap pasif")</f>
        <v>A) Ya, setelah peringatan berulang kali karena bersikap pasif</v>
      </c>
      <c r="K126" s="5" t="str">
        <f>IFERROR(__xludf.DUMMYFUNCTION("GOOGLETRANSLATE(E126, ""en"", ""id"")"),"Seorang petarung harus terlibat dalam pertarungan. Menolak menyerang secara terus-menerus dan hanya mundur akan mengakibatkan penalti dan akhirnya diskualifikasi.")</f>
        <v>Seorang petarung harus terlibat dalam pertarungan. Menolak menyerang secara terus-menerus dan hanya mundur akan mengakibatkan penalti dan akhirnya diskualifikasi.</v>
      </c>
    </row>
    <row r="127">
      <c r="A127" s="3">
        <v>126.0</v>
      </c>
      <c r="B127" s="4" t="s">
        <v>1098</v>
      </c>
      <c r="C127" s="6" t="s">
        <v>1099</v>
      </c>
      <c r="D127" s="4" t="s">
        <v>1100</v>
      </c>
      <c r="E127" s="4" t="s">
        <v>1101</v>
      </c>
      <c r="G127" s="5" t="str">
        <f>IFERROR(__xludf.DUMMYFUNCTION("GOOGLETRANSLATE(A127, ""en"", ""id"")"),"126")</f>
        <v>126</v>
      </c>
      <c r="H127" s="5" t="str">
        <f>IFERROR(__xludf.DUMMYFUNCTION("GOOGLETRANSLATE(B127, ""en"", ""id"")"),"Seorang petarung menyerang perut lawan. Apakah ini pukulan yang sah?")</f>
        <v>Seorang petarung menyerang perut lawan. Apakah ini pukulan yang sah?</v>
      </c>
      <c r="I127" s="5" t="str">
        <f>IFERROR(__xludf.DUMMYFUNCTION("GOOGLETRANSLATE(C127, ""en"", ""id"")"),"A) Ya, perut adalah target yang valid, B) Tidak, itu di bawah pinggang, C) Itu pelanggaran karena merupakan target yang lunak, D) Hanya jika lawan tidak melihat")</f>
        <v>A) Ya, perut adalah target yang valid, B) Tidak, itu di bawah pinggang, C) Itu pelanggaran karena merupakan target yang lunak, D) Hanya jika lawan tidak melihat</v>
      </c>
      <c r="J127" s="5" t="str">
        <f>IFERROR(__xludf.DUMMYFUNCTION("GOOGLETRANSLATE(D127, ""en"", ""id"")"),"A) Ya, perut adalah target yang valid")</f>
        <v>A) Ya, perut adalah target yang valid</v>
      </c>
      <c r="K127" s="5" t="str">
        <f>IFERROR(__xludf.DUMMYFUNCTION("GOOGLETRANSLATE(E127, ""en"", ""id"")"),"Seluruh badan, dari pinggang hingga bahu, merupakan area penilaian legal yang utama.")</f>
        <v>Seluruh badan, dari pinggang hingga bahu, merupakan area penilaian legal yang utama.</v>
      </c>
    </row>
    <row r="128">
      <c r="A128" s="3">
        <v>127.0</v>
      </c>
      <c r="B128" s="4" t="s">
        <v>1102</v>
      </c>
      <c r="C128" s="6" t="s">
        <v>1103</v>
      </c>
      <c r="D128" s="4" t="s">
        <v>1104</v>
      </c>
      <c r="E128" s="4" t="s">
        <v>1105</v>
      </c>
      <c r="G128" s="5" t="str">
        <f>IFERROR(__xludf.DUMMYFUNCTION("GOOGLETRANSLATE(A128, ""en"", ""id"")"),"127")</f>
        <v>127</v>
      </c>
      <c r="H128" s="5" t="str">
        <f>IFERROR(__xludf.DUMMYFUNCTION("GOOGLETRANSLATE(B128, ""en"", ""id"")"),"Wasitnya adalah seorang tetua yang dihormati dari desa netral. Mengapa ini penting?")</f>
        <v>Wasitnya adalah seorang tetua yang dihormati dari desa netral. Mengapa ini penting?</v>
      </c>
      <c r="I128" s="5" t="str">
        <f>IFERROR(__xludf.DUMMYFUNCTION("GOOGLETRANSLATE(C128, ""en"", ""id"")"),"A) Orang tua dianggap lebih bijaksana, B) Untuk memastikan ketidakberpihakan dan mencegah tuduhan bias, C) Mereka telah melihat lebih banyak perkelahian, D) Mereka adalah satu-satunya orang yang mengetahui aturan")</f>
        <v>A) Orang tua dianggap lebih bijaksana, B) Untuk memastikan ketidakberpihakan dan mencegah tuduhan bias, C) Mereka telah melihat lebih banyak perkelahian, D) Mereka adalah satu-satunya orang yang mengetahui aturan</v>
      </c>
      <c r="J128" s="5" t="str">
        <f>IFERROR(__xludf.DUMMYFUNCTION("GOOGLETRANSLATE(D128, ""en"", ""id"")"),"B) Untuk memastikan ketidakberpihakan dan mencegah tuduhan bias")</f>
        <v>B) Untuk memastikan ketidakberpihakan dan mencegah tuduhan bias</v>
      </c>
      <c r="K128" s="5" t="str">
        <f>IFERROR(__xludf.DUMMYFUNCTION("GOOGLETRANSLATE(E128, ""en"", ""id"")"),"Memilih wasit yang netral dan terhormat sangat penting bagi masyarakat untuk menerima hasil pertandingan sebagai sesuatu yang adil.")</f>
        <v>Memilih wasit yang netral dan terhormat sangat penting bagi masyarakat untuk menerima hasil pertandingan sebagai sesuatu yang adil.</v>
      </c>
    </row>
    <row r="129">
      <c r="A129" s="3">
        <v>128.0</v>
      </c>
      <c r="B129" s="4" t="s">
        <v>1106</v>
      </c>
      <c r="C129" s="6" t="s">
        <v>1107</v>
      </c>
      <c r="D129" s="4" t="s">
        <v>1108</v>
      </c>
      <c r="E129" s="4" t="s">
        <v>1109</v>
      </c>
      <c r="G129" s="5" t="str">
        <f>IFERROR(__xludf.DUMMYFUNCTION("GOOGLETRANSLATE(A129, ""en"", ""id"")"),"128")</f>
        <v>128</v>
      </c>
      <c r="H129" s="5" t="str">
        <f>IFERROR(__xludf.DUMMYFUNCTION("GOOGLETRANSLATE(B129, ""en"", ""id"")"),"Seorang petarung mencoba gerakan berputar yang keren, tetapi justru membiarkan dirinya terbuka lebar dan terkena pukulan. Apa pelajarannya?")</f>
        <v>Seorang petarung mencoba gerakan berputar yang keren, tetapi justru membiarkan dirinya terbuka lebar dan terkena pukulan. Apa pelajarannya?</v>
      </c>
      <c r="I129" s="5" t="str">
        <f>IFERROR(__xludf.DUMMYFUNCTION("GOOGLETRANSLATE(C129, ""en"", ""id"")"),"A) Gerakan yang aneh selalu buruk, B) Substansi dan efektivitas lebih penting daripada gaya, C) Petarung lain curang, D) Wasit bias")</f>
        <v>A) Gerakan yang aneh selalu buruk, B) Substansi dan efektivitas lebih penting daripada gaya, C) Petarung lain curang, D) Wasit bias</v>
      </c>
      <c r="J129" s="5" t="str">
        <f>IFERROR(__xludf.DUMMYFUNCTION("GOOGLETRANSLATE(D129, ""en"", ""id"")"),"B) Substansi dan efektivitas lebih penting daripada gaya")</f>
        <v>B) Substansi dan efektivitas lebih penting daripada gaya</v>
      </c>
      <c r="K129" s="5" t="str">
        <f>IFERROR(__xludf.DUMMYFUNCTION("GOOGLETRANSLATE(E129, ""en"", ""id"")"),"Meskipun gerakan yang bergaya diapresiasi, gerakan tersebut tidak ada gunanya jika tidak praktis dan menyebabkan petarung dikritik.")</f>
        <v>Meskipun gerakan yang bergaya diapresiasi, gerakan tersebut tidak ada gunanya jika tidak praktis dan menyebabkan petarung dikritik.</v>
      </c>
    </row>
    <row r="130">
      <c r="A130" s="3">
        <v>129.0</v>
      </c>
      <c r="B130" s="4" t="s">
        <v>1110</v>
      </c>
      <c r="C130" s="6" t="s">
        <v>1111</v>
      </c>
      <c r="D130" s="4" t="s">
        <v>1112</v>
      </c>
      <c r="E130" s="4" t="s">
        <v>1113</v>
      </c>
      <c r="G130" s="5" t="str">
        <f>IFERROR(__xludf.DUMMYFUNCTION("GOOGLETRANSLATE(A130, ""en"", ""id"")"),"129")</f>
        <v>129</v>
      </c>
      <c r="H130" s="5" t="str">
        <f>IFERROR(__xludf.DUMMYFUNCTION("GOOGLETRANSLATE(B130, ""en"", ""id"")"),"Apa perbedaan utama dalam energi musik Gamelan saat rehat dan saat bermain?")</f>
        <v>Apa perbedaan utama dalam energi musik Gamelan saat rehat dan saat bermain?</v>
      </c>
      <c r="I130" s="5" t="str">
        <f>IFERROR(__xludf.DUMMYFUNCTION("GOOGLETRANSLATE(C130, ""en"", ""id"")"),"A) Tidak ada perbedaan, B) Musik lebih lambat dan lebih tenang saat istirahat, C) Musik lebih keras dan lebih cepat saat istirahat, D) Musik berhenti sepenuhnya saat istirahat")</f>
        <v>A) Tidak ada perbedaan, B) Musik lebih lambat dan lebih tenang saat istirahat, C) Musik lebih keras dan lebih cepat saat istirahat, D) Musik berhenti sepenuhnya saat istirahat</v>
      </c>
      <c r="J130" s="5" t="str">
        <f>IFERROR(__xludf.DUMMYFUNCTION("GOOGLETRANSLATE(D130, ""en"", ""id"")"),"B) Musiknya lebih lambat dan tenang saat istirahat")</f>
        <v>B) Musiknya lebih lambat dan tenang saat istirahat</v>
      </c>
      <c r="K130" s="5" t="str">
        <f>IFERROR(__xludf.DUMMYFUNCTION("GOOGLETRANSLATE(E130, ""en"", ""id"")"),"Musik mencerminkan aksinya; menjadi lebih hingar bingar dan intens selama pertukaran dan tenang selama periode istirahat.")</f>
        <v>Musik mencerminkan aksinya; menjadi lebih hingar bingar dan intens selama pertukaran dan tenang selama periode istirahat.</v>
      </c>
    </row>
    <row r="131">
      <c r="A131" s="3">
        <v>130.0</v>
      </c>
      <c r="B131" s="4" t="s">
        <v>1114</v>
      </c>
      <c r="C131" s="6" t="s">
        <v>1115</v>
      </c>
      <c r="D131" s="4" t="s">
        <v>1116</v>
      </c>
      <c r="E131" s="4" t="s">
        <v>1117</v>
      </c>
      <c r="G131" s="5" t="str">
        <f>IFERROR(__xludf.DUMMYFUNCTION("GOOGLETRANSLATE(A131, ""en"", ""id"")"),"130")</f>
        <v>130</v>
      </c>
      <c r="H131" s="5" t="str">
        <f>IFERROR(__xludf.DUMMYFUNCTION("GOOGLETRANSLATE(B131, ""en"", ""id"")"),"Jika seorang petarung dilucuti senjatanya tetapi berhasil menghindari lawan hingga ronde berakhir, apa keputusannya?")</f>
        <v>Jika seorang petarung dilucuti senjatanya tetapi berhasil menghindari lawan hingga ronde berakhir, apa keputusannya?</v>
      </c>
      <c r="I131" s="5" t="str">
        <f>IFERROR(__xludf.DUMMYFUNCTION("GOOGLETRANSLATE(C131, ""en"", ""id"")"),"A) Ronde ini seri, B) Petarung yang dilucuti senjatanya kehilangan poin, C) Petarung yang dilucuti senjatanya memenangkan poin karena menghindar, D) Ronde diulang")</f>
        <v>A) Ronde ini seri, B) Petarung yang dilucuti senjatanya kehilangan poin, C) Petarung yang dilucuti senjatanya memenangkan poin karena menghindar, D) Ronde diulang</v>
      </c>
      <c r="J131" s="5" t="str">
        <f>IFERROR(__xludf.DUMMYFUNCTION("GOOGLETRANSLATE(D131, ""en"", ""id"")"),"B) Petarung yang dilucuti senjatanya kehilangan poin")</f>
        <v>B) Petarung yang dilucuti senjatanya kehilangan poin</v>
      </c>
      <c r="K131" s="5" t="str">
        <f>IFERROR(__xludf.DUMMYFUNCTION("GOOGLETRANSLATE(E131, ""en"", ""id"")"),"Dilucuti senjatanya berarti kehilangan poin secara otomatis, terlepas dari apa yang terjadi setelah ronde tersebut.")</f>
        <v>Dilucuti senjatanya berarti kehilangan poin secara otomatis, terlepas dari apa yang terjadi setelah ronde tersebut.</v>
      </c>
    </row>
    <row r="132">
      <c r="A132" s="3">
        <v>131.0</v>
      </c>
      <c r="B132" s="4" t="s">
        <v>1118</v>
      </c>
      <c r="C132" s="6" t="s">
        <v>1119</v>
      </c>
      <c r="D132" s="4" t="s">
        <v>1120</v>
      </c>
      <c r="E132" s="4" t="s">
        <v>1121</v>
      </c>
      <c r="G132" s="5" t="str">
        <f>IFERROR(__xludf.DUMMYFUNCTION("GOOGLETRANSLATE(A132, ""en"", ""id"")"),"131")</f>
        <v>131</v>
      </c>
      <c r="H132" s="5" t="str">
        <f>IFERROR(__xludf.DUMMYFUNCTION("GOOGLETRANSLATE(B132, ""en"", ""id"")"),"Seorang petarung memukul perisai lawan dengan sangat keras hingga lawannya terhuyung ke belakang. Apakah poin dihitung?")</f>
        <v>Seorang petarung memukul perisai lawan dengan sangat keras hingga lawannya terhuyung ke belakang. Apakah poin dihitung?</v>
      </c>
      <c r="I132" s="5" t="str">
        <f>IFERROR(__xludf.DUMMYFUNCTION("GOOGLETRANSLATE(C132, ""en"", ""id"")"),"A) Ya, karena menyebabkan hilangnya keseimbangan, B) Tidak, pukulan perisai bukan poin, C) Poin parsial diberikan, D) Penyerang diperingatkan karena kekuatan yang berlebihan")</f>
        <v>A) Ya, karena menyebabkan hilangnya keseimbangan, B) Tidak, pukulan perisai bukan poin, C) Poin parsial diberikan, D) Penyerang diperingatkan karena kekuatan yang berlebihan</v>
      </c>
      <c r="J132" s="5" t="str">
        <f>IFERROR(__xludf.DUMMYFUNCTION("GOOGLETRANSLATE(D132, ""en"", ""id"")"),"B) Tidak, pukulan perisai bukanlah poin")</f>
        <v>B) Tidak, pukulan perisai bukanlah poin</v>
      </c>
      <c r="K132" s="5" t="str">
        <f>IFERROR(__xludf.DUMMYFUNCTION("GOOGLETRANSLATE(E132, ""en"", ""id"")"),"Poin hanya bisa diperoleh dengan memukul tubuh. Efek dari blok perisai tidak dihitung sebagai skor.")</f>
        <v>Poin hanya bisa diperoleh dengan memukul tubuh. Efek dari blok perisai tidak dihitung sebagai skor.</v>
      </c>
    </row>
    <row r="133">
      <c r="A133" s="3">
        <v>132.0</v>
      </c>
      <c r="B133" s="4" t="s">
        <v>1122</v>
      </c>
      <c r="C133" s="6" t="s">
        <v>1123</v>
      </c>
      <c r="D133" s="4" t="s">
        <v>1124</v>
      </c>
      <c r="E133" s="4" t="s">
        <v>1125</v>
      </c>
      <c r="G133" s="5" t="str">
        <f>IFERROR(__xludf.DUMMYFUNCTION("GOOGLETRANSLATE(A133, ""en"", ""id"")"),"132")</f>
        <v>132</v>
      </c>
      <c r="H133" s="5" t="str">
        <f>IFERROR(__xludf.DUMMYFUNCTION("GOOGLETRANSLATE(B133, ""en"", ""id"")"),"Apa makna simbolis penggunaan tongkat rotan sebagai pengganti senjata tajam?")</f>
        <v>Apa makna simbolis penggunaan tongkat rotan sebagai pengganti senjata tajam?</v>
      </c>
      <c r="I133" s="5" t="str">
        <f>IFERROR(__xludf.DUMMYFUNCTION("GOOGLETRANSLATE(C133, ""en"", ""id"")"),"A) Menunjukkan bahwa pertarungan adalah olahraga, bukan duel yang mematikan, B) Rotan lebih murah daripada logam, C) Rotan lebih mudah digunakan, D) Ini adalah perubahan keamanan modern")</f>
        <v>A) Menunjukkan bahwa pertarungan adalah olahraga, bukan duel yang mematikan, B) Rotan lebih murah daripada logam, C) Rotan lebih mudah digunakan, D) Ini adalah perubahan keamanan modern</v>
      </c>
      <c r="J133" s="5" t="str">
        <f>IFERROR(__xludf.DUMMYFUNCTION("GOOGLETRANSLATE(D133, ""en"", ""id"")"),"A) Ini menunjukkan bahwa pertarungan adalah olahraga, bukan duel mematikan")</f>
        <v>A) Ini menunjukkan bahwa pertarungan adalah olahraga, bukan duel mematikan</v>
      </c>
      <c r="K133" s="5" t="str">
        <f>IFERROR(__xludf.DUMMYFUNCTION("GOOGLETRANSLATE(E133, ""en"", ""id"")"),"Penggunaan senjata tumpul yang tidak mematikan menandakan bahwa kontes tersebut adalah tentang keterampilan, keberanian, dan kehormatan, bukan tentang pembunuhan atau mutilasi.")</f>
        <v>Penggunaan senjata tumpul yang tidak mematikan menandakan bahwa kontes tersebut adalah tentang keterampilan, keberanian, dan kehormatan, bukan tentang pembunuhan atau mutilasi.</v>
      </c>
    </row>
    <row r="134">
      <c r="A134" s="3">
        <v>133.0</v>
      </c>
      <c r="B134" s="4" t="s">
        <v>1126</v>
      </c>
      <c r="C134" s="6" t="s">
        <v>1127</v>
      </c>
      <c r="D134" s="4" t="s">
        <v>1128</v>
      </c>
      <c r="E134" s="4" t="s">
        <v>1129</v>
      </c>
      <c r="G134" s="5" t="str">
        <f>IFERROR(__xludf.DUMMYFUNCTION("GOOGLETRANSLATE(A134, ""en"", ""id"")"),"133")</f>
        <v>133</v>
      </c>
      <c r="H134" s="5" t="str">
        <f>IFERROR(__xludf.DUMMYFUNCTION("GOOGLETRANSLATE(B134, ""en"", ""id"")"),"Seorang petarung berdarah, dan wasit ingin menghentikan pertarungan, tetapi pelatih petarung bersikeras agar ia melanjutkan pertarungan. Siapa yang berhak memutuskan?")</f>
        <v>Seorang petarung berdarah, dan wasit ingin menghentikan pertarungan, tetapi pelatih petarung bersikeras agar ia melanjutkan pertarungan. Siapa yang berhak memutuskan?</v>
      </c>
      <c r="I134" s="5" t="str">
        <f>IFERROR(__xludf.DUMMYFUNCTION("GOOGLETRANSLATE(C134, ""en"", ""id"")"),"A) Pelatih, B) Petarung, C) Wasit, D) Penonton")</f>
        <v>A) Pelatih, B) Petarung, C) Wasit, D) Penonton</v>
      </c>
      <c r="J134" s="5" t="str">
        <f>IFERROR(__xludf.DUMMYFUNCTION("GOOGLETRANSLATE(D134, ""en"", ""id"")"),"C) Wasit")</f>
        <v>C) Wasit</v>
      </c>
      <c r="K134" s="5" t="str">
        <f>IFERROR(__xludf.DUMMYFUNCTION("GOOGLETRANSLATE(E134, ""en"", ""id"")"),"Wasit memiliki wewenang mutlak atas keselamatan pertandingan dan dapat menghentikan pertandingan tanpa persetujuan petarung atau kubunya.")</f>
        <v>Wasit memiliki wewenang mutlak atas keselamatan pertandingan dan dapat menghentikan pertandingan tanpa persetujuan petarung atau kubunya.</v>
      </c>
    </row>
    <row r="135">
      <c r="A135" s="3">
        <v>134.0</v>
      </c>
      <c r="B135" s="4" t="s">
        <v>1130</v>
      </c>
      <c r="C135" s="6" t="s">
        <v>1131</v>
      </c>
      <c r="D135" s="4" t="s">
        <v>1132</v>
      </c>
      <c r="E135" s="4" t="s">
        <v>1133</v>
      </c>
      <c r="G135" s="5" t="str">
        <f>IFERROR(__xludf.DUMMYFUNCTION("GOOGLETRANSLATE(A135, ""en"", ""id"")"),"134")</f>
        <v>134</v>
      </c>
      <c r="H135" s="5" t="str">
        <f>IFERROR(__xludf.DUMMYFUNCTION("GOOGLETRANSLATE(B135, ""en"", ""id"")"),"Seorang petarung mendaratkan pukulan tepat saat lawannya terpeleset di atas matras yang basah. Apakah poin tersebut valid?")</f>
        <v>Seorang petarung mendaratkan pukulan tepat saat lawannya terpeleset di atas matras yang basah. Apakah poin tersebut valid?</v>
      </c>
      <c r="I135" s="5" t="str">
        <f>IFERROR(__xludf.DUMMYFUNCTION("GOOGLETRANSLATE(C135, ""en"", ""id"")"),"A) Ya, pukulan tersebut sah terlepas dari slip, B) Tidak, slip tersebut membuat pertukaran menjadi batal, C) Poin diputar ulang, D) Peringatan diberikan kepada penyelenggara")</f>
        <v>A) Ya, pukulan tersebut sah terlepas dari slip, B) Tidak, slip tersebut membuat pertukaran menjadi batal, C) Poin diputar ulang, D) Peringatan diberikan kepada penyelenggara</v>
      </c>
      <c r="J135" s="5" t="str">
        <f>IFERROR(__xludf.DUMMYFUNCTION("GOOGLETRANSLATE(D135, ""en"", ""id"")"),"A) Ya, pukulan itu sah terlepas dari kesalahannya")</f>
        <v>A) Ya, pukulan itu sah terlepas dari kesalahannya</v>
      </c>
      <c r="K135" s="5" t="str">
        <f>IFERROR(__xludf.DUMMYFUNCTION("GOOGLETRANSLATE(E135, ""en"", ""id"")"),"Tergelincirnya secara tidak sengaja oleh seorang petarung tidak membatalkan serangan sah yang didaratkan oleh lawan pada saat yang sama.")</f>
        <v>Tergelincirnya secara tidak sengaja oleh seorang petarung tidak membatalkan serangan sah yang didaratkan oleh lawan pada saat yang sama.</v>
      </c>
    </row>
    <row r="136">
      <c r="A136" s="3">
        <v>135.0</v>
      </c>
      <c r="B136" s="4" t="s">
        <v>1134</v>
      </c>
      <c r="C136" s="6" t="s">
        <v>1135</v>
      </c>
      <c r="D136" s="4" t="s">
        <v>360</v>
      </c>
      <c r="E136" s="4" t="s">
        <v>1136</v>
      </c>
      <c r="G136" s="5" t="str">
        <f>IFERROR(__xludf.DUMMYFUNCTION("GOOGLETRANSLATE(A136, ""en"", ""id"")"),"135")</f>
        <v>135</v>
      </c>
      <c r="H136" s="5" t="str">
        <f>IFERROR(__xludf.DUMMYFUNCTION("GOOGLETRANSLATE(B136, ""en"", ""id"")"),"Apa alasan utama petarung bertelanjang kaki?")</f>
        <v>Apa alasan utama petarung bertelanjang kaki?</v>
      </c>
      <c r="I136" s="5" t="str">
        <f>IFERROR(__xludf.DUMMYFUNCTION("GOOGLETRANSLATE(C136, ""en"", ""id"")"),"A) Untuk menunjukkan ketangguhan, B) Memungkinkan cengkeraman dan kelincahan yang lebih baik di lantai arena tanah, C) Sepatu tidak tradisional, D) Baik B dan C")</f>
        <v>A) Untuk menunjukkan ketangguhan, B) Memungkinkan cengkeraman dan kelincahan yang lebih baik di lantai arena tanah, C) Sepatu tidak tradisional, D) Baik B dan C</v>
      </c>
      <c r="J136" s="5" t="str">
        <f>IFERROR(__xludf.DUMMYFUNCTION("GOOGLETRANSLATE(D136, ""en"", ""id"")"),"D) B dan C")</f>
        <v>D) B dan C</v>
      </c>
      <c r="K136" s="5" t="str">
        <f>IFERROR(__xludf.DUMMYFUNCTION("GOOGLETRANSLATE(E136, ""en"", ""id"")"),"Kaki telanjang adalah bagian dari pakaian tradisional dan juga memberikan koneksi dan cengkeraman yang lebih baik dengan tanah.")</f>
        <v>Kaki telanjang adalah bagian dari pakaian tradisional dan juga memberikan koneksi dan cengkeraman yang lebih baik dengan tanah.</v>
      </c>
    </row>
    <row r="137">
      <c r="A137" s="3">
        <v>136.0</v>
      </c>
      <c r="B137" s="4" t="s">
        <v>1137</v>
      </c>
      <c r="C137" s="6" t="s">
        <v>1138</v>
      </c>
      <c r="D137" s="4" t="s">
        <v>1139</v>
      </c>
      <c r="E137" s="4" t="s">
        <v>1140</v>
      </c>
      <c r="G137" s="5" t="str">
        <f>IFERROR(__xludf.DUMMYFUNCTION("GOOGLETRANSLATE(A137, ""en"", ""id"")"),"136")</f>
        <v>136</v>
      </c>
      <c r="H137" s="5" t="str">
        <f>IFERROR(__xludf.DUMMYFUNCTION("GOOGLETRANSLATE(B137, ""en"", ""id"")"),"Seorang petarung dari Lombok berlaga dalam sebuah demonstrasi di Jakarta. Apa saja yang mungkin perlu mereka sesuaikan?")</f>
        <v>Seorang petarung dari Lombok berlaga dalam sebuah demonstrasi di Jakarta. Apa saja yang mungkin perlu mereka sesuaikan?</v>
      </c>
      <c r="I137" s="5" t="str">
        <f>IFERROR(__xludf.DUMMYFUNCTION("GOOGLETRANSLATE(C137, ""en"", ""id"")"),"A) Aturannya mungkin sedikit berbeda atau lebih standar, B) Cuacanya akan lebih panas, C) Tongkatnya akan lebih berat, D) Perisainya akan lebih kecil")</f>
        <v>A) Aturannya mungkin sedikit berbeda atau lebih standar, B) Cuacanya akan lebih panas, C) Tongkatnya akan lebih berat, D) Perisainya akan lebih kecil</v>
      </c>
      <c r="J137" s="5" t="str">
        <f>IFERROR(__xludf.DUMMYFUNCTION("GOOGLETRANSLATE(D137, ""en"", ""id"")"),"A) Aturannya mungkin sedikit berbeda atau lebih standar")</f>
        <v>A) Aturannya mungkin sedikit berbeda atau lebih standar</v>
      </c>
      <c r="K137" s="5" t="str">
        <f>IFERROR(__xludf.DUMMYFUNCTION("GOOGLETRANSLATE(E137, ""en"", ""id"")"),"Ketika suatu seni tradisional dipertunjukkan di lingkungan baru, aturan-aturannya sering kali distandarisasi demi kejelasan, yang mungkin berbeda dari aturan-aturan desa setempat.")</f>
        <v>Ketika suatu seni tradisional dipertunjukkan di lingkungan baru, aturan-aturannya sering kali distandarisasi demi kejelasan, yang mungkin berbeda dari aturan-aturan desa setempat.</v>
      </c>
    </row>
    <row r="138">
      <c r="A138" s="3">
        <v>137.0</v>
      </c>
      <c r="B138" s="4" t="s">
        <v>1141</v>
      </c>
      <c r="C138" s="6" t="s">
        <v>1142</v>
      </c>
      <c r="D138" s="4" t="s">
        <v>1143</v>
      </c>
      <c r="E138" s="4" t="s">
        <v>1144</v>
      </c>
      <c r="G138" s="5" t="str">
        <f>IFERROR(__xludf.DUMMYFUNCTION("GOOGLETRANSLATE(A138, ""en"", ""id"")"),"137")</f>
        <v>137</v>
      </c>
      <c r="H138" s="5" t="str">
        <f>IFERROR(__xludf.DUMMYFUNCTION("GOOGLETRANSLATE(B138, ""en"", ""id"")"),"Jika seorang petarung melanggar peraturan, dan wasit tidak melihatnya, tetapi penonton bereaksi dengan keras, apa yang harus dilakukan wasit?")</f>
        <v>Jika seorang petarung melanggar peraturan, dan wasit tidak melihatnya, tetapi penonton bereaksi dengan keras, apa yang harus dilakukan wasit?</v>
      </c>
      <c r="I138" s="5" t="str">
        <f>IFERROR(__xludf.DUMMYFUNCTION("GOOGLETRANSLATE(C138, ""en"", ""id"")"),"A) Abaikan kerumunan, B) Hentikan pertarungan dan konsultasikan dengan hakim garis atau petugas lainnya, C) Ambil suara dari kerumunan, D) Hukum petarung berdasarkan reaksi kerumunan")</f>
        <v>A) Abaikan kerumunan, B) Hentikan pertarungan dan konsultasikan dengan hakim garis atau petugas lainnya, C) Ambil suara dari kerumunan, D) Hukum petarung berdasarkan reaksi kerumunan</v>
      </c>
      <c r="J138" s="5" t="str">
        <f>IFERROR(__xludf.DUMMYFUNCTION("GOOGLETRANSLATE(D138, ""en"", ""id"")"),"B) Hentikan perkelahian dan konsultasikan dengan hakim garis atau petugas lainnya")</f>
        <v>B) Hentikan perkelahian dan konsultasikan dengan hakim garis atau petugas lainnya</v>
      </c>
      <c r="K138" s="5" t="str">
        <f>IFERROR(__xludf.DUMMYFUNCTION("GOOGLETRANSLATE(E138, ""en"", ""id"")"),"Meskipun tidak terikat oleh penonton, reaksi yang keras dapat mendorong wasit untuk berkonsultasi dengan ofisial lain untuk memastikan keputusan yang benar telah dibuat.")</f>
        <v>Meskipun tidak terikat oleh penonton, reaksi yang keras dapat mendorong wasit untuk berkonsultasi dengan ofisial lain untuk memastikan keputusan yang benar telah dibuat.</v>
      </c>
    </row>
    <row r="139">
      <c r="A139" s="3">
        <v>138.0</v>
      </c>
      <c r="B139" s="4" t="s">
        <v>1145</v>
      </c>
      <c r="C139" s="6" t="s">
        <v>1146</v>
      </c>
      <c r="D139" s="4" t="s">
        <v>1147</v>
      </c>
      <c r="E139" s="4" t="s">
        <v>1148</v>
      </c>
      <c r="G139" s="5" t="str">
        <f>IFERROR(__xludf.DUMMYFUNCTION("GOOGLETRANSLATE(A139, ""en"", ""id"")"),"138")</f>
        <v>138</v>
      </c>
      <c r="H139" s="5" t="str">
        <f>IFERROR(__xludf.DUMMYFUNCTION("GOOGLETRANSLATE(B139, ""en"", ""id"")"),"Tradisi Peresean diwariskan secara turun temurun bagaimana?")</f>
        <v>Tradisi Peresean diwariskan secara turun temurun bagaimana?</v>
      </c>
      <c r="I139" s="5" t="str">
        <f>IFERROR(__xludf.DUMMYFUNCTION("GOOGLETRANSLATE(C139, ""en"", ""id"")"),"A) Melalui buku peraturan resmi, B) Melalui siaran televisi, C) Secara lisan dan melalui praktik dari para guru kepada murid, D) Melalui sejarah tertulis")</f>
        <v>A) Melalui buku peraturan resmi, B) Melalui siaran televisi, C) Secara lisan dan melalui praktik dari para guru kepada murid, D) Melalui sejarah tertulis</v>
      </c>
      <c r="J139" s="5" t="str">
        <f>IFERROR(__xludf.DUMMYFUNCTION("GOOGLETRANSLATE(D139, ""en"", ""id"")"),"C) Secara lisan dan melalui praktek dari guru kepada muridnya")</f>
        <v>C) Secara lisan dan melalui praktek dari guru kepada muridnya</v>
      </c>
      <c r="K139" s="5" t="str">
        <f>IFERROR(__xludf.DUMMYFUNCTION("GOOGLETRANSLATE(E139, ""en"", ""id"")"),"Seperti banyak seni bela diri tradisional, keterampilan dan filosofinya diturunkan langsung dari satu generasi ke generasi berikutnya.")</f>
        <v>Seperti banyak seni bela diri tradisional, keterampilan dan filosofinya diturunkan langsung dari satu generasi ke generasi berikutnya.</v>
      </c>
    </row>
    <row r="140">
      <c r="A140" s="3">
        <v>139.0</v>
      </c>
      <c r="B140" s="4" t="s">
        <v>1149</v>
      </c>
      <c r="C140" s="6" t="s">
        <v>1150</v>
      </c>
      <c r="D140" s="4" t="s">
        <v>1151</v>
      </c>
      <c r="E140" s="4" t="s">
        <v>1152</v>
      </c>
      <c r="G140" s="5" t="str">
        <f>IFERROR(__xludf.DUMMYFUNCTION("GOOGLETRANSLATE(A140, ""en"", ""id"")"),"139")</f>
        <v>139</v>
      </c>
      <c r="H140" s="5" t="str">
        <f>IFERROR(__xludf.DUMMYFUNCTION("GOOGLETRANSLATE(B140, ""en"", ""id"")"),"Seorang petarung menyentuh tulang rusuk lawan dengan ujung tongkatnya. Apakah ini poin yang valid?")</f>
        <v>Seorang petarung menyentuh tulang rusuk lawan dengan ujung tongkatnya. Apakah ini poin yang valid?</v>
      </c>
      <c r="I140" s="5" t="str">
        <f>IFERROR(__xludf.DUMMYFUNCTION("GOOGLETRANSLATE(C140, ""en"", ""id"")"),"A) Tidak, seluruh tongkat harus menyentuh sasaran, B) Ya, setiap sentuhan bersih dari tongkat pada sasaran yang sah akan dinilai, C) Hanya jika meninggalkan bekas, D) Itu adalah pelanggaran")</f>
        <v>A) Tidak, seluruh tongkat harus menyentuh sasaran, B) Ya, setiap sentuhan bersih dari tongkat pada sasaran yang sah akan dinilai, C) Hanya jika meninggalkan bekas, D) Itu adalah pelanggaran</v>
      </c>
      <c r="J140" s="5" t="str">
        <f>IFERROR(__xludf.DUMMYFUNCTION("GOOGLETRANSLATE(D140, ""en"", ""id"")"),"B) Ya, setiap kontak bersih dari tongkat pada target yang sah akan dinilai")</f>
        <v>B) Ya, setiap kontak bersih dari tongkat pada target yang sah akan dinilai</v>
      </c>
      <c r="K140" s="5" t="str">
        <f>IFERROR(__xludf.DUMMYFUNCTION("GOOGLETRANSLATE(E140, ""en"", ""id"")"),"Ketepatan pukulan ujung adalah tanda keterampilan dan merupakan cara yang benar-benar sah untuk mencetak poin.")</f>
        <v>Ketepatan pukulan ujung adalah tanda keterampilan dan merupakan cara yang benar-benar sah untuk mencetak poin.</v>
      </c>
    </row>
    <row r="141">
      <c r="A141" s="3">
        <v>140.0</v>
      </c>
      <c r="B141" s="4" t="s">
        <v>1153</v>
      </c>
      <c r="C141" s="6" t="s">
        <v>1154</v>
      </c>
      <c r="D141" s="4" t="s">
        <v>1155</v>
      </c>
      <c r="E141" s="4" t="s">
        <v>1156</v>
      </c>
      <c r="G141" s="5" t="str">
        <f>IFERROR(__xludf.DUMMYFUNCTION("GOOGLETRANSLATE(A141, ""en"", ""id"")"),"140")</f>
        <v>140</v>
      </c>
      <c r="H141" s="5" t="str">
        <f>IFERROR(__xludf.DUMMYFUNCTION("GOOGLETRANSLATE(B141, ""en"", ""id"")"),"Mengapa tidak ada padanan perempuan untuk Peresean?")</f>
        <v>Mengapa tidak ada padanan perempuan untuk Peresean?</v>
      </c>
      <c r="I141" s="5" t="str">
        <f>IFERROR(__xludf.DUMMYFUNCTION("GOOGLETRANSLATE(C141, ""en"", ""id"")"),"A) Wanita tidak diperbolehkan menonton, B) Secara tradisional ini merupakan pertunjukan kebajikan prajurit maskulin, C) Wanita tidak cukup kuat, D) Tidak ada aturan untuk pejuang wanita")</f>
        <v>A) Wanita tidak diperbolehkan menonton, B) Secara tradisional ini merupakan pertunjukan kebajikan prajurit maskulin, C) Wanita tidak cukup kuat, D) Tidak ada aturan untuk pejuang wanita</v>
      </c>
      <c r="J141" s="5" t="str">
        <f>IFERROR(__xludf.DUMMYFUNCTION("GOOGLETRANSLATE(D141, ""en"", ""id"")"),"B) Secara tradisional ini merupakan tampilan kebajikan prajurit maskulin")</f>
        <v>B) Secara tradisional ini merupakan tampilan kebajikan prajurit maskulin</v>
      </c>
      <c r="K141" s="5" t="str">
        <f>IFERROR(__xludf.DUMMYFUNCTION("GOOGLETRANSLATE(E141, ""en"", ""id"")"),"Olahraga ini tertanam kuat dalam konsep budaya Sasak tentang keberanian, kekuatan, dan peran seorang lelaki sebagai pendekar.")</f>
        <v>Olahraga ini tertanam kuat dalam konsep budaya Sasak tentang keberanian, kekuatan, dan peran seorang lelaki sebagai pendekar.</v>
      </c>
    </row>
    <row r="142">
      <c r="A142" s="3">
        <v>141.0</v>
      </c>
      <c r="B142" s="4" t="s">
        <v>1157</v>
      </c>
      <c r="C142" s="6" t="s">
        <v>1158</v>
      </c>
      <c r="D142" s="4" t="s">
        <v>1159</v>
      </c>
      <c r="E142" s="4" t="s">
        <v>1160</v>
      </c>
      <c r="G142" s="5" t="str">
        <f>IFERROR(__xludf.DUMMYFUNCTION("GOOGLETRANSLATE(A142, ""en"", ""id"")"),"141")</f>
        <v>141</v>
      </c>
      <c r="H142" s="5" t="str">
        <f>IFERROR(__xludf.DUMMYFUNCTION("GOOGLETRANSLATE(B142, ""en"", ""id"")"),"Seorang petarung memukul perisai lawan, dan tongkatnya sendiri memantul dan mengenai wajahnya. Apa hukumnya?")</f>
        <v>Seorang petarung memukul perisai lawan, dan tongkatnya sendiri memantul dan mengenai wajahnya. Apa hukumnya?</v>
      </c>
      <c r="I142" s="5" t="str">
        <f>IFERROR(__xludf.DUMMYFUNCTION("GOOGLETRANSLATE(C142, ""en"", ""id"")"),"A) Satu poin untuk pemain bertahan, B) Satu poin untuk penyerang, C) Tidak ada poin yang dicetak, D) Poin diulang")</f>
        <v>A) Satu poin untuk pemain bertahan, B) Satu poin untuk penyerang, C) Tidak ada poin yang dicetak, D) Poin diulang</v>
      </c>
      <c r="J142" s="5" t="str">
        <f>IFERROR(__xludf.DUMMYFUNCTION("GOOGLETRANSLATE(D142, ""en"", ""id"")"),"A) Satu poin untuk pemain bertahan")</f>
        <v>A) Satu poin untuk pemain bertahan</v>
      </c>
      <c r="K142" s="5" t="str">
        <f>IFERROR(__xludf.DUMMYFUNCTION("GOOGLETRANSLATE(E142, ""en"", ""id"")"),"Penyerang bertanggung jawab atas senjatanya. Pukulan yang dilakukan sendiri, bahkan dari pantulan, dianggap sebagai kesalahan, dan poin diberikan kepada lawan.")</f>
        <v>Penyerang bertanggung jawab atas senjatanya. Pukulan yang dilakukan sendiri, bahkan dari pantulan, dianggap sebagai kesalahan, dan poin diberikan kepada lawan.</v>
      </c>
    </row>
    <row r="143">
      <c r="A143" s="3">
        <v>142.0</v>
      </c>
      <c r="B143" s="4" t="s">
        <v>1161</v>
      </c>
      <c r="C143" s="6" t="s">
        <v>1162</v>
      </c>
      <c r="D143" s="4" t="s">
        <v>1163</v>
      </c>
      <c r="E143" s="4" t="s">
        <v>1164</v>
      </c>
      <c r="G143" s="5" t="str">
        <f>IFERROR(__xludf.DUMMYFUNCTION("GOOGLETRANSLATE(A143, ""en"", ""id"")"),"142")</f>
        <v>142</v>
      </c>
      <c r="H143" s="5" t="str">
        <f>IFERROR(__xludf.DUMMYFUNCTION("GOOGLETRANSLATE(B143, ""en"", ""id"")"),"Apa artinya jika seorang petarung memiliki ""pertahanan yang kuat""?")</f>
        <v>Apa artinya jika seorang petarung memiliki "pertahanan yang kuat"?</v>
      </c>
      <c r="I143" s="5" t="str">
        <f>IFERROR(__xludf.DUMMYFUNCTION("GOOGLETRANSLATE(C143, ""en"", ""id"")"),"A) Mereka menyerang terus-menerus, B) Mereka memiliki perisai besar dan berat, C) Mereka terampil dalam memblokir dan menghindari serangan, membuat mereka sulit untuk mencetak angka, D) Mereka memiliki tim sudut yang kuat")</f>
        <v>A) Mereka menyerang terus-menerus, B) Mereka memiliki perisai besar dan berat, C) Mereka terampil dalam memblokir dan menghindari serangan, membuat mereka sulit untuk mencetak angka, D) Mereka memiliki tim sudut yang kuat</v>
      </c>
      <c r="J143" s="5" t="str">
        <f>IFERROR(__xludf.DUMMYFUNCTION("GOOGLETRANSLATE(D143, ""en"", ""id"")"),"C) Mereka terampil dalam memblokir dan menghindari pukulan, membuat mereka sulit untuk mencetak gol.")</f>
        <v>C) Mereka terampil dalam memblokir dan menghindari pukulan, membuat mereka sulit untuk mencetak gol.</v>
      </c>
      <c r="K143" s="5" t="str">
        <f>IFERROR(__xludf.DUMMYFUNCTION("GOOGLETRANSLATE(E143, ""en"", ""id"")"),"Pertahanan yang kuat bergantung pada keterampilan dan kelincahan, bukan hanya perlengkapan.")</f>
        <v>Pertahanan yang kuat bergantung pada keterampilan dan kelincahan, bukan hanya perlengkapan.</v>
      </c>
    </row>
    <row r="144">
      <c r="A144" s="3">
        <v>143.0</v>
      </c>
      <c r="B144" s="4" t="s">
        <v>1165</v>
      </c>
      <c r="C144" s="6" t="s">
        <v>1166</v>
      </c>
      <c r="D144" s="4" t="s">
        <v>1167</v>
      </c>
      <c r="E144" s="4" t="s">
        <v>1168</v>
      </c>
      <c r="G144" s="5" t="str">
        <f>IFERROR(__xludf.DUMMYFUNCTION("GOOGLETRANSLATE(A144, ""en"", ""id"")"),"143")</f>
        <v>143</v>
      </c>
      <c r="H144" s="5" t="str">
        <f>IFERROR(__xludf.DUMMYFUNCTION("GOOGLETRANSLATE(B144, ""en"", ""id"")"),"Jika seorang petarung terjatuh karena pukulan yang sah, apakah ia diperbolehkan bangkit dan melanjutkan pertarungan?")</f>
        <v>Jika seorang petarung terjatuh karena pukulan yang sah, apakah ia diperbolehkan bangkit dan melanjutkan pertarungan?</v>
      </c>
      <c r="I144" s="5" t="str">
        <f>IFERROR(__xludf.DUMMYFUNCTION("GOOGLETRANSLATE(C144, ""en"", ""id"")"),"A) Tidak, knockdown mengakhiri pertandingan, B) Ya, jika mereka dapat bangkit sebelum hitungan kesepuluh, C) Skenario ini tidak ada karena poin diperoleh dari pukulan, bukan knockdown, D) Hanya jika dokter menyetujuinya")</f>
        <v>A) Tidak, knockdown mengakhiri pertandingan, B) Ya, jika mereka dapat bangkit sebelum hitungan kesepuluh, C) Skenario ini tidak ada karena poin diperoleh dari pukulan, bukan knockdown, D) Hanya jika dokter menyetujuinya</v>
      </c>
      <c r="J144" s="5" t="str">
        <f>IFERROR(__xludf.DUMMYFUNCTION("GOOGLETRANSLATE(D144, ""en"", ""id"")"),"C) Skenario ini tidak ada karena poin diperoleh dari pukulan, bukan knockdown")</f>
        <v>C) Skenario ini tidak ada karena poin diperoleh dari pukulan, bukan knockdown</v>
      </c>
      <c r="K144" s="5" t="str">
        <f>IFERROR(__xludf.DUMMYFUNCTION("GOOGLETRANSLATE(E144, ""en"", ""id"")"),"Peresean tidak menggunakan sistem knockdown/hitungan seperti tinju; pukulan bersih mendapat poin, dan ronde kemudian direset.")</f>
        <v>Peresean tidak menggunakan sistem knockdown/hitungan seperti tinju; pukulan bersih mendapat poin, dan ronde kemudian direset.</v>
      </c>
    </row>
    <row r="145">
      <c r="A145" s="3">
        <v>144.0</v>
      </c>
      <c r="B145" s="4" t="s">
        <v>1169</v>
      </c>
      <c r="C145" s="6" t="s">
        <v>1170</v>
      </c>
      <c r="D145" s="4" t="s">
        <v>1171</v>
      </c>
      <c r="E145" s="4" t="s">
        <v>1172</v>
      </c>
      <c r="G145" s="5" t="str">
        <f>IFERROR(__xludf.DUMMYFUNCTION("GOOGLETRANSLATE(A145, ""en"", ""id"")"),"144")</f>
        <v>144</v>
      </c>
      <c r="H145" s="5" t="str">
        <f>IFERROR(__xludf.DUMMYFUNCTION("GOOGLETRANSLATE(B145, ""en"", ""id"")"),"Mengapa seorang petarung memilih tongkat rotan yang lebih panjang?")</f>
        <v>Mengapa seorang petarung memilih tongkat rotan yang lebih panjang?</v>
      </c>
      <c r="I145" s="5" t="str">
        <f>IFERROR(__xludf.DUMMYFUNCTION("GOOGLETRANSLATE(C145, ""en"", ""id"")"),"A) Memberikan keuntungan jangkauan, B) Lebih berat dan memukul lebih keras, C) Lebih fleksibel, D) Lebih mudah untuk diblokir dengan")</f>
        <v>A) Memberikan keuntungan jangkauan, B) Lebih berat dan memukul lebih keras, C) Lebih fleksibel, D) Lebih mudah untuk diblokir dengan</v>
      </c>
      <c r="J145" s="5" t="str">
        <f>IFERROR(__xludf.DUMMYFUNCTION("GOOGLETRANSLATE(D145, ""en"", ""id"")"),"A) Memberikan keuntungan jangkauan")</f>
        <v>A) Memberikan keuntungan jangkauan</v>
      </c>
      <c r="K145" s="5" t="str">
        <f>IFERROR(__xludf.DUMMYFUNCTION("GOOGLETRANSLATE(E145, ""en"", ""id"")"),"Tongkat yang lebih panjang memungkinkan petarung untuk mencetak angka dari jarak yang lebih aman, tetapi bisa sedikit lebih lambat dan lebih sulit dikendalikan.")</f>
        <v>Tongkat yang lebih panjang memungkinkan petarung untuk mencetak angka dari jarak yang lebih aman, tetapi bisa sedikit lebih lambat dan lebih sulit dikendalikan.</v>
      </c>
    </row>
    <row r="146">
      <c r="A146" s="3">
        <v>145.0</v>
      </c>
      <c r="B146" s="4" t="s">
        <v>1173</v>
      </c>
      <c r="C146" s="6" t="s">
        <v>1174</v>
      </c>
      <c r="D146" s="4" t="s">
        <v>1175</v>
      </c>
      <c r="E146" s="4" t="s">
        <v>1176</v>
      </c>
      <c r="G146" s="5" t="str">
        <f>IFERROR(__xludf.DUMMYFUNCTION("GOOGLETRANSLATE(A146, ""en"", ""id"")"),"145")</f>
        <v>145</v>
      </c>
      <c r="H146" s="5" t="str">
        <f>IFERROR(__xludf.DUMMYFUNCTION("GOOGLETRANSLATE(B146, ""en"", ""id"")"),"Seorang petarung dihukum karena ""menahan"". Apa yang mereka lakukan?")</f>
        <v>Seorang petarung dihukum karena "menahan". Apa yang mereka lakukan?</v>
      </c>
      <c r="I146" s="5" t="str">
        <f>IFERROR(__xludf.DUMMYFUNCTION("GOOGLETRANSLATE(C146, ""en"", ""id"")"),"A) Memegang perisai mereka sendiri terlalu erat, B) Menahan napas terlalu lama, C) Memegang tongkat, perisai, atau tubuh lawan dengan tangan bebas mereka, D) Mempertahankan posisi mereka tanpa bergerak")</f>
        <v>A) Memegang perisai mereka sendiri terlalu erat, B) Menahan napas terlalu lama, C) Memegang tongkat, perisai, atau tubuh lawan dengan tangan bebas mereka, D) Mempertahankan posisi mereka tanpa bergerak</v>
      </c>
      <c r="J146" s="5" t="str">
        <f>IFERROR(__xludf.DUMMYFUNCTION("GOOGLETRANSLATE(D146, ""en"", ""id"")"),"C) Meraih tongkat, perisai, atau badan lawan dengan tangan bebasnya")</f>
        <v>C) Meraih tongkat, perisai, atau badan lawan dengan tangan bebasnya</v>
      </c>
      <c r="K146" s="5" t="str">
        <f>IFERROR(__xludf.DUMMYFUNCTION("GOOGLETRANSLATE(E146, ""en"", ""id"")"),"Bergulat atau memegang dengan tangan bebas adalah tindakan ilegal dan dapat mengakibatkan pelanggaran.")</f>
        <v>Bergulat atau memegang dengan tangan bebas adalah tindakan ilegal dan dapat mengakibatkan pelanggaran.</v>
      </c>
    </row>
    <row r="147">
      <c r="A147" s="3">
        <v>146.0</v>
      </c>
      <c r="B147" s="4" t="s">
        <v>1177</v>
      </c>
      <c r="C147" s="6" t="s">
        <v>1178</v>
      </c>
      <c r="D147" s="4" t="s">
        <v>1179</v>
      </c>
      <c r="E147" s="4" t="s">
        <v>1180</v>
      </c>
      <c r="G147" s="5" t="str">
        <f>IFERROR(__xludf.DUMMYFUNCTION("GOOGLETRANSLATE(A147, ""en"", ""id"")"),"146")</f>
        <v>146</v>
      </c>
      <c r="H147" s="5" t="str">
        <f>IFERROR(__xludf.DUMMYFUNCTION("GOOGLETRANSLATE(B147, ""en"", ""id"")"),"Wasit sering terlihat membuat gerakan memotong tajam ke bawah dengan tangannya. Apa yang menandakan hal ini?")</f>
        <v>Wasit sering terlihat membuat gerakan memotong tajam ke bawah dengan tangannya. Apa yang menandakan hal ini?</v>
      </c>
      <c r="I147" s="5" t="str">
        <f>IFERROR(__xludf.DUMMYFUNCTION("GOOGLETRANSLATE(C147, ""en"", ""id"")"),"A) Awal ronde, B) Satu poin telah dicetak, C) Sebuah pelanggaran telah dilakukan, D) Akhir pertandingan")</f>
        <v>A) Awal ronde, B) Satu poin telah dicetak, C) Sebuah pelanggaran telah dilakukan, D) Akhir pertandingan</v>
      </c>
      <c r="J147" s="5" t="str">
        <f>IFERROR(__xludf.DUMMYFUNCTION("GOOGLETRANSLATE(D147, ""en"", ""id"")"),"B) Satu poin telah diperoleh")</f>
        <v>B) Satu poin telah diperoleh</v>
      </c>
      <c r="K147" s="5" t="str">
        <f>IFERROR(__xludf.DUMMYFUNCTION("GOOGLETRANSLATE(E147, ""en"", ""id"")"),"Ini adalah gerakan umum dan tegas yang digunakan oleh pakembar untuk memastikan bahwa pukulan sah telah mendarat dan satu poin diberikan.")</f>
        <v>Ini adalah gerakan umum dan tegas yang digunakan oleh pakembar untuk memastikan bahwa pukulan sah telah mendarat dan satu poin diberikan.</v>
      </c>
    </row>
    <row r="148">
      <c r="A148" s="3">
        <v>147.0</v>
      </c>
      <c r="B148" s="4" t="s">
        <v>1181</v>
      </c>
      <c r="C148" s="6" t="s">
        <v>1182</v>
      </c>
      <c r="D148" s="4" t="s">
        <v>1183</v>
      </c>
      <c r="E148" s="4" t="s">
        <v>1184</v>
      </c>
      <c r="G148" s="5" t="str">
        <f>IFERROR(__xludf.DUMMYFUNCTION("GOOGLETRANSLATE(A148, ""en"", ""id"")"),"147")</f>
        <v>147</v>
      </c>
      <c r="H148" s="5" t="str">
        <f>IFERROR(__xludf.DUMMYFUNCTION("GOOGLETRANSLATE(B148, ""en"", ""id"")"),"Seorang petarung mendaratkan pukulan, tetapi lawan tidak menunjukkan reaksi apa pun. Apa yang harus dilakukan penyerang?")</f>
        <v>Seorang petarung mendaratkan pukulan, tetapi lawan tidak menunjukkan reaksi apa pun. Apa yang harus dilakukan penyerang?</v>
      </c>
      <c r="I148" s="5" t="str">
        <f>IFERROR(__xludf.DUMMYFUNCTION("GOOGLETRANSLATE(C148, ""en"", ""id"")"),"A) Pukul mereka lagi dengan lebih keras, B) Berhenti dan tunggu keputusan wasit, C) Protes kepada wasit, D) Rayakan poinnya")</f>
        <v>A) Pukul mereka lagi dengan lebih keras, B) Berhenti dan tunggu keputusan wasit, C) Protes kepada wasit, D) Rayakan poinnya</v>
      </c>
      <c r="J148" s="5" t="str">
        <f>IFERROR(__xludf.DUMMYFUNCTION("GOOGLETRANSLATE(D148, ""en"", ""id"")"),"B) Berhenti dan tunggu panggilan wasit")</f>
        <v>B) Berhenti dan tunggu panggilan wasit</v>
      </c>
      <c r="K148" s="5" t="str">
        <f>IFERROR(__xludf.DUMMYFUNCTION("GOOGLETRANSLATE(E148, ""en"", ""id"")"),"Setelah mendaratkan serangan, seorang petarung harus segera mengatur ulang dan melihat ke arah wasit untuk mendapatkan sinyal resmi bahwa suatu poin telah diperoleh.")</f>
        <v>Setelah mendaratkan serangan, seorang petarung harus segera mengatur ulang dan melihat ke arah wasit untuk mendapatkan sinyal resmi bahwa suatu poin telah diperoleh.</v>
      </c>
    </row>
    <row r="149">
      <c r="A149" s="3">
        <v>148.0</v>
      </c>
      <c r="B149" s="4" t="s">
        <v>1185</v>
      </c>
      <c r="C149" s="6" t="s">
        <v>1186</v>
      </c>
      <c r="D149" s="4" t="s">
        <v>1187</v>
      </c>
      <c r="E149" s="4" t="s">
        <v>1188</v>
      </c>
      <c r="G149" s="5" t="str">
        <f>IFERROR(__xludf.DUMMYFUNCTION("GOOGLETRANSLATE(A149, ""en"", ""id"")"),"148")</f>
        <v>148</v>
      </c>
      <c r="H149" s="5" t="str">
        <f>IFERROR(__xludf.DUMMYFUNCTION("GOOGLETRANSLATE(B149, ""en"", ""id"")"),"Apa bahaya utama dari tongkat rotan yang terlalu kering?")</f>
        <v>Apa bahaya utama dari tongkat rotan yang terlalu kering?</v>
      </c>
      <c r="I149" s="5" t="str">
        <f>IFERROR(__xludf.DUMMYFUNCTION("GOOGLETRANSLATE(C149, ""en"", ""id"")"),"A) Terlalu ringan, B) Tidak akan mengeluarkan suara, C) Dapat hancur saat terkena benturan, mengirimkan serpihan tajam beterbangan, D) Terlalu fleksibel")</f>
        <v>A) Terlalu ringan, B) Tidak akan mengeluarkan suara, C) Dapat hancur saat terkena benturan, mengirimkan serpihan tajam beterbangan, D) Terlalu fleksibel</v>
      </c>
      <c r="J149" s="5" t="str">
        <f>IFERROR(__xludf.DUMMYFUNCTION("GOOGLETRANSLATE(D149, ""en"", ""id"")"),"C) Dapat hancur saat terkena benturan, mengirimkan serpihan tajam yang beterbangan")</f>
        <v>C) Dapat hancur saat terkena benturan, mengirimkan serpihan tajam yang beterbangan</v>
      </c>
      <c r="K149" s="5" t="str">
        <f>IFERROR(__xludf.DUMMYFUNCTION("GOOGLETRANSLATE(E149, ""en"", ""id"")"),"Tongkat yang kering bersifat rapuh dan berbahaya, itulah sebabnya tongkat tersebut sering direndam untuk menjaga kelenturannya.")</f>
        <v>Tongkat yang kering bersifat rapuh dan berbahaya, itulah sebabnya tongkat tersebut sering direndam untuk menjaga kelenturannya.</v>
      </c>
    </row>
    <row r="150">
      <c r="A150" s="3">
        <v>149.0</v>
      </c>
      <c r="B150" s="4" t="s">
        <v>1189</v>
      </c>
      <c r="C150" s="6" t="s">
        <v>1190</v>
      </c>
      <c r="D150" s="4" t="s">
        <v>1191</v>
      </c>
      <c r="E150" s="4" t="s">
        <v>1192</v>
      </c>
      <c r="G150" s="5" t="str">
        <f>IFERROR(__xludf.DUMMYFUNCTION("GOOGLETRANSLATE(A150, ""en"", ""id"")"),"149")</f>
        <v>149</v>
      </c>
      <c r="H150" s="5" t="str">
        <f>IFERROR(__xludf.DUMMYFUNCTION("GOOGLETRANSLATE(B150, ""en"", ""id"")"),"Jika seorang petarung memenangkan turnamen besar, apa status barunya di desa?")</f>
        <v>Jika seorang petarung memenangkan turnamen besar, apa status barunya di desa?</v>
      </c>
      <c r="I150" s="5" t="str">
        <f>IFERROR(__xludf.DUMMYFUNCTION("GOOGLETRANSLATE(C150, ""en"", ""id"")"),"A) Mereka menjadi kepala desa, B) Mereka dianggap sebagai pahlawan lokal dan prestise mereka meningkat secara signifikan, C) Mereka diharapkan untuk pensiun, D) Mereka harus memberikan hadiah uang mereka kepada masyarakat")</f>
        <v>A) Mereka menjadi kepala desa, B) Mereka dianggap sebagai pahlawan lokal dan prestise mereka meningkat secara signifikan, C) Mereka diharapkan untuk pensiun, D) Mereka harus memberikan hadiah uang mereka kepada masyarakat</v>
      </c>
      <c r="J150" s="5" t="str">
        <f>IFERROR(__xludf.DUMMYFUNCTION("GOOGLETRANSLATE(D150, ""en"", ""id"")"),"B) Mereka dianggap sebagai pahlawan lokal dan prestise mereka meningkat secara signifikan")</f>
        <v>B) Mereka dianggap sebagai pahlawan lokal dan prestise mereka meningkat secara signifikan</v>
      </c>
      <c r="K150" s="5" t="str">
        <f>IFERROR(__xludf.DUMMYFUNCTION("GOOGLETRANSLATE(E150, ""en"", ""id"")"),"Kemenangan mendatangkan kehormatan besar dan mengangkat status sosial sang pejuang di mata masyarakat Sasak.")</f>
        <v>Kemenangan mendatangkan kehormatan besar dan mengangkat status sosial sang pejuang di mata masyarakat Sasak.</v>
      </c>
    </row>
    <row r="151">
      <c r="A151" s="3">
        <v>150.0</v>
      </c>
      <c r="B151" s="4" t="s">
        <v>1193</v>
      </c>
      <c r="C151" s="6" t="s">
        <v>1194</v>
      </c>
      <c r="D151" s="4" t="s">
        <v>1195</v>
      </c>
      <c r="E151" s="4" t="s">
        <v>1196</v>
      </c>
      <c r="G151" s="5" t="str">
        <f>IFERROR(__xludf.DUMMYFUNCTION("GOOGLETRANSLATE(A151, ""en"", ""id"")"),"150")</f>
        <v>150</v>
      </c>
      <c r="H151" s="5" t="str">
        <f>IFERROR(__xludf.DUMMYFUNCTION("GOOGLETRANSLATE(B151, ""en"", ""id"")"),"Di akhir pertandingan lima ronde, skornya 4-3. Siapa pemenangnya?")</f>
        <v>Di akhir pertandingan lima ronde, skornya 4-3. Siapa pemenangnya?</v>
      </c>
      <c r="I151" s="5" t="str">
        <f>IFERROR(__xludf.DUMMYFUNCTION("GOOGLETRANSLATE(C151, ""en"", ""id"")"),"A) Petarung dengan 4 poin, B) Petarung dengan 3 poin, C) Seri, D) Mereka harus bertarung satu ronde lagi")</f>
        <v>A) Petarung dengan 4 poin, B) Petarung dengan 3 poin, C) Seri, D) Mereka harus bertarung satu ronde lagi</v>
      </c>
      <c r="J151" s="5" t="str">
        <f>IFERROR(__xludf.DUMMYFUNCTION("GOOGLETRANSLATE(D151, ""en"", ""id"")"),"A) Petarung dengan 4 poin")</f>
        <v>A) Petarung dengan 4 poin</v>
      </c>
      <c r="K151" s="5" t="str">
        <f>IFERROR(__xludf.DUMMYFUNCTION("GOOGLETRANSLATE(E151, ""en"", ""id"")"),"Pemenangnya adalah petarung yang berhasil mengumpulkan poin terbanyak selama seluruh ronde.")</f>
        <v>Pemenangnya adalah petarung yang berhasil mengumpulkan poin terbanyak selama seluruh ronde.</v>
      </c>
    </row>
    <row r="152">
      <c r="A152" s="3">
        <v>151.0</v>
      </c>
      <c r="B152" s="4" t="s">
        <v>1197</v>
      </c>
      <c r="C152" s="7" t="s">
        <v>1198</v>
      </c>
      <c r="D152" s="4" t="s">
        <v>1199</v>
      </c>
      <c r="E152" s="4" t="s">
        <v>1200</v>
      </c>
      <c r="G152" s="5" t="str">
        <f>IFERROR(__xludf.DUMMYFUNCTION("GOOGLETRANSLATE(A152, ""en"", ""id"")"),"151")</f>
        <v>151</v>
      </c>
      <c r="H152" s="5" t="str">
        <f>IFERROR(__xludf.DUMMYFUNCTION("GOOGLETRANSLATE(B152, ""en"", ""id"")"),"Pemain A berayun dengan benar, tetapi rotan menyentuh tanah sebelum mendarat. Apa yang terjadi?")</f>
        <v>Pemain A berayun dengan benar, tetapi rotan menyentuh tanah sebelum mendarat. Apa yang terjadi?</v>
      </c>
      <c r="I152" s="5" t="str">
        <f>IFERROR(__xludf.DUMMYFUNCTION("GOOGLETRANSLATE(C152, ""en"", ""id"")"),"A) A mendapat skor B) Tidak ada poin C) Ulangan D) Hukuman Pemain A")</f>
        <v>A) A mendapat skor B) Tidak ada poin C) Ulangan D) Hukuman Pemain A</v>
      </c>
      <c r="J152" s="5" t="str">
        <f>IFERROR(__xludf.DUMMYFUNCTION("GOOGLETRANSLATE(D152, ""en"", ""id"")"),"B) Tidak ada gunanya")</f>
        <v>B) Tidak ada gunanya</v>
      </c>
      <c r="K152" s="5" t="str">
        <f>IFERROR(__xludf.DUMMYFUNCTION("GOOGLETRANSLATE(E152, ""en"", ""id"")"),"Kontak dengan tanah membatalkan serangan.")</f>
        <v>Kontak dengan tanah membatalkan serangan.</v>
      </c>
    </row>
    <row r="153">
      <c r="A153" s="3">
        <v>152.0</v>
      </c>
      <c r="B153" s="4" t="s">
        <v>1201</v>
      </c>
      <c r="C153" s="7" t="s">
        <v>1202</v>
      </c>
      <c r="D153" s="4" t="s">
        <v>1203</v>
      </c>
      <c r="E153" s="4" t="s">
        <v>1204</v>
      </c>
      <c r="G153" s="5" t="str">
        <f>IFERROR(__xludf.DUMMYFUNCTION("GOOGLETRANSLATE(A153, ""en"", ""id"")"),"152")</f>
        <v>152</v>
      </c>
      <c r="H153" s="5" t="str">
        <f>IFERROR(__xludf.DUMMYFUNCTION("GOOGLETRANSLATE(B153, ""en"", ""id"")"),"Pemain B menghindar dan membalas dengan serangan lengan. Apa hasilnya?")</f>
        <v>Pemain B menghindar dan membalas dengan serangan lengan. Apa hasilnya?</v>
      </c>
      <c r="I153" s="5" t="str">
        <f>IFERROR(__xludf.DUMMYFUNCTION("GOOGLETRANSLATE(C153, ""en"", ""id"")"),"A) Poin untuk Pemain A B) Poin untuk Pemain B C) Ulangan D) Keduanya")</f>
        <v>A) Poin untuk Pemain A B) Poin untuk Pemain B C) Ulangan D) Keduanya</v>
      </c>
      <c r="J153" s="5" t="str">
        <f>IFERROR(__xludf.DUMMYFUNCTION("GOOGLETRANSLATE(D153, ""en"", ""id"")"),"B) Poin untuk Pemain B")</f>
        <v>B) Poin untuk Pemain B</v>
      </c>
      <c r="K153" s="5" t="str">
        <f>IFERROR(__xludf.DUMMYFUNCTION("GOOGLETRANSLATE(E153, ""en"", ""id"")"),"Dodge + counterstrike diberi hadiah.")</f>
        <v>Dodge + counterstrike diberi hadiah.</v>
      </c>
    </row>
    <row r="154">
      <c r="A154" s="3">
        <v>153.0</v>
      </c>
      <c r="B154" s="4" t="s">
        <v>1205</v>
      </c>
      <c r="C154" s="7" t="s">
        <v>1206</v>
      </c>
      <c r="D154" s="4" t="s">
        <v>1207</v>
      </c>
      <c r="E154" s="4" t="s">
        <v>1208</v>
      </c>
      <c r="G154" s="5" t="str">
        <f>IFERROR(__xludf.DUMMYFUNCTION("GOOGLETRANSLATE(A154, ""en"", ""id"")"),"153")</f>
        <v>153</v>
      </c>
      <c r="H154" s="5" t="str">
        <f>IFERROR(__xludf.DUMMYFUNCTION("GOOGLETRANSLATE(B154, ""en"", ""id"")"),"Pemain A mendaratkan serangan torso, tetapi juga mengenai lutut Pemain B saat melakukan follow-through. Keputusan?")</f>
        <v>Pemain A mendaratkan serangan torso, tetapi juga mengenai lutut Pemain B saat melakukan follow-through. Keputusan?</v>
      </c>
      <c r="I154" s="5" t="str">
        <f>IFERROR(__xludf.DUMMYFUNCTION("GOOGLETRANSLATE(C154, ""en"", ""id"")"),"A) Poin untuk Pemain A B) Pelanggaran, tidak ada poin C) Ulangan D) Poin untuk Pemain B")</f>
        <v>A) Poin untuk Pemain A B) Pelanggaran, tidak ada poin C) Ulangan D) Poin untuk Pemain B</v>
      </c>
      <c r="J154" s="5" t="str">
        <f>IFERROR(__xludf.DUMMYFUNCTION("GOOGLETRANSLATE(D154, ""en"", ""id"")"),"B) Pelanggaran, tidak ada poin")</f>
        <v>B) Pelanggaran, tidak ada poin</v>
      </c>
      <c r="K154" s="5" t="str">
        <f>IFERROR(__xludf.DUMMYFUNCTION("GOOGLETRANSLATE(E154, ""en"", ""id"")"),"Kontak lutut yang ilegal membatalkan serangan.")</f>
        <v>Kontak lutut yang ilegal membatalkan serangan.</v>
      </c>
    </row>
    <row r="155">
      <c r="A155" s="3">
        <v>154.0</v>
      </c>
      <c r="B155" s="4" t="s">
        <v>1209</v>
      </c>
      <c r="C155" s="7" t="s">
        <v>1210</v>
      </c>
      <c r="D155" s="4" t="s">
        <v>1211</v>
      </c>
      <c r="E155" s="4" t="s">
        <v>1212</v>
      </c>
      <c r="G155" s="5" t="str">
        <f>IFERROR(__xludf.DUMMYFUNCTION("GOOGLETRANSLATE(A155, ""en"", ""id"")"),"154")</f>
        <v>154</v>
      </c>
      <c r="H155" s="5" t="str">
        <f>IFERROR(__xludf.DUMMYFUNCTION("GOOGLETRANSLATE(B155, ""en"", ""id"")"),"Pemain B mengelilingi ring menghindari semua serangan tetapi tidak pernah melakukan serangan balik. Apakah keputusan akhir?")</f>
        <v>Pemain B mengelilingi ring menghindari semua serangan tetapi tidak pernah melakukan serangan balik. Apakah keputusan akhir?</v>
      </c>
      <c r="I155" s="5" t="str">
        <f>IFERROR(__xludf.DUMMYFUNCTION("GOOGLETRANSLATE(C155, ""en"", ""id"")"),"A) Poin untuk Pemain B B) Poin untuk Pemain A C) Tidak ada skor D) Hukuman untuk Pemain B")</f>
        <v>A) Poin untuk Pemain B B) Poin untuk Pemain A C) Tidak ada skor D) Hukuman untuk Pemain B</v>
      </c>
      <c r="J155" s="5" t="str">
        <f>IFERROR(__xludf.DUMMYFUNCTION("GOOGLETRANSLATE(D155, ""en"", ""id"")"),"C) Tidak ada skor")</f>
        <v>C) Tidak ada skor</v>
      </c>
      <c r="K155" s="5" t="str">
        <f>IFERROR(__xludf.DUMMYFUNCTION("GOOGLETRANSLATE(E155, ""en"", ""id"")"),"Penghindaran saja tidak akan memberikan hasil.")</f>
        <v>Penghindaran saja tidak akan memberikan hasil.</v>
      </c>
    </row>
    <row r="156">
      <c r="A156" s="3">
        <v>155.0</v>
      </c>
      <c r="B156" s="4" t="s">
        <v>1213</v>
      </c>
      <c r="C156" s="7" t="s">
        <v>1214</v>
      </c>
      <c r="D156" s="4" t="s">
        <v>1215</v>
      </c>
      <c r="E156" s="4" t="s">
        <v>1216</v>
      </c>
      <c r="G156" s="5" t="str">
        <f>IFERROR(__xludf.DUMMYFUNCTION("GOOGLETRANSLATE(A156, ""en"", ""id"")"),"155")</f>
        <v>155</v>
      </c>
      <c r="H156" s="5" t="str">
        <f>IFERROR(__xludf.DUMMYFUNCTION("GOOGLETRANSLATE(B156, ""en"", ""id"")"),"Pemain A memukul lengan bawah Pemain B, menyebabkan B menjatuhkan perisainya. Keputusan?")</f>
        <v>Pemain A memukul lengan bawah Pemain B, menyebabkan B menjatuhkan perisainya. Keputusan?</v>
      </c>
      <c r="I156" s="5" t="str">
        <f>IFERROR(__xludf.DUMMYFUNCTION("GOOGLETRANSLATE(C156, ""en"", ""id"")"),"A) Poin untuk Pemain A B) Poin untuk Pemain B C) Ulangan D) Hukuman untuk Pemain B")</f>
        <v>A) Poin untuk Pemain A B) Poin untuk Pemain B C) Ulangan D) Hukuman untuk Pemain B</v>
      </c>
      <c r="J156" s="5" t="str">
        <f>IFERROR(__xludf.DUMMYFUNCTION("GOOGLETRANSLATE(D156, ""en"", ""id"")"),"A) Poin untuk Pemain A")</f>
        <v>A) Poin untuk Pemain A</v>
      </c>
      <c r="K156" s="5" t="str">
        <f>IFERROR(__xludf.DUMMYFUNCTION("GOOGLETRANSLATE(E156, ""en"", ""id"")"),"Melepaskan perisai setelah serangan hukum mengakui poin tersebut.")</f>
        <v>Melepaskan perisai setelah serangan hukum mengakui poin tersebut.</v>
      </c>
    </row>
    <row r="157">
      <c r="A157" s="3">
        <v>156.0</v>
      </c>
      <c r="B157" s="4" t="s">
        <v>1217</v>
      </c>
      <c r="C157" s="7" t="s">
        <v>1218</v>
      </c>
      <c r="D157" s="4" t="s">
        <v>1219</v>
      </c>
      <c r="E157" s="4" t="s">
        <v>1220</v>
      </c>
      <c r="G157" s="5" t="str">
        <f>IFERROR(__xludf.DUMMYFUNCTION("GOOGLETRANSLATE(A157, ""en"", ""id"")"),"156")</f>
        <v>156</v>
      </c>
      <c r="H157" s="5" t="str">
        <f>IFERROR(__xludf.DUMMYFUNCTION("GOOGLETRANSLATE(B157, ""en"", ""id"")"),"Pemain B mendaratkan pukulan ke dada, tetapi wasit melihat kontak yang terlalu kuat. Bagaimana hasilnya?")</f>
        <v>Pemain B mendaratkan pukulan ke dada, tetapi wasit melihat kontak yang terlalu kuat. Bagaimana hasilnya?</v>
      </c>
      <c r="I157" s="5" t="str">
        <f>IFERROR(__xludf.DUMMYFUNCTION("GOOGLETRANSLATE(C157, ""en"", ""id"")"),"A) Titik B B) Batalkan titik + peringatan C) Putar ulang D) Titik A")</f>
        <v>A) Titik B B) Batalkan titik + peringatan C) Putar ulang D) Titik A</v>
      </c>
      <c r="J157" s="5" t="str">
        <f>IFERROR(__xludf.DUMMYFUNCTION("GOOGLETRANSLATE(D157, ""en"", ""id"")"),"B) Batalkan poin + peringatan")</f>
        <v>B) Batalkan poin + peringatan</v>
      </c>
      <c r="K157" s="5" t="str">
        <f>IFERROR(__xludf.DUMMYFUNCTION("GOOGLETRANSLATE(E157, ""en"", ""id"")"),"Penggunaan kekuatan yang berlebihan akan dikenakan sanksi.")</f>
        <v>Penggunaan kekuatan yang berlebihan akan dikenakan sanksi.</v>
      </c>
    </row>
    <row r="158">
      <c r="A158" s="3">
        <v>157.0</v>
      </c>
      <c r="B158" s="4" t="s">
        <v>1221</v>
      </c>
      <c r="C158" s="7" t="s">
        <v>1222</v>
      </c>
      <c r="D158" s="4" t="s">
        <v>1223</v>
      </c>
      <c r="E158" s="4" t="s">
        <v>1224</v>
      </c>
      <c r="G158" s="5" t="str">
        <f>IFERROR(__xludf.DUMMYFUNCTION("GOOGLETRANSLATE(A158, ""en"", ""id"")"),"157")</f>
        <v>157</v>
      </c>
      <c r="H158" s="5" t="str">
        <f>IFERROR(__xludf.DUMMYFUNCTION("GOOGLETRANSLATE(B158, ""en"", ""id"")"),"Pemain A menepuk badan Pemain B, tetapi B mengaku ""terlalu lemah"". Keputusan wasit?")</f>
        <v>Pemain A menepuk badan Pemain B, tetapi B mengaku "terlalu lemah". Keputusan wasit?</v>
      </c>
      <c r="I158" s="5" t="str">
        <f>IFERROR(__xludf.DUMMYFUNCTION("GOOGLETRANSLATE(C158, ""en"", ""id"")"),"A) Poin A B) Tidak ada poin C) Ulangan D) Hukuman B")</f>
        <v>A) Poin A B) Tidak ada poin C) Ulangan D) Hukuman B</v>
      </c>
      <c r="J158" s="5" t="str">
        <f>IFERROR(__xludf.DUMMYFUNCTION("GOOGLETRANSLATE(D158, ""en"", ""id"")"),"A) Titik A")</f>
        <v>A) Titik A</v>
      </c>
      <c r="K158" s="5" t="str">
        <f>IFERROR(__xludf.DUMMYFUNCTION("GOOGLETRANSLATE(E158, ""en"", ""id"")"),"Kekuatan tidak menjadi masalah jika dilakukan kontak hukum.")</f>
        <v>Kekuatan tidak menjadi masalah jika dilakukan kontak hukum.</v>
      </c>
    </row>
    <row r="159">
      <c r="A159" s="3">
        <v>158.0</v>
      </c>
      <c r="B159" s="4" t="s">
        <v>1225</v>
      </c>
      <c r="C159" s="7" t="s">
        <v>1226</v>
      </c>
      <c r="D159" s="4" t="s">
        <v>1227</v>
      </c>
      <c r="E159" s="4" t="s">
        <v>1228</v>
      </c>
      <c r="G159" s="5" t="str">
        <f>IFERROR(__xludf.DUMMYFUNCTION("GOOGLETRANSLATE(A159, ""en"", ""id"")"),"158")</f>
        <v>158</v>
      </c>
      <c r="H159" s="5" t="str">
        <f>IFERROR(__xludf.DUMMYFUNCTION("GOOGLETRANSLATE(B159, ""en"", ""id"")"),"Pemain B memukul badan Pemain A setelah kedua posisi reset. Valid?")</f>
        <v>Pemain B memukul badan Pemain A setelah kedua posisi reset. Valid?</v>
      </c>
      <c r="I159" s="5" t="str">
        <f>IFERROR(__xludf.DUMMYFUNCTION("GOOGLETRANSLATE(C159, ""en"", ""id"")"),"A) Ya, B mendapat skor B) Tidak C) Ulangan D) Hukuman B")</f>
        <v>A) Ya, B mendapat skor B) Tidak C) Ulangan D) Hukuman B</v>
      </c>
      <c r="J159" s="5" t="str">
        <f>IFERROR(__xludf.DUMMYFUNCTION("GOOGLETRANSLATE(D159, ""en"", ""id"")"),"A) Ya, skor B")</f>
        <v>A) Ya, skor B</v>
      </c>
      <c r="K159" s="5" t="str">
        <f>IFERROR(__xludf.DUMMYFUNCTION("GOOGLETRANSLATE(E159, ""en"", ""id"")"),"Pemogokan setelah sinyal reset adalah sah.")</f>
        <v>Pemogokan setelah sinyal reset adalah sah.</v>
      </c>
    </row>
    <row r="160">
      <c r="A160" s="3">
        <v>159.0</v>
      </c>
      <c r="B160" s="4" t="s">
        <v>1229</v>
      </c>
      <c r="C160" s="7" t="s">
        <v>1230</v>
      </c>
      <c r="D160" s="4" t="s">
        <v>1231</v>
      </c>
      <c r="E160" s="4" t="s">
        <v>1232</v>
      </c>
      <c r="G160" s="5" t="str">
        <f>IFERROR(__xludf.DUMMYFUNCTION("GOOGLETRANSLATE(A160, ""en"", ""id"")"),"159")</f>
        <v>159</v>
      </c>
      <c r="H160" s="5" t="str">
        <f>IFERROR(__xludf.DUMMYFUNCTION("GOOGLETRANSLATE(B160, ""en"", ""id"")"),"Pemain A menjatuhkan tongkat di tengah ayunan. Apa hasilnya?")</f>
        <v>Pemain A menjatuhkan tongkat di tengah ayunan. Apa hasilnya?</v>
      </c>
      <c r="I160" s="5" t="str">
        <f>IFERROR(__xludf.DUMMYFUNCTION("GOOGLETRANSLATE(C160, ""en"", ""id"")"),"A) Titik A B) Titik B C) Ulangan D) Hukuman keduanya")</f>
        <v>A) Titik A B) Titik B C) Ulangan D) Hukuman keduanya</v>
      </c>
      <c r="J160" s="5" t="str">
        <f>IFERROR(__xludf.DUMMYFUNCTION("GOOGLETRANSLATE(D160, ""en"", ""id"")"),"B) Titik B")</f>
        <v>B) Titik B</v>
      </c>
      <c r="K160" s="5" t="str">
        <f>IFERROR(__xludf.DUMMYFUNCTION("GOOGLETRANSLATE(E160, ""en"", ""id"")"),"Menjatuhkan senjata berarti mengakui poin tersebut.")</f>
        <v>Menjatuhkan senjata berarti mengakui poin tersebut.</v>
      </c>
    </row>
    <row r="161">
      <c r="A161" s="3">
        <v>160.0</v>
      </c>
      <c r="B161" s="4" t="s">
        <v>1233</v>
      </c>
      <c r="C161" s="7" t="s">
        <v>1234</v>
      </c>
      <c r="D161" s="4" t="s">
        <v>1235</v>
      </c>
      <c r="E161" s="4" t="s">
        <v>1236</v>
      </c>
      <c r="G161" s="5" t="str">
        <f>IFERROR(__xludf.DUMMYFUNCTION("GOOGLETRANSLATE(A161, ""en"", ""id"")"),"160")</f>
        <v>160</v>
      </c>
      <c r="H161" s="5" t="str">
        <f>IFERROR(__xludf.DUMMYFUNCTION("GOOGLETRANSLATE(B161, ""en"", ""id"")"),"Pemain B mendaratkan serangan torso sementara Pemain A berbalik. Apa yang terjadi?")</f>
        <v>Pemain B mendaratkan serangan torso sementara Pemain A berbalik. Apa yang terjadi?</v>
      </c>
      <c r="I161" s="5" t="str">
        <f>IFERROR(__xludf.DUMMYFUNCTION("GOOGLETRANSLATE(C161, ""en"", ""id"")"),"A) Titik B B) Titik A C) Ulangan D) Hukuman keduanya")</f>
        <v>A) Titik B B) Titik A C) Ulangan D) Hukuman keduanya</v>
      </c>
      <c r="J161" s="5" t="str">
        <f>IFERROR(__xludf.DUMMYFUNCTION("GOOGLETRANSLATE(D161, ""en"", ""id"")"),"A) Titik B")</f>
        <v>A) Titik B</v>
      </c>
      <c r="K161" s="5" t="str">
        <f>IFERROR(__xludf.DUMMYFUNCTION("GOOGLETRANSLATE(E161, ""en"", ""id"")"),"Menoleh tidak membatalkan serangan yang sah.")</f>
        <v>Menoleh tidak membatalkan serangan yang sah.</v>
      </c>
    </row>
    <row r="162">
      <c r="A162" s="3">
        <v>161.0</v>
      </c>
      <c r="B162" s="4" t="s">
        <v>1237</v>
      </c>
      <c r="C162" s="7" t="s">
        <v>1238</v>
      </c>
      <c r="D162" s="4" t="s">
        <v>1223</v>
      </c>
      <c r="E162" s="4" t="s">
        <v>1239</v>
      </c>
      <c r="G162" s="5" t="str">
        <f>IFERROR(__xludf.DUMMYFUNCTION("GOOGLETRANSLATE(A162, ""en"", ""id"")"),"161")</f>
        <v>161</v>
      </c>
      <c r="H162" s="5" t="str">
        <f>IFERROR(__xludf.DUMMYFUNCTION("GOOGLETRANSLATE(B162, ""en"", ""id"")"),"Pemain A menyerang dada Pemain B setelah ada celah. Keputusan?")</f>
        <v>Pemain A menyerang dada Pemain B setelah ada celah. Keputusan?</v>
      </c>
      <c r="I162" s="5" t="str">
        <f>IFERROR(__xludf.DUMMYFUNCTION("GOOGLETRANSLATE(C162, ""en"", ""id"")"),"A) Titik A B) Titik B C) Ulangan D) Hukuman A")</f>
        <v>A) Titik A B) Titik B C) Ulangan D) Hukuman A</v>
      </c>
      <c r="J162" s="5" t="str">
        <f>IFERROR(__xludf.DUMMYFUNCTION("GOOGLETRANSLATE(D162, ""en"", ""id"")"),"A) Titik A")</f>
        <v>A) Titik A</v>
      </c>
      <c r="K162" s="5" t="str">
        <f>IFERROR(__xludf.DUMMYFUNCTION("GOOGLETRANSLATE(E162, ""en"", ""id"")"),"Skor serangan dada yang bersih.")</f>
        <v>Skor serangan dada yang bersih.</v>
      </c>
    </row>
    <row r="163">
      <c r="A163" s="3">
        <v>162.0</v>
      </c>
      <c r="B163" s="4" t="s">
        <v>1240</v>
      </c>
      <c r="C163" s="7" t="s">
        <v>1241</v>
      </c>
      <c r="D163" s="4" t="s">
        <v>1242</v>
      </c>
      <c r="E163" s="4" t="s">
        <v>1243</v>
      </c>
      <c r="G163" s="5" t="str">
        <f>IFERROR(__xludf.DUMMYFUNCTION("GOOGLETRANSLATE(A163, ""en"", ""id"")"),"162")</f>
        <v>162</v>
      </c>
      <c r="H163" s="5" t="str">
        <f>IFERROR(__xludf.DUMMYFUNCTION("GOOGLETRANSLATE(B163, ""en"", ""id"")"),"Pemain B mengayun melebar dan tanpa sengaja mengenai kepala Pemain A. Apa hasilnya?")</f>
        <v>Pemain B mengayun melebar dan tanpa sengaja mengenai kepala Pemain A. Apa hasilnya?</v>
      </c>
      <c r="I163" s="5" t="str">
        <f>IFERROR(__xludf.DUMMYFUNCTION("GOOGLETRANSLATE(C163, ""en"", ""id"")"),"A) Poin B B) Pelanggaran terhadap B C) Ulangan D) Tidak ada poin")</f>
        <v>A) Poin B B) Pelanggaran terhadap B C) Ulangan D) Tidak ada poin</v>
      </c>
      <c r="J163" s="5" t="str">
        <f>IFERROR(__xludf.DUMMYFUNCTION("GOOGLETRANSLATE(D163, ""en"", ""id"")"),"B) Pelanggaran terhadap B")</f>
        <v>B) Pelanggaran terhadap B</v>
      </c>
      <c r="K163" s="5" t="str">
        <f>IFERROR(__xludf.DUMMYFUNCTION("GOOGLETRANSLATE(E163, ""en"", ""id"")"),"Kontak kepala selalu ilegal.")</f>
        <v>Kontak kepala selalu ilegal.</v>
      </c>
    </row>
    <row r="164">
      <c r="A164" s="3">
        <v>163.0</v>
      </c>
      <c r="B164" s="4" t="s">
        <v>1244</v>
      </c>
      <c r="C164" s="7" t="s">
        <v>1245</v>
      </c>
      <c r="D164" s="4" t="s">
        <v>1235</v>
      </c>
      <c r="E164" s="4" t="s">
        <v>1246</v>
      </c>
      <c r="G164" s="5" t="str">
        <f>IFERROR(__xludf.DUMMYFUNCTION("GOOGLETRANSLATE(A164, ""en"", ""id"")"),"163")</f>
        <v>163</v>
      </c>
      <c r="H164" s="5" t="str">
        <f>IFERROR(__xludf.DUMMYFUNCTION("GOOGLETRANSLATE(B164, ""en"", ""id"")"),"Pemain A kehilangan pegangan perisai dan terkena pukulan. Apa hasilnya?")</f>
        <v>Pemain A kehilangan pegangan perisai dan terkena pukulan. Apa hasilnya?</v>
      </c>
      <c r="I164" s="5" t="str">
        <f>IFERROR(__xludf.DUMMYFUNCTION("GOOGLETRANSLATE(C164, ""en"", ""id"")"),"A) Titik B B) Titik A C) Ulangi D) Tidak ada titik")</f>
        <v>A) Titik B B) Titik A C) Ulangi D) Tidak ada titik</v>
      </c>
      <c r="J164" s="5" t="str">
        <f>IFERROR(__xludf.DUMMYFUNCTION("GOOGLETRANSLATE(D164, ""en"", ""id"")"),"A) Titik B")</f>
        <v>A) Titik B</v>
      </c>
      <c r="K164" s="5" t="str">
        <f>IFERROR(__xludf.DUMMYFUNCTION("GOOGLETRANSLATE(E164, ""en"", ""id"")"),"Lawan mendapat skor jika perisai hilang dan serangan mengenai sasaran.")</f>
        <v>Lawan mendapat skor jika perisai hilang dan serangan mengenai sasaran.</v>
      </c>
    </row>
    <row r="165">
      <c r="A165" s="3">
        <v>164.0</v>
      </c>
      <c r="B165" s="4" t="s">
        <v>1247</v>
      </c>
      <c r="C165" s="7" t="s">
        <v>1248</v>
      </c>
      <c r="D165" s="4" t="s">
        <v>1249</v>
      </c>
      <c r="E165" s="4" t="s">
        <v>1250</v>
      </c>
      <c r="G165" s="5" t="str">
        <f>IFERROR(__xludf.DUMMYFUNCTION("GOOGLETRANSLATE(A165, ""en"", ""id"")"),"164")</f>
        <v>164</v>
      </c>
      <c r="H165" s="5" t="str">
        <f>IFERROR(__xludf.DUMMYFUNCTION("GOOGLETRANSLATE(B165, ""en"", ""id"")"),"Pemain B mendaratkan serangan torso tetapi pada saat yang sama melangkah keluar. Siapa yang mencetak skor?")</f>
        <v>Pemain B mendaratkan serangan torso tetapi pada saat yang sama melangkah keluar. Siapa yang mencetak skor?</v>
      </c>
      <c r="I165" s="5" t="str">
        <f>IFERROR(__xludf.DUMMYFUNCTION("GOOGLETRANSLATE(C165, ""en"", ""id"")"),"A) Pemain B B) Pemain A C) Ulangan D) Keduanya dihukum")</f>
        <v>A) Pemain B B) Pemain A C) Ulangan D) Keduanya dihukum</v>
      </c>
      <c r="J165" s="5" t="str">
        <f>IFERROR(__xludf.DUMMYFUNCTION("GOOGLETRANSLATE(D165, ""en"", ""id"")"),"B) Pemain A")</f>
        <v>B) Pemain A</v>
      </c>
      <c r="K165" s="5" t="str">
        <f>IFERROR(__xludf.DUMMYFUNCTION("GOOGLETRANSLATE(E165, ""en"", ""id"")"),"Sesar batas membatalkan serangan.")</f>
        <v>Sesar batas membatalkan serangan.</v>
      </c>
    </row>
    <row r="166">
      <c r="A166" s="3">
        <v>165.0</v>
      </c>
      <c r="B166" s="4" t="s">
        <v>1251</v>
      </c>
      <c r="C166" s="7" t="s">
        <v>1252</v>
      </c>
      <c r="D166" s="4" t="s">
        <v>1223</v>
      </c>
      <c r="E166" s="4" t="s">
        <v>1253</v>
      </c>
      <c r="G166" s="5" t="str">
        <f>IFERROR(__xludf.DUMMYFUNCTION("GOOGLETRANSLATE(A166, ""en"", ""id"")"),"165")</f>
        <v>165</v>
      </c>
      <c r="H166" s="5" t="str">
        <f>IFERROR(__xludf.DUMMYFUNCTION("GOOGLETRANSLATE(B166, ""en"", ""id"")"),"Pemain A melancarkan serangan bahu sambil seimbang. Keputusan?")</f>
        <v>Pemain A melancarkan serangan bahu sambil seimbang. Keputusan?</v>
      </c>
      <c r="I166" s="5" t="str">
        <f>IFERROR(__xludf.DUMMYFUNCTION("GOOGLETRANSLATE(C166, ""en"", ""id"")"),"A) Titik A B) Titik B C) Ulangan D) Tidak ada poin")</f>
        <v>A) Titik A B) Titik B C) Ulangan D) Tidak ada poin</v>
      </c>
      <c r="J166" s="5" t="str">
        <f>IFERROR(__xludf.DUMMYFUNCTION("GOOGLETRANSLATE(D166, ""en"", ""id"")"),"A) Titik A")</f>
        <v>A) Titik A</v>
      </c>
      <c r="K166" s="5" t="str">
        <f>IFERROR(__xludf.DUMMYFUNCTION("GOOGLETRANSLATE(E166, ""en"", ""id"")"),"Serangan bahu di atas pinggang adalah sah.")</f>
        <v>Serangan bahu di atas pinggang adalah sah.</v>
      </c>
    </row>
    <row r="167">
      <c r="A167" s="3">
        <v>166.0</v>
      </c>
      <c r="B167" s="4" t="s">
        <v>1254</v>
      </c>
      <c r="C167" s="7" t="s">
        <v>1255</v>
      </c>
      <c r="D167" s="4" t="s">
        <v>1235</v>
      </c>
      <c r="E167" s="4" t="s">
        <v>1256</v>
      </c>
      <c r="G167" s="5" t="str">
        <f>IFERROR(__xludf.DUMMYFUNCTION("GOOGLETRANSLATE(A167, ""en"", ""id"")"),"166")</f>
        <v>166</v>
      </c>
      <c r="H167" s="5" t="str">
        <f>IFERROR(__xludf.DUMMYFUNCTION("GOOGLETRANSLATE(B167, ""en"", ""id"")"),"Pemain B menyerang dada Pemain A dengan ujung pantatnya saat langkah mundur. Keputusan?")</f>
        <v>Pemain B menyerang dada Pemain A dengan ujung pantatnya saat langkah mundur. Keputusan?</v>
      </c>
      <c r="I167" s="5" t="str">
        <f>IFERROR(__xludf.DUMMYFUNCTION("GOOGLETRANSLATE(C167, ""en"", ""id"")"),"A) Poin B B) Tidak ada skor C) Ulangan D) Hukuman B")</f>
        <v>A) Poin B B) Tidak ada skor C) Ulangan D) Hukuman B</v>
      </c>
      <c r="J167" s="5" t="str">
        <f>IFERROR(__xludf.DUMMYFUNCTION("GOOGLETRANSLATE(D167, ""en"", ""id"")"),"A) Titik B")</f>
        <v>A) Titik B</v>
      </c>
      <c r="K167" s="5" t="str">
        <f>IFERROR(__xludf.DUMMYFUNCTION("GOOGLETRANSLATE(E167, ""en"", ""id"")"),"Bagian mana pun dari rotan dapat dinilai di zona legal.")</f>
        <v>Bagian mana pun dari rotan dapat dinilai di zona legal.</v>
      </c>
    </row>
    <row r="168">
      <c r="A168" s="3">
        <v>167.0</v>
      </c>
      <c r="B168" s="4" t="s">
        <v>1257</v>
      </c>
      <c r="C168" s="7" t="s">
        <v>1258</v>
      </c>
      <c r="D168" s="4" t="s">
        <v>1223</v>
      </c>
      <c r="E168" s="4" t="s">
        <v>1259</v>
      </c>
      <c r="G168" s="5" t="str">
        <f>IFERROR(__xludf.DUMMYFUNCTION("GOOGLETRANSLATE(A168, ""en"", ""id"")"),"167")</f>
        <v>167</v>
      </c>
      <c r="H168" s="5" t="str">
        <f>IFERROR(__xludf.DUMMYFUNCTION("GOOGLETRANSLATE(B168, ""en"", ""id"")"),"Pemain A menangkap bagian luar siku Pemain B saat bergerak mundur. Hasilnya?")</f>
        <v>Pemain A menangkap bagian luar siku Pemain B saat bergerak mundur. Hasilnya?</v>
      </c>
      <c r="I168" s="5" t="str">
        <f>IFERROR(__xludf.DUMMYFUNCTION("GOOGLETRANSLATE(C168, ""en"", ""id"")"),"A) Titik A B) Titik B C) Ulangan D) Tidak ada skor")</f>
        <v>A) Titik A B) Titik B C) Ulangan D) Tidak ada skor</v>
      </c>
      <c r="J168" s="5" t="str">
        <f>IFERROR(__xludf.DUMMYFUNCTION("GOOGLETRANSLATE(D168, ""en"", ""id"")"),"A) Titik A")</f>
        <v>A) Titik A</v>
      </c>
      <c r="K168" s="5" t="str">
        <f>IFERROR(__xludf.DUMMYFUNCTION("GOOGLETRANSLATE(E168, ""en"", ""id"")"),"Kontak siku di atas pinggang sah adanya.")</f>
        <v>Kontak siku di atas pinggang sah adanya.</v>
      </c>
    </row>
    <row r="169">
      <c r="A169" s="3">
        <v>168.0</v>
      </c>
      <c r="B169" s="4" t="s">
        <v>1260</v>
      </c>
      <c r="C169" s="7" t="s">
        <v>1261</v>
      </c>
      <c r="D169" s="4" t="s">
        <v>1242</v>
      </c>
      <c r="E169" s="4" t="s">
        <v>1262</v>
      </c>
      <c r="G169" s="5" t="str">
        <f>IFERROR(__xludf.DUMMYFUNCTION("GOOGLETRANSLATE(A169, ""en"", ""id"")"),"168")</f>
        <v>168</v>
      </c>
      <c r="H169" s="5" t="str">
        <f>IFERROR(__xludf.DUMMYFUNCTION("GOOGLETRANSLATE(B169, ""en"", ""id"")"),"Setelah ""berhenti,"" Pemain B menepuk lengan A pelan karena bingung. Menguasai?")</f>
        <v>Setelah "berhenti," Pemain B menepuk lengan A pelan karena bingung. Menguasai?</v>
      </c>
      <c r="I169" s="5" t="str">
        <f>IFERROR(__xludf.DUMMYFUNCTION("GOOGLETRANSLATE(C169, ""en"", ""id"")"),"A) Titik B B) Pelanggaran terhadap B C) Ulangan D) Tidak ada tindakan")</f>
        <v>A) Titik B B) Pelanggaran terhadap B C) Ulangan D) Tidak ada tindakan</v>
      </c>
      <c r="J169" s="5" t="str">
        <f>IFERROR(__xludf.DUMMYFUNCTION("GOOGLETRANSLATE(D169, ""en"", ""id"")"),"B) Pelanggaran terhadap B")</f>
        <v>B) Pelanggaran terhadap B</v>
      </c>
      <c r="K169" s="5" t="str">
        <f>IFERROR(__xludf.DUMMYFUNCTION("GOOGLETRANSLATE(E169, ""en"", ""id"")"),"Setiap kontak pasca-berhenti merupakan pelanggaran.")</f>
        <v>Setiap kontak pasca-berhenti merupakan pelanggaran.</v>
      </c>
    </row>
    <row r="170">
      <c r="A170" s="3">
        <v>169.0</v>
      </c>
      <c r="B170" s="4" t="s">
        <v>1263</v>
      </c>
      <c r="C170" s="7" t="s">
        <v>1258</v>
      </c>
      <c r="D170" s="4" t="s">
        <v>1223</v>
      </c>
      <c r="E170" s="4" t="s">
        <v>1264</v>
      </c>
      <c r="G170" s="5" t="str">
        <f>IFERROR(__xludf.DUMMYFUNCTION("GOOGLETRANSLATE(A170, ""en"", ""id"")"),"169")</f>
        <v>169</v>
      </c>
      <c r="H170" s="5" t="str">
        <f>IFERROR(__xludf.DUMMYFUNCTION("GOOGLETRANSLATE(B170, ""en"", ""id"")"),"A mendaratkan sentuhan di badan; tongkat B terlempar keluar akibat benturan. Lalu apa?")</f>
        <v>A mendaratkan sentuhan di badan; tongkat B terlempar keluar akibat benturan. Lalu apa?</v>
      </c>
      <c r="I170" s="5" t="str">
        <f>IFERROR(__xludf.DUMMYFUNCTION("GOOGLETRANSLATE(C170, ""en"", ""id"")"),"A) Titik A B) Titik B C) Ulangan D) Tidak ada skor")</f>
        <v>A) Titik A B) Titik B C) Ulangan D) Tidak ada skor</v>
      </c>
      <c r="J170" s="5" t="str">
        <f>IFERROR(__xludf.DUMMYFUNCTION("GOOGLETRANSLATE(D170, ""en"", ""id"")"),"A) Titik A")</f>
        <v>A) Titik A</v>
      </c>
      <c r="K170" s="5" t="str">
        <f>IFERROR(__xludf.DUMMYFUNCTION("GOOGLETRANSLATE(E170, ""en"", ""id"")"),"Melucuti senjata setelah sentuhan hukum mengonfirmasi skor.")</f>
        <v>Melucuti senjata setelah sentuhan hukum mengonfirmasi skor.</v>
      </c>
    </row>
    <row r="171">
      <c r="A171" s="3">
        <v>170.0</v>
      </c>
      <c r="B171" s="4" t="s">
        <v>1265</v>
      </c>
      <c r="C171" s="7" t="s">
        <v>1266</v>
      </c>
      <c r="D171" s="4" t="s">
        <v>1223</v>
      </c>
      <c r="E171" s="4" t="s">
        <v>1267</v>
      </c>
      <c r="G171" s="5" t="str">
        <f>IFERROR(__xludf.DUMMYFUNCTION("GOOGLETRANSLATE(A171, ""en"", ""id"")"),"170")</f>
        <v>170</v>
      </c>
      <c r="H171" s="5" t="str">
        <f>IFERROR(__xludf.DUMMYFUNCTION("GOOGLETRANSLATE(B171, ""en"", ""id"")"),"B jatuh ke tanah tanpa kontak apa pun. Keputusan?")</f>
        <v>B jatuh ke tanah tanpa kontak apa pun. Keputusan?</v>
      </c>
      <c r="I171" s="5" t="str">
        <f>IFERROR(__xludf.DUMMYFUNCTION("GOOGLETRANSLATE(C171, ""en"", ""id"")"),"A) Titik A B) Titik B C) Ulangan D) Peringatan saja")</f>
        <v>A) Titik A B) Titik B C) Ulangan D) Peringatan saja</v>
      </c>
      <c r="J171" s="5" t="str">
        <f>IFERROR(__xludf.DUMMYFUNCTION("GOOGLETRANSLATE(D171, ""en"", ""id"")"),"A) Titik A")</f>
        <v>A) Titik A</v>
      </c>
      <c r="K171" s="5" t="str">
        <f>IFERROR(__xludf.DUMMYFUNCTION("GOOGLETRANSLATE(E171, ""en"", ""id"")"),"Kesalahan yang tidak dipaksakan mengakibatkan poin hilang.")</f>
        <v>Kesalahan yang tidak dipaksakan mengakibatkan poin hilang.</v>
      </c>
    </row>
    <row r="172">
      <c r="A172" s="3">
        <v>171.0</v>
      </c>
      <c r="B172" s="4" t="s">
        <v>1268</v>
      </c>
      <c r="C172" s="7" t="s">
        <v>1269</v>
      </c>
      <c r="D172" s="4" t="s">
        <v>1199</v>
      </c>
      <c r="E172" s="4" t="s">
        <v>1270</v>
      </c>
      <c r="G172" s="5" t="str">
        <f>IFERROR(__xludf.DUMMYFUNCTION("GOOGLETRANSLATE(A172, ""en"", ""id"")"),"171")</f>
        <v>171</v>
      </c>
      <c r="H172" s="5" t="str">
        <f>IFERROR(__xludf.DUMMYFUNCTION("GOOGLETRANSLATE(B172, ""en"", ""id"")"),"Rotan A menyapu lantai tepat sebelum menyentuh tubuh B. Panggil?")</f>
        <v>Rotan A menyapu lantai tepat sebelum menyentuh tubuh B. Panggil?</v>
      </c>
      <c r="I172" s="5" t="str">
        <f>IFERROR(__xludf.DUMMYFUNCTION("GOOGLETRANSLATE(C172, ""en"", ""id"")"),"A) Poin A B) Tidak ada poin C) Ulangan D) Hukuman A")</f>
        <v>A) Poin A B) Tidak ada poin C) Ulangan D) Hukuman A</v>
      </c>
      <c r="J172" s="5" t="str">
        <f>IFERROR(__xludf.DUMMYFUNCTION("GOOGLETRANSLATE(D172, ""en"", ""id"")"),"B) Tidak ada gunanya")</f>
        <v>B) Tidak ada gunanya</v>
      </c>
      <c r="K172" s="5" t="str">
        <f>IFERROR(__xludf.DUMMYFUNCTION("GOOGLETRANSLATE(E172, ""en"", ""id"")"),"Kontak dengan tanah membatalkan serangan.")</f>
        <v>Kontak dengan tanah membatalkan serangan.</v>
      </c>
    </row>
    <row r="173">
      <c r="A173" s="3">
        <v>172.0</v>
      </c>
      <c r="B173" s="4" t="s">
        <v>1271</v>
      </c>
      <c r="C173" s="7" t="s">
        <v>1272</v>
      </c>
      <c r="D173" s="4" t="s">
        <v>1273</v>
      </c>
      <c r="E173" s="4" t="s">
        <v>1274</v>
      </c>
      <c r="G173" s="5" t="str">
        <f>IFERROR(__xludf.DUMMYFUNCTION("GOOGLETRANSLATE(A173, ""en"", ""id"")"),"172")</f>
        <v>172</v>
      </c>
      <c r="H173" s="5" t="str">
        <f>IFERROR(__xludf.DUMMYFUNCTION("GOOGLETRANSLATE(B173, ""en"", ""id"")"),"B melakukan ayunan dan mengenai lengan bawah A dengan bersih. Siapa yang akan mencetak angka?")</f>
        <v>B melakukan ayunan dan mengenai lengan bawah A dengan bersih. Siapa yang akan mencetak angka?</v>
      </c>
      <c r="I173" s="5" t="str">
        <f>IFERROR(__xludf.DUMMYFUNCTION("GOOGLETRANSLATE(C173, ""en"", ""id"")"),"A) Pemain A B) Pemain B C) Ulangan D) Tidak ada skor")</f>
        <v>A) Pemain A B) Pemain B C) Ulangan D) Tidak ada skor</v>
      </c>
      <c r="J173" s="5" t="str">
        <f>IFERROR(__xludf.DUMMYFUNCTION("GOOGLETRANSLATE(D173, ""en"", ""id"")"),"B) Pemain B")</f>
        <v>B) Pemain B</v>
      </c>
      <c r="K173" s="5" t="str">
        <f>IFERROR(__xludf.DUMMYFUNCTION("GOOGLETRANSLATE(E173, ""en"", ""id"")"),"Sentuhan lengan bawah yang sah dihitung sebagai poin.")</f>
        <v>Sentuhan lengan bawah yang sah dihitung sebagai poin.</v>
      </c>
    </row>
    <row r="174">
      <c r="A174" s="3">
        <v>173.0</v>
      </c>
      <c r="B174" s="4" t="s">
        <v>1275</v>
      </c>
      <c r="C174" s="7" t="s">
        <v>1276</v>
      </c>
      <c r="D174" s="4" t="s">
        <v>1277</v>
      </c>
      <c r="E174" s="4" t="s">
        <v>1278</v>
      </c>
      <c r="G174" s="5" t="str">
        <f>IFERROR(__xludf.DUMMYFUNCTION("GOOGLETRANSLATE(A174, ""en"", ""id"")"),"173")</f>
        <v>173</v>
      </c>
      <c r="H174" s="5" t="str">
        <f>IFERROR(__xludf.DUMMYFUNCTION("GOOGLETRANSLATE(B174, ""en"", ""id"")"),"Tindak lanjut A mengenai lutut B setelah tubuh bagian atasnya terkena pukulan. Putusan?")</f>
        <v>Tindak lanjut A mengenai lutut B setelah tubuh bagian atasnya terkena pukulan. Putusan?</v>
      </c>
      <c r="I174" s="5" t="str">
        <f>IFERROR(__xludf.DUMMYFUNCTION("GOOGLETRANSLATE(C174, ""en"", ""id"")"),"A) Poin A B) Pelanggaran—tidak ada poin C) Ulangan D) Poin B")</f>
        <v>A) Poin A B) Pelanggaran—tidak ada poin C) Ulangan D) Poin B</v>
      </c>
      <c r="J174" s="5" t="str">
        <f>IFERROR(__xludf.DUMMYFUNCTION("GOOGLETRANSLATE(D174, ""en"", ""id"")"),"B) Pelanggaran—tidak ada gunanya")</f>
        <v>B) Pelanggaran—tidak ada gunanya</v>
      </c>
      <c r="K174" s="5" t="str">
        <f>IFERROR(__xludf.DUMMYFUNCTION("GOOGLETRANSLATE(E174, ""en"", ""id"")"),"Setiap tindak lanjut yang ilegal akan membatalkan pertukaran.")</f>
        <v>Setiap tindak lanjut yang ilegal akan membatalkan pertukaran.</v>
      </c>
    </row>
    <row r="175">
      <c r="A175" s="3">
        <v>174.0</v>
      </c>
      <c r="B175" s="4" t="s">
        <v>1279</v>
      </c>
      <c r="C175" s="7" t="s">
        <v>1280</v>
      </c>
      <c r="D175" s="4" t="s">
        <v>1211</v>
      </c>
      <c r="E175" s="4" t="s">
        <v>1212</v>
      </c>
      <c r="G175" s="5" t="str">
        <f>IFERROR(__xludf.DUMMYFUNCTION("GOOGLETRANSLATE(A175, ""en"", ""id"")"),"174")</f>
        <v>174</v>
      </c>
      <c r="H175" s="5" t="str">
        <f>IFERROR(__xludf.DUMMYFUNCTION("GOOGLETRANSLATE(B175, ""en"", ""id"")"),"Lingkaran B mengelak sepanjang pertukaran dan tidak pernah membalas. Keputusan?")</f>
        <v>Lingkaran B mengelak sepanjang pertukaran dan tidak pernah membalas. Keputusan?</v>
      </c>
      <c r="I175" s="5" t="str">
        <f>IFERROR(__xludf.DUMMYFUNCTION("GOOGLETRANSLATE(C175, ""en"", ""id"")"),"A) Poin B B) Poin A C) Tidak ada skor D) Hukuman B")</f>
        <v>A) Poin B B) Poin A C) Tidak ada skor D) Hukuman B</v>
      </c>
      <c r="J175" s="5" t="str">
        <f>IFERROR(__xludf.DUMMYFUNCTION("GOOGLETRANSLATE(D175, ""en"", ""id"")"),"C) Tidak ada skor")</f>
        <v>C) Tidak ada skor</v>
      </c>
      <c r="K175" s="5" t="str">
        <f>IFERROR(__xludf.DUMMYFUNCTION("GOOGLETRANSLATE(E175, ""en"", ""id"")"),"Penghindaran saja tidak akan memberikan hasil.")</f>
        <v>Penghindaran saja tidak akan memberikan hasil.</v>
      </c>
    </row>
    <row r="176">
      <c r="A176" s="3">
        <v>175.0</v>
      </c>
      <c r="B176" s="4" t="s">
        <v>1281</v>
      </c>
      <c r="C176" s="7" t="s">
        <v>1266</v>
      </c>
      <c r="D176" s="4" t="s">
        <v>1223</v>
      </c>
      <c r="E176" s="4" t="s">
        <v>1282</v>
      </c>
      <c r="G176" s="5" t="str">
        <f>IFERROR(__xludf.DUMMYFUNCTION("GOOGLETRANSLATE(A176, ""en"", ""id"")"),"175")</f>
        <v>175</v>
      </c>
      <c r="H176" s="5" t="str">
        <f>IFERROR(__xludf.DUMMYFUNCTION("GOOGLETRANSLATE(B176, ""en"", ""id"")"),"A menepuk lengan B; B menjatuhkan perisainya dan mundur. Hasilnya?")</f>
        <v>A menepuk lengan B; B menjatuhkan perisainya dan mundur. Hasilnya?</v>
      </c>
      <c r="I176" s="5" t="str">
        <f>IFERROR(__xludf.DUMMYFUNCTION("GOOGLETRANSLATE(C176, ""en"", ""id"")"),"A) Titik A B) Titik B C) Ulangan D) Peringatan saja")</f>
        <v>A) Titik A B) Titik B C) Ulangan D) Peringatan saja</v>
      </c>
      <c r="J176" s="5" t="str">
        <f>IFERROR(__xludf.DUMMYFUNCTION("GOOGLETRANSLATE(D176, ""en"", ""id"")"),"A) Titik A")</f>
        <v>A) Titik A</v>
      </c>
      <c r="K176" s="5" t="str">
        <f>IFERROR(__xludf.DUMMYFUNCTION("GOOGLETRANSLATE(E176, ""en"", ""id"")"),"Menjatuhkan peralatan setelah sentuhan hukum berarti mengakui poin tersebut.")</f>
        <v>Menjatuhkan peralatan setelah sentuhan hukum berarti mengakui poin tersebut.</v>
      </c>
    </row>
    <row r="177">
      <c r="A177" s="3">
        <v>176.0</v>
      </c>
      <c r="B177" s="4" t="s">
        <v>1283</v>
      </c>
      <c r="C177" s="7" t="s">
        <v>1284</v>
      </c>
      <c r="D177" s="4" t="s">
        <v>1219</v>
      </c>
      <c r="E177" s="4" t="s">
        <v>1285</v>
      </c>
      <c r="G177" s="5" t="str">
        <f>IFERROR(__xludf.DUMMYFUNCTION("GOOGLETRANSLATE(A177, ""en"", ""id"")"),"176")</f>
        <v>176</v>
      </c>
      <c r="H177" s="5" t="str">
        <f>IFERROR(__xludf.DUMMYFUNCTION("GOOGLETRANSLATE(B177, ""en"", ""id"")"),"Pukulan dada B dinilai berlebihan oleh wasit. Apa selanjutnya?")</f>
        <v>Pukulan dada B dinilai berlebihan oleh wasit. Apa selanjutnya?</v>
      </c>
      <c r="I177" s="5" t="str">
        <f>IFERROR(__xludf.DUMMYFUNCTION("GOOGLETRANSLATE(C177, ""en"", ""id"")"),"A) Hitung itu B) Batalkan poin + peringatan C) Ulangi D) Berikan A poin")</f>
        <v>A) Hitung itu B) Batalkan poin + peringatan C) Ulangi D) Berikan A poin</v>
      </c>
      <c r="J177" s="5" t="str">
        <f>IFERROR(__xludf.DUMMYFUNCTION("GOOGLETRANSLATE(D177, ""en"", ""id"")"),"B) Batalkan poin + peringatan")</f>
        <v>B) Batalkan poin + peringatan</v>
      </c>
      <c r="K177" s="5" t="str">
        <f>IFERROR(__xludf.DUMMYFUNCTION("GOOGLETRANSLATE(E177, ""en"", ""id"")"),"Keselamatan mengesampingkan penilaian.")</f>
        <v>Keselamatan mengesampingkan penilaian.</v>
      </c>
    </row>
    <row r="178">
      <c r="A178" s="3">
        <v>177.0</v>
      </c>
      <c r="B178" s="4" t="s">
        <v>1286</v>
      </c>
      <c r="C178" s="7" t="s">
        <v>1287</v>
      </c>
      <c r="D178" s="4" t="s">
        <v>1223</v>
      </c>
      <c r="E178" s="4" t="s">
        <v>1288</v>
      </c>
      <c r="G178" s="5" t="str">
        <f>IFERROR(__xludf.DUMMYFUNCTION("GOOGLETRANSLATE(A178, ""en"", ""id"")"),"177")</f>
        <v>177</v>
      </c>
      <c r="H178" s="5" t="str">
        <f>IFERROR(__xludf.DUMMYFUNCTION("GOOGLETRANSLATE(B178, ""en"", ""id"")"),"Sentuhan tubuh A dibantah sebagai ""terlalu lembut"" oleh B. Keputusan?")</f>
        <v>Sentuhan tubuh A dibantah sebagai "terlalu lembut" oleh B. Keputusan?</v>
      </c>
      <c r="I178" s="5" t="str">
        <f>IFERROR(__xludf.DUMMYFUNCTION("GOOGLETRANSLATE(C178, ""en"", ""id"")"),"A) Poin A B) Tidak ada skor C) Ulangan D) Hukuman B")</f>
        <v>A) Poin A B) Tidak ada skor C) Ulangan D) Hukuman B</v>
      </c>
      <c r="J178" s="5" t="str">
        <f>IFERROR(__xludf.DUMMYFUNCTION("GOOGLETRANSLATE(D178, ""en"", ""id"")"),"A) Titik A")</f>
        <v>A) Titik A</v>
      </c>
      <c r="K178" s="5" t="str">
        <f>IFERROR(__xludf.DUMMYFUNCTION("GOOGLETRANSLATE(E178, ""en"", ""id"")"),"Kontak hukum yang terkendali sudah cukup.")</f>
        <v>Kontak hukum yang terkendali sudah cukup.</v>
      </c>
    </row>
    <row r="179">
      <c r="A179" s="3">
        <v>178.0</v>
      </c>
      <c r="B179" s="4" t="s">
        <v>1289</v>
      </c>
      <c r="C179" s="7" t="s">
        <v>1255</v>
      </c>
      <c r="D179" s="4" t="s">
        <v>1235</v>
      </c>
      <c r="E179" s="4" t="s">
        <v>1290</v>
      </c>
      <c r="G179" s="5" t="str">
        <f>IFERROR(__xludf.DUMMYFUNCTION("GOOGLETRANSLATE(A179, ""en"", ""id"")"),"178")</f>
        <v>178</v>
      </c>
      <c r="H179" s="5" t="str">
        <f>IFERROR(__xludf.DUMMYFUNCTION("GOOGLETRANSLATE(B179, ""en"", ""id"")"),"Setelah direset, B langsung menyentuh lengan atas A saat sinyal diberikan. Keputusan?")</f>
        <v>Setelah direset, B langsung menyentuh lengan atas A saat sinyal diberikan. Keputusan?</v>
      </c>
      <c r="I179" s="5" t="str">
        <f>IFERROR(__xludf.DUMMYFUNCTION("GOOGLETRANSLATE(C179, ""en"", ""id"")"),"A) Poin B B) Tidak ada skor C) Ulangan D) Hukuman B")</f>
        <v>A) Poin B B) Tidak ada skor C) Ulangan D) Hukuman B</v>
      </c>
      <c r="J179" s="5" t="str">
        <f>IFERROR(__xludf.DUMMYFUNCTION("GOOGLETRANSLATE(D179, ""en"", ""id"")"),"A) Titik B")</f>
        <v>A) Titik B</v>
      </c>
      <c r="K179" s="5" t="str">
        <f>IFERROR(__xludf.DUMMYFUNCTION("GOOGLETRANSLATE(E179, ""en"", ""id"")"),"Waktu yang sah ditambah wilayah yang sah sama dengan satu poin.")</f>
        <v>Waktu yang sah ditambah wilayah yang sah sama dengan satu poin.</v>
      </c>
    </row>
    <row r="180">
      <c r="A180" s="3">
        <v>179.0</v>
      </c>
      <c r="B180" s="4" t="s">
        <v>1291</v>
      </c>
      <c r="C180" s="7" t="s">
        <v>1266</v>
      </c>
      <c r="D180" s="4" t="s">
        <v>1231</v>
      </c>
      <c r="E180" s="4" t="s">
        <v>1232</v>
      </c>
      <c r="G180" s="5" t="str">
        <f>IFERROR(__xludf.DUMMYFUNCTION("GOOGLETRANSLATE(A180, ""en"", ""id"")"),"179")</f>
        <v>179</v>
      </c>
      <c r="H180" s="5" t="str">
        <f>IFERROR(__xludf.DUMMYFUNCTION("GOOGLETRANSLATE(B180, ""en"", ""id"")"),"A menjatuhkan rotan sebelum bersentuhan selama pertukaran. Apa yang terjadi?")</f>
        <v>A menjatuhkan rotan sebelum bersentuhan selama pertukaran. Apa yang terjadi?</v>
      </c>
      <c r="I180" s="5" t="str">
        <f>IFERROR(__xludf.DUMMYFUNCTION("GOOGLETRANSLATE(C180, ""en"", ""id"")"),"A) Titik A B) Titik B C) Ulangan D) Peringatan saja")</f>
        <v>A) Titik A B) Titik B C) Ulangan D) Peringatan saja</v>
      </c>
      <c r="J180" s="5" t="str">
        <f>IFERROR(__xludf.DUMMYFUNCTION("GOOGLETRANSLATE(D180, ""en"", ""id"")"),"B) Titik B")</f>
        <v>B) Titik B</v>
      </c>
      <c r="K180" s="5" t="str">
        <f>IFERROR(__xludf.DUMMYFUNCTION("GOOGLETRANSLATE(E180, ""en"", ""id"")"),"Menjatuhkan senjata berarti mengakui poin tersebut.")</f>
        <v>Menjatuhkan senjata berarti mengakui poin tersebut.</v>
      </c>
    </row>
    <row r="181">
      <c r="A181" s="3">
        <v>180.0</v>
      </c>
      <c r="B181" s="4" t="s">
        <v>1292</v>
      </c>
      <c r="C181" s="7" t="s">
        <v>1293</v>
      </c>
      <c r="D181" s="4" t="s">
        <v>1235</v>
      </c>
      <c r="E181" s="4" t="s">
        <v>1294</v>
      </c>
      <c r="G181" s="5" t="str">
        <f>IFERROR(__xludf.DUMMYFUNCTION("GOOGLETRANSLATE(A181, ""en"", ""id"")"),"180")</f>
        <v>180</v>
      </c>
      <c r="H181" s="5" t="str">
        <f>IFERROR(__xludf.DUMMYFUNCTION("GOOGLETRANSLATE(B181, ""en"", ""id"")"),"B menepuk dada A secara sah sementara A melirik hakim sudut. Putusan?")</f>
        <v>B menepuk dada A secara sah sementara A melirik hakim sudut. Putusan?</v>
      </c>
      <c r="I181" s="5" t="str">
        <f>IFERROR(__xludf.DUMMYFUNCTION("GOOGLETRANSLATE(C181, ""en"", ""id"")"),"A) Titik B B) Titik A C) Ulangan D) Tidak ada skor")</f>
        <v>A) Titik B B) Titik A C) Ulangan D) Tidak ada skor</v>
      </c>
      <c r="J181" s="5" t="str">
        <f>IFERROR(__xludf.DUMMYFUNCTION("GOOGLETRANSLATE(D181, ""en"", ""id"")"),"A) Titik B")</f>
        <v>A) Titik B</v>
      </c>
      <c r="K181" s="5" t="str">
        <f>IFERROR(__xludf.DUMMYFUNCTION("GOOGLETRANSLATE(E181, ""en"", ""id"")"),"Harus melindungi diri sendiri setiap saat.")</f>
        <v>Harus melindungi diri sendiri setiap saat.</v>
      </c>
    </row>
    <row r="182">
      <c r="A182" s="3">
        <v>181.0</v>
      </c>
      <c r="B182" s="4" t="s">
        <v>1295</v>
      </c>
      <c r="C182" s="7" t="s">
        <v>1258</v>
      </c>
      <c r="D182" s="4" t="s">
        <v>1223</v>
      </c>
      <c r="E182" s="4" t="s">
        <v>1296</v>
      </c>
      <c r="G182" s="5" t="str">
        <f>IFERROR(__xludf.DUMMYFUNCTION("GOOGLETRANSLATE(A182, ""en"", ""id"")"),"181")</f>
        <v>181</v>
      </c>
      <c r="H182" s="5" t="str">
        <f>IFERROR(__xludf.DUMMYFUNCTION("GOOGLETRANSLATE(B182, ""en"", ""id"")"),"Pemain A melakukan tipuan lalu menepuk bahu Pemain B dengan tepat saat B maju. Hasilnya?")</f>
        <v>Pemain A melakukan tipuan lalu menepuk bahu Pemain B dengan tepat saat B maju. Hasilnya?</v>
      </c>
      <c r="I182" s="5" t="str">
        <f>IFERROR(__xludf.DUMMYFUNCTION("GOOGLETRANSLATE(C182, ""en"", ""id"")"),"A) Titik A B) Titik B C) Ulangan D) Tidak ada skor")</f>
        <v>A) Titik A B) Titik B C) Ulangan D) Tidak ada skor</v>
      </c>
      <c r="J182" s="5" t="str">
        <f>IFERROR(__xludf.DUMMYFUNCTION("GOOGLETRANSLATE(D182, ""en"", ""id"")"),"A) Titik A")</f>
        <v>A) Titik A</v>
      </c>
      <c r="K182" s="5" t="str">
        <f>IFERROR(__xludf.DUMMYFUNCTION("GOOGLETRANSLATE(E182, ""en"", ""id"")"),"Kontak bahu yang bersih menjadi nilai tambah.")</f>
        <v>Kontak bahu yang bersih menjadi nilai tambah.</v>
      </c>
    </row>
    <row r="183">
      <c r="A183" s="3">
        <v>182.0</v>
      </c>
      <c r="B183" s="4" t="s">
        <v>1297</v>
      </c>
      <c r="C183" s="7" t="s">
        <v>1298</v>
      </c>
      <c r="D183" s="4" t="s">
        <v>1242</v>
      </c>
      <c r="E183" s="4" t="s">
        <v>1299</v>
      </c>
      <c r="G183" s="5" t="str">
        <f>IFERROR(__xludf.DUMMYFUNCTION("GOOGLETRANSLATE(A183, ""en"", ""id"")"),"182")</f>
        <v>182</v>
      </c>
      <c r="H183" s="5" t="str">
        <f>IFERROR(__xludf.DUMMYFUNCTION("GOOGLETRANSLATE(B183, ""en"", ""id"")"),"Ayunan pemain B hanya mengenai bagian atas kepala A meskipun memakai penutup kepala. Keputusan?")</f>
        <v>Ayunan pemain B hanya mengenai bagian atas kepala A meskipun memakai penutup kepala. Keputusan?</v>
      </c>
      <c r="I183" s="5" t="str">
        <f>IFERROR(__xludf.DUMMYFUNCTION("GOOGLETRANSLATE(C183, ""en"", ""id"")"),"A) Titik B B) Pelanggaran terhadap B C) Ulangan D) Tidak ada skor")</f>
        <v>A) Titik B B) Pelanggaran terhadap B C) Ulangan D) Tidak ada skor</v>
      </c>
      <c r="J183" s="5" t="str">
        <f>IFERROR(__xludf.DUMMYFUNCTION("GOOGLETRANSLATE(D183, ""en"", ""id"")"),"B) Pelanggaran terhadap B")</f>
        <v>B) Pelanggaran terhadap B</v>
      </c>
      <c r="K183" s="5" t="str">
        <f>IFERROR(__xludf.DUMMYFUNCTION("GOOGLETRANSLATE(E183, ""en"", ""id"")"),"Kontak kepala adalah ilegal bahkan dengan perlengkapan.")</f>
        <v>Kontak kepala adalah ilegal bahkan dengan perlengkapan.</v>
      </c>
    </row>
    <row r="184">
      <c r="A184" s="3">
        <v>183.0</v>
      </c>
      <c r="B184" s="4" t="s">
        <v>1300</v>
      </c>
      <c r="C184" s="7" t="s">
        <v>1301</v>
      </c>
      <c r="D184" s="4" t="s">
        <v>1235</v>
      </c>
      <c r="E184" s="4" t="s">
        <v>1302</v>
      </c>
      <c r="G184" s="5" t="str">
        <f>IFERROR(__xludf.DUMMYFUNCTION("GOOGLETRANSLATE(A184, ""en"", ""id"")"),"183")</f>
        <v>183</v>
      </c>
      <c r="H184" s="5" t="str">
        <f>IFERROR(__xludf.DUMMYFUNCTION("GOOGLETRANSLATE(B184, ""en"", ""id"")"),"Pemain A kehilangan perisai; Pemain B langsung mendaratkan pukulan dada sebelum berhenti. Keputusan?")</f>
        <v>Pemain A kehilangan perisai; Pemain B langsung mendaratkan pukulan dada sebelum berhenti. Keputusan?</v>
      </c>
      <c r="I184" s="5" t="str">
        <f>IFERROR(__xludf.DUMMYFUNCTION("GOOGLETRANSLATE(C184, ""en"", ""id"")"),"A) Poin B B) Ulangan C) Tidak ada skor D) Hukuman B")</f>
        <v>A) Poin B B) Ulangan C) Tidak ada skor D) Hukuman B</v>
      </c>
      <c r="J184" s="5" t="str">
        <f>IFERROR(__xludf.DUMMYFUNCTION("GOOGLETRANSLATE(D184, ""en"", ""id"")"),"A) Titik B")</f>
        <v>A) Titik B</v>
      </c>
      <c r="K184" s="5" t="str">
        <f>IFERROR(__xludf.DUMMYFUNCTION("GOOGLETRANSLATE(E184, ""en"", ""id"")"),"Aksi terus berlanjut hingga wasit berhenti.")</f>
        <v>Aksi terus berlanjut hingga wasit berhenti.</v>
      </c>
    </row>
    <row r="185">
      <c r="A185" s="3">
        <v>184.0</v>
      </c>
      <c r="B185" s="4" t="s">
        <v>1303</v>
      </c>
      <c r="C185" s="7" t="s">
        <v>1304</v>
      </c>
      <c r="D185" s="4" t="s">
        <v>1305</v>
      </c>
      <c r="E185" s="4" t="s">
        <v>1306</v>
      </c>
      <c r="G185" s="5" t="str">
        <f>IFERROR(__xludf.DUMMYFUNCTION("GOOGLETRANSLATE(A185, ""en"", ""id"")"),"184")</f>
        <v>184</v>
      </c>
      <c r="H185" s="5" t="str">
        <f>IFERROR(__xludf.DUMMYFUNCTION("GOOGLETRANSLATE(B185, ""en"", ""id"")"),"Sentuhan dada pemain B terjadi bersamaan dengan langkah batasnya. Siapa yang mendapat hadiah?")</f>
        <v>Sentuhan dada pemain B terjadi bersamaan dengan langkah batasnya. Siapa yang mendapat hadiah?</v>
      </c>
      <c r="I185" s="5" t="str">
        <f>IFERROR(__xludf.DUMMYFUNCTION("GOOGLETRANSLATE(C185, ""en"", ""id"")"),"A) B B) A C) Ulangan D) Tidak ada skor")</f>
        <v>A) B B) A C) Ulangan D) Tidak ada skor</v>
      </c>
      <c r="J185" s="5" t="str">
        <f>IFERROR(__xludf.DUMMYFUNCTION("GOOGLETRANSLATE(D185, ""en"", ""id"")"),"B) Sebuah")</f>
        <v>B) Sebuah</v>
      </c>
      <c r="K185" s="5" t="str">
        <f>IFERROR(__xludf.DUMMYFUNCTION("GOOGLETRANSLATE(E185, ""en"", ""id"")"),"Kesalahan batas membatalkan poin penyerang.")</f>
        <v>Kesalahan batas membatalkan poin penyerang.</v>
      </c>
    </row>
    <row r="186">
      <c r="A186" s="3">
        <v>185.0</v>
      </c>
      <c r="B186" s="4" t="s">
        <v>1307</v>
      </c>
      <c r="C186" s="7" t="s">
        <v>1258</v>
      </c>
      <c r="D186" s="4" t="s">
        <v>1223</v>
      </c>
      <c r="E186" s="4" t="s">
        <v>1308</v>
      </c>
      <c r="G186" s="5" t="str">
        <f>IFERROR(__xludf.DUMMYFUNCTION("GOOGLETRANSLATE(A186, ""en"", ""id"")"),"185")</f>
        <v>185</v>
      </c>
      <c r="H186" s="5" t="str">
        <f>IFERROR(__xludf.DUMMYFUNCTION("GOOGLETRANSLATE(B186, ""en"", ""id"")"),"Pemain A menyentuh lengan atas Pemain B dengan kontak terkendali sementara keduanya tetap tenang. Keputusan?")</f>
        <v>Pemain A menyentuh lengan atas Pemain B dengan kontak terkendali sementara keduanya tetap tenang. Keputusan?</v>
      </c>
      <c r="I186" s="5" t="str">
        <f>IFERROR(__xludf.DUMMYFUNCTION("GOOGLETRANSLATE(C186, ""en"", ""id"")"),"A) Titik A B) Titik B C) Ulangan D) Tidak ada skor")</f>
        <v>A) Titik A B) Titik B C) Ulangan D) Tidak ada skor</v>
      </c>
      <c r="J186" s="5" t="str">
        <f>IFERROR(__xludf.DUMMYFUNCTION("GOOGLETRANSLATE(D186, ""en"", ""id"")"),"A) Titik A")</f>
        <v>A) Titik A</v>
      </c>
      <c r="K186" s="5" t="str">
        <f>IFERROR(__xludf.DUMMYFUNCTION("GOOGLETRANSLATE(E186, ""en"", ""id"")"),"Lengan atas adalah target penilaian yang sah.")</f>
        <v>Lengan atas adalah target penilaian yang sah.</v>
      </c>
    </row>
    <row r="187">
      <c r="A187" s="3">
        <v>186.0</v>
      </c>
      <c r="B187" s="4" t="s">
        <v>1309</v>
      </c>
      <c r="C187" s="7" t="s">
        <v>1255</v>
      </c>
      <c r="D187" s="4" t="s">
        <v>1235</v>
      </c>
      <c r="E187" s="4" t="s">
        <v>1310</v>
      </c>
      <c r="G187" s="5" t="str">
        <f>IFERROR(__xludf.DUMMYFUNCTION("GOOGLETRANSLATE(A187, ""en"", ""id"")"),"186")</f>
        <v>186</v>
      </c>
      <c r="H187" s="5" t="str">
        <f>IFERROR(__xludf.DUMMYFUNCTION("GOOGLETRANSLATE(B187, ""en"", ""id"")"),"Pemain B menepuk dada Pemain A dengan ujung pantatnya sambil meluncur ke belakang. Keputusan?")</f>
        <v>Pemain B menepuk dada Pemain A dengan ujung pantatnya sambil meluncur ke belakang. Keputusan?</v>
      </c>
      <c r="I187" s="5" t="str">
        <f>IFERROR(__xludf.DUMMYFUNCTION("GOOGLETRANSLATE(C187, ""en"", ""id"")"),"A) Poin B B) Tidak ada skor C) Ulangan D) Hukuman B")</f>
        <v>A) Poin B B) Tidak ada skor C) Ulangan D) Hukuman B</v>
      </c>
      <c r="J187" s="5" t="str">
        <f>IFERROR(__xludf.DUMMYFUNCTION("GOOGLETRANSLATE(D187, ""en"", ""id"")"),"A) Titik B")</f>
        <v>A) Titik B</v>
      </c>
      <c r="K187" s="5" t="str">
        <f>IFERROR(__xludf.DUMMYFUNCTION("GOOGLETRANSLATE(E187, ""en"", ""id"")"),"Kontak ujung pantat sah apabila targetnya sah.")</f>
        <v>Kontak ujung pantat sah apabila targetnya sah.</v>
      </c>
    </row>
    <row r="188">
      <c r="A188" s="3">
        <v>187.0</v>
      </c>
      <c r="B188" s="4" t="s">
        <v>1311</v>
      </c>
      <c r="C188" s="7" t="s">
        <v>1258</v>
      </c>
      <c r="D188" s="4" t="s">
        <v>1223</v>
      </c>
      <c r="E188" s="4" t="s">
        <v>1312</v>
      </c>
      <c r="G188" s="5" t="str">
        <f>IFERROR(__xludf.DUMMYFUNCTION("GOOGLETRANSLATE(A188, ""en"", ""id"")"),"187")</f>
        <v>187</v>
      </c>
      <c r="H188" s="5" t="str">
        <f>IFERROR(__xludf.DUMMYFUNCTION("GOOGLETRANSLATE(B188, ""en"", ""id"")"),"Pukulan mundur pemain A mengenai ujung siku pemain B. Hasilnya?")</f>
        <v>Pukulan mundur pemain A mengenai ujung siku pemain B. Hasilnya?</v>
      </c>
      <c r="I188" s="5" t="str">
        <f>IFERROR(__xludf.DUMMYFUNCTION("GOOGLETRANSLATE(C188, ""en"", ""id"")"),"A) Titik A B) Titik B C) Ulangan D) Tidak ada skor")</f>
        <v>A) Titik A B) Titik B C) Ulangan D) Tidak ada skor</v>
      </c>
      <c r="J188" s="5" t="str">
        <f>IFERROR(__xludf.DUMMYFUNCTION("GOOGLETRANSLATE(D188, ""en"", ""id"")"),"A) Titik A")</f>
        <v>A) Titik A</v>
      </c>
      <c r="K188" s="5" t="str">
        <f>IFERROR(__xludf.DUMMYFUNCTION("GOOGLETRANSLATE(E188, ""en"", ""id"")"),"Serangan siku di atas pinggang adalah sah.")</f>
        <v>Serangan siku di atas pinggang adalah sah.</v>
      </c>
    </row>
    <row r="189">
      <c r="A189" s="3">
        <v>188.0</v>
      </c>
      <c r="B189" s="4" t="s">
        <v>1313</v>
      </c>
      <c r="C189" s="7" t="s">
        <v>1314</v>
      </c>
      <c r="D189" s="4" t="s">
        <v>1315</v>
      </c>
      <c r="E189" s="4" t="s">
        <v>1316</v>
      </c>
      <c r="G189" s="5" t="str">
        <f>IFERROR(__xludf.DUMMYFUNCTION("GOOGLETRANSLATE(A189, ""en"", ""id"")"),"188")</f>
        <v>188</v>
      </c>
      <c r="H189" s="5" t="str">
        <f>IFERROR(__xludf.DUMMYFUNCTION("GOOGLETRANSLATE(B189, ""en"", ""id"")"),"Setelah ""berhenti"", Pemain B secara refleks menepuk lengan A pelan. Apa yang harus dilakukan wasit?")</f>
        <v>Setelah "berhenti", Pemain B secara refleks menepuk lengan A pelan. Apa yang harus dilakukan wasit?</v>
      </c>
      <c r="I189" s="5" t="str">
        <f>IFERROR(__xludf.DUMMYFUNCTION("GOOGLETRANSLATE(C189, ""en"", ""id"")"),"A) Berikan B satu poin B) Berikan pelanggaran pada B C) Ulangi D) Abaikan saja")</f>
        <v>A) Berikan B satu poin B) Berikan pelanggaran pada B C) Ulangi D) Abaikan saja</v>
      </c>
      <c r="J189" s="5" t="str">
        <f>IFERROR(__xludf.DUMMYFUNCTION("GOOGLETRANSLATE(D189, ""en"", ""id"")"),"B) Memanggil pelanggaran pada B")</f>
        <v>B) Memanggil pelanggaran pada B</v>
      </c>
      <c r="K189" s="5" t="str">
        <f>IFERROR(__xludf.DUMMYFUNCTION("GOOGLETRANSLATE(E189, ""en"", ""id"")"),"Serangan apa pun setelah berhenti adalah pelanggaran.")</f>
        <v>Serangan apa pun setelah berhenti adalah pelanggaran.</v>
      </c>
    </row>
    <row r="190">
      <c r="A190" s="3">
        <v>189.0</v>
      </c>
      <c r="B190" s="4" t="s">
        <v>1317</v>
      </c>
      <c r="C190" s="7" t="s">
        <v>1258</v>
      </c>
      <c r="D190" s="4" t="s">
        <v>1223</v>
      </c>
      <c r="E190" s="4" t="s">
        <v>1318</v>
      </c>
      <c r="G190" s="5" t="str">
        <f>IFERROR(__xludf.DUMMYFUNCTION("GOOGLETRANSLATE(A190, ""en"", ""id"")"),"189")</f>
        <v>189</v>
      </c>
      <c r="H190" s="5" t="str">
        <f>IFERROR(__xludf.DUMMYFUNCTION("GOOGLETRANSLATE(B190, ""en"", ""id"")"),"Pukulan tubuh pemain A membuat tongkat B terlepas dari tangannya. Keputusan?")</f>
        <v>Pukulan tubuh pemain A membuat tongkat B terlepas dari tangannya. Keputusan?</v>
      </c>
      <c r="I190" s="5" t="str">
        <f>IFERROR(__xludf.DUMMYFUNCTION("GOOGLETRANSLATE(C190, ""en"", ""id"")"),"A) Titik A B) Titik B C) Ulangan D) Tidak ada skor")</f>
        <v>A) Titik A B) Titik B C) Ulangan D) Tidak ada skor</v>
      </c>
      <c r="J190" s="5" t="str">
        <f>IFERROR(__xludf.DUMMYFUNCTION("GOOGLETRANSLATE(D190, ""en"", ""id"")"),"A) Titik A")</f>
        <v>A) Titik A</v>
      </c>
      <c r="K190" s="5" t="str">
        <f>IFERROR(__xludf.DUMMYFUNCTION("GOOGLETRANSLATE(E190, ""en"", ""id"")"),"Melucuti senjata melalui kontak hukum mengamankan intinya.")</f>
        <v>Melucuti senjata melalui kontak hukum mengamankan intinya.</v>
      </c>
    </row>
    <row r="191">
      <c r="A191" s="3">
        <v>190.0</v>
      </c>
      <c r="B191" s="4" t="s">
        <v>1319</v>
      </c>
      <c r="C191" s="7" t="s">
        <v>1320</v>
      </c>
      <c r="D191" s="4" t="s">
        <v>1321</v>
      </c>
      <c r="E191" s="4" t="s">
        <v>1322</v>
      </c>
      <c r="G191" s="5" t="str">
        <f>IFERROR(__xludf.DUMMYFUNCTION("GOOGLETRANSLATE(A191, ""en"", ""id"")"),"190")</f>
        <v>190</v>
      </c>
      <c r="H191" s="5" t="str">
        <f>IFERROR(__xludf.DUMMYFUNCTION("GOOGLETRANSLATE(B191, ""en"", ""id"")"),"Pemain B tergelincir tanpa kontak; A tidak memukul. Apa hadiahnya?")</f>
        <v>Pemain B tergelincir tanpa kontak; A tidak memukul. Apa hadiahnya?</v>
      </c>
      <c r="I191" s="5" t="str">
        <f>IFERROR(__xludf.DUMMYFUNCTION("GOOGLETRANSLATE(C191, ""en"", ""id"")"),"A) Titik B B) Titik A C) Ulangan D) Peringatan saja")</f>
        <v>A) Titik B B) Titik A C) Ulangan D) Peringatan saja</v>
      </c>
      <c r="J191" s="5" t="str">
        <f>IFERROR(__xludf.DUMMYFUNCTION("GOOGLETRANSLATE(D191, ""en"", ""id"")"),"B) Titik A")</f>
        <v>B) Titik A</v>
      </c>
      <c r="K191" s="5" t="str">
        <f>IFERROR(__xludf.DUMMYFUNCTION("GOOGLETRANSLATE(E191, ""en"", ""id"")"),"Tergelincir/jatuh tanpa sebab yang jelas akan memberikan poin kepada lawan.")</f>
        <v>Tergelincir/jatuh tanpa sebab yang jelas akan memberikan poin kepada lawan.</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0.63"/>
    <col customWidth="1" min="5" max="5" width="37.63"/>
    <col customWidth="1" min="7" max="7" width="16.88"/>
    <col customWidth="1" min="8" max="11" width="37.63"/>
  </cols>
  <sheetData>
    <row r="1">
      <c r="A1" s="1" t="s">
        <v>0</v>
      </c>
      <c r="B1" s="1" t="s">
        <v>1</v>
      </c>
      <c r="C1" s="1" t="s">
        <v>2</v>
      </c>
      <c r="D1" s="1" t="s">
        <v>3</v>
      </c>
      <c r="E1" s="1" t="s">
        <v>4</v>
      </c>
      <c r="G1" s="2" t="s">
        <v>5</v>
      </c>
      <c r="H1" s="2" t="s">
        <v>6</v>
      </c>
      <c r="I1" s="2" t="s">
        <v>7</v>
      </c>
      <c r="J1" s="2" t="s">
        <v>8</v>
      </c>
      <c r="K1" s="2" t="s">
        <v>9</v>
      </c>
    </row>
    <row r="2">
      <c r="A2" s="3">
        <v>1.0</v>
      </c>
      <c r="B2" s="4" t="s">
        <v>1323</v>
      </c>
      <c r="C2" s="7" t="s">
        <v>1324</v>
      </c>
      <c r="D2" s="4" t="s">
        <v>1325</v>
      </c>
      <c r="E2" s="4" t="s">
        <v>1326</v>
      </c>
      <c r="G2" s="5" t="str">
        <f>IFERROR(__xludf.DUMMYFUNCTION("GOOGLETRANSLATE(A2, ""en"", ""id"")"),"1")</f>
        <v>1</v>
      </c>
      <c r="H2" s="5" t="str">
        <f>IFERROR(__xludf.DUMMYFUNCTION("GOOGLETRANSLATE(B2, ""en"", ""id"")"),"Pada pertandingan semifinal sepak takraw di Jakarta, apa keputusan wasit apabila servis Tim M terganggu oleh peluit penonton yang keras di tengah servis, sehingga menyebabkan servisnya gagal?")</f>
        <v>Pada pertandingan semifinal sepak takraw di Jakarta, apa keputusan wasit apabila servis Tim M terganggu oleh peluit penonton yang keras di tengah servis, sehingga menyebabkan servisnya gagal?</v>
      </c>
      <c r="I2" s="5" t="str">
        <f>IFERROR(__xludf.DUMMYFUNCTION("GOOGLETRANSLATE(C2, ""en"", ""id"")"),"A) Service salah, Tim N mendapat poin B) Ulangi poin C) Tim M mendapat kesempatan lagi untuk melakukan servis D) Wasit memperingatkan penonton tetapi tetap melanjutkan permainan")</f>
        <v>A) Service salah, Tim N mendapat poin B) Ulangi poin C) Tim M mendapat kesempatan lagi untuk melakukan servis D) Wasit memperingatkan penonton tetapi tetap melanjutkan permainan</v>
      </c>
      <c r="J2" s="5" t="str">
        <f>IFERROR(__xludf.DUMMYFUNCTION("GOOGLETRANSLATE(D2, ""en"", ""id"")"),"B) Putar ulang poinnya")</f>
        <v>B) Putar ulang poinnya</v>
      </c>
      <c r="K2" s="5" t="str">
        <f>IFERROR(__xludf.DUMMYFUNCTION("GOOGLETRANSLATE(E2, ""en"", ""id"")"),"Gangguan eksternal (seperti peluit atau kebisingan penonton) yang menyebabkan kekacauan akan menyebabkan pemutaran ulang poin tersebut.")</f>
        <v>Gangguan eksternal (seperti peluit atau kebisingan penonton) yang menyebabkan kekacauan akan menyebabkan pemutaran ulang poin tersebut.</v>
      </c>
    </row>
    <row r="3">
      <c r="A3" s="3">
        <v>2.0</v>
      </c>
      <c r="B3" s="4" t="s">
        <v>1327</v>
      </c>
      <c r="C3" s="7" t="s">
        <v>1328</v>
      </c>
      <c r="D3" s="4" t="s">
        <v>1329</v>
      </c>
      <c r="E3" s="4" t="s">
        <v>1330</v>
      </c>
      <c r="G3" s="5" t="str">
        <f>IFERROR(__xludf.DUMMYFUNCTION("GOOGLETRANSLATE(A3, ""en"", ""id"")"),"2")</f>
        <v>2</v>
      </c>
      <c r="H3" s="5" t="str">
        <f>IFERROR(__xludf.DUMMYFUNCTION("GOOGLETRANSLATE(B3, ""en"", ""id"")"),"Dalam pertandingan di Bandung, apa yang terjadi jika penyerang Tim A melakukan blok namun kausnya menyentuh gawang?")</f>
        <v>Dalam pertandingan di Bandung, apa yang terjadi jika penyerang Tim A melakukan blok namun kausnya menyentuh gawang?</v>
      </c>
      <c r="I3" s="5" t="str">
        <f>IFERROR(__xludf.DUMMYFUNCTION("GOOGLETRANSLATE(C3, ""en"", ""id"")"),"A) Permainan berlanjut B) Kesalahan oleh Tim A, poin untuk Tim B C) Ulangi poin D) Hanya peringatan")</f>
        <v>A) Permainan berlanjut B) Kesalahan oleh Tim A, poin untuk Tim B C) Ulangi poin D) Hanya peringatan</v>
      </c>
      <c r="J3" s="5" t="str">
        <f>IFERROR(__xludf.DUMMYFUNCTION("GOOGLETRANSLATE(D3, ""en"", ""id"")"),"B) Kesalahan Tim A, poin diberikan kepada Tim B")</f>
        <v>B) Kesalahan Tim A, poin diberikan kepada Tim B</v>
      </c>
      <c r="K3" s="5" t="str">
        <f>IFERROR(__xludf.DUMMYFUNCTION("GOOGLETRANSLATE(E3, ""en"", ""id"")"),"Segala kontak dengan jaring selama bermain, termasuk pakaian, merupakan kesalahan.")</f>
        <v>Segala kontak dengan jaring selama bermain, termasuk pakaian, merupakan kesalahan.</v>
      </c>
    </row>
    <row r="4">
      <c r="A4" s="3">
        <v>3.0</v>
      </c>
      <c r="B4" s="4" t="s">
        <v>1331</v>
      </c>
      <c r="C4" s="7" t="s">
        <v>1332</v>
      </c>
      <c r="D4" s="4" t="s">
        <v>1333</v>
      </c>
      <c r="E4" s="4" t="s">
        <v>1334</v>
      </c>
      <c r="G4" s="5" t="str">
        <f>IFERROR(__xludf.DUMMYFUNCTION("GOOGLETRANSLATE(A4, ""en"", ""id"")"),"3")</f>
        <v>3</v>
      </c>
      <c r="H4" s="5" t="str">
        <f>IFERROR(__xludf.DUMMYFUNCTION("GOOGLETRANSLATE(B4, ""en"", ""id"")"),"Dalam turnamen Solo, apa hukumnya jika pemblokir Tim X secara sah memblok spike tetapi momentumnya membawanya ke lapangan Tim Y tanpa menyentuh pemain lain?")</f>
        <v>Dalam turnamen Solo, apa hukumnya jika pemblokir Tim X secara sah memblok spike tetapi momentumnya membawanya ke lapangan Tim Y tanpa menyentuh pemain lain?</v>
      </c>
      <c r="I4" s="5" t="str">
        <f>IFERROR(__xludf.DUMMYFUNCTION("GOOGLETRANSLATE(C4, ""en"", ""id"")"),"A) Kesalahan pada Tim X B) Permainan berlanjut C) Ulangi poin D) Tim Y mendapat poin")</f>
        <v>A) Kesalahan pada Tim X B) Permainan berlanjut C) Ulangi poin D) Tim Y mendapat poin</v>
      </c>
      <c r="J4" s="5" t="str">
        <f>IFERROR(__xludf.DUMMYFUNCTION("GOOGLETRANSLATE(D4, ""en"", ""id"")"),"A) Kesalahan pada Tim X")</f>
        <v>A) Kesalahan pada Tim X</v>
      </c>
      <c r="K4" s="5" t="str">
        <f>IFERROR(__xludf.DUMMYFUNCTION("GOOGLETRANSLATE(E4, ""en"", ""id"")"),"Memasuki area lapangan lawan setelah melompat (bahkan tanpa kontak) adalah sebuah kesalahan.")</f>
        <v>Memasuki area lapangan lawan setelah melompat (bahkan tanpa kontak) adalah sebuah kesalahan.</v>
      </c>
    </row>
    <row r="5">
      <c r="A5" s="3">
        <v>4.0</v>
      </c>
      <c r="B5" s="4" t="s">
        <v>1335</v>
      </c>
      <c r="C5" s="7" t="s">
        <v>1336</v>
      </c>
      <c r="D5" s="4" t="s">
        <v>1337</v>
      </c>
      <c r="E5" s="4" t="s">
        <v>1338</v>
      </c>
      <c r="G5" s="5" t="str">
        <f>IFERROR(__xludf.DUMMYFUNCTION("GOOGLETRANSLATE(A5, ""en"", ""id"")"),"4")</f>
        <v>4</v>
      </c>
      <c r="H5" s="5" t="str">
        <f>IFERROR(__xludf.DUMMYFUNCTION("GOOGLETRANSLATE(B5, ""en"", ""id"")"),"Selama pertandingan dalam ruangan di Bali, apa yang terjadi jika pengembalian pertahanan Tim R mengenai langit-langit aula sebelum kembali ke lapangan mereka sendiri?")</f>
        <v>Selama pertandingan dalam ruangan di Bali, apa yang terjadi jika pengembalian pertahanan Tim R mengenai langit-langit aula sebelum kembali ke lapangan mereka sendiri?</v>
      </c>
      <c r="I5" s="5" t="str">
        <f>IFERROR(__xludf.DUMMYFUNCTION("GOOGLETRANSLATE(C5, ""en"", ""id"")"),"A) Tunjuk ke Tim R B) Ulangi poin C) Tunjuk ke Tim S D) Servis diulang")</f>
        <v>A) Tunjuk ke Tim R B) Ulangi poin C) Tunjuk ke Tim S D) Servis diulang</v>
      </c>
      <c r="J5" s="5" t="str">
        <f>IFERROR(__xludf.DUMMYFUNCTION("GOOGLETRANSLATE(D5, ""en"", ""id"")"),"C) Tunjuk ke Tim S")</f>
        <v>C) Tunjuk ke Tim S</v>
      </c>
      <c r="K5" s="5" t="str">
        <f>IFERROR(__xludf.DUMMYFUNCTION("GOOGLETRANSLATE(E5, ""en"", ""id"")"),"Jika bola menyentuh benda luar apa pun (misalnya langit-langit), bola keluar dan poin diberikan kepada lawan.")</f>
        <v>Jika bola menyentuh benda luar apa pun (misalnya langit-langit), bola keluar dan poin diberikan kepada lawan.</v>
      </c>
    </row>
    <row r="6">
      <c r="A6" s="3">
        <v>5.0</v>
      </c>
      <c r="B6" s="4" t="s">
        <v>1339</v>
      </c>
      <c r="C6" s="7" t="s">
        <v>1340</v>
      </c>
      <c r="D6" s="4" t="s">
        <v>1341</v>
      </c>
      <c r="E6" s="4" t="s">
        <v>1342</v>
      </c>
      <c r="G6" s="5" t="str">
        <f>IFERROR(__xludf.DUMMYFUNCTION("GOOGLETRANSLATE(A6, ""en"", ""id"")"),"5")</f>
        <v>5</v>
      </c>
      <c r="H6" s="5" t="str">
        <f>IFERROR(__xludf.DUMMYFUNCTION("GOOGLETRANSLATE(B6, ""en"", ""id"")"),"Dalam pertandingan di Surabaya, bagaimana hukumnya apabila pelaku servis dari Tim P meletakkan salah satu kakinya di luar lingkaran namun menyelesaikan servis secara sah?")</f>
        <v>Dalam pertandingan di Surabaya, bagaimana hukumnya apabila pelaku servis dari Tim P meletakkan salah satu kakinya di luar lingkaran namun menyelesaikan servis secara sah?</v>
      </c>
      <c r="I6" s="5" t="str">
        <f>IFERROR(__xludf.DUMMYFUNCTION("GOOGLETRANSLATE(C6, ""en"", ""id"")"),"A) Servis yang sah B) Ulangi poin C) Servis salah, poin untuk Tim Q D) Peringatan saja")</f>
        <v>A) Servis yang sah B) Ulangi poin C) Servis salah, poin untuk Tim Q D) Peringatan saja</v>
      </c>
      <c r="J6" s="5" t="str">
        <f>IFERROR(__xludf.DUMMYFUNCTION("GOOGLETRANSLATE(D6, ""en"", ""id"")"),"C) Kesalahan layanan, tunjuk Tim Q")</f>
        <v>C) Kesalahan layanan, tunjuk Tim Q</v>
      </c>
      <c r="K6" s="5" t="str">
        <f>IFERROR(__xludf.DUMMYFUNCTION("GOOGLETRANSLATE(E6, ""en"", ""id"")"),"Kedua kaki harus tetap berada di dalam lingkaran servis sampai bola diservis.")</f>
        <v>Kedua kaki harus tetap berada di dalam lingkaran servis sampai bola diservis.</v>
      </c>
    </row>
    <row r="7">
      <c r="A7" s="3">
        <v>6.0</v>
      </c>
      <c r="B7" s="4" t="s">
        <v>1343</v>
      </c>
      <c r="C7" s="7" t="s">
        <v>1344</v>
      </c>
      <c r="D7" s="4" t="s">
        <v>1345</v>
      </c>
      <c r="E7" s="4" t="s">
        <v>1346</v>
      </c>
      <c r="G7" s="5" t="str">
        <f>IFERROR(__xludf.DUMMYFUNCTION("GOOGLETRANSLATE(A7, ""en"", ""id"")"),"6")</f>
        <v>6</v>
      </c>
      <c r="H7" s="5" t="str">
        <f>IFERROR(__xludf.DUMMYFUNCTION("GOOGLETRANSLATE(B7, ""en"", ""id"")"),"Di Yogyakarta, apa keputusan yang diambil jika Tim A melakukan servis dan bola menyentuh tribun wasit sebelum memasuki lapangan Tim B?")</f>
        <v>Di Yogyakarta, apa keputusan yang diambil jika Tim A melakukan servis dan bola menyentuh tribun wasit sebelum memasuki lapangan Tim B?</v>
      </c>
      <c r="I7" s="5" t="str">
        <f>IFERROR(__xludf.DUMMYFUNCTION("GOOGLETRANSLATE(C7, ""en"", ""id"")"),"A) Tunjuk ke Tim A B) Tunjuk ke Tim B C) Ulangi poinnya D) Servis dianggap sah")</f>
        <v>A) Tunjuk ke Tim A B) Tunjuk ke Tim B C) Ulangi poinnya D) Servis dianggap sah</v>
      </c>
      <c r="J7" s="5" t="str">
        <f>IFERROR(__xludf.DUMMYFUNCTION("GOOGLETRANSLATE(D7, ""en"", ""id"")"),"B) Tunjuk ke Tim B")</f>
        <v>B) Tunjuk ke Tim B</v>
      </c>
      <c r="K7" s="5" t="str">
        <f>IFERROR(__xludf.DUMMYFUNCTION("GOOGLETRANSLATE(E7, ""en"", ""id"")"),"Bola yang menyentuh peralatan eksternal keluar, jadi tim bertahan mendapat poin.")</f>
        <v>Bola yang menyentuh peralatan eksternal keluar, jadi tim bertahan mendapat poin.</v>
      </c>
    </row>
    <row r="8">
      <c r="A8" s="3">
        <v>7.0</v>
      </c>
      <c r="B8" s="4" t="s">
        <v>1347</v>
      </c>
      <c r="C8" s="7" t="s">
        <v>1348</v>
      </c>
      <c r="D8" s="4" t="s">
        <v>1349</v>
      </c>
      <c r="E8" s="4" t="s">
        <v>1350</v>
      </c>
      <c r="G8" s="5" t="str">
        <f>IFERROR(__xludf.DUMMYFUNCTION("GOOGLETRANSLATE(A8, ""en"", ""id"")"),"7")</f>
        <v>7</v>
      </c>
      <c r="H8" s="5" t="str">
        <f>IFERROR(__xludf.DUMMYFUNCTION("GOOGLETRANSLATE(B8, ""en"", ""id"")"),"Dalam suatu pertandingan di Medan, apa yang akan diputuskan wasit apabila penyerang Tim S terkilir pergelangan kakinya di tengah reli dan menghentikan permainan?")</f>
        <v>Dalam suatu pertandingan di Medan, apa yang akan diputuskan wasit apabila penyerang Tim S terkilir pergelangan kakinya di tengah reli dan menghentikan permainan?</v>
      </c>
      <c r="I8" s="5" t="str">
        <f>IFERROR(__xludf.DUMMYFUNCTION("GOOGLETRANSLATE(C8, ""en"", ""id"")"),"A) Ulangi poinnya B) Tunjuk ke Tim T C) Tunda pertandingan tanpa batas waktu D) Berikan servis ke Tim S")</f>
        <v>A) Ulangi poinnya B) Tunjuk ke Tim T C) Tunda pertandingan tanpa batas waktu D) Berikan servis ke Tim S</v>
      </c>
      <c r="J8" s="5" t="str">
        <f>IFERROR(__xludf.DUMMYFUNCTION("GOOGLETRANSLATE(D8, ""en"", ""id"")"),"B) Tunjuk ke Tim T")</f>
        <v>B) Tunjuk ke Tim T</v>
      </c>
      <c r="K8" s="5" t="str">
        <f>IFERROR(__xludf.DUMMYFUNCTION("GOOGLETRANSLATE(E8, ""en"", ""id"")"),"Jika suatu tim menghentikan permainan tanpa gangguan eksternal, lawan diberi poin.")</f>
        <v>Jika suatu tim menghentikan permainan tanpa gangguan eksternal, lawan diberi poin.</v>
      </c>
    </row>
    <row r="9">
      <c r="A9" s="3">
        <v>8.0</v>
      </c>
      <c r="B9" s="4" t="s">
        <v>1351</v>
      </c>
      <c r="C9" s="7" t="s">
        <v>1352</v>
      </c>
      <c r="D9" s="4" t="s">
        <v>1353</v>
      </c>
      <c r="E9" s="4" t="s">
        <v>1354</v>
      </c>
      <c r="G9" s="5" t="str">
        <f>IFERROR(__xludf.DUMMYFUNCTION("GOOGLETRANSLATE(A9, ""en"", ""id"")"),"8")</f>
        <v>8</v>
      </c>
      <c r="H9" s="5" t="str">
        <f>IFERROR(__xludf.DUMMYFUNCTION("GOOGLETRANSLATE(B9, ""en"", ""id"")"),"Di final Jakarta, apa yang terjadi jika Tim C secara tidak sengaja mengganti pemain di tengah reli?")</f>
        <v>Di final Jakarta, apa yang terjadi jika Tim C secara tidak sengaja mengganti pemain di tengah reli?</v>
      </c>
      <c r="I9" s="5" t="str">
        <f>IFERROR(__xludf.DUMMYFUNCTION("GOOGLETRANSLATE(C9, ""en"", ""id"")"),"A) Tunjuk ke Tim D B) Ulangi poin C) Peringatan saja D) Tim C melanjutkan permainan")</f>
        <v>A) Tunjuk ke Tim D B) Ulangi poin C) Peringatan saja D) Tim C melanjutkan permainan</v>
      </c>
      <c r="J9" s="5" t="str">
        <f>IFERROR(__xludf.DUMMYFUNCTION("GOOGLETRANSLATE(D9, ""en"", ""id"")"),"A) Tunjuk ke Tim D")</f>
        <v>A) Tunjuk ke Tim D</v>
      </c>
      <c r="K9" s="5" t="str">
        <f>IFERROR(__xludf.DUMMYFUNCTION("GOOGLETRANSLATE(E9, ""en"", ""id"")"),"Pergantian pemain secara ilegal selama reli mengakibatkan kesalahan dan poin bagi lawan.")</f>
        <v>Pergantian pemain secara ilegal selama reli mengakibatkan kesalahan dan poin bagi lawan.</v>
      </c>
    </row>
    <row r="10">
      <c r="A10" s="3">
        <v>9.0</v>
      </c>
      <c r="B10" s="4" t="s">
        <v>1355</v>
      </c>
      <c r="C10" s="7" t="s">
        <v>1356</v>
      </c>
      <c r="D10" s="4" t="s">
        <v>1357</v>
      </c>
      <c r="E10" s="4" t="s">
        <v>1358</v>
      </c>
      <c r="G10" s="5" t="str">
        <f>IFERROR(__xludf.DUMMYFUNCTION("GOOGLETRANSLATE(A10, ""en"", ""id"")"),"9")</f>
        <v>9</v>
      </c>
      <c r="H10" s="5" t="str">
        <f>IFERROR(__xludf.DUMMYFUNCTION("GOOGLETRANSLATE(B10, ""en"", ""id"")"),"Di Makassar, apa hukumnya jika pemain Tim L membelokkan bola dengan bahunya dan bola tersebut masuk ke dalam lapangan Tim K?")</f>
        <v>Di Makassar, apa hukumnya jika pemain Tim L membelokkan bola dengan bahunya dan bola tersebut masuk ke dalam lapangan Tim K?</v>
      </c>
      <c r="I10" s="5" t="str">
        <f>IFERROR(__xludf.DUMMYFUNCTION("GOOGLETRANSLATE(C10, ""en"", ""id"")"),"A) Arahkan ke Tim L B) Arahkan ke Tim K C) Ulangi poinnya D) Peringatan untuk Tim L")</f>
        <v>A) Arahkan ke Tim L B) Arahkan ke Tim K C) Ulangi poinnya D) Peringatan untuk Tim L</v>
      </c>
      <c r="J10" s="5" t="str">
        <f>IFERROR(__xludf.DUMMYFUNCTION("GOOGLETRANSLATE(D10, ""en"", ""id"")"),"A) Tunjuk ke Tim L")</f>
        <v>A) Tunjuk ke Tim L</v>
      </c>
      <c r="K10" s="5" t="str">
        <f>IFERROR(__xludf.DUMMYFUNCTION("GOOGLETRANSLATE(E10, ""en"", ""id"")"),"Bagian tubuh apa pun kecuali tangan dan lengan sah dalam Sepak Takraw.")</f>
        <v>Bagian tubuh apa pun kecuali tangan dan lengan sah dalam Sepak Takraw.</v>
      </c>
    </row>
    <row r="11">
      <c r="A11" s="3">
        <v>10.0</v>
      </c>
      <c r="B11" s="4" t="s">
        <v>1359</v>
      </c>
      <c r="C11" s="7" t="s">
        <v>1360</v>
      </c>
      <c r="D11" s="4" t="s">
        <v>1361</v>
      </c>
      <c r="E11" s="4" t="s">
        <v>1362</v>
      </c>
      <c r="G11" s="5" t="str">
        <f>IFERROR(__xludf.DUMMYFUNCTION("GOOGLETRANSLATE(A11, ""en"", ""id"")"),"10")</f>
        <v>10</v>
      </c>
      <c r="H11" s="5" t="str">
        <f>IFERROR(__xludf.DUMMYFUNCTION("GOOGLETRANSLATE(B11, ""en"", ""id"")"),"Pada suatu turnamen outdoor di Bandung, apa tindakan standar penyelenggara apabila hujan deras menghentikan permainan pada skor 10-8 di set pertama?")</f>
        <v>Pada suatu turnamen outdoor di Bandung, apa tindakan standar penyelenggara apabila hujan deras menghentikan permainan pada skor 10-8 di set pertama?</v>
      </c>
      <c r="I11" s="5" t="str">
        <f>IFERROR(__xludf.DUMMYFUNCTION("GOOGLETRANSLATE(C11, ""en"", ""id"")"),"A) Batalkan pertandingan B) Ulangi seluruh set C) Lanjutkan dari skor yang sama setelah hujan D) Penghargaan diberikan kepada tim terdepan")</f>
        <v>A) Batalkan pertandingan B) Ulangi seluruh set C) Lanjutkan dari skor yang sama setelah hujan D) Penghargaan diberikan kepada tim terdepan</v>
      </c>
      <c r="J11" s="5" t="str">
        <f>IFERROR(__xludf.DUMMYFUNCTION("GOOGLETRANSLATE(D11, ""en"", ""id"")"),"C) Melanjutkan dari skor yang sama setelah hujan")</f>
        <v>C) Melanjutkan dari skor yang sama setelah hujan</v>
      </c>
      <c r="K11" s="5" t="str">
        <f>IFERROR(__xludf.DUMMYFUNCTION("GOOGLETRANSLATE(E11, ""en"", ""id"")"),"Pertandingan di luar ruangan dilanjutkan dari skor yang dihentikan sementara jika kondisi memungkinkan.")</f>
        <v>Pertandingan di luar ruangan dilanjutkan dari skor yang dihentikan sementara jika kondisi memungkinkan.</v>
      </c>
    </row>
    <row r="12">
      <c r="A12" s="3">
        <v>11.0</v>
      </c>
      <c r="B12" s="4" t="s">
        <v>1363</v>
      </c>
      <c r="C12" s="7" t="s">
        <v>1364</v>
      </c>
      <c r="D12" s="4" t="s">
        <v>1365</v>
      </c>
      <c r="E12" s="4" t="s">
        <v>1366</v>
      </c>
      <c r="G12" s="5" t="str">
        <f>IFERROR(__xludf.DUMMYFUNCTION("GOOGLETRANSLATE(A12, ""en"", ""id"")"),"11")</f>
        <v>11</v>
      </c>
      <c r="H12" s="5" t="str">
        <f>IFERROR(__xludf.DUMMYFUNCTION("GOOGLETRANSLATE(B12, ""en"", ""id"")"),"Di Lombok, apa yang seharusnya dilakukan wasit jika seorang penonton memasuki lapangan selama reli panjang?")</f>
        <v>Di Lombok, apa yang seharusnya dilakukan wasit jika seorang penonton memasuki lapangan selama reli panjang?</v>
      </c>
      <c r="I12" s="5" t="str">
        <f>IFERROR(__xludf.DUMMYFUNCTION("GOOGLETRANSLATE(C12, ""en"", ""id"")"),"A) Berikan poin pada Tim A B) Berikan poin pada Tim B C) Ulangi poinnya D) Hentikan pertandingan sepenuhnya")</f>
        <v>A) Berikan poin pada Tim A B) Berikan poin pada Tim B C) Ulangi poinnya D) Hentikan pertandingan sepenuhnya</v>
      </c>
      <c r="J12" s="5" t="str">
        <f>IFERROR(__xludf.DUMMYFUNCTION("GOOGLETRANSLATE(D12, ""en"", ""id"")"),"C) Putar ulang poinnya")</f>
        <v>C) Putar ulang poinnya</v>
      </c>
      <c r="K12" s="5" t="str">
        <f>IFERROR(__xludf.DUMMYFUNCTION("GOOGLETRANSLATE(E12, ""en"", ""id"")"),"Gangguan eksternal mengharuskan pemutaran ulang poin tersebut.")</f>
        <v>Gangguan eksternal mengharuskan pemutaran ulang poin tersebut.</v>
      </c>
    </row>
    <row r="13">
      <c r="A13" s="3">
        <v>12.0</v>
      </c>
      <c r="B13" s="4" t="s">
        <v>1367</v>
      </c>
      <c r="C13" s="7" t="s">
        <v>1368</v>
      </c>
      <c r="D13" s="4" t="s">
        <v>1369</v>
      </c>
      <c r="E13" s="4" t="s">
        <v>1370</v>
      </c>
      <c r="G13" s="5" t="str">
        <f>IFERROR(__xludf.DUMMYFUNCTION("GOOGLETRANSLATE(A13, ""en"", ""id"")"),"12")</f>
        <v>12</v>
      </c>
      <c r="H13" s="5" t="str">
        <f>IFERROR(__xludf.DUMMYFUNCTION("GOOGLETRANSLATE(B13, ""en"", ""id"")"),"Di Jawa Barat, apa hukumnya jika server melempar bola dua kali sebelum melakukan servis?")</f>
        <v>Di Jawa Barat, apa hukumnya jika server melempar bola dua kali sebelum melakukan servis?</v>
      </c>
      <c r="I13" s="5" t="str">
        <f>IFERROR(__xludf.DUMMYFUNCTION("GOOGLETRANSLATE(C13, ""en"", ""id"")"),"A) Diizinkan, servis berlanjut B) Servis salah, tunjuk lawan C) Servis ulang D) Hanya peringatan")</f>
        <v>A) Diizinkan, servis berlanjut B) Servis salah, tunjuk lawan C) Servis ulang D) Hanya peringatan</v>
      </c>
      <c r="J13" s="5" t="str">
        <f>IFERROR(__xludf.DUMMYFUNCTION("GOOGLETRANSLATE(D13, ""en"", ""id"")"),"B) Kesalahan servis, arahkan ke lawan")</f>
        <v>B) Kesalahan servis, arahkan ke lawan</v>
      </c>
      <c r="K13" s="5" t="str">
        <f>IFERROR(__xludf.DUMMYFUNCTION("GOOGLETRANSLATE(E13, ""en"", ""id"")"),"Hanya satu kali lemparan pada setiap percobaan servis yang diperbolehkan.")</f>
        <v>Hanya satu kali lemparan pada setiap percobaan servis yang diperbolehkan.</v>
      </c>
    </row>
    <row r="14">
      <c r="A14" s="3">
        <v>13.0</v>
      </c>
      <c r="B14" s="4" t="s">
        <v>1371</v>
      </c>
      <c r="C14" s="7" t="s">
        <v>1372</v>
      </c>
      <c r="D14" s="4" t="s">
        <v>1373</v>
      </c>
      <c r="E14" s="4" t="s">
        <v>1374</v>
      </c>
      <c r="G14" s="5" t="str">
        <f>IFERROR(__xludf.DUMMYFUNCTION("GOOGLETRANSLATE(A14, ""en"", ""id"")"),"13")</f>
        <v>13</v>
      </c>
      <c r="H14" s="5" t="str">
        <f>IFERROR(__xludf.DUMMYFUNCTION("GOOGLETRANSLATE(B14, ""en"", ""id"")"),"Di Jakarta, apa keputusannya jika bek Tim Z menggunakan lututnya dan kemudian langsung menggunakan kakinya untuk mengembalikan bola dalam satu gerakan?")</f>
        <v>Di Jakarta, apa keputusannya jika bek Tim Z menggunakan lututnya dan kemudian langsung menggunakan kakinya untuk mengembalikan bola dalam satu gerakan?</v>
      </c>
      <c r="I14" s="5" t="str">
        <f>IFERROR(__xludf.DUMMYFUNCTION("GOOGLETRANSLATE(C14, ""en"", ""id"")"),"A) Tunjuk ke Tim Z B) Kesalahan, tunjuk ke Tim Y C) Ulangi poinnya D) Hanya peringatan")</f>
        <v>A) Tunjuk ke Tim Z B) Kesalahan, tunjuk ke Tim Y C) Ulangi poinnya D) Hanya peringatan</v>
      </c>
      <c r="J14" s="5" t="str">
        <f>IFERROR(__xludf.DUMMYFUNCTION("GOOGLETRANSLATE(D14, ""en"", ""id"")"),"B) Kesalahan, arahkan ke Tim Y")</f>
        <v>B) Kesalahan, arahkan ke Tim Y</v>
      </c>
      <c r="K14" s="5" t="str">
        <f>IFERROR(__xludf.DUMMYFUNCTION("GOOGLETRANSLATE(E14, ""en"", ""id"")"),"Kontak ganda oleh pemain yang sama dalam satu percobaan tidak diperbolehkan.")</f>
        <v>Kontak ganda oleh pemain yang sama dalam satu percobaan tidak diperbolehkan.</v>
      </c>
    </row>
    <row r="15">
      <c r="A15" s="3">
        <v>14.0</v>
      </c>
      <c r="B15" s="4" t="s">
        <v>1375</v>
      </c>
      <c r="C15" s="7" t="s">
        <v>1376</v>
      </c>
      <c r="D15" s="4" t="s">
        <v>1377</v>
      </c>
      <c r="E15" s="4" t="s">
        <v>1378</v>
      </c>
      <c r="G15" s="5" t="str">
        <f>IFERROR(__xludf.DUMMYFUNCTION("GOOGLETRANSLATE(A15, ""en"", ""id"")"),"14")</f>
        <v>14</v>
      </c>
      <c r="H15" s="5" t="str">
        <f>IFERROR(__xludf.DUMMYFUNCTION("GOOGLETRANSLATE(B15, ""en"", ""id"")"),"Saat bertanding di Kalimantan, apa hukumnya jika Tim A melakukan spike, Tim B melakukan selebrasi karena mengira bola keluar, namun wasit tetap memutuskannya?")</f>
        <v>Saat bertanding di Kalimantan, apa hukumnya jika Tim A melakukan spike, Tim B melakukan selebrasi karena mengira bola keluar, namun wasit tetap memutuskannya?</v>
      </c>
      <c r="I15" s="5" t="str">
        <f>IFERROR(__xludf.DUMMYFUNCTION("GOOGLETRANSLATE(C15, ""en"", ""id"")"),"A) Ulangi poinnya B) Tunjuk ke Tim A C) Tunjuk ke Tim B D) Peringatan untuk Tim B")</f>
        <v>A) Ulangi poinnya B) Tunjuk ke Tim A C) Tunjuk ke Tim B D) Peringatan untuk Tim B</v>
      </c>
      <c r="J15" s="5" t="str">
        <f>IFERROR(__xludf.DUMMYFUNCTION("GOOGLETRANSLATE(D15, ""en"", ""id"")"),"B) Tunjuk ke Tim A")</f>
        <v>B) Tunjuk ke Tim A</v>
      </c>
      <c r="K15" s="5" t="str">
        <f>IFERROR(__xludf.DUMMYFUNCTION("GOOGLETRANSLATE(E15, ""en"", ""id"")"),"Garis merupakan bagian dari lapangan; keputusan wasit tetap berlaku, memberikan poin kepada Tim A.")</f>
        <v>Garis merupakan bagian dari lapangan; keputusan wasit tetap berlaku, memberikan poin kepada Tim A.</v>
      </c>
    </row>
    <row r="16">
      <c r="A16" s="3">
        <v>15.0</v>
      </c>
      <c r="B16" s="4" t="s">
        <v>1379</v>
      </c>
      <c r="C16" s="7" t="s">
        <v>1380</v>
      </c>
      <c r="D16" s="4" t="s">
        <v>1381</v>
      </c>
      <c r="E16" s="4" t="s">
        <v>1382</v>
      </c>
      <c r="G16" s="5" t="str">
        <f>IFERROR(__xludf.DUMMYFUNCTION("GOOGLETRANSLATE(A16, ""en"", ""id"")"),"15")</f>
        <v>15</v>
      </c>
      <c r="H16" s="5" t="str">
        <f>IFERROR(__xludf.DUMMYFUNCTION("GOOGLETRANSLATE(B16, ""en"", ""id"")"),"Dalam turnamen di Batam, apa keputusan wasit jika Tim R melakukan spike, bola menyentuh kaki blocker Tim S, lalu melayang keluar batas?")</f>
        <v>Dalam turnamen di Batam, apa keputusan wasit jika Tim R melakukan spike, bola menyentuh kaki blocker Tim S, lalu melayang keluar batas?</v>
      </c>
      <c r="I16" s="5" t="str">
        <f>IFERROR(__xludf.DUMMYFUNCTION("GOOGLETRANSLATE(C16, ""en"", ""id"")"),"A) Tunjuk ke Tim R B) Tunjuk ke Tim S C) Ulangi poinnya D) Servis diberikan ke Tim S")</f>
        <v>A) Tunjuk ke Tim R B) Tunjuk ke Tim S C) Ulangi poinnya D) Servis diberikan ke Tim S</v>
      </c>
      <c r="J16" s="5" t="str">
        <f>IFERROR(__xludf.DUMMYFUNCTION("GOOGLETRANSLATE(D16, ""en"", ""id"")"),"A) Tunjuk ke Tim R")</f>
        <v>A) Tunjuk ke Tim R</v>
      </c>
      <c r="K16" s="5" t="str">
        <f>IFERROR(__xludf.DUMMYFUNCTION("GOOGLETRANSLATE(E16, ""en"", ""id"")"),"Jika pemain bertahan menyentuh bola dan bola keluar, penyerang mendapat poin.")</f>
        <v>Jika pemain bertahan menyentuh bola dan bola keluar, penyerang mendapat poin.</v>
      </c>
    </row>
    <row r="17">
      <c r="A17" s="3">
        <v>16.0</v>
      </c>
      <c r="B17" s="4" t="s">
        <v>1383</v>
      </c>
      <c r="C17" s="7" t="s">
        <v>1384</v>
      </c>
      <c r="D17" s="4" t="s">
        <v>1385</v>
      </c>
      <c r="E17" s="4" t="s">
        <v>1386</v>
      </c>
      <c r="G17" s="5" t="str">
        <f>IFERROR(__xludf.DUMMYFUNCTION("GOOGLETRANSLATE(A17, ""en"", ""id"")"),"16")</f>
        <v>16</v>
      </c>
      <c r="H17" s="5" t="str">
        <f>IFERROR(__xludf.DUMMYFUNCTION("GOOGLETRANSLATE(B17, ""en"", ""id"")"),"Di Jakarta, apa yang dilakukan wasit jika Tim F meminta time out pada kedudukan 8-8 tetapi sudah menggunakan satu-satunya time out yang mereka miliki pada set tersebut?")</f>
        <v>Di Jakarta, apa yang dilakukan wasit jika Tim F meminta time out pada kedudukan 8-8 tetapi sudah menggunakan satu-satunya time out yang mereka miliki pada set tersebut?</v>
      </c>
      <c r="I17" s="5" t="str">
        <f>IFERROR(__xludf.DUMMYFUNCTION("GOOGLETRANSLATE(C17, ""en"", ""id"")"),"A) Berikan time out B) Tolak dan berikan peringatan C) Hukum dengan poin untuk Tim G D) Ulangi poin sebelumnya")</f>
        <v>A) Berikan time out B) Tolak dan berikan peringatan C) Hukum dengan poin untuk Tim G D) Ulangi poin sebelumnya</v>
      </c>
      <c r="J17" s="5" t="str">
        <f>IFERROR(__xludf.DUMMYFUNCTION("GOOGLETRANSLATE(D17, ""en"", ""id"")"),"B) Menolak dan mengeluarkan peringatan")</f>
        <v>B) Menolak dan mengeluarkan peringatan</v>
      </c>
      <c r="K17" s="5" t="str">
        <f>IFERROR(__xludf.DUMMYFUNCTION("GOOGLETRANSLATE(E17, ""en"", ""id"")"),"Hanya satu timeout yang diperbolehkan per set. Permintaan tambahan akan ditolak dengan peringatan.")</f>
        <v>Hanya satu timeout yang diperbolehkan per set. Permintaan tambahan akan ditolak dengan peringatan.</v>
      </c>
    </row>
    <row r="18">
      <c r="A18" s="3">
        <v>17.0</v>
      </c>
      <c r="B18" s="4" t="s">
        <v>1387</v>
      </c>
      <c r="C18" s="7" t="s">
        <v>1388</v>
      </c>
      <c r="D18" s="4" t="s">
        <v>1389</v>
      </c>
      <c r="E18" s="4" t="s">
        <v>1390</v>
      </c>
      <c r="G18" s="5" t="str">
        <f>IFERROR(__xludf.DUMMYFUNCTION("GOOGLETRANSLATE(A18, ""en"", ""id"")"),"17")</f>
        <v>17</v>
      </c>
      <c r="H18" s="5" t="str">
        <f>IFERROR(__xludf.DUMMYFUNCTION("GOOGLETRANSLATE(B18, ""en"", ""id"")"),"Di Bandung, apa yang terjadi setelah servis selesai jika Tim H melakukan rotasi yang salah dan pemain yang melakukan servis salah?")</f>
        <v>Di Bandung, apa yang terjadi setelah servis selesai jika Tim H melakukan rotasi yang salah dan pemain yang melakukan servis salah?</v>
      </c>
      <c r="I18" s="5" t="str">
        <f>IFERROR(__xludf.DUMMYFUNCTION("GOOGLETRANSLATE(C18, ""en"", ""id"")"),"A) Tunjuk ke Tim H B) Servis ulang C) Kesalahan, tunjuk ke Tim I D) Peringatan saja")</f>
        <v>A) Tunjuk ke Tim H B) Servis ulang C) Kesalahan, tunjuk ke Tim I D) Peringatan saja</v>
      </c>
      <c r="J18" s="5" t="str">
        <f>IFERROR(__xludf.DUMMYFUNCTION("GOOGLETRANSLATE(D18, ""en"", ""id"")"),"C) Kesalahan, arahkan ke Tim I")</f>
        <v>C) Kesalahan, arahkan ke Tim I</v>
      </c>
      <c r="K18" s="5" t="str">
        <f>IFERROR(__xludf.DUMMYFUNCTION("GOOGLETRANSLATE(E18, ""en"", ""id"")"),"Pemain yang salah melakukan servis merupakan suatu kesalahan, memberikan poin dan servis kepada lawan.")</f>
        <v>Pemain yang salah melakukan servis merupakan suatu kesalahan, memberikan poin dan servis kepada lawan.</v>
      </c>
    </row>
    <row r="19">
      <c r="A19" s="3">
        <v>18.0</v>
      </c>
      <c r="B19" s="4" t="s">
        <v>1391</v>
      </c>
      <c r="C19" s="7" t="s">
        <v>1392</v>
      </c>
      <c r="D19" s="4" t="s">
        <v>1393</v>
      </c>
      <c r="E19" s="4" t="s">
        <v>1394</v>
      </c>
      <c r="G19" s="5" t="str">
        <f>IFERROR(__xludf.DUMMYFUNCTION("GOOGLETRANSLATE(A19, ""en"", ""id"")"),"18")</f>
        <v>18</v>
      </c>
      <c r="H19" s="5" t="str">
        <f>IFERROR(__xludf.DUMMYFUNCTION("GOOGLETRANSLATE(B19, ""en"", ""id"")"),"Di Bali, apa keputusan jika spike dari Tim K menyentuh net, mengenai tiang gawang, dan kemudian memantul ke dalam area Tim L?")</f>
        <v>Di Bali, apa keputusan jika spike dari Tim K menyentuh net, mengenai tiang gawang, dan kemudian memantul ke dalam area Tim L?</v>
      </c>
      <c r="I19" s="5" t="str">
        <f>IFERROR(__xludf.DUMMYFUNCTION("GOOGLETRANSLATE(C19, ""en"", ""id"")"),"A) Tunjuk ke Tim K B) Tunjuk ke Tim L C) Ulangi poinnya D) Servis diberikan ke Tim L")</f>
        <v>A) Tunjuk ke Tim K B) Tunjuk ke Tim L C) Ulangi poinnya D) Servis diberikan ke Tim L</v>
      </c>
      <c r="J19" s="5" t="str">
        <f>IFERROR(__xludf.DUMMYFUNCTION("GOOGLETRANSLATE(D19, ""en"", ""id"")"),"B) Tunjuk ke Tim L")</f>
        <v>B) Tunjuk ke Tim L</v>
      </c>
      <c r="K19" s="5" t="str">
        <f>IFERROR(__xludf.DUMMYFUNCTION("GOOGLETRANSLATE(E19, ""en"", ""id"")"),"Bola yang mengenai tiang gawang keluar, terlepas di mana bola itu mendarat.")</f>
        <v>Bola yang mengenai tiang gawang keluar, terlepas di mana bola itu mendarat.</v>
      </c>
    </row>
    <row r="20">
      <c r="A20" s="3">
        <v>19.0</v>
      </c>
      <c r="B20" s="4" t="s">
        <v>1395</v>
      </c>
      <c r="C20" s="7" t="s">
        <v>1396</v>
      </c>
      <c r="D20" s="4" t="s">
        <v>1397</v>
      </c>
      <c r="E20" s="4" t="s">
        <v>1398</v>
      </c>
      <c r="G20" s="5" t="str">
        <f>IFERROR(__xludf.DUMMYFUNCTION("GOOGLETRANSLATE(A20, ""en"", ""id"")"),"19")</f>
        <v>19</v>
      </c>
      <c r="H20" s="5" t="str">
        <f>IFERROR(__xludf.DUMMYFUNCTION("GOOGLETRANSLATE(B20, ""en"", ""id"")"),"Di Surabaya, apa yang terjadi jika penyerang Tim M gagal menangkap bola sepenuhnya saat mencoba melakukan spike?")</f>
        <v>Di Surabaya, apa yang terjadi jika penyerang Tim M gagal menangkap bola sepenuhnya saat mencoba melakukan spike?</v>
      </c>
      <c r="I20" s="5" t="str">
        <f>IFERROR(__xludf.DUMMYFUNCTION("GOOGLETRANSLATE(C20, ""en"", ""id"")"),"A) Permainan berlanjut B) Kesalahan, poin untuk Tim N C) Ulangi poin D) Hanya peringatan")</f>
        <v>A) Permainan berlanjut B) Kesalahan, poin untuk Tim N C) Ulangi poin D) Hanya peringatan</v>
      </c>
      <c r="J20" s="5" t="str">
        <f>IFERROR(__xludf.DUMMYFUNCTION("GOOGLETRANSLATE(D20, ""en"", ""id"")"),"B) Kesalahan, arahkan ke Tim N")</f>
        <v>B) Kesalahan, arahkan ke Tim N</v>
      </c>
      <c r="K20" s="5" t="str">
        <f>IFERROR(__xludf.DUMMYFUNCTION("GOOGLETRANSLATE(E20, ""en"", ""id"")"),"Gagal menguasai bola saat melakukan serangan adalah sebuah kesalahan.")</f>
        <v>Gagal menguasai bola saat melakukan serangan adalah sebuah kesalahan.</v>
      </c>
    </row>
    <row r="21">
      <c r="A21" s="3">
        <v>20.0</v>
      </c>
      <c r="B21" s="4" t="s">
        <v>1399</v>
      </c>
      <c r="C21" s="7" t="s">
        <v>1400</v>
      </c>
      <c r="D21" s="4" t="s">
        <v>1341</v>
      </c>
      <c r="E21" s="4" t="s">
        <v>1401</v>
      </c>
      <c r="G21" s="5" t="str">
        <f>IFERROR(__xludf.DUMMYFUNCTION("GOOGLETRANSLATE(A21, ""en"", ""id"")"),"20")</f>
        <v>20</v>
      </c>
      <c r="H21" s="5" t="str">
        <f>IFERROR(__xludf.DUMMYFUNCTION("GOOGLETRANSLATE(B21, ""en"", ""id"")"),"Di Yogyakarta, apa hukumnya jika servis Tim P membutuhkan waktu lebih dari 5 detik setelah peluit wasit berbunyi?")</f>
        <v>Di Yogyakarta, apa hukumnya jika servis Tim P membutuhkan waktu lebih dari 5 detik setelah peluit wasit berbunyi?</v>
      </c>
      <c r="I21" s="5" t="str">
        <f>IFERROR(__xludf.DUMMYFUNCTION("GOOGLETRANSLATE(C21, ""en"", ""id"")"),"A) Peringatan saja B) Ulangi servis C) Kesalahan servis, tunjuk ke Tim Q D) Biarkan servis")</f>
        <v>A) Peringatan saja B) Ulangi servis C) Kesalahan servis, tunjuk ke Tim Q D) Biarkan servis</v>
      </c>
      <c r="J21" s="5" t="str">
        <f>IFERROR(__xludf.DUMMYFUNCTION("GOOGLETRANSLATE(D21, ""en"", ""id"")"),"C) Kesalahan layanan, tunjuk Tim Q")</f>
        <v>C) Kesalahan layanan, tunjuk Tim Q</v>
      </c>
      <c r="K21" s="5" t="str">
        <f>IFERROR(__xludf.DUMMYFUNCTION("GOOGLETRANSLATE(E21, ""en"", ""id"")"),"Pemain yang melakukan servis harus melakukan servis dalam waktu 5 detik setelah sinyal dari wasit.")</f>
        <v>Pemain yang melakukan servis harus melakukan servis dalam waktu 5 detik setelah sinyal dari wasit.</v>
      </c>
    </row>
    <row r="22">
      <c r="A22" s="3">
        <v>21.0</v>
      </c>
      <c r="B22" s="4" t="s">
        <v>1402</v>
      </c>
      <c r="C22" s="7" t="s">
        <v>1403</v>
      </c>
      <c r="D22" s="4" t="s">
        <v>1365</v>
      </c>
      <c r="E22" s="4" t="s">
        <v>1404</v>
      </c>
      <c r="G22" s="5" t="str">
        <f>IFERROR(__xludf.DUMMYFUNCTION("GOOGLETRANSLATE(A22, ""en"", ""id"")"),"21")</f>
        <v>21</v>
      </c>
      <c r="H22" s="5" t="str">
        <f>IFERROR(__xludf.DUMMYFUNCTION("GOOGLETRANSLATE(B22, ""en"", ""id"")"),"Di Jakarta, apa keputusan yang diambil jika bola lain dari lapangan sebelah masuk selama reli, yang berlanjut hingga Tim A mencetak skor?")</f>
        <v>Di Jakarta, apa keputusan yang diambil jika bola lain dari lapangan sebelah masuk selama reli, yang berlanjut hingga Tim A mencetak skor?</v>
      </c>
      <c r="I22" s="5" t="str">
        <f>IFERROR(__xludf.DUMMYFUNCTION("GOOGLETRANSLATE(C22, ""en"", ""id"")"),"A) Tunjuk ke Tim A B) Tunjuk ke Tim B C) Ulangi poinnya D) Peringatan untuk penyelenggara")</f>
        <v>A) Tunjuk ke Tim A B) Tunjuk ke Tim B C) Ulangi poinnya D) Peringatan untuk penyelenggara</v>
      </c>
      <c r="J22" s="5" t="str">
        <f>IFERROR(__xludf.DUMMYFUNCTION("GOOGLETRANSLATE(D22, ""en"", ""id"")"),"C) Putar ulang poinnya")</f>
        <v>C) Putar ulang poinnya</v>
      </c>
      <c r="K22" s="5" t="str">
        <f>IFERROR(__xludf.DUMMYFUNCTION("GOOGLETRANSLATE(E22, ""en"", ""id"")"),"Gangguan dari luar mengharuskan pemutaran ulang, terlepas dari hasil reli.")</f>
        <v>Gangguan dari luar mengharuskan pemutaran ulang, terlepas dari hasil reli.</v>
      </c>
    </row>
    <row r="23">
      <c r="A23" s="3">
        <v>22.0</v>
      </c>
      <c r="B23" s="4" t="s">
        <v>1405</v>
      </c>
      <c r="C23" s="7" t="s">
        <v>1406</v>
      </c>
      <c r="D23" s="4" t="s">
        <v>1407</v>
      </c>
      <c r="E23" s="4" t="s">
        <v>1408</v>
      </c>
      <c r="G23" s="5" t="str">
        <f>IFERROR(__xludf.DUMMYFUNCTION("GOOGLETRANSLATE(A23, ""en"", ""id"")"),"22")</f>
        <v>22</v>
      </c>
      <c r="H23" s="5" t="str">
        <f>IFERROR(__xludf.DUMMYFUNCTION("GOOGLETRANSLATE(B23, ""en"", ""id"")"),"Di Bandung, apa keputusannya jika pemain dari Tim C melakukan spike bola menggunakan lututnya dan bola tersebut jatuh di area Tim D?")</f>
        <v>Di Bandung, apa keputusannya jika pemain dari Tim C melakukan spike bola menggunakan lututnya dan bola tersebut jatuh di area Tim D?</v>
      </c>
      <c r="I23" s="5" t="str">
        <f>IFERROR(__xludf.DUMMYFUNCTION("GOOGLETRANSLATE(C23, ""en"", ""id"")"),"A) Tunjuk ke Tim C B) Tunjuk ke Tim D C) Ulangi poinnya D) Peringatan saja")</f>
        <v>A) Tunjuk ke Tim C B) Tunjuk ke Tim D C) Ulangi poinnya D) Peringatan saja</v>
      </c>
      <c r="J23" s="5" t="str">
        <f>IFERROR(__xludf.DUMMYFUNCTION("GOOGLETRANSLATE(D23, ""en"", ""id"")"),"A) Tunjuk ke Tim C")</f>
        <v>A) Tunjuk ke Tim C</v>
      </c>
      <c r="K23" s="5" t="str">
        <f>IFERROR(__xludf.DUMMYFUNCTION("GOOGLETRANSLATE(E23, ""en"", ""id"")"),"Bagian tubuh mana pun yang sah, kecuali tangan/lengan, dapat digunakan, jadi paku lutut dihitung.")</f>
        <v>Bagian tubuh mana pun yang sah, kecuali tangan/lengan, dapat digunakan, jadi paku lutut dihitung.</v>
      </c>
    </row>
    <row r="24">
      <c r="A24" s="3">
        <v>23.0</v>
      </c>
      <c r="B24" s="4" t="s">
        <v>1409</v>
      </c>
      <c r="C24" s="7" t="s">
        <v>1410</v>
      </c>
      <c r="D24" s="4" t="s">
        <v>1411</v>
      </c>
      <c r="E24" s="4" t="s">
        <v>1412</v>
      </c>
      <c r="G24" s="5" t="str">
        <f>IFERROR(__xludf.DUMMYFUNCTION("GOOGLETRANSLATE(A24, ""en"", ""id"")"),"23")</f>
        <v>23</v>
      </c>
      <c r="H24" s="5" t="str">
        <f>IFERROR(__xludf.DUMMYFUNCTION("GOOGLETRANSLATE(B24, ""en"", ""id"")"),"Di Semarang, apa hukumnya jika penerima bola dari Tim E bergerak ke dalam lingkaran servis sebelum bola dipukul?")</f>
        <v>Di Semarang, apa hukumnya jika penerima bola dari Tim E bergerak ke dalam lingkaran servis sebelum bola dipukul?</v>
      </c>
      <c r="I24" s="5" t="str">
        <f>IFERROR(__xludf.DUMMYFUNCTION("GOOGLETRANSLATE(C24, ""en"", ""id"")"),"A) Ulangi servis B) Kesalahan, arahkan ke Tim F C) Izinkan reli D) Hanya peringatan")</f>
        <v>A) Ulangi servis B) Kesalahan, arahkan ke Tim F C) Izinkan reli D) Hanya peringatan</v>
      </c>
      <c r="J24" s="5" t="str">
        <f>IFERROR(__xludf.DUMMYFUNCTION("GOOGLETRANSLATE(D24, ""en"", ""id"")"),"B) Kesalahan, arahkan ke Tim F")</f>
        <v>B) Kesalahan, arahkan ke Tim F</v>
      </c>
      <c r="K24" s="5" t="str">
        <f>IFERROR(__xludf.DUMMYFUNCTION("GOOGLETRANSLATE(E24, ""en"", ""id"")"),"Pemain tidak dapat melangkah ke lingkaran servis sebelum waktunya.")</f>
        <v>Pemain tidak dapat melangkah ke lingkaran servis sebelum waktunya.</v>
      </c>
    </row>
    <row r="25">
      <c r="A25" s="3">
        <v>24.0</v>
      </c>
      <c r="B25" s="4" t="s">
        <v>1413</v>
      </c>
      <c r="C25" s="7" t="s">
        <v>1414</v>
      </c>
      <c r="D25" s="4" t="s">
        <v>1415</v>
      </c>
      <c r="E25" s="4" t="s">
        <v>1416</v>
      </c>
      <c r="G25" s="5" t="str">
        <f>IFERROR(__xludf.DUMMYFUNCTION("GOOGLETRANSLATE(A25, ""en"", ""id"")"),"24")</f>
        <v>24</v>
      </c>
      <c r="H25" s="5" t="str">
        <f>IFERROR(__xludf.DUMMYFUNCTION("GOOGLETRANSLATE(B25, ""en"", ""id"")"),"Selama final yang disiarkan televisi di Jakarta, apa yang terjadi jika pemadaman listrik menghentikan permainan pada kedudukan 14-13 di set ketiga?")</f>
        <v>Selama final yang disiarkan televisi di Jakarta, apa yang terjadi jika pemadaman listrik menghentikan permainan pada kedudukan 14-13 di set ketiga?</v>
      </c>
      <c r="I25" s="5" t="str">
        <f>IFERROR(__xludf.DUMMYFUNCTION("GOOGLETRANSLATE(C25, ""en"", ""id"")"),"A) Pertandingan dibatalkan B) Mulai ulang dari 0-0 C) Dilanjutkan nanti dari 14-13 D) Tunjuk tim terdepan")</f>
        <v>A) Pertandingan dibatalkan B) Mulai ulang dari 0-0 C) Dilanjutkan nanti dari 14-13 D) Tunjuk tim terdepan</v>
      </c>
      <c r="J25" s="5" t="str">
        <f>IFERROR(__xludf.DUMMYFUNCTION("GOOGLETRANSLATE(D25, ""en"", ""id"")"),"C) Lanjutkan nanti dari 14-13")</f>
        <v>C) Lanjutkan nanti dari 14-13</v>
      </c>
      <c r="K25" s="5" t="str">
        <f>IFERROR(__xludf.DUMMYFUNCTION("GOOGLETRANSLATE(E25, ""en"", ""id"")"),"Pertandingan dilanjutkan berdasarkan skor saat jeda.")</f>
        <v>Pertandingan dilanjutkan berdasarkan skor saat jeda.</v>
      </c>
    </row>
    <row r="26">
      <c r="A26" s="3">
        <v>25.0</v>
      </c>
      <c r="B26" s="4" t="s">
        <v>1417</v>
      </c>
      <c r="C26" s="7" t="s">
        <v>1418</v>
      </c>
      <c r="D26" s="4" t="s">
        <v>1419</v>
      </c>
      <c r="E26" s="4" t="s">
        <v>1420</v>
      </c>
      <c r="G26" s="5" t="str">
        <f>IFERROR(__xludf.DUMMYFUNCTION("GOOGLETRANSLATE(A26, ""en"", ""id"")"),"25")</f>
        <v>25</v>
      </c>
      <c r="H26" s="5" t="str">
        <f>IFERROR(__xludf.DUMMYFUNCTION("GOOGLETRANSLATE(B26, ""en"", ""id"")"),"Di Lombok, apakah sah hukumnya jika pemain Tim G menggunakan kepalanya untuk menangkis servis dan bola tersebut masuk ke dalam gawang?")</f>
        <v>Di Lombok, apakah sah hukumnya jika pemain Tim G menggunakan kepalanya untuk menangkis servis dan bola tersebut masuk ke dalam gawang?</v>
      </c>
      <c r="I26" s="5" t="str">
        <f>IFERROR(__xludf.DUMMYFUNCTION("GOOGLETRANSLATE(C26, ""en"", ""id"")"),"A) Ya, poin berlanjut B) Tidak, poin ke Tim H C) Ulangi servis D) Hanya peringatan")</f>
        <v>A) Ya, poin berlanjut B) Tidak, poin ke Tim H C) Ulangi servis D) Hanya peringatan</v>
      </c>
      <c r="J26" s="5" t="str">
        <f>IFERROR(__xludf.DUMMYFUNCTION("GOOGLETRANSLATE(D26, ""en"", ""id"")"),"A) Ya, poin berlanjut")</f>
        <v>A) Ya, poin berlanjut</v>
      </c>
      <c r="K26" s="5" t="str">
        <f>IFERROR(__xludf.DUMMYFUNCTION("GOOGLETRANSLATE(E26, ""en"", ""id"")"),"Kepala merupakan bagian tubuh yang sah dalam Sepak Takraw.")</f>
        <v>Kepala merupakan bagian tubuh yang sah dalam Sepak Takraw.</v>
      </c>
    </row>
    <row r="27">
      <c r="A27" s="3">
        <v>26.0</v>
      </c>
      <c r="B27" s="4" t="s">
        <v>1421</v>
      </c>
      <c r="C27" s="7" t="s">
        <v>1422</v>
      </c>
      <c r="D27" s="4" t="s">
        <v>1423</v>
      </c>
      <c r="E27" s="4" t="s">
        <v>1424</v>
      </c>
      <c r="G27" s="5" t="str">
        <f>IFERROR(__xludf.DUMMYFUNCTION("GOOGLETRANSLATE(A27, ""en"", ""id"")"),"26")</f>
        <v>26</v>
      </c>
      <c r="H27" s="5" t="str">
        <f>IFERROR(__xludf.DUMMYFUNCTION("GOOGLETRANSLATE(B27, ""en"", ""id"")"),"Di Surabaya, apa yang dilakukan wasit apabila Tim J protes di tengah reli karena Tim K melakukan rotasi yang salah sebelum melakukan servis?")</f>
        <v>Di Surabaya, apa yang dilakukan wasit apabila Tim J protes di tengah reli karena Tim K melakukan rotasi yang salah sebelum melakukan servis?</v>
      </c>
      <c r="I27" s="5" t="str">
        <f>IFERROR(__xludf.DUMMYFUNCTION("GOOGLETRANSLATE(C27, ""en"", ""id"")"),"A) Berhenti dan periksa B) Biarkan reli selesai, lalu periksa C) Ulangi poin segera D) Berikan poin ke Tim J")</f>
        <v>A) Berhenti dan periksa B) Biarkan reli selesai, lalu periksa C) Ulangi poin segera D) Berikan poin ke Tim J</v>
      </c>
      <c r="J27" s="5" t="str">
        <f>IFERROR(__xludf.DUMMYFUNCTION("GOOGLETRANSLATE(D27, ""en"", ""id"")"),"B) Biarkan reli selesai, lalu periksa")</f>
        <v>B) Biarkan reli selesai, lalu periksa</v>
      </c>
      <c r="K27" s="5" t="str">
        <f>IFERROR(__xludf.DUMMYFUNCTION("GOOGLETRANSLATE(E27, ""en"", ""id"")"),"Wasit tidak dapat menghentikan reli; kesalahan diperiksa setelahnya.")</f>
        <v>Wasit tidak dapat menghentikan reli; kesalahan diperiksa setelahnya.</v>
      </c>
    </row>
    <row r="28">
      <c r="A28" s="3">
        <v>27.0</v>
      </c>
      <c r="B28" s="4" t="s">
        <v>1425</v>
      </c>
      <c r="C28" s="7" t="s">
        <v>1426</v>
      </c>
      <c r="D28" s="4" t="s">
        <v>1427</v>
      </c>
      <c r="E28" s="4" t="s">
        <v>1428</v>
      </c>
      <c r="G28" s="5" t="str">
        <f>IFERROR(__xludf.DUMMYFUNCTION("GOOGLETRANSLATE(A28, ""en"", ""id"")"),"27")</f>
        <v>27</v>
      </c>
      <c r="H28" s="5" t="str">
        <f>IFERROR(__xludf.DUMMYFUNCTION("GOOGLETRANSLATE(B28, ""en"", ""id"")"),"Di Bali, apa hasilnya jika Tim M meminta pergantian pemain karena cedera di tengah set?")</f>
        <v>Di Bali, apa hasilnya jika Tim M meminta pergantian pemain karena cedera di tengah set?</v>
      </c>
      <c r="I28" s="5" t="str">
        <f>IFERROR(__xludf.DUMMYFUNCTION("GOOGLETRANSLATE(C28, ""en"", ""id"")"),"A) Substitusi diperbolehkan B) Ditolak, tidak ada perubahan C) Ulangi poin sebelumnya D) Lawan mendapat poin")</f>
        <v>A) Substitusi diperbolehkan B) Ditolak, tidak ada perubahan C) Ulangi poin sebelumnya D) Lawan mendapat poin</v>
      </c>
      <c r="J28" s="5" t="str">
        <f>IFERROR(__xludf.DUMMYFUNCTION("GOOGLETRANSLATE(D28, ""en"", ""id"")"),"A) Substitusi yang diperbolehkan")</f>
        <v>A) Substitusi yang diperbolehkan</v>
      </c>
      <c r="K28" s="5" t="str">
        <f>IFERROR(__xludf.DUMMYFUNCTION("GOOGLETRANSLATE(E28, ""en"", ""id"")"),"Pergantian pemain karena cedera diperbolehkan mengikuti peraturan.")</f>
        <v>Pergantian pemain karena cedera diperbolehkan mengikuti peraturan.</v>
      </c>
    </row>
    <row r="29">
      <c r="A29" s="3">
        <v>28.0</v>
      </c>
      <c r="B29" s="4" t="s">
        <v>1429</v>
      </c>
      <c r="C29" s="7" t="s">
        <v>1430</v>
      </c>
      <c r="D29" s="4" t="s">
        <v>1431</v>
      </c>
      <c r="E29" s="4" t="s">
        <v>1432</v>
      </c>
      <c r="G29" s="5" t="str">
        <f>IFERROR(__xludf.DUMMYFUNCTION("GOOGLETRANSLATE(A29, ""en"", ""id"")"),"28")</f>
        <v>28</v>
      </c>
      <c r="H29" s="5" t="str">
        <f>IFERROR(__xludf.DUMMYFUNCTION("GOOGLETRANSLATE(B29, ""en"", ""id"")"),"Di Jakarta, apa keputusan yang diambil jika spike menyebabkan bola menempel sesaat di pita net sebelum jatuh di sisi Tim B?")</f>
        <v>Di Jakarta, apa keputusan yang diambil jika spike menyebabkan bola menempel sesaat di pita net sebelum jatuh di sisi Tim B?</v>
      </c>
      <c r="I29" s="5" t="str">
        <f>IFERROR(__xludf.DUMMYFUNCTION("GOOGLETRANSLATE(C29, ""en"", ""id"")"),"A) Arahkan ke tim spiking B) Ulangi poin C) Arahkan ke tim penerima D) Kesalahan pada tim spiking")</f>
        <v>A) Arahkan ke tim spiking B) Ulangi poin C) Arahkan ke tim penerima D) Kesalahan pada tim spiking</v>
      </c>
      <c r="J29" s="5" t="str">
        <f>IFERROR(__xludf.DUMMYFUNCTION("GOOGLETRANSLATE(D29, ""en"", ""id"")"),"A) Arahkan ke tim spiking")</f>
        <v>A) Arahkan ke tim spiking</v>
      </c>
      <c r="K29" s="5" t="str">
        <f>IFERROR(__xludf.DUMMYFUNCTION("GOOGLETRANSLATE(E29, ""en"", ""id"")"),"Selama bola melewati garis batas yang sah, poin tersebut tetap berlaku.")</f>
        <v>Selama bola melewati garis batas yang sah, poin tersebut tetap berlaku.</v>
      </c>
    </row>
    <row r="30">
      <c r="A30" s="3">
        <v>29.0</v>
      </c>
      <c r="B30" s="4" t="s">
        <v>1433</v>
      </c>
      <c r="C30" s="7" t="s">
        <v>1434</v>
      </c>
      <c r="D30" s="4" t="s">
        <v>1373</v>
      </c>
      <c r="E30" s="4" t="s">
        <v>1435</v>
      </c>
      <c r="G30" s="5" t="str">
        <f>IFERROR(__xludf.DUMMYFUNCTION("GOOGLETRANSLATE(A30, ""en"", ""id"")"),"29")</f>
        <v>29</v>
      </c>
      <c r="H30" s="5" t="str">
        <f>IFERROR(__xludf.DUMMYFUNCTION("GOOGLETRANSLATE(B30, ""en"", ""id"")"),"Di Yogyakarta, apa yang terjadi jika server Tim X melempar bola ke belakang, bukan ke atas?")</f>
        <v>Di Yogyakarta, apa yang terjadi jika server Tim X melempar bola ke belakang, bukan ke atas?</v>
      </c>
      <c r="I30" s="5" t="str">
        <f>IFERROR(__xludf.DUMMYFUNCTION("GOOGLETRANSLATE(C30, ""en"", ""id"")"),"A) Servis ulang B) Kesalahan, tunjuk ke Tim Y C) Hanya peringatan D) Servis berlanjut")</f>
        <v>A) Servis ulang B) Kesalahan, tunjuk ke Tim Y C) Hanya peringatan D) Servis berlanjut</v>
      </c>
      <c r="J30" s="5" t="str">
        <f>IFERROR(__xludf.DUMMYFUNCTION("GOOGLETRANSLATE(D30, ""en"", ""id"")"),"B) Kesalahan, arahkan ke Tim Y")</f>
        <v>B) Kesalahan, arahkan ke Tim Y</v>
      </c>
      <c r="K30" s="5" t="str">
        <f>IFERROR(__xludf.DUMMYFUNCTION("GOOGLETRANSLATE(E30, ""en"", ""id"")"),"Bola harus dilempar dengan benar ke atas agar servis dianggap sah.")</f>
        <v>Bola harus dilempar dengan benar ke atas agar servis dianggap sah.</v>
      </c>
    </row>
    <row r="31">
      <c r="A31" s="3">
        <v>30.0</v>
      </c>
      <c r="B31" s="4" t="s">
        <v>1436</v>
      </c>
      <c r="C31" s="7" t="s">
        <v>1437</v>
      </c>
      <c r="D31" s="4" t="s">
        <v>1438</v>
      </c>
      <c r="E31" s="4" t="s">
        <v>1439</v>
      </c>
      <c r="G31" s="5" t="str">
        <f>IFERROR(__xludf.DUMMYFUNCTION("GOOGLETRANSLATE(A31, ""en"", ""id"")"),"30")</f>
        <v>30</v>
      </c>
      <c r="H31" s="5" t="str">
        <f>IFERROR(__xludf.DUMMYFUNCTION("GOOGLETRANSLATE(B31, ""en"", ""id"")"),"Di Bandung, bagaimana keputusannya jika dua pemain dari Tim R melompat secara bersamaan untuk memblok dan keduanya menyentuh bola bersama-sama?")</f>
        <v>Di Bandung, bagaimana keputusannya jika dua pemain dari Tim R melompat secara bersamaan untuk memblok dan keduanya menyentuh bola bersama-sama?</v>
      </c>
      <c r="I31" s="5" t="str">
        <f>IFERROR(__xludf.DUMMYFUNCTION("GOOGLETRANSLATE(C31, ""en"", ""id"")"),"A) Kesalahan, poin untuk Tim S B) Ulangi poin C) Poin berlanjut D) Hanya peringatan")</f>
        <v>A) Kesalahan, poin untuk Tim S B) Ulangi poin C) Poin berlanjut D) Hanya peringatan</v>
      </c>
      <c r="J31" s="5" t="str">
        <f>IFERROR(__xludf.DUMMYFUNCTION("GOOGLETRANSLATE(D31, ""en"", ""id"")"),"C) Poin berlanjut")</f>
        <v>C) Poin berlanjut</v>
      </c>
      <c r="K31" s="5" t="str">
        <f>IFERROR(__xludf.DUMMYFUNCTION("GOOGLETRANSLATE(E31, ""en"", ""id"")"),"Beberapa pemblokir menyentuh bola bersama-sama diperbolehkan.")</f>
        <v>Beberapa pemblokir menyentuh bola bersama-sama diperbolehkan.</v>
      </c>
    </row>
    <row r="32">
      <c r="A32" s="3">
        <v>31.0</v>
      </c>
      <c r="B32" s="4" t="s">
        <v>1440</v>
      </c>
      <c r="C32" s="7" t="s">
        <v>1441</v>
      </c>
      <c r="D32" s="4" t="s">
        <v>1442</v>
      </c>
      <c r="E32" s="4" t="s">
        <v>1443</v>
      </c>
      <c r="G32" s="5" t="str">
        <f>IFERROR(__xludf.DUMMYFUNCTION("GOOGLETRANSLATE(A32, ""en"", ""id"")"),"31")</f>
        <v>31</v>
      </c>
      <c r="H32" s="5" t="str">
        <f>IFERROR(__xludf.DUMMYFUNCTION("GOOGLETRANSLATE(B32, ""en"", ""id"")"),"Di Bali, apa hukumnya jika wasit meniup peluit tanda servis, namun peluit kedua secara keliru ditiup sebelum pelaku servis melakukan servis?")</f>
        <v>Di Bali, apa hukumnya jika wasit meniup peluit tanda servis, namun peluit kedua secara keliru ditiup sebelum pelaku servis melakukan servis?</v>
      </c>
      <c r="I32" s="5" t="str">
        <f>IFERROR(__xludf.DUMMYFUNCTION("GOOGLETRANSLATE(C32, ""en"", ""id"")"),"A) Ulangi servis B) Arahkan ke lawan C) Izinkan servis D) Peringatan kepada wasit")</f>
        <v>A) Ulangi servis B) Arahkan ke lawan C) Izinkan servis D) Peringatan kepada wasit</v>
      </c>
      <c r="J32" s="5" t="str">
        <f>IFERROR(__xludf.DUMMYFUNCTION("GOOGLETRANSLATE(D32, ""en"", ""id"")"),"A) Servis ulang")</f>
        <v>A) Servis ulang</v>
      </c>
      <c r="K32" s="5" t="str">
        <f>IFERROR(__xludf.DUMMYFUNCTION("GOOGLETRANSLATE(E32, ""en"", ""id"")"),"Kebingungan dalam sinyal wasit memerlukan tayangan ulang.")</f>
        <v>Kebingungan dalam sinyal wasit memerlukan tayangan ulang.</v>
      </c>
    </row>
    <row r="33">
      <c r="A33" s="3">
        <v>32.0</v>
      </c>
      <c r="B33" s="4" t="s">
        <v>1444</v>
      </c>
      <c r="C33" s="7" t="s">
        <v>1445</v>
      </c>
      <c r="D33" s="4" t="s">
        <v>1446</v>
      </c>
      <c r="E33" s="4" t="s">
        <v>1447</v>
      </c>
      <c r="G33" s="5" t="str">
        <f>IFERROR(__xludf.DUMMYFUNCTION("GOOGLETRANSLATE(A33, ""en"", ""id"")"),"32")</f>
        <v>32</v>
      </c>
      <c r="H33" s="5" t="str">
        <f>IFERROR(__xludf.DUMMYFUNCTION("GOOGLETRANSLATE(B33, ""en"", ""id"")"),"Apa keputusan wasit jika seorang pemain di Jakarta melepas bajunya di tengah pertandingan karena kepanasan?")</f>
        <v>Apa keputusan wasit jika seorang pemain di Jakarta melepas bajunya di tengah pertandingan karena kepanasan?</v>
      </c>
      <c r="I33" s="5" t="str">
        <f>IFERROR(__xludf.DUMMYFUNCTION("GOOGLETRANSLATE(C33, ""en"", ""id"")"),"A) Izinkan bermain B) Peringatan dan perintah memakai kaus C) Kesalahan, tunjuk lawan D) Reli ulang")</f>
        <v>A) Izinkan bermain B) Peringatan dan perintah memakai kaus C) Kesalahan, tunjuk lawan D) Reli ulang</v>
      </c>
      <c r="J33" s="5" t="str">
        <f>IFERROR(__xludf.DUMMYFUNCTION("GOOGLETRANSLATE(D33, ""en"", ""id"")"),"B) Peringatan dan perintah untuk memakai jersey")</f>
        <v>B) Peringatan dan perintah untuk memakai jersey</v>
      </c>
      <c r="K33" s="5" t="str">
        <f>IFERROR(__xludf.DUMMYFUNCTION("GOOGLETRANSLATE(E33, ""en"", ""id"")"),"Aturan yang seragam harus dipatuhi.")</f>
        <v>Aturan yang seragam harus dipatuhi.</v>
      </c>
    </row>
    <row r="34">
      <c r="A34" s="3">
        <v>33.0</v>
      </c>
      <c r="B34" s="4" t="s">
        <v>1448</v>
      </c>
      <c r="C34" s="7" t="s">
        <v>1449</v>
      </c>
      <c r="D34" s="4" t="s">
        <v>1450</v>
      </c>
      <c r="E34" s="4" t="s">
        <v>1451</v>
      </c>
      <c r="G34" s="5" t="str">
        <f>IFERROR(__xludf.DUMMYFUNCTION("GOOGLETRANSLATE(A34, ""en"", ""id"")"),"33")</f>
        <v>33</v>
      </c>
      <c r="H34" s="5" t="str">
        <f>IFERROR(__xludf.DUMMYFUNCTION("GOOGLETRANSLATE(B34, ""en"", ""id"")"),"Selama pertandingan luar ruangan di Bali, apa keputusan yang diambil jika angin kencang meniup bola keluar jalur di tengah servis?")</f>
        <v>Selama pertandingan luar ruangan di Bali, apa keputusan yang diambil jika angin kencang meniup bola keluar jalur di tengah servis?</v>
      </c>
      <c r="I34" s="5" t="str">
        <f>IFERROR(__xludf.DUMMYFUNCTION("GOOGLETRANSLATE(C34, ""en"", ""id"")"),"A) Ulangi servis B) Kesalahan, tunjuk ke lawan C) Tunjuk ke server D) Hanya peringatan")</f>
        <v>A) Ulangi servis B) Kesalahan, tunjuk ke lawan C) Tunjuk ke server D) Hanya peringatan</v>
      </c>
      <c r="J34" s="5" t="str">
        <f>IFERROR(__xludf.DUMMYFUNCTION("GOOGLETRANSLATE(D34, ""en"", ""id"")"),"A) Ulangi servisnya")</f>
        <v>A) Ulangi servisnya</v>
      </c>
      <c r="K34" s="5" t="str">
        <f>IFERROR(__xludf.DUMMYFUNCTION("GOOGLETRANSLATE(E34, ""en"", ""id"")"),"Gangguan alami seperti angin memungkinkan pemutaran ulang.")</f>
        <v>Gangguan alami seperti angin memungkinkan pemutaran ulang.</v>
      </c>
    </row>
    <row r="35">
      <c r="A35" s="3">
        <v>34.0</v>
      </c>
      <c r="B35" s="4" t="s">
        <v>1452</v>
      </c>
      <c r="C35" s="7" t="s">
        <v>1453</v>
      </c>
      <c r="D35" s="4" t="s">
        <v>1454</v>
      </c>
      <c r="E35" s="4" t="s">
        <v>1455</v>
      </c>
      <c r="G35" s="5" t="str">
        <f>IFERROR(__xludf.DUMMYFUNCTION("GOOGLETRANSLATE(A35, ""en"", ""id"")"),"34")</f>
        <v>34</v>
      </c>
      <c r="H35" s="5" t="str">
        <f>IFERROR(__xludf.DUMMYFUNCTION("GOOGLETRANSLATE(B35, ""en"", ""id"")"),"Di Bandung, apa hukumnya jika pemain dari Tim T tidak sengaja menendang lawan saat melakukan jump spike?")</f>
        <v>Di Bandung, apa hukumnya jika pemain dari Tim T tidak sengaja menendang lawan saat melakukan jump spike?</v>
      </c>
      <c r="I35" s="5" t="str">
        <f>IFERROR(__xludf.DUMMYFUNCTION("GOOGLETRANSLATE(C35, ""en"", ""id"")"),"A) Replay rally B) Kesalahan pada Tim T, tunjuk lawan C) Izinkan permainan D) Hanya peringatan")</f>
        <v>A) Replay rally B) Kesalahan pada Tim T, tunjuk lawan C) Izinkan permainan D) Hanya peringatan</v>
      </c>
      <c r="J35" s="5" t="str">
        <f>IFERROR(__xludf.DUMMYFUNCTION("GOOGLETRANSLATE(D35, ""en"", ""id"")"),"B) Kesalahan pada Tim T, menunjuk lawan")</f>
        <v>B) Kesalahan pada Tim T, menunjuk lawan</v>
      </c>
      <c r="K35" s="5" t="str">
        <f>IFERROR(__xludf.DUMMYFUNCTION("GOOGLETRANSLATE(E35, ""en"", ""id"")"),"Kontak fisik dengan lawan adalah kesalahan.")</f>
        <v>Kontak fisik dengan lawan adalah kesalahan.</v>
      </c>
    </row>
    <row r="36">
      <c r="A36" s="3">
        <v>35.0</v>
      </c>
      <c r="B36" s="4" t="s">
        <v>1456</v>
      </c>
      <c r="C36" s="7" t="s">
        <v>1457</v>
      </c>
      <c r="D36" s="4" t="s">
        <v>1458</v>
      </c>
      <c r="E36" s="4" t="s">
        <v>1459</v>
      </c>
      <c r="G36" s="5" t="str">
        <f>IFERROR(__xludf.DUMMYFUNCTION("GOOGLETRANSLATE(A36, ""en"", ""id"")"),"35")</f>
        <v>35</v>
      </c>
      <c r="H36" s="5" t="str">
        <f>IFERROR(__xludf.DUMMYFUNCTION("GOOGLETRANSLATE(B36, ""en"", ""id"")"),"Di Jakarta, apa yang terjadi jika spike Tim L melewati luar tiang gawang tetapi mendarat di dalam batas wilayah?")</f>
        <v>Di Jakarta, apa yang terjadi jika spike Tim L melewati luar tiang gawang tetapi mendarat di dalam batas wilayah?</v>
      </c>
      <c r="I36" s="5" t="str">
        <f>IFERROR(__xludf.DUMMYFUNCTION("GOOGLETRANSLATE(C36, ""en"", ""id"")"),"A) Tunjuk Tim L B) Tunjuk Tim M C) Reli ulang D) Peringatan")</f>
        <v>A) Tunjuk Tim L B) Tunjuk Tim M C) Reli ulang D) Peringatan</v>
      </c>
      <c r="J36" s="5" t="str">
        <f>IFERROR(__xludf.DUMMYFUNCTION("GOOGLETRANSLATE(D36, ""en"", ""id"")"),"B) Tunjuk ke Tim M")</f>
        <v>B) Tunjuk ke Tim M</v>
      </c>
      <c r="K36" s="5" t="str">
        <f>IFERROR(__xludf.DUMMYFUNCTION("GOOGLETRANSLATE(E36, ""en"", ""id"")"),"Bola harus melewati net dalam tiang gawang.")</f>
        <v>Bola harus melewati net dalam tiang gawang.</v>
      </c>
    </row>
    <row r="37">
      <c r="A37" s="3">
        <v>36.0</v>
      </c>
      <c r="B37" s="4" t="s">
        <v>1460</v>
      </c>
      <c r="C37" s="7" t="s">
        <v>1461</v>
      </c>
      <c r="D37" s="4" t="s">
        <v>1462</v>
      </c>
      <c r="E37" s="4" t="s">
        <v>1463</v>
      </c>
      <c r="G37" s="5" t="str">
        <f>IFERROR(__xludf.DUMMYFUNCTION("GOOGLETRANSLATE(A37, ""en"", ""id"")"),"36")</f>
        <v>36</v>
      </c>
      <c r="H37" s="5" t="str">
        <f>IFERROR(__xludf.DUMMYFUNCTION("GOOGLETRANSLATE(B37, ""en"", ""id"")"),"Di Surabaya, apa hukumnya jika pemain bertahan Tim A melompat keluar lapangan untuk menyelamatkan bola dan menendangnya kembali ke dalam permainan?")</f>
        <v>Di Surabaya, apa hukumnya jika pemain bertahan Tim A melompat keluar lapangan untuk menyelamatkan bola dan menendangnya kembali ke dalam permainan?</v>
      </c>
      <c r="I37" s="5" t="str">
        <f>IFERROR(__xludf.DUMMYFUNCTION("GOOGLETRANSLATE(C37, ""en"", ""id"")"),"A) Diizinkan, reli berlanjut B) Kesalahan, poin untuk Tim B C) Reli ulang D) Hanya peringatan")</f>
        <v>A) Diizinkan, reli berlanjut B) Kesalahan, poin untuk Tim B C) Reli ulang D) Hanya peringatan</v>
      </c>
      <c r="J37" s="5" t="str">
        <f>IFERROR(__xludf.DUMMYFUNCTION("GOOGLETRANSLATE(D37, ""en"", ""id"")"),"A) Diizinkan, reli berlanjut")</f>
        <v>A) Diizinkan, reli berlanjut</v>
      </c>
      <c r="K37" s="5" t="str">
        <f>IFERROR(__xludf.DUMMYFUNCTION("GOOGLETRANSLATE(E37, ""en"", ""id"")"),"Pemain dapat melangkah atau mendarat di luar jika bola dikembalikan secara sah.")</f>
        <v>Pemain dapat melangkah atau mendarat di luar jika bola dikembalikan secara sah.</v>
      </c>
    </row>
    <row r="38">
      <c r="A38" s="3">
        <v>37.0</v>
      </c>
      <c r="B38" s="4" t="s">
        <v>1464</v>
      </c>
      <c r="C38" s="7" t="s">
        <v>1465</v>
      </c>
      <c r="D38" s="4" t="s">
        <v>1466</v>
      </c>
      <c r="E38" s="4" t="s">
        <v>1467</v>
      </c>
      <c r="G38" s="5" t="str">
        <f>IFERROR(__xludf.DUMMYFUNCTION("GOOGLETRANSLATE(A38, ""en"", ""id"")"),"37")</f>
        <v>37</v>
      </c>
      <c r="H38" s="5" t="str">
        <f>IFERROR(__xludf.DUMMYFUNCTION("GOOGLETRANSLATE(B38, ""en"", ""id"")"),"Di Bali, apa keputusan yang diambil jika Tim X berargumen bahwa wasit salah menyebut spike “in”?")</f>
        <v>Di Bali, apa keputusan yang diambil jika Tim X berargumen bahwa wasit salah menyebut spike “in”?</v>
      </c>
      <c r="I38" s="5" t="str">
        <f>IFERROR(__xludf.DUMMYFUNCTION("GOOGLETRANSLATE(C38, ""en"", ""id"")"),"A) Replay rally B) Poin bertahan C) Peringatan karena perbedaan pendapat D) Pertandingan dihentikan sementara")</f>
        <v>A) Replay rally B) Poin bertahan C) Peringatan karena perbedaan pendapat D) Pertandingan dihentikan sementara</v>
      </c>
      <c r="J38" s="5" t="str">
        <f>IFERROR(__xludf.DUMMYFUNCTION("GOOGLETRANSLATE(D38, ""en"", ""id"")"),"B) Titik berdiri")</f>
        <v>B) Titik berdiri</v>
      </c>
      <c r="K38" s="5" t="str">
        <f>IFERROR(__xludf.DUMMYFUNCTION("GOOGLETRANSLATE(E38, ""en"", ""id"")"),"Keputusan wasit mengenai panggilan garis bersifat final.")</f>
        <v>Keputusan wasit mengenai panggilan garis bersifat final.</v>
      </c>
    </row>
    <row r="39">
      <c r="A39" s="3">
        <v>38.0</v>
      </c>
      <c r="B39" s="4" t="s">
        <v>1468</v>
      </c>
      <c r="C39" s="7" t="s">
        <v>1469</v>
      </c>
      <c r="D39" s="4" t="s">
        <v>1470</v>
      </c>
      <c r="E39" s="4" t="s">
        <v>1471</v>
      </c>
      <c r="G39" s="5" t="str">
        <f>IFERROR(__xludf.DUMMYFUNCTION("GOOGLETRANSLATE(A39, ""en"", ""id"")"),"38")</f>
        <v>38</v>
      </c>
      <c r="H39" s="5" t="str">
        <f>IFERROR(__xludf.DUMMYFUNCTION("GOOGLETRANSLATE(B39, ""en"", ""id"")"),"Dalam pertandingan indoor di Jakarta, apa keputusan yang diambil jika bola mengenai lampu langit-langit dan memantul ke lapangan lawan?")</f>
        <v>Dalam pertandingan indoor di Jakarta, apa keputusan yang diambil jika bola mengenai lampu langit-langit dan memantul ke lapangan lawan?</v>
      </c>
      <c r="I39" s="5" t="str">
        <f>IFERROR(__xludf.DUMMYFUNCTION("GOOGLETRANSLATE(C39, ""en"", ""id"")"),"A) Arahkan ke striker B) Putar ulang reli C) Arahkan ke lawan D) Putar ulang servis")</f>
        <v>A) Arahkan ke striker B) Putar ulang reli C) Arahkan ke lawan D) Putar ulang servis</v>
      </c>
      <c r="J39" s="5" t="str">
        <f>IFERROR(__xludf.DUMMYFUNCTION("GOOGLETRANSLATE(D39, ""en"", ""id"")"),"C) Menunjuk ke lawan")</f>
        <v>C) Menunjuk ke lawan</v>
      </c>
      <c r="K39" s="5" t="str">
        <f>IFERROR(__xludf.DUMMYFUNCTION("GOOGLETRANSLATE(E39, ""en"", ""id"")"),"Kontak dengan langit-langit atau perlengkapan keluar.")</f>
        <v>Kontak dengan langit-langit atau perlengkapan keluar.</v>
      </c>
    </row>
    <row r="40">
      <c r="A40" s="3">
        <v>39.0</v>
      </c>
      <c r="B40" s="4" t="s">
        <v>1472</v>
      </c>
      <c r="C40" s="7" t="s">
        <v>1473</v>
      </c>
      <c r="D40" s="4" t="s">
        <v>1474</v>
      </c>
      <c r="E40" s="4" t="s">
        <v>1475</v>
      </c>
      <c r="G40" s="5" t="str">
        <f>IFERROR(__xludf.DUMMYFUNCTION("GOOGLETRANSLATE(A40, ""en"", ""id"")"),"39")</f>
        <v>39</v>
      </c>
      <c r="H40" s="5" t="str">
        <f>IFERROR(__xludf.DUMMYFUNCTION("GOOGLETRANSLATE(B40, ""en"", ""id"")"),"Di Semarang, apa hukumannya jika Tim Y dengan sengaja menunda dimulainya kembali pertandingan di luar instruksi wasit?")</f>
        <v>Di Semarang, apa hukumannya jika Tim Y dengan sengaja menunda dimulainya kembali pertandingan di luar instruksi wasit?</v>
      </c>
      <c r="I40" s="5" t="str">
        <f>IFERROR(__xludf.DUMMYFUNCTION("GOOGLETRANSLATE(C40, ""en"", ""id"")"),"A) Replay rally B) Tunjuk lawan C) Hanya peringatan D) Pertandingan dijeda")</f>
        <v>A) Replay rally B) Tunjuk lawan C) Hanya peringatan D) Pertandingan dijeda</v>
      </c>
      <c r="J40" s="5" t="str">
        <f>IFERROR(__xludf.DUMMYFUNCTION("GOOGLETRANSLATE(D40, ""en"", ""id"")"),"B) Menunjuk ke lawan")</f>
        <v>B) Menunjuk ke lawan</v>
      </c>
      <c r="K40" s="5" t="str">
        <f>IFERROR(__xludf.DUMMYFUNCTION("GOOGLETRANSLATE(E40, ""en"", ""id"")"),"Menunda permainan setelah wasit memanggil akan dikenakan sanksi kehilangan poin.")</f>
        <v>Menunda permainan setelah wasit memanggil akan dikenakan sanksi kehilangan poin.</v>
      </c>
    </row>
    <row r="41">
      <c r="A41" s="3">
        <v>40.0</v>
      </c>
      <c r="B41" s="4" t="s">
        <v>1476</v>
      </c>
      <c r="C41" s="7" t="s">
        <v>1477</v>
      </c>
      <c r="D41" s="4" t="s">
        <v>1474</v>
      </c>
      <c r="E41" s="4" t="s">
        <v>1478</v>
      </c>
      <c r="G41" s="5" t="str">
        <f>IFERROR(__xludf.DUMMYFUNCTION("GOOGLETRANSLATE(A41, ""en"", ""id"")"),"40")</f>
        <v>40</v>
      </c>
      <c r="H41" s="5" t="str">
        <f>IFERROR(__xludf.DUMMYFUNCTION("GOOGLETRANSLATE(B41, ""en"", ""id"")"),"Di Surabaya, apa keputusannya jika bola bersarang di sisi gawang tanpa melewati gawang?")</f>
        <v>Di Surabaya, apa keputusannya jika bola bersarang di sisi gawang tanpa melewati gawang?</v>
      </c>
      <c r="I41" s="5" t="str">
        <f>IFERROR(__xludf.DUMMYFUNCTION("GOOGLETRANSLATE(C41, ""en"", ""id"")"),"A) Replay ulang B) Tunjuk ke lawan C) Tunjuk ke striker D) Replay servis")</f>
        <v>A) Replay ulang B) Tunjuk ke lawan C) Tunjuk ke striker D) Replay servis</v>
      </c>
      <c r="J41" s="5" t="str">
        <f>IFERROR(__xludf.DUMMYFUNCTION("GOOGLETRANSLATE(D41, ""en"", ""id"")"),"B) Menunjuk ke lawan")</f>
        <v>B) Menunjuk ke lawan</v>
      </c>
      <c r="K41" s="5" t="str">
        <f>IFERROR(__xludf.DUMMYFUNCTION("GOOGLETRANSLATE(E41, ""en"", ""id"")"),"Bola yang tersangkut tanpa melewati garis tengah adalah suatu kesalahan.")</f>
        <v>Bola yang tersangkut tanpa melewati garis tengah adalah suatu kesalahan.</v>
      </c>
    </row>
    <row r="42">
      <c r="A42" s="3">
        <v>41.0</v>
      </c>
      <c r="B42" s="4" t="s">
        <v>1479</v>
      </c>
      <c r="C42" s="7" t="s">
        <v>1480</v>
      </c>
      <c r="D42" s="4" t="s">
        <v>1481</v>
      </c>
      <c r="E42" s="4" t="s">
        <v>1482</v>
      </c>
      <c r="G42" s="5" t="str">
        <f>IFERROR(__xludf.DUMMYFUNCTION("GOOGLETRANSLATE(A42, ""en"", ""id"")"),"41")</f>
        <v>41</v>
      </c>
      <c r="H42" s="5" t="str">
        <f>IFERROR(__xludf.DUMMYFUNCTION("GOOGLETRANSLATE(B42, ""en"", ""id"")"),"Pada final di Jakarta, apa keputusannya jika wasit lupa melempar koin untuk set penentuan dan Tim A langsung melakukan servis?")</f>
        <v>Pada final di Jakarta, apa keputusannya jika wasit lupa melempar koin untuk set penentuan dan Tim A langsung melakukan servis?</v>
      </c>
      <c r="I42" s="5" t="str">
        <f>IFERROR(__xludf.DUMMYFUNCTION("GOOGLETRANSLATE(C42, ""en"", ""id"")"),"A) Servis berlanjut B) Ulangan dengan lemparan koin C) Tunjuk ke Tim B D) Peringatan kepada wasit")</f>
        <v>A) Servis berlanjut B) Ulangan dengan lemparan koin C) Tunjuk ke Tim B D) Peringatan kepada wasit</v>
      </c>
      <c r="J42" s="5" t="str">
        <f>IFERROR(__xludf.DUMMYFUNCTION("GOOGLETRANSLATE(D42, ""en"", ""id"")"),"B) Putar ulang dengan lemparan koin")</f>
        <v>B) Putar ulang dengan lemparan koin</v>
      </c>
      <c r="K42" s="5" t="str">
        <f>IFERROR(__xludf.DUMMYFUNCTION("GOOGLETRANSLATE(E42, ""en"", ""id"")"),"Urutan penyajian harus diputuskan dengan lemparan koin sebelum set terakhir.")</f>
        <v>Urutan penyajian harus diputuskan dengan lemparan koin sebelum set terakhir.</v>
      </c>
    </row>
    <row r="43">
      <c r="A43" s="3">
        <v>42.0</v>
      </c>
      <c r="B43" s="4" t="s">
        <v>1483</v>
      </c>
      <c r="C43" s="7" t="s">
        <v>1484</v>
      </c>
      <c r="D43" s="4" t="s">
        <v>1373</v>
      </c>
      <c r="E43" s="4" t="s">
        <v>1485</v>
      </c>
      <c r="G43" s="5" t="str">
        <f>IFERROR(__xludf.DUMMYFUNCTION("GOOGLETRANSLATE(A43, ""en"", ""id"")"),"42")</f>
        <v>42</v>
      </c>
      <c r="H43" s="5" t="str">
        <f>IFERROR(__xludf.DUMMYFUNCTION("GOOGLETRANSLATE(B43, ""en"", ""id"")"),"Di Bandung, apa keputusannya jika seorang server dari Tim X meletakkan satu lututnya di dalam lingkaran sebelum melakukan servis?")</f>
        <v>Di Bandung, apa keputusannya jika seorang server dari Tim X meletakkan satu lututnya di dalam lingkaran sebelum melakukan servis?</v>
      </c>
      <c r="I43" s="5" t="str">
        <f>IFERROR(__xludf.DUMMYFUNCTION("GOOGLETRANSLATE(C43, ""en"", ""id"")"),"A) Legal B) Fault, tunjuk Tim Y C) Servis ulang D) Peringatan")</f>
        <v>A) Legal B) Fault, tunjuk Tim Y C) Servis ulang D) Peringatan</v>
      </c>
      <c r="J43" s="5" t="str">
        <f>IFERROR(__xludf.DUMMYFUNCTION("GOOGLETRANSLATE(D43, ""en"", ""id"")"),"B) Kesalahan, arahkan ke Tim Y")</f>
        <v>B) Kesalahan, arahkan ke Tim Y</v>
      </c>
      <c r="K43" s="5" t="str">
        <f>IFERROR(__xludf.DUMMYFUNCTION("GOOGLETRANSLATE(E43, ""en"", ""id"")"),"Hanya kaki yang diizinkan menyentuh tanah di dalam lingkaran.")</f>
        <v>Hanya kaki yang diizinkan menyentuh tanah di dalam lingkaran.</v>
      </c>
    </row>
    <row r="44">
      <c r="A44" s="3">
        <v>43.0</v>
      </c>
      <c r="B44" s="4" t="s">
        <v>1486</v>
      </c>
      <c r="C44" s="7" t="s">
        <v>1487</v>
      </c>
      <c r="D44" s="4" t="s">
        <v>1488</v>
      </c>
      <c r="E44" s="4" t="s">
        <v>1489</v>
      </c>
      <c r="G44" s="5" t="str">
        <f>IFERROR(__xludf.DUMMYFUNCTION("GOOGLETRANSLATE(A44, ""en"", ""id"")"),"43")</f>
        <v>43</v>
      </c>
      <c r="H44" s="5" t="str">
        <f>IFERROR(__xludf.DUMMYFUNCTION("GOOGLETRANSLATE(B44, ""en"", ""id"")"),"Di Surabaya, apa hukumnya jika blocker Tim R berdiri tegak dengan memegang tiang gawang sambil melompat?")</f>
        <v>Di Surabaya, apa hukumnya jika blocker Tim R berdiri tegak dengan memegang tiang gawang sambil melompat?</v>
      </c>
      <c r="I44" s="5" t="str">
        <f>IFERROR(__xludf.DUMMYFUNCTION("GOOGLETRANSLATE(C44, ""en"", ""id"")"),"A) Kesalahan, poin untuk Tim S B) Permainan yang sah C) Reli ulang D) Hanya peringatan")</f>
        <v>A) Kesalahan, poin untuk Tim S B) Permainan yang sah C) Reli ulang D) Hanya peringatan</v>
      </c>
      <c r="J44" s="5" t="str">
        <f>IFERROR(__xludf.DUMMYFUNCTION("GOOGLETRANSLATE(D44, ""en"", ""id"")"),"A) Kesalahan, arahkan ke Tim S")</f>
        <v>A) Kesalahan, arahkan ke Tim S</v>
      </c>
      <c r="K44" s="5" t="str">
        <f>IFERROR(__xludf.DUMMYFUNCTION("GOOGLETRANSLATE(E44, ""en"", ""id"")"),"Menggunakan net post untuk dukungan adalah ilegal.")</f>
        <v>Menggunakan net post untuk dukungan adalah ilegal.</v>
      </c>
    </row>
    <row r="45">
      <c r="A45" s="3">
        <v>44.0</v>
      </c>
      <c r="B45" s="4" t="s">
        <v>1490</v>
      </c>
      <c r="C45" s="7" t="s">
        <v>1491</v>
      </c>
      <c r="D45" s="4" t="s">
        <v>1492</v>
      </c>
      <c r="E45" s="4" t="s">
        <v>1493</v>
      </c>
      <c r="G45" s="5" t="str">
        <f>IFERROR(__xludf.DUMMYFUNCTION("GOOGLETRANSLATE(A45, ""en"", ""id"")"),"44")</f>
        <v>44</v>
      </c>
      <c r="H45" s="5" t="str">
        <f>IFERROR(__xludf.DUMMYFUNCTION("GOOGLETRANSLATE(B45, ""en"", ""id"")"),"Di Bali, apa yang terjadi jika Tim P mengganti pemain saat reli langsung?")</f>
        <v>Di Bali, apa yang terjadi jika Tim P mengganti pemain saat reli langsung?</v>
      </c>
      <c r="I45" s="5" t="str">
        <f>IFERROR(__xludf.DUMMYFUNCTION("GOOGLETRANSLATE(C45, ""en"", ""id"")"),"A) Replay rally B) Kesalahan, poin untuk Tim Q C) Diizinkan jika cedera D) Hanya peringatan")</f>
        <v>A) Replay rally B) Kesalahan, poin untuk Tim Q C) Diizinkan jika cedera D) Hanya peringatan</v>
      </c>
      <c r="J45" s="5" t="str">
        <f>IFERROR(__xludf.DUMMYFUNCTION("GOOGLETRANSLATE(D45, ""en"", ""id"")"),"B) Kesalahan, tunjuk Tim Q")</f>
        <v>B) Kesalahan, tunjuk Tim Q</v>
      </c>
      <c r="K45" s="5" t="str">
        <f>IFERROR(__xludf.DUMMYFUNCTION("GOOGLETRANSLATE(E45, ""en"", ""id"")"),"Pergantian hanya dapat terjadi ketika bola mati.")</f>
        <v>Pergantian hanya dapat terjadi ketika bola mati.</v>
      </c>
    </row>
    <row r="46">
      <c r="A46" s="3">
        <v>45.0</v>
      </c>
      <c r="B46" s="4" t="s">
        <v>1494</v>
      </c>
      <c r="C46" s="7" t="s">
        <v>1495</v>
      </c>
      <c r="D46" s="4" t="s">
        <v>1496</v>
      </c>
      <c r="E46" s="4" t="s">
        <v>1497</v>
      </c>
      <c r="G46" s="5" t="str">
        <f>IFERROR(__xludf.DUMMYFUNCTION("GOOGLETRANSLATE(A46, ""en"", ""id"")"),"45")</f>
        <v>45</v>
      </c>
      <c r="H46" s="5" t="str">
        <f>IFERROR(__xludf.DUMMYFUNCTION("GOOGLETRANSLATE(B46, ""en"", ""id"")"),"Di Jakarta, apa keputusan yang diambil jika spike menyebabkan bola menggelinding sepanjang garis net sebelum masuk ke area lawan?")</f>
        <v>Di Jakarta, apa keputusan yang diambil jika spike menyebabkan bola menggelinding sepanjang garis net sebelum masuk ke area lawan?</v>
      </c>
      <c r="I46" s="5" t="str">
        <f>IFERROR(__xludf.DUMMYFUNCTION("GOOGLETRANSLATE(C46, ""en"", ""id"")"),"A) Arahkan ke spiker B) Ulangi reli C) Kesalahan, arahkan ke lawan D) Peringatan")</f>
        <v>A) Arahkan ke spiker B) Ulangi reli C) Kesalahan, arahkan ke lawan D) Peringatan</v>
      </c>
      <c r="J46" s="5" t="str">
        <f>IFERROR(__xludf.DUMMYFUNCTION("GOOGLETRANSLATE(D46, ""en"", ""id"")"),"A) Arahkan ke spiker")</f>
        <v>A) Arahkan ke spiker</v>
      </c>
      <c r="K46" s="5" t="str">
        <f>IFERROR(__xludf.DUMMYFUNCTION("GOOGLETRANSLATE(E46, ""en"", ""id"")"),"Selama bola melewati area lawan, maka permainan sah.")</f>
        <v>Selama bola melewati area lawan, maka permainan sah.</v>
      </c>
    </row>
    <row r="47">
      <c r="A47" s="3">
        <v>46.0</v>
      </c>
      <c r="B47" s="4" t="s">
        <v>1498</v>
      </c>
      <c r="C47" s="7" t="s">
        <v>1499</v>
      </c>
      <c r="D47" s="4" t="s">
        <v>1500</v>
      </c>
      <c r="E47" s="4" t="s">
        <v>1501</v>
      </c>
      <c r="G47" s="5" t="str">
        <f>IFERROR(__xludf.DUMMYFUNCTION("GOOGLETRANSLATE(A47, ""en"", ""id"")"),"46")</f>
        <v>46</v>
      </c>
      <c r="H47" s="5" t="str">
        <f>IFERROR(__xludf.DUMMYFUNCTION("GOOGLETRANSLATE(B47, ""en"", ""id"")"),"Di Bandung, apa hukumnya jika seorang penyerang mendarat dengan kaki menyilang di bawah gawang dan masuk ke wilayah lawan?")</f>
        <v>Di Bandung, apa hukumnya jika seorang penyerang mendarat dengan kaki menyilang di bawah gawang dan masuk ke wilayah lawan?</v>
      </c>
      <c r="I47" s="5" t="str">
        <f>IFERROR(__xludf.DUMMYFUNCTION("GOOGLETRANSLATE(C47, ""en"", ""id"")"),"A) Kesalahan, tunjuk lawan B) Permainan berlanjut C) Reli ulang D) Peringatan")</f>
        <v>A) Kesalahan, tunjuk lawan B) Permainan berlanjut C) Reli ulang D) Peringatan</v>
      </c>
      <c r="J47" s="5" t="str">
        <f>IFERROR(__xludf.DUMMYFUNCTION("GOOGLETRANSLATE(D47, ""en"", ""id"")"),"A) Kesalahan, tunjuk ke lawan")</f>
        <v>A) Kesalahan, tunjuk ke lawan</v>
      </c>
      <c r="K47" s="5" t="str">
        <f>IFERROR(__xludf.DUMMYFUNCTION("GOOGLETRANSLATE(E47, ""en"", ""id"")"),"Menyeberangi garis tengah tidak diizinkan.")</f>
        <v>Menyeberangi garis tengah tidak diizinkan.</v>
      </c>
    </row>
    <row r="48">
      <c r="A48" s="3">
        <v>47.0</v>
      </c>
      <c r="B48" s="4" t="s">
        <v>1502</v>
      </c>
      <c r="C48" s="7" t="s">
        <v>1503</v>
      </c>
      <c r="D48" s="4" t="s">
        <v>1504</v>
      </c>
      <c r="E48" s="4" t="s">
        <v>1505</v>
      </c>
      <c r="G48" s="5" t="str">
        <f>IFERROR(__xludf.DUMMYFUNCTION("GOOGLETRANSLATE(A48, ""en"", ""id"")"),"47")</f>
        <v>47</v>
      </c>
      <c r="H48" s="5" t="str">
        <f>IFERROR(__xludf.DUMMYFUNCTION("GOOGLETRANSLATE(B48, ""en"", ""id"")"),"Di Surabaya, apa yang diputuskan wasit jika pemain dari Tim A mengenakan celana pendek yang tidak serasi?")</f>
        <v>Di Surabaya, apa yang diputuskan wasit jika pemain dari Tim A mengenakan celana pendek yang tidak serasi?</v>
      </c>
      <c r="I48" s="5" t="str">
        <f>IFERROR(__xludf.DUMMYFUNCTION("GOOGLETRANSLATE(C48, ""en"", ""id"")"),"A) Izinkan bermain B) Peringatan, harus berubah C) Kesalahan, tunjuk lawan D) Ulangi reli")</f>
        <v>A) Izinkan bermain B) Peringatan, harus berubah C) Kesalahan, tunjuk lawan D) Ulangi reli</v>
      </c>
      <c r="J48" s="5" t="str">
        <f>IFERROR(__xludf.DUMMYFUNCTION("GOOGLETRANSLATE(D48, ""en"", ""id"")"),"B) Peringatan, harus diubah")</f>
        <v>B) Peringatan, harus diubah</v>
      </c>
      <c r="K48" s="5" t="str">
        <f>IFERROR(__xludf.DUMMYFUNCTION("GOOGLETRANSLATE(E48, ""en"", ""id"")"),"Aturan seragam ditegakkan demi keadilan dan identifikasi.")</f>
        <v>Aturan seragam ditegakkan demi keadilan dan identifikasi.</v>
      </c>
    </row>
    <row r="49">
      <c r="A49" s="3">
        <v>48.0</v>
      </c>
      <c r="B49" s="4" t="s">
        <v>1506</v>
      </c>
      <c r="C49" s="7" t="s">
        <v>1507</v>
      </c>
      <c r="D49" s="4" t="s">
        <v>1508</v>
      </c>
      <c r="E49" s="4" t="s">
        <v>1509</v>
      </c>
      <c r="G49" s="5" t="str">
        <f>IFERROR(__xludf.DUMMYFUNCTION("GOOGLETRANSLATE(A49, ""en"", ""id"")"),"48")</f>
        <v>48</v>
      </c>
      <c r="H49" s="5" t="str">
        <f>IFERROR(__xludf.DUMMYFUNCTION("GOOGLETRANSLATE(B49, ""en"", ""id"")"),"Di Bali, apa hukumnya jika paku mengenai badan wasit dan masuk ke area lapangan lawan?")</f>
        <v>Di Bali, apa hukumnya jika paku mengenai badan wasit dan masuk ke area lapangan lawan?</v>
      </c>
      <c r="I49" s="5" t="str">
        <f>IFERROR(__xludf.DUMMYFUNCTION("GOOGLETRANSLATE(C49, ""en"", ""id"")"),"A) Replay rally B) Tunjuk ke striker C) Tunjuk ke lawan D) Hanya peringatan")</f>
        <v>A) Replay rally B) Tunjuk ke striker C) Tunjuk ke lawan D) Hanya peringatan</v>
      </c>
      <c r="J49" s="5" t="str">
        <f>IFERROR(__xludf.DUMMYFUNCTION("GOOGLETRANSLATE(D49, ""en"", ""id"")"),"A) Reli ulang")</f>
        <v>A) Reli ulang</v>
      </c>
      <c r="K49" s="5" t="str">
        <f>IFERROR(__xludf.DUMMYFUNCTION("GOOGLETRANSLATE(E49, ""en"", ""id"")"),"Kontak dengan wasit dihitung sebagai campur tangan eksternal.")</f>
        <v>Kontak dengan wasit dihitung sebagai campur tangan eksternal.</v>
      </c>
    </row>
    <row r="50">
      <c r="A50" s="3">
        <v>49.0</v>
      </c>
      <c r="B50" s="4" t="s">
        <v>1510</v>
      </c>
      <c r="C50" s="7" t="s">
        <v>1511</v>
      </c>
      <c r="D50" s="4" t="s">
        <v>1512</v>
      </c>
      <c r="E50" s="4" t="s">
        <v>1513</v>
      </c>
      <c r="G50" s="5" t="str">
        <f>IFERROR(__xludf.DUMMYFUNCTION("GOOGLETRANSLATE(A50, ""en"", ""id"")"),"49")</f>
        <v>49</v>
      </c>
      <c r="H50" s="5" t="str">
        <f>IFERROR(__xludf.DUMMYFUNCTION("GOOGLETRANSLATE(B50, ""en"", ""id"")"),"Di Jakarta, apa yang terjadi jika Tim X terus berlatih tendangan di lapangan selama waktu istirahat?")</f>
        <v>Di Jakarta, apa yang terjadi jika Tim X terus berlatih tendangan di lapangan selama waktu istirahat?</v>
      </c>
      <c r="I50" s="5" t="str">
        <f>IFERROR(__xludf.DUMMYFUNCTION("GOOGLETRANSLATE(C50, ""en"", ""id"")"),"A) Diizinkan B) Peringatan dikeluarkan C) Arahkan ke Tim Y D) Ulangi reli sebelumnya")</f>
        <v>A) Diizinkan B) Peringatan dikeluarkan C) Arahkan ke Tim Y D) Ulangi reli sebelumnya</v>
      </c>
      <c r="J50" s="5" t="str">
        <f>IFERROR(__xludf.DUMMYFUNCTION("GOOGLETRANSLATE(D50, ""en"", ""id"")"),"B) Peringatan dikeluarkan")</f>
        <v>B) Peringatan dikeluarkan</v>
      </c>
      <c r="K50" s="5" t="str">
        <f>IFERROR(__xludf.DUMMYFUNCTION("GOOGLETRANSLATE(E50, ""en"", ""id"")"),"Pemain harus tetap diam di luar permainan selama waktu istirahat.")</f>
        <v>Pemain harus tetap diam di luar permainan selama waktu istirahat.</v>
      </c>
    </row>
    <row r="51">
      <c r="A51" s="3">
        <v>50.0</v>
      </c>
      <c r="B51" s="4" t="s">
        <v>1514</v>
      </c>
      <c r="C51" s="7" t="s">
        <v>1515</v>
      </c>
      <c r="D51" s="4" t="s">
        <v>1516</v>
      </c>
      <c r="E51" s="4" t="s">
        <v>1517</v>
      </c>
      <c r="G51" s="5" t="str">
        <f>IFERROR(__xludf.DUMMYFUNCTION("GOOGLETRANSLATE(A51, ""en"", ""id"")"),"50")</f>
        <v>50</v>
      </c>
      <c r="H51" s="5" t="str">
        <f>IFERROR(__xludf.DUMMYFUNCTION("GOOGLETRANSLATE(B51, ""en"", ""id"")"),"Di Bandung, apakah sah hukumnya apabila Tim M menendang bola melewati luar tiang gawang, tetapi bola melengkung kembali ke dalam batas wilayah?")</f>
        <v>Di Bandung, apakah sah hukumnya apabila Tim M menendang bola melewati luar tiang gawang, tetapi bola melengkung kembali ke dalam batas wilayah?</v>
      </c>
      <c r="I51" s="5" t="str">
        <f>IFERROR(__xludf.DUMMYFUNCTION("GOOGLETRANSLATE(C51, ""en"", ""id"")"),"A) Tunjuk Tim M B) Tunjuk Tim N C) Reli ulang D) Peringatan")</f>
        <v>A) Tunjuk Tim M B) Tunjuk Tim N C) Reli ulang D) Peringatan</v>
      </c>
      <c r="J51" s="5" t="str">
        <f>IFERROR(__xludf.DUMMYFUNCTION("GOOGLETRANSLATE(D51, ""en"", ""id"")"),"B) Tunjuk ke Tim N")</f>
        <v>B) Tunjuk ke Tim N</v>
      </c>
      <c r="K51" s="5" t="str">
        <f>IFERROR(__xludf.DUMMYFUNCTION("GOOGLETRANSLATE(E51, ""en"", ""id"")"),"Bola harus melewati net dalam tiang gawang.")</f>
        <v>Bola harus melewati net dalam tiang gawang.</v>
      </c>
    </row>
    <row r="52">
      <c r="A52" s="3">
        <v>51.0</v>
      </c>
      <c r="B52" s="4" t="s">
        <v>1518</v>
      </c>
      <c r="C52" s="7" t="s">
        <v>1519</v>
      </c>
      <c r="D52" s="4" t="s">
        <v>1520</v>
      </c>
      <c r="E52" s="4" t="s">
        <v>1521</v>
      </c>
      <c r="G52" s="5" t="str">
        <f>IFERROR(__xludf.DUMMYFUNCTION("GOOGLETRANSLATE(A52, ""en"", ""id"")"),"51")</f>
        <v>51</v>
      </c>
      <c r="H52" s="5" t="str">
        <f>IFERROR(__xludf.DUMMYFUNCTION("GOOGLETRANSLATE(B52, ""en"", ""id"")"),"Di Bali, apa hukumnya jika server melempar bola, menangkapnya, lalu melemparnya kembali sebelum melakukan servis?")</f>
        <v>Di Bali, apa hukumnya jika server melempar bola, menangkapnya, lalu melemparnya kembali sebelum melakukan servis?</v>
      </c>
      <c r="I52" s="5" t="str">
        <f>IFERROR(__xludf.DUMMYFUNCTION("GOOGLETRANSLATE(C52, ""en"", ""id"")"),"A) Servis ulang B) Kesalahan, tunjuk ke lawan C) Legal sekali D) Peringatan")</f>
        <v>A) Servis ulang B) Kesalahan, tunjuk ke lawan C) Legal sekali D) Peringatan</v>
      </c>
      <c r="J52" s="5" t="str">
        <f>IFERROR(__xludf.DUMMYFUNCTION("GOOGLETRANSLATE(D52, ""en"", ""id"")"),"B) Kesalahan, tunjuk ke lawan")</f>
        <v>B) Kesalahan, tunjuk ke lawan</v>
      </c>
      <c r="K52" s="5" t="str">
        <f>IFERROR(__xludf.DUMMYFUNCTION("GOOGLETRANSLATE(E52, ""en"", ""id"")"),"Hanya satu kali lemparan yang diperbolehkan.")</f>
        <v>Hanya satu kali lemparan yang diperbolehkan.</v>
      </c>
    </row>
    <row r="53">
      <c r="A53" s="3">
        <v>52.0</v>
      </c>
      <c r="B53" s="4" t="s">
        <v>1522</v>
      </c>
      <c r="C53" s="7" t="s">
        <v>1523</v>
      </c>
      <c r="D53" s="4" t="s">
        <v>1520</v>
      </c>
      <c r="E53" s="4" t="s">
        <v>1524</v>
      </c>
      <c r="G53" s="5" t="str">
        <f>IFERROR(__xludf.DUMMYFUNCTION("GOOGLETRANSLATE(A53, ""en"", ""id"")"),"52")</f>
        <v>52</v>
      </c>
      <c r="H53" s="5" t="str">
        <f>IFERROR(__xludf.DUMMYFUNCTION("GOOGLETRANSLATE(B53, ""en"", ""id"")"),"Di Jakarta, apa keputusannya jika seorang pelayan melompat dari tanah untuk melayani?")</f>
        <v>Di Jakarta, apa keputusannya jika seorang pelayan melompat dari tanah untuk melayani?</v>
      </c>
      <c r="I53" s="5" t="str">
        <f>IFERROR(__xludf.DUMMYFUNCTION("GOOGLETRANSLATE(C53, ""en"", ""id"")"),"A) Legal B) Fault, tunjuk ke lawan C) Servis ulang D) Peringatan")</f>
        <v>A) Legal B) Fault, tunjuk ke lawan C) Servis ulang D) Peringatan</v>
      </c>
      <c r="J53" s="5" t="str">
        <f>IFERROR(__xludf.DUMMYFUNCTION("GOOGLETRANSLATE(D53, ""en"", ""id"")"),"B) Kesalahan, tunjuk ke lawan")</f>
        <v>B) Kesalahan, tunjuk ke lawan</v>
      </c>
      <c r="K53" s="5" t="str">
        <f>IFERROR(__xludf.DUMMYFUNCTION("GOOGLETRANSLATE(E53, ""en"", ""id"")"),"Server harus tetap terhubung ke ground.")</f>
        <v>Server harus tetap terhubung ke ground.</v>
      </c>
    </row>
    <row r="54">
      <c r="A54" s="3">
        <v>53.0</v>
      </c>
      <c r="B54" s="4" t="s">
        <v>1525</v>
      </c>
      <c r="C54" s="7" t="s">
        <v>1526</v>
      </c>
      <c r="D54" s="4" t="s">
        <v>1527</v>
      </c>
      <c r="E54" s="4" t="s">
        <v>1528</v>
      </c>
      <c r="G54" s="5" t="str">
        <f>IFERROR(__xludf.DUMMYFUNCTION("GOOGLETRANSLATE(A54, ""en"", ""id"")"),"53")</f>
        <v>53</v>
      </c>
      <c r="H54" s="5" t="str">
        <f>IFERROR(__xludf.DUMMYFUNCTION("GOOGLETRANSLATE(B54, ""en"", ""id"")"),"Di Surabaya, apa yang terjadi jika sebuah paku menjepit bola di antara tiang gawang dan gawang?")</f>
        <v>Di Surabaya, apa yang terjadi jika sebuah paku menjepit bola di antara tiang gawang dan gawang?</v>
      </c>
      <c r="I54" s="5" t="str">
        <f>IFERROR(__xludf.DUMMYFUNCTION("GOOGLETRANSLATE(C54, ""en"", ""id"")"),"A) Arahkan ke lawan B) Putar ulang reli C) Arahkan ke striker D) Peringatan")</f>
        <v>A) Arahkan ke lawan B) Putar ulang reli C) Arahkan ke striker D) Peringatan</v>
      </c>
      <c r="J54" s="5" t="str">
        <f>IFERROR(__xludf.DUMMYFUNCTION("GOOGLETRANSLATE(D54, ""en"", ""id"")"),"A) Menunjuk ke lawan")</f>
        <v>A) Menunjuk ke lawan</v>
      </c>
      <c r="K54" s="5" t="str">
        <f>IFERROR(__xludf.DUMMYFUNCTION("GOOGLETRANSLATE(E54, ""en"", ""id"")"),"Bola yang terperangkap di luar area permainan adalah kesalahan.")</f>
        <v>Bola yang terperangkap di luar area permainan adalah kesalahan.</v>
      </c>
    </row>
    <row r="55">
      <c r="A55" s="3">
        <v>54.0</v>
      </c>
      <c r="B55" s="4" t="s">
        <v>1529</v>
      </c>
      <c r="C55" s="7" t="s">
        <v>1530</v>
      </c>
      <c r="D55" s="4" t="s">
        <v>1531</v>
      </c>
      <c r="E55" s="4" t="s">
        <v>1532</v>
      </c>
      <c r="G55" s="5" t="str">
        <f>IFERROR(__xludf.DUMMYFUNCTION("GOOGLETRANSLATE(A55, ""en"", ""id"")"),"54")</f>
        <v>54</v>
      </c>
      <c r="H55" s="5" t="str">
        <f>IFERROR(__xludf.DUMMYFUNCTION("GOOGLETRANSLATE(B55, ""en"", ""id"")"),"Di Bali, apa keputusan jika ikat kepala pemain jatuh ke lapangan di tengah reli dan permainan dilanjutkan?")</f>
        <v>Di Bali, apa keputusan jika ikat kepala pemain jatuh ke lapangan di tengah reli dan permainan dilanjutkan?</v>
      </c>
      <c r="I55" s="5" t="str">
        <f>IFERROR(__xludf.DUMMYFUNCTION("GOOGLETRANSLATE(C55, ""en"", ""id"")"),"A) Putar ulang reli B) Arahkan ke lawan C) Permainan berlanjut D) Peringatan")</f>
        <v>A) Putar ulang reli B) Arahkan ke lawan C) Permainan berlanjut D) Peringatan</v>
      </c>
      <c r="J55" s="5" t="str">
        <f>IFERROR(__xludf.DUMMYFUNCTION("GOOGLETRANSLATE(D55, ""en"", ""id"")"),"C) Permainan berlanjut")</f>
        <v>C) Permainan berlanjut</v>
      </c>
      <c r="K55" s="5" t="str">
        <f>IFERROR(__xludf.DUMMYFUNCTION("GOOGLETRANSLATE(E55, ""en"", ""id"")"),"Aksesoris yang jatuh tidak termasuk gangguan, kecuali menghalangi permainan.")</f>
        <v>Aksesoris yang jatuh tidak termasuk gangguan, kecuali menghalangi permainan.</v>
      </c>
    </row>
    <row r="56">
      <c r="A56" s="3">
        <v>55.0</v>
      </c>
      <c r="B56" s="4" t="s">
        <v>1533</v>
      </c>
      <c r="C56" s="7" t="s">
        <v>1534</v>
      </c>
      <c r="D56" s="4" t="s">
        <v>1535</v>
      </c>
      <c r="E56" s="4" t="s">
        <v>1536</v>
      </c>
      <c r="G56" s="5" t="str">
        <f>IFERROR(__xludf.DUMMYFUNCTION("GOOGLETRANSLATE(A56, ""en"", ""id"")"),"55")</f>
        <v>55</v>
      </c>
      <c r="H56" s="5" t="str">
        <f>IFERROR(__xludf.DUMMYFUNCTION("GOOGLETRANSLATE(B56, ""en"", ""id"")"),"Di Jakarta, apa hukumnya jika Tim A menggunakan empat sentuhan sebelum mengembalikan bola?")</f>
        <v>Di Jakarta, apa hukumnya jika Tim A menggunakan empat sentuhan sebelum mengembalikan bola?</v>
      </c>
      <c r="I56" s="5" t="str">
        <f>IFERROR(__xludf.DUMMYFUNCTION("GOOGLETRANSLATE(C56, ""en"", ""id"")"),"A) Hukum B) Kesalahan, tunjuk Tim B C) Reli ulang D) Peringatan")</f>
        <v>A) Hukum B) Kesalahan, tunjuk Tim B C) Reli ulang D) Peringatan</v>
      </c>
      <c r="J56" s="5" t="str">
        <f>IFERROR(__xludf.DUMMYFUNCTION("GOOGLETRANSLATE(D56, ""en"", ""id"")"),"B) Kesalahan, arahkan ke Tim B")</f>
        <v>B) Kesalahan, arahkan ke Tim B</v>
      </c>
      <c r="K56" s="5" t="str">
        <f>IFERROR(__xludf.DUMMYFUNCTION("GOOGLETRANSLATE(E56, ""en"", ""id"")"),"Maksimal tiga sentuhan per tim.")</f>
        <v>Maksimal tiga sentuhan per tim.</v>
      </c>
    </row>
    <row r="57">
      <c r="A57" s="3">
        <v>56.0</v>
      </c>
      <c r="B57" s="4" t="s">
        <v>1537</v>
      </c>
      <c r="C57" s="7" t="s">
        <v>1538</v>
      </c>
      <c r="D57" s="4" t="s">
        <v>1539</v>
      </c>
      <c r="E57" s="4" t="s">
        <v>1540</v>
      </c>
      <c r="G57" s="5" t="str">
        <f>IFERROR(__xludf.DUMMYFUNCTION("GOOGLETRANSLATE(A57, ""en"", ""id"")"),"56")</f>
        <v>56</v>
      </c>
      <c r="H57" s="5" t="str">
        <f>IFERROR(__xludf.DUMMYFUNCTION("GOOGLETRANSLATE(B57, ""en"", ""id"")"),"Di Bandung, apa keputusan jika pemain bertahan membelokkan bola dengan sol sepatunya dan bola tetap dalam permainan?")</f>
        <v>Di Bandung, apa keputusan jika pemain bertahan membelokkan bola dengan sol sepatunya dan bola tetap dalam permainan?</v>
      </c>
      <c r="I57" s="5" t="str">
        <f>IFERROR(__xludf.DUMMYFUNCTION("GOOGLETRANSLATE(C57, ""en"", ""id"")"),"A) Hukum B) Kesalahan C) Reli ulang D) Peringatan")</f>
        <v>A) Hukum B) Kesalahan C) Reli ulang D) Peringatan</v>
      </c>
      <c r="J57" s="5" t="str">
        <f>IFERROR(__xludf.DUMMYFUNCTION("GOOGLETRANSLATE(D57, ""en"", ""id"")"),"A) Hukum")</f>
        <v>A) Hukum</v>
      </c>
      <c r="K57" s="5" t="str">
        <f>IFERROR(__xludf.DUMMYFUNCTION("GOOGLETRANSLATE(E57, ""en"", ""id"")"),"Kaki, termasuk telapak kaki, sah.")</f>
        <v>Kaki, termasuk telapak kaki, sah.</v>
      </c>
    </row>
    <row r="58">
      <c r="A58" s="3">
        <v>57.0</v>
      </c>
      <c r="B58" s="4" t="s">
        <v>1541</v>
      </c>
      <c r="C58" s="7" t="s">
        <v>1542</v>
      </c>
      <c r="D58" s="4" t="s">
        <v>1543</v>
      </c>
      <c r="E58" s="4" t="s">
        <v>1544</v>
      </c>
      <c r="G58" s="5" t="str">
        <f>IFERROR(__xludf.DUMMYFUNCTION("GOOGLETRANSLATE(A58, ""en"", ""id"")"),"57")</f>
        <v>57</v>
      </c>
      <c r="H58" s="5" t="str">
        <f>IFERROR(__xludf.DUMMYFUNCTION("GOOGLETRANSLATE(B58, ""en"", ""id"")"),"Di Surabaya, apa hukumnya jika seorang server berteriak keras saat melakukan servis sehingga mengganggu lawan?")</f>
        <v>Di Surabaya, apa hukumnya jika seorang server berteriak keras saat melakukan servis sehingga mengganggu lawan?</v>
      </c>
      <c r="I58" s="5" t="str">
        <f>IFERROR(__xludf.DUMMYFUNCTION("GOOGLETRANSLATE(C58, ""en"", ""id"")"),"A) Permainan yang sah B) Tidak sportif, tunjuk lawan C) Reli ulang D) Hanya peringatan")</f>
        <v>A) Permainan yang sah B) Tidak sportif, tunjuk lawan C) Reli ulang D) Hanya peringatan</v>
      </c>
      <c r="J58" s="5" t="str">
        <f>IFERROR(__xludf.DUMMYFUNCTION("GOOGLETRANSLATE(D58, ""en"", ""id"")"),"B) Tidak sportif, menunjuk lawan")</f>
        <v>B) Tidak sportif, menunjuk lawan</v>
      </c>
      <c r="K58" s="5" t="str">
        <f>IFERROR(__xludf.DUMMYFUNCTION("GOOGLETRANSLATE(E58, ""en"", ""id"")"),"Gangguan merupakan perilaku yang tidak baik.")</f>
        <v>Gangguan merupakan perilaku yang tidak baik.</v>
      </c>
    </row>
    <row r="59">
      <c r="A59" s="3">
        <v>58.0</v>
      </c>
      <c r="B59" s="4" t="s">
        <v>1545</v>
      </c>
      <c r="C59" s="7" t="s">
        <v>1546</v>
      </c>
      <c r="D59" s="4" t="s">
        <v>1547</v>
      </c>
      <c r="E59" s="4" t="s">
        <v>1548</v>
      </c>
      <c r="G59" s="5" t="str">
        <f>IFERROR(__xludf.DUMMYFUNCTION("GOOGLETRANSLATE(A59, ""en"", ""id"")"),"58")</f>
        <v>58</v>
      </c>
      <c r="H59" s="5" t="str">
        <f>IFERROR(__xludf.DUMMYFUNCTION("GOOGLETRANSLATE(B59, ""en"", ""id"")"),"Di Bali, apa yang terjadi jika wasit mengumumkan skor yang salah, permainan dilanjutkan, dan kesalahan diperbaiki setelah reli?")</f>
        <v>Di Bali, apa yang terjadi jika wasit mengumumkan skor yang salah, permainan dilanjutkan, dan kesalahan diperbaiki setelah reli?</v>
      </c>
      <c r="I59" s="5" t="str">
        <f>IFERROR(__xludf.DUMMYFUNCTION("GOOGLETRANSLATE(C59, ""en"", ""id"")"),"A) Reli ulang B) Reli berlaku, skor dikoreksi C) Poin dibatalkan D) Peringatan")</f>
        <v>A) Reli ulang B) Reli berlaku, skor dikoreksi C) Poin dibatalkan D) Peringatan</v>
      </c>
      <c r="J59" s="5" t="str">
        <f>IFERROR(__xludf.DUMMYFUNCTION("GOOGLETRANSLATE(D59, ""en"", ""id"")"),"B) Rally berdiri, skor dikoreksi")</f>
        <v>B) Rally berdiri, skor dikoreksi</v>
      </c>
      <c r="K59" s="5" t="str">
        <f>IFERROR(__xludf.DUMMYFUNCTION("GOOGLETRANSLATE(E59, ""en"", ""id"")"),"Kesalahan skor tidak membatalkan reli.")</f>
        <v>Kesalahan skor tidak membatalkan reli.</v>
      </c>
    </row>
    <row r="60">
      <c r="A60" s="3">
        <v>59.0</v>
      </c>
      <c r="B60" s="4" t="s">
        <v>1549</v>
      </c>
      <c r="C60" s="7" t="s">
        <v>1550</v>
      </c>
      <c r="D60" s="4" t="s">
        <v>1508</v>
      </c>
      <c r="E60" s="4" t="s">
        <v>1551</v>
      </c>
      <c r="G60" s="5" t="str">
        <f>IFERROR(__xludf.DUMMYFUNCTION("GOOGLETRANSLATE(A60, ""en"", ""id"")"),"59")</f>
        <v>59</v>
      </c>
      <c r="H60" s="5" t="str">
        <f>IFERROR(__xludf.DUMMYFUNCTION("GOOGLETRANSLATE(B60, ""en"", ""id"")"),"Di Jakarta, apa keputusan jika bola pecah di tengah permainan saat reli?")</f>
        <v>Di Jakarta, apa keputusan jika bola pecah di tengah permainan saat reli?</v>
      </c>
      <c r="I60" s="5" t="str">
        <f>IFERROR(__xludf.DUMMYFUNCTION("GOOGLETRANSLATE(C60, ""en"", ""id"")"),"A) Replay rally B) Tunjuk ke striker C) Tunjuk ke lawan D) Pertandingan dihentikan")</f>
        <v>A) Replay rally B) Tunjuk ke striker C) Tunjuk ke lawan D) Pertandingan dihentikan</v>
      </c>
      <c r="J60" s="5" t="str">
        <f>IFERROR(__xludf.DUMMYFUNCTION("GOOGLETRANSLATE(D60, ""en"", ""id"")"),"A) Reli ulang")</f>
        <v>A) Reli ulang</v>
      </c>
      <c r="K60" s="5" t="str">
        <f>IFERROR(__xludf.DUMMYFUNCTION("GOOGLETRANSLATE(E60, ""en"", ""id"")"),"Kegagalan peralatan memerlukan pemutaran ulang.")</f>
        <v>Kegagalan peralatan memerlukan pemutaran ulang.</v>
      </c>
    </row>
    <row r="61">
      <c r="A61" s="3">
        <v>60.0</v>
      </c>
      <c r="B61" s="4" t="s">
        <v>1552</v>
      </c>
      <c r="C61" s="7" t="s">
        <v>1553</v>
      </c>
      <c r="D61" s="4" t="s">
        <v>1554</v>
      </c>
      <c r="E61" s="4" t="s">
        <v>1555</v>
      </c>
      <c r="G61" s="5" t="str">
        <f>IFERROR(__xludf.DUMMYFUNCTION("GOOGLETRANSLATE(A61, ""en"", ""id"")"),"60")</f>
        <v>60</v>
      </c>
      <c r="H61" s="5" t="str">
        <f>IFERROR(__xludf.DUMMYFUNCTION("GOOGLETRANSLATE(B61, ""en"", ""id"")"),"Di Bandung, apa keputusannya apabila wasit keliru memberi Tim C time out kedua dan kesalahannya diperbaiki kemudian?")</f>
        <v>Di Bandung, apa keputusannya apabila wasit keliru memberi Tim C time out kedua dan kesalahannya diperbaiki kemudian?</v>
      </c>
      <c r="I61" s="5" t="str">
        <f>IFERROR(__xludf.DUMMYFUNCTION("GOOGLETRANSLATE(C61, ""en"", ""id"")"),"A) Batalkan reli B) Ulangi reli C) Izinkan tetapi catat sebagai kesalahan D) Lawan mendapat poin")</f>
        <v>A) Batalkan reli B) Ulangi reli C) Izinkan tetapi catat sebagai kesalahan D) Lawan mendapat poin</v>
      </c>
      <c r="J61" s="5" t="str">
        <f>IFERROR(__xludf.DUMMYFUNCTION("GOOGLETRANSLATE(D61, ""en"", ""id"")"),"C) Izinkan tetapi catat sebagai kesalahan")</f>
        <v>C) Izinkan tetapi catat sebagai kesalahan</v>
      </c>
      <c r="K61" s="5" t="str">
        <f>IFERROR(__xludf.DUMMYFUNCTION("GOOGLETRANSLATE(E61, ""en"", ""id"")"),"Keputusan wasit tetap berlaku, tetapi kesalahan aturan dicatat.")</f>
        <v>Keputusan wasit tetap berlaku, tetapi kesalahan aturan dicatat.</v>
      </c>
    </row>
    <row r="62">
      <c r="A62" s="3">
        <v>61.0</v>
      </c>
      <c r="B62" s="4" t="s">
        <v>1556</v>
      </c>
      <c r="C62" s="7" t="s">
        <v>1557</v>
      </c>
      <c r="D62" s="4" t="s">
        <v>1520</v>
      </c>
      <c r="E62" s="4" t="s">
        <v>1558</v>
      </c>
      <c r="G62" s="5" t="str">
        <f>IFERROR(__xludf.DUMMYFUNCTION("GOOGLETRANSLATE(A62, ""en"", ""id"")"),"61")</f>
        <v>61</v>
      </c>
      <c r="H62" s="5" t="str">
        <f>IFERROR(__xludf.DUMMYFUNCTION("GOOGLETRANSLATE(B62, ""en"", ""id"")"),"Di Bali, apa hukumnya jika seorang blocker menabrak tiang gawang setelah melakukan upaya block dan bola mendarat di dalamnya?")</f>
        <v>Di Bali, apa hukumnya jika seorang blocker menabrak tiang gawang setelah melakukan upaya block dan bola mendarat di dalamnya?</v>
      </c>
      <c r="I62" s="5" t="str">
        <f>IFERROR(__xludf.DUMMYFUNCTION("GOOGLETRANSLATE(C62, ""en"", ""id"")"),"A) Poin tetap B) Kesalahan, tunjuk ke lawan C) Reli ulang D) Peringatan")</f>
        <v>A) Poin tetap B) Kesalahan, tunjuk ke lawan C) Reli ulang D) Peringatan</v>
      </c>
      <c r="J62" s="5" t="str">
        <f>IFERROR(__xludf.DUMMYFUNCTION("GOOGLETRANSLATE(D62, ""en"", ""id"")"),"B) Kesalahan, tunjuk ke lawan")</f>
        <v>B) Kesalahan, tunjuk ke lawan</v>
      </c>
      <c r="K62" s="5" t="str">
        <f>IFERROR(__xludf.DUMMYFUNCTION("GOOGLETRANSLATE(E62, ""en"", ""id"")"),"Kontak dengan pos adalah kesalahan.")</f>
        <v>Kontak dengan pos adalah kesalahan.</v>
      </c>
    </row>
    <row r="63">
      <c r="A63" s="3">
        <v>62.0</v>
      </c>
      <c r="B63" s="4" t="s">
        <v>1559</v>
      </c>
      <c r="C63" s="7" t="s">
        <v>1560</v>
      </c>
      <c r="D63" s="4" t="s">
        <v>1508</v>
      </c>
      <c r="E63" s="4" t="s">
        <v>1561</v>
      </c>
      <c r="G63" s="5" t="str">
        <f>IFERROR(__xludf.DUMMYFUNCTION("GOOGLETRANSLATE(A63, ""en"", ""id"")"),"62")</f>
        <v>62</v>
      </c>
      <c r="H63" s="5" t="str">
        <f>IFERROR(__xludf.DUMMYFUNCTION("GOOGLETRANSLATE(B63, ""en"", ""id"")"),"Di Jakarta, apa keputusan jika klakson darurat berbunyi di tengah demonstrasi?")</f>
        <v>Di Jakarta, apa keputusan jika klakson darurat berbunyi di tengah demonstrasi?</v>
      </c>
      <c r="I63" s="5" t="str">
        <f>IFERROR(__xludf.DUMMYFUNCTION("GOOGLETRANSLATE(C63, ""en"", ""id"")"),"A) Reli ulang B) Tunjuk tim terdepan C) Reli berlaku D) Pertandingan dibatalkan")</f>
        <v>A) Reli ulang B) Tunjuk tim terdepan C) Reli berlaku D) Pertandingan dibatalkan</v>
      </c>
      <c r="J63" s="5" t="str">
        <f>IFERROR(__xludf.DUMMYFUNCTION("GOOGLETRANSLATE(D63, ""en"", ""id"")"),"A) Reli ulang")</f>
        <v>A) Reli ulang</v>
      </c>
      <c r="K63" s="5" t="str">
        <f>IFERROR(__xludf.DUMMYFUNCTION("GOOGLETRANSLATE(E63, ""en"", ""id"")"),"Gangguan eksternal membatalkan reli.")</f>
        <v>Gangguan eksternal membatalkan reli.</v>
      </c>
    </row>
    <row r="64">
      <c r="A64" s="3">
        <v>63.0</v>
      </c>
      <c r="B64" s="4" t="s">
        <v>1562</v>
      </c>
      <c r="C64" s="7" t="s">
        <v>1563</v>
      </c>
      <c r="D64" s="4" t="s">
        <v>1564</v>
      </c>
      <c r="E64" s="4" t="s">
        <v>1565</v>
      </c>
      <c r="G64" s="5" t="str">
        <f>IFERROR(__xludf.DUMMYFUNCTION("GOOGLETRANSLATE(A64, ""en"", ""id"")"),"63")</f>
        <v>63</v>
      </c>
      <c r="H64" s="5" t="str">
        <f>IFERROR(__xludf.DUMMYFUNCTION("GOOGLETRANSLATE(B64, ""en"", ""id"")"),"Di Bandung, apa yang terjadi jika wasit menolak pergantian Tim Z di saat yang salah dan tim tersebut bersikeras?")</f>
        <v>Di Bandung, apa yang terjadi jika wasit menolak pergantian Tim Z di saat yang salah dan tim tersebut bersikeras?</v>
      </c>
      <c r="I64" s="5" t="str">
        <f>IFERROR(__xludf.DUMMYFUNCTION("GOOGLETRANSLATE(C64, ""en"", ""id"")"),"A) Permainan berlanjut tanpa pergantian pemain B) Lawan mendapat poin C) Reli ulang D) Peringatan")</f>
        <v>A) Permainan berlanjut tanpa pergantian pemain B) Lawan mendapat poin C) Reli ulang D) Peringatan</v>
      </c>
      <c r="J64" s="5" t="str">
        <f>IFERROR(__xludf.DUMMYFUNCTION("GOOGLETRANSLATE(D64, ""en"", ""id"")"),"A) Permainan berlanjut tanpa pergantian pemain")</f>
        <v>A) Permainan berlanjut tanpa pergantian pemain</v>
      </c>
      <c r="K64" s="5" t="str">
        <f>IFERROR(__xludf.DUMMYFUNCTION("GOOGLETRANSLATE(E64, ""en"", ""id"")"),"Pergantian hanya dilakukan saat bola mati.")</f>
        <v>Pergantian hanya dilakukan saat bola mati.</v>
      </c>
    </row>
    <row r="65">
      <c r="A65" s="3">
        <v>64.0</v>
      </c>
      <c r="B65" s="4" t="s">
        <v>1566</v>
      </c>
      <c r="C65" s="7" t="s">
        <v>1567</v>
      </c>
      <c r="D65" s="4" t="s">
        <v>1474</v>
      </c>
      <c r="E65" s="4" t="s">
        <v>1568</v>
      </c>
      <c r="G65" s="5" t="str">
        <f>IFERROR(__xludf.DUMMYFUNCTION("GOOGLETRANSLATE(A65, ""en"", ""id"")"),"64")</f>
        <v>64</v>
      </c>
      <c r="H65" s="5" t="str">
        <f>IFERROR(__xludf.DUMMYFUNCTION("GOOGLETRANSLATE(B65, ""en"", ""id"")"),"Di Bali, apa keputusan yang diambil jika seorang penyerang merayakan gol saat bola masih di udara, lalu bola kemudian mendarat di luar gawang?")</f>
        <v>Di Bali, apa keputusan yang diambil jika seorang penyerang merayakan gol saat bola masih di udara, lalu bola kemudian mendarat di luar gawang?</v>
      </c>
      <c r="I65" s="5" t="str">
        <f>IFERROR(__xludf.DUMMYFUNCTION("GOOGLETRANSLATE(C65, ""en"", ""id"")"),"A) Replay rally B) Tunjuk lawan C) Tunjuk striker D) Hanya peringatan")</f>
        <v>A) Replay rally B) Tunjuk lawan C) Tunjuk striker D) Hanya peringatan</v>
      </c>
      <c r="J65" s="5" t="str">
        <f>IFERROR(__xludf.DUMMYFUNCTION("GOOGLETRANSLATE(D65, ""en"", ""id"")"),"B) Menunjuk ke lawan")</f>
        <v>B) Menunjuk ke lawan</v>
      </c>
      <c r="K65" s="5" t="str">
        <f>IFERROR(__xludf.DUMMYFUNCTION("GOOGLETRANSLATE(E65, ""en"", ""id"")"),"Rally belum berakhir sampai bola mendarat.")</f>
        <v>Rally belum berakhir sampai bola mendarat.</v>
      </c>
    </row>
    <row r="66">
      <c r="A66" s="3">
        <v>65.0</v>
      </c>
      <c r="B66" s="4" t="s">
        <v>1569</v>
      </c>
      <c r="C66" s="7" t="s">
        <v>1570</v>
      </c>
      <c r="D66" s="4" t="s">
        <v>1474</v>
      </c>
      <c r="E66" s="4" t="s">
        <v>1571</v>
      </c>
      <c r="G66" s="5" t="str">
        <f>IFERROR(__xludf.DUMMYFUNCTION("GOOGLETRANSLATE(A66, ""en"", ""id"")"),"65")</f>
        <v>65</v>
      </c>
      <c r="H66" s="5" t="str">
        <f>IFERROR(__xludf.DUMMYFUNCTION("GOOGLETRANSLATE(B66, ""en"", ""id"")"),"Di Jakarta, apa yang diputuskan wasit jika Tim P membutuhkan waktu tambahan untuk kembali dari time out?")</f>
        <v>Di Jakarta, apa yang diputuskan wasit jika Tim P membutuhkan waktu tambahan untuk kembali dari time out?</v>
      </c>
      <c r="I66" s="5" t="str">
        <f>IFERROR(__xludf.DUMMYFUNCTION("GOOGLETRANSLATE(C66, ""en"", ""id"")"),"A) Putar ulang reli B) Arahkan ke lawan C) Izinkan penundaan D) Peringatan")</f>
        <v>A) Putar ulang reli B) Arahkan ke lawan C) Izinkan penundaan D) Peringatan</v>
      </c>
      <c r="J66" s="5" t="str">
        <f>IFERROR(__xludf.DUMMYFUNCTION("GOOGLETRANSLATE(D66, ""en"", ""id"")"),"B) Menunjuk ke lawan")</f>
        <v>B) Menunjuk ke lawan</v>
      </c>
      <c r="K66" s="5" t="str">
        <f>IFERROR(__xludf.DUMMYFUNCTION("GOOGLETRANSLATE(E66, ""en"", ""id"")"),"Penundaan setelah batas waktu dikenakan penalti berupa kehilangan poin.")</f>
        <v>Penundaan setelah batas waktu dikenakan penalti berupa kehilangan poin.</v>
      </c>
    </row>
    <row r="67">
      <c r="A67" s="3">
        <v>66.0</v>
      </c>
      <c r="B67" s="4" t="s">
        <v>1572</v>
      </c>
      <c r="C67" s="7" t="s">
        <v>1530</v>
      </c>
      <c r="D67" s="4" t="s">
        <v>1508</v>
      </c>
      <c r="E67" s="4" t="s">
        <v>1573</v>
      </c>
      <c r="G67" s="5" t="str">
        <f>IFERROR(__xludf.DUMMYFUNCTION("GOOGLETRANSLATE(A67, ""en"", ""id"")"),"66")</f>
        <v>66</v>
      </c>
      <c r="H67" s="5" t="str">
        <f>IFERROR(__xludf.DUMMYFUNCTION("GOOGLETRANSLATE(B67, ""en"", ""id"")"),"Di Bandung, apa hukumnya jika sepatu pemain terlepas dan mendarat di lapangan saat reli?")</f>
        <v>Di Bandung, apa hukumnya jika sepatu pemain terlepas dan mendarat di lapangan saat reli?</v>
      </c>
      <c r="I67" s="5" t="str">
        <f>IFERROR(__xludf.DUMMYFUNCTION("GOOGLETRANSLATE(C67, ""en"", ""id"")"),"A) Putar ulang reli B) Arahkan ke lawan C) Permainan berlanjut D) Peringatan")</f>
        <v>A) Putar ulang reli B) Arahkan ke lawan C) Permainan berlanjut D) Peringatan</v>
      </c>
      <c r="J67" s="5" t="str">
        <f>IFERROR(__xludf.DUMMYFUNCTION("GOOGLETRANSLATE(D67, ""en"", ""id"")"),"A) Reli ulang")</f>
        <v>A) Reli ulang</v>
      </c>
      <c r="K67" s="5" t="str">
        <f>IFERROR(__xludf.DUMMYFUNCTION("GOOGLETRANSLATE(E67, ""en"", ""id"")"),"Penghalang oleh peralatan memerlukan pemutaran ulang.")</f>
        <v>Penghalang oleh peralatan memerlukan pemutaran ulang.</v>
      </c>
    </row>
    <row r="68">
      <c r="A68" s="3">
        <v>67.0</v>
      </c>
      <c r="B68" s="4" t="s">
        <v>1574</v>
      </c>
      <c r="C68" s="7" t="s">
        <v>1575</v>
      </c>
      <c r="D68" s="4" t="s">
        <v>1442</v>
      </c>
      <c r="E68" s="4" t="s">
        <v>1576</v>
      </c>
      <c r="G68" s="5" t="str">
        <f>IFERROR(__xludf.DUMMYFUNCTION("GOOGLETRANSLATE(A68, ""en"", ""id"")"),"67")</f>
        <v>67</v>
      </c>
      <c r="H68" s="5" t="str">
        <f>IFERROR(__xludf.DUMMYFUNCTION("GOOGLETRANSLATE(B68, ""en"", ""id"")"),"Di Bali, apa keputusan yang diambil apabila terjadi keributan penonton sebelum melakukan servis, yang menyebabkan server ragu-ragu dan menunda servis?")</f>
        <v>Di Bali, apa keputusan yang diambil apabila terjadi keributan penonton sebelum melakukan servis, yang menyebabkan server ragu-ragu dan menunda servis?</v>
      </c>
      <c r="I68" s="5" t="str">
        <f>IFERROR(__xludf.DUMMYFUNCTION("GOOGLETRANSLATE(C68, ""en"", ""id"")"),"A) Servis ulang B) Kesalahan, tunjuk ke lawan C) Izinkan kelanjutan D) Peringatan")</f>
        <v>A) Servis ulang B) Kesalahan, tunjuk ke lawan C) Izinkan kelanjutan D) Peringatan</v>
      </c>
      <c r="J68" s="5" t="str">
        <f>IFERROR(__xludf.DUMMYFUNCTION("GOOGLETRANSLATE(D68, ""en"", ""id"")"),"A) Servis ulang")</f>
        <v>A) Servis ulang</v>
      </c>
      <c r="K68" s="5" t="str">
        <f>IFERROR(__xludf.DUMMYFUNCTION("GOOGLETRANSLATE(E68, ""en"", ""id"")"),"Gangguan kebisingan eksternal menyebabkan terjadinya pemutaran ulang.")</f>
        <v>Gangguan kebisingan eksternal menyebabkan terjadinya pemutaran ulang.</v>
      </c>
    </row>
    <row r="69">
      <c r="A69" s="3">
        <v>68.0</v>
      </c>
      <c r="B69" s="4" t="s">
        <v>1577</v>
      </c>
      <c r="C69" s="7" t="s">
        <v>1578</v>
      </c>
      <c r="D69" s="4" t="s">
        <v>1579</v>
      </c>
      <c r="E69" s="4" t="s">
        <v>1580</v>
      </c>
      <c r="G69" s="5" t="str">
        <f>IFERROR(__xludf.DUMMYFUNCTION("GOOGLETRANSLATE(A69, ""en"", ""id"")"),"68")</f>
        <v>68</v>
      </c>
      <c r="H69" s="5" t="str">
        <f>IFERROR(__xludf.DUMMYFUNCTION("GOOGLETRANSLATE(B69, ""en"", ""id"")"),"Di Jakarta, apa yang terjadi jika tim menemukan bola kurang angin setelah satu set selesai?")</f>
        <v>Di Jakarta, apa yang terjadi jika tim menemukan bola kurang angin setelah satu set selesai?</v>
      </c>
      <c r="I69" s="5" t="str">
        <f>IFERROR(__xludf.DUMMYFUNCTION("GOOGLETRANSLATE(C69, ""en"", ""id"")"),"A) Ulangi seluruh set B) Lanjutkan dengan bola yang benar pada set berikutnya C) Ulangi reli terakhir D) Batalkan pertandingan")</f>
        <v>A) Ulangi seluruh set B) Lanjutkan dengan bola yang benar pada set berikutnya C) Ulangi reli terakhir D) Batalkan pertandingan</v>
      </c>
      <c r="J69" s="5" t="str">
        <f>IFERROR(__xludf.DUMMYFUNCTION("GOOGLETRANSLATE(D69, ""en"", ""id"")"),"B) Lanjutkan dengan bola yang benar pada set berikutnya")</f>
        <v>B) Lanjutkan dengan bola yang benar pada set berikutnya</v>
      </c>
      <c r="K69" s="5" t="str">
        <f>IFERROR(__xludf.DUMMYFUNCTION("GOOGLETRANSLATE(E69, ""en"", ""id"")"),"Pertandingan terus berlanjut kecuali bola meledak saat dimainkan.")</f>
        <v>Pertandingan terus berlanjut kecuali bola meledak saat dimainkan.</v>
      </c>
    </row>
    <row r="70">
      <c r="A70" s="3">
        <v>69.0</v>
      </c>
      <c r="B70" s="4" t="s">
        <v>1581</v>
      </c>
      <c r="C70" s="7" t="s">
        <v>1582</v>
      </c>
      <c r="D70" s="4" t="s">
        <v>1474</v>
      </c>
      <c r="E70" s="4" t="s">
        <v>1583</v>
      </c>
      <c r="G70" s="5" t="str">
        <f>IFERROR(__xludf.DUMMYFUNCTION("GOOGLETRANSLATE(A70, ""en"", ""id"")"),"69")</f>
        <v>69</v>
      </c>
      <c r="H70" s="5" t="str">
        <f>IFERROR(__xludf.DUMMYFUNCTION("GOOGLETRANSLATE(B70, ""en"", ""id"")"),"Di Bandung, apa keputusan jika bola yang dibelokkan mengenai pelatih yang duduk di luar sebelum masuk kembali ke lapangan?")</f>
        <v>Di Bandung, apa keputusan jika bola yang dibelokkan mengenai pelatih yang duduk di luar sebelum masuk kembali ke lapangan?</v>
      </c>
      <c r="I70" s="5" t="str">
        <f>IFERROR(__xludf.DUMMYFUNCTION("GOOGLETRANSLATE(C70, ""en"", ""id"")"),"A) Replay rally B) Tunjuk lawan C) Tunjuk striker D) Peringatan")</f>
        <v>A) Replay rally B) Tunjuk lawan C) Tunjuk striker D) Peringatan</v>
      </c>
      <c r="J70" s="5" t="str">
        <f>IFERROR(__xludf.DUMMYFUNCTION("GOOGLETRANSLATE(D70, ""en"", ""id"")"),"B) Menunjuk ke lawan")</f>
        <v>B) Menunjuk ke lawan</v>
      </c>
      <c r="K70" s="5" t="str">
        <f>IFERROR(__xludf.DUMMYFUNCTION("GOOGLETRANSLATE(E70, ""en"", ""id"")"),"Kontak dengan objek luar mengakhiri reli.")</f>
        <v>Kontak dengan objek luar mengakhiri reli.</v>
      </c>
    </row>
    <row r="71">
      <c r="A71" s="3">
        <v>70.0</v>
      </c>
      <c r="B71" s="4" t="s">
        <v>1584</v>
      </c>
      <c r="C71" s="7" t="s">
        <v>1585</v>
      </c>
      <c r="D71" s="4" t="s">
        <v>1586</v>
      </c>
      <c r="E71" s="4" t="s">
        <v>1587</v>
      </c>
      <c r="G71" s="5" t="str">
        <f>IFERROR(__xludf.DUMMYFUNCTION("GOOGLETRANSLATE(A71, ""en"", ""id"")"),"70")</f>
        <v>70</v>
      </c>
      <c r="H71" s="5" t="str">
        <f>IFERROR(__xludf.DUMMYFUNCTION("GOOGLETRANSLATE(B71, ""en"", ""id"")"),"Di Bali, apa yang terjadi jika rekaman video menunjukkan kesalahan net tidak disadari oleh wasit?")</f>
        <v>Di Bali, apa yang terjadi jika rekaman video menunjukkan kesalahan net tidak disadari oleh wasit?</v>
      </c>
      <c r="I71" s="5" t="str">
        <f>IFERROR(__xludf.DUMMYFUNCTION("GOOGLETRANSLATE(C71, ""en"", ""id"")"),"A) Poin dikoreksi secara retroaktif B) Keputusan tetap berlaku C) Reli ulang D) Peringatan kepada wasit")</f>
        <v>A) Poin dikoreksi secara retroaktif B) Keputusan tetap berlaku C) Reli ulang D) Peringatan kepada wasit</v>
      </c>
      <c r="J71" s="5" t="str">
        <f>IFERROR(__xludf.DUMMYFUNCTION("GOOGLETRANSLATE(D71, ""en"", ""id"")"),"B) Keputusan tetap berlaku")</f>
        <v>B) Keputusan tetap berlaku</v>
      </c>
      <c r="K71" s="5" t="str">
        <f>IFERROR(__xludf.DUMMYFUNCTION("GOOGLETRANSLATE(E71, ""en"", ""id"")"),"Keputusan wasit bersifat final jika tidak ada sistem peninjauan ulang.")</f>
        <v>Keputusan wasit bersifat final jika tidak ada sistem peninjauan ulang.</v>
      </c>
    </row>
    <row r="72">
      <c r="A72" s="3">
        <v>71.0</v>
      </c>
      <c r="B72" s="4" t="s">
        <v>1588</v>
      </c>
      <c r="C72" s="7" t="s">
        <v>1589</v>
      </c>
      <c r="D72" s="4" t="s">
        <v>1590</v>
      </c>
      <c r="E72" s="4" t="s">
        <v>1591</v>
      </c>
      <c r="G72" s="5" t="str">
        <f>IFERROR(__xludf.DUMMYFUNCTION("GOOGLETRANSLATE(A72, ""en"", ""id"")"),"71")</f>
        <v>71</v>
      </c>
      <c r="H72" s="5" t="str">
        <f>IFERROR(__xludf.DUMMYFUNCTION("GOOGLETRANSLATE(B72, ""en"", ""id"")"),"Di Jakarta, apa keputusannya jika pemain bertahan berteriak “keluar” sebelum bola mendarat, dan bola kemudian mendarat di dalam?")</f>
        <v>Di Jakarta, apa keputusannya jika pemain bertahan berteriak “keluar” sebelum bola mendarat, dan bola kemudian mendarat di dalam?</v>
      </c>
      <c r="I72" s="5" t="str">
        <f>IFERROR(__xludf.DUMMYFUNCTION("GOOGLETRANSLATE(C72, ""en"", ""id"")"),"A) Replay rally B) Tunjuk ke penyerang C) Tunjuk ke bek D) Peringatan")</f>
        <v>A) Replay rally B) Tunjuk ke penyerang C) Tunjuk ke bek D) Peringatan</v>
      </c>
      <c r="J72" s="5" t="str">
        <f>IFERROR(__xludf.DUMMYFUNCTION("GOOGLETRANSLATE(D72, ""en"", ""id"")"),"B) Arahkan ke penyerang")</f>
        <v>B) Arahkan ke penyerang</v>
      </c>
      <c r="K72" s="5" t="str">
        <f>IFERROR(__xludf.DUMMYFUNCTION("GOOGLETRANSLATE(E72, ""en"", ""id"")"),"Gangguan merupakan pelanggaran; penyerang mendapat poin.")</f>
        <v>Gangguan merupakan pelanggaran; penyerang mendapat poin.</v>
      </c>
    </row>
    <row r="73">
      <c r="A73" s="3">
        <v>72.0</v>
      </c>
      <c r="B73" s="4" t="s">
        <v>1592</v>
      </c>
      <c r="C73" s="7" t="s">
        <v>1593</v>
      </c>
      <c r="D73" s="4" t="s">
        <v>1594</v>
      </c>
      <c r="E73" s="4" t="s">
        <v>1595</v>
      </c>
      <c r="G73" s="5" t="str">
        <f>IFERROR(__xludf.DUMMYFUNCTION("GOOGLETRANSLATE(A73, ""en"", ""id"")"),"72")</f>
        <v>72</v>
      </c>
      <c r="H73" s="5" t="str">
        <f>IFERROR(__xludf.DUMMYFUNCTION("GOOGLETRANSLATE(B73, ""en"", ""id"")"),"Di Bandung, apa keputusannya jika paku menyentuh garis batas?")</f>
        <v>Di Bandung, apa keputusannya jika paku menyentuh garis batas?</v>
      </c>
      <c r="I73" s="5" t="str">
        <f>IFERROR(__xludf.DUMMYFUNCTION("GOOGLETRANSLATE(C73, ""en"", ""id"")"),"A) Keluar B) Masuk, tunjuk ke striker C) Ulangan D) Peringatan")</f>
        <v>A) Keluar B) Masuk, tunjuk ke striker C) Ulangan D) Peringatan</v>
      </c>
      <c r="J73" s="5" t="str">
        <f>IFERROR(__xludf.DUMMYFUNCTION("GOOGLETRANSLATE(D73, ""en"", ""id"")"),"B) Masuk, arahkan ke striker")</f>
        <v>B) Masuk, arahkan ke striker</v>
      </c>
      <c r="K73" s="5" t="str">
        <f>IFERROR(__xludf.DUMMYFUNCTION("GOOGLETRANSLATE(E73, ""en"", ""id"")"),"Garis adalah bagian dari lapangan.")</f>
        <v>Garis adalah bagian dari lapangan.</v>
      </c>
    </row>
    <row r="74">
      <c r="A74" s="3">
        <v>73.0</v>
      </c>
      <c r="B74" s="4" t="s">
        <v>1596</v>
      </c>
      <c r="C74" s="7" t="s">
        <v>1597</v>
      </c>
      <c r="D74" s="4" t="s">
        <v>1598</v>
      </c>
      <c r="E74" s="4" t="s">
        <v>1599</v>
      </c>
      <c r="G74" s="5" t="str">
        <f>IFERROR(__xludf.DUMMYFUNCTION("GOOGLETRANSLATE(A74, ""en"", ""id"")"),"73")</f>
        <v>73</v>
      </c>
      <c r="H74" s="5" t="str">
        <f>IFERROR(__xludf.DUMMYFUNCTION("GOOGLETRANSLATE(B74, ""en"", ""id"")"),"Di Bali, apa yang diputuskan penyelenggara jika Tim B datang terlambat 15 menit untuk pertandingan?")</f>
        <v>Di Bali, apa yang diputuskan penyelenggara jika Tim B datang terlambat 15 menit untuk pertandingan?</v>
      </c>
      <c r="I74" s="5" t="str">
        <f>IFERROR(__xludf.DUMMYFUNCTION("GOOGLETRANSLATE(C74, ""en"", ""id"")"),"A) Lawan menang dengan kekalahan B) Pertandingan ditunda C) Ulangan dijadwalkan D) Peringatan")</f>
        <v>A) Lawan menang dengan kekalahan B) Pertandingan ditunda C) Ulangan dijadwalkan D) Peringatan</v>
      </c>
      <c r="J74" s="5" t="str">
        <f>IFERROR(__xludf.DUMMYFUNCTION("GOOGLETRANSLATE(D74, ""en"", ""id"")"),"A) Lawan menang dengan kekalahan")</f>
        <v>A) Lawan menang dengan kekalahan</v>
      </c>
      <c r="K74" s="5" t="str">
        <f>IFERROR(__xludf.DUMMYFUNCTION("GOOGLETRANSLATE(E74, ""en"", ""id"")"),"Gagal datang tepat waktu akan mengakibatkan kekalahan.")</f>
        <v>Gagal datang tepat waktu akan mengakibatkan kekalahan.</v>
      </c>
    </row>
    <row r="75">
      <c r="A75" s="3">
        <v>74.0</v>
      </c>
      <c r="B75" s="4" t="s">
        <v>1600</v>
      </c>
      <c r="C75" s="7" t="s">
        <v>1601</v>
      </c>
      <c r="D75" s="4" t="s">
        <v>1602</v>
      </c>
      <c r="E75" s="4" t="s">
        <v>1603</v>
      </c>
      <c r="G75" s="5" t="str">
        <f>IFERROR(__xludf.DUMMYFUNCTION("GOOGLETRANSLATE(A75, ""en"", ""id"")"),"74")</f>
        <v>74</v>
      </c>
      <c r="H75" s="5" t="str">
        <f>IFERROR(__xludf.DUMMYFUNCTION("GOOGLETRANSLATE(B75, ""en"", ""id"")"),"Di Jakarta, apakah sah hukumnya jika seorang pemain memukul bola dengan punggungnya saat melakukan reli?")</f>
        <v>Di Jakarta, apakah sah hukumnya jika seorang pemain memukul bola dengan punggungnya saat melakukan reli?</v>
      </c>
      <c r="I75" s="5" t="str">
        <f>IFERROR(__xludf.DUMMYFUNCTION("GOOGLETRANSLATE(C75, ""en"", ""id"")"),"A) Legal, reli berlanjut B) Fault, tunjuk lawan C) Reli ulang D) Peringatan")</f>
        <v>A) Legal, reli berlanjut B) Fault, tunjuk lawan C) Reli ulang D) Peringatan</v>
      </c>
      <c r="J75" s="5" t="str">
        <f>IFERROR(__xludf.DUMMYFUNCTION("GOOGLETRANSLATE(D75, ""en"", ""id"")"),"A) Hukum, aksi unjuk rasa terus berlanjut")</f>
        <v>A) Hukum, aksi unjuk rasa terus berlanjut</v>
      </c>
      <c r="K75" s="5" t="str">
        <f>IFERROR(__xludf.DUMMYFUNCTION("GOOGLETRANSLATE(E75, ""en"", ""id"")"),"Bagian tubuh mana pun, kecuali tangan/lengan, sah.")</f>
        <v>Bagian tubuh mana pun, kecuali tangan/lengan, sah.</v>
      </c>
    </row>
    <row r="76">
      <c r="A76" s="3">
        <v>75.0</v>
      </c>
      <c r="B76" s="4" t="s">
        <v>1604</v>
      </c>
      <c r="C76" s="7" t="s">
        <v>1605</v>
      </c>
      <c r="D76" s="4" t="s">
        <v>1606</v>
      </c>
      <c r="E76" s="4" t="s">
        <v>1607</v>
      </c>
      <c r="G76" s="5" t="str">
        <f>IFERROR(__xludf.DUMMYFUNCTION("GOOGLETRANSLATE(A76, ""en"", ""id"")"),"75")</f>
        <v>75</v>
      </c>
      <c r="H76" s="5" t="str">
        <f>IFERROR(__xludf.DUMMYFUNCTION("GOOGLETRANSLATE(B76, ""en"", ""id"")"),"Di Bandung, apa hukumnya jika pemain meludah di lapangan saat reli?")</f>
        <v>Di Bandung, apa hukumnya jika pemain meludah di lapangan saat reli?</v>
      </c>
      <c r="I76" s="5" t="str">
        <f>IFERROR(__xludf.DUMMYFUNCTION("GOOGLETRANSLATE(C76, ""en"", ""id"")"),"A) Replay rally B) Kesalahan, tunjuk lawan C) Izinkan permainan D) Hanya peringatan")</f>
        <v>A) Replay rally B) Kesalahan, tunjuk lawan C) Izinkan permainan D) Hanya peringatan</v>
      </c>
      <c r="J76" s="5" t="str">
        <f>IFERROR(__xludf.DUMMYFUNCTION("GOOGLETRANSLATE(D76, ""en"", ""id"")"),"D) Hanya peringatan")</f>
        <v>D) Hanya peringatan</v>
      </c>
      <c r="K76" s="5" t="str">
        <f>IFERROR(__xludf.DUMMYFUNCTION("GOOGLETRANSLATE(E76, ""en"", ""id"")"),"Tidak sportif tetapi tidak mempengaruhi reli.")</f>
        <v>Tidak sportif tetapi tidak mempengaruhi reli.</v>
      </c>
    </row>
    <row r="77">
      <c r="A77" s="3">
        <v>76.0</v>
      </c>
      <c r="B77" s="4" t="s">
        <v>1608</v>
      </c>
      <c r="C77" s="7" t="s">
        <v>1609</v>
      </c>
      <c r="D77" s="4" t="s">
        <v>1610</v>
      </c>
      <c r="E77" s="4" t="s">
        <v>1611</v>
      </c>
      <c r="G77" s="5" t="str">
        <f>IFERROR(__xludf.DUMMYFUNCTION("GOOGLETRANSLATE(A77, ""en"", ""id"")"),"76")</f>
        <v>76</v>
      </c>
      <c r="H77" s="5" t="str">
        <f>IFERROR(__xludf.DUMMYFUNCTION("GOOGLETRANSLATE(B77, ""en"", ""id"")"),"Di Bali, apa keputusan jika servis menyentuh net lalu mengenai langit-langit sebelum mendarat di lapangan lawan?")</f>
        <v>Di Bali, apa keputusan jika servis menyentuh net lalu mengenai langit-langit sebelum mendarat di lapangan lawan?</v>
      </c>
      <c r="I77" s="5" t="str">
        <f>IFERROR(__xludf.DUMMYFUNCTION("GOOGLETRANSLATE(C77, ""en"", ""id"")"),"A) Servis ulang B) Tunjuk ke server C) Kesalahan, tunjuk ke lawan D) Peringatan")</f>
        <v>A) Servis ulang B) Tunjuk ke server C) Kesalahan, tunjuk ke lawan D) Peringatan</v>
      </c>
      <c r="J77" s="5" t="str">
        <f>IFERROR(__xludf.DUMMYFUNCTION("GOOGLETRANSLATE(D77, ""en"", ""id"")"),"C) Kesalahan, tunjuk ke lawan")</f>
        <v>C) Kesalahan, tunjuk ke lawan</v>
      </c>
      <c r="K77" s="5" t="str">
        <f>IFERROR(__xludf.DUMMYFUNCTION("GOOGLETRANSLATE(E77, ""en"", ""id"")"),"Kontak langit-langit keluar.")</f>
        <v>Kontak langit-langit keluar.</v>
      </c>
    </row>
    <row r="78">
      <c r="A78" s="3">
        <v>77.0</v>
      </c>
      <c r="B78" s="4" t="s">
        <v>1612</v>
      </c>
      <c r="C78" s="7" t="s">
        <v>1613</v>
      </c>
      <c r="D78" s="4" t="s">
        <v>1614</v>
      </c>
      <c r="E78" s="4" t="s">
        <v>1615</v>
      </c>
      <c r="G78" s="5" t="str">
        <f>IFERROR(__xludf.DUMMYFUNCTION("GOOGLETRANSLATE(A78, ""en"", ""id"")"),"77")</f>
        <v>77</v>
      </c>
      <c r="H78" s="5" t="str">
        <f>IFERROR(__xludf.DUMMYFUNCTION("GOOGLETRANSLATE(B78, ""en"", ""id"")"),"Di Jakarta, tindakan apa yang diambil wasit jika seorang pemain memasuki lapangan tanpa alas kaki?")</f>
        <v>Di Jakarta, tindakan apa yang diambil wasit jika seorang pemain memasuki lapangan tanpa alas kaki?</v>
      </c>
      <c r="I78" s="5" t="str">
        <f>IFERROR(__xludf.DUMMYFUNCTION("GOOGLETRANSLATE(C78, ""en"", ""id"")"),"A) Izinkan bermain B) Peringatan, harus memakai sepatu C) Kesalahan, tunjuk lawan D) Ulangi reli")</f>
        <v>A) Izinkan bermain B) Peringatan, harus memakai sepatu C) Kesalahan, tunjuk lawan D) Ulangi reli</v>
      </c>
      <c r="J78" s="5" t="str">
        <f>IFERROR(__xludf.DUMMYFUNCTION("GOOGLETRANSLATE(D78, ""en"", ""id"")"),"B) Peringatan, harus memakai sepatu")</f>
        <v>B) Peringatan, harus memakai sepatu</v>
      </c>
      <c r="K78" s="5" t="str">
        <f>IFERROR(__xludf.DUMMYFUNCTION("GOOGLETRANSLATE(E78, ""en"", ""id"")"),"Diperlukan perlengkapan yang tepat.")</f>
        <v>Diperlukan perlengkapan yang tepat.</v>
      </c>
    </row>
    <row r="79">
      <c r="A79" s="3">
        <v>78.0</v>
      </c>
      <c r="B79" s="4" t="s">
        <v>1616</v>
      </c>
      <c r="C79" s="7" t="s">
        <v>1617</v>
      </c>
      <c r="D79" s="4" t="s">
        <v>1474</v>
      </c>
      <c r="E79" s="4" t="s">
        <v>1618</v>
      </c>
      <c r="G79" s="5" t="str">
        <f>IFERROR(__xludf.DUMMYFUNCTION("GOOGLETRANSLATE(A79, ""en"", ""id"")"),"78")</f>
        <v>78</v>
      </c>
      <c r="H79" s="5" t="str">
        <f>IFERROR(__xludf.DUMMYFUNCTION("GOOGLETRANSLATE(B79, ""en"", ""id"")"),"Di Bandung, apa keputusannya jika pelatih memperpanjang time out melebihi waktu yang diberikan yaitu 1 menit?")</f>
        <v>Di Bandung, apa keputusannya jika pelatih memperpanjang time out melebihi waktu yang diberikan yaitu 1 menit?</v>
      </c>
      <c r="I79" s="5" t="str">
        <f>IFERROR(__xludf.DUMMYFUNCTION("GOOGLETRANSLATE(C79, ""en"", ""id"")"),"A) Ulangi reli B) Arahkan ke lawan C) Hanya peringatan D) Izinkan kelanjutan")</f>
        <v>A) Ulangi reli B) Arahkan ke lawan C) Hanya peringatan D) Izinkan kelanjutan</v>
      </c>
      <c r="J79" s="5" t="str">
        <f>IFERROR(__xludf.DUMMYFUNCTION("GOOGLETRANSLATE(D79, ""en"", ""id"")"),"B) Menunjuk ke lawan")</f>
        <v>B) Menunjuk ke lawan</v>
      </c>
      <c r="K79" s="5" t="str">
        <f>IFERROR(__xludf.DUMMYFUNCTION("GOOGLETRANSLATE(E79, ""en"", ""id"")"),"Melebihi batas waktu akan dikenakan penalti.")</f>
        <v>Melebihi batas waktu akan dikenakan penalti.</v>
      </c>
    </row>
    <row r="80">
      <c r="A80" s="3">
        <v>79.0</v>
      </c>
      <c r="B80" s="4" t="s">
        <v>1619</v>
      </c>
      <c r="C80" s="7" t="s">
        <v>1620</v>
      </c>
      <c r="D80" s="4" t="s">
        <v>1621</v>
      </c>
      <c r="E80" s="4" t="s">
        <v>1622</v>
      </c>
      <c r="G80" s="5" t="str">
        <f>IFERROR(__xludf.DUMMYFUNCTION("GOOGLETRANSLATE(A80, ""en"", ""id"")"),"79")</f>
        <v>79</v>
      </c>
      <c r="H80" s="5" t="str">
        <f>IFERROR(__xludf.DUMMYFUNCTION("GOOGLETRANSLATE(B80, ""en"", ""id"")"),"Di Bali, apa tindakan wasit jika seorang pemain pingsan saat reli?")</f>
        <v>Di Bali, apa tindakan wasit jika seorang pemain pingsan saat reli?</v>
      </c>
      <c r="I80" s="5" t="str">
        <f>IFERROR(__xludf.DUMMYFUNCTION("GOOGLETRANSLATE(C80, ""en"", ""id"")"),"A) Ulangi reli B) Hentikan reli, tunjuk lawan C) Izinkan reli D) Tunda pertandingan")</f>
        <v>A) Ulangi reli B) Hentikan reli, tunjuk lawan C) Izinkan reli D) Tunda pertandingan</v>
      </c>
      <c r="J80" s="5" t="str">
        <f>IFERROR(__xludf.DUMMYFUNCTION("GOOGLETRANSLATE(D80, ""en"", ""id"")"),"B) Hentikan reli, arahkan ke lawan")</f>
        <v>B) Hentikan reli, arahkan ke lawan</v>
      </c>
      <c r="K80" s="5" t="str">
        <f>IFERROR(__xludf.DUMMYFUNCTION("GOOGLETRANSLATE(E80, ""en"", ""id"")"),"Jika permainan dihentikan oleh satu tim, lawan mendapat poin.")</f>
        <v>Jika permainan dihentikan oleh satu tim, lawan mendapat poin.</v>
      </c>
    </row>
    <row r="81">
      <c r="A81" s="3">
        <v>80.0</v>
      </c>
      <c r="B81" s="4" t="s">
        <v>1623</v>
      </c>
      <c r="C81" s="7" t="s">
        <v>1624</v>
      </c>
      <c r="D81" s="4" t="s">
        <v>1474</v>
      </c>
      <c r="E81" s="4" t="s">
        <v>1625</v>
      </c>
      <c r="G81" s="5" t="str">
        <f>IFERROR(__xludf.DUMMYFUNCTION("GOOGLETRANSLATE(A81, ""en"", ""id"")"),"80")</f>
        <v>80</v>
      </c>
      <c r="H81" s="5" t="str">
        <f>IFERROR(__xludf.DUMMYFUNCTION("GOOGLETRANSLATE(B81, ""en"", ""id"")"),"Di Jakarta, apa keputusannya jika seorang pelatih berteriak keras saat reli dan mengganggu lawan?")</f>
        <v>Di Jakarta, apa keputusannya jika seorang pelatih berteriak keras saat reli dan mengganggu lawan?</v>
      </c>
      <c r="I81" s="5" t="str">
        <f>IFERROR(__xludf.DUMMYFUNCTION("GOOGLETRANSLATE(C81, ""en"", ""id"")"),"A) Ulangi reli B) Arahkan ke lawan C) Peringatan ke pelatih D) Izinkan permainan")</f>
        <v>A) Ulangi reli B) Arahkan ke lawan C) Peringatan ke pelatih D) Izinkan permainan</v>
      </c>
      <c r="J81" s="5" t="str">
        <f>IFERROR(__xludf.DUMMYFUNCTION("GOOGLETRANSLATE(D81, ""en"", ""id"")"),"B) Menunjuk ke lawan")</f>
        <v>B) Menunjuk ke lawan</v>
      </c>
      <c r="K81" s="5" t="str">
        <f>IFERROR(__xludf.DUMMYFUNCTION("GOOGLETRANSLATE(E81, ""en"", ""id"")"),"Gangguan terhadap kepelatihan diberi sanksi.")</f>
        <v>Gangguan terhadap kepelatihan diberi sanksi.</v>
      </c>
    </row>
    <row r="82">
      <c r="A82" s="3">
        <v>81.0</v>
      </c>
      <c r="B82" s="4" t="s">
        <v>1626</v>
      </c>
      <c r="C82" s="7" t="s">
        <v>1627</v>
      </c>
      <c r="D82" s="4" t="s">
        <v>1628</v>
      </c>
      <c r="E82" s="4" t="s">
        <v>1629</v>
      </c>
      <c r="G82" s="5" t="str">
        <f>IFERROR(__xludf.DUMMYFUNCTION("GOOGLETRANSLATE(A82, ""en"", ""id"")"),"81")</f>
        <v>81</v>
      </c>
      <c r="H82" s="5" t="str">
        <f>IFERROR(__xludf.DUMMYFUNCTION("GOOGLETRANSLATE(B82, ""en"", ""id"")"),"Di Bandung, apa yang terjadi jika Tim Y mengklaim skor salah di tengah set dan wasit mengonfirmasi kesalahan tersebut?")</f>
        <v>Di Bandung, apa yang terjadi jika Tim Y mengklaim skor salah di tengah set dan wasit mengonfirmasi kesalahan tersebut?</v>
      </c>
      <c r="I82" s="5" t="str">
        <f>IFERROR(__xludf.DUMMYFUNCTION("GOOGLETRANSLATE(C82, ""en"", ""id"")"),"A) Replay rally B) Skor yang benar diumumkan, permainan berlanjut C) Lawan kehilangan poin D) Peringatan")</f>
        <v>A) Replay rally B) Skor yang benar diumumkan, permainan berlanjut C) Lawan kehilangan poin D) Peringatan</v>
      </c>
      <c r="J82" s="5" t="str">
        <f>IFERROR(__xludf.DUMMYFUNCTION("GOOGLETRANSLATE(D82, ""en"", ""id"")"),"B) Skor yang benar diumumkan, permainan dilanjutkan")</f>
        <v>B) Skor yang benar diumumkan, permainan dilanjutkan</v>
      </c>
      <c r="K82" s="5" t="str">
        <f>IFERROR(__xludf.DUMMYFUNCTION("GOOGLETRANSLATE(E82, ""en"", ""id"")"),"Kesalahan skor diperbaiki di tempat.")</f>
        <v>Kesalahan skor diperbaiki di tempat.</v>
      </c>
    </row>
    <row r="83">
      <c r="A83" s="3">
        <v>82.0</v>
      </c>
      <c r="B83" s="4" t="s">
        <v>1630</v>
      </c>
      <c r="C83" s="7" t="s">
        <v>1631</v>
      </c>
      <c r="D83" s="4" t="s">
        <v>1632</v>
      </c>
      <c r="E83" s="4" t="s">
        <v>1633</v>
      </c>
      <c r="G83" s="5" t="str">
        <f>IFERROR(__xludf.DUMMYFUNCTION("GOOGLETRANSLATE(A83, ""en"", ""id"")"),"82")</f>
        <v>82</v>
      </c>
      <c r="H83" s="5" t="str">
        <f>IFERROR(__xludf.DUMMYFUNCTION("GOOGLETRANSLATE(B83, ""en"", ""id"")"),"Di Bali, apa hukumnya jika bola memantul dua kali pada garis net sebelum melintas dan jatuh ke lapangan lawan?")</f>
        <v>Di Bali, apa hukumnya jika bola memantul dua kali pada garis net sebelum melintas dan jatuh ke lapangan lawan?</v>
      </c>
      <c r="I83" s="5" t="str">
        <f>IFERROR(__xludf.DUMMYFUNCTION("GOOGLETRANSLATE(C83, ""en"", ""id"")"),"A) Legal, tunjuk ke penyerang B) Replay rally C) Fault, tunjuk ke lawan D) Warning")</f>
        <v>A) Legal, tunjuk ke penyerang B) Replay rally C) Fault, tunjuk ke lawan D) Warning</v>
      </c>
      <c r="J83" s="5" t="str">
        <f>IFERROR(__xludf.DUMMYFUNCTION("GOOGLETRANSLATE(D83, ""en"", ""id"")"),"A) Hukum, tunjuk ke penyerang")</f>
        <v>A) Hukum, tunjuk ke penyerang</v>
      </c>
      <c r="K83" s="5" t="str">
        <f>IFERROR(__xludf.DUMMYFUNCTION("GOOGLETRANSLATE(E83, ""en"", ""id"")"),"Asalkan melintasi, maka itu sah.")</f>
        <v>Asalkan melintasi, maka itu sah.</v>
      </c>
    </row>
    <row r="84">
      <c r="A84" s="3">
        <v>83.0</v>
      </c>
      <c r="B84" s="4" t="s">
        <v>1634</v>
      </c>
      <c r="C84" s="7" t="s">
        <v>1635</v>
      </c>
      <c r="D84" s="4" t="s">
        <v>1520</v>
      </c>
      <c r="E84" s="4" t="s">
        <v>1636</v>
      </c>
      <c r="G84" s="5" t="str">
        <f>IFERROR(__xludf.DUMMYFUNCTION("GOOGLETRANSLATE(A84, ""en"", ""id"")"),"83")</f>
        <v>83</v>
      </c>
      <c r="H84" s="5" t="str">
        <f>IFERROR(__xludf.DUMMYFUNCTION("GOOGLETRANSLATE(B84, ""en"", ""id"")"),"Di Jakarta, apa hukumnya jika seorang pemain melemparkan ikat pinggangnya ke arah bola dalam upaya menghalanginya?")</f>
        <v>Di Jakarta, apa hukumnya jika seorang pemain melemparkan ikat pinggangnya ke arah bola dalam upaya menghalanginya?</v>
      </c>
      <c r="I84" s="5" t="str">
        <f>IFERROR(__xludf.DUMMYFUNCTION("GOOGLETRANSLATE(C84, ""en"", ""id"")"),"A) Legal B) Fault, tunjuk lawan C) Replay rally D) Peringatan saja")</f>
        <v>A) Legal B) Fault, tunjuk lawan C) Replay rally D) Peringatan saja</v>
      </c>
      <c r="J84" s="5" t="str">
        <f>IFERROR(__xludf.DUMMYFUNCTION("GOOGLETRANSLATE(D84, ""en"", ""id"")"),"B) Kesalahan, tunjuk ke lawan")</f>
        <v>B) Kesalahan, tunjuk ke lawan</v>
      </c>
      <c r="K84" s="5" t="str">
        <f>IFERROR(__xludf.DUMMYFUNCTION("GOOGLETRANSLATE(E84, ""en"", ""id"")"),"Hanya bagian tubuh yang boleh menyentuh bola.")</f>
        <v>Hanya bagian tubuh yang boleh menyentuh bola.</v>
      </c>
    </row>
    <row r="85">
      <c r="A85" s="3">
        <v>84.0</v>
      </c>
      <c r="B85" s="4" t="s">
        <v>1637</v>
      </c>
      <c r="C85" s="7" t="s">
        <v>1638</v>
      </c>
      <c r="D85" s="4" t="s">
        <v>1520</v>
      </c>
      <c r="E85" s="4" t="s">
        <v>1639</v>
      </c>
      <c r="G85" s="5" t="str">
        <f>IFERROR(__xludf.DUMMYFUNCTION("GOOGLETRANSLATE(A85, ""en"", ""id"")"),"84")</f>
        <v>84</v>
      </c>
      <c r="H85" s="5" t="str">
        <f>IFERROR(__xludf.DUMMYFUNCTION("GOOGLETRANSLATE(B85, ""en"", ""id"")"),"Di Bandung, apa hukumnya jika pemain bertahan menjebak bola di antara kedua lutut sebelum mengembalikannya?")</f>
        <v>Di Bandung, apa hukumnya jika pemain bertahan menjebak bola di antara kedua lutut sebelum mengembalikannya?</v>
      </c>
      <c r="I85" s="5" t="str">
        <f>IFERROR(__xludf.DUMMYFUNCTION("GOOGLETRANSLATE(C85, ""en"", ""id"")"),"A) Hukum B) Kesalahan, tunjuk lawan C) Reli ulang D) Peringatan")</f>
        <v>A) Hukum B) Kesalahan, tunjuk lawan C) Reli ulang D) Peringatan</v>
      </c>
      <c r="J85" s="5" t="str">
        <f>IFERROR(__xludf.DUMMYFUNCTION("GOOGLETRANSLATE(D85, ""en"", ""id"")"),"B) Kesalahan, tunjuk ke lawan")</f>
        <v>B) Kesalahan, tunjuk ke lawan</v>
      </c>
      <c r="K85" s="5" t="str">
        <f>IFERROR(__xludf.DUMMYFUNCTION("GOOGLETRANSLATE(E85, ""en"", ""id"")"),"Dilarang memegang/menjebak bola.")</f>
        <v>Dilarang memegang/menjebak bola.</v>
      </c>
    </row>
    <row r="86">
      <c r="A86" s="3">
        <v>85.0</v>
      </c>
      <c r="B86" s="4" t="s">
        <v>1640</v>
      </c>
      <c r="C86" s="7" t="s">
        <v>1638</v>
      </c>
      <c r="D86" s="4" t="s">
        <v>1520</v>
      </c>
      <c r="E86" s="4" t="s">
        <v>1641</v>
      </c>
      <c r="G86" s="5" t="str">
        <f>IFERROR(__xludf.DUMMYFUNCTION("GOOGLETRANSLATE(A86, ""en"", ""id"")"),"85")</f>
        <v>85</v>
      </c>
      <c r="H86" s="5" t="str">
        <f>IFERROR(__xludf.DUMMYFUNCTION("GOOGLETRANSLATE(B86, ""en"", ""id"")"),"Di Bali, apa keputusan jika bola melewati luar tiang gawang dan di atas kepala wasit tetapi mendarat di lapangan?")</f>
        <v>Di Bali, apa keputusan jika bola melewati luar tiang gawang dan di atas kepala wasit tetapi mendarat di lapangan?</v>
      </c>
      <c r="I86" s="5" t="str">
        <f>IFERROR(__xludf.DUMMYFUNCTION("GOOGLETRANSLATE(C86, ""en"", ""id"")"),"A) Hukum B) Kesalahan, tunjuk lawan C) Reli ulang D) Peringatan")</f>
        <v>A) Hukum B) Kesalahan, tunjuk lawan C) Reli ulang D) Peringatan</v>
      </c>
      <c r="J86" s="5" t="str">
        <f>IFERROR(__xludf.DUMMYFUNCTION("GOOGLETRANSLATE(D86, ""en"", ""id"")"),"B) Kesalahan, tunjuk ke lawan")</f>
        <v>B) Kesalahan, tunjuk ke lawan</v>
      </c>
      <c r="K86" s="5" t="str">
        <f>IFERROR(__xludf.DUMMYFUNCTION("GOOGLETRANSLATE(E86, ""en"", ""id"")"),"Harus melewati luas net.")</f>
        <v>Harus melewati luas net.</v>
      </c>
    </row>
    <row r="87">
      <c r="A87" s="3">
        <v>86.0</v>
      </c>
      <c r="B87" s="4" t="s">
        <v>1642</v>
      </c>
      <c r="C87" s="7" t="s">
        <v>1643</v>
      </c>
      <c r="D87" s="4" t="s">
        <v>1543</v>
      </c>
      <c r="E87" s="4" t="s">
        <v>1644</v>
      </c>
      <c r="G87" s="5" t="str">
        <f>IFERROR(__xludf.DUMMYFUNCTION("GOOGLETRANSLATE(A87, ""en"", ""id"")"),"86")</f>
        <v>86</v>
      </c>
      <c r="H87" s="5" t="str">
        <f>IFERROR(__xludf.DUMMYFUNCTION("GOOGLETRANSLATE(B87, ""en"", ""id"")"),"Di Jakarta, apa hukumnya jika seorang blocker bertepuk tangan keras di tengah reli untuk mengalihkan perhatian lawan?")</f>
        <v>Di Jakarta, apa hukumnya jika seorang blocker bertepuk tangan keras di tengah reli untuk mengalihkan perhatian lawan?</v>
      </c>
      <c r="I87" s="5" t="str">
        <f>IFERROR(__xludf.DUMMYFUNCTION("GOOGLETRANSLATE(C87, ""en"", ""id"")"),"A) Legal B) Tidak sportif, tunjuk lawan C) Reli ulang D) Hanya peringatan")</f>
        <v>A) Legal B) Tidak sportif, tunjuk lawan C) Reli ulang D) Hanya peringatan</v>
      </c>
      <c r="J87" s="5" t="str">
        <f>IFERROR(__xludf.DUMMYFUNCTION("GOOGLETRANSLATE(D87, ""en"", ""id"")"),"B) Tidak sportif, menunjuk lawan")</f>
        <v>B) Tidak sportif, menunjuk lawan</v>
      </c>
      <c r="K87" s="5" t="str">
        <f>IFERROR(__xludf.DUMMYFUNCTION("GOOGLETRANSLATE(E87, ""en"", ""id"")"),"Gangguan akan dikenakan sanksi.")</f>
        <v>Gangguan akan dikenakan sanksi.</v>
      </c>
    </row>
    <row r="88">
      <c r="A88" s="3">
        <v>87.0</v>
      </c>
      <c r="B88" s="4" t="s">
        <v>1645</v>
      </c>
      <c r="C88" s="7" t="s">
        <v>1646</v>
      </c>
      <c r="D88" s="4" t="s">
        <v>1520</v>
      </c>
      <c r="E88" s="4" t="s">
        <v>1647</v>
      </c>
      <c r="G88" s="5" t="str">
        <f>IFERROR(__xludf.DUMMYFUNCTION("GOOGLETRANSLATE(A88, ""en"", ""id"")"),"87")</f>
        <v>87</v>
      </c>
      <c r="H88" s="5" t="str">
        <f>IFERROR(__xludf.DUMMYFUNCTION("GOOGLETRANSLATE(B88, ""en"", ""id"")"),"Di Bandung, apa hukumnya jika seorang server menendang bola sebelum peluit wasit berbunyi?")</f>
        <v>Di Bandung, apa hukumnya jika seorang server menendang bola sebelum peluit wasit berbunyi?</v>
      </c>
      <c r="I88" s="5" t="str">
        <f>IFERROR(__xludf.DUMMYFUNCTION("GOOGLETRANSLATE(C88, ""en"", ""id"")"),"A) Servis ulang B) Kesalahan, tunjuk ke lawan C) Izinkan servis D) Hanya peringatan")</f>
        <v>A) Servis ulang B) Kesalahan, tunjuk ke lawan C) Izinkan servis D) Hanya peringatan</v>
      </c>
      <c r="J88" s="5" t="str">
        <f>IFERROR(__xludf.DUMMYFUNCTION("GOOGLETRANSLATE(D88, ""en"", ""id"")"),"B) Kesalahan, tunjuk ke lawan")</f>
        <v>B) Kesalahan, tunjuk ke lawan</v>
      </c>
      <c r="K88" s="5" t="str">
        <f>IFERROR(__xludf.DUMMYFUNCTION("GOOGLETRANSLATE(E88, ""en"", ""id"")"),"Harus menunggu sinyal.")</f>
        <v>Harus menunggu sinyal.</v>
      </c>
    </row>
    <row r="89">
      <c r="A89" s="3">
        <v>88.0</v>
      </c>
      <c r="B89" s="4" t="s">
        <v>1648</v>
      </c>
      <c r="C89" s="7" t="s">
        <v>1649</v>
      </c>
      <c r="D89" s="4" t="s">
        <v>1508</v>
      </c>
      <c r="E89" s="4" t="s">
        <v>1650</v>
      </c>
      <c r="G89" s="5" t="str">
        <f>IFERROR(__xludf.DUMMYFUNCTION("GOOGLETRANSLATE(A89, ""en"", ""id"")"),"88")</f>
        <v>88</v>
      </c>
      <c r="H89" s="5" t="str">
        <f>IFERROR(__xludf.DUMMYFUNCTION("GOOGLETRANSLATE(B89, ""en"", ""id"")"),"Di Bali, apa keputusan yang diambil jika bola mengenai perangkat kamera TV di atas lapangan dan jatuh kembali?")</f>
        <v>Di Bali, apa keputusan yang diambil jika bola mengenai perangkat kamera TV di atas lapangan dan jatuh kembali?</v>
      </c>
      <c r="I89" s="5" t="str">
        <f>IFERROR(__xludf.DUMMYFUNCTION("GOOGLETRANSLATE(C89, ""en"", ""id"")"),"A) Replay rally B) Tunjuk ke striker C) Tunjuk ke lawan D) Peringatan")</f>
        <v>A) Replay rally B) Tunjuk ke striker C) Tunjuk ke lawan D) Peringatan</v>
      </c>
      <c r="J89" s="5" t="str">
        <f>IFERROR(__xludf.DUMMYFUNCTION("GOOGLETRANSLATE(D89, ""en"", ""id"")"),"A) Reli ulang")</f>
        <v>A) Reli ulang</v>
      </c>
      <c r="K89" s="5" t="str">
        <f>IFERROR(__xludf.DUMMYFUNCTION("GOOGLETRANSLATE(E89, ""en"", ""id"")"),"Gangguan peralatan = pemutaran ulang.")</f>
        <v>Gangguan peralatan = pemutaran ulang.</v>
      </c>
    </row>
    <row r="90">
      <c r="A90" s="3">
        <v>89.0</v>
      </c>
      <c r="B90" s="4" t="s">
        <v>1651</v>
      </c>
      <c r="C90" s="7" t="s">
        <v>1652</v>
      </c>
      <c r="D90" s="4" t="s">
        <v>1520</v>
      </c>
      <c r="E90" s="4" t="s">
        <v>1653</v>
      </c>
      <c r="G90" s="5" t="str">
        <f>IFERROR(__xludf.DUMMYFUNCTION("GOOGLETRANSLATE(A90, ""en"", ""id"")"),"89")</f>
        <v>89</v>
      </c>
      <c r="H90" s="5" t="str">
        <f>IFERROR(__xludf.DUMMYFUNCTION("GOOGLETRANSLATE(B90, ""en"", ""id"")"),"Di Jakarta, apa keputusannya jika seorang pembela berlari ke bangku cadangan saat demonstrasi tanpa izin?")</f>
        <v>Di Jakarta, apa keputusannya jika seorang pembela berlari ke bangku cadangan saat demonstrasi tanpa izin?</v>
      </c>
      <c r="I90" s="5" t="str">
        <f>IFERROR(__xludf.DUMMYFUNCTION("GOOGLETRANSLATE(C90, ""en"", ""id"")"),"A) Permainan berlanjut B) Kesalahan, tunjuk lawan C) Reli ulang D) Peringatan")</f>
        <v>A) Permainan berlanjut B) Kesalahan, tunjuk lawan C) Reli ulang D) Peringatan</v>
      </c>
      <c r="J90" s="5" t="str">
        <f>IFERROR(__xludf.DUMMYFUNCTION("GOOGLETRANSLATE(D90, ""en"", ""id"")"),"B) Kesalahan, tunjuk ke lawan")</f>
        <v>B) Kesalahan, tunjuk ke lawan</v>
      </c>
      <c r="K90" s="5" t="str">
        <f>IFERROR(__xludf.DUMMYFUNCTION("GOOGLETRANSLATE(E90, ""en"", ""id"")"),"Pemain harus tetap berada di dalam lapangan.")</f>
        <v>Pemain harus tetap berada di dalam lapangan.</v>
      </c>
    </row>
    <row r="91">
      <c r="A91" s="3">
        <v>90.0</v>
      </c>
      <c r="B91" s="4" t="s">
        <v>1654</v>
      </c>
      <c r="C91" s="7" t="s">
        <v>1638</v>
      </c>
      <c r="D91" s="4" t="s">
        <v>1520</v>
      </c>
      <c r="E91" s="4" t="s">
        <v>1655</v>
      </c>
      <c r="G91" s="5" t="str">
        <f>IFERROR(__xludf.DUMMYFUNCTION("GOOGLETRANSLATE(A91, ""en"", ""id"")"),"90")</f>
        <v>90</v>
      </c>
      <c r="H91" s="5" t="str">
        <f>IFERROR(__xludf.DUMMYFUNCTION("GOOGLETRANSLATE(B91, ""en"", ""id"")"),"Di Bandung, apa hukumnya jika pemain bertahan menggunakan lengan bawahnya secara tidak sengaja untuk memainkan bola?")</f>
        <v>Di Bandung, apa hukumnya jika pemain bertahan menggunakan lengan bawahnya secara tidak sengaja untuk memainkan bola?</v>
      </c>
      <c r="I91" s="5" t="str">
        <f>IFERROR(__xludf.DUMMYFUNCTION("GOOGLETRANSLATE(C91, ""en"", ""id"")"),"A) Hukum B) Kesalahan, tunjuk lawan C) Reli ulang D) Peringatan")</f>
        <v>A) Hukum B) Kesalahan, tunjuk lawan C) Reli ulang D) Peringatan</v>
      </c>
      <c r="J91" s="5" t="str">
        <f>IFERROR(__xludf.DUMMYFUNCTION("GOOGLETRANSLATE(D91, ""en"", ""id"")"),"B) Kesalahan, tunjuk ke lawan")</f>
        <v>B) Kesalahan, tunjuk ke lawan</v>
      </c>
      <c r="K91" s="5" t="str">
        <f>IFERROR(__xludf.DUMMYFUNCTION("GOOGLETRANSLATE(E91, ""en"", ""id"")"),"Tangan/lengan ilegal di Sepak Takraw.")</f>
        <v>Tangan/lengan ilegal di Sepak Takraw.</v>
      </c>
    </row>
    <row r="92">
      <c r="A92" s="3">
        <v>91.0</v>
      </c>
      <c r="B92" s="4" t="s">
        <v>1656</v>
      </c>
      <c r="C92" s="7" t="s">
        <v>1649</v>
      </c>
      <c r="D92" s="4" t="s">
        <v>1508</v>
      </c>
      <c r="E92" s="4" t="s">
        <v>1657</v>
      </c>
      <c r="G92" s="5" t="str">
        <f>IFERROR(__xludf.DUMMYFUNCTION("GOOGLETRANSLATE(A92, ""en"", ""id"")"),"91")</f>
        <v>91</v>
      </c>
      <c r="H92" s="5" t="str">
        <f>IFERROR(__xludf.DUMMYFUNCTION("GOOGLETRANSLATE(B92, ""en"", ""id"")"),"Di Bali, apa keputusannya jika sinar laser dari penonton diarahkan ke mata seorang striker di tengah reli?")</f>
        <v>Di Bali, apa keputusannya jika sinar laser dari penonton diarahkan ke mata seorang striker di tengah reli?</v>
      </c>
      <c r="I92" s="5" t="str">
        <f>IFERROR(__xludf.DUMMYFUNCTION("GOOGLETRANSLATE(C92, ""en"", ""id"")"),"A) Replay rally B) Tunjuk ke striker C) Tunjuk ke lawan D) Peringatan")</f>
        <v>A) Replay rally B) Tunjuk ke striker C) Tunjuk ke lawan D) Peringatan</v>
      </c>
      <c r="J92" s="5" t="str">
        <f>IFERROR(__xludf.DUMMYFUNCTION("GOOGLETRANSLATE(D92, ""en"", ""id"")"),"A) Reli ulang")</f>
        <v>A) Reli ulang</v>
      </c>
      <c r="K92" s="5" t="str">
        <f>IFERROR(__xludf.DUMMYFUNCTION("GOOGLETRANSLATE(E92, ""en"", ""id"")"),"Gangguan eksternal membatalkan rapat umum.")</f>
        <v>Gangguan eksternal membatalkan rapat umum.</v>
      </c>
    </row>
    <row r="93">
      <c r="A93" s="3">
        <v>92.0</v>
      </c>
      <c r="B93" s="4" t="s">
        <v>1658</v>
      </c>
      <c r="C93" s="7" t="s">
        <v>1659</v>
      </c>
      <c r="D93" s="4" t="s">
        <v>1660</v>
      </c>
      <c r="E93" s="4" t="s">
        <v>1661</v>
      </c>
      <c r="G93" s="5" t="str">
        <f>IFERROR(__xludf.DUMMYFUNCTION("GOOGLETRANSLATE(A93, ""en"", ""id"")"),"92")</f>
        <v>92</v>
      </c>
      <c r="H93" s="5" t="str">
        <f>IFERROR(__xludf.DUMMYFUNCTION("GOOGLETRANSLATE(B93, ""en"", ""id"")"),"Di Jakarta, apa tindakan wasit jika melihat pemain mengenakan anting?")</f>
        <v>Di Jakarta, apa tindakan wasit jika melihat pemain mengenakan anting?</v>
      </c>
      <c r="I93" s="5" t="str">
        <f>IFERROR(__xludf.DUMMYFUNCTION("GOOGLETRANSLATE(C93, ""en"", ""id"")"),"A) Izinkan B) Peringatan, segera hapus C) Kesalahan, tunjuk lawan D) Ulangi reli")</f>
        <v>A) Izinkan B) Peringatan, segera hapus C) Kesalahan, tunjuk lawan D) Ulangi reli</v>
      </c>
      <c r="J93" s="5" t="str">
        <f>IFERROR(__xludf.DUMMYFUNCTION("GOOGLETRANSLATE(D93, ""en"", ""id"")"),"B) Peringatan, segera hapus")</f>
        <v>B) Peringatan, segera hapus</v>
      </c>
      <c r="K93" s="5" t="str">
        <f>IFERROR(__xludf.DUMMYFUNCTION("GOOGLETRANSLATE(E93, ""en"", ""id"")"),"Perhiasan tidak diizinkan.")</f>
        <v>Perhiasan tidak diizinkan.</v>
      </c>
    </row>
    <row r="94">
      <c r="A94" s="3">
        <v>93.0</v>
      </c>
      <c r="B94" s="4" t="s">
        <v>1662</v>
      </c>
      <c r="C94" s="7" t="s">
        <v>1663</v>
      </c>
      <c r="D94" s="4" t="s">
        <v>1664</v>
      </c>
      <c r="E94" s="4" t="s">
        <v>1665</v>
      </c>
      <c r="G94" s="5" t="str">
        <f>IFERROR(__xludf.DUMMYFUNCTION("GOOGLETRANSLATE(A94, ""en"", ""id"")"),"93")</f>
        <v>93</v>
      </c>
      <c r="H94" s="5" t="str">
        <f>IFERROR(__xludf.DUMMYFUNCTION("GOOGLETRANSLATE(B94, ""en"", ""id"")"),"Di Bandung, apa hukumnya jika suatu tim duduk di bangku yang salah setelah terjadi pergantian set?")</f>
        <v>Di Bandung, apa hukumnya jika suatu tim duduk di bangku yang salah setelah terjadi pergantian set?</v>
      </c>
      <c r="I94" s="5" t="str">
        <f>IFERROR(__xludf.DUMMYFUNCTION("GOOGLETRANSLATE(C94, ""en"", ""id"")"),"A) Kesalahan B) Peringatan, sisi yang benar C) Replay rally D) Lawan mendapat poin")</f>
        <v>A) Kesalahan B) Peringatan, sisi yang benar C) Replay rally D) Lawan mendapat poin</v>
      </c>
      <c r="J94" s="5" t="str">
        <f>IFERROR(__xludf.DUMMYFUNCTION("GOOGLETRANSLATE(D94, ""en"", ""id"")"),"B) Peringatan, sisi yang benar")</f>
        <v>B) Peringatan, sisi yang benar</v>
      </c>
      <c r="K94" s="5" t="str">
        <f>IFERROR(__xludf.DUMMYFUNCTION("GOOGLETRANSLATE(E94, ""en"", ""id"")"),"Tim harus berganti sisi sesuai aturan.")</f>
        <v>Tim harus berganti sisi sesuai aturan.</v>
      </c>
    </row>
    <row r="95">
      <c r="A95" s="3">
        <v>94.0</v>
      </c>
      <c r="B95" s="4" t="s">
        <v>1666</v>
      </c>
      <c r="C95" s="7" t="s">
        <v>1538</v>
      </c>
      <c r="D95" s="4" t="s">
        <v>1539</v>
      </c>
      <c r="E95" s="4" t="s">
        <v>1667</v>
      </c>
      <c r="G95" s="5" t="str">
        <f>IFERROR(__xludf.DUMMYFUNCTION("GOOGLETRANSLATE(A95, ""en"", ""id"")"),"94")</f>
        <v>94</v>
      </c>
      <c r="H95" s="5" t="str">
        <f>IFERROR(__xludf.DUMMYFUNCTION("GOOGLETRANSLATE(B95, ""en"", ""id"")"),"Di Bali, apa keputusan yang diambil jika seorang pemain melakukan chest-spik bola ke area lawan?")</f>
        <v>Di Bali, apa keputusan yang diambil jika seorang pemain melakukan chest-spik bola ke area lawan?</v>
      </c>
      <c r="I95" s="5" t="str">
        <f>IFERROR(__xludf.DUMMYFUNCTION("GOOGLETRANSLATE(C95, ""en"", ""id"")"),"A) Hukum B) Kesalahan C) Reli ulang D) Peringatan")</f>
        <v>A) Hukum B) Kesalahan C) Reli ulang D) Peringatan</v>
      </c>
      <c r="J95" s="5" t="str">
        <f>IFERROR(__xludf.DUMMYFUNCTION("GOOGLETRANSLATE(D95, ""en"", ""id"")"),"A) Hukum")</f>
        <v>A) Hukum</v>
      </c>
      <c r="K95" s="5" t="str">
        <f>IFERROR(__xludf.DUMMYFUNCTION("GOOGLETRANSLATE(E95, ""en"", ""id"")"),"Dada itu sah.")</f>
        <v>Dada itu sah.</v>
      </c>
    </row>
    <row r="96">
      <c r="A96" s="3">
        <v>95.0</v>
      </c>
      <c r="B96" s="4" t="s">
        <v>1668</v>
      </c>
      <c r="C96" s="7" t="s">
        <v>1669</v>
      </c>
      <c r="D96" s="4" t="s">
        <v>1670</v>
      </c>
      <c r="E96" s="4" t="s">
        <v>1671</v>
      </c>
      <c r="G96" s="5" t="str">
        <f>IFERROR(__xludf.DUMMYFUNCTION("GOOGLETRANSLATE(A96, ""en"", ""id"")"),"95")</f>
        <v>95</v>
      </c>
      <c r="H96" s="5" t="str">
        <f>IFERROR(__xludf.DUMMYFUNCTION("GOOGLETRANSLATE(B96, ""en"", ""id"")"),"Di Jakarta, apa keputusannya jika bola jatuh di antara lapisan pita net dan kemudian jatuh ke lapangan lawan?")</f>
        <v>Di Jakarta, apa keputusannya jika bola jatuh di antara lapisan pita net dan kemudian jatuh ke lapangan lawan?</v>
      </c>
      <c r="I96" s="5" t="str">
        <f>IFERROR(__xludf.DUMMYFUNCTION("GOOGLETRANSLATE(C96, ""en"", ""id"")"),"A) Legal, tunjuk ke striker B) Replay rally C) Fault, tunjuk ke lawan D) Warning")</f>
        <v>A) Legal, tunjuk ke striker B) Replay rally C) Fault, tunjuk ke lawan D) Warning</v>
      </c>
      <c r="J96" s="5" t="str">
        <f>IFERROR(__xludf.DUMMYFUNCTION("GOOGLETRANSLATE(D96, ""en"", ""id"")"),"A) Legal, tunjuk ke striker")</f>
        <v>A) Legal, tunjuk ke striker</v>
      </c>
      <c r="K96" s="5" t="str">
        <f>IFERROR(__xludf.DUMMYFUNCTION("GOOGLETRANSLATE(E96, ""en"", ""id"")"),"Selama bola jatuh ke lapangan, sah.")</f>
        <v>Selama bola jatuh ke lapangan, sah.</v>
      </c>
    </row>
    <row r="97">
      <c r="A97" s="3">
        <v>96.0</v>
      </c>
      <c r="B97" s="4" t="s">
        <v>1672</v>
      </c>
      <c r="C97" s="7" t="s">
        <v>1643</v>
      </c>
      <c r="D97" s="4" t="s">
        <v>1543</v>
      </c>
      <c r="E97" s="4" t="s">
        <v>1644</v>
      </c>
      <c r="G97" s="5" t="str">
        <f>IFERROR(__xludf.DUMMYFUNCTION("GOOGLETRANSLATE(A97, ""en"", ""id"")"),"96")</f>
        <v>96</v>
      </c>
      <c r="H97" s="5" t="str">
        <f>IFERROR(__xludf.DUMMYFUNCTION("GOOGLETRANSLATE(B97, ""en"", ""id"")"),"Di Bandung, apa hukumnya jika pemain bertahan tertawa keras untuk mengalihkan perhatian server saat melakukan servis?")</f>
        <v>Di Bandung, apa hukumnya jika pemain bertahan tertawa keras untuk mengalihkan perhatian server saat melakukan servis?</v>
      </c>
      <c r="I97" s="5" t="str">
        <f>IFERROR(__xludf.DUMMYFUNCTION("GOOGLETRANSLATE(C97, ""en"", ""id"")"),"A) Legal B) Tidak sportif, tunjuk lawan C) Reli ulang D) Hanya peringatan")</f>
        <v>A) Legal B) Tidak sportif, tunjuk lawan C) Reli ulang D) Hanya peringatan</v>
      </c>
      <c r="J97" s="5" t="str">
        <f>IFERROR(__xludf.DUMMYFUNCTION("GOOGLETRANSLATE(D97, ""en"", ""id"")"),"B) Tidak sportif, menunjuk lawan")</f>
        <v>B) Tidak sportif, menunjuk lawan</v>
      </c>
      <c r="K97" s="5" t="str">
        <f>IFERROR(__xludf.DUMMYFUNCTION("GOOGLETRANSLATE(E97, ""en"", ""id"")"),"Gangguan akan dikenakan sanksi.")</f>
        <v>Gangguan akan dikenakan sanksi.</v>
      </c>
    </row>
    <row r="98">
      <c r="A98" s="3">
        <v>97.0</v>
      </c>
      <c r="B98" s="4" t="s">
        <v>1673</v>
      </c>
      <c r="C98" s="7" t="s">
        <v>1674</v>
      </c>
      <c r="D98" s="4" t="s">
        <v>1675</v>
      </c>
      <c r="E98" s="4" t="s">
        <v>1676</v>
      </c>
      <c r="G98" s="5" t="str">
        <f>IFERROR(__xludf.DUMMYFUNCTION("GOOGLETRANSLATE(A98, ""en"", ""id"")"),"97")</f>
        <v>97</v>
      </c>
      <c r="H98" s="5" t="str">
        <f>IFERROR(__xludf.DUMMYFUNCTION("GOOGLETRANSLATE(B98, ""en"", ""id"")"),"Di Bali, apa keputusan yang diambil jika seorang pemain berdebat agresif dengan wasit?")</f>
        <v>Di Bali, apa keputusan yang diambil jika seorang pemain berdebat agresif dengan wasit?</v>
      </c>
      <c r="I98" s="5" t="str">
        <f>IFERROR(__xludf.DUMMYFUNCTION("GOOGLETRANSLATE(C98, ""en"", ""id"")"),"A) Hanya peringatan B) Kartu kuning, kehilangan poin C) Reli ulang D) Tidak ada tindakan")</f>
        <v>A) Hanya peringatan B) Kartu kuning, kehilangan poin C) Reli ulang D) Tidak ada tindakan</v>
      </c>
      <c r="J98" s="5" t="str">
        <f>IFERROR(__xludf.DUMMYFUNCTION("GOOGLETRANSLATE(D98, ""en"", ""id"")"),"B) Kartu kuning, kehilangan poin")</f>
        <v>B) Kartu kuning, kehilangan poin</v>
      </c>
      <c r="K98" s="5" t="str">
        <f>IFERROR(__xludf.DUMMYFUNCTION("GOOGLETRANSLATE(E98, ""en"", ""id"")"),"Berdebat dengan wasit adalah tidak sportif dan dapat dikenakan sanksi kartu plus poin kepada lawan.")</f>
        <v>Berdebat dengan wasit adalah tidak sportif dan dapat dikenakan sanksi kartu plus poin kepada lawan.</v>
      </c>
    </row>
    <row r="99">
      <c r="A99" s="3">
        <v>98.0</v>
      </c>
      <c r="B99" s="4" t="s">
        <v>1677</v>
      </c>
      <c r="C99" s="7" t="s">
        <v>1678</v>
      </c>
      <c r="D99" s="4" t="s">
        <v>1679</v>
      </c>
      <c r="E99" s="4" t="s">
        <v>1680</v>
      </c>
      <c r="G99" s="5" t="str">
        <f>IFERROR(__xludf.DUMMYFUNCTION("GOOGLETRANSLATE(A99, ""en"", ""id"")"),"98")</f>
        <v>98</v>
      </c>
      <c r="H99" s="5" t="str">
        <f>IFERROR(__xludf.DUMMYFUNCTION("GOOGLETRANSLATE(B99, ""en"", ""id"")"),"Di Jakarta, apa keputusannya jika Tim A melakukan spike, bola membentur kepala pemain bertahan, lalu keluar lapangan?")</f>
        <v>Di Jakarta, apa keputusannya jika Tim A melakukan spike, bola membentur kepala pemain bertahan, lalu keluar lapangan?</v>
      </c>
      <c r="I99" s="5" t="str">
        <f>IFERROR(__xludf.DUMMYFUNCTION("GOOGLETRANSLATE(C99, ""en"", ""id"")"),"A) Tunjuk ke Tim A B) Tunjuk ke Tim B C) Reli ulang D) Peringatan")</f>
        <v>A) Tunjuk ke Tim A B) Tunjuk ke Tim B C) Reli ulang D) Peringatan</v>
      </c>
      <c r="J99" s="5" t="str">
        <f>IFERROR(__xludf.DUMMYFUNCTION("GOOGLETRANSLATE(D99, ""en"", ""id"")"),"A) Tunjuk ke Tim A")</f>
        <v>A) Tunjuk ke Tim A</v>
      </c>
      <c r="K99" s="5" t="str">
        <f>IFERROR(__xludf.DUMMYFUNCTION("GOOGLETRANSLATE(E99, ""en"", ""id"")"),"Bola disentuh pemain bertahan sebelum keluar = poin untuk penyerang.")</f>
        <v>Bola disentuh pemain bertahan sebelum keluar = poin untuk penyerang.</v>
      </c>
    </row>
    <row r="100">
      <c r="A100" s="3">
        <v>99.0</v>
      </c>
      <c r="B100" s="4" t="s">
        <v>1681</v>
      </c>
      <c r="C100" s="7" t="s">
        <v>1682</v>
      </c>
      <c r="D100" s="4" t="s">
        <v>1508</v>
      </c>
      <c r="E100" s="4" t="s">
        <v>1683</v>
      </c>
      <c r="G100" s="5" t="str">
        <f>IFERROR(__xludf.DUMMYFUNCTION("GOOGLETRANSLATE(A100, ""en"", ""id"")"),"99")</f>
        <v>99</v>
      </c>
      <c r="H100" s="5" t="str">
        <f>IFERROR(__xludf.DUMMYFUNCTION("GOOGLETRANSLATE(B100, ""en"", ""id"")"),"Di Bandung, apa yang seharusnya dilakukan wasit jika pertandingan dilanjutkan dengan bola voli dan bukan bola sepak takraw?")</f>
        <v>Di Bandung, apa yang seharusnya dilakukan wasit jika pertandingan dilanjutkan dengan bola voli dan bukan bola sepak takraw?</v>
      </c>
      <c r="I100" s="5" t="str">
        <f>IFERROR(__xludf.DUMMYFUNCTION("GOOGLETRANSLATE(C100, ""en"", ""id"")"),"A) Ulangi reli B) Izinkan permainan C) Berikan poin kepada striker D) Batalkan set")</f>
        <v>A) Ulangi reli B) Izinkan permainan C) Berikan poin kepada striker D) Batalkan set</v>
      </c>
      <c r="J100" s="5" t="str">
        <f>IFERROR(__xludf.DUMMYFUNCTION("GOOGLETRANSLATE(D100, ""en"", ""id"")"),"A) Reli ulang")</f>
        <v>A) Reli ulang</v>
      </c>
      <c r="K100" s="5" t="str">
        <f>IFERROR(__xludf.DUMMYFUNCTION("GOOGLETRANSLATE(E100, ""en"", ""id"")"),"Peralatan yang salah dapat membatalkan reli.")</f>
        <v>Peralatan yang salah dapat membatalkan reli.</v>
      </c>
    </row>
    <row r="101">
      <c r="A101" s="3">
        <v>100.0</v>
      </c>
      <c r="B101" s="4" t="s">
        <v>1684</v>
      </c>
      <c r="C101" s="7" t="s">
        <v>1685</v>
      </c>
      <c r="D101" s="4" t="s">
        <v>1520</v>
      </c>
      <c r="E101" s="4" t="s">
        <v>1686</v>
      </c>
      <c r="G101" s="5" t="str">
        <f>IFERROR(__xludf.DUMMYFUNCTION("GOOGLETRANSLATE(A101, ""en"", ""id"")"),"100")</f>
        <v>100</v>
      </c>
      <c r="H101" s="5" t="str">
        <f>IFERROR(__xludf.DUMMYFUNCTION("GOOGLETRANSLATE(B101, ""en"", ""id"")"),"Di Bali, apa hukumnya jika seorang server meletakkan kedua kakinya di luar lingkaran saat melakukan servis?")</f>
        <v>Di Bali, apa hukumnya jika seorang server meletakkan kedua kakinya di luar lingkaran saat melakukan servis?</v>
      </c>
      <c r="I101" s="5" t="str">
        <f>IFERROR(__xludf.DUMMYFUNCTION("GOOGLETRANSLATE(C101, ""en"", ""id"")"),"A) Servis ulang B) Kesalahan, tunjuk ke lawan C) Hanya peringatan D) Sah")</f>
        <v>A) Servis ulang B) Kesalahan, tunjuk ke lawan C) Hanya peringatan D) Sah</v>
      </c>
      <c r="J101" s="5" t="str">
        <f>IFERROR(__xludf.DUMMYFUNCTION("GOOGLETRANSLATE(D101, ""en"", ""id"")"),"B) Kesalahan, tunjuk ke lawan")</f>
        <v>B) Kesalahan, tunjuk ke lawan</v>
      </c>
      <c r="K101" s="5" t="str">
        <f>IFERROR(__xludf.DUMMYFUNCTION("GOOGLETRANSLATE(E101, ""en"", ""id"")"),"Kaki harus tetap berada di dalam lingkaran.")</f>
        <v>Kaki harus tetap berada di dalam lingkaran.</v>
      </c>
    </row>
    <row r="102">
      <c r="A102" s="3">
        <v>101.0</v>
      </c>
      <c r="B102" s="4" t="s">
        <v>1687</v>
      </c>
      <c r="C102" s="7" t="s">
        <v>1688</v>
      </c>
      <c r="D102" s="4" t="s">
        <v>1602</v>
      </c>
      <c r="E102" s="4" t="s">
        <v>1689</v>
      </c>
      <c r="G102" s="5" t="str">
        <f>IFERROR(__xludf.DUMMYFUNCTION("GOOGLETRANSLATE(A102, ""en"", ""id"")"),"101")</f>
        <v>101</v>
      </c>
      <c r="H102" s="5" t="str">
        <f>IFERROR(__xludf.DUMMYFUNCTION("GOOGLETRANSLATE(B102, ""en"", ""id"")"),"Di Jakarta, apa keputusan yang diambil jika bola mengenai bahu pemain bertahan dan kemudian melewati gawang?")</f>
        <v>Di Jakarta, apa keputusan yang diambil jika bola mengenai bahu pemain bertahan dan kemudian melewati gawang?</v>
      </c>
      <c r="I102" s="5" t="str">
        <f>IFERROR(__xludf.DUMMYFUNCTION("GOOGLETRANSLATE(C102, ""en"", ""id"")"),"A) Legal, reli berlanjut B) Fault C) Reli ulang D) Warning")</f>
        <v>A) Legal, reli berlanjut B) Fault C) Reli ulang D) Warning</v>
      </c>
      <c r="J102" s="5" t="str">
        <f>IFERROR(__xludf.DUMMYFUNCTION("GOOGLETRANSLATE(D102, ""en"", ""id"")"),"A) Hukum, aksi unjuk rasa terus berlanjut")</f>
        <v>A) Hukum, aksi unjuk rasa terus berlanjut</v>
      </c>
      <c r="K102" s="5" t="str">
        <f>IFERROR(__xludf.DUMMYFUNCTION("GOOGLETRANSLATE(E102, ""en"", ""id"")"),"Bahu merupakan bagian tubuh yang diperbolehkan.")</f>
        <v>Bahu merupakan bagian tubuh yang diperbolehkan.</v>
      </c>
    </row>
    <row r="103">
      <c r="A103" s="3">
        <v>102.0</v>
      </c>
      <c r="B103" s="4" t="s">
        <v>1690</v>
      </c>
      <c r="C103" s="7" t="s">
        <v>1691</v>
      </c>
      <c r="D103" s="4" t="s">
        <v>1474</v>
      </c>
      <c r="E103" s="4" t="s">
        <v>1692</v>
      </c>
      <c r="G103" s="5" t="str">
        <f>IFERROR(__xludf.DUMMYFUNCTION("GOOGLETRANSLATE(A103, ""en"", ""id"")"),"102")</f>
        <v>102</v>
      </c>
      <c r="H103" s="5" t="str">
        <f>IFERROR(__xludf.DUMMYFUNCTION("GOOGLETRANSLATE(B103, ""en"", ""id"")"),"Di Bandung, apa keputusannya jika seorang pemain menyeka keringat di lapangan dengan handuk di tengah reli tanpa izin?")</f>
        <v>Di Bandung, apa keputusannya jika seorang pemain menyeka keringat di lapangan dengan handuk di tengah reli tanpa izin?</v>
      </c>
      <c r="I103" s="5" t="str">
        <f>IFERROR(__xludf.DUMMYFUNCTION("GOOGLETRANSLATE(C103, ""en"", ""id"")"),"A) Putar ulang reli B) Arahkan ke lawan C) Izinkan permainan D) Peringatan")</f>
        <v>A) Putar ulang reli B) Arahkan ke lawan C) Izinkan permainan D) Peringatan</v>
      </c>
      <c r="J103" s="5" t="str">
        <f>IFERROR(__xludf.DUMMYFUNCTION("GOOGLETRANSLATE(D103, ""en"", ""id"")"),"B) Menunjuk ke lawan")</f>
        <v>B) Menunjuk ke lawan</v>
      </c>
      <c r="K103" s="5" t="str">
        <f>IFERROR(__xludf.DUMMYFUNCTION("GOOGLETRANSLATE(E103, ""en"", ""id"")"),"Mengganggu permainan secara ilegal akan mengungkap maksudnya.")</f>
        <v>Mengganggu permainan secara ilegal akan mengungkap maksudnya.</v>
      </c>
    </row>
    <row r="104">
      <c r="A104" s="3">
        <v>103.0</v>
      </c>
      <c r="B104" s="4" t="s">
        <v>1693</v>
      </c>
      <c r="C104" s="7" t="s">
        <v>1694</v>
      </c>
      <c r="D104" s="4" t="s">
        <v>1695</v>
      </c>
      <c r="E104" s="4" t="s">
        <v>1696</v>
      </c>
      <c r="G104" s="5" t="str">
        <f>IFERROR(__xludf.DUMMYFUNCTION("GOOGLETRANSLATE(A104, ""en"", ""id"")"),"103")</f>
        <v>103</v>
      </c>
      <c r="H104" s="5" t="str">
        <f>IFERROR(__xludf.DUMMYFUNCTION("GOOGLETRANSLATE(B104, ""en"", ""id"")"),"Di Bali, apa keputusan jika kesalahan rotasi tim diketahui setelah beberapa reli dimainkan?")</f>
        <v>Di Bali, apa keputusan jika kesalahan rotasi tim diketahui setelah beberapa reli dimainkan?</v>
      </c>
      <c r="I104" s="5" t="str">
        <f>IFERROR(__xludf.DUMMYFUNCTION("GOOGLETRANSLATE(C104, ""en"", ""id"")"),"A) Ulangi reli B) Rotasi yang benar, skor tetap C) Berikan semua poin kepada lawan D) Batalkan set")</f>
        <v>A) Ulangi reli B) Rotasi yang benar, skor tetap C) Berikan semua poin kepada lawan D) Batalkan set</v>
      </c>
      <c r="J104" s="5" t="str">
        <f>IFERROR(__xludf.DUMMYFUNCTION("GOOGLETRANSLATE(D104, ""en"", ""id"")"),"B) Rotasi yang benar, skor tetap")</f>
        <v>B) Rotasi yang benar, skor tetap</v>
      </c>
      <c r="K104" s="5" t="str">
        <f>IFERROR(__xludf.DUMMYFUNCTION("GOOGLETRANSLATE(E104, ""en"", ""id"")"),"Hanya koreksi yang diterapkan; reli masa lalu tetap valid.")</f>
        <v>Hanya koreksi yang diterapkan; reli masa lalu tetap valid.</v>
      </c>
    </row>
    <row r="105">
      <c r="A105" s="3">
        <v>104.0</v>
      </c>
      <c r="B105" s="4" t="s">
        <v>1697</v>
      </c>
      <c r="C105" s="7" t="s">
        <v>1638</v>
      </c>
      <c r="D105" s="4" t="s">
        <v>1520</v>
      </c>
      <c r="E105" s="4" t="s">
        <v>1698</v>
      </c>
      <c r="G105" s="5" t="str">
        <f>IFERROR(__xludf.DUMMYFUNCTION("GOOGLETRANSLATE(A105, ""en"", ""id"")"),"104")</f>
        <v>104</v>
      </c>
      <c r="H105" s="5" t="str">
        <f>IFERROR(__xludf.DUMMYFUNCTION("GOOGLETRANSLATE(B105, ""en"", ""id"")"),"Di Jakarta, apa keputusannya jika seorang pemain menjebak bola di antara kedua kaki sebelum mengembalikannya?")</f>
        <v>Di Jakarta, apa keputusannya jika seorang pemain menjebak bola di antara kedua kaki sebelum mengembalikannya?</v>
      </c>
      <c r="I105" s="5" t="str">
        <f>IFERROR(__xludf.DUMMYFUNCTION("GOOGLETRANSLATE(C105, ""en"", ""id"")"),"A) Hukum B) Kesalahan, tunjuk lawan C) Reli ulang D) Peringatan")</f>
        <v>A) Hukum B) Kesalahan, tunjuk lawan C) Reli ulang D) Peringatan</v>
      </c>
      <c r="J105" s="5" t="str">
        <f>IFERROR(__xludf.DUMMYFUNCTION("GOOGLETRANSLATE(D105, ""en"", ""id"")"),"B) Kesalahan, tunjuk ke lawan")</f>
        <v>B) Kesalahan, tunjuk ke lawan</v>
      </c>
      <c r="K105" s="5" t="str">
        <f>IFERROR(__xludf.DUMMYFUNCTION("GOOGLETRANSLATE(E105, ""en"", ""id"")"),"Menjebak/menahan bola adalah ilegal.")</f>
        <v>Menjebak/menahan bola adalah ilegal.</v>
      </c>
    </row>
    <row r="106">
      <c r="A106" s="3">
        <v>105.0</v>
      </c>
      <c r="B106" s="4" t="s">
        <v>1699</v>
      </c>
      <c r="C106" s="7" t="s">
        <v>1700</v>
      </c>
      <c r="D106" s="4" t="s">
        <v>1701</v>
      </c>
      <c r="E106" s="4" t="s">
        <v>1702</v>
      </c>
      <c r="G106" s="5" t="str">
        <f>IFERROR(__xludf.DUMMYFUNCTION("GOOGLETRANSLATE(A106, ""en"", ""id"")"),"105")</f>
        <v>105</v>
      </c>
      <c r="H106" s="5" t="str">
        <f>IFERROR(__xludf.DUMMYFUNCTION("GOOGLETRANSLATE(B106, ""en"", ""id"")"),"Di Bandung, berapa skor ulang jika pertandingan luar ruangan dilanjutkan setelah penundaan karena hujan yang terjadi pada pukul 10.00–07.")</f>
        <v>Di Bandung, berapa skor ulang jika pertandingan luar ruangan dilanjutkan setelah penundaan karena hujan yang terjadi pada pukul 10.00–07.</v>
      </c>
      <c r="I106" s="5" t="str">
        <f>IFERROR(__xludf.DUMMYFUNCTION("GOOGLETRANSLATE(C106, ""en"", ""id"")"),"A) 0–0 B) 10–7 C) 7–10 D) Putar ulang seluruh set")</f>
        <v>A) 0–0 B) 10–7 C) 7–10 D) Putar ulang seluruh set</v>
      </c>
      <c r="J106" s="5" t="str">
        <f>IFERROR(__xludf.DUMMYFUNCTION("GOOGLETRANSLATE(D106, ""en"", ""id"")"),"B. 10–7")</f>
        <v>B. 10–7</v>
      </c>
      <c r="K106" s="5" t="str">
        <f>IFERROR(__xludf.DUMMYFUNCTION("GOOGLETRANSLATE(E106, ""en"", ""id"")"),"Lanjutkan dari skor yang dijeda.")</f>
        <v>Lanjutkan dari skor yang dijeda.</v>
      </c>
    </row>
    <row r="107">
      <c r="A107" s="3">
        <v>106.0</v>
      </c>
      <c r="B107" s="4" t="s">
        <v>1703</v>
      </c>
      <c r="C107" s="7" t="s">
        <v>1704</v>
      </c>
      <c r="D107" s="4" t="s">
        <v>1474</v>
      </c>
      <c r="E107" s="4" t="s">
        <v>1705</v>
      </c>
      <c r="G107" s="5" t="str">
        <f>IFERROR(__xludf.DUMMYFUNCTION("GOOGLETRANSLATE(A107, ""en"", ""id"")"),"106")</f>
        <v>106</v>
      </c>
      <c r="H107" s="5" t="str">
        <f>IFERROR(__xludf.DUMMYFUNCTION("GOOGLETRANSLATE(B107, ""en"", ""id"")"),"Di Bali, apa keputusan yang diambil jika seorang penyerang memukul bola dan bola tersebut jatuh kembali ke sisi lapangannya sendiri?")</f>
        <v>Di Bali, apa keputusan yang diambil jika seorang penyerang memukul bola dan bola tersebut jatuh kembali ke sisi lapangannya sendiri?</v>
      </c>
      <c r="I107" s="5" t="str">
        <f>IFERROR(__xludf.DUMMYFUNCTION("GOOGLETRANSLATE(C107, ""en"", ""id"")"),"A) Replay rally B) Tunjuk lawan C) Permainan legal berlanjut D) Peringatan")</f>
        <v>A) Replay rally B) Tunjuk lawan C) Permainan legal berlanjut D) Peringatan</v>
      </c>
      <c r="J107" s="5" t="str">
        <f>IFERROR(__xludf.DUMMYFUNCTION("GOOGLETRANSLATE(D107, ""en"", ""id"")"),"B) Menunjuk ke lawan")</f>
        <v>B) Menunjuk ke lawan</v>
      </c>
      <c r="K107" s="5" t="str">
        <f>IFERROR(__xludf.DUMMYFUNCTION("GOOGLETRANSLATE(E107, ""en"", ""id"")"),"Bola harus melewati net.")</f>
        <v>Bola harus melewati net.</v>
      </c>
    </row>
    <row r="108">
      <c r="A108" s="3">
        <v>107.0</v>
      </c>
      <c r="B108" s="4" t="s">
        <v>1706</v>
      </c>
      <c r="C108" s="7" t="s">
        <v>1589</v>
      </c>
      <c r="D108" s="4" t="s">
        <v>1590</v>
      </c>
      <c r="E108" s="4" t="s">
        <v>1707</v>
      </c>
      <c r="G108" s="5" t="str">
        <f>IFERROR(__xludf.DUMMYFUNCTION("GOOGLETRANSLATE(A108, ""en"", ""id"")"),"107")</f>
        <v>107</v>
      </c>
      <c r="H108" s="5" t="str">
        <f>IFERROR(__xludf.DUMMYFUNCTION("GOOGLETRANSLATE(B108, ""en"", ""id"")"),"Di Jakarta, apa keputusan yang diambil jika seorang pemain bertahan mengangkat tangan dan menyatakan bola ""keluar,"" tetapi wasit melihat bola mendarat di dalam?")</f>
        <v>Di Jakarta, apa keputusan yang diambil jika seorang pemain bertahan mengangkat tangan dan menyatakan bola "keluar," tetapi wasit melihat bola mendarat di dalam?</v>
      </c>
      <c r="I108" s="5" t="str">
        <f>IFERROR(__xludf.DUMMYFUNCTION("GOOGLETRANSLATE(C108, ""en"", ""id"")"),"A) Replay rally B) Tunjuk ke penyerang C) Tunjuk ke bek D) Peringatan")</f>
        <v>A) Replay rally B) Tunjuk ke penyerang C) Tunjuk ke bek D) Peringatan</v>
      </c>
      <c r="J108" s="5" t="str">
        <f>IFERROR(__xludf.DUMMYFUNCTION("GOOGLETRANSLATE(D108, ""en"", ""id"")"),"B) Arahkan ke penyerang")</f>
        <v>B) Arahkan ke penyerang</v>
      </c>
      <c r="K108" s="5" t="str">
        <f>IFERROR(__xludf.DUMMYFUNCTION("GOOGLETRANSLATE(E108, ""en"", ""id"")"),"Keputusan wasit bersifat final; bola masuk.")</f>
        <v>Keputusan wasit bersifat final; bola masuk.</v>
      </c>
    </row>
    <row r="109">
      <c r="A109" s="3">
        <v>108.0</v>
      </c>
      <c r="B109" s="4" t="s">
        <v>1708</v>
      </c>
      <c r="C109" s="7" t="s">
        <v>1709</v>
      </c>
      <c r="D109" s="4" t="s">
        <v>1520</v>
      </c>
      <c r="E109" s="4" t="s">
        <v>1710</v>
      </c>
      <c r="G109" s="5" t="str">
        <f>IFERROR(__xludf.DUMMYFUNCTION("GOOGLETRANSLATE(A109, ""en"", ""id"")"),"108")</f>
        <v>108</v>
      </c>
      <c r="H109" s="5" t="str">
        <f>IFERROR(__xludf.DUMMYFUNCTION("GOOGLETRANSLATE(B109, ""en"", ""id"")"),"Di Bandung, apa keputusan yang diambil jika seorang blocker bertabrakan dengan seorang striker di udara di atas net?")</f>
        <v>Di Bandung, apa keputusan yang diambil jika seorang blocker bertabrakan dengan seorang striker di udara di atas net?</v>
      </c>
      <c r="I109" s="5" t="str">
        <f>IFERROR(__xludf.DUMMYFUNCTION("GOOGLETRANSLATE(C109, ""en"", ""id"")"),"A) Ulangi reli B) Kesalahan, tunjuk lawan C) Hanya peringatan D) Izinkan permainan")</f>
        <v>A) Ulangi reli B) Kesalahan, tunjuk lawan C) Hanya peringatan D) Izinkan permainan</v>
      </c>
      <c r="J109" s="5" t="str">
        <f>IFERROR(__xludf.DUMMYFUNCTION("GOOGLETRANSLATE(D109, ""en"", ""id"")"),"B) Kesalahan, tunjuk ke lawan")</f>
        <v>B) Kesalahan, tunjuk ke lawan</v>
      </c>
      <c r="K109" s="5" t="str">
        <f>IFERROR(__xludf.DUMMYFUNCTION("GOOGLETRANSLATE(E109, ""en"", ""id"")"),"Kontak fisik melalui jaring merupakan suatu kesalahan.")</f>
        <v>Kontak fisik melalui jaring merupakan suatu kesalahan.</v>
      </c>
    </row>
    <row r="110">
      <c r="A110" s="3">
        <v>109.0</v>
      </c>
      <c r="B110" s="4" t="s">
        <v>1711</v>
      </c>
      <c r="C110" s="7" t="s">
        <v>1712</v>
      </c>
      <c r="D110" s="4" t="s">
        <v>1713</v>
      </c>
      <c r="E110" s="4" t="s">
        <v>1714</v>
      </c>
      <c r="G110" s="5" t="str">
        <f>IFERROR(__xludf.DUMMYFUNCTION("GOOGLETRANSLATE(A110, ""en"", ""id"")"),"109")</f>
        <v>109</v>
      </c>
      <c r="H110" s="5" t="str">
        <f>IFERROR(__xludf.DUMMYFUNCTION("GOOGLETRANSLATE(B110, ""en"", ""id"")"),"Di Bali, apa keputusan jika bola menyentuh rambut pemain bertahan dan kemudian keluar?")</f>
        <v>Di Bali, apa keputusan jika bola menyentuh rambut pemain bertahan dan kemudian keluar?</v>
      </c>
      <c r="I110" s="5" t="str">
        <f>IFERROR(__xludf.DUMMYFUNCTION("GOOGLETRANSLATE(C110, ""en"", ""id"")"),"A) Tunjuk ke penyerang B) Putar ulang reli C) Tunjuk ke bek D) Peringatan")</f>
        <v>A) Tunjuk ke penyerang B) Putar ulang reli C) Tunjuk ke bek D) Peringatan</v>
      </c>
      <c r="J110" s="5" t="str">
        <f>IFERROR(__xludf.DUMMYFUNCTION("GOOGLETRANSLATE(D110, ""en"", ""id"")"),"A) Arahkan ke penyerang")</f>
        <v>A) Arahkan ke penyerang</v>
      </c>
      <c r="K110" s="5" t="str">
        <f>IFERROR(__xludf.DUMMYFUNCTION("GOOGLETRANSLATE(E110, ""en"", ""id"")"),"Semua kontak tubuh dihitung, termasuk rambut.")</f>
        <v>Semua kontak tubuh dihitung, termasuk rambut.</v>
      </c>
    </row>
    <row r="111">
      <c r="A111" s="3">
        <v>110.0</v>
      </c>
      <c r="B111" s="4" t="s">
        <v>1715</v>
      </c>
      <c r="C111" s="7" t="s">
        <v>1589</v>
      </c>
      <c r="D111" s="4" t="s">
        <v>1508</v>
      </c>
      <c r="E111" s="4" t="s">
        <v>1716</v>
      </c>
      <c r="G111" s="5" t="str">
        <f>IFERROR(__xludf.DUMMYFUNCTION("GOOGLETRANSLATE(A111, ""en"", ""id"")"),"110")</f>
        <v>110</v>
      </c>
      <c r="H111" s="5" t="str">
        <f>IFERROR(__xludf.DUMMYFUNCTION("GOOGLETRANSLATE(B111, ""en"", ""id"")"),"Di Jakarta, apa keputusan yang diambil apabila wasit secara tidak sengaja meniup peluit terlalu cepat saat berlangsungnya demonstrasi?")</f>
        <v>Di Jakarta, apa keputusan yang diambil apabila wasit secara tidak sengaja meniup peluit terlalu cepat saat berlangsungnya demonstrasi?</v>
      </c>
      <c r="I111" s="5" t="str">
        <f>IFERROR(__xludf.DUMMYFUNCTION("GOOGLETRANSLATE(C111, ""en"", ""id"")"),"A) Replay rally B) Tunjuk ke penyerang C) Tunjuk ke bek D) Peringatan")</f>
        <v>A) Replay rally B) Tunjuk ke penyerang C) Tunjuk ke bek D) Peringatan</v>
      </c>
      <c r="J111" s="5" t="str">
        <f>IFERROR(__xludf.DUMMYFUNCTION("GOOGLETRANSLATE(D111, ""en"", ""id"")"),"A) Reli ulang")</f>
        <v>A) Reli ulang</v>
      </c>
      <c r="K111" s="5" t="str">
        <f>IFERROR(__xludf.DUMMYFUNCTION("GOOGLETRANSLATE(E111, ""en"", ""id"")"),"Kesalahan wasit memerlukan tayangan ulang.")</f>
        <v>Kesalahan wasit memerlukan tayangan ulang.</v>
      </c>
    </row>
    <row r="112">
      <c r="A112" s="3">
        <v>111.0</v>
      </c>
      <c r="B112" s="4" t="s">
        <v>1717</v>
      </c>
      <c r="C112" s="7" t="s">
        <v>1718</v>
      </c>
      <c r="D112" s="4" t="s">
        <v>1508</v>
      </c>
      <c r="E112" s="4" t="s">
        <v>1657</v>
      </c>
      <c r="G112" s="5" t="str">
        <f>IFERROR(__xludf.DUMMYFUNCTION("GOOGLETRANSLATE(A112, ""en"", ""id"")"),"111")</f>
        <v>111</v>
      </c>
      <c r="H112" s="5" t="str">
        <f>IFERROR(__xludf.DUMMYFUNCTION("GOOGLETRANSLATE(B112, ""en"", ""id"")"),"Di Bandung, apa keputusannya jika musik kencang mulai diputar saat reli dan mengganggu para pemain?")</f>
        <v>Di Bandung, apa keputusannya jika musik kencang mulai diputar saat reli dan mengganggu para pemain?</v>
      </c>
      <c r="I112" s="5" t="str">
        <f>IFERROR(__xludf.DUMMYFUNCTION("GOOGLETRANSLATE(C112, ""en"", ""id"")"),"A) Ulangi reli B) Arahkan ke tim terdepan C) Lanjutkan reli D) Batalkan pertandingan")</f>
        <v>A) Ulangi reli B) Arahkan ke tim terdepan C) Lanjutkan reli D) Batalkan pertandingan</v>
      </c>
      <c r="J112" s="5" t="str">
        <f>IFERROR(__xludf.DUMMYFUNCTION("GOOGLETRANSLATE(D112, ""en"", ""id"")"),"A) Reli ulang")</f>
        <v>A) Reli ulang</v>
      </c>
      <c r="K112" s="5" t="str">
        <f>IFERROR(__xludf.DUMMYFUNCTION("GOOGLETRANSLATE(E112, ""en"", ""id"")"),"Gangguan eksternal membatalkan rapat umum.")</f>
        <v>Gangguan eksternal membatalkan rapat umum.</v>
      </c>
    </row>
    <row r="113">
      <c r="A113" s="3">
        <v>112.0</v>
      </c>
      <c r="B113" s="4" t="s">
        <v>1719</v>
      </c>
      <c r="C113" s="7" t="s">
        <v>1720</v>
      </c>
      <c r="D113" s="4" t="s">
        <v>1508</v>
      </c>
      <c r="E113" s="4" t="s">
        <v>1721</v>
      </c>
      <c r="G113" s="5" t="str">
        <f>IFERROR(__xludf.DUMMYFUNCTION("GOOGLETRANSLATE(A113, ""en"", ""id"")"),"112")</f>
        <v>112</v>
      </c>
      <c r="H113" s="5" t="str">
        <f>IFERROR(__xludf.DUMMYFUNCTION("GOOGLETRANSLATE(B113, ""en"", ""id"")"),"Di Bali, apa keputusan jika handuk dari pemain bangku jatuh ke dalam lapangan saat reli?")</f>
        <v>Di Bali, apa keputusan jika handuk dari pemain bangku jatuh ke dalam lapangan saat reli?</v>
      </c>
      <c r="I113" s="5" t="str">
        <f>IFERROR(__xludf.DUMMYFUNCTION("GOOGLETRANSLATE(C113, ""en"", ""id"")"),"A) Putar ulang reli B) Arahkan ke lawan C) Hanya peringatan D) Izinkan permainan")</f>
        <v>A) Putar ulang reli B) Arahkan ke lawan C) Hanya peringatan D) Izinkan permainan</v>
      </c>
      <c r="J113" s="5" t="str">
        <f>IFERROR(__xludf.DUMMYFUNCTION("GOOGLETRANSLATE(D113, ""en"", ""id"")"),"A) Reli ulang")</f>
        <v>A) Reli ulang</v>
      </c>
      <c r="K113" s="5" t="str">
        <f>IFERROR(__xludf.DUMMYFUNCTION("GOOGLETRANSLATE(E113, ""en"", ""id"")"),"Gangguan eksternal = pemutaran ulang.")</f>
        <v>Gangguan eksternal = pemutaran ulang.</v>
      </c>
    </row>
    <row r="114">
      <c r="A114" s="3">
        <v>113.0</v>
      </c>
      <c r="B114" s="4" t="s">
        <v>1722</v>
      </c>
      <c r="C114" s="7" t="s">
        <v>1523</v>
      </c>
      <c r="D114" s="4" t="s">
        <v>1539</v>
      </c>
      <c r="E114" s="4" t="s">
        <v>1723</v>
      </c>
      <c r="G114" s="5" t="str">
        <f>IFERROR(__xludf.DUMMYFUNCTION("GOOGLETRANSLATE(A114, ""en"", ""id"")"),"113")</f>
        <v>113</v>
      </c>
      <c r="H114" s="5" t="str">
        <f>IFERROR(__xludf.DUMMYFUNCTION("GOOGLETRANSLATE(B114, ""en"", ""id"")"),"Di Jakarta, apa hukumnya jika seorang server memutar bola di atas kakinya sebelum melakukan servis?")</f>
        <v>Di Jakarta, apa hukumnya jika seorang server memutar bola di atas kakinya sebelum melakukan servis?</v>
      </c>
      <c r="I114" s="5" t="str">
        <f>IFERROR(__xludf.DUMMYFUNCTION("GOOGLETRANSLATE(C114, ""en"", ""id"")"),"A) Legal B) Fault, tunjuk ke lawan C) Servis ulang D) Peringatan")</f>
        <v>A) Legal B) Fault, tunjuk ke lawan C) Servis ulang D) Peringatan</v>
      </c>
      <c r="J114" s="5" t="str">
        <f>IFERROR(__xludf.DUMMYFUNCTION("GOOGLETRANSLATE(D114, ""en"", ""id"")"),"A) Hukum")</f>
        <v>A) Hukum</v>
      </c>
      <c r="K114" s="5" t="str">
        <f>IFERROR(__xludf.DUMMYFUNCTION("GOOGLETRANSLATE(E114, ""en"", ""id"")"),"Bola dapat diseimbangkan secara kreatif sebelum dipukul.")</f>
        <v>Bola dapat diseimbangkan secara kreatif sebelum dipukul.</v>
      </c>
    </row>
    <row r="115">
      <c r="A115" s="3">
        <v>114.0</v>
      </c>
      <c r="B115" s="4" t="s">
        <v>1724</v>
      </c>
      <c r="C115" s="7" t="s">
        <v>1725</v>
      </c>
      <c r="D115" s="4" t="s">
        <v>1726</v>
      </c>
      <c r="E115" s="4" t="s">
        <v>1727</v>
      </c>
      <c r="G115" s="5" t="str">
        <f>IFERROR(__xludf.DUMMYFUNCTION("GOOGLETRANSLATE(A115, ""en"", ""id"")"),"114")</f>
        <v>114</v>
      </c>
      <c r="H115" s="5" t="str">
        <f>IFERROR(__xludf.DUMMYFUNCTION("GOOGLETRANSLATE(B115, ""en"", ""id"")"),"Di Bandung, apa yang dilakukan wasit jika Tim A secara tidak sengaja berdiri di sisi lapangan yang salah pada awal pertandingan?")</f>
        <v>Di Bandung, apa yang dilakukan wasit jika Tim A secara tidak sengaja berdiri di sisi lapangan yang salah pada awal pertandingan?</v>
      </c>
      <c r="I115" s="5" t="str">
        <f>IFERROR(__xludf.DUMMYFUNCTION("GOOGLETRANSLATE(C115, ""en"", ""id"")"),"A) Batalkan set B) Ganti sisi, lanjutkan C) Lawan mendapat poin D) Ulangi reli")</f>
        <v>A) Batalkan set B) Ganti sisi, lanjutkan C) Lawan mendapat poin D) Ulangi reli</v>
      </c>
      <c r="J115" s="5" t="str">
        <f>IFERROR(__xludf.DUMMYFUNCTION("GOOGLETRANSLATE(D115, ""en"", ""id"")"),"B) Ganti sisi, lanjutkan")</f>
        <v>B) Ganti sisi, lanjutkan</v>
      </c>
      <c r="K115" s="5" t="str">
        <f>IFERROR(__xludf.DUMMYFUNCTION("GOOGLETRANSLATE(E115, ""en"", ""id"")"),"Kesalahan diperbaiki tanpa penalti.")</f>
        <v>Kesalahan diperbaiki tanpa penalti.</v>
      </c>
    </row>
    <row r="116">
      <c r="A116" s="3">
        <v>115.0</v>
      </c>
      <c r="B116" s="4" t="s">
        <v>1728</v>
      </c>
      <c r="C116" s="7" t="s">
        <v>1729</v>
      </c>
      <c r="D116" s="4" t="s">
        <v>1730</v>
      </c>
      <c r="E116" s="4" t="s">
        <v>1731</v>
      </c>
      <c r="G116" s="5" t="str">
        <f>IFERROR(__xludf.DUMMYFUNCTION("GOOGLETRANSLATE(A116, ""en"", ""id"")"),"115")</f>
        <v>115</v>
      </c>
      <c r="H116" s="5" t="str">
        <f>IFERROR(__xludf.DUMMYFUNCTION("GOOGLETRANSLATE(B116, ""en"", ""id"")"),"Di Bali, apakah sah hukumnya bagi pemain bertahan untuk menangkis paku dengan tulang keringnya?")</f>
        <v>Di Bali, apakah sah hukumnya bagi pemain bertahan untuk menangkis paku dengan tulang keringnya?</v>
      </c>
      <c r="I116" s="5" t="str">
        <f>IFERROR(__xludf.DUMMYFUNCTION("GOOGLETRANSLATE(C116, ""en"", ""id"")"),"A) Ya, reli berlanjut B) Tidak, salah C) Reli ulang D) Peringatan")</f>
        <v>A) Ya, reli berlanjut B) Tidak, salah C) Reli ulang D) Peringatan</v>
      </c>
      <c r="J116" s="5" t="str">
        <f>IFERROR(__xludf.DUMMYFUNCTION("GOOGLETRANSLATE(D116, ""en"", ""id"")"),"A) Ya, reli terus berlanjut")</f>
        <v>A) Ya, reli terus berlanjut</v>
      </c>
      <c r="K116" s="5" t="str">
        <f>IFERROR(__xludf.DUMMYFUNCTION("GOOGLETRANSLATE(E116, ""en"", ""id"")"),"Shin merupakan bagian tubuh yang sah.")</f>
        <v>Shin merupakan bagian tubuh yang sah.</v>
      </c>
    </row>
    <row r="117">
      <c r="A117" s="3">
        <v>116.0</v>
      </c>
      <c r="B117" s="4" t="s">
        <v>1732</v>
      </c>
      <c r="C117" s="7" t="s">
        <v>1733</v>
      </c>
      <c r="D117" s="4" t="s">
        <v>1734</v>
      </c>
      <c r="E117" s="4" t="s">
        <v>1735</v>
      </c>
      <c r="G117" s="5" t="str">
        <f>IFERROR(__xludf.DUMMYFUNCTION("GOOGLETRANSLATE(A117, ""en"", ""id"")"),"116")</f>
        <v>116</v>
      </c>
      <c r="H117" s="5" t="str">
        <f>IFERROR(__xludf.DUMMYFUNCTION("GOOGLETRANSLATE(B117, ""en"", ""id"")"),"Di Jakarta, apa keputusannya jika seorang pemain melompat ke gawang untuk merayakan setelah mencetak poin?")</f>
        <v>Di Jakarta, apa keputusannya jika seorang pemain melompat ke gawang untuk merayakan setelah mencetak poin?</v>
      </c>
      <c r="I117" s="5" t="str">
        <f>IFERROR(__xludf.DUMMYFUNCTION("GOOGLETRANSLATE(C117, ""en"", ""id"")"),"A) Diizinkan setelah reli B) Peringatan atas pelanggaran C) Poin dibatalkan D) Reli ulang")</f>
        <v>A) Diizinkan setelah reli B) Peringatan atas pelanggaran C) Poin dibatalkan D) Reli ulang</v>
      </c>
      <c r="J117" s="5" t="str">
        <f>IFERROR(__xludf.DUMMYFUNCTION("GOOGLETRANSLATE(D117, ""en"", ""id"")"),"B) Peringatan atas pelanggaran")</f>
        <v>B) Peringatan atas pelanggaran</v>
      </c>
      <c r="K117" s="5" t="str">
        <f>IFERROR(__xludf.DUMMYFUNCTION("GOOGLETRANSLATE(E117, ""en"", ""id"")"),"Kontak bersih setelah reli dihukum dengan peringatan.")</f>
        <v>Kontak bersih setelah reli dihukum dengan peringatan.</v>
      </c>
    </row>
    <row r="118">
      <c r="A118" s="3">
        <v>117.0</v>
      </c>
      <c r="B118" s="4" t="s">
        <v>1736</v>
      </c>
      <c r="C118" s="7" t="s">
        <v>1737</v>
      </c>
      <c r="D118" s="4" t="s">
        <v>1520</v>
      </c>
      <c r="E118" s="4" t="s">
        <v>1738</v>
      </c>
      <c r="G118" s="5" t="str">
        <f>IFERROR(__xludf.DUMMYFUNCTION("GOOGLETRANSLATE(A118, ""en"", ""id"")"),"117")</f>
        <v>117</v>
      </c>
      <c r="H118" s="5" t="str">
        <f>IFERROR(__xludf.DUMMYFUNCTION("GOOGLETRANSLATE(B118, ""en"", ""id"")"),"Di Bandung, apa hukumnya kalau server menjatuhkan bola tanpa sengaja tanpa menendangnya?")</f>
        <v>Di Bandung, apa hukumnya kalau server menjatuhkan bola tanpa sengaja tanpa menendangnya?</v>
      </c>
      <c r="I118" s="5" t="str">
        <f>IFERROR(__xludf.DUMMYFUNCTION("GOOGLETRANSLATE(C118, ""en"", ""id"")"),"A) Servis ulang B) Kesalahan, tunjuk ke lawan C) Hanya peringatan D) Izinkan percobaan ulang")</f>
        <v>A) Servis ulang B) Kesalahan, tunjuk ke lawan C) Hanya peringatan D) Izinkan percobaan ulang</v>
      </c>
      <c r="J118" s="5" t="str">
        <f>IFERROR(__xludf.DUMMYFUNCTION("GOOGLETRANSLATE(D118, ""en"", ""id"")"),"B) Kesalahan, tunjuk ke lawan")</f>
        <v>B) Kesalahan, tunjuk ke lawan</v>
      </c>
      <c r="K118" s="5" t="str">
        <f>IFERROR(__xludf.DUMMYFUNCTION("GOOGLETRANSLATE(E118, ""en"", ""id"")"),"Bola yang hilang = kesalahan servis.")</f>
        <v>Bola yang hilang = kesalahan servis.</v>
      </c>
    </row>
    <row r="119">
      <c r="A119" s="3">
        <v>118.0</v>
      </c>
      <c r="B119" s="4" t="s">
        <v>1739</v>
      </c>
      <c r="C119" s="7" t="s">
        <v>1740</v>
      </c>
      <c r="D119" s="4" t="s">
        <v>1741</v>
      </c>
      <c r="E119" s="4" t="s">
        <v>1742</v>
      </c>
      <c r="G119" s="5" t="str">
        <f>IFERROR(__xludf.DUMMYFUNCTION("GOOGLETRANSLATE(A119, ""en"", ""id"")"),"118")</f>
        <v>118</v>
      </c>
      <c r="H119" s="5" t="str">
        <f>IFERROR(__xludf.DUMMYFUNCTION("GOOGLETRANSLATE(B119, ""en"", ""id"")"),"Di Bali, apa hukumnya jika sepatu pemain putus di tengah reli dan mereka tetap bermain?")</f>
        <v>Di Bali, apa hukumnya jika sepatu pemain putus di tengah reli dan mereka tetap bermain?</v>
      </c>
      <c r="I119" s="5" t="str">
        <f>IFERROR(__xludf.DUMMYFUNCTION("GOOGLETRANSLATE(C119, ""en"", ""id"")"),"A) Putar ulang reli B) Izinkan permainan C) Arahkan ke lawan D) Peringatan")</f>
        <v>A) Putar ulang reli B) Izinkan permainan C) Arahkan ke lawan D) Peringatan</v>
      </c>
      <c r="J119" s="5" t="str">
        <f>IFERROR(__xludf.DUMMYFUNCTION("GOOGLETRANSLATE(D119, ""en"", ""id"")"),"B) Izinkan bermain")</f>
        <v>B) Izinkan bermain</v>
      </c>
      <c r="K119" s="5" t="str">
        <f>IFERROR(__xludf.DUMMYFUNCTION("GOOGLETRANSLATE(E119, ""en"", ""id"")"),"Kerusakan peralatan tidak mengganggu kecuali reli dihentikan.")</f>
        <v>Kerusakan peralatan tidak mengganggu kecuali reli dihentikan.</v>
      </c>
    </row>
    <row r="120">
      <c r="A120" s="3">
        <v>119.0</v>
      </c>
      <c r="B120" s="4" t="s">
        <v>1743</v>
      </c>
      <c r="C120" s="7" t="s">
        <v>1744</v>
      </c>
      <c r="D120" s="4" t="s">
        <v>1520</v>
      </c>
      <c r="E120" s="4" t="s">
        <v>1745</v>
      </c>
      <c r="G120" s="5" t="str">
        <f>IFERROR(__xludf.DUMMYFUNCTION("GOOGLETRANSLATE(A120, ""en"", ""id"")"),"119")</f>
        <v>119</v>
      </c>
      <c r="H120" s="5" t="str">
        <f>IFERROR(__xludf.DUMMYFUNCTION("GOOGLETRANSLATE(B120, ""en"", ""id"")"),"Di Jakarta, apa keputusan jika seorang pemblokir mendarat di tribun wasit?")</f>
        <v>Di Jakarta, apa keputusan jika seorang pemblokir mendarat di tribun wasit?</v>
      </c>
      <c r="I120" s="5" t="str">
        <f>IFERROR(__xludf.DUMMYFUNCTION("GOOGLETRANSLATE(C120, ""en"", ""id"")"),"A) Replay rally B) Kesalahan, tunjuk lawan C) Permainan berlanjut D) Peringatan")</f>
        <v>A) Replay rally B) Kesalahan, tunjuk lawan C) Permainan berlanjut D) Peringatan</v>
      </c>
      <c r="J120" s="5" t="str">
        <f>IFERROR(__xludf.DUMMYFUNCTION("GOOGLETRANSLATE(D120, ""en"", ""id"")"),"B) Kesalahan, tunjuk ke lawan")</f>
        <v>B) Kesalahan, tunjuk ke lawan</v>
      </c>
      <c r="K120" s="5" t="str">
        <f>IFERROR(__xludf.DUMMYFUNCTION("GOOGLETRANSLATE(E120, ""en"", ""id"")"),"Kontak dengan benda luar = kesalahan.")</f>
        <v>Kontak dengan benda luar = kesalahan.</v>
      </c>
    </row>
    <row r="121">
      <c r="A121" s="3">
        <v>120.0</v>
      </c>
      <c r="B121" s="4" t="s">
        <v>1746</v>
      </c>
      <c r="C121" s="7" t="s">
        <v>1747</v>
      </c>
      <c r="D121" s="4" t="s">
        <v>1748</v>
      </c>
      <c r="E121" s="4" t="s">
        <v>1749</v>
      </c>
      <c r="G121" s="5" t="str">
        <f>IFERROR(__xludf.DUMMYFUNCTION("GOOGLETRANSLATE(A121, ""en"", ""id"")"),"120")</f>
        <v>120</v>
      </c>
      <c r="H121" s="5" t="str">
        <f>IFERROR(__xludf.DUMMYFUNCTION("GOOGLETRANSLATE(B121, ""en"", ""id"")"),"Di Bandung, apa keputusannya jika seorang striker menirukan peluit wasit di tengah reli?")</f>
        <v>Di Bandung, apa keputusannya jika seorang striker menirukan peluit wasit di tengah reli?</v>
      </c>
      <c r="I121" s="5" t="str">
        <f>IFERROR(__xludf.DUMMYFUNCTION("GOOGLETRANSLATE(C121, ""en"", ""id"")"),"A) Trik yang sah B) Pelanggaran, tunjuk lawan C) Reli ulang D) Peringatan")</f>
        <v>A) Trik yang sah B) Pelanggaran, tunjuk lawan C) Reli ulang D) Peringatan</v>
      </c>
      <c r="J121" s="5" t="str">
        <f>IFERROR(__xludf.DUMMYFUNCTION("GOOGLETRANSLATE(D121, ""en"", ""id"")"),"B) Perilaku buruk, tunjuk lawan")</f>
        <v>B) Perilaku buruk, tunjuk lawan</v>
      </c>
      <c r="K121" s="5" t="str">
        <f>IFERROR(__xludf.DUMMYFUNCTION("GOOGLETRANSLATE(E121, ""en"", ""id"")"),"Memalsukan sinyal wasit = pelanggaran.")</f>
        <v>Memalsukan sinyal wasit = pelanggaran.</v>
      </c>
    </row>
    <row r="122">
      <c r="A122" s="3">
        <v>121.0</v>
      </c>
      <c r="B122" s="4" t="s">
        <v>1750</v>
      </c>
      <c r="C122" s="7" t="s">
        <v>1638</v>
      </c>
      <c r="D122" s="4" t="s">
        <v>1520</v>
      </c>
      <c r="E122" s="4" t="s">
        <v>1751</v>
      </c>
      <c r="G122" s="5" t="str">
        <f>IFERROR(__xludf.DUMMYFUNCTION("GOOGLETRANSLATE(A122, ""en"", ""id"")"),"121")</f>
        <v>121</v>
      </c>
      <c r="H122" s="5" t="str">
        <f>IFERROR(__xludf.DUMMYFUNCTION("GOOGLETRANSLATE(B122, ""en"", ""id"")"),"Di Bali, apa keputusan jika bola melewati luar tali samping tetapi mendarat di lapangan?")</f>
        <v>Di Bali, apa keputusan jika bola melewati luar tali samping tetapi mendarat di lapangan?</v>
      </c>
      <c r="I122" s="5" t="str">
        <f>IFERROR(__xludf.DUMMYFUNCTION("GOOGLETRANSLATE(C122, ""en"", ""id"")"),"A) Hukum B) Kesalahan, tunjuk lawan C) Reli ulang D) Peringatan")</f>
        <v>A) Hukum B) Kesalahan, tunjuk lawan C) Reli ulang D) Peringatan</v>
      </c>
      <c r="J122" s="5" t="str">
        <f>IFERROR(__xludf.DUMMYFUNCTION("GOOGLETRANSLATE(D122, ""en"", ""id"")"),"B) Kesalahan, tunjuk ke lawan")</f>
        <v>B) Kesalahan, tunjuk ke lawan</v>
      </c>
      <c r="K122" s="5" t="str">
        <f>IFERROR(__xludf.DUMMYFUNCTION("GOOGLETRANSLATE(E122, ""en"", ""id"")"),"Harus melewati luas net.")</f>
        <v>Harus melewati luas net.</v>
      </c>
    </row>
    <row r="123">
      <c r="A123" s="3">
        <v>122.0</v>
      </c>
      <c r="B123" s="4" t="s">
        <v>1752</v>
      </c>
      <c r="C123" s="7" t="s">
        <v>1688</v>
      </c>
      <c r="D123" s="4" t="s">
        <v>1602</v>
      </c>
      <c r="E123" s="4" t="s">
        <v>1753</v>
      </c>
      <c r="G123" s="5" t="str">
        <f>IFERROR(__xludf.DUMMYFUNCTION("GOOGLETRANSLATE(A123, ""en"", ""id"")"),"122")</f>
        <v>122</v>
      </c>
      <c r="H123" s="5" t="str">
        <f>IFERROR(__xludf.DUMMYFUNCTION("GOOGLETRANSLATE(B123, ""en"", ""id"")"),"Di Jakarta, apa keputusan yang sah jika seorang pemain mengejar bola ke luar lapangan dan menendangnya kembali?")</f>
        <v>Di Jakarta, apa keputusan yang sah jika seorang pemain mengejar bola ke luar lapangan dan menendangnya kembali?</v>
      </c>
      <c r="I123" s="5" t="str">
        <f>IFERROR(__xludf.DUMMYFUNCTION("GOOGLETRANSLATE(C123, ""en"", ""id"")"),"A) Legal, reli berlanjut B) Fault C) Reli ulang D) Warning")</f>
        <v>A) Legal, reli berlanjut B) Fault C) Reli ulang D) Warning</v>
      </c>
      <c r="J123" s="5" t="str">
        <f>IFERROR(__xludf.DUMMYFUNCTION("GOOGLETRANSLATE(D123, ""en"", ""id"")"),"A) Hukum, aksi unjuk rasa terus berlanjut")</f>
        <v>A) Hukum, aksi unjuk rasa terus berlanjut</v>
      </c>
      <c r="K123" s="5" t="str">
        <f>IFERROR(__xludf.DUMMYFUNCTION("GOOGLETRANSLATE(E123, ""en"", ""id"")"),"Bola boleh dimainkan di luar asalkan dikembalikan secara sah.")</f>
        <v>Bola boleh dimainkan di luar asalkan dikembalikan secara sah.</v>
      </c>
    </row>
    <row r="124">
      <c r="A124" s="3">
        <v>123.0</v>
      </c>
      <c r="B124" s="4" t="s">
        <v>1754</v>
      </c>
      <c r="C124" s="7" t="s">
        <v>1755</v>
      </c>
      <c r="D124" s="4" t="s">
        <v>1586</v>
      </c>
      <c r="E124" s="4" t="s">
        <v>1756</v>
      </c>
      <c r="G124" s="5" t="str">
        <f>IFERROR(__xludf.DUMMYFUNCTION("GOOGLETRANSLATE(A124, ""en"", ""id"")"),"123")</f>
        <v>123</v>
      </c>
      <c r="H124" s="5" t="str">
        <f>IFERROR(__xludf.DUMMYFUNCTION("GOOGLETRANSLATE(B124, ""en"", ""id"")"),"Di Bandung, apa keputusannya jika rekaman video menunjukkan sentuhan ganda tidak dilakukan oleh wasit yang mengizinkan permainan dilanjutkan?")</f>
        <v>Di Bandung, apa keputusannya jika rekaman video menunjukkan sentuhan ganda tidak dilakukan oleh wasit yang mengizinkan permainan dilanjutkan?</v>
      </c>
      <c r="I124" s="5" t="str">
        <f>IFERROR(__xludf.DUMMYFUNCTION("GOOGLETRANSLATE(C124, ""en"", ""id"")"),"A) Perubahan skor B) Keputusan berlaku C) Reli ulang D) Peringatan")</f>
        <v>A) Perubahan skor B) Keputusan berlaku C) Reli ulang D) Peringatan</v>
      </c>
      <c r="J124" s="5" t="str">
        <f>IFERROR(__xludf.DUMMYFUNCTION("GOOGLETRANSLATE(D124, ""en"", ""id"")"),"B) Keputusan tetap berlaku")</f>
        <v>B) Keputusan tetap berlaku</v>
      </c>
      <c r="K124" s="5" t="str">
        <f>IFERROR(__xludf.DUMMYFUNCTION("GOOGLETRANSLATE(E124, ""en"", ""id"")"),"Keputusan wasit bersifat final.")</f>
        <v>Keputusan wasit bersifat final.</v>
      </c>
    </row>
    <row r="125">
      <c r="A125" s="3">
        <v>124.0</v>
      </c>
      <c r="B125" s="4" t="s">
        <v>1757</v>
      </c>
      <c r="C125" s="7" t="s">
        <v>1758</v>
      </c>
      <c r="D125" s="4" t="s">
        <v>1748</v>
      </c>
      <c r="E125" s="4" t="s">
        <v>1759</v>
      </c>
      <c r="G125" s="5" t="str">
        <f>IFERROR(__xludf.DUMMYFUNCTION("GOOGLETRANSLATE(A125, ""en"", ""id"")"),"124")</f>
        <v>124</v>
      </c>
      <c r="H125" s="5" t="str">
        <f>IFERROR(__xludf.DUMMYFUNCTION("GOOGLETRANSLATE(B125, ""en"", ""id"")"),"Di Bali, apa hukumnya jika pemain yang frustrasi melemparkan sepatu ke arah bola?")</f>
        <v>Di Bali, apa hukumnya jika pemain yang frustrasi melemparkan sepatu ke arah bola?</v>
      </c>
      <c r="I125" s="5" t="str">
        <f>IFERROR(__xludf.DUMMYFUNCTION("GOOGLETRANSLATE(C125, ""en"", ""id"")"),"A) Hukum B) Pelanggaran, tunjuk lawan C) Reli ulang D) Hanya peringatan")</f>
        <v>A) Hukum B) Pelanggaran, tunjuk lawan C) Reli ulang D) Hanya peringatan</v>
      </c>
      <c r="J125" s="5" t="str">
        <f>IFERROR(__xludf.DUMMYFUNCTION("GOOGLETRANSLATE(D125, ""en"", ""id"")"),"B) Perilaku buruk, tunjuk lawan")</f>
        <v>B) Perilaku buruk, tunjuk lawan</v>
      </c>
      <c r="K125" s="5" t="str">
        <f>IFERROR(__xludf.DUMMYFUNCTION("GOOGLETRANSLATE(E125, ""en"", ""id"")"),"Hanya kontak tubuh yang diizinkan.")</f>
        <v>Hanya kontak tubuh yang diizinkan.</v>
      </c>
    </row>
    <row r="126">
      <c r="A126" s="3">
        <v>125.0</v>
      </c>
      <c r="B126" s="4" t="s">
        <v>1760</v>
      </c>
      <c r="C126" s="7" t="s">
        <v>1761</v>
      </c>
      <c r="D126" s="4" t="s">
        <v>1520</v>
      </c>
      <c r="E126" s="4" t="s">
        <v>1762</v>
      </c>
      <c r="G126" s="5" t="str">
        <f>IFERROR(__xludf.DUMMYFUNCTION("GOOGLETRANSLATE(A126, ""en"", ""id"")"),"125")</f>
        <v>125</v>
      </c>
      <c r="H126" s="5" t="str">
        <f>IFERROR(__xludf.DUMMYFUNCTION("GOOGLETRANSLATE(B126, ""en"", ""id"")"),"Di Jakarta, apa keputusan jika servis mengenai net langit-langit?")</f>
        <v>Di Jakarta, apa keputusan jika servis mengenai net langit-langit?</v>
      </c>
      <c r="I126" s="5" t="str">
        <f>IFERROR(__xludf.DUMMYFUNCTION("GOOGLETRANSLATE(C126, ""en"", ""id"")"),"A) Servis ulang B) Kesalahan, tunjuk ke lawan C) Peringatan D) Reli ulang")</f>
        <v>A) Servis ulang B) Kesalahan, tunjuk ke lawan C) Peringatan D) Reli ulang</v>
      </c>
      <c r="J126" s="5" t="str">
        <f>IFERROR(__xludf.DUMMYFUNCTION("GOOGLETRANSLATE(D126, ""en"", ""id"")"),"B) Kesalahan, tunjuk ke lawan")</f>
        <v>B) Kesalahan, tunjuk ke lawan</v>
      </c>
      <c r="K126" s="5" t="str">
        <f>IFERROR(__xludf.DUMMYFUNCTION("GOOGLETRANSLATE(E126, ""en"", ""id"")"),"Langit-langit = keluar.")</f>
        <v>Langit-langit = keluar.</v>
      </c>
    </row>
    <row r="127">
      <c r="A127" s="3">
        <v>126.0</v>
      </c>
      <c r="B127" s="4" t="s">
        <v>1763</v>
      </c>
      <c r="C127" s="7" t="s">
        <v>1764</v>
      </c>
      <c r="D127" s="4" t="s">
        <v>1748</v>
      </c>
      <c r="E127" s="4" t="s">
        <v>1765</v>
      </c>
      <c r="G127" s="5" t="str">
        <f>IFERROR(__xludf.DUMMYFUNCTION("GOOGLETRANSLATE(A127, ""en"", ""id"")"),"126")</f>
        <v>126</v>
      </c>
      <c r="H127" s="5" t="str">
        <f>IFERROR(__xludf.DUMMYFUNCTION("GOOGLETRANSLATE(B127, ""en"", ""id"")"),"Di Bandung, apa keputusannya jika seorang striker mengejek server dengan tertawa keras?")</f>
        <v>Di Bandung, apa keputusannya jika seorang striker mengejek server dengan tertawa keras?</v>
      </c>
      <c r="I127" s="5" t="str">
        <f>IFERROR(__xludf.DUMMYFUNCTION("GOOGLETRANSLATE(C127, ""en"", ""id"")"),"A) Hukum B) Pelanggaran, tunjuk lawan C) Reli ulang D) Peringatan")</f>
        <v>A) Hukum B) Pelanggaran, tunjuk lawan C) Reli ulang D) Peringatan</v>
      </c>
      <c r="J127" s="5" t="str">
        <f>IFERROR(__xludf.DUMMYFUNCTION("GOOGLETRANSLATE(D127, ""en"", ""id"")"),"B) Perilaku buruk, tunjuk lawan")</f>
        <v>B) Perilaku buruk, tunjuk lawan</v>
      </c>
      <c r="K127" s="5" t="str">
        <f>IFERROR(__xludf.DUMMYFUNCTION("GOOGLETRANSLATE(E127, ""en"", ""id"")"),"Gangguan akan dikenakan sanksi.")</f>
        <v>Gangguan akan dikenakan sanksi.</v>
      </c>
    </row>
    <row r="128">
      <c r="A128" s="3">
        <v>127.0</v>
      </c>
      <c r="B128" s="4" t="s">
        <v>1766</v>
      </c>
      <c r="C128" s="7" t="s">
        <v>1767</v>
      </c>
      <c r="D128" s="4" t="s">
        <v>1474</v>
      </c>
      <c r="E128" s="4" t="s">
        <v>1768</v>
      </c>
      <c r="G128" s="5" t="str">
        <f>IFERROR(__xludf.DUMMYFUNCTION("GOOGLETRANSLATE(A128, ""en"", ""id"")"),"127")</f>
        <v>127</v>
      </c>
      <c r="H128" s="5" t="str">
        <f>IFERROR(__xludf.DUMMYFUNCTION("GOOGLETRANSLATE(B128, ""en"", ""id"")"),"Di Bali, apa keputusannya jika suatu tim menunda dimulainya set kedua selama 5 menit?")</f>
        <v>Di Bali, apa keputusannya jika suatu tim menunda dimulainya set kedua selama 5 menit?</v>
      </c>
      <c r="I128" s="5" t="str">
        <f>IFERROR(__xludf.DUMMYFUNCTION("GOOGLETRANSLATE(C128, ""en"", ""id"")"),"A) Peringatan B) Arahkan ke lawan C) Set hangus D) Ulangan")</f>
        <v>A) Peringatan B) Arahkan ke lawan C) Set hangus D) Ulangan</v>
      </c>
      <c r="J128" s="5" t="str">
        <f>IFERROR(__xludf.DUMMYFUNCTION("GOOGLETRANSLATE(D128, ""en"", ""id"")"),"B) Menunjuk ke lawan")</f>
        <v>B) Menunjuk ke lawan</v>
      </c>
      <c r="K128" s="5" t="str">
        <f>IFERROR(__xludf.DUMMYFUNCTION("GOOGLETRANSLATE(E128, ""en"", ""id"")"),"Keterlambatan dikenakan penalti dengan pengurangan poin.")</f>
        <v>Keterlambatan dikenakan penalti dengan pengurangan poin.</v>
      </c>
    </row>
    <row r="129">
      <c r="A129" s="3">
        <v>128.0</v>
      </c>
      <c r="B129" s="4" t="s">
        <v>1769</v>
      </c>
      <c r="C129" s="7" t="s">
        <v>1523</v>
      </c>
      <c r="D129" s="4" t="s">
        <v>1520</v>
      </c>
      <c r="E129" s="4" t="s">
        <v>1770</v>
      </c>
      <c r="G129" s="5" t="str">
        <f>IFERROR(__xludf.DUMMYFUNCTION("GOOGLETRANSLATE(A129, ""en"", ""id"")"),"128")</f>
        <v>128</v>
      </c>
      <c r="H129" s="5" t="str">
        <f>IFERROR(__xludf.DUMMYFUNCTION("GOOGLETRANSLATE(B129, ""en"", ""id"")"),"Di Jakarta, apa keputusannya jika seorang pelayan mencoba melayani dengan kepalanya?")</f>
        <v>Di Jakarta, apa keputusannya jika seorang pelayan mencoba melayani dengan kepalanya?</v>
      </c>
      <c r="I129" s="5" t="str">
        <f>IFERROR(__xludf.DUMMYFUNCTION("GOOGLETRANSLATE(C129, ""en"", ""id"")"),"A) Legal B) Fault, tunjuk ke lawan C) Servis ulang D) Peringatan")</f>
        <v>A) Legal B) Fault, tunjuk ke lawan C) Servis ulang D) Peringatan</v>
      </c>
      <c r="J129" s="5" t="str">
        <f>IFERROR(__xludf.DUMMYFUNCTION("GOOGLETRANSLATE(D129, ""en"", ""id"")"),"B) Kesalahan, tunjuk ke lawan")</f>
        <v>B) Kesalahan, tunjuk ke lawan</v>
      </c>
      <c r="K129" s="5" t="str">
        <f>IFERROR(__xludf.DUMMYFUNCTION("GOOGLETRANSLATE(E129, ""en"", ""id"")"),"Servis harus dilakukan dengan kaki.")</f>
        <v>Servis harus dilakukan dengan kaki.</v>
      </c>
    </row>
    <row r="130">
      <c r="A130" s="3">
        <v>129.0</v>
      </c>
      <c r="B130" s="4" t="s">
        <v>1771</v>
      </c>
      <c r="C130" s="7" t="s">
        <v>1772</v>
      </c>
      <c r="D130" s="4" t="s">
        <v>1474</v>
      </c>
      <c r="E130" s="4" t="s">
        <v>1773</v>
      </c>
      <c r="G130" s="5" t="str">
        <f>IFERROR(__xludf.DUMMYFUNCTION("GOOGLETRANSLATE(A130, ""en"", ""id"")"),"129")</f>
        <v>129</v>
      </c>
      <c r="H130" s="5" t="str">
        <f>IFERROR(__xludf.DUMMYFUNCTION("GOOGLETRANSLATE(B130, ""en"", ""id"")"),"Di Bandung, apa hukumnya jika bola menyentuh kursi wasit lalu jatuh ke lapangan?")</f>
        <v>Di Bandung, apa hukumnya jika bola menyentuh kursi wasit lalu jatuh ke lapangan?</v>
      </c>
      <c r="I130" s="5" t="str">
        <f>IFERROR(__xludf.DUMMYFUNCTION("GOOGLETRANSLATE(C130, ""en"", ""id"")"),"A) Arahkan ke striker B) Arahkan ke lawan C) Reli ulang D) Peringatan")</f>
        <v>A) Arahkan ke striker B) Arahkan ke lawan C) Reli ulang D) Peringatan</v>
      </c>
      <c r="J130" s="5" t="str">
        <f>IFERROR(__xludf.DUMMYFUNCTION("GOOGLETRANSLATE(D130, ""en"", ""id"")"),"B) Menunjuk ke lawan")</f>
        <v>B) Menunjuk ke lawan</v>
      </c>
      <c r="K130" s="5" t="str">
        <f>IFERROR(__xludf.DUMMYFUNCTION("GOOGLETRANSLATE(E130, ""en"", ""id"")"),"Kontak luar = keluar.")</f>
        <v>Kontak luar = keluar.</v>
      </c>
    </row>
    <row r="131">
      <c r="A131" s="3">
        <v>130.0</v>
      </c>
      <c r="B131" s="4" t="s">
        <v>1774</v>
      </c>
      <c r="C131" s="7" t="s">
        <v>1772</v>
      </c>
      <c r="D131" s="4" t="s">
        <v>1775</v>
      </c>
      <c r="E131" s="4" t="s">
        <v>1776</v>
      </c>
      <c r="G131" s="5" t="str">
        <f>IFERROR(__xludf.DUMMYFUNCTION("GOOGLETRANSLATE(A131, ""en"", ""id"")"),"130")</f>
        <v>130</v>
      </c>
      <c r="H131" s="5" t="str">
        <f>IFERROR(__xludf.DUMMYFUNCTION("GOOGLETRANSLATE(B131, ""en"", ""id"")"),"Di Bali, apa keputusan jika sebuah spike menyentuh net namun mendarat di area lawan?")</f>
        <v>Di Bali, apa keputusan jika sebuah spike menyentuh net namun mendarat di area lawan?</v>
      </c>
      <c r="I131" s="5" t="str">
        <f>IFERROR(__xludf.DUMMYFUNCTION("GOOGLETRANSLATE(C131, ""en"", ""id"")"),"A) Arahkan ke striker B) Arahkan ke lawan C) Reli ulang D) Peringatan")</f>
        <v>A) Arahkan ke striker B) Arahkan ke lawan C) Reli ulang D) Peringatan</v>
      </c>
      <c r="J131" s="5" t="str">
        <f>IFERROR(__xludf.DUMMYFUNCTION("GOOGLETRANSLATE(D131, ""en"", ""id"")"),"A) Arahkan ke striker")</f>
        <v>A) Arahkan ke striker</v>
      </c>
      <c r="K131" s="5" t="str">
        <f>IFERROR(__xludf.DUMMYFUNCTION("GOOGLETRANSLATE(E131, ""en"", ""id"")"),"Goresan bersih berlaku jika bola mendarat di.")</f>
        <v>Goresan bersih berlaku jika bola mendarat di.</v>
      </c>
    </row>
    <row r="132">
      <c r="A132" s="3">
        <v>131.0</v>
      </c>
      <c r="B132" s="4" t="s">
        <v>1777</v>
      </c>
      <c r="C132" s="7" t="s">
        <v>1778</v>
      </c>
      <c r="D132" s="4" t="s">
        <v>1779</v>
      </c>
      <c r="E132" s="4" t="s">
        <v>1780</v>
      </c>
      <c r="G132" s="5" t="str">
        <f>IFERROR(__xludf.DUMMYFUNCTION("GOOGLETRANSLATE(A132, ""en"", ""id"")"),"131")</f>
        <v>131</v>
      </c>
      <c r="H132" s="5" t="str">
        <f>IFERROR(__xludf.DUMMYFUNCTION("GOOGLETRANSLATE(B132, ""en"", ""id"")"),"Di Jakarta, apa keputusannya jika seorang pemain menuntut sistem ulasan video yang tidak tersedia?")</f>
        <v>Di Jakarta, apa keputusannya jika seorang pemain menuntut sistem ulasan video yang tidak tersedia?</v>
      </c>
      <c r="I132" s="5" t="str">
        <f>IFERROR(__xludf.DUMMYFUNCTION("GOOGLETRANSLATE(C132, ""en"", ""id"")"),"A) Replay rally B) Menolak, keputusan wasit tetap berlaku C) Peringatan D) Menunjuk ke lawan")</f>
        <v>A) Replay rally B) Menolak, keputusan wasit tetap berlaku C) Peringatan D) Menunjuk ke lawan</v>
      </c>
      <c r="J132" s="5" t="str">
        <f>IFERROR(__xludf.DUMMYFUNCTION("GOOGLETRANSLATE(D132, ""en"", ""id"")"),"B) Menolak, keputusan wasit tetap berlaku")</f>
        <v>B) Menolak, keputusan wasit tetap berlaku</v>
      </c>
      <c r="K132" s="5" t="str">
        <f>IFERROR(__xludf.DUMMYFUNCTION("GOOGLETRANSLATE(E132, ""en"", ""id"")"),"Tanpa sistem peninjauan, keputusan wasit bersifat final.")</f>
        <v>Tanpa sistem peninjauan, keputusan wasit bersifat final.</v>
      </c>
    </row>
    <row r="133">
      <c r="A133" s="3">
        <v>132.0</v>
      </c>
      <c r="B133" s="4" t="s">
        <v>1781</v>
      </c>
      <c r="C133" s="7" t="s">
        <v>1782</v>
      </c>
      <c r="D133" s="4" t="s">
        <v>1748</v>
      </c>
      <c r="E133" s="4" t="s">
        <v>1783</v>
      </c>
      <c r="G133" s="5" t="str">
        <f>IFERROR(__xludf.DUMMYFUNCTION("GOOGLETRANSLATE(A133, ""en"", ""id"")"),"132")</f>
        <v>132</v>
      </c>
      <c r="H133" s="5" t="str">
        <f>IFERROR(__xludf.DUMMYFUNCTION("GOOGLETRANSLATE(B133, ""en"", ""id"")"),"Di Bandung, apa hukumnya jika pemain mencabut pita net saat time out?")</f>
        <v>Di Bandung, apa hukumnya jika pemain mencabut pita net saat time out?</v>
      </c>
      <c r="I133" s="5" t="str">
        <f>IFERROR(__xludf.DUMMYFUNCTION("GOOGLETRANSLATE(C133, ""en"", ""id"")"),"A) Ulangi reli B) Pelanggaran, tunjuk lawan C) Hanya peringatan D) Izinkan permainan")</f>
        <v>A) Ulangi reli B) Pelanggaran, tunjuk lawan C) Hanya peringatan D) Izinkan permainan</v>
      </c>
      <c r="J133" s="5" t="str">
        <f>IFERROR(__xludf.DUMMYFUNCTION("GOOGLETRANSLATE(D133, ""en"", ""id"")"),"B) Perilaku buruk, tunjuk lawan")</f>
        <v>B) Perilaku buruk, tunjuk lawan</v>
      </c>
      <c r="K133" s="5" t="str">
        <f>IFERROR(__xludf.DUMMYFUNCTION("GOOGLETRANSLATE(E133, ""en"", ""id"")"),"Merusak peralatan akan dikenakan sanksi.")</f>
        <v>Merusak peralatan akan dikenakan sanksi.</v>
      </c>
    </row>
    <row r="134">
      <c r="A134" s="3">
        <v>133.0</v>
      </c>
      <c r="B134" s="4" t="s">
        <v>1784</v>
      </c>
      <c r="C134" s="7" t="s">
        <v>1785</v>
      </c>
      <c r="D134" s="4" t="s">
        <v>1748</v>
      </c>
      <c r="E134" s="4" t="s">
        <v>1786</v>
      </c>
      <c r="G134" s="5" t="str">
        <f>IFERROR(__xludf.DUMMYFUNCTION("GOOGLETRANSLATE(A134, ""en"", ""id"")"),"133")</f>
        <v>133</v>
      </c>
      <c r="H134" s="5" t="str">
        <f>IFERROR(__xludf.DUMMYFUNCTION("GOOGLETRANSLATE(B134, ""en"", ""id"")"),"Di Bali, apa keputusan jika seorang pemain berpura-pura cedera untuk menghentikan reli?")</f>
        <v>Di Bali, apa keputusan jika seorang pemain berpura-pura cedera untuk menghentikan reli?</v>
      </c>
      <c r="I134" s="5" t="str">
        <f>IFERROR(__xludf.DUMMYFUNCTION("GOOGLETRANSLATE(C134, ""en"", ""id"")"),"A) Replay rally B) Pelanggaran, tunjuk lawan C) Hanya peringatan D) Izinkan jeda")</f>
        <v>A) Replay rally B) Pelanggaran, tunjuk lawan C) Hanya peringatan D) Izinkan jeda</v>
      </c>
      <c r="J134" s="5" t="str">
        <f>IFERROR(__xludf.DUMMYFUNCTION("GOOGLETRANSLATE(D134, ""en"", ""id"")"),"B) Perilaku buruk, tunjuk lawan")</f>
        <v>B) Perilaku buruk, tunjuk lawan</v>
      </c>
      <c r="K134" s="5" t="str">
        <f>IFERROR(__xludf.DUMMYFUNCTION("GOOGLETRANSLATE(E134, ""en"", ""id"")"),"Berpura-pura cedera dihukum.")</f>
        <v>Berpura-pura cedera dihukum.</v>
      </c>
    </row>
    <row r="135">
      <c r="A135" s="3">
        <v>134.0</v>
      </c>
      <c r="B135" s="4" t="s">
        <v>1787</v>
      </c>
      <c r="C135" s="7" t="s">
        <v>1649</v>
      </c>
      <c r="D135" s="4" t="s">
        <v>1508</v>
      </c>
      <c r="E135" s="4" t="s">
        <v>1788</v>
      </c>
      <c r="G135" s="5" t="str">
        <f>IFERROR(__xludf.DUMMYFUNCTION("GOOGLETRANSLATE(A135, ""en"", ""id"")"),"134")</f>
        <v>134</v>
      </c>
      <c r="H135" s="5" t="str">
        <f>IFERROR(__xludf.DUMMYFUNCTION("GOOGLETRANSLATE(B135, ""en"", ""id"")"),"Di Jakarta, apa hukumnya jika paku mengenai baju wasit dan jatuh di lapangan?")</f>
        <v>Di Jakarta, apa hukumnya jika paku mengenai baju wasit dan jatuh di lapangan?</v>
      </c>
      <c r="I135" s="5" t="str">
        <f>IFERROR(__xludf.DUMMYFUNCTION("GOOGLETRANSLATE(C135, ""en"", ""id"")"),"A) Replay rally B) Tunjuk ke striker C) Tunjuk ke lawan D) Peringatan")</f>
        <v>A) Replay rally B) Tunjuk ke striker C) Tunjuk ke lawan D) Peringatan</v>
      </c>
      <c r="J135" s="5" t="str">
        <f>IFERROR(__xludf.DUMMYFUNCTION("GOOGLETRANSLATE(D135, ""en"", ""id"")"),"A) Reli ulang")</f>
        <v>A) Reli ulang</v>
      </c>
      <c r="K135" s="5" t="str">
        <f>IFERROR(__xludf.DUMMYFUNCTION("GOOGLETRANSLATE(E135, ""en"", ""id"")"),"Gangguan eksternal memerlukan pemutaran ulang.")</f>
        <v>Gangguan eksternal memerlukan pemutaran ulang.</v>
      </c>
    </row>
    <row r="136">
      <c r="A136" s="3">
        <v>135.0</v>
      </c>
      <c r="B136" s="4" t="s">
        <v>1789</v>
      </c>
      <c r="C136" s="7" t="s">
        <v>1764</v>
      </c>
      <c r="D136" s="4" t="s">
        <v>1748</v>
      </c>
      <c r="E136" s="4" t="s">
        <v>1790</v>
      </c>
      <c r="G136" s="5" t="str">
        <f>IFERROR(__xludf.DUMMYFUNCTION("GOOGLETRANSLATE(A136, ""en"", ""id"")"),"135")</f>
        <v>135</v>
      </c>
      <c r="H136" s="5" t="str">
        <f>IFERROR(__xludf.DUMMYFUNCTION("GOOGLETRANSLATE(B136, ""en"", ""id"")"),"Di Bandung, apa keputusannya jika pemain memeras keringat dari ikat kepalanya saat bermain bola?")</f>
        <v>Di Bandung, apa keputusannya jika pemain memeras keringat dari ikat kepalanya saat bermain bola?</v>
      </c>
      <c r="I136" s="5" t="str">
        <f>IFERROR(__xludf.DUMMYFUNCTION("GOOGLETRANSLATE(C136, ""en"", ""id"")"),"A) Hukum B) Pelanggaran, tunjuk lawan C) Reli ulang D) Peringatan")</f>
        <v>A) Hukum B) Pelanggaran, tunjuk lawan C) Reli ulang D) Peringatan</v>
      </c>
      <c r="J136" s="5" t="str">
        <f>IFERROR(__xludf.DUMMYFUNCTION("GOOGLETRANSLATE(D136, ""en"", ""id"")"),"B) Perilaku buruk, tunjuk lawan")</f>
        <v>B) Perilaku buruk, tunjuk lawan</v>
      </c>
      <c r="K136" s="5" t="str">
        <f>IFERROR(__xludf.DUMMYFUNCTION("GOOGLETRANSLATE(E136, ""en"", ""id"")"),"Hanya bagian tubuh yang dapat bermain bola.")</f>
        <v>Hanya bagian tubuh yang dapat bermain bola.</v>
      </c>
    </row>
    <row r="137">
      <c r="A137" s="3">
        <v>136.0</v>
      </c>
      <c r="B137" s="4" t="s">
        <v>1791</v>
      </c>
      <c r="C137" s="7" t="s">
        <v>1792</v>
      </c>
      <c r="D137" s="4" t="s">
        <v>1793</v>
      </c>
      <c r="E137" s="4" t="s">
        <v>1794</v>
      </c>
      <c r="G137" s="5" t="str">
        <f>IFERROR(__xludf.DUMMYFUNCTION("GOOGLETRANSLATE(A137, ""en"", ""id"")"),"136")</f>
        <v>136</v>
      </c>
      <c r="H137" s="5" t="str">
        <f>IFERROR(__xludf.DUMMYFUNCTION("GOOGLETRANSLATE(B137, ""en"", ""id"")"),"Di Bali, apa yang terjadi jika pemain suatu tim meninggalkan lapangan di tengah permainan tanpa pemain pengganti?")</f>
        <v>Di Bali, apa yang terjadi jika pemain suatu tim meninggalkan lapangan di tengah permainan tanpa pemain pengganti?</v>
      </c>
      <c r="I137" s="5" t="str">
        <f>IFERROR(__xludf.DUMMYFUNCTION("GOOGLETRANSLATE(C137, ""en"", ""id"")"),"A) Pertandingan berlanjut B) Set kalah C) Reli ulang D) Peringatan")</f>
        <v>A) Pertandingan berlanjut B) Set kalah C) Reli ulang D) Peringatan</v>
      </c>
      <c r="J137" s="5" t="str">
        <f>IFERROR(__xludf.DUMMYFUNCTION("GOOGLETRANSLATE(D137, ""en"", ""id"")"),"B) Set yang hangus")</f>
        <v>B) Set yang hangus</v>
      </c>
      <c r="K137" s="5" t="str">
        <f>IFERROR(__xludf.DUMMYFUNCTION("GOOGLETRANSLATE(E137, ""en"", ""id"")"),"Jumlah pemain minimum yang dibutuhkan.")</f>
        <v>Jumlah pemain minimum yang dibutuhkan.</v>
      </c>
    </row>
    <row r="138">
      <c r="A138" s="3">
        <v>137.0</v>
      </c>
      <c r="B138" s="4" t="s">
        <v>1795</v>
      </c>
      <c r="C138" s="7" t="s">
        <v>1796</v>
      </c>
      <c r="D138" s="4" t="s">
        <v>1520</v>
      </c>
      <c r="E138" s="4" t="s">
        <v>1797</v>
      </c>
      <c r="G138" s="5" t="str">
        <f>IFERROR(__xludf.DUMMYFUNCTION("GOOGLETRANSLATE(A138, ""en"", ""id"")"),"137")</f>
        <v>137</v>
      </c>
      <c r="H138" s="5" t="str">
        <f>IFERROR(__xludf.DUMMYFUNCTION("GOOGLETRANSLATE(B138, ""en"", ""id"")"),"Di Jakarta, apa hukumnya jika seorang pemain melakukan spike pada bola ketika melompati net?")</f>
        <v>Di Jakarta, apa hukumnya jika seorang pemain melakukan spike pada bola ketika melompati net?</v>
      </c>
      <c r="I138" s="5" t="str">
        <f>IFERROR(__xludf.DUMMYFUNCTION("GOOGLETRANSLATE(C138, ""en"", ""id"")"),"A) Arahkan ke striker B) Kesalahan, arahkan ke lawan C) Reli ulang D) Peringatan")</f>
        <v>A) Arahkan ke striker B) Kesalahan, arahkan ke lawan C) Reli ulang D) Peringatan</v>
      </c>
      <c r="J138" s="5" t="str">
        <f>IFERROR(__xludf.DUMMYFUNCTION("GOOGLETRANSLATE(D138, ""en"", ""id"")"),"B) Kesalahan, tunjuk ke lawan")</f>
        <v>B) Kesalahan, tunjuk ke lawan</v>
      </c>
      <c r="K138" s="5" t="str">
        <f>IFERROR(__xludf.DUMMYFUNCTION("GOOGLETRANSLATE(E138, ""en"", ""id"")"),"Tidak diperbolehkan melewati net.")</f>
        <v>Tidak diperbolehkan melewati net.</v>
      </c>
    </row>
    <row r="139">
      <c r="A139" s="3">
        <v>138.0</v>
      </c>
      <c r="B139" s="4" t="s">
        <v>1798</v>
      </c>
      <c r="C139" s="7" t="s">
        <v>1772</v>
      </c>
      <c r="D139" s="4" t="s">
        <v>1474</v>
      </c>
      <c r="E139" s="4" t="s">
        <v>1799</v>
      </c>
      <c r="G139" s="5" t="str">
        <f>IFERROR(__xludf.DUMMYFUNCTION("GOOGLETRANSLATE(A139, ""en"", ""id"")"),"138")</f>
        <v>138</v>
      </c>
      <c r="H139" s="5" t="str">
        <f>IFERROR(__xludf.DUMMYFUNCTION("GOOGLETRANSLATE(B139, ""en"", ""id"")"),"Di Bandung, apa keputusan jika bola menyentuh tali samping dan kemudian jatuh ke lapangan?")</f>
        <v>Di Bandung, apa keputusan jika bola menyentuh tali samping dan kemudian jatuh ke lapangan?</v>
      </c>
      <c r="I139" s="5" t="str">
        <f>IFERROR(__xludf.DUMMYFUNCTION("GOOGLETRANSLATE(C139, ""en"", ""id"")"),"A) Arahkan ke striker B) Arahkan ke lawan C) Reli ulang D) Peringatan")</f>
        <v>A) Arahkan ke striker B) Arahkan ke lawan C) Reli ulang D) Peringatan</v>
      </c>
      <c r="J139" s="5" t="str">
        <f>IFERROR(__xludf.DUMMYFUNCTION("GOOGLETRANSLATE(D139, ""en"", ""id"")"),"B) Menunjuk ke lawan")</f>
        <v>B) Menunjuk ke lawan</v>
      </c>
      <c r="K139" s="5" t="str">
        <f>IFERROR(__xludf.DUMMYFUNCTION("GOOGLETRANSLATE(E139, ""en"", ""id"")"),"Tali samping dihitung keluar.")</f>
        <v>Tali samping dihitung keluar.</v>
      </c>
    </row>
    <row r="140">
      <c r="A140" s="3">
        <v>139.0</v>
      </c>
      <c r="B140" s="4" t="s">
        <v>1800</v>
      </c>
      <c r="C140" s="7" t="s">
        <v>1801</v>
      </c>
      <c r="D140" s="4" t="s">
        <v>1734</v>
      </c>
      <c r="E140" s="4" t="s">
        <v>1802</v>
      </c>
      <c r="G140" s="5" t="str">
        <f>IFERROR(__xludf.DUMMYFUNCTION("GOOGLETRANSLATE(A140, ""en"", ""id"")"),"139")</f>
        <v>139</v>
      </c>
      <c r="H140" s="5" t="str">
        <f>IFERROR(__xludf.DUMMYFUNCTION("GOOGLETRANSLATE(B140, ""en"", ""id"")"),"Di Bali, apa konsekuensinya jika pemain menolak jabat tangan pasca pertandingan?")</f>
        <v>Di Bali, apa konsekuensinya jika pemain menolak jabat tangan pasca pertandingan?</v>
      </c>
      <c r="I140" s="5" t="str">
        <f>IFERROR(__xludf.DUMMYFUNCTION("GOOGLETRANSLATE(C140, ""en"", ""id"")"),"A) Tidak ada konsekuensi B) Peringatan atas pelanggaran C) Pengurangan poin D) Pertandingan ulang")</f>
        <v>A) Tidak ada konsekuensi B) Peringatan atas pelanggaran C) Pengurangan poin D) Pertandingan ulang</v>
      </c>
      <c r="J140" s="5" t="str">
        <f>IFERROR(__xludf.DUMMYFUNCTION("GOOGLETRANSLATE(D140, ""en"", ""id"")"),"B) Peringatan atas pelanggaran")</f>
        <v>B) Peringatan atas pelanggaran</v>
      </c>
      <c r="K140" s="5" t="str">
        <f>IFERROR(__xludf.DUMMYFUNCTION("GOOGLETRANSLATE(E140, ""en"", ""id"")"),"Pelanggaran sportivitas dikenakan sanksi.")</f>
        <v>Pelanggaran sportivitas dikenakan sanksi.</v>
      </c>
    </row>
    <row r="141">
      <c r="A141" s="3">
        <v>140.0</v>
      </c>
      <c r="B141" s="4" t="s">
        <v>1803</v>
      </c>
      <c r="C141" s="7" t="s">
        <v>1772</v>
      </c>
      <c r="D141" s="4" t="s">
        <v>1474</v>
      </c>
      <c r="E141" s="4" t="s">
        <v>1804</v>
      </c>
      <c r="G141" s="5" t="str">
        <f>IFERROR(__xludf.DUMMYFUNCTION("GOOGLETRANSLATE(A141, ""en"", ""id"")"),"140")</f>
        <v>140</v>
      </c>
      <c r="H141" s="5" t="str">
        <f>IFERROR(__xludf.DUMMYFUNCTION("GOOGLETRANSLATE(B141, ""en"", ""id"")"),"Di Jakarta, apa keputusan jika sebuah spike mengenai papan skor di atas lapangan dan jatuh?")</f>
        <v>Di Jakarta, apa keputusan jika sebuah spike mengenai papan skor di atas lapangan dan jatuh?</v>
      </c>
      <c r="I141" s="5" t="str">
        <f>IFERROR(__xludf.DUMMYFUNCTION("GOOGLETRANSLATE(C141, ""en"", ""id"")"),"A) Arahkan ke striker B) Arahkan ke lawan C) Reli ulang D) Peringatan")</f>
        <v>A) Arahkan ke striker B) Arahkan ke lawan C) Reli ulang D) Peringatan</v>
      </c>
      <c r="J141" s="5" t="str">
        <f>IFERROR(__xludf.DUMMYFUNCTION("GOOGLETRANSLATE(D141, ""en"", ""id"")"),"B) Menunjuk ke lawan")</f>
        <v>B) Menunjuk ke lawan</v>
      </c>
      <c r="K141" s="5" t="str">
        <f>IFERROR(__xludf.DUMMYFUNCTION("GOOGLETRANSLATE(E141, ""en"", ""id"")"),"Kontak dengan objek luar = keluar.")</f>
        <v>Kontak dengan objek luar = keluar.</v>
      </c>
    </row>
    <row r="142">
      <c r="A142" s="3">
        <v>141.0</v>
      </c>
      <c r="B142" s="4" t="s">
        <v>1805</v>
      </c>
      <c r="C142" s="7" t="s">
        <v>1764</v>
      </c>
      <c r="D142" s="4" t="s">
        <v>1748</v>
      </c>
      <c r="E142" s="4" t="s">
        <v>1544</v>
      </c>
      <c r="G142" s="5" t="str">
        <f>IFERROR(__xludf.DUMMYFUNCTION("GOOGLETRANSLATE(A142, ""en"", ""id"")"),"141")</f>
        <v>141</v>
      </c>
      <c r="H142" s="5" t="str">
        <f>IFERROR(__xludf.DUMMYFUNCTION("GOOGLETRANSLATE(B142, ""en"", ""id"")"),"Di Bandung, apa keputusannya jika seorang striker menari di tengah servis untuk mengalihkan perhatian lawan?")</f>
        <v>Di Bandung, apa keputusannya jika seorang striker menari di tengah servis untuk mengalihkan perhatian lawan?</v>
      </c>
      <c r="I142" s="5" t="str">
        <f>IFERROR(__xludf.DUMMYFUNCTION("GOOGLETRANSLATE(C142, ""en"", ""id"")"),"A) Hukum B) Pelanggaran, tunjuk lawan C) Reli ulang D) Peringatan")</f>
        <v>A) Hukum B) Pelanggaran, tunjuk lawan C) Reli ulang D) Peringatan</v>
      </c>
      <c r="J142" s="5" t="str">
        <f>IFERROR(__xludf.DUMMYFUNCTION("GOOGLETRANSLATE(D142, ""en"", ""id"")"),"B) Perilaku buruk, tunjuk lawan")</f>
        <v>B) Perilaku buruk, tunjuk lawan</v>
      </c>
      <c r="K142" s="5" t="str">
        <f>IFERROR(__xludf.DUMMYFUNCTION("GOOGLETRANSLATE(E142, ""en"", ""id"")"),"Gangguan merupakan perilaku yang tidak baik.")</f>
        <v>Gangguan merupakan perilaku yang tidak baik.</v>
      </c>
    </row>
    <row r="143">
      <c r="A143" s="3">
        <v>142.0</v>
      </c>
      <c r="B143" s="4" t="s">
        <v>1806</v>
      </c>
      <c r="C143" s="7" t="s">
        <v>1638</v>
      </c>
      <c r="D143" s="4" t="s">
        <v>1520</v>
      </c>
      <c r="E143" s="4" t="s">
        <v>1807</v>
      </c>
      <c r="G143" s="5" t="str">
        <f>IFERROR(__xludf.DUMMYFUNCTION("GOOGLETRANSLATE(A143, ""en"", ""id"")"),"142")</f>
        <v>142</v>
      </c>
      <c r="H143" s="5" t="str">
        <f>IFERROR(__xludf.DUMMYFUNCTION("GOOGLETRANSLATE(B143, ""en"", ""id"")"),"Di Bali, apa keputusannya jika pemain yang sama menyentuh bola dengan lututnya dan kemudian kepalanya secara berurutan?")</f>
        <v>Di Bali, apa keputusannya jika pemain yang sama menyentuh bola dengan lututnya dan kemudian kepalanya secara berurutan?</v>
      </c>
      <c r="I143" s="5" t="str">
        <f>IFERROR(__xludf.DUMMYFUNCTION("GOOGLETRANSLATE(C143, ""en"", ""id"")"),"A) Hukum B) Kesalahan, tunjuk lawan C) Reli ulang D) Peringatan")</f>
        <v>A) Hukum B) Kesalahan, tunjuk lawan C) Reli ulang D) Peringatan</v>
      </c>
      <c r="J143" s="5" t="str">
        <f>IFERROR(__xludf.DUMMYFUNCTION("GOOGLETRANSLATE(D143, ""en"", ""id"")"),"B) Kesalahan, tunjuk ke lawan")</f>
        <v>B) Kesalahan, tunjuk ke lawan</v>
      </c>
      <c r="K143" s="5" t="str">
        <f>IFERROR(__xludf.DUMMYFUNCTION("GOOGLETRANSLATE(E143, ""en"", ""id"")"),"Pemain yang sama tidak dapat menyentuh dua kali berturut-turut.")</f>
        <v>Pemain yang sama tidak dapat menyentuh dua kali berturut-turut.</v>
      </c>
    </row>
    <row r="144">
      <c r="A144" s="3">
        <v>143.0</v>
      </c>
      <c r="B144" s="4" t="s">
        <v>1808</v>
      </c>
      <c r="C144" s="7" t="s">
        <v>1589</v>
      </c>
      <c r="D144" s="4" t="s">
        <v>1590</v>
      </c>
      <c r="E144" s="4" t="s">
        <v>1809</v>
      </c>
      <c r="G144" s="5" t="str">
        <f>IFERROR(__xludf.DUMMYFUNCTION("GOOGLETRANSLATE(A144, ""en"", ""id"")"),"143")</f>
        <v>143</v>
      </c>
      <c r="H144" s="5" t="str">
        <f>IFERROR(__xludf.DUMMYFUNCTION("GOOGLETRANSLATE(B144, ""en"", ""id"")"),"Di Jakarta, apa keputusannya jika bola dari spike mengenai wajah pemain bertahan dengan keras dan permainan dihentikan karena cedera?")</f>
        <v>Di Jakarta, apa keputusannya jika bola dari spike mengenai wajah pemain bertahan dengan keras dan permainan dihentikan karena cedera?</v>
      </c>
      <c r="I144" s="5" t="str">
        <f>IFERROR(__xludf.DUMMYFUNCTION("GOOGLETRANSLATE(C144, ""en"", ""id"")"),"A) Replay rally B) Tunjuk ke penyerang C) Tunjuk ke bek D) Peringatan")</f>
        <v>A) Replay rally B) Tunjuk ke penyerang C) Tunjuk ke bek D) Peringatan</v>
      </c>
      <c r="J144" s="5" t="str">
        <f>IFERROR(__xludf.DUMMYFUNCTION("GOOGLETRANSLATE(D144, ""en"", ""id"")"),"B) Arahkan ke penyerang")</f>
        <v>B) Arahkan ke penyerang</v>
      </c>
      <c r="K144" s="5" t="str">
        <f>IFERROR(__xludf.DUMMYFUNCTION("GOOGLETRANSLATE(E144, ""en"", ""id"")"),"Jika bola mendarat secara sah, poinnya tetap berlaku.")</f>
        <v>Jika bola mendarat secara sah, poinnya tetap berlaku.</v>
      </c>
    </row>
    <row r="145">
      <c r="A145" s="3">
        <v>144.0</v>
      </c>
      <c r="B145" s="4" t="s">
        <v>1810</v>
      </c>
      <c r="C145" s="7" t="s">
        <v>1811</v>
      </c>
      <c r="D145" s="4" t="s">
        <v>1775</v>
      </c>
      <c r="E145" s="4" t="s">
        <v>1812</v>
      </c>
      <c r="G145" s="5" t="str">
        <f>IFERROR(__xludf.DUMMYFUNCTION("GOOGLETRANSLATE(A145, ""en"", ""id"")"),"144")</f>
        <v>144</v>
      </c>
      <c r="H145" s="5" t="str">
        <f>IFERROR(__xludf.DUMMYFUNCTION("GOOGLETRANSLATE(B145, ""en"", ""id"")"),"Di Bandung, apa keputusan jika bola berhenti di pita jaring paling atas dan kemudian jatuh ke sisi lawan?")</f>
        <v>Di Bandung, apa keputusan jika bola berhenti di pita jaring paling atas dan kemudian jatuh ke sisi lawan?</v>
      </c>
      <c r="I145" s="5" t="str">
        <f>IFERROR(__xludf.DUMMYFUNCTION("GOOGLETRANSLATE(C145, ""en"", ""id"")"),"A) Arahkan ke striker B) Replay rally C) Kesalahan D) Peringatan")</f>
        <v>A) Arahkan ke striker B) Replay rally C) Kesalahan D) Peringatan</v>
      </c>
      <c r="J145" s="5" t="str">
        <f>IFERROR(__xludf.DUMMYFUNCTION("GOOGLETRANSLATE(D145, ""en"", ""id"")"),"A) Arahkan ke striker")</f>
        <v>A) Arahkan ke striker</v>
      </c>
      <c r="K145" s="5" t="str">
        <f>IFERROR(__xludf.DUMMYFUNCTION("GOOGLETRANSLATE(E145, ""en"", ""id"")"),"Bola akhirnya terlintas, jadi sah saja.")</f>
        <v>Bola akhirnya terlintas, jadi sah saja.</v>
      </c>
    </row>
    <row r="146">
      <c r="A146" s="3">
        <v>145.0</v>
      </c>
      <c r="B146" s="4" t="s">
        <v>1813</v>
      </c>
      <c r="C146" s="7" t="s">
        <v>1814</v>
      </c>
      <c r="D146" s="4" t="s">
        <v>1442</v>
      </c>
      <c r="E146" s="4" t="s">
        <v>1721</v>
      </c>
      <c r="G146" s="5" t="str">
        <f>IFERROR(__xludf.DUMMYFUNCTION("GOOGLETRANSLATE(A146, ""en"", ""id"")"),"145")</f>
        <v>145</v>
      </c>
      <c r="H146" s="5" t="str">
        <f>IFERROR(__xludf.DUMMYFUNCTION("GOOGLETRANSLATE(B146, ""en"", ""id"")"),"Di Bali, apa keputusan yang diambil jika kilatan kamera mengenai mata pelayan saat melayani?")</f>
        <v>Di Bali, apa keputusan yang diambil jika kilatan kamera mengenai mata pelayan saat melayani?</v>
      </c>
      <c r="I146" s="5" t="str">
        <f>IFERROR(__xludf.DUMMYFUNCTION("GOOGLETRANSLATE(C146, ""en"", ""id"")"),"A) Servis ulang B) Kesalahan, tunjuk lawan C) Izinkan servis D) Peringatan")</f>
        <v>A) Servis ulang B) Kesalahan, tunjuk lawan C) Izinkan servis D) Peringatan</v>
      </c>
      <c r="J146" s="5" t="str">
        <f>IFERROR(__xludf.DUMMYFUNCTION("GOOGLETRANSLATE(D146, ""en"", ""id"")"),"A) Servis ulang")</f>
        <v>A) Servis ulang</v>
      </c>
      <c r="K146" s="5" t="str">
        <f>IFERROR(__xludf.DUMMYFUNCTION("GOOGLETRANSLATE(E146, ""en"", ""id"")"),"Gangguan eksternal = pemutaran ulang.")</f>
        <v>Gangguan eksternal = pemutaran ulang.</v>
      </c>
    </row>
    <row r="147">
      <c r="A147" s="3">
        <v>146.0</v>
      </c>
      <c r="B147" s="4" t="s">
        <v>1815</v>
      </c>
      <c r="C147" s="7" t="s">
        <v>1816</v>
      </c>
      <c r="D147" s="4" t="s">
        <v>1817</v>
      </c>
      <c r="E147" s="4" t="s">
        <v>1818</v>
      </c>
      <c r="G147" s="5" t="str">
        <f>IFERROR(__xludf.DUMMYFUNCTION("GOOGLETRANSLATE(A147, ""en"", ""id"")"),"146")</f>
        <v>146</v>
      </c>
      <c r="H147" s="5" t="str">
        <f>IFERROR(__xludf.DUMMYFUNCTION("GOOGLETRANSLATE(B147, ""en"", ""id"")"),"Di Jakarta, apa keputusannya jika seorang pemain melempar bola ke tribun penonton karena marah setelah kehilangan poin?")</f>
        <v>Di Jakarta, apa keputusannya jika seorang pemain melempar bola ke tribun penonton karena marah setelah kehilangan poin?</v>
      </c>
      <c r="I147" s="5" t="str">
        <f>IFERROR(__xludf.DUMMYFUNCTION("GOOGLETRANSLATE(C147, ""en"", ""id"")"),"A) Peringatan B) Kartu kuning, tunjuk lawan C) Reli ulang D) Tidak ada tindakan")</f>
        <v>A) Peringatan B) Kartu kuning, tunjuk lawan C) Reli ulang D) Tidak ada tindakan</v>
      </c>
      <c r="J147" s="5" t="str">
        <f>IFERROR(__xludf.DUMMYFUNCTION("GOOGLETRANSLATE(D147, ""en"", ""id"")"),"B) Kartu kuning, tunjuk ke lawan")</f>
        <v>B) Kartu kuning, tunjuk ke lawan</v>
      </c>
      <c r="K147" s="5" t="str">
        <f>IFERROR(__xludf.DUMMYFUNCTION("GOOGLETRANSLATE(E147, ""en"", ""id"")"),"Pelanggaran dikenakan sanksi.")</f>
        <v>Pelanggaran dikenakan sanksi.</v>
      </c>
    </row>
    <row r="148">
      <c r="A148" s="3">
        <v>147.0</v>
      </c>
      <c r="B148" s="4" t="s">
        <v>1819</v>
      </c>
      <c r="C148" s="7" t="s">
        <v>1820</v>
      </c>
      <c r="D148" s="4" t="s">
        <v>1594</v>
      </c>
      <c r="E148" s="4" t="s">
        <v>1821</v>
      </c>
      <c r="G148" s="5" t="str">
        <f>IFERROR(__xludf.DUMMYFUNCTION("GOOGLETRANSLATE(A148, ""en"", ""id"")"),"147")</f>
        <v>147</v>
      </c>
      <c r="H148" s="5" t="str">
        <f>IFERROR(__xludf.DUMMYFUNCTION("GOOGLETRANSLATE(B148, ""en"", ""id"")"),"Di Bandung, apa keputusannya jika paku mendarat tepat di perpotongan sudut garis batas?")</f>
        <v>Di Bandung, apa keputusannya jika paku mendarat tepat di perpotongan sudut garis batas?</v>
      </c>
      <c r="I148" s="5" t="str">
        <f>IFERROR(__xludf.DUMMYFUNCTION("GOOGLETRANSLATE(C148, ""en"", ""id"")"),"A) Keluar B) Masuk, tunjuk ke striker C) Putar ulang reli D) Peringatan")</f>
        <v>A) Keluar B) Masuk, tunjuk ke striker C) Putar ulang reli D) Peringatan</v>
      </c>
      <c r="J148" s="5" t="str">
        <f>IFERROR(__xludf.DUMMYFUNCTION("GOOGLETRANSLATE(D148, ""en"", ""id"")"),"B) Masuk, arahkan ke striker")</f>
        <v>B) Masuk, arahkan ke striker</v>
      </c>
      <c r="K148" s="5" t="str">
        <f>IFERROR(__xludf.DUMMYFUNCTION("GOOGLETRANSLATE(E148, ""en"", ""id"")"),"Garis = masuk.")</f>
        <v>Garis = masuk.</v>
      </c>
    </row>
    <row r="149">
      <c r="A149" s="3">
        <v>148.0</v>
      </c>
      <c r="B149" s="4" t="s">
        <v>1822</v>
      </c>
      <c r="C149" s="7" t="s">
        <v>1649</v>
      </c>
      <c r="D149" s="4" t="s">
        <v>1508</v>
      </c>
      <c r="E149" s="4" t="s">
        <v>1788</v>
      </c>
      <c r="G149" s="5" t="str">
        <f>IFERROR(__xludf.DUMMYFUNCTION("GOOGLETRANSLATE(A149, ""en"", ""id"")"),"148")</f>
        <v>148</v>
      </c>
      <c r="H149" s="5" t="str">
        <f>IFERROR(__xludf.DUMMYFUNCTION("GOOGLETRANSLATE(B149, ""en"", ""id"")"),"Di Bali, apa keputusan jika drone memasuki arena di tengah reli?")</f>
        <v>Di Bali, apa keputusan jika drone memasuki arena di tengah reli?</v>
      </c>
      <c r="I149" s="5" t="str">
        <f>IFERROR(__xludf.DUMMYFUNCTION("GOOGLETRANSLATE(C149, ""en"", ""id"")"),"A) Replay rally B) Tunjuk ke striker C) Tunjuk ke lawan D) Peringatan")</f>
        <v>A) Replay rally B) Tunjuk ke striker C) Tunjuk ke lawan D) Peringatan</v>
      </c>
      <c r="J149" s="5" t="str">
        <f>IFERROR(__xludf.DUMMYFUNCTION("GOOGLETRANSLATE(D149, ""en"", ""id"")"),"A) Reli ulang")</f>
        <v>A) Reli ulang</v>
      </c>
      <c r="K149" s="5" t="str">
        <f>IFERROR(__xludf.DUMMYFUNCTION("GOOGLETRANSLATE(E149, ""en"", ""id"")"),"Gangguan eksternal memerlukan pemutaran ulang.")</f>
        <v>Gangguan eksternal memerlukan pemutaran ulang.</v>
      </c>
    </row>
    <row r="150">
      <c r="A150" s="3">
        <v>149.0</v>
      </c>
      <c r="B150" s="4" t="s">
        <v>1823</v>
      </c>
      <c r="C150" s="7" t="s">
        <v>1523</v>
      </c>
      <c r="D150" s="4" t="s">
        <v>1539</v>
      </c>
      <c r="E150" s="4" t="s">
        <v>1824</v>
      </c>
      <c r="G150" s="5" t="str">
        <f>IFERROR(__xludf.DUMMYFUNCTION("GOOGLETRANSLATE(A150, ""en"", ""id"")"),"149")</f>
        <v>149</v>
      </c>
      <c r="H150" s="5" t="str">
        <f>IFERROR(__xludf.DUMMYFUNCTION("GOOGLETRANSLATE(B150, ""en"", ""id"")"),"Di Jakarta, apa hukumnya jika seorang server menendang bola dengan tumitnya?")</f>
        <v>Di Jakarta, apa hukumnya jika seorang server menendang bola dengan tumitnya?</v>
      </c>
      <c r="I150" s="5" t="str">
        <f>IFERROR(__xludf.DUMMYFUNCTION("GOOGLETRANSLATE(C150, ""en"", ""id"")"),"A) Legal B) Fault, tunjuk ke lawan C) Servis ulang D) Peringatan")</f>
        <v>A) Legal B) Fault, tunjuk ke lawan C) Servis ulang D) Peringatan</v>
      </c>
      <c r="J150" s="5" t="str">
        <f>IFERROR(__xludf.DUMMYFUNCTION("GOOGLETRANSLATE(D150, ""en"", ""id"")"),"A) Hukum")</f>
        <v>A) Hukum</v>
      </c>
      <c r="K150" s="5" t="str">
        <f>IFERROR(__xludf.DUMMYFUNCTION("GOOGLETRANSLATE(E150, ""en"", ""id"")"),"Bagian kaki mana saja sah untuk melakukan servis.")</f>
        <v>Bagian kaki mana saja sah untuk melakukan servis.</v>
      </c>
    </row>
    <row r="151">
      <c r="A151" s="3">
        <v>150.0</v>
      </c>
      <c r="B151" s="4" t="s">
        <v>1825</v>
      </c>
      <c r="C151" s="7" t="s">
        <v>1638</v>
      </c>
      <c r="D151" s="4" t="s">
        <v>1520</v>
      </c>
      <c r="E151" s="4" t="s">
        <v>1826</v>
      </c>
      <c r="G151" s="5" t="str">
        <f>IFERROR(__xludf.DUMMYFUNCTION("GOOGLETRANSLATE(A151, ""en"", ""id"")"),"150")</f>
        <v>150</v>
      </c>
      <c r="H151" s="5" t="str">
        <f>IFERROR(__xludf.DUMMYFUNCTION("GOOGLETRANSLATE(B151, ""en"", ""id"")"),"Di Bandung, apa keputusannya jika seorang pemain yang frustasi memukul bola dengan tangannya saat reli?")</f>
        <v>Di Bandung, apa keputusannya jika seorang pemain yang frustasi memukul bola dengan tangannya saat reli?</v>
      </c>
      <c r="I151" s="5" t="str">
        <f>IFERROR(__xludf.DUMMYFUNCTION("GOOGLETRANSLATE(C151, ""en"", ""id"")"),"A) Hukum B) Kesalahan, tunjuk lawan C) Reli ulang D) Peringatan")</f>
        <v>A) Hukum B) Kesalahan, tunjuk lawan C) Reli ulang D) Peringatan</v>
      </c>
      <c r="J151" s="5" t="str">
        <f>IFERROR(__xludf.DUMMYFUNCTION("GOOGLETRANSLATE(D151, ""en"", ""id"")"),"B) Kesalahan, tunjuk ke lawan")</f>
        <v>B) Kesalahan, tunjuk ke lawan</v>
      </c>
      <c r="K151" s="5" t="str">
        <f>IFERROR(__xludf.DUMMYFUNCTION("GOOGLETRANSLATE(E151, ""en"", ""id"")"),"Tangan/lengan tidak diperbolehkan dalam Sepak Takraw.")</f>
        <v>Tangan/lengan tidak diperbolehkan dalam Sepak Takraw.</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6.88"/>
    <col customWidth="1" min="8" max="11" width="37.63"/>
  </cols>
  <sheetData>
    <row r="1">
      <c r="A1" s="1" t="s">
        <v>0</v>
      </c>
      <c r="B1" s="1" t="s">
        <v>1</v>
      </c>
      <c r="C1" s="1" t="s">
        <v>2</v>
      </c>
      <c r="D1" s="1" t="s">
        <v>3</v>
      </c>
      <c r="E1" s="1" t="s">
        <v>4</v>
      </c>
      <c r="G1" s="2" t="s">
        <v>5</v>
      </c>
      <c r="H1" s="2" t="s">
        <v>6</v>
      </c>
      <c r="I1" s="2" t="s">
        <v>7</v>
      </c>
      <c r="J1" s="2" t="s">
        <v>8</v>
      </c>
      <c r="K1" s="2" t="s">
        <v>9</v>
      </c>
    </row>
    <row r="2">
      <c r="A2" s="3">
        <v>1.0</v>
      </c>
      <c r="B2" s="4" t="s">
        <v>1827</v>
      </c>
      <c r="C2" s="4" t="s">
        <v>1828</v>
      </c>
      <c r="D2" s="4" t="s">
        <v>1829</v>
      </c>
      <c r="E2" s="4" t="s">
        <v>1830</v>
      </c>
      <c r="G2" s="5" t="str">
        <f>IFERROR(__xludf.DUMMYFUNCTION("GOOGLETRANSLATE(A2, ""en"", ""id"")"),"1")</f>
        <v>1</v>
      </c>
      <c r="H2" s="5" t="str">
        <f>IFERROR(__xludf.DUMMYFUNCTION("GOOGLETRANSLATE(B2, ""en"", ""id"")"),"Dalam sebuah turnamen Pencak Silat, seorang petarung mendaratkan pukulan telak ke dada lawan, dan wasit memberi tanda 'poin diberikan'. Namun, petarung tersebut tidak menjaga keseimbangannya dengan baik setelah pukulan tersebut. Manakah dari hasil berikut"&amp;" yang benar?")</f>
        <v>Dalam sebuah turnamen Pencak Silat, seorang petarung mendaratkan pukulan telak ke dada lawan, dan wasit memberi tanda 'poin diberikan'. Namun, petarung tersebut tidak menjaga keseimbangannya dengan baik setelah pukulan tersebut. Manakah dari hasil berikut yang benar?</v>
      </c>
      <c r="I2" s="5" t="str">
        <f>IFERROR(__xludf.DUMMYFUNCTION("GOOGLETRANSLATE(C2, ""en"", ""id"")"),"A) Poin diberikan karena pukulannya bersih, B) Poin dikurangi karena kurang seimbang, C) Tidak ada poin yang diberikan karena kurang seimbang, D) Petarung menerima peringatan tetapi tetap mempertahankan poinnya.")</f>
        <v>A) Poin diberikan karena pukulannya bersih, B) Poin dikurangi karena kurang seimbang, C) Tidak ada poin yang diberikan karena kurang seimbang, D) Petarung menerima peringatan tetapi tetap mempertahankan poinnya.</v>
      </c>
      <c r="J2" s="5" t="str">
        <f>IFERROR(__xludf.DUMMYFUNCTION("GOOGLETRANSLATE(D2, ""en"", ""id"")"),"C) Tidak ada poin yang diberikan karena kurangnya keseimbangan")</f>
        <v>C) Tidak ada poin yang diberikan karena kurangnya keseimbangan</v>
      </c>
      <c r="K2" s="5" t="str">
        <f>IFERROR(__xludf.DUMMYFUNCTION("GOOGLETRANSLATE(E2, ""en"", ""id"")"),"Dalam Pencak Silat, menjaga keseimbangan sangatlah penting. Sekalipun pukulan mendarat dengan sempurna, kegagalan menjaga keseimbangan yang tepat akan mendiskualifikasi gerakan tersebut dari perolehan poin.")</f>
        <v>Dalam Pencak Silat, menjaga keseimbangan sangatlah penting. Sekalipun pukulan mendarat dengan sempurna, kegagalan menjaga keseimbangan yang tepat akan mendiskualifikasi gerakan tersebut dari perolehan poin.</v>
      </c>
    </row>
    <row r="3">
      <c r="A3" s="3">
        <v>2.0</v>
      </c>
      <c r="B3" s="4" t="s">
        <v>1831</v>
      </c>
      <c r="C3" s="4" t="s">
        <v>1832</v>
      </c>
      <c r="D3" s="4" t="s">
        <v>1833</v>
      </c>
      <c r="E3" s="4" t="s">
        <v>1834</v>
      </c>
      <c r="G3" s="5" t="str">
        <f>IFERROR(__xludf.DUMMYFUNCTION("GOOGLETRANSLATE(A3, ""en"", ""id"")"),"2")</f>
        <v>2</v>
      </c>
      <c r="H3" s="5" t="str">
        <f>IFERROR(__xludf.DUMMYFUNCTION("GOOGLETRANSLATE(B3, ""en"", ""id"")"),"Seorang atlet Pencak Silat mencetak poin dengan melakukan takedown dalam sebuah pertandingan. Namun, lawannya dengan cepat membalas dan melakukan sweep, meninggalkan atlet pertama di atas ring. Bagaimana seharusnya wasit memberikan poin?")</f>
        <v>Seorang atlet Pencak Silat mencetak poin dengan melakukan takedown dalam sebuah pertandingan. Namun, lawannya dengan cepat membalas dan melakukan sweep, meninggalkan atlet pertama di atas ring. Bagaimana seharusnya wasit memberikan poin?</v>
      </c>
      <c r="I3" s="5" t="str">
        <f>IFERROR(__xludf.DUMMYFUNCTION("GOOGLETRANSLATE(C3, ""en"", ""id"")"),"A) Poin untuk atlet yang melakukan takedown awal, B) Poin untuk lawan yang melakukan counter-sweep, C) Tidak ada poin yang diberikan, D) Kedua atlet diberikan poin")</f>
        <v>A) Poin untuk atlet yang melakukan takedown awal, B) Poin untuk lawan yang melakukan counter-sweep, C) Tidak ada poin yang diberikan, D) Kedua atlet diberikan poin</v>
      </c>
      <c r="J3" s="5" t="str">
        <f>IFERROR(__xludf.DUMMYFUNCTION("GOOGLETRANSLATE(D3, ""en"", ""id"")"),"B) Menunjuk lawan untuk melakukan serangan balik")</f>
        <v>B) Menunjuk lawan untuk melakukan serangan balik</v>
      </c>
      <c r="K3" s="5" t="str">
        <f>IFERROR(__xludf.DUMMYFUNCTION("GOOGLETRANSLATE(E3, ""en"", ""id"")"),"Sementara takedown awal valid, serangan balik menunjukkan kontrol dan keterampilan yang unggul, sehingga menghasilkan poin untuk atlet kedua.")</f>
        <v>Sementara takedown awal valid, serangan balik menunjukkan kontrol dan keterampilan yang unggul, sehingga menghasilkan poin untuk atlet kedua.</v>
      </c>
    </row>
    <row r="4">
      <c r="A4" s="3">
        <v>3.0</v>
      </c>
      <c r="B4" s="4" t="s">
        <v>1835</v>
      </c>
      <c r="C4" s="4" t="s">
        <v>1836</v>
      </c>
      <c r="D4" s="4" t="s">
        <v>1837</v>
      </c>
      <c r="E4" s="4" t="s">
        <v>1838</v>
      </c>
      <c r="G4" s="5" t="str">
        <f>IFERROR(__xludf.DUMMYFUNCTION("GOOGLETRANSLATE(A4, ""en"", ""id"")"),"3")</f>
        <v>3</v>
      </c>
      <c r="H4" s="5" t="str">
        <f>IFERROR(__xludf.DUMMYFUNCTION("GOOGLETRANSLATE(B4, ""en"", ""id"")"),"Dalam pertandingan eksibisi Pencak Silat, seorang petarung menampilkan gerakan memukau yang terinspirasi oleh tarian tradisional Indonesia. Penonton bersorak, tetapi tekniknya tidak menyentuh lawan. Bagaimana seharusnya hal ini dinilai?")</f>
        <v>Dalam pertandingan eksibisi Pencak Silat, seorang petarung menampilkan gerakan memukau yang terinspirasi oleh tarian tradisional Indonesia. Penonton bersorak, tetapi tekniknya tidak menyentuh lawan. Bagaimana seharusnya hal ini dinilai?</v>
      </c>
      <c r="I4" s="5" t="str">
        <f>IFERROR(__xludf.DUMMYFUNCTION("GOOGLETRANSLATE(C4, ""en"", ""id"")"),"A) Poin diberikan untuk kreativitas, B) Tidak ada poin karena tidak mengenai sasaran, C) Pengurangan nilai karena membuang-buang waktu, D) Peringatan karena kurang sportifitas")</f>
        <v>A) Poin diberikan untuk kreativitas, B) Tidak ada poin karena tidak mengenai sasaran, C) Pengurangan nilai karena membuang-buang waktu, D) Peringatan karena kurang sportifitas</v>
      </c>
      <c r="J4" s="5" t="str">
        <f>IFERROR(__xludf.DUMMYFUNCTION("GOOGLETRANSLATE(D4, ""en"", ""id"")"),"B) Tidak ada poin karena tidak melakukan kontak")</f>
        <v>B) Tidak ada poin karena tidak melakukan kontak</v>
      </c>
      <c r="K4" s="5" t="str">
        <f>IFERROR(__xludf.DUMMYFUNCTION("GOOGLETRANSLATE(E4, ""en"", ""id"")"),"Dalam Pencak Silat, gerakan-gerakan estetis diapresiasi tetapi tidak memberikan kontribusi pada penilaian kecuali gerakan tersebut secara efektif menjalankan teknik atau mencapai kontak.")</f>
        <v>Dalam Pencak Silat, gerakan-gerakan estetis diapresiasi tetapi tidak memberikan kontribusi pada penilaian kecuali gerakan tersebut secara efektif menjalankan teknik atau mencapai kontak.</v>
      </c>
    </row>
    <row r="5">
      <c r="A5" s="3">
        <v>4.0</v>
      </c>
      <c r="B5" s="4" t="s">
        <v>1839</v>
      </c>
      <c r="C5" s="4" t="s">
        <v>1840</v>
      </c>
      <c r="D5" s="4" t="s">
        <v>1841</v>
      </c>
      <c r="E5" s="4" t="s">
        <v>1842</v>
      </c>
      <c r="G5" s="5" t="str">
        <f>IFERROR(__xludf.DUMMYFUNCTION("GOOGLETRANSLATE(A5, ""en"", ""id"")"),"4")</f>
        <v>4</v>
      </c>
      <c r="H5" s="5" t="str">
        <f>IFERROR(__xludf.DUMMYFUNCTION("GOOGLETRANSLATE(B5, ""en"", ""id"")"),"Pada babak final pertandingan Pencak Silat, petarung A melakukan tendangan tinggi yang memberikan keuntungan signifikan, tetapi dianggap terlalu agresif oleh wasit. Apa hukuman yang mungkin dijatuhkan?")</f>
        <v>Pada babak final pertandingan Pencak Silat, petarung A melakukan tendangan tinggi yang memberikan keuntungan signifikan, tetapi dianggap terlalu agresif oleh wasit. Apa hukuman yang mungkin dijatuhkan?</v>
      </c>
      <c r="I5" s="5" t="str">
        <f>IFERROR(__xludf.DUMMYFUNCTION("GOOGLETRANSLATE(C5, ""en"", ""id"")"),"A) Pengurangan poin, B) Diskualifikasi dari pertandingan, C) Peringatan tetapi tidak ada pengurangan poin, D) Tidak ada penalti karena agresi didorong")</f>
        <v>A) Pengurangan poin, B) Diskualifikasi dari pertandingan, C) Peringatan tetapi tidak ada pengurangan poin, D) Tidak ada penalti karena agresi didorong</v>
      </c>
      <c r="J5" s="5" t="str">
        <f>IFERROR(__xludf.DUMMYFUNCTION("GOOGLETRANSLATE(D5, ""en"", ""id"")"),"A) Pengurangan poin")</f>
        <v>A) Pengurangan poin</v>
      </c>
      <c r="K5" s="5" t="str">
        <f>IFERROR(__xludf.DUMMYFUNCTION("GOOGLETRANSLATE(E5, ""en"", ""id"")"),"Agresi yang berlebihan dalam Pencak Silat dapat menyebabkan pengurangan poin, bahkan jika tekniknya efektif, karena olahraga ini menekankan kontrol dan rasa hormat.")</f>
        <v>Agresi yang berlebihan dalam Pencak Silat dapat menyebabkan pengurangan poin, bahkan jika tekniknya efektif, karena olahraga ini menekankan kontrol dan rasa hormat.</v>
      </c>
    </row>
    <row r="6">
      <c r="A6" s="3">
        <v>5.0</v>
      </c>
      <c r="B6" s="4" t="s">
        <v>1843</v>
      </c>
      <c r="C6" s="4" t="s">
        <v>1844</v>
      </c>
      <c r="D6" s="4" t="s">
        <v>1845</v>
      </c>
      <c r="E6" s="4" t="s">
        <v>1846</v>
      </c>
      <c r="G6" s="5" t="str">
        <f>IFERROR(__xludf.DUMMYFUNCTION("GOOGLETRANSLATE(A6, ""en"", ""id"")"),"5")</f>
        <v>5</v>
      </c>
      <c r="H6" s="5" t="str">
        <f>IFERROR(__xludf.DUMMYFUNCTION("GOOGLETRANSLATE(B6, ""en"", ""id"")"),"Pertandingan Pencak Silat berakhir dengan skor seri. Wasit memutuskan untuk mengevaluasi berdasarkan keunggulan teknik. Manakah dari kriteria berikut yang paling penting?")</f>
        <v>Pertandingan Pencak Silat berakhir dengan skor seri. Wasit memutuskan untuk mengevaluasi berdasarkan keunggulan teknik. Manakah dari kriteria berikut yang paling penting?</v>
      </c>
      <c r="I6" s="5" t="str">
        <f>IFERROR(__xludf.DUMMYFUNCTION("GOOGLETRANSLATE(C6, ""en"", ""id"")"),"A) Jumlah pukulan yang mendarat, B) Penggunaan teknik bertahan yang efektif, C) Pertunjukan gerakan Pencak Silat tradisional, D) Agresivitas selama pertandingan")</f>
        <v>A) Jumlah pukulan yang mendarat, B) Penggunaan teknik bertahan yang efektif, C) Pertunjukan gerakan Pencak Silat tradisional, D) Agresivitas selama pertandingan</v>
      </c>
      <c r="J6" s="5" t="str">
        <f>IFERROR(__xludf.DUMMYFUNCTION("GOOGLETRANSLATE(D6, ""en"", ""id"")"),"c) Tampilan gerakan tradisional Pencak Silat")</f>
        <v>c) Tampilan gerakan tradisional Pencak Silat</v>
      </c>
      <c r="K6" s="5" t="str">
        <f>IFERROR(__xludf.DUMMYFUNCTION("GOOGLETRANSLATE(E6, ""en"", ""id"")"),"Jika terjadi seri, juri boleh mengutamakan penampilan teknik Pencak Silat tradisional dan kepatuhan pada standar budaya dan teknis.")</f>
        <v>Jika terjadi seri, juri boleh mengutamakan penampilan teknik Pencak Silat tradisional dan kepatuhan pada standar budaya dan teknis.</v>
      </c>
    </row>
    <row r="7">
      <c r="A7" s="3">
        <v>6.0</v>
      </c>
      <c r="B7" s="4" t="s">
        <v>1847</v>
      </c>
      <c r="C7" s="4" t="s">
        <v>1848</v>
      </c>
      <c r="D7" s="4" t="s">
        <v>1849</v>
      </c>
      <c r="E7" s="4" t="s">
        <v>1850</v>
      </c>
      <c r="G7" s="5" t="str">
        <f>IFERROR(__xludf.DUMMYFUNCTION("GOOGLETRANSLATE(A7, ""en"", ""id"")"),"6")</f>
        <v>6</v>
      </c>
      <c r="H7" s="5" t="str">
        <f>IFERROR(__xludf.DUMMYFUNCTION("GOOGLETRANSLATE(B7, ""en"", ""id"")"),"Dalam pertandingan Pencak Silat, seorang petarung dari Bangladesh mencetak angka dengan tendangan berputar ke badan lawan, diikuti dengan gerakan cepat mundur ke posisi bertahan. Poin apa yang seharusnya diberikan wasit?")</f>
        <v>Dalam pertandingan Pencak Silat, seorang petarung dari Bangladesh mencetak angka dengan tendangan berputar ke badan lawan, diikuti dengan gerakan cepat mundur ke posisi bertahan. Poin apa yang seharusnya diberikan wasit?</v>
      </c>
      <c r="I7" s="5" t="str">
        <f>IFERROR(__xludf.DUMMYFUNCTION("GOOGLETRANSLATE(C7, ""en"", ""id"")"),"A) Poin penuh untuk tendangan dan mundur, B) Poin hanya untuk tendangan, C) Tidak ada poin karena mundur merusak ritme, D) Hukuman untuk mundur")</f>
        <v>A) Poin penuh untuk tendangan dan mundur, B) Poin hanya untuk tendangan, C) Tidak ada poin karena mundur merusak ritme, D) Hukuman untuk mundur</v>
      </c>
      <c r="J7" s="5" t="str">
        <f>IFERROR(__xludf.DUMMYFUNCTION("GOOGLETRANSLATE(D7, ""en"", ""id"")"),"A) Poin penuh untuk tendangan dan mundur")</f>
        <v>A) Poin penuh untuk tendangan dan mundur</v>
      </c>
      <c r="K7" s="5" t="str">
        <f>IFERROR(__xludf.DUMMYFUNCTION("GOOGLETRANSLATE(E7, ""en"", ""id"")"),"Tendangan berputar ke badan merupakan teknik dengan skor tinggi, dan mundur ke posisi bertahan menunjukkan pengendalian dan kepatuhan terhadap strategi.")</f>
        <v>Tendangan berputar ke badan merupakan teknik dengan skor tinggi, dan mundur ke posisi bertahan menunjukkan pengendalian dan kepatuhan terhadap strategi.</v>
      </c>
    </row>
    <row r="8">
      <c r="A8" s="3">
        <v>7.0</v>
      </c>
      <c r="B8" s="4" t="s">
        <v>1851</v>
      </c>
      <c r="C8" s="4" t="s">
        <v>1852</v>
      </c>
      <c r="D8" s="4" t="s">
        <v>1853</v>
      </c>
      <c r="E8" s="4" t="s">
        <v>1854</v>
      </c>
      <c r="G8" s="5" t="str">
        <f>IFERROR(__xludf.DUMMYFUNCTION("GOOGLETRANSLATE(A8, ""en"", ""id"")"),"7")</f>
        <v>7</v>
      </c>
      <c r="H8" s="5" t="str">
        <f>IFERROR(__xludf.DUMMYFUNCTION("GOOGLETRANSLATE(B8, ""en"", ""id"")"),"Seorang atlet Pencak Silat Bangladesh menggunakan kuncian lengan untuk melumpuhkan lawannya, tetapi melepaskannya sebelum wasit memberi tanda. Bagaimana seharusnya tindakan ini dinilai?")</f>
        <v>Seorang atlet Pencak Silat Bangladesh menggunakan kuncian lengan untuk melumpuhkan lawannya, tetapi melepaskannya sebelum wasit memberi tanda. Bagaimana seharusnya tindakan ini dinilai?</v>
      </c>
      <c r="I8" s="5" t="str">
        <f>IFERROR(__xludf.DUMMYFUNCTION("GOOGLETRANSLATE(C8, ""en"", ""id"")"),"A) Poin diberikan untuk kuncian lengan, B) Tidak ada poin karena kuncian tidak lengkap, C) Peringatan karena melepaskan terlalu dini, D) Poin dikurangi karena tidak mengikuti sinyal wasit")</f>
        <v>A) Poin diberikan untuk kuncian lengan, B) Tidak ada poin karena kuncian tidak lengkap, C) Peringatan karena melepaskan terlalu dini, D) Poin dikurangi karena tidak mengikuti sinyal wasit</v>
      </c>
      <c r="J8" s="5" t="str">
        <f>IFERROR(__xludf.DUMMYFUNCTION("GOOGLETRANSLATE(D8, ""en"", ""id"")"),"B) Tidak ada poin karena kuncinya tidak lengkap")</f>
        <v>B) Tidak ada poin karena kuncinya tidak lengkap</v>
      </c>
      <c r="K8" s="5" t="str">
        <f>IFERROR(__xludf.DUMMYFUNCTION("GOOGLETRANSLATE(E8, ""en"", ""id"")"),"Dalam Pencak Silat, kuncian dan pegangan harus dilakukan hingga wasit memberi tanda untuk memberi poin.")</f>
        <v>Dalam Pencak Silat, kuncian dan pegangan harus dilakukan hingga wasit memberi tanda untuk memberi poin.</v>
      </c>
    </row>
    <row r="9">
      <c r="A9" s="3">
        <v>8.0</v>
      </c>
      <c r="B9" s="4" t="s">
        <v>1855</v>
      </c>
      <c r="C9" s="4" t="s">
        <v>1856</v>
      </c>
      <c r="D9" s="4" t="s">
        <v>1857</v>
      </c>
      <c r="E9" s="4" t="s">
        <v>1858</v>
      </c>
      <c r="G9" s="5" t="str">
        <f>IFERROR(__xludf.DUMMYFUNCTION("GOOGLETRANSLATE(A9, ""en"", ""id"")"),"8")</f>
        <v>8</v>
      </c>
      <c r="H9" s="5" t="str">
        <f>IFERROR(__xludf.DUMMYFUNCTION("GOOGLETRANSLATE(B9, ""en"", ""id"")"),"Dalam pertandingan Pencak Silat beregu, seorang petarung Bangladesh melakukan takedown tetapi gagal segera kembali ke posisi siap. Apa kemungkinan hasilnya?")</f>
        <v>Dalam pertandingan Pencak Silat beregu, seorang petarung Bangladesh melakukan takedown tetapi gagal segera kembali ke posisi siap. Apa kemungkinan hasilnya?</v>
      </c>
      <c r="I9" s="5" t="str">
        <f>IFERROR(__xludf.DUMMYFUNCTION("GOOGLETRANSLATE(C9, ""en"", ""id"")"),"A) Poin penuh untuk takedown, B) Poin parsial untuk takedown, C) Tidak ada poin yang diberikan, D) Peringatan untuk teknik yang tidak tepat")</f>
        <v>A) Poin penuh untuk takedown, B) Poin parsial untuk takedown, C) Tidak ada poin yang diberikan, D) Peringatan untuk teknik yang tidak tepat</v>
      </c>
      <c r="J9" s="5" t="str">
        <f>IFERROR(__xludf.DUMMYFUNCTION("GOOGLETRANSLATE(D9, ""en"", ""id"")"),"B) Poin parsial untuk takedown")</f>
        <v>B) Poin parsial untuk takedown</v>
      </c>
      <c r="K9" s="5" t="str">
        <f>IFERROR(__xludf.DUMMYFUNCTION("GOOGLETRANSLATE(E9, ""en"", ""id"")"),"Meskipun gerakan takedown itu sendiri sah, kegagalan untuk kembali ke posisi siap akan mengurangi sebagian poin karena eksekusi yang tidak lengkap.")</f>
        <v>Meskipun gerakan takedown itu sendiri sah, kegagalan untuk kembali ke posisi siap akan mengurangi sebagian poin karena eksekusi yang tidak lengkap.</v>
      </c>
    </row>
    <row r="10">
      <c r="A10" s="3">
        <v>9.0</v>
      </c>
      <c r="B10" s="4" t="s">
        <v>1859</v>
      </c>
      <c r="C10" s="4" t="s">
        <v>1860</v>
      </c>
      <c r="D10" s="4" t="s">
        <v>1861</v>
      </c>
      <c r="E10" s="4" t="s">
        <v>1862</v>
      </c>
      <c r="G10" s="5" t="str">
        <f>IFERROR(__xludf.DUMMYFUNCTION("GOOGLETRANSLATE(A10, ""en"", ""id"")"),"9")</f>
        <v>9</v>
      </c>
      <c r="H10" s="5" t="str">
        <f>IFERROR(__xludf.DUMMYFUNCTION("GOOGLETRANSLATE(B10, ""en"", ""id"")"),"Seorang atlet Pencak Silat dari Bangladesh menghadapi lawan yang menggunakan serangan agresif terus-menerus. Untuk mengatasinya, pesilat Bangladesh tersebut hanya berfokus pada menghindar dan menangkis serangan. Berapa poin yang bisa mereka dapatkan?")</f>
        <v>Seorang atlet Pencak Silat dari Bangladesh menghadapi lawan yang menggunakan serangan agresif terus-menerus. Untuk mengatasinya, pesilat Bangladesh tersebut hanya berfokus pada menghindar dan menangkis serangan. Berapa poin yang bisa mereka dapatkan?</v>
      </c>
      <c r="I10" s="5" t="str">
        <f>IFERROR(__xludf.DUMMYFUNCTION("GOOGLETRANSLATE(C10, ""en"", ""id"")"),"A) Poin penuh untuk pertahanan yang berhasil, B) Tidak ada poin karena tidak ada gerakan ofensif yang dilakukan, C) Poin parsial untuk pertahanan yang terampil, D) Poin dikurangi karena kurangnya agresi")</f>
        <v>A) Poin penuh untuk pertahanan yang berhasil, B) Tidak ada poin karena tidak ada gerakan ofensif yang dilakukan, C) Poin parsial untuk pertahanan yang terampil, D) Poin dikurangi karena kurangnya agresi</v>
      </c>
      <c r="J10" s="5" t="str">
        <f>IFERROR(__xludf.DUMMYFUNCTION("GOOGLETRANSLATE(D10, ""en"", ""id"")"),"C) Poin parsial untuk pertahanan yang terampil")</f>
        <v>C) Poin parsial untuk pertahanan yang terampil</v>
      </c>
      <c r="K10" s="5" t="str">
        <f>IFERROR(__xludf.DUMMYFUNCTION("GOOGLETRANSLATE(E10, ""en"", ""id"")"),"Dalam Pencak Silat, manuver bertahan yang efektif dapat menghasilkan poin sebagian, tetapi serangan diperlukan untuk memperoleh skor penuh.")</f>
        <v>Dalam Pencak Silat, manuver bertahan yang efektif dapat menghasilkan poin sebagian, tetapi serangan diperlukan untuk memperoleh skor penuh.</v>
      </c>
    </row>
    <row r="11">
      <c r="A11" s="3">
        <v>10.0</v>
      </c>
      <c r="B11" s="4" t="s">
        <v>1863</v>
      </c>
      <c r="C11" s="4" t="s">
        <v>1864</v>
      </c>
      <c r="D11" s="4" t="s">
        <v>1865</v>
      </c>
      <c r="E11" s="4" t="s">
        <v>1866</v>
      </c>
      <c r="G11" s="5" t="str">
        <f>IFERROR(__xludf.DUMMYFUNCTION("GOOGLETRANSLATE(A11, ""en"", ""id"")"),"10")</f>
        <v>10</v>
      </c>
      <c r="H11" s="5" t="str">
        <f>IFERROR(__xludf.DUMMYFUNCTION("GOOGLETRANSLATE(B11, ""en"", ""id"")"),"Dalam pertandingan Pencak Silat tradisional, wasit menghentikan pertandingan setelah melihat salah satu peserta berdarah. Apa tindakan yang harus diambil wasit?")</f>
        <v>Dalam pertandingan Pencak Silat tradisional, wasit menghentikan pertandingan setelah melihat salah satu peserta berdarah. Apa tindakan yang harus diambil wasit?</v>
      </c>
      <c r="I11" s="5" t="str">
        <f>IFERROR(__xludf.DUMMYFUNCTION("GOOGLETRANSLATE(C11, ""en"", ""id"")"),"A) Diskualifikasi petarung yang cedera, B) Panggil bantuan medis dan lanjutkan pertandingan jika memungkinkan, C) Nyatakan lawan sebagai pemenang, D) Biarkan petarung yang cedera melanjutkan pertandingan tanpa intervensi")</f>
        <v>A) Diskualifikasi petarung yang cedera, B) Panggil bantuan medis dan lanjutkan pertandingan jika memungkinkan, C) Nyatakan lawan sebagai pemenang, D) Biarkan petarung yang cedera melanjutkan pertandingan tanpa intervensi</v>
      </c>
      <c r="J11" s="5" t="str">
        <f>IFERROR(__xludf.DUMMYFUNCTION("GOOGLETRANSLATE(D11, ""en"", ""id"")"),"B) Hubungi bantuan medis dan lanjutkan pertandingan jika memungkinkan")</f>
        <v>B) Hubungi bantuan medis dan lanjutkan pertandingan jika memungkinkan</v>
      </c>
      <c r="K11" s="5" t="str">
        <f>IFERROR(__xludf.DUMMYFUNCTION("GOOGLETRANSLATE(E11, ""en"", ""id"")"),"Keselamatan adalah hal terpenting dalam Pencak Silat. Pertandingan dihentikan sementara untuk pemeriksaan medis, dan kelanjutannya bergantung pada kondisi petarung.")</f>
        <v>Keselamatan adalah hal terpenting dalam Pencak Silat. Pertandingan dihentikan sementara untuk pemeriksaan medis, dan kelanjutannya bergantung pada kondisi petarung.</v>
      </c>
    </row>
    <row r="12">
      <c r="A12" s="3">
        <v>11.0</v>
      </c>
      <c r="B12" s="4" t="s">
        <v>1867</v>
      </c>
      <c r="C12" s="4" t="s">
        <v>1868</v>
      </c>
      <c r="D12" s="4" t="s">
        <v>1869</v>
      </c>
      <c r="E12" s="4" t="s">
        <v>1870</v>
      </c>
      <c r="G12" s="5" t="str">
        <f>IFERROR(__xludf.DUMMYFUNCTION("GOOGLETRANSLATE(A12, ""en"", ""id"")"),"11")</f>
        <v>11</v>
      </c>
      <c r="H12" s="5" t="str">
        <f>IFERROR(__xludf.DUMMYFUNCTION("GOOGLETRANSLATE(B12, ""en"", ""id"")"),"Dalam sebuah kompetisi Pencak Silat di Bangladesh, seorang pesilat menampilkan jurus pembuka tradisional (Jurus). Bagaimana jurus ini dinilai?")</f>
        <v>Dalam sebuah kompetisi Pencak Silat di Bangladesh, seorang pesilat menampilkan jurus pembuka tradisional (Jurus). Bagaimana jurus ini dinilai?</v>
      </c>
      <c r="I12" s="5" t="str">
        <f>IFERROR(__xludf.DUMMYFUNCTION("GOOGLETRANSLATE(C12, ""en"", ""id"")"),"A) Poin penuh untuk signifikansi budaya, B) Tidak ada poin karena bukan bagian dari pertarungan, C) Poin diberikan jika gerakan dilakukan dengan terampil, D) Pengurangan karena membuang-buang waktu")</f>
        <v>A) Poin penuh untuk signifikansi budaya, B) Tidak ada poin karena bukan bagian dari pertarungan, C) Poin diberikan jika gerakan dilakukan dengan terampil, D) Pengurangan karena membuang-buang waktu</v>
      </c>
      <c r="J12" s="5" t="str">
        <f>IFERROR(__xludf.DUMMYFUNCTION("GOOGLETRANSLATE(D12, ""en"", ""id"")"),"C) Poin diberikan jika gerakan dilakukan dengan terampil")</f>
        <v>C) Poin diberikan jika gerakan dilakukan dengan terampil</v>
      </c>
      <c r="K12" s="5" t="str">
        <f>IFERROR(__xludf.DUMMYFUNCTION("GOOGLETRANSLATE(E12, ""en"", ""id"")"),"Gerakan Jurus menampilkan keterampilan tradisional dan dinilai berdasarkan ketepatan dan kepatuhan terhadap bentuk.")</f>
        <v>Gerakan Jurus menampilkan keterampilan tradisional dan dinilai berdasarkan ketepatan dan kepatuhan terhadap bentuk.</v>
      </c>
    </row>
    <row r="13">
      <c r="A13" s="3">
        <v>12.0</v>
      </c>
      <c r="B13" s="4" t="s">
        <v>1871</v>
      </c>
      <c r="C13" s="4" t="s">
        <v>1872</v>
      </c>
      <c r="D13" s="4" t="s">
        <v>1873</v>
      </c>
      <c r="E13" s="4" t="s">
        <v>1874</v>
      </c>
      <c r="G13" s="5" t="str">
        <f>IFERROR(__xludf.DUMMYFUNCTION("GOOGLETRANSLATE(A13, ""en"", ""id"")"),"12")</f>
        <v>12</v>
      </c>
      <c r="H13" s="5" t="str">
        <f>IFERROR(__xludf.DUMMYFUNCTION("GOOGLETRANSLATE(B13, ""en"", ""id"")"),"Seorang atlet Pencak Silat Bangladesh menerima peringatan karena keluar dari area pertandingan sebanyak tiga kali. Apa konsekuensi dari tindakan ini?")</f>
        <v>Seorang atlet Pencak Silat Bangladesh menerima peringatan karena keluar dari area pertandingan sebanyak tiga kali. Apa konsekuensi dari tindakan ini?</v>
      </c>
      <c r="I13" s="5" t="str">
        <f>IFERROR(__xludf.DUMMYFUNCTION("GOOGLETRANSLATE(C13, ""en"", ""id"")"),"A) Poin dikurangi, B) Diskualifikasi langsung, C) Putaran dimulai ulang, D) Lawan diberikan poin")</f>
        <v>A) Poin dikurangi, B) Diskualifikasi langsung, C) Putaran dimulai ulang, D) Lawan diberikan poin</v>
      </c>
      <c r="J13" s="5" t="str">
        <f>IFERROR(__xludf.DUMMYFUNCTION("GOOGLETRANSLATE(D13, ""en"", ""id"")"),"A) Poin dikurangi")</f>
        <v>A) Poin dikurangi</v>
      </c>
      <c r="K13" s="5" t="str">
        <f>IFERROR(__xludf.DUMMYFUNCTION("GOOGLETRANSLATE(E13, ""en"", ""id"")"),"Berulang kali keluar batas lapangan akan mengakibatkan pengurangan poin karena mengganggu jalannya pertandingan.")</f>
        <v>Berulang kali keluar batas lapangan akan mengakibatkan pengurangan poin karena mengganggu jalannya pertandingan.</v>
      </c>
    </row>
    <row r="14">
      <c r="A14" s="3">
        <v>13.0</v>
      </c>
      <c r="B14" s="4" t="s">
        <v>1875</v>
      </c>
      <c r="C14" s="4" t="s">
        <v>1876</v>
      </c>
      <c r="D14" s="4" t="s">
        <v>1876</v>
      </c>
      <c r="E14" s="4" t="s">
        <v>1877</v>
      </c>
      <c r="G14" s="5" t="str">
        <f>IFERROR(__xludf.DUMMYFUNCTION("GOOGLETRANSLATE(A14, ""en"", ""id"")"),"13")</f>
        <v>13</v>
      </c>
      <c r="H14" s="5" t="str">
        <f>IFERROR(__xludf.DUMMYFUNCTION("GOOGLETRANSLATE(B14, ""en"", ""id"")"),"Dalam pertandingan Pencak Silat, seorang petarung Bangladesh menang dengan keputusan mutlak. Faktor apa saja yang mungkin memengaruhi hasil ini?")</f>
        <v>Dalam pertandingan Pencak Silat, seorang petarung Bangladesh menang dengan keputusan mutlak. Faktor apa saja yang mungkin memengaruhi hasil ini?</v>
      </c>
      <c r="I14" s="5" t="str">
        <f>IFERROR(__xludf.DUMMYFUNCTION("GOOGLETRANSLATE(C14, ""en"", ""id"")"),"A) Serangan dan pertahanan yang unggul, B) Penggunaan takedown yang efektif, C) Menampilkan teknik tradisional, D) Mengungguli lawan di semua ronde")</f>
        <v>A) Serangan dan pertahanan yang unggul, B) Penggunaan takedown yang efektif, C) Menampilkan teknik tradisional, D) Mengungguli lawan di semua ronde</v>
      </c>
      <c r="J14" s="5" t="str">
        <f>IFERROR(__xludf.DUMMYFUNCTION("GOOGLETRANSLATE(D14, ""en"", ""id"")"),"A) Serangan dan pertahanan yang unggul, B) Penggunaan takedown yang efektif, C) Menampilkan teknik tradisional, D) Mengungguli lawan di semua ronde")</f>
        <v>A) Serangan dan pertahanan yang unggul, B) Penggunaan takedown yang efektif, C) Menampilkan teknik tradisional, D) Mengungguli lawan di semua ronde</v>
      </c>
      <c r="K14" s="5" t="str">
        <f>IFERROR(__xludf.DUMMYFUNCTION("GOOGLETRANSLATE(E14, ""en"", ""id"")"),"Keputusan bulat mencerminkan dominasi keseluruhan dalam teknik, penilaian, dan tampilan tradisional selama pertandingan.")</f>
        <v>Keputusan bulat mencerminkan dominasi keseluruhan dalam teknik, penilaian, dan tampilan tradisional selama pertandingan.</v>
      </c>
    </row>
    <row r="15">
      <c r="A15" s="3">
        <v>14.0</v>
      </c>
      <c r="B15" s="4" t="s">
        <v>1878</v>
      </c>
      <c r="C15" s="4" t="s">
        <v>1879</v>
      </c>
      <c r="D15" s="4" t="s">
        <v>1880</v>
      </c>
      <c r="E15" s="4" t="s">
        <v>1881</v>
      </c>
      <c r="G15" s="5" t="str">
        <f>IFERROR(__xludf.DUMMYFUNCTION("GOOGLETRANSLATE(A15, ""en"", ""id"")"),"14")</f>
        <v>14</v>
      </c>
      <c r="H15" s="5" t="str">
        <f>IFERROR(__xludf.DUMMYFUNCTION("GOOGLETRANSLATE(B15, ""en"", ""id"")"),"Lawan petarung Pencak Silat Bangladesh menggunakan teknik ilegal selama pertandingan. Apa kemungkinan keputusan wasit?")</f>
        <v>Lawan petarung Pencak Silat Bangladesh menggunakan teknik ilegal selama pertandingan. Apa kemungkinan keputusan wasit?</v>
      </c>
      <c r="I15" s="5" t="str">
        <f>IFERROR(__xludf.DUMMYFUNCTION("GOOGLETRANSLATE(C15, ""en"", ""id"")"),"A) Memberikan peringatan kepada lawan, B) Mengurangi poin lawan, C) Mendiskualifikasi lawan segera, D) Membiarkan pertandingan berlanjut tanpa tindakan")</f>
        <v>A) Memberikan peringatan kepada lawan, B) Mengurangi poin lawan, C) Mendiskualifikasi lawan segera, D) Membiarkan pertandingan berlanjut tanpa tindakan</v>
      </c>
      <c r="J15" s="5" t="str">
        <f>IFERROR(__xludf.DUMMYFUNCTION("GOOGLETRANSLATE(D15, ""en"", ""id"")"),"A) Memberikan peringatan kepada lawan, B) Mengurangi poin dari lawan")</f>
        <v>A) Memberikan peringatan kepada lawan, B) Mengurangi poin dari lawan</v>
      </c>
      <c r="K15" s="5" t="str">
        <f>IFERROR(__xludf.DUMMYFUNCTION("GOOGLETRANSLATE(E15, ""en"", ""id"")"),"Teknik ilegal diberi sanksi berupa peringatan atau pengurangan poin, tergantung pada tingkat keparahannya.")</f>
        <v>Teknik ilegal diberi sanksi berupa peringatan atau pengurangan poin, tergantung pada tingkat keparahannya.</v>
      </c>
    </row>
    <row r="16">
      <c r="A16" s="3">
        <v>15.0</v>
      </c>
      <c r="B16" s="4" t="s">
        <v>1882</v>
      </c>
      <c r="C16" s="4" t="s">
        <v>1883</v>
      </c>
      <c r="D16" s="4" t="s">
        <v>1884</v>
      </c>
      <c r="E16" s="4" t="s">
        <v>1885</v>
      </c>
      <c r="G16" s="5" t="str">
        <f>IFERROR(__xludf.DUMMYFUNCTION("GOOGLETRANSLATE(A16, ""en"", ""id"")"),"15")</f>
        <v>15</v>
      </c>
      <c r="H16" s="5" t="str">
        <f>IFERROR(__xludf.DUMMYFUNCTION("GOOGLETRANSLATE(B16, ""en"", ""id"")"),"Dalam pertandingan Pencak Silat di Bangladesh, seorang petarung pingsan karena kelelahan. Apa tindakan langsung wasit?")</f>
        <v>Dalam pertandingan Pencak Silat di Bangladesh, seorang petarung pingsan karena kelelahan. Apa tindakan langsung wasit?</v>
      </c>
      <c r="I16" s="5" t="str">
        <f>IFERROR(__xludf.DUMMYFUNCTION("GOOGLETRANSLATE(C16, ""en"", ""id"")"),"A) Nyatakan lawan sebagai pemenang, B) Hentikan pertandingan untuk mendapatkan perawatan medis, C) Biarkan petarung beristirahat dan melanjutkan pertandingan nanti, D) Akhiri pertandingan dan nyatakan seri")</f>
        <v>A) Nyatakan lawan sebagai pemenang, B) Hentikan pertandingan untuk mendapatkan perawatan medis, C) Biarkan petarung beristirahat dan melanjutkan pertandingan nanti, D) Akhiri pertandingan dan nyatakan seri</v>
      </c>
      <c r="J16" s="5" t="str">
        <f>IFERROR(__xludf.DUMMYFUNCTION("GOOGLETRANSLATE(D16, ""en"", ""id"")"),"B) Hentikan pertandingan untuk mendapatkan perawatan medis")</f>
        <v>B) Hentikan pertandingan untuk mendapatkan perawatan medis</v>
      </c>
      <c r="K16" s="5" t="str">
        <f>IFERROR(__xludf.DUMMYFUNCTION("GOOGLETRANSLATE(E16, ""en"", ""id"")"),"Wasit memastikan keselamatan semua atlet dengan menghentikan pertandingan dan menyediakan bantuan medis jika terjadi kelelahan atau cedera.")</f>
        <v>Wasit memastikan keselamatan semua atlet dengan menghentikan pertandingan dan menyediakan bantuan medis jika terjadi kelelahan atau cedera.</v>
      </c>
    </row>
    <row r="17">
      <c r="A17" s="3">
        <v>16.0</v>
      </c>
      <c r="B17" s="4" t="s">
        <v>1886</v>
      </c>
      <c r="C17" s="4" t="s">
        <v>1887</v>
      </c>
      <c r="D17" s="4" t="s">
        <v>1888</v>
      </c>
      <c r="E17" s="4" t="s">
        <v>1889</v>
      </c>
      <c r="G17" s="5" t="str">
        <f>IFERROR(__xludf.DUMMYFUNCTION("GOOGLETRANSLATE(A17, ""en"", ""id"")"),"16")</f>
        <v>16</v>
      </c>
      <c r="H17" s="5" t="str">
        <f>IFERROR(__xludf.DUMMYFUNCTION("GOOGLETRANSLATE(B17, ""en"", ""id"")"),"Dalam sebuah kejuaraan Pencak Silat di Bangladesh, petarung A mencoba melakukan sapuan kaki tetapi gagal, sehingga mereka kehilangan keseimbangan. Petarung B membalas dengan serangan bersih ke arah dada. Bagaimana seharusnya penilaian ini?")</f>
        <v>Dalam sebuah kejuaraan Pencak Silat di Bangladesh, petarung A mencoba melakukan sapuan kaki tetapi gagal, sehingga mereka kehilangan keseimbangan. Petarung B membalas dengan serangan bersih ke arah dada. Bagaimana seharusnya penilaian ini?</v>
      </c>
      <c r="I17" s="5" t="str">
        <f>IFERROR(__xludf.DUMMYFUNCTION("GOOGLETRANSLATE(C17, ""en"", ""id"")"),"A) Tidak ada poin untuk Fighter A, B) Poin untuk serangan balik Fighter B, C) Pengurangan poin untuk Fighter A karena kehilangan keseimbangan, D) Tidak ada poin untuk kedua fighter tersebut")</f>
        <v>A) Tidak ada poin untuk Fighter A, B) Poin untuk serangan balik Fighter B, C) Pengurangan poin untuk Fighter A karena kehilangan keseimbangan, D) Tidak ada poin untuk kedua fighter tersebut</v>
      </c>
      <c r="J17" s="5" t="str">
        <f>IFERROR(__xludf.DUMMYFUNCTION("GOOGLETRANSLATE(D17, ""en"", ""id"")"),"A) Tidak ada poin untuk Fighter A, B) Poin untuk serangan balik Fighter B")</f>
        <v>A) Tidak ada poin untuk Fighter A, B) Poin untuk serangan balik Fighter B</v>
      </c>
      <c r="K17" s="5" t="str">
        <f>IFERROR(__xludf.DUMMYFUNCTION("GOOGLETRANSLATE(E17, ""en"", ""id"")"),"Gerakan yang gagal dan kehilangan keseimbangan tidak akan menghasilkan poin, sedangkan serangan balik akan menghasilkan poin untuk pengendalian dan eksekusi yang efektif.")</f>
        <v>Gerakan yang gagal dan kehilangan keseimbangan tidak akan menghasilkan poin, sedangkan serangan balik akan menghasilkan poin untuk pengendalian dan eksekusi yang efektif.</v>
      </c>
    </row>
    <row r="18">
      <c r="A18" s="3">
        <v>17.0</v>
      </c>
      <c r="B18" s="4" t="s">
        <v>1890</v>
      </c>
      <c r="C18" s="4" t="s">
        <v>1891</v>
      </c>
      <c r="D18" s="4" t="s">
        <v>1892</v>
      </c>
      <c r="E18" s="4" t="s">
        <v>1893</v>
      </c>
      <c r="G18" s="5" t="str">
        <f>IFERROR(__xludf.DUMMYFUNCTION("GOOGLETRANSLATE(A18, ""en"", ""id"")"),"17")</f>
        <v>17</v>
      </c>
      <c r="H18" s="5" t="str">
        <f>IFERROR(__xludf.DUMMYFUNCTION("GOOGLETRANSLATE(B18, ""en"", ""id"")"),"Dalam sebuah kompetisi Pencak Silat nasional di Bangladesh, seorang petarung secara konsisten menggunakan taktik bertahan tanpa melancarkan gerakan menyerang. Apa yang kemungkinan besar akan diputuskan oleh wasit?")</f>
        <v>Dalam sebuah kompetisi Pencak Silat nasional di Bangladesh, seorang petarung secara konsisten menggunakan taktik bertahan tanpa melancarkan gerakan menyerang. Apa yang kemungkinan besar akan diputuskan oleh wasit?</v>
      </c>
      <c r="I18" s="5" t="str">
        <f>IFERROR(__xludf.DUMMYFUNCTION("GOOGLETRANSLATE(C18, ""en"", ""id"")"),"A) Memberikan poin untuk pertahanan yang efektif, B) Memberikan peringatan karena kurangnya agresi, C) Mengurangi poin untuk permainan pasif, D) Menyatakan lawan sebagai pemenang")</f>
        <v>A) Memberikan poin untuk pertahanan yang efektif, B) Memberikan peringatan karena kurangnya agresi, C) Mengurangi poin untuk permainan pasif, D) Menyatakan lawan sebagai pemenang</v>
      </c>
      <c r="J18" s="5" t="str">
        <f>IFERROR(__xludf.DUMMYFUNCTION("GOOGLETRANSLATE(D18, ""en"", ""id"")"),"A) Memberikan poin untuk pertahanan yang efektif, B) Memberikan peringatan karena kurangnya agresi")</f>
        <v>A) Memberikan poin untuk pertahanan yang efektif, B) Memberikan peringatan karena kurangnya agresi</v>
      </c>
      <c r="K18" s="5" t="str">
        <f>IFERROR(__xludf.DUMMYFUNCTION("GOOGLETRANSLATE(E18, ""en"", ""id"")"),"Sementara pertahanan dapat memperoleh poin sebagian, kepasifan yang berkelanjutan dapat mengakibatkan peringatan untuk memastikan persaingan yang adil.")</f>
        <v>Sementara pertahanan dapat memperoleh poin sebagian, kepasifan yang berkelanjutan dapat mengakibatkan peringatan untuk memastikan persaingan yang adil.</v>
      </c>
    </row>
    <row r="19">
      <c r="A19" s="3">
        <v>18.0</v>
      </c>
      <c r="B19" s="4" t="s">
        <v>1894</v>
      </c>
      <c r="C19" s="4" t="s">
        <v>1895</v>
      </c>
      <c r="D19" s="4" t="s">
        <v>1896</v>
      </c>
      <c r="E19" s="4" t="s">
        <v>1897</v>
      </c>
      <c r="G19" s="5" t="str">
        <f>IFERROR(__xludf.DUMMYFUNCTION("GOOGLETRANSLATE(A19, ""en"", ""id"")"),"18")</f>
        <v>18</v>
      </c>
      <c r="H19" s="5" t="str">
        <f>IFERROR(__xludf.DUMMYFUNCTION("GOOGLETRANSLATE(B19, ""en"", ""id"")"),"Dalam pertandingan Pencak Silat Bangladesh, seorang atlet melakukan tendangan tinggi yang menyerempet kepala lawan tetapi tidak mengenai sasaran dengan kuat. Bagaimana seharusnya tendangan ini dinilai?")</f>
        <v>Dalam pertandingan Pencak Silat Bangladesh, seorang atlet melakukan tendangan tinggi yang menyerempet kepala lawan tetapi tidak mengenai sasaran dengan kuat. Bagaimana seharusnya tendangan ini dinilai?</v>
      </c>
      <c r="I19" s="5" t="str">
        <f>IFERROR(__xludf.DUMMYFUNCTION("GOOGLETRANSLATE(C19, ""en"", ""id"")"),"A) Poin penuh untuk percobaan, B) Tidak ada poin karena kontaknya tidak solid, C) Poin parsial untuk usaha, D) Pengurangan poin karena kurangnya presisi")</f>
        <v>A) Poin penuh untuk percobaan, B) Tidak ada poin karena kontaknya tidak solid, C) Poin parsial untuk usaha, D) Pengurangan poin karena kurangnya presisi</v>
      </c>
      <c r="J19" s="5" t="str">
        <f>IFERROR(__xludf.DUMMYFUNCTION("GOOGLETRANSLATE(D19, ""en"", ""id"")"),"B) Tidak ada titik karena kontaknya tidak padat")</f>
        <v>B) Tidak ada titik karena kontaknya tidak padat</v>
      </c>
      <c r="K19" s="5" t="str">
        <f>IFERROR(__xludf.DUMMYFUNCTION("GOOGLETRANSLATE(E19, ""en"", ""id"")"),"Penilaian dalam Pencak Silat menghendaki kontak yang bersih dan solid; menyerempet lawan tidak memenuhi kriteria ini.")</f>
        <v>Penilaian dalam Pencak Silat menghendaki kontak yang bersih dan solid; menyerempet lawan tidak memenuhi kriteria ini.</v>
      </c>
    </row>
    <row r="20">
      <c r="A20" s="3">
        <v>19.0</v>
      </c>
      <c r="B20" s="4" t="s">
        <v>1898</v>
      </c>
      <c r="C20" s="4" t="s">
        <v>1899</v>
      </c>
      <c r="D20" s="4" t="s">
        <v>1900</v>
      </c>
      <c r="E20" s="4" t="s">
        <v>1901</v>
      </c>
      <c r="G20" s="5" t="str">
        <f>IFERROR(__xludf.DUMMYFUNCTION("GOOGLETRANSLATE(A20, ""en"", ""id"")"),"19")</f>
        <v>19</v>
      </c>
      <c r="H20" s="5" t="str">
        <f>IFERROR(__xludf.DUMMYFUNCTION("GOOGLETRANSLATE(B20, ""en"", ""id"")"),"Seorang atlet Pencak Silat Bangladesh berhasil melakukan takedown tetapi tidak berhasil mengendalikan lawan, sehingga lawan dapat pulih dengan cepat. Apa kemungkinan keputusan skornya?")</f>
        <v>Seorang atlet Pencak Silat Bangladesh berhasil melakukan takedown tetapi tidak berhasil mengendalikan lawan, sehingga lawan dapat pulih dengan cepat. Apa kemungkinan keputusan skornya?</v>
      </c>
      <c r="I20" s="5" t="str">
        <f>IFERROR(__xludf.DUMMYFUNCTION("GOOGLETRANSLATE(C20, ""en"", ""id"")"),"A) Poin penuh untuk takedown, B) Poin parsial untuk upaya, C) Tidak ada poin karena kontrol tidak dipertahankan, D) Peringatan untuk eksekusi yang tidak tepat")</f>
        <v>A) Poin penuh untuk takedown, B) Poin parsial untuk upaya, C) Tidak ada poin karena kontrol tidak dipertahankan, D) Peringatan untuk eksekusi yang tidak tepat</v>
      </c>
      <c r="J20" s="5" t="str">
        <f>IFERROR(__xludf.DUMMYFUNCTION("GOOGLETRANSLATE(D20, ""en"", ""id"")"),"B) Poin parsial untuk upaya tersebut, C) Tidak ada poin karena kontrol tidak dipertahankan")</f>
        <v>B) Poin parsial untuk upaya tersebut, C) Tidak ada poin karena kontrol tidak dipertahankan</v>
      </c>
      <c r="K20" s="5" t="str">
        <f>IFERROR(__xludf.DUMMYFUNCTION("GOOGLETRANSLATE(E20, ""en"", ""id"")"),"Takedown harus menunjukkan kontrol untuk mendapatkan poin penuh; kurangnya kontrol mengakibatkan berkurangnya atau tidak adanya skor.")</f>
        <v>Takedown harus menunjukkan kontrol untuk mendapatkan poin penuh; kurangnya kontrol mengakibatkan berkurangnya atau tidak adanya skor.</v>
      </c>
    </row>
    <row r="21">
      <c r="A21" s="3">
        <v>20.0</v>
      </c>
      <c r="B21" s="4" t="s">
        <v>1902</v>
      </c>
      <c r="C21" s="4" t="s">
        <v>1903</v>
      </c>
      <c r="D21" s="4" t="s">
        <v>1904</v>
      </c>
      <c r="E21" s="4" t="s">
        <v>1905</v>
      </c>
      <c r="G21" s="5" t="str">
        <f>IFERROR(__xludf.DUMMYFUNCTION("GOOGLETRANSLATE(A21, ""en"", ""id"")"),"20")</f>
        <v>20</v>
      </c>
      <c r="H21" s="5" t="str">
        <f>IFERROR(__xludf.DUMMYFUNCTION("GOOGLETRANSLATE(B21, ""en"", ""id"")"),"Dalam pertandingan Pencak Silat di Bangladesh, seorang atlet menampilkan jurus tradisional yang mengesankan sebelum pertandingan dimulai. Bagaimana tindakan ini dianggap dalam kompetisi?")</f>
        <v>Dalam pertandingan Pencak Silat di Bangladesh, seorang atlet menampilkan jurus tradisional yang mengesankan sebelum pertandingan dimulai. Bagaimana tindakan ini dianggap dalam kompetisi?</v>
      </c>
      <c r="I21" s="5" t="str">
        <f>IFERROR(__xludf.DUMMYFUNCTION("GOOGLETRANSLATE(C21, ""en"", ""id"")"),"A) Menambah nilai budaya, B) Tidak berdampak langsung pada nilai pertarungan, C) Memberikan keuntungan psikologis, D) Menghasilkan poin bonus")</f>
        <v>A) Menambah nilai budaya, B) Tidak berdampak langsung pada nilai pertarungan, C) Memberikan keuntungan psikologis, D) Menghasilkan poin bonus</v>
      </c>
      <c r="J21" s="5" t="str">
        <f>IFERROR(__xludf.DUMMYFUNCTION("GOOGLETRANSLATE(D21, ""en"", ""id"")"),"B) Tidak berdampak langsung pada skor pertarungan, C) Memberikan keuntungan psikologis")</f>
        <v>B) Tidak berdampak langsung pada skor pertarungan, C) Memberikan keuntungan psikologis</v>
      </c>
      <c r="K21" s="5" t="str">
        <f>IFERROR(__xludf.DUMMYFUNCTION("GOOGLETRANSLATE(E21, ""en"", ""id"")"),"Pertunjukan Jurus penting secara budaya tetapi tidak memberikan kontribusi secara langsung terhadap skor pertarungan; pertunjukan tersebut dapat memengaruhi persepsi juri terhadap atlet.")</f>
        <v>Pertunjukan Jurus penting secara budaya tetapi tidak memberikan kontribusi secara langsung terhadap skor pertarungan; pertunjukan tersebut dapat memengaruhi persepsi juri terhadap atlet.</v>
      </c>
    </row>
    <row r="22">
      <c r="A22" s="3">
        <v>21.0</v>
      </c>
      <c r="B22" s="4" t="s">
        <v>1906</v>
      </c>
      <c r="C22" s="4" t="s">
        <v>1907</v>
      </c>
      <c r="D22" s="4" t="s">
        <v>1908</v>
      </c>
      <c r="E22" s="4" t="s">
        <v>1909</v>
      </c>
      <c r="G22" s="5" t="str">
        <f>IFERROR(__xludf.DUMMYFUNCTION("GOOGLETRANSLATE(A22, ""en"", ""id"")"),"21")</f>
        <v>21</v>
      </c>
      <c r="H22" s="5" t="str">
        <f>IFERROR(__xludf.DUMMYFUNCTION("GOOGLETRANSLATE(B22, ""en"", ""id"")"),"Dalam pertandingan yang sengit, seorang petarung Pencak Silat Bangladesh menggunakan jurus terlarang yang secara tidak sengaja melukai lawannya. Apa saja kemungkinan konsekuensinya?")</f>
        <v>Dalam pertandingan yang sengit, seorang petarung Pencak Silat Bangladesh menggunakan jurus terlarang yang secara tidak sengaja melukai lawannya. Apa saja kemungkinan konsekuensinya?</v>
      </c>
      <c r="I22" s="5" t="str">
        <f>IFERROR(__xludf.DUMMYFUNCTION("GOOGLETRANSLATE(C22, ""en"", ""id"")"),"A) Diskualifikasi langsung, B) Pengurangan poin, C) Penerbitan peringatan, D) Lawan yang cedera dinyatakan sebagai pemenang")</f>
        <v>A) Diskualifikasi langsung, B) Pengurangan poin, C) Penerbitan peringatan, D) Lawan yang cedera dinyatakan sebagai pemenang</v>
      </c>
      <c r="J22" s="5" t="str">
        <f>IFERROR(__xludf.DUMMYFUNCTION("GOOGLETRANSLATE(D22, ""en"", ""id"")"),"A) Diskualifikasi langsung, B) Pengurangan poin, C) Penerbitan peringatan")</f>
        <v>A) Diskualifikasi langsung, B) Pengurangan poin, C) Penerbitan peringatan</v>
      </c>
      <c r="K22" s="5" t="str">
        <f>IFERROR(__xludf.DUMMYFUNCTION("GOOGLETRANSLATE(E22, ""en"", ""id"")"),"Tindakan terlarang akan mengakibatkan hukuman berat, tergantung pada tingkat keparahan dan dampaknya.")</f>
        <v>Tindakan terlarang akan mengakibatkan hukuman berat, tergantung pada tingkat keparahan dan dampaknya.</v>
      </c>
    </row>
    <row r="23">
      <c r="A23" s="3">
        <v>22.0</v>
      </c>
      <c r="B23" s="4" t="s">
        <v>1910</v>
      </c>
      <c r="C23" s="4" t="s">
        <v>1911</v>
      </c>
      <c r="D23" s="4" t="s">
        <v>1912</v>
      </c>
      <c r="E23" s="4" t="s">
        <v>1913</v>
      </c>
      <c r="G23" s="5" t="str">
        <f>IFERROR(__xludf.DUMMYFUNCTION("GOOGLETRANSLATE(A23, ""en"", ""id"")"),"22")</f>
        <v>22</v>
      </c>
      <c r="H23" s="5" t="str">
        <f>IFERROR(__xludf.DUMMYFUNCTION("GOOGLETRANSLATE(B23, ""en"", ""id"")"),"Seorang wasit Pencak Silat dalam pertandingan di Bangladesh memperhatikan bahwa seragam seorang atlet tidak dikenakan dengan benar, sehingga mengganggu konsentrasi. Apa tanggapan yang tepat?")</f>
        <v>Seorang wasit Pencak Silat dalam pertandingan di Bangladesh memperhatikan bahwa seragam seorang atlet tidak dikenakan dengan benar, sehingga mengganggu konsentrasi. Apa tanggapan yang tepat?</v>
      </c>
      <c r="I23" s="5" t="str">
        <f>IFERROR(__xludf.DUMMYFUNCTION("GOOGLETRANSLATE(C23, ""en"", ""id"")"),"A) Hentikan pertandingan dan perbaiki masalahnya, B) Berikan peringatan kepada atlet, C) Kurangi poin untuk pakaian yang tidak pantas, D) Abaikan masalah dan lanjutkan pertandingan")</f>
        <v>A) Hentikan pertandingan dan perbaiki masalahnya, B) Berikan peringatan kepada atlet, C) Kurangi poin untuk pakaian yang tidak pantas, D) Abaikan masalah dan lanjutkan pertandingan</v>
      </c>
      <c r="J23" s="5" t="str">
        <f>IFERROR(__xludf.DUMMYFUNCTION("GOOGLETRANSLATE(D23, ""en"", ""id"")"),"A) Hentikan pertandingan dan perbaiki masalahnya, B) Berikan peringatan kepada atlet")</f>
        <v>A) Hentikan pertandingan dan perbaiki masalahnya, B) Berikan peringatan kepada atlet</v>
      </c>
      <c r="K23" s="5" t="str">
        <f>IFERROR(__xludf.DUMMYFUNCTION("GOOGLETRANSLATE(E23, ""en"", ""id"")"),"Pakaian yang pantas wajib dikenakan dalam Pencak Silat; wasit memastikan atlet mematuhinya untuk menjaga keadilan dan profesionalisme.")</f>
        <v>Pakaian yang pantas wajib dikenakan dalam Pencak Silat; wasit memastikan atlet mematuhinya untuk menjaga keadilan dan profesionalisme.</v>
      </c>
    </row>
    <row r="24">
      <c r="A24" s="3">
        <v>23.0</v>
      </c>
      <c r="B24" s="4" t="s">
        <v>1914</v>
      </c>
      <c r="C24" s="4" t="s">
        <v>1915</v>
      </c>
      <c r="D24" s="4" t="s">
        <v>1916</v>
      </c>
      <c r="E24" s="4" t="s">
        <v>1917</v>
      </c>
      <c r="G24" s="5" t="str">
        <f>IFERROR(__xludf.DUMMYFUNCTION("GOOGLETRANSLATE(A24, ""en"", ""id"")"),"23")</f>
        <v>23</v>
      </c>
      <c r="H24" s="5" t="str">
        <f>IFERROR(__xludf.DUMMYFUNCTION("GOOGLETRANSLATE(B24, ""en"", ""id"")"),"Dalam sebuah pertandingan di Bangladesh, seorang petarung menerima tiga peringatan karena agresi yang berlebihan. Apa tindakan wasit selanjutnya?")</f>
        <v>Dalam sebuah pertandingan di Bangladesh, seorang petarung menerima tiga peringatan karena agresi yang berlebihan. Apa tindakan wasit selanjutnya?</v>
      </c>
      <c r="I24" s="5" t="str">
        <f>IFERROR(__xludf.DUMMYFUNCTION("GOOGLETRANSLATE(C24, ""en"", ""id"")"),"A) Mengurangi poin untuk pelanggaran yang berulang, B) Mendiskualifikasi atlet, C) Mengizinkan atlet untuk melanjutkan dengan peringatan terakhir, D) Menangguhkan pertandingan sementara")</f>
        <v>A) Mengurangi poin untuk pelanggaran yang berulang, B) Mendiskualifikasi atlet, C) Mengizinkan atlet untuk melanjutkan dengan peringatan terakhir, D) Menangguhkan pertandingan sementara</v>
      </c>
      <c r="J24" s="5" t="str">
        <f>IFERROR(__xludf.DUMMYFUNCTION("GOOGLETRANSLATE(D24, ""en"", ""id"")"),"A) Mengurangi poin untuk pelanggaran yang berulang, B) Mendiskualifikasi atlet")</f>
        <v>A) Mengurangi poin untuk pelanggaran yang berulang, B) Mendiskualifikasi atlet</v>
      </c>
      <c r="K24" s="5" t="str">
        <f>IFERROR(__xludf.DUMMYFUNCTION("GOOGLETRANSLATE(E24, ""en"", ""id"")"),"Peringatan berlebihan terhadap agresi dapat mengakibatkan pengurangan poin atau diskualifikasi, tergantung pada beratnya perilaku.")</f>
        <v>Peringatan berlebihan terhadap agresi dapat mengakibatkan pengurangan poin atau diskualifikasi, tergantung pada beratnya perilaku.</v>
      </c>
    </row>
    <row r="25">
      <c r="A25" s="3">
        <v>24.0</v>
      </c>
      <c r="B25" s="4" t="s">
        <v>1918</v>
      </c>
      <c r="C25" s="4" t="s">
        <v>1919</v>
      </c>
      <c r="D25" s="4" t="s">
        <v>1920</v>
      </c>
      <c r="E25" s="4" t="s">
        <v>1921</v>
      </c>
      <c r="G25" s="5" t="str">
        <f>IFERROR(__xludf.DUMMYFUNCTION("GOOGLETRANSLATE(A25, ""en"", ""id"")"),"24")</f>
        <v>24</v>
      </c>
      <c r="H25" s="5" t="str">
        <f>IFERROR(__xludf.DUMMYFUNCTION("GOOGLETRANSLATE(B25, ""en"", ""id"")"),"Dalam sebuah kompetisi Pencak Silat, seorang petarung Bangladesh menggunakan footwork untuk menghindari beberapa serangan tanpa melakukan serangan balik. Bagaimana juri akan menilai hal ini?")</f>
        <v>Dalam sebuah kompetisi Pencak Silat, seorang petarung Bangladesh menggunakan footwork untuk menghindari beberapa serangan tanpa melakukan serangan balik. Bagaimana juri akan menilai hal ini?</v>
      </c>
      <c r="I25" s="5" t="str">
        <f>IFERROR(__xludf.DUMMYFUNCTION("GOOGLETRANSLATE(C25, ""en"", ""id"")"),"A) Poin penuh untuk penghindaran efektif, B) Poin parsial untuk pertahanan, C) Tidak ada poin karena tidak ada serangan balik yang dilakukan, D) Poin dikurangi karena pasif")</f>
        <v>A) Poin penuh untuk penghindaran efektif, B) Poin parsial untuk pertahanan, C) Tidak ada poin karena tidak ada serangan balik yang dilakukan, D) Poin dikurangi karena pasif</v>
      </c>
      <c r="J25" s="5" t="str">
        <f>IFERROR(__xludf.DUMMYFUNCTION("GOOGLETRANSLATE(D25, ""en"", ""id"")"),"B) Poin parsial untuk pertahanan, C) Tidak ada poin karena tidak ada serangan balik yang dilakukan")</f>
        <v>B) Poin parsial untuk pertahanan, C) Tidak ada poin karena tidak ada serangan balik yang dilakukan</v>
      </c>
      <c r="K25" s="5" t="str">
        <f>IFERROR(__xludf.DUMMYFUNCTION("GOOGLETRANSLATE(E25, ""en"", ""id"")"),"Sementara penghindaran menunjukkan keterampilan, poin dimaksimalkan dengan menggabungkan pertahanan dengan serangan balik.")</f>
        <v>Sementara penghindaran menunjukkan keterampilan, poin dimaksimalkan dengan menggabungkan pertahanan dengan serangan balik.</v>
      </c>
    </row>
    <row r="26">
      <c r="A26" s="3">
        <v>25.0</v>
      </c>
      <c r="B26" s="4" t="s">
        <v>1922</v>
      </c>
      <c r="C26" s="4" t="s">
        <v>1923</v>
      </c>
      <c r="D26" s="4" t="s">
        <v>1924</v>
      </c>
      <c r="E26" s="4" t="s">
        <v>1925</v>
      </c>
      <c r="G26" s="5" t="str">
        <f>IFERROR(__xludf.DUMMYFUNCTION("GOOGLETRANSLATE(A26, ""en"", ""id"")"),"25")</f>
        <v>25</v>
      </c>
      <c r="H26" s="5" t="str">
        <f>IFERROR(__xludf.DUMMYFUNCTION("GOOGLETRANSLATE(B26, ""en"", ""id"")"),"Seorang atlet Pencak Silat dari Bangladesh melakukan takedown yang bersih tetapi menggunakan kekuatan yang berlebihan. Apa kemungkinan keputusan wasit?")</f>
        <v>Seorang atlet Pencak Silat dari Bangladesh melakukan takedown yang bersih tetapi menggunakan kekuatan yang berlebihan. Apa kemungkinan keputusan wasit?</v>
      </c>
      <c r="I26" s="5" t="str">
        <f>IFERROR(__xludf.DUMMYFUNCTION("GOOGLETRANSLATE(C26, ""en"", ""id"")"),"A) Memberikan poin untuk takedown, B) Mengurangi poin untuk penggunaan kekuatan yang berlebihan, C) Memberikan peringatan untuk teknik yang tidak tepat, D) Membiarkan takedown dilakukan tanpa penalti")</f>
        <v>A) Memberikan poin untuk takedown, B) Mengurangi poin untuk penggunaan kekuatan yang berlebihan, C) Memberikan peringatan untuk teknik yang tidak tepat, D) Membiarkan takedown dilakukan tanpa penalti</v>
      </c>
      <c r="J26" s="5" t="str">
        <f>IFERROR(__xludf.DUMMYFUNCTION("GOOGLETRANSLATE(D26, ""en"", ""id"")"),"A) Memberikan poin untuk takedown, B) Mengurangi poin untuk penggunaan kekuatan yang berlebihan, C) Memberikan peringatan untuk teknik yang tidak tepat")</f>
        <v>A) Memberikan poin untuk takedown, B) Mengurangi poin untuk penggunaan kekuatan yang berlebihan, C) Memberikan peringatan untuk teknik yang tidak tepat</v>
      </c>
      <c r="K26" s="5" t="str">
        <f>IFERROR(__xludf.DUMMYFUNCTION("GOOGLETRANSLATE(E26, ""en"", ""id"")"),"Tindakan takedown akan mendapatkan poin, tetapi penggunaan kekuatan berlebihan akan dikenakan sanksi untuk menegakkan prinsip-prinsip olahraga ini, yakni kontrol dan rasa hormat.")</f>
        <v>Tindakan takedown akan mendapatkan poin, tetapi penggunaan kekuatan berlebihan akan dikenakan sanksi untuk menegakkan prinsip-prinsip olahraga ini, yakni kontrol dan rasa hormat.</v>
      </c>
    </row>
    <row r="27">
      <c r="A27" s="3">
        <v>26.0</v>
      </c>
      <c r="B27" s="4" t="s">
        <v>1926</v>
      </c>
      <c r="C27" s="4" t="s">
        <v>1927</v>
      </c>
      <c r="D27" s="4" t="s">
        <v>1928</v>
      </c>
      <c r="E27" s="4" t="s">
        <v>1929</v>
      </c>
      <c r="G27" s="5" t="str">
        <f>IFERROR(__xludf.DUMMYFUNCTION("GOOGLETRANSLATE(A27, ""en"", ""id"")"),"26")</f>
        <v>26</v>
      </c>
      <c r="H27" s="5" t="str">
        <f>IFERROR(__xludf.DUMMYFUNCTION("GOOGLETRANSLATE(B27, ""en"", ""id"")"),"Dalam pertandingan Pencak Silat di Bangladesh, petarung A melakukan tendangan tinggi yang diarahkan ke kepala lawan, tetapi meleset dan kehilangan keseimbangan. Petarung B memanfaatkan kesempatan itu dan membalas dengan pukulan tepat ke dada. Apa kemungki"&amp;"nan hasilnya?")</f>
        <v>Dalam pertandingan Pencak Silat di Bangladesh, petarung A melakukan tendangan tinggi yang diarahkan ke kepala lawan, tetapi meleset dan kehilangan keseimbangan. Petarung B memanfaatkan kesempatan itu dan membalas dengan pukulan tepat ke dada. Apa kemungkinan hasilnya?</v>
      </c>
      <c r="I27" s="5" t="str">
        <f>IFERROR(__xludf.DUMMYFUNCTION("GOOGLETRANSLATE(C27, ""en"", ""id"")"),"A) Petarung A tidak menerima poin, B) Petarung B mencetak poin untuk serangan balik, C) Petarung A dihukum karena ketidakseimbangan, D) Kedua petarung menerima peringatan")</f>
        <v>A) Petarung A tidak menerima poin, B) Petarung B mencetak poin untuk serangan balik, C) Petarung A dihukum karena ketidakseimbangan, D) Kedua petarung menerima peringatan</v>
      </c>
      <c r="J27" s="5" t="str">
        <f>IFERROR(__xludf.DUMMYFUNCTION("GOOGLETRANSLATE(D27, ""en"", ""id"")"),"A) Petarung A tidak menerima poin, B) Petarung B mendapat poin untuk serangan balik")</f>
        <v>A) Petarung A tidak menerima poin, B) Petarung B mendapat poin untuk serangan balik</v>
      </c>
      <c r="K27" s="5" t="str">
        <f>IFERROR(__xludf.DUMMYFUNCTION("GOOGLETRANSLATE(E27, ""en"", ""id"")"),"Gerakan yang gagal karena kehilangan keseimbangan tidak akan menghasilkan poin, sedangkan serangan balik akan menghasilkan poin untuk pengaturan waktu dan pelaksanaan yang efektif.")</f>
        <v>Gerakan yang gagal karena kehilangan keseimbangan tidak akan menghasilkan poin, sedangkan serangan balik akan menghasilkan poin untuk pengaturan waktu dan pelaksanaan yang efektif.</v>
      </c>
    </row>
    <row r="28">
      <c r="A28" s="3">
        <v>27.0</v>
      </c>
      <c r="B28" s="4" t="s">
        <v>1930</v>
      </c>
      <c r="C28" s="4" t="s">
        <v>1931</v>
      </c>
      <c r="D28" s="4" t="s">
        <v>1932</v>
      </c>
      <c r="E28" s="4" t="s">
        <v>1933</v>
      </c>
      <c r="G28" s="5" t="str">
        <f>IFERROR(__xludf.DUMMYFUNCTION("GOOGLETRANSLATE(A28, ""en"", ""id"")"),"27")</f>
        <v>27</v>
      </c>
      <c r="H28" s="5" t="str">
        <f>IFERROR(__xludf.DUMMYFUNCTION("GOOGLETRANSLATE(B28, ""en"", ""id"")"),"Dalam pertandingan Pencak Silat, seorang petarung Bangladesh berhasil melakukan sapuan, tetapi langsung keluar lapangan tanpa sengaja. Bagaimana seharusnya wasit menilai tindakan ini?")</f>
        <v>Dalam pertandingan Pencak Silat, seorang petarung Bangladesh berhasil melakukan sapuan, tetapi langsung keluar lapangan tanpa sengaja. Bagaimana seharusnya wasit menilai tindakan ini?</v>
      </c>
      <c r="I28" s="5" t="str">
        <f>IFERROR(__xludf.DUMMYFUNCTION("GOOGLETRANSLATE(C28, ""en"", ""id"")"),"A) Poin penuh untuk sapu bersih, B) Poin parsial untuk sapu bersih, C) Tidak ada poin karena melangkah keluar batas, D) Peringatan karena meninggalkan arena")</f>
        <v>A) Poin penuh untuk sapu bersih, B) Poin parsial untuk sapu bersih, C) Tidak ada poin karena melangkah keluar batas, D) Peringatan karena meninggalkan arena</v>
      </c>
      <c r="J28" s="5" t="str">
        <f>IFERROR(__xludf.DUMMYFUNCTION("GOOGLETRANSLATE(D28, ""en"", ""id"")"),"B) Poin parsial untuk sapuan, D) Peringatan karena meninggalkan arena")</f>
        <v>B) Poin parsial untuk sapuan, D) Peringatan karena meninggalkan arena</v>
      </c>
      <c r="K28" s="5" t="str">
        <f>IFERROR(__xludf.DUMMYFUNCTION("GOOGLETRANSLATE(E28, ""en"", ""id"")"),"Selama sapuan tersebut sah, melangkah keluar batas akan mengakibatkan pengurangan poin dan berpotensi peringatan karena posisi yang tidak tepat.")</f>
        <v>Selama sapuan tersebut sah, melangkah keluar batas akan mengakibatkan pengurangan poin dan berpotensi peringatan karena posisi yang tidak tepat.</v>
      </c>
    </row>
    <row r="29">
      <c r="A29" s="3">
        <v>28.0</v>
      </c>
      <c r="B29" s="4" t="s">
        <v>1934</v>
      </c>
      <c r="C29" s="4" t="s">
        <v>1935</v>
      </c>
      <c r="D29" s="4" t="s">
        <v>1936</v>
      </c>
      <c r="E29" s="4" t="s">
        <v>1937</v>
      </c>
      <c r="G29" s="5" t="str">
        <f>IFERROR(__xludf.DUMMYFUNCTION("GOOGLETRANSLATE(A29, ""en"", ""id"")"),"28")</f>
        <v>28</v>
      </c>
      <c r="H29" s="5" t="str">
        <f>IFERROR(__xludf.DUMMYFUNCTION("GOOGLETRANSLATE(B29, ""en"", ""id"")"),"Dalam sebuah pertandingan Pencak Silat yang diadakan di Dhaka, Petarung A berulang kali menangkis serangan menggunakan gerakan tubuh bagian atas yang efektif, tetapi gagal melakukan serangan balik. Bagaimana seharusnya juri menilai penampilan Petarung A?")</f>
        <v>Dalam sebuah pertandingan Pencak Silat yang diadakan di Dhaka, Petarung A berulang kali menangkis serangan menggunakan gerakan tubuh bagian atas yang efektif, tetapi gagal melakukan serangan balik. Bagaimana seharusnya juri menilai penampilan Petarung A?</v>
      </c>
      <c r="I29" s="5" t="str">
        <f>IFERROR(__xludf.DUMMYFUNCTION("GOOGLETRANSLATE(C29, ""en"", ""id"")"),"A) Memberikan poin untuk pertahanan, B) Mengurangi poin karena kurangnya agresi, C) Tidak ada poin yang diberikan karena tidak ada gerakan ofensif yang dilakukan, D) Mengeluarkan peringatan karena pasif")</f>
        <v>A) Memberikan poin untuk pertahanan, B) Mengurangi poin karena kurangnya agresi, C) Tidak ada poin yang diberikan karena tidak ada gerakan ofensif yang dilakukan, D) Mengeluarkan peringatan karena pasif</v>
      </c>
      <c r="J29" s="5" t="str">
        <f>IFERROR(__xludf.DUMMYFUNCTION("GOOGLETRANSLATE(D29, ""en"", ""id"")"),"A) Memberikan poin untuk pertahanan, C) Tidak ada poin yang diberikan karena tidak ada gerakan ofensif yang dilakukan")</f>
        <v>A) Memberikan poin untuk pertahanan, C) Tidak ada poin yang diberikan karena tidak ada gerakan ofensif yang dilakukan</v>
      </c>
      <c r="K29" s="5" t="str">
        <f>IFERROR(__xludf.DUMMYFUNCTION("GOOGLETRANSLATE(E29, ""en"", ""id"")"),"Pertahanan dapat menghasilkan poin jika efektif, tetapi serangan balik diperlukan untuk memaksimalkan skor dalam Pencak Silat.")</f>
        <v>Pertahanan dapat menghasilkan poin jika efektif, tetapi serangan balik diperlukan untuk memaksimalkan skor dalam Pencak Silat.</v>
      </c>
    </row>
    <row r="30">
      <c r="A30" s="3">
        <v>29.0</v>
      </c>
      <c r="B30" s="4" t="s">
        <v>1938</v>
      </c>
      <c r="C30" s="4" t="s">
        <v>1939</v>
      </c>
      <c r="D30" s="4" t="s">
        <v>1940</v>
      </c>
      <c r="E30" s="4" t="s">
        <v>1941</v>
      </c>
      <c r="G30" s="5" t="str">
        <f>IFERROR(__xludf.DUMMYFUNCTION("GOOGLETRANSLATE(A30, ""en"", ""id"")"),"29")</f>
        <v>29</v>
      </c>
      <c r="H30" s="5" t="str">
        <f>IFERROR(__xludf.DUMMYFUNCTION("GOOGLETRANSLATE(B30, ""en"", ""id"")"),"Seorang petarung Bangladesh berhasil melakukan takedown sempurna tetapi gagal segera kembali ke posisi bertahan. Apa yang seharusnya diputuskan wasit?")</f>
        <v>Seorang petarung Bangladesh berhasil melakukan takedown sempurna tetapi gagal segera kembali ke posisi bertahan. Apa yang seharusnya diputuskan wasit?</v>
      </c>
      <c r="I30" s="5" t="str">
        <f>IFERROR(__xludf.DUMMYFUNCTION("GOOGLETRANSLATE(C30, ""en"", ""id"")"),"A) Poin penuh untuk takedown, B) Poin parsial untuk eksekusi yang tidak lengkap, C) Tidak ada poin yang diberikan, D) Berikan peringatan untuk pemulihan yang buruk")</f>
        <v>A) Poin penuh untuk takedown, B) Poin parsial untuk eksekusi yang tidak lengkap, C) Tidak ada poin yang diberikan, D) Berikan peringatan untuk pemulihan yang buruk</v>
      </c>
      <c r="J30" s="5" t="str">
        <f>IFERROR(__xludf.DUMMYFUNCTION("GOOGLETRANSLATE(D30, ""en"", ""id"")"),"B) Poin parsial karena eksekusi tidak lengkap")</f>
        <v>B) Poin parsial karena eksekusi tidak lengkap</v>
      </c>
      <c r="K30" s="5" t="str">
        <f>IFERROR(__xludf.DUMMYFUNCTION("GOOGLETRANSLATE(E30, ""en"", ""id"")"),"Takedown harus diikuti dengan pengembalian cepat ke posisi bertahan untuk mendapatkan poin penuh; jika tidak, poin akan berkurang.")</f>
        <v>Takedown harus diikuti dengan pengembalian cepat ke posisi bertahan untuk mendapatkan poin penuh; jika tidak, poin akan berkurang.</v>
      </c>
    </row>
    <row r="31">
      <c r="A31" s="3">
        <v>30.0</v>
      </c>
      <c r="B31" s="4" t="s">
        <v>1942</v>
      </c>
      <c r="C31" s="4" t="s">
        <v>1943</v>
      </c>
      <c r="D31" s="4" t="s">
        <v>1944</v>
      </c>
      <c r="E31" s="4" t="s">
        <v>1945</v>
      </c>
      <c r="G31" s="5" t="str">
        <f>IFERROR(__xludf.DUMMYFUNCTION("GOOGLETRANSLATE(A31, ""en"", ""id"")"),"30")</f>
        <v>30</v>
      </c>
      <c r="H31" s="5" t="str">
        <f>IFERROR(__xludf.DUMMYFUNCTION("GOOGLETRANSLATE(B31, ""en"", ""id"")"),"Dalam sebuah demonstrasi Pencak Silat di Bangladesh, seorang peserta menampilkan rangkaian jurus tradisional dengan sedikit kesalahan dalam gerakannya. Bagaimana penilaiannya?")</f>
        <v>Dalam sebuah demonstrasi Pencak Silat di Bangladesh, seorang peserta menampilkan rangkaian jurus tradisional dengan sedikit kesalahan dalam gerakannya. Bagaimana penilaiannya?</v>
      </c>
      <c r="I31" s="5" t="str">
        <f>IFERROR(__xludf.DUMMYFUNCTION("GOOGLETRANSLATE(C31, ""en"", ""id"")"),"A) Poin penuh untuk menyelesaikan urutan, B) Poin parsial untuk usaha, C) Tidak ada poin karena kesalahan, D) Pengurangan karena kurangnya ketepatan")</f>
        <v>A) Poin penuh untuk menyelesaikan urutan, B) Poin parsial untuk usaha, C) Tidak ada poin karena kesalahan, D) Pengurangan karena kurangnya ketepatan</v>
      </c>
      <c r="J31" s="5" t="str">
        <f>IFERROR(__xludf.DUMMYFUNCTION("GOOGLETRANSLATE(D31, ""en"", ""id"")"),"B) Poin parsial untuk usaha, D) Pengurangan karena kurangnya ketepatan")</f>
        <v>B) Poin parsial untuk usaha, D) Pengurangan karena kurangnya ketepatan</v>
      </c>
      <c r="K31" s="5" t="str">
        <f>IFERROR(__xludf.DUMMYFUNCTION("GOOGLETRANSLATE(E31, ""en"", ""id"")"),"Urutan Jurus dinilai berdasarkan ketepatan dan kepatuhan terhadap gerakan tradisional, kesalahan akan mengurangi skor.")</f>
        <v>Urutan Jurus dinilai berdasarkan ketepatan dan kepatuhan terhadap gerakan tradisional, kesalahan akan mengurangi skor.</v>
      </c>
    </row>
    <row r="32">
      <c r="A32" s="3">
        <v>31.0</v>
      </c>
      <c r="B32" s="4" t="s">
        <v>1946</v>
      </c>
      <c r="C32" s="4" t="s">
        <v>1947</v>
      </c>
      <c r="D32" s="4" t="s">
        <v>1948</v>
      </c>
      <c r="E32" s="4" t="s">
        <v>1949</v>
      </c>
      <c r="G32" s="5" t="str">
        <f>IFERROR(__xludf.DUMMYFUNCTION("GOOGLETRANSLATE(A32, ""en"", ""id"")"),"31")</f>
        <v>31</v>
      </c>
      <c r="H32" s="5" t="str">
        <f>IFERROR(__xludf.DUMMYFUNCTION("GOOGLETRANSLATE(B32, ""en"", ""id"")"),"Seorang atlet Bangladesh melakukan takedown dalam pertandingan Pencak Silat, tetapi menggunakan kekuatan yang berlebihan, sehingga mengakibatkan cedera pada lawannya. Apa saja kemungkinan keputusan wasit?")</f>
        <v>Seorang atlet Bangladesh melakukan takedown dalam pertandingan Pencak Silat, tetapi menggunakan kekuatan yang berlebihan, sehingga mengakibatkan cedera pada lawannya. Apa saja kemungkinan keputusan wasit?</v>
      </c>
      <c r="I32" s="5" t="str">
        <f>IFERROR(__xludf.DUMMYFUNCTION("GOOGLETRANSLATE(C32, ""en"", ""id"")"),"A) Mengurangi poin untuk penggunaan kekuatan yang berlebihan, B) Memberikan poin untuk takedown, C) Mendiskualifikasi atlet, D) Membiarkan pertandingan berlanjut dengan peringatan")</f>
        <v>A) Mengurangi poin untuk penggunaan kekuatan yang berlebihan, B) Memberikan poin untuk takedown, C) Mendiskualifikasi atlet, D) Membiarkan pertandingan berlanjut dengan peringatan</v>
      </c>
      <c r="J32" s="5" t="str">
        <f>IFERROR(__xludf.DUMMYFUNCTION("GOOGLETRANSLATE(D32, ""en"", ""id"")"),"A) Pengurangan poin untuk penggunaan kekerasan yang berlebihan, D) Membiarkan pertandingan berlanjut dengan peringatan")</f>
        <v>A) Pengurangan poin untuk penggunaan kekerasan yang berlebihan, D) Membiarkan pertandingan berlanjut dengan peringatan</v>
      </c>
      <c r="K32" s="5" t="str">
        <f>IFERROR(__xludf.DUMMYFUNCTION("GOOGLETRANSLATE(E32, ""en"", ""id"")"),"Penggunaan kekuatan yang berlebihan melanggar prinsip-prinsip pengendalian dan dapat mengakibatkan hukuman, meskipun tekniknya efektif.")</f>
        <v>Penggunaan kekuatan yang berlebihan melanggar prinsip-prinsip pengendalian dan dapat mengakibatkan hukuman, meskipun tekniknya efektif.</v>
      </c>
    </row>
    <row r="33">
      <c r="A33" s="3">
        <v>32.0</v>
      </c>
      <c r="B33" s="4" t="s">
        <v>1950</v>
      </c>
      <c r="C33" s="4" t="s">
        <v>1951</v>
      </c>
      <c r="D33" s="4" t="s">
        <v>1952</v>
      </c>
      <c r="E33" s="4" t="s">
        <v>1953</v>
      </c>
      <c r="G33" s="5" t="str">
        <f>IFERROR(__xludf.DUMMYFUNCTION("GOOGLETRANSLATE(A33, ""en"", ""id"")"),"32")</f>
        <v>32</v>
      </c>
      <c r="H33" s="5" t="str">
        <f>IFERROR(__xludf.DUMMYFUNCTION("GOOGLETRANSLATE(B33, ""en"", ""id"")"),"Dalam pertandingan Pencak Silat, wasit melihat petarung B mengejek lawannya setelah mencetak poin. Apa tindakan yang harus diambil wasit?")</f>
        <v>Dalam pertandingan Pencak Silat, wasit melihat petarung B mengejek lawannya setelah mencetak poin. Apa tindakan yang harus diambil wasit?</v>
      </c>
      <c r="I33" s="5" t="str">
        <f>IFERROR(__xludf.DUMMYFUNCTION("GOOGLETRANSLATE(C33, ""en"", ""id"")"),"A) Berikan peringatan atas perilaku tidak sportif, B) Kurangi poin dari Petarung B, C) Diskualifikasi Petarung B, D) Biarkan pertandingan berlanjut tanpa intervensi")</f>
        <v>A) Berikan peringatan atas perilaku tidak sportif, B) Kurangi poin dari Petarung B, C) Diskualifikasi Petarung B, D) Biarkan pertandingan berlanjut tanpa intervensi</v>
      </c>
      <c r="J33" s="5" t="str">
        <f>IFERROR(__xludf.DUMMYFUNCTION("GOOGLETRANSLATE(D33, ""en"", ""id"")"),"A) Memberikan peringatan atas perilaku tidak sportif, B) Mengurangi poin dari Petarung B")</f>
        <v>A) Memberikan peringatan atas perilaku tidak sportif, B) Mengurangi poin dari Petarung B</v>
      </c>
      <c r="K33" s="5" t="str">
        <f>IFERROR(__xludf.DUMMYFUNCTION("GOOGLETRANSLATE(E33, ""en"", ""id"")"),"Ejekan bertentangan dengan semangat Pencak Silat dan dapat mengakibatkan peringatan atau pengurangan poin untuk menjaga disiplin.")</f>
        <v>Ejekan bertentangan dengan semangat Pencak Silat dan dapat mengakibatkan peringatan atau pengurangan poin untuk menjaga disiplin.</v>
      </c>
    </row>
    <row r="34">
      <c r="A34" s="3">
        <v>33.0</v>
      </c>
      <c r="B34" s="4" t="s">
        <v>1954</v>
      </c>
      <c r="C34" s="4" t="s">
        <v>1955</v>
      </c>
      <c r="D34" s="4" t="s">
        <v>1956</v>
      </c>
      <c r="E34" s="4" t="s">
        <v>1957</v>
      </c>
      <c r="G34" s="5" t="str">
        <f>IFERROR(__xludf.DUMMYFUNCTION("GOOGLETRANSLATE(A34, ""en"", ""id"")"),"33")</f>
        <v>33</v>
      </c>
      <c r="H34" s="5" t="str">
        <f>IFERROR(__xludf.DUMMYFUNCTION("GOOGLETRANSLATE(B34, ""en"", ""id"")"),"Seorang atlet Pencak Silat Bangladesh menggunakan teknik terlarang selama pertandingan, tetapi tidak berdampak signifikan terhadap lawan. Bagaimana seharusnya wasit menanggapinya?")</f>
        <v>Seorang atlet Pencak Silat Bangladesh menggunakan teknik terlarang selama pertandingan, tetapi tidak berdampak signifikan terhadap lawan. Bagaimana seharusnya wasit menanggapinya?</v>
      </c>
      <c r="I34" s="5" t="str">
        <f>IFERROR(__xludf.DUMMYFUNCTION("GOOGLETRANSLATE(C34, ""en"", ""id"")"),"A) Memberikan peringatan atas pelanggaran, B) Mengurangi poin karena menggunakan gerakan terlarang, C) Mendiskualifikasi atlet, D) Membiarkan pertandingan berlanjut tanpa penalti")</f>
        <v>A) Memberikan peringatan atas pelanggaran, B) Mengurangi poin karena menggunakan gerakan terlarang, C) Mendiskualifikasi atlet, D) Membiarkan pertandingan berlanjut tanpa penalti</v>
      </c>
      <c r="J34" s="5" t="str">
        <f>IFERROR(__xludf.DUMMYFUNCTION("GOOGLETRANSLATE(D34, ""en"", ""id"")"),"A) Memberikan peringatan atas pelanggaran")</f>
        <v>A) Memberikan peringatan atas pelanggaran</v>
      </c>
      <c r="K34" s="5" t="str">
        <f>IFERROR(__xludf.DUMMYFUNCTION("GOOGLETRANSLATE(E34, ""en"", ""id"")"),"Pelanggaran ringan biasanya mengakibatkan peringatan, dengan hukuman meningkat untuk pelanggaran yang berulang atau lebih serius.")</f>
        <v>Pelanggaran ringan biasanya mengakibatkan peringatan, dengan hukuman meningkat untuk pelanggaran yang berulang atau lebih serius.</v>
      </c>
    </row>
    <row r="35">
      <c r="A35" s="3">
        <v>34.0</v>
      </c>
      <c r="B35" s="4" t="s">
        <v>1958</v>
      </c>
      <c r="C35" s="4" t="s">
        <v>1959</v>
      </c>
      <c r="D35" s="4" t="s">
        <v>1960</v>
      </c>
      <c r="E35" s="4" t="s">
        <v>1961</v>
      </c>
      <c r="G35" s="5" t="str">
        <f>IFERROR(__xludf.DUMMYFUNCTION("GOOGLETRANSLATE(A35, ""en"", ""id"")"),"34")</f>
        <v>34</v>
      </c>
      <c r="H35" s="5" t="str">
        <f>IFERROR(__xludf.DUMMYFUNCTION("GOOGLETRANSLATE(B35, ""en"", ""id"")"),"Dalam sebuah pertandingan Pencak Silat, seorang atlet menunjukkan gerak kaki yang unggul dan menghindari semua serangan tanpa mendaratkan satu pukulan pun. Berapa skor yang tepat?")</f>
        <v>Dalam sebuah pertandingan Pencak Silat, seorang atlet menunjukkan gerak kaki yang unggul dan menghindari semua serangan tanpa mendaratkan satu pukulan pun. Berapa skor yang tepat?</v>
      </c>
      <c r="I35" s="5" t="str">
        <f>IFERROR(__xludf.DUMMYFUNCTION("GOOGLETRANSLATE(C35, ""en"", ""id"")"),"A) Poin penuh untuk penghindaran, B) Poin parsial untuk pertahanan yang efektif, C) Tidak ada poin untuk kurangnya pelanggaran, D) Pengurangan poin untuk kepasifan")</f>
        <v>A) Poin penuh untuk penghindaran, B) Poin parsial untuk pertahanan yang efektif, C) Tidak ada poin untuk kurangnya pelanggaran, D) Pengurangan poin untuk kepasifan</v>
      </c>
      <c r="J35" s="5" t="str">
        <f>IFERROR(__xludf.DUMMYFUNCTION("GOOGLETRANSLATE(D35, ""en"", ""id"")"),"B) Poin parsial untuk pertahanan yang efektif, C) Tidak ada poin karena kurangnya serangan")</f>
        <v>B) Poin parsial untuk pertahanan yang efektif, C) Tidak ada poin karena kurangnya serangan</v>
      </c>
      <c r="K35" s="5" t="str">
        <f>IFERROR(__xludf.DUMMYFUNCTION("GOOGLETRANSLATE(E35, ""en"", ""id"")"),"Sementara penghindaran mendapat poin parsial untuk keterampilan bertahan, penyerangan diperlukan untuk memperoleh skor yang lebih tinggi.")</f>
        <v>Sementara penghindaran mendapat poin parsial untuk keterampilan bertahan, penyerangan diperlukan untuk memperoleh skor yang lebih tinggi.</v>
      </c>
    </row>
    <row r="36">
      <c r="A36" s="3">
        <v>35.0</v>
      </c>
      <c r="B36" s="4" t="s">
        <v>1962</v>
      </c>
      <c r="C36" s="4" t="s">
        <v>1963</v>
      </c>
      <c r="D36" s="4" t="s">
        <v>1964</v>
      </c>
      <c r="E36" s="4" t="s">
        <v>1965</v>
      </c>
      <c r="G36" s="5" t="str">
        <f>IFERROR(__xludf.DUMMYFUNCTION("GOOGLETRANSLATE(A36, ""en"", ""id"")"),"35")</f>
        <v>35</v>
      </c>
      <c r="H36" s="5" t="str">
        <f>IFERROR(__xludf.DUMMYFUNCTION("GOOGLETRANSLATE(B36, ""en"", ""id"")"),"Dalam pertandingan Pencak Silat di Bangladesh, seorang atlet melakukan serangkaian pukulan yang sah tetapi mengabaikan sinyal wasit untuk berhenti. Apa yang seharusnya dilakukan wasit?")</f>
        <v>Dalam pertandingan Pencak Silat di Bangladesh, seorang atlet melakukan serangkaian pukulan yang sah tetapi mengabaikan sinyal wasit untuk berhenti. Apa yang seharusnya dilakukan wasit?</v>
      </c>
      <c r="I36" s="5" t="str">
        <f>IFERROR(__xludf.DUMMYFUNCTION("GOOGLETRANSLATE(C36, ""en"", ""id"")"),"A) Mengurangi poin karena ketidakpatuhan, B) Mendiskualifikasi atlet karena mengabaikan peraturan, C) Memberikan peringatan untuk pelanggaran pertama, D) Memberikan poin untuk serangan yang mendarat")</f>
        <v>A) Mengurangi poin karena ketidakpatuhan, B) Mendiskualifikasi atlet karena mengabaikan peraturan, C) Memberikan peringatan untuk pelanggaran pertama, D) Memberikan poin untuk serangan yang mendarat</v>
      </c>
      <c r="J36" s="5" t="str">
        <f>IFERROR(__xludf.DUMMYFUNCTION("GOOGLETRANSLATE(D36, ""en"", ""id"")"),"A) Mengurangi poin untuk pelanggaran, C) Memberikan peringatan untuk pelanggaran pertama")</f>
        <v>A) Mengurangi poin untuk pelanggaran, C) Memberikan peringatan untuk pelanggaran pertama</v>
      </c>
      <c r="K36" s="5" t="str">
        <f>IFERROR(__xludf.DUMMYFUNCTION("GOOGLETRANSLATE(E36, ""en"", ""id"")"),"Atlet harus menghormati sinyal wasit; mengabaikannya dapat menyebabkan peringatan atau pengurangan poin.")</f>
        <v>Atlet harus menghormati sinyal wasit; mengabaikannya dapat menyebabkan peringatan atau pengurangan poin.</v>
      </c>
    </row>
    <row r="37">
      <c r="A37" s="3">
        <v>36.0</v>
      </c>
      <c r="B37" s="4" t="s">
        <v>1966</v>
      </c>
      <c r="C37" s="4" t="s">
        <v>1967</v>
      </c>
      <c r="D37" s="4" t="s">
        <v>1968</v>
      </c>
      <c r="E37" s="4" t="s">
        <v>1969</v>
      </c>
      <c r="G37" s="5" t="str">
        <f>IFERROR(__xludf.DUMMYFUNCTION("GOOGLETRANSLATE(A37, ""en"", ""id"")"),"36")</f>
        <v>36</v>
      </c>
      <c r="H37" s="5" t="str">
        <f>IFERROR(__xludf.DUMMYFUNCTION("GOOGLETRANSLATE(B37, ""en"", ""id"")"),"Dalam pertandingan Pencak Silat di Bangladesh, petarung A berhasil mendaratkan tendangan berputar ke badan lawan, tetapi langsung keluar batas. Bagaimana kemungkinan keputusan wasit?")</f>
        <v>Dalam pertandingan Pencak Silat di Bangladesh, petarung A berhasil mendaratkan tendangan berputar ke badan lawan, tetapi langsung keluar batas. Bagaimana kemungkinan keputusan wasit?</v>
      </c>
      <c r="I37" s="5" t="str">
        <f>IFERROR(__xludf.DUMMYFUNCTION("GOOGLETRANSLATE(C37, ""en"", ""id"")"),"A) Memberikan poin penuh untuk tendangan berputar, B) Mengurangi poin untuk melangkah keluar batas, C) Memberikan poin parsial untuk tendangan, D) Mengeluarkan peringatan untuk meninggalkan area kompetisi")</f>
        <v>A) Memberikan poin penuh untuk tendangan berputar, B) Mengurangi poin untuk melangkah keluar batas, C) Memberikan poin parsial untuk tendangan, D) Mengeluarkan peringatan untuk meninggalkan area kompetisi</v>
      </c>
      <c r="J37" s="5" t="str">
        <f>IFERROR(__xludf.DUMMYFUNCTION("GOOGLETRANSLATE(D37, ""en"", ""id"")"),"C) Memberikan poin parsial untuk tendangan, D) Memberikan peringatan karena meninggalkan area kompetisi")</f>
        <v>C) Memberikan poin parsial untuk tendangan, D) Memberikan peringatan karena meninggalkan area kompetisi</v>
      </c>
      <c r="K37" s="5" t="str">
        <f>IFERROR(__xludf.DUMMYFUNCTION("GOOGLETRANSLATE(E37, ""en"", ""id"")"),"Tendangan berputar merupakan teknik yang bernilai tinggi, namun melangkah keluar batas akan mengurangi poin dan dapat mengakibatkan peringatan.")</f>
        <v>Tendangan berputar merupakan teknik yang bernilai tinggi, namun melangkah keluar batas akan mengurangi poin dan dapat mengakibatkan peringatan.</v>
      </c>
    </row>
    <row r="38">
      <c r="A38" s="3">
        <v>37.0</v>
      </c>
      <c r="B38" s="4" t="s">
        <v>1970</v>
      </c>
      <c r="C38" s="4" t="s">
        <v>1971</v>
      </c>
      <c r="D38" s="4" t="s">
        <v>1972</v>
      </c>
      <c r="E38" s="4" t="s">
        <v>1973</v>
      </c>
      <c r="G38" s="5" t="str">
        <f>IFERROR(__xludf.DUMMYFUNCTION("GOOGLETRANSLATE(A38, ""en"", ""id"")"),"37")</f>
        <v>37</v>
      </c>
      <c r="H38" s="5" t="str">
        <f>IFERROR(__xludf.DUMMYFUNCTION("GOOGLETRANSLATE(B38, ""en"", ""id"")"),"Dalam pertandingan Pencak Silat beregu di Dhaka, seorang petarung Bangladesh melakukan takedown, tetapi rekan satu timnya bersorak keras dari pinggir lapangan, sehingga mengganggu jalannya pertandingan. Bagaimana seharusnya wasit menanggapinya?")</f>
        <v>Dalam pertandingan Pencak Silat beregu di Dhaka, seorang petarung Bangladesh melakukan takedown, tetapi rekan satu timnya bersorak keras dari pinggir lapangan, sehingga mengganggu jalannya pertandingan. Bagaimana seharusnya wasit menanggapinya?</v>
      </c>
      <c r="I38" s="5" t="str">
        <f>IFERROR(__xludf.DUMMYFUNCTION("GOOGLETRANSLATE(C38, ""en"", ""id"")"),"A) Membiarkan pertandingan berlanjut, B) Memberikan peringatan kepada tim, C) Mengurangi poin dari skor petarung, D) Menghentikan pertandingan dan memastikan disiplin")</f>
        <v>A) Membiarkan pertandingan berlanjut, B) Memberikan peringatan kepada tim, C) Mengurangi poin dari skor petarung, D) Menghentikan pertandingan dan memastikan disiplin</v>
      </c>
      <c r="J38" s="5" t="str">
        <f>IFERROR(__xludf.DUMMYFUNCTION("GOOGLETRANSLATE(D38, ""en"", ""id"")"),"B) Memberikan peringatan kepada tim, D) Menghentikan pertandingan dan memastikan kedisiplinan")</f>
        <v>B) Memberikan peringatan kepada tim, D) Menghentikan pertandingan dan memastikan kedisiplinan</v>
      </c>
      <c r="K38" s="5" t="str">
        <f>IFERROR(__xludf.DUMMYFUNCTION("GOOGLETRANSLATE(E38, ""en"", ""id"")"),"Perilaku tidak sportif dari rekan satu tim dapat mengganggu kompetisi dan dapat mengakibatkan peringatan atau hukuman bagi tim.")</f>
        <v>Perilaku tidak sportif dari rekan satu tim dapat mengganggu kompetisi dan dapat mengakibatkan peringatan atau hukuman bagi tim.</v>
      </c>
    </row>
    <row r="39">
      <c r="A39" s="3">
        <v>38.0</v>
      </c>
      <c r="B39" s="4" t="s">
        <v>1974</v>
      </c>
      <c r="C39" s="4" t="s">
        <v>1975</v>
      </c>
      <c r="D39" s="4" t="s">
        <v>1976</v>
      </c>
      <c r="E39" s="4" t="s">
        <v>1977</v>
      </c>
      <c r="G39" s="5" t="str">
        <f>IFERROR(__xludf.DUMMYFUNCTION("GOOGLETRANSLATE(A39, ""en"", ""id"")"),"38")</f>
        <v>38</v>
      </c>
      <c r="H39" s="5" t="str">
        <f>IFERROR(__xludf.DUMMYFUNCTION("GOOGLETRANSLATE(B39, ""en"", ""id"")"),"Seorang petarung Pencak Silat Bangladesh menggunakan rangkaian jurus sebelum memulai pertandingan, tetapi menggabungkan gerakan-gerakan non-tradisional. Bagaimana ini akan dinilai?")</f>
        <v>Seorang petarung Pencak Silat Bangladesh menggunakan rangkaian jurus sebelum memulai pertandingan, tetapi menggabungkan gerakan-gerakan non-tradisional. Bagaimana ini akan dinilai?</v>
      </c>
      <c r="I39" s="5" t="str">
        <f>IFERROR(__xludf.DUMMYFUNCTION("GOOGLETRANSLATE(C39, ""en"", ""id"")"),"A) Memberikan poin untuk kreativitas, B) Mengurangi poin karena tidak mengikuti tradisi, C) Membiarkan urutan tersebut tanpa memberi skor, D) Memberikan peringatan karena tidak menghormati tradisi")</f>
        <v>A) Memberikan poin untuk kreativitas, B) Mengurangi poin karena tidak mengikuti tradisi, C) Membiarkan urutan tersebut tanpa memberi skor, D) Memberikan peringatan karena tidak menghormati tradisi</v>
      </c>
      <c r="J39" s="5" t="str">
        <f>IFERROR(__xludf.DUMMYFUNCTION("GOOGLETRANSLATE(D39, ""en"", ""id"")"),"B) Pengurangan poin karena tidak mengikuti tradisi")</f>
        <v>B) Pengurangan poin karena tidak mengikuti tradisi</v>
      </c>
      <c r="K39" s="5" t="str">
        <f>IFERROR(__xludf.DUMMYFUNCTION("GOOGLETRANSLATE(E39, ""en"", ""id"")"),"Urutan Jurus dievaluasi berdasarkan kepatuhan terhadap bentuk tradisional, dan penyimpangan dapat mengakibatkan penalti.")</f>
        <v>Urutan Jurus dievaluasi berdasarkan kepatuhan terhadap bentuk tradisional, dan penyimpangan dapat mengakibatkan penalti.</v>
      </c>
    </row>
    <row r="40">
      <c r="A40" s="3">
        <v>39.0</v>
      </c>
      <c r="B40" s="4" t="s">
        <v>1978</v>
      </c>
      <c r="C40" s="4" t="s">
        <v>1979</v>
      </c>
      <c r="D40" s="4" t="s">
        <v>1980</v>
      </c>
      <c r="E40" s="4" t="s">
        <v>1981</v>
      </c>
      <c r="G40" s="5" t="str">
        <f>IFERROR(__xludf.DUMMYFUNCTION("GOOGLETRANSLATE(A40, ""en"", ""id"")"),"39")</f>
        <v>39</v>
      </c>
      <c r="H40" s="5" t="str">
        <f>IFERROR(__xludf.DUMMYFUNCTION("GOOGLETRANSLATE(B40, ""en"", ""id"")"),"Dalam sebuah kompetisi Pencak Silat di Bangladesh, Petarung B mendaratkan beberapa serangan tetapi berulang kali mengabaikan peringatan wasit tentang penggunaan kekuatan yang berlebihan. Tindakan apa yang harus diambil wasit?")</f>
        <v>Dalam sebuah kompetisi Pencak Silat di Bangladesh, Petarung B mendaratkan beberapa serangan tetapi berulang kali mengabaikan peringatan wasit tentang penggunaan kekuatan yang berlebihan. Tindakan apa yang harus diambil wasit?</v>
      </c>
      <c r="I40" s="5" t="str">
        <f>IFERROR(__xludf.DUMMYFUNCTION("GOOGLETRANSLATE(C40, ""en"", ""id"")"),"A) Membiarkan pertandingan berlanjut, B) Mengurangi poin untuk pelanggaran berulang, C) Mendiskualifikasi Petarung B, D) Mengeluarkan peringatan lain tanpa penalti")</f>
        <v>A) Membiarkan pertandingan berlanjut, B) Mengurangi poin untuk pelanggaran berulang, C) Mendiskualifikasi Petarung B, D) Mengeluarkan peringatan lain tanpa penalti</v>
      </c>
      <c r="J40" s="5" t="str">
        <f>IFERROR(__xludf.DUMMYFUNCTION("GOOGLETRANSLATE(D40, ""en"", ""id"")"),"B) Mengurangi poin untuk pelanggaran berulang, C) Mendiskualifikasi Petarung B")</f>
        <v>B) Mengurangi poin untuk pelanggaran berulang, C) Mendiskualifikasi Petarung B</v>
      </c>
      <c r="K40" s="5" t="str">
        <f>IFERROR(__xludf.DUMMYFUNCTION("GOOGLETRANSLATE(E40, ""en"", ""id"")"),"Peringatan berulang-ulang atas penggunaan kekuatan berlebihan dapat mengakibatkan pengurangan poin atau diskualifikasi demi menjaga keselamatan.")</f>
        <v>Peringatan berulang-ulang atas penggunaan kekuatan berlebihan dapat mengakibatkan pengurangan poin atau diskualifikasi demi menjaga keselamatan.</v>
      </c>
    </row>
    <row r="41">
      <c r="A41" s="3">
        <v>40.0</v>
      </c>
      <c r="B41" s="4" t="s">
        <v>1982</v>
      </c>
      <c r="C41" s="4" t="s">
        <v>1983</v>
      </c>
      <c r="D41" s="4" t="s">
        <v>1984</v>
      </c>
      <c r="E41" s="4" t="s">
        <v>1985</v>
      </c>
      <c r="G41" s="5" t="str">
        <f>IFERROR(__xludf.DUMMYFUNCTION("GOOGLETRANSLATE(A41, ""en"", ""id"")"),"40")</f>
        <v>40</v>
      </c>
      <c r="H41" s="5" t="str">
        <f>IFERROR(__xludf.DUMMYFUNCTION("GOOGLETRANSLATE(B41, ""en"", ""id"")"),"Dalam sebuah demonstrasi Pencak Silat di Bangladesh, seorang atlet memasukkan gerakan-gerakan yang mencolok namun tidak efektif dalam rangkaian jurusnya. Bagaimana hal ini akan memengaruhi penilaian?")</f>
        <v>Dalam sebuah demonstrasi Pencak Silat di Bangladesh, seorang atlet memasukkan gerakan-gerakan yang mencolok namun tidak efektif dalam rangkaian jurusnya. Bagaimana hal ini akan memengaruhi penilaian?</v>
      </c>
      <c r="I41" s="5" t="str">
        <f>IFERROR(__xludf.DUMMYFUNCTION("GOOGLETRANSLATE(C41, ""en"", ""id"")"),"A) Memberikan poin untuk orisinalitas, B) Mengurangi poin untuk kurangnya kepraktisan, C) Tidak berdampak pada penilaian, D) Memberikan hukuman untuk gerakan yang menyimpang dari gerakan tradisional")</f>
        <v>A) Memberikan poin untuk orisinalitas, B) Mengurangi poin untuk kurangnya kepraktisan, C) Tidak berdampak pada penilaian, D) Memberikan hukuman untuk gerakan yang menyimpang dari gerakan tradisional</v>
      </c>
      <c r="J41" s="5" t="str">
        <f>IFERROR(__xludf.DUMMYFUNCTION("GOOGLETRANSLATE(D41, ""en"", ""id"")"),"B) Mengurangi poin karena kurang praktis, D) Memberikan hukuman karena menyimpang dari gerakan tradisional")</f>
        <v>B) Mengurangi poin karena kurang praktis, D) Memberikan hukuman karena menyimpang dari gerakan tradisional</v>
      </c>
      <c r="K41" s="5" t="str">
        <f>IFERROR(__xludf.DUMMYFUNCTION("GOOGLETRANSLATE(E41, ""en"", ""id"")"),"Urutan Jurus mengutamakan tradisi dan efektivitas daripada kemewahan, dan penyimpangan dapat mengurangi skor.")</f>
        <v>Urutan Jurus mengutamakan tradisi dan efektivitas daripada kemewahan, dan penyimpangan dapat mengurangi skor.</v>
      </c>
    </row>
    <row r="42">
      <c r="A42" s="3">
        <v>41.0</v>
      </c>
      <c r="B42" s="4" t="s">
        <v>1986</v>
      </c>
      <c r="C42" s="4" t="s">
        <v>1987</v>
      </c>
      <c r="D42" s="4" t="s">
        <v>1988</v>
      </c>
      <c r="E42" s="4" t="s">
        <v>1989</v>
      </c>
      <c r="G42" s="5" t="str">
        <f>IFERROR(__xludf.DUMMYFUNCTION("GOOGLETRANSLATE(A42, ""en"", ""id"")"),"41")</f>
        <v>41</v>
      </c>
      <c r="H42" s="5" t="str">
        <f>IFERROR(__xludf.DUMMYFUNCTION("GOOGLETRANSLATE(B42, ""en"", ""id"")"),"Dalam pertandingan Pencak Silat Bangladesh, petarung A mencoba melakukan takedown tetapi secara tidak sengaja menarik seragam lawan, menyebabkannya jatuh. Apa kemungkinan respons wasit?")</f>
        <v>Dalam pertandingan Pencak Silat Bangladesh, petarung A mencoba melakukan takedown tetapi secara tidak sengaja menarik seragam lawan, menyebabkannya jatuh. Apa kemungkinan respons wasit?</v>
      </c>
      <c r="I42" s="5" t="str">
        <f>IFERROR(__xludf.DUMMYFUNCTION("GOOGLETRANSLATE(C42, ""en"", ""id"")"),"A) Memberikan poin untuk tindakan takedown, B) Tidak ada poin karena seragam ditarik, C) Memberikan peringatan untuk teknik yang tidak tepat, D) Mengurangi poin untuk permainan curang")</f>
        <v>A) Memberikan poin untuk tindakan takedown, B) Tidak ada poin karena seragam ditarik, C) Memberikan peringatan untuk teknik yang tidak tepat, D) Mengurangi poin untuk permainan curang</v>
      </c>
      <c r="J42" s="5" t="str">
        <f>IFERROR(__xludf.DUMMYFUNCTION("GOOGLETRANSLATE(D42, ""en"", ""id"")"),"B) Tidak ada poin karena seragamnya ditarik, C) Berikan peringatan karena teknik yang tidak tepat")</f>
        <v>B) Tidak ada poin karena seragamnya ditarik, C) Berikan peringatan karena teknik yang tidak tepat</v>
      </c>
      <c r="K42" s="5" t="str">
        <f>IFERROR(__xludf.DUMMYFUNCTION("GOOGLETRANSLATE(E42, ""en"", ""id"")"),"Menggunakan seragam lawan saat melakukan takedown tidak diperbolehkan, karena tidak mendapatkan poin dan berpotensi mendapat peringatan.")</f>
        <v>Menggunakan seragam lawan saat melakukan takedown tidak diperbolehkan, karena tidak mendapatkan poin dan berpotensi mendapat peringatan.</v>
      </c>
    </row>
    <row r="43">
      <c r="A43" s="3">
        <v>42.0</v>
      </c>
      <c r="B43" s="4" t="s">
        <v>1990</v>
      </c>
      <c r="C43" s="4" t="s">
        <v>1991</v>
      </c>
      <c r="D43" s="4" t="s">
        <v>1992</v>
      </c>
      <c r="E43" s="4" t="s">
        <v>1993</v>
      </c>
      <c r="G43" s="5" t="str">
        <f>IFERROR(__xludf.DUMMYFUNCTION("GOOGLETRANSLATE(A43, ""en"", ""id"")"),"42")</f>
        <v>42</v>
      </c>
      <c r="H43" s="5" t="str">
        <f>IFERROR(__xludf.DUMMYFUNCTION("GOOGLETRANSLATE(B43, ""en"", ""id"")"),"Dalam sebuah kejuaraan Pencak Silat di Bangladesh, seorang petarung mencetak angka dengan tendangan terbang tetapi mendarat dengan buruk, sehingga melukai dirinya sendiri. Bagaimana seharusnya pertandingan tersebut berlangsung?")</f>
        <v>Dalam sebuah kejuaraan Pencak Silat di Bangladesh, seorang petarung mencetak angka dengan tendangan terbang tetapi mendarat dengan buruk, sehingga melukai dirinya sendiri. Bagaimana seharusnya pertandingan tersebut berlangsung?</v>
      </c>
      <c r="I43" s="5" t="str">
        <f>IFERROR(__xludf.DUMMYFUNCTION("GOOGLETRANSLATE(C43, ""en"", ""id"")"),"A) Berikan poin penuh untuk tendangan terbang, B) Hentikan pertandingan untuk mendapatkan perawatan medis, C) Kurangi poin untuk pendaratan yang buruk, D) Diskualifikasi petarung yang cedera")</f>
        <v>A) Berikan poin penuh untuk tendangan terbang, B) Hentikan pertandingan untuk mendapatkan perawatan medis, C) Kurangi poin untuk pendaratan yang buruk, D) Diskualifikasi petarung yang cedera</v>
      </c>
      <c r="J43" s="5" t="str">
        <f>IFERROR(__xludf.DUMMYFUNCTION("GOOGLETRANSLATE(D43, ""en"", ""id"")"),"A) Berikan poin penuh untuk tendangan terbang, B) Hentikan pertandingan untuk mendapatkan perawatan medis")</f>
        <v>A) Berikan poin penuh untuk tendangan terbang, B) Hentikan pertandingan untuk mendapatkan perawatan medis</v>
      </c>
      <c r="K43" s="5" t="str">
        <f>IFERROR(__xludf.DUMMYFUNCTION("GOOGLETRANSLATE(E43, ""en"", ""id"")"),"Tendangan terbang mendapatkan poin untuk pelaksanaannya, tetapi masalah keselamatan mengharuskan jeda untuk mendapatkan bantuan medis.")</f>
        <v>Tendangan terbang mendapatkan poin untuk pelaksanaannya, tetapi masalah keselamatan mengharuskan jeda untuk mendapatkan bantuan medis.</v>
      </c>
    </row>
    <row r="44">
      <c r="A44" s="3">
        <v>43.0</v>
      </c>
      <c r="B44" s="4" t="s">
        <v>1994</v>
      </c>
      <c r="C44" s="4" t="s">
        <v>1995</v>
      </c>
      <c r="D44" s="4" t="s">
        <v>1996</v>
      </c>
      <c r="E44" s="4" t="s">
        <v>1997</v>
      </c>
      <c r="G44" s="5" t="str">
        <f>IFERROR(__xludf.DUMMYFUNCTION("GOOGLETRANSLATE(A44, ""en"", ""id"")"),"43")</f>
        <v>43</v>
      </c>
      <c r="H44" s="5" t="str">
        <f>IFERROR(__xludf.DUMMYFUNCTION("GOOGLETRANSLATE(B44, ""en"", ""id"")"),"Seorang atlet Pencak Silat Bangladesh sengaja menunda dimulainya suatu ronde. Tindakan apa yang bisa diambil wasit?")</f>
        <v>Seorang atlet Pencak Silat Bangladesh sengaja menunda dimulainya suatu ronde. Tindakan apa yang bisa diambil wasit?</v>
      </c>
      <c r="I44" s="5" t="str">
        <f>IFERROR(__xludf.DUMMYFUNCTION("GOOGLETRANSLATE(C44, ""en"", ""id"")"),"A) Memberikan peringatan karena membuang-buang waktu, B) Mengurangi poin karena perilaku tidak sportif, C) Membiarkan pertandingan berlanjut tanpa penalti, D) Menghukum tim atlet")</f>
        <v>A) Memberikan peringatan karena membuang-buang waktu, B) Mengurangi poin karena perilaku tidak sportif, C) Membiarkan pertandingan berlanjut tanpa penalti, D) Menghukum tim atlet</v>
      </c>
      <c r="J44" s="5" t="str">
        <f>IFERROR(__xludf.DUMMYFUNCTION("GOOGLETRANSLATE(D44, ""en"", ""id"")"),"A) Memberikan peringatan karena membuang-buang waktu, B) Mengurangi poin karena perilaku tidak sportif")</f>
        <v>A) Memberikan peringatan karena membuang-buang waktu, B) Mengurangi poin karena perilaku tidak sportif</v>
      </c>
      <c r="K44" s="5" t="str">
        <f>IFERROR(__xludf.DUMMYFUNCTION("GOOGLETRANSLATE(E44, ""en"", ""id"")"),"Menunda pertandingan dianggap tidak sportif dan dapat menyebabkan peringatan atau pengurangan poin.")</f>
        <v>Menunda pertandingan dianggap tidak sportif dan dapat menyebabkan peringatan atau pengurangan poin.</v>
      </c>
    </row>
    <row r="45">
      <c r="A45" s="3">
        <v>44.0</v>
      </c>
      <c r="B45" s="4" t="s">
        <v>1998</v>
      </c>
      <c r="C45" s="4" t="s">
        <v>1999</v>
      </c>
      <c r="D45" s="4" t="s">
        <v>2000</v>
      </c>
      <c r="E45" s="4" t="s">
        <v>2001</v>
      </c>
      <c r="G45" s="5" t="str">
        <f>IFERROR(__xludf.DUMMYFUNCTION("GOOGLETRANSLATE(A45, ""en"", ""id"")"),"44")</f>
        <v>44</v>
      </c>
      <c r="H45" s="5" t="str">
        <f>IFERROR(__xludf.DUMMYFUNCTION("GOOGLETRANSLATE(B45, ""en"", ""id"")"),"Dalam sebuah turnamen Pencak Silat di Bangladesh, seorang atlet mengeksekusi beberapa teknik dengan sempurna tetapi menggunakan kuda-kuda yang tidak konvensional. Bagaimana hal ini akan memengaruhi skor mereka?")</f>
        <v>Dalam sebuah turnamen Pencak Silat di Bangladesh, seorang atlet mengeksekusi beberapa teknik dengan sempurna tetapi menggunakan kuda-kuda yang tidak konvensional. Bagaimana hal ini akan memengaruhi skor mereka?</v>
      </c>
      <c r="I45" s="5" t="str">
        <f>IFERROR(__xludf.DUMMYFUNCTION("GOOGLETRANSLATE(C45, ""en"", ""id"")"),"A) Memberikan poin penuh untuk eksekusi yang sempurna, B) Mengurangi poin karena tidak menggunakan kuda-kuda tradisional, C) Membolehkan teknik tanpa penalti, D) Memberikan penalti berat karena tidak menghormati tradisi")</f>
        <v>A) Memberikan poin penuh untuk eksekusi yang sempurna, B) Mengurangi poin karena tidak menggunakan kuda-kuda tradisional, C) Membolehkan teknik tanpa penalti, D) Memberikan penalti berat karena tidak menghormati tradisi</v>
      </c>
      <c r="J45" s="5" t="str">
        <f>IFERROR(__xludf.DUMMYFUNCTION("GOOGLETRANSLATE(D45, ""en"", ""id"")"),"B) Pengurangan poin karena tidak menggunakan posisi tradisional")</f>
        <v>B) Pengurangan poin karena tidak menggunakan posisi tradisional</v>
      </c>
      <c r="K45" s="5" t="str">
        <f>IFERROR(__xludf.DUMMYFUNCTION("GOOGLETRANSLATE(E45, ""en"", ""id"")"),"Sikap-sikap tradisional merupakan bagian penting dari Pencak Silat, dan penyimpangan dapat berakibat pengurangan poin.")</f>
        <v>Sikap-sikap tradisional merupakan bagian penting dari Pencak Silat, dan penyimpangan dapat berakibat pengurangan poin.</v>
      </c>
    </row>
    <row r="46">
      <c r="A46" s="3">
        <v>45.0</v>
      </c>
      <c r="B46" s="4" t="s">
        <v>2002</v>
      </c>
      <c r="C46" s="4" t="s">
        <v>2003</v>
      </c>
      <c r="D46" s="4" t="s">
        <v>2004</v>
      </c>
      <c r="E46" s="4" t="s">
        <v>2005</v>
      </c>
      <c r="G46" s="5" t="str">
        <f>IFERROR(__xludf.DUMMYFUNCTION("GOOGLETRANSLATE(A46, ""en"", ""id"")"),"45")</f>
        <v>45</v>
      </c>
      <c r="H46" s="5" t="str">
        <f>IFERROR(__xludf.DUMMYFUNCTION("GOOGLETRANSLATE(B46, ""en"", ""id"")"),"Dalam pertandingan Pencak Silat, petarung A dari Bangladesh mengejek lawannya setelah mendaratkan pukulan. Apa keputusan wasit?")</f>
        <v>Dalam pertandingan Pencak Silat, petarung A dari Bangladesh mengejek lawannya setelah mendaratkan pukulan. Apa keputusan wasit?</v>
      </c>
      <c r="I46" s="5" t="str">
        <f>IFERROR(__xludf.DUMMYFUNCTION("GOOGLETRANSLATE(C46, ""en"", ""id"")"),"A) Berikan peringatan untuk perilaku tidak sportif, B) Kurangi poin untuk mengejek, C) Biarkan pertandingan berlanjut tanpa penalti, D) Berikan poin ekstra untuk kepercayaan diri")</f>
        <v>A) Berikan peringatan untuk perilaku tidak sportif, B) Kurangi poin untuk mengejek, C) Biarkan pertandingan berlanjut tanpa penalti, D) Berikan poin ekstra untuk kepercayaan diri</v>
      </c>
      <c r="J46" s="5" t="str">
        <f>IFERROR(__xludf.DUMMYFUNCTION("GOOGLETRANSLATE(D46, ""en"", ""id"")"),"A) Berikan peringatan untuk perilaku tidak sportif, B) Kurangi poin untuk mengejek")</f>
        <v>A) Berikan peringatan untuk perilaku tidak sportif, B) Kurangi poin untuk mengejek</v>
      </c>
      <c r="K46" s="5" t="str">
        <f>IFERROR(__xludf.DUMMYFUNCTION("GOOGLETRANSLATE(E46, ""en"", ""id"")"),"Mengejek melanggar prinsip-prinsip penghormatan dalam Pencak Silat dan dapat mengakibatkan hukuman.")</f>
        <v>Mengejek melanggar prinsip-prinsip penghormatan dalam Pencak Silat dan dapat mengakibatkan hukuman.</v>
      </c>
    </row>
    <row r="47">
      <c r="A47" s="3">
        <v>46.0</v>
      </c>
      <c r="B47" s="4" t="s">
        <v>2006</v>
      </c>
      <c r="C47" s="4" t="s">
        <v>2007</v>
      </c>
      <c r="D47" s="4" t="s">
        <v>2008</v>
      </c>
      <c r="E47" s="4" t="s">
        <v>2009</v>
      </c>
      <c r="G47" s="5" t="str">
        <f>IFERROR(__xludf.DUMMYFUNCTION("GOOGLETRANSLATE(A47, ""en"", ""id"")"),"46")</f>
        <v>46</v>
      </c>
      <c r="H47" s="5" t="str">
        <f>IFERROR(__xludf.DUMMYFUNCTION("GOOGLETRANSLATE(B47, ""en"", ""id"")"),"Dalam pertandingan Pencak Silat, petarung A melakukan tendangan tinggi yang nyaris mengenai lawannya. Namun, petarung B kehilangan keseimbangan saat menghindari tendangan tersebut dan terjatuh. Bagaimana seharusnya wasit menilai hal ini?")</f>
        <v>Dalam pertandingan Pencak Silat, petarung A melakukan tendangan tinggi yang nyaris mengenai lawannya. Namun, petarung B kehilangan keseimbangan saat menghindari tendangan tersebut dan terjatuh. Bagaimana seharusnya wasit menilai hal ini?</v>
      </c>
      <c r="I47" s="5" t="str">
        <f>IFERROR(__xludf.DUMMYFUNCTION("GOOGLETRANSLATE(C47, ""en"", ""id"")"),"A) Berikan poin kepada Petarung A untuk tendangannya, B) Berikan poin kepada Petarung B untuk penghindaran, C) Tidak ada poin untuk kedua petarung, D) Berikan poin kepada Petarung A untuk memaksa jatuh")</f>
        <v>A) Berikan poin kepada Petarung A untuk tendangannya, B) Berikan poin kepada Petarung B untuk penghindaran, C) Tidak ada poin untuk kedua petarung, D) Berikan poin kepada Petarung A untuk memaksa jatuh</v>
      </c>
      <c r="J47" s="5" t="str">
        <f>IFERROR(__xludf.DUMMYFUNCTION("GOOGLETRANSLATE(D47, ""en"", ""id"")"),"C) Tidak ada poin untuk petarung mana pun, D) Berikan poin kepada petarung A karena memaksa jatuh")</f>
        <v>C) Tidak ada poin untuk petarung mana pun, D) Berikan poin kepada petarung A karena memaksa jatuh</v>
      </c>
      <c r="K47" s="5" t="str">
        <f>IFERROR(__xludf.DUMMYFUNCTION("GOOGLETRANSLATE(E47, ""en"", ""id"")"),"Petarung A tidak mendaratkan tendangan, tetapi mereka menyebabkan Petarung B jatuh, yang dapat dinilai sebagai gerakan strategis.")</f>
        <v>Petarung A tidak mendaratkan tendangan, tetapi mereka menyebabkan Petarung B jatuh, yang dapat dinilai sebagai gerakan strategis.</v>
      </c>
    </row>
    <row r="48">
      <c r="A48" s="3">
        <v>47.0</v>
      </c>
      <c r="B48" s="4" t="s">
        <v>2010</v>
      </c>
      <c r="C48" s="4" t="s">
        <v>2011</v>
      </c>
      <c r="D48" s="4" t="s">
        <v>2012</v>
      </c>
      <c r="E48" s="4" t="s">
        <v>2013</v>
      </c>
      <c r="G48" s="5" t="str">
        <f>IFERROR(__xludf.DUMMYFUNCTION("GOOGLETRANSLATE(A48, ""en"", ""id"")"),"47")</f>
        <v>47</v>
      </c>
      <c r="H48" s="5" t="str">
        <f>IFERROR(__xludf.DUMMYFUNCTION("GOOGLETRANSLATE(B48, ""en"", ""id"")"),"Dalam sebuah pertandingan Pencak Silat, petarung B melakukan serangan balik yang sempurna terhadap serangan petarung A, tetapi gerakannya sedikit lebih lambat. Bagaimana seharusnya juri menilai hal ini?")</f>
        <v>Dalam sebuah pertandingan Pencak Silat, petarung B melakukan serangan balik yang sempurna terhadap serangan petarung A, tetapi gerakannya sedikit lebih lambat. Bagaimana seharusnya juri menilai hal ini?</v>
      </c>
      <c r="I48" s="5" t="str">
        <f>IFERROR(__xludf.DUMMYFUNCTION("GOOGLETRANSLATE(C48, ""en"", ""id"")"),"A) Poin penuh untuk serangan balik, B) Poin parsial untuk pertahanan yang efektif, C) Tidak ada poin untuk kelambatan, D) Pengurangan poin karena kurangnya kecepatan")</f>
        <v>A) Poin penuh untuk serangan balik, B) Poin parsial untuk pertahanan yang efektif, C) Tidak ada poin untuk kelambatan, D) Pengurangan poin karena kurangnya kecepatan</v>
      </c>
      <c r="J48" s="5" t="str">
        <f>IFERROR(__xludf.DUMMYFUNCTION("GOOGLETRANSLATE(D48, ""en"", ""id"")"),"A) Poin penuh untuk serangan balik, B) Poin parsial untuk pertahanan yang efektif")</f>
        <v>A) Poin penuh untuk serangan balik, B) Poin parsial untuk pertahanan yang efektif</v>
      </c>
      <c r="K48" s="5" t="str">
        <f>IFERROR(__xludf.DUMMYFUNCTION("GOOGLETRANSLATE(E48, ""en"", ""id"")"),"Serangan balik memberikan poin penuh untuk efektivitas, tetapi respons yang lebih lambat dapat mengurangi skor keseluruhan.")</f>
        <v>Serangan balik memberikan poin penuh untuk efektivitas, tetapi respons yang lebih lambat dapat mengurangi skor keseluruhan.</v>
      </c>
    </row>
    <row r="49">
      <c r="A49" s="3">
        <v>48.0</v>
      </c>
      <c r="B49" s="4" t="s">
        <v>2014</v>
      </c>
      <c r="C49" s="4" t="s">
        <v>2015</v>
      </c>
      <c r="D49" s="4" t="s">
        <v>2016</v>
      </c>
      <c r="E49" s="4" t="s">
        <v>2017</v>
      </c>
      <c r="G49" s="5" t="str">
        <f>IFERROR(__xludf.DUMMYFUNCTION("GOOGLETRANSLATE(A49, ""en"", ""id"")"),"48")</f>
        <v>48</v>
      </c>
      <c r="H49" s="5" t="str">
        <f>IFERROR(__xludf.DUMMYFUNCTION("GOOGLETRANSLATE(B49, ""en"", ""id"")"),"Dalam pertandingan Pencak Silat, petarung A berhasil melakukan sapuan, tetapi langsung kehilangan keseimbangan setelahnya. Bagaimana wasit akan menilai gerakan tersebut?")</f>
        <v>Dalam pertandingan Pencak Silat, petarung A berhasil melakukan sapuan, tetapi langsung kehilangan keseimbangan setelahnya. Bagaimana wasit akan menilai gerakan tersebut?</v>
      </c>
      <c r="I49" s="5" t="str">
        <f>IFERROR(__xludf.DUMMYFUNCTION("GOOGLETRANSLATE(C49, ""en"", ""id"")"),"A) Poin penuh untuk sapuan, B) Poin parsial untuk sapuan, C) Poin dikurangi untuk kehilangan keseimbangan, D) Tidak ada poin untuk sapuan")</f>
        <v>A) Poin penuh untuk sapuan, B) Poin parsial untuk sapuan, C) Poin dikurangi untuk kehilangan keseimbangan, D) Tidak ada poin untuk sapuan</v>
      </c>
      <c r="J49" s="5" t="str">
        <f>IFERROR(__xludf.DUMMYFUNCTION("GOOGLETRANSLATE(D49, ""en"", ""id"")"),"B) Poin parsial untuk sapuan, C) Pengurangan poin untuk kehilangan keseimbangan")</f>
        <v>B) Poin parsial untuk sapuan, C) Pengurangan poin untuk kehilangan keseimbangan</v>
      </c>
      <c r="K49" s="5" t="str">
        <f>IFERROR(__xludf.DUMMYFUNCTION("GOOGLETRANSLATE(E49, ""en"", ""id"")"),"Sapuan yang berhasil akan menghasilkan poin, tetapi kehilangan keseimbangan akan langsung mengurangi skor karena eksekusi yang tidak tuntas.")</f>
        <v>Sapuan yang berhasil akan menghasilkan poin, tetapi kehilangan keseimbangan akan langsung mengurangi skor karena eksekusi yang tidak tuntas.</v>
      </c>
    </row>
    <row r="50">
      <c r="A50" s="3">
        <v>49.0</v>
      </c>
      <c r="B50" s="4" t="s">
        <v>2018</v>
      </c>
      <c r="C50" s="4" t="s">
        <v>2019</v>
      </c>
      <c r="D50" s="4" t="s">
        <v>2020</v>
      </c>
      <c r="E50" s="4" t="s">
        <v>2021</v>
      </c>
      <c r="G50" s="5" t="str">
        <f>IFERROR(__xludf.DUMMYFUNCTION("GOOGLETRANSLATE(A50, ""en"", ""id"")"),"49")</f>
        <v>49</v>
      </c>
      <c r="H50" s="5" t="str">
        <f>IFERROR(__xludf.DUMMYFUNCTION("GOOGLETRANSLATE(B50, ""en"", ""id"")"),"Petarung A di Bangladesh melancarkan kombinasi serangan, tetapi membiarkan diri mereka rentan terhadap serangan balik, yang berhasil dilancarkan oleh Petarung B. Bagaimana poin seharusnya diberikan?")</f>
        <v>Petarung A di Bangladesh melancarkan kombinasi serangan, tetapi membiarkan diri mereka rentan terhadap serangan balik, yang berhasil dilancarkan oleh Petarung B. Bagaimana poin seharusnya diberikan?</v>
      </c>
      <c r="I50" s="5" t="str">
        <f>IFERROR(__xludf.DUMMYFUNCTION("GOOGLETRANSLATE(C50, ""en"", ""id"")"),"A) Poin penuh untuk kombinasi Fighter A, B) Poin penuh untuk serangan balik Fighter B, C) Poin parsial untuk kedua fighter, D) Tidak ada poin untuk Fighter A karena kerentanan")</f>
        <v>A) Poin penuh untuk kombinasi Fighter A, B) Poin penuh untuk serangan balik Fighter B, C) Poin parsial untuk kedua fighter, D) Tidak ada poin untuk Fighter A karena kerentanan</v>
      </c>
      <c r="J50" s="5" t="str">
        <f>IFERROR(__xludf.DUMMYFUNCTION("GOOGLETRANSLATE(D50, ""en"", ""id"")"),"C) Poin parsial untuk kedua petarung, D) Tidak ada poin untuk petarung A karena kerentanan")</f>
        <v>C) Poin parsial untuk kedua petarung, D) Tidak ada poin untuk petarung A karena kerentanan</v>
      </c>
      <c r="K50" s="5" t="str">
        <f>IFERROR(__xludf.DUMMYFUNCTION("GOOGLETRANSLATE(E50, ""en"", ""id"")"),"Sementara Petarung A tampil baik, kerentanan mereka dan serangan balik yang berhasil dilakukan Petarung B menghasilkan poin yang sama.")</f>
        <v>Sementara Petarung A tampil baik, kerentanan mereka dan serangan balik yang berhasil dilakukan Petarung B menghasilkan poin yang sama.</v>
      </c>
    </row>
    <row r="51">
      <c r="A51" s="3">
        <v>50.0</v>
      </c>
      <c r="B51" s="4" t="s">
        <v>2022</v>
      </c>
      <c r="C51" s="4" t="s">
        <v>2023</v>
      </c>
      <c r="D51" s="4" t="s">
        <v>2024</v>
      </c>
      <c r="E51" s="4" t="s">
        <v>2025</v>
      </c>
      <c r="G51" s="5" t="str">
        <f>IFERROR(__xludf.DUMMYFUNCTION("GOOGLETRANSLATE(A51, ""en"", ""id"")"),"50")</f>
        <v>50</v>
      </c>
      <c r="H51" s="5" t="str">
        <f>IFERROR(__xludf.DUMMYFUNCTION("GOOGLETRANSLATE(B51, ""en"", ""id"")"),"Dalam pertandingan Pencak Silat di Dhaka, petarung A melancarkan serangan bersih, tetapi lawannya, petarung B, menangkisnya dengan gerakan minimal. Berapa skor yang seharusnya diberikan wasit?")</f>
        <v>Dalam pertandingan Pencak Silat di Dhaka, petarung A melancarkan serangan bersih, tetapi lawannya, petarung B, menangkisnya dengan gerakan minimal. Berapa skor yang seharusnya diberikan wasit?</v>
      </c>
      <c r="I51" s="5" t="str">
        <f>IFERROR(__xludf.DUMMYFUNCTION("GOOGLETRANSLATE(C51, ""en"", ""id"")"),"A) Poin penuh untuk serangan Fighter A, B) Poin parsial untuk blok Fighter B, C) Tidak ada poin untuk kedua fighter, D) Tidak ada poin untuk serangan Fighter A karena dampak yang tidak efektif")</f>
        <v>A) Poin penuh untuk serangan Fighter A, B) Poin parsial untuk blok Fighter B, C) Tidak ada poin untuk kedua fighter, D) Tidak ada poin untuk serangan Fighter A karena dampak yang tidak efektif</v>
      </c>
      <c r="J51" s="5" t="str">
        <f>IFERROR(__xludf.DUMMYFUNCTION("GOOGLETRANSLATE(D51, ""en"", ""id"")"),"D) Tidak ada poin untuk serangan Fighter A karena dampaknya tidak efektif")</f>
        <v>D) Tidak ada poin untuk serangan Fighter A karena dampaknya tidak efektif</v>
      </c>
      <c r="K51" s="5" t="str">
        <f>IFERROR(__xludf.DUMMYFUNCTION("GOOGLETRANSLATE(E51, ""en"", ""id"")"),"Jika blok efektif dan serangan berdampak minimal, Petarung A tidak menerima poin.")</f>
        <v>Jika blok efektif dan serangan berdampak minimal, Petarung A tidak menerima poin.</v>
      </c>
    </row>
    <row r="52">
      <c r="A52" s="3">
        <v>51.0</v>
      </c>
      <c r="B52" s="4" t="s">
        <v>2026</v>
      </c>
      <c r="C52" s="4" t="s">
        <v>2027</v>
      </c>
      <c r="D52" s="4" t="s">
        <v>2028</v>
      </c>
      <c r="E52" s="4" t="s">
        <v>2029</v>
      </c>
      <c r="G52" s="5" t="str">
        <f>IFERROR(__xludf.DUMMYFUNCTION("GOOGLETRANSLATE(A52, ""en"", ""id"")"),"51")</f>
        <v>51</v>
      </c>
      <c r="H52" s="5" t="str">
        <f>IFERROR(__xludf.DUMMYFUNCTION("GOOGLETRANSLATE(B52, ""en"", ""id"")"),"Dalam pertandingan Pencak Silat di Bangladesh, petarung A melakukan rangkaian jurus tetapi gagal menjaga keseimbangan dalam salah satu gerakannya. Bagaimana hal ini seharusnya dinilai?")</f>
        <v>Dalam pertandingan Pencak Silat di Bangladesh, petarung A melakukan rangkaian jurus tetapi gagal menjaga keseimbangan dalam salah satu gerakannya. Bagaimana hal ini seharusnya dinilai?</v>
      </c>
      <c r="I52" s="5" t="str">
        <f>IFERROR(__xludf.DUMMYFUNCTION("GOOGLETRANSLATE(C52, ""en"", ""id"")"),"A) Poin penuh untuk menyelesaikan urutan, B) Poin parsial untuk usaha, C) Poin dikurangi untuk ketidakseimbangan, D) Tidak ada poin untuk ketidakseimbangan")</f>
        <v>A) Poin penuh untuk menyelesaikan urutan, B) Poin parsial untuk usaha, C) Poin dikurangi untuk ketidakseimbangan, D) Tidak ada poin untuk ketidakseimbangan</v>
      </c>
      <c r="J52" s="5" t="str">
        <f>IFERROR(__xludf.DUMMYFUNCTION("GOOGLETRANSLATE(D52, ""en"", ""id"")"),"B) Poin parsial untuk usaha, C) Pengurangan poin untuk ketidakseimbangan")</f>
        <v>B) Poin parsial untuk usaha, C) Pengurangan poin untuk ketidakseimbangan</v>
      </c>
      <c r="K52" s="5" t="str">
        <f>IFERROR(__xludf.DUMMYFUNCTION("GOOGLETRANSLATE(E52, ""en"", ""id"")"),"Ketidakseimbangan selama rangkaian jurus menyebabkan pengurangan poin karena eksekusi yang tidak tepat.")</f>
        <v>Ketidakseimbangan selama rangkaian jurus menyebabkan pengurangan poin karena eksekusi yang tidak tepat.</v>
      </c>
    </row>
    <row r="53">
      <c r="A53" s="3">
        <v>52.0</v>
      </c>
      <c r="B53" s="4" t="s">
        <v>2030</v>
      </c>
      <c r="C53" s="4" t="s">
        <v>2031</v>
      </c>
      <c r="D53" s="4" t="s">
        <v>2032</v>
      </c>
      <c r="E53" s="4" t="s">
        <v>2033</v>
      </c>
      <c r="G53" s="5" t="str">
        <f>IFERROR(__xludf.DUMMYFUNCTION("GOOGLETRANSLATE(A53, ""en"", ""id"")"),"52")</f>
        <v>52</v>
      </c>
      <c r="H53" s="5" t="str">
        <f>IFERROR(__xludf.DUMMYFUNCTION("GOOGLETRANSLATE(B53, ""en"", ""id"")"),"Petarung B dalam pertandingan Pencak Silat berhasil menangkis tendangan tinggi tetapi tidak mampu membalas. Bagaimana kemungkinan juri menilai hal ini?")</f>
        <v>Petarung B dalam pertandingan Pencak Silat berhasil menangkis tendangan tinggi tetapi tidak mampu membalas. Bagaimana kemungkinan juri menilai hal ini?</v>
      </c>
      <c r="I53" s="5" t="str">
        <f>IFERROR(__xludf.DUMMYFUNCTION("GOOGLETRANSLATE(C53, ""en"", ""id"")"),"A) Poin penuh untuk blok, B) Poin parsial untuk blok, C) Tidak ada poin karena kurangnya pelanggaran, D) Poin dikurangi karena kurangnya agresi")</f>
        <v>A) Poin penuh untuk blok, B) Poin parsial untuk blok, C) Tidak ada poin karena kurangnya pelanggaran, D) Poin dikurangi karena kurangnya agresi</v>
      </c>
      <c r="J53" s="5" t="str">
        <f>IFERROR(__xludf.DUMMYFUNCTION("GOOGLETRANSLATE(D53, ""en"", ""id"")"),"B) Poin parsial untuk blok, C) Tidak ada poin karena kurangnya pelanggaran")</f>
        <v>B) Poin parsial untuk blok, C) Tidak ada poin karena kurangnya pelanggaran</v>
      </c>
      <c r="K53" s="5" t="str">
        <f>IFERROR(__xludf.DUMMYFUNCTION("GOOGLETRANSLATE(E53, ""en"", ""id"")"),"Pemblokiran dinilai sebagian, tetapi serangan balik diperlukan untuk mendapatkan poin penuh.")</f>
        <v>Pemblokiran dinilai sebagian, tetapi serangan balik diperlukan untuk mendapatkan poin penuh.</v>
      </c>
    </row>
    <row r="54">
      <c r="A54" s="3">
        <v>53.0</v>
      </c>
      <c r="B54" s="4" t="s">
        <v>2034</v>
      </c>
      <c r="C54" s="4" t="s">
        <v>2035</v>
      </c>
      <c r="D54" s="4" t="s">
        <v>2036</v>
      </c>
      <c r="E54" s="4" t="s">
        <v>2037</v>
      </c>
      <c r="G54" s="5" t="str">
        <f>IFERROR(__xludf.DUMMYFUNCTION("GOOGLETRANSLATE(A54, ""en"", ""id"")"),"53")</f>
        <v>53</v>
      </c>
      <c r="H54" s="5" t="str">
        <f>IFERROR(__xludf.DUMMYFUNCTION("GOOGLETRANSLATE(B54, ""en"", ""id"")"),"Petarung A melancarkan serangan sempurna ke kepala, tetapi Petarung B dengan cepat membalas dengan serangan balik ke badan. Berapa kemungkinan skor untuk kedua petarung?")</f>
        <v>Petarung A melancarkan serangan sempurna ke kepala, tetapi Petarung B dengan cepat membalas dengan serangan balik ke badan. Berapa kemungkinan skor untuk kedua petarung?</v>
      </c>
      <c r="I54" s="5" t="str">
        <f>IFERROR(__xludf.DUMMYFUNCTION("GOOGLETRANSLATE(C54, ""en"", ""id"")"),"A) Poin penuh untuk serangan kepala Fighter A, B) Poin penuh untuk serangan balik Fighter B, C) Poin parsial untuk keduanya, D) Tidak ada poin untuk salah satu fighter")</f>
        <v>A) Poin penuh untuk serangan kepala Fighter A, B) Poin penuh untuk serangan balik Fighter B, C) Poin parsial untuk keduanya, D) Tidak ada poin untuk salah satu fighter</v>
      </c>
      <c r="J54" s="5" t="str">
        <f>IFERROR(__xludf.DUMMYFUNCTION("GOOGLETRANSLATE(D54, ""en"", ""id"")"),"C) Poin parsial untuk keduanya")</f>
        <v>C) Poin parsial untuk keduanya</v>
      </c>
      <c r="K54" s="5" t="str">
        <f>IFERROR(__xludf.DUMMYFUNCTION("GOOGLETRANSLATE(E54, ""en"", ""id"")"),"Kedua serangan tersebut sah dan efektif, tetapi hanya bernilai sebagian jika dilakukan secara berurutan dengan cepat.")</f>
        <v>Kedua serangan tersebut sah dan efektif, tetapi hanya bernilai sebagian jika dilakukan secara berurutan dengan cepat.</v>
      </c>
    </row>
    <row r="55">
      <c r="A55" s="3">
        <v>54.0</v>
      </c>
      <c r="B55" s="4" t="s">
        <v>2038</v>
      </c>
      <c r="C55" s="4" t="s">
        <v>2039</v>
      </c>
      <c r="D55" s="4" t="s">
        <v>2040</v>
      </c>
      <c r="E55" s="4" t="s">
        <v>2041</v>
      </c>
      <c r="G55" s="5" t="str">
        <f>IFERROR(__xludf.DUMMYFUNCTION("GOOGLETRANSLATE(A55, ""en"", ""id"")"),"54")</f>
        <v>54</v>
      </c>
      <c r="H55" s="5" t="str">
        <f>IFERROR(__xludf.DUMMYFUNCTION("GOOGLETRANSLATE(B55, ""en"", ""id"")"),"Dalam pertandingan Pencak Silat, petarung A mencoba melakukan takedown tetapi secara tidak sengaja mendarat di atas petarung B, menyebabkan keduanya jatuh. Apa tindakan yang harus diambil wasit?")</f>
        <v>Dalam pertandingan Pencak Silat, petarung A mencoba melakukan takedown tetapi secara tidak sengaja mendarat di atas petarung B, menyebabkan keduanya jatuh. Apa tindakan yang harus diambil wasit?</v>
      </c>
      <c r="I55" s="5" t="str">
        <f>IFERROR(__xludf.DUMMYFUNCTION("GOOGLETRANSLATE(C55, ""en"", ""id"")"),"A) Berikan poin penuh untuk takedown, B) Tidak berikan poin karena saling jatuh, C) Kurangi poin karena teknik yang buruk, D) Berikan peringatan kepada kedua petarung")</f>
        <v>A) Berikan poin penuh untuk takedown, B) Tidak berikan poin karena saling jatuh, C) Kurangi poin karena teknik yang buruk, D) Berikan peringatan kepada kedua petarung</v>
      </c>
      <c r="J55" s="5" t="str">
        <f>IFERROR(__xludf.DUMMYFUNCTION("GOOGLETRANSLATE(D55, ""en"", ""id"")"),"B) Tidak memberikan poin karena saling jatuh, D) Memberikan peringatan kepada kedua petarung")</f>
        <v>B) Tidak memberikan poin karena saling jatuh, D) Memberikan peringatan kepada kedua petarung</v>
      </c>
      <c r="K55" s="5" t="str">
        <f>IFERROR(__xludf.DUMMYFUNCTION("GOOGLETRANSLATE(E55, ""en"", ""id"")"),"Takedown gagal karena jatuhnya lawan, dan kedua petarung bisa mendapat peringatan karena teknik yang tidak tepat.")</f>
        <v>Takedown gagal karena jatuhnya lawan, dan kedua petarung bisa mendapat peringatan karena teknik yang tidak tepat.</v>
      </c>
    </row>
    <row r="56">
      <c r="A56" s="3">
        <v>55.0</v>
      </c>
      <c r="B56" s="4" t="s">
        <v>2042</v>
      </c>
      <c r="C56" s="4" t="s">
        <v>2043</v>
      </c>
      <c r="D56" s="4" t="s">
        <v>2044</v>
      </c>
      <c r="E56" s="4" t="s">
        <v>2045</v>
      </c>
      <c r="G56" s="5" t="str">
        <f>IFERROR(__xludf.DUMMYFUNCTION("GOOGLETRANSLATE(A56, ""en"", ""id"")"),"55")</f>
        <v>55</v>
      </c>
      <c r="H56" s="5" t="str">
        <f>IFERROR(__xludf.DUMMYFUNCTION("GOOGLETRANSLATE(B56, ""en"", ""id"")"),"Dalam pertandingan Pencak Silat, Petarung A menyerang dengan pukulan berputar ke belakang, tetapi Petarung B dengan cepat menghindari serangan tersebut dan membalas dengan tendangan samping. Bagaimana penilaiannya?")</f>
        <v>Dalam pertandingan Pencak Silat, Petarung A menyerang dengan pukulan berputar ke belakang, tetapi Petarung B dengan cepat menghindari serangan tersebut dan membalas dengan tendangan samping. Bagaimana penilaiannya?</v>
      </c>
      <c r="I56" s="5" t="str">
        <f>IFERROR(__xludf.DUMMYFUNCTION("GOOGLETRANSLATE(C56, ""en"", ""id"")"),"A) Poin penuh untuk pukulan balik berputar Fighter A, B) Poin penuh untuk serangan balik Fighter B, C) Poin parsial untuk keduanya, D) Tidak ada poin untuk salah satu fighter")</f>
        <v>A) Poin penuh untuk pukulan balik berputar Fighter A, B) Poin penuh untuk serangan balik Fighter B, C) Poin parsial untuk keduanya, D) Tidak ada poin untuk salah satu fighter</v>
      </c>
      <c r="J56" s="5" t="str">
        <f>IFERROR(__xludf.DUMMYFUNCTION("GOOGLETRANSLATE(D56, ""en"", ""id"")"),"B) Poin penuh untuk serangan balik Fighter B, C) Poin parsial untuk keduanya")</f>
        <v>B) Poin penuh untuk serangan balik Fighter B, C) Poin parsial untuk keduanya</v>
      </c>
      <c r="K56" s="5" t="str">
        <f>IFERROR(__xludf.DUMMYFUNCTION("GOOGLETRANSLATE(E56, ""en"", ""id"")"),"Serangan balik yang berhasil mendapat poin penuh, sedangkan pukulan balik berputar dari Petarung A dianggap parsial karena meleset.")</f>
        <v>Serangan balik yang berhasil mendapat poin penuh, sedangkan pukulan balik berputar dari Petarung A dianggap parsial karena meleset.</v>
      </c>
    </row>
    <row r="57">
      <c r="A57" s="3">
        <v>56.0</v>
      </c>
      <c r="B57" s="4" t="s">
        <v>2046</v>
      </c>
      <c r="C57" s="4" t="s">
        <v>2047</v>
      </c>
      <c r="D57" s="4" t="s">
        <v>2048</v>
      </c>
      <c r="E57" s="4" t="s">
        <v>2049</v>
      </c>
      <c r="G57" s="5" t="str">
        <f>IFERROR(__xludf.DUMMYFUNCTION("GOOGLETRANSLATE(A57, ""en"", ""id"")"),"56")</f>
        <v>56</v>
      </c>
      <c r="H57" s="5" t="str">
        <f>IFERROR(__xludf.DUMMYFUNCTION("GOOGLETRANSLATE(B57, ""en"", ""id"")"),"Petarung A melancarkan tendangan berputar yang sempurna, tetapi Petarung B berhasil menghindarinya sambil mempertahankan posisinya. Bagaimana wasit akan menilai ini?")</f>
        <v>Petarung A melancarkan tendangan berputar yang sempurna, tetapi Petarung B berhasil menghindarinya sambil mempertahankan posisinya. Bagaimana wasit akan menilai ini?</v>
      </c>
      <c r="I57" s="5" t="str">
        <f>IFERROR(__xludf.DUMMYFUNCTION("GOOGLETRANSLATE(C57, ""en"", ""id"")"),"A) Poin penuh untuk tendangan Fighter A, B) Tidak ada poin untuk kedua fighter, C) Poin parsial untuk penghindaran, D) Poin dikurangi karena tidak menyerang balik")</f>
        <v>A) Poin penuh untuk tendangan Fighter A, B) Tidak ada poin untuk kedua fighter, C) Poin parsial untuk penghindaran, D) Poin dikurangi karena tidak menyerang balik</v>
      </c>
      <c r="J57" s="5" t="str">
        <f>IFERROR(__xludf.DUMMYFUNCTION("GOOGLETRANSLATE(D57, ""en"", ""id"")"),"B) Tidak ada poin untuk kedua petarung, C) Poin parsial untuk penghindaran")</f>
        <v>B) Tidak ada poin untuk kedua petarung, C) Poin parsial untuk penghindaran</v>
      </c>
      <c r="K57" s="5" t="str">
        <f>IFERROR(__xludf.DUMMYFUNCTION("GOOGLETRANSLATE(E57, ""en"", ""id"")"),"Petarung A tidak mendaratkan tendangan, dan Petarung B berhasil menghindarinya tetapi tidak melakukan serangan balik.")</f>
        <v>Petarung A tidak mendaratkan tendangan, dan Petarung B berhasil menghindarinya tetapi tidak melakukan serangan balik.</v>
      </c>
    </row>
    <row r="58">
      <c r="A58" s="3">
        <v>57.0</v>
      </c>
      <c r="B58" s="4" t="s">
        <v>2050</v>
      </c>
      <c r="C58" s="4" t="s">
        <v>2051</v>
      </c>
      <c r="D58" s="4" t="s">
        <v>2052</v>
      </c>
      <c r="E58" s="4" t="s">
        <v>2053</v>
      </c>
      <c r="G58" s="5" t="str">
        <f>IFERROR(__xludf.DUMMYFUNCTION("GOOGLETRANSLATE(A58, ""en"", ""id"")"),"57")</f>
        <v>57</v>
      </c>
      <c r="H58" s="5" t="str">
        <f>IFERROR(__xludf.DUMMYFUNCTION("GOOGLETRANSLATE(B58, ""en"", ""id"")"),"Dalam pertandingan Pencak Silat, Petarung B menyerang dengan pukulan tetapi tidak melanjutkan dengan gerakan tambahan. Bagaimana kemungkinan juri akan menilai hal ini?")</f>
        <v>Dalam pertandingan Pencak Silat, Petarung B menyerang dengan pukulan tetapi tidak melanjutkan dengan gerakan tambahan. Bagaimana kemungkinan juri akan menilai hal ini?</v>
      </c>
      <c r="I58" s="5" t="str">
        <f>IFERROR(__xludf.DUMMYFUNCTION("GOOGLETRANSLATE(C58, ""en"", ""id"")"),"A) Poin penuh untuk pukulan, B) Poin parsial untuk pukulan, C) Pengurangan poin karena kurangnya tindak lanjut, D) Tidak ada poin karena kurangnya tindak lanjut")</f>
        <v>A) Poin penuh untuk pukulan, B) Poin parsial untuk pukulan, C) Pengurangan poin karena kurangnya tindak lanjut, D) Tidak ada poin karena kurangnya tindak lanjut</v>
      </c>
      <c r="J58" s="5" t="str">
        <f>IFERROR(__xludf.DUMMYFUNCTION("GOOGLETRANSLATE(D58, ""en"", ""id"")"),"B) Poin parsial untuk pukulan, C) Pengurangan poin karena kurangnya tindak lanjut")</f>
        <v>B) Poin parsial untuk pukulan, C) Pengurangan poin karena kurangnya tindak lanjut</v>
      </c>
      <c r="K58" s="5" t="str">
        <f>IFERROR(__xludf.DUMMYFUNCTION("GOOGLETRANSLATE(E58, ""en"", ""id"")"),"Meski pukulannya mungkin mendarat, kurangnya tindak lanjut akan mengurangi efektivitas dan perolehan skor.")</f>
        <v>Meski pukulannya mungkin mendarat, kurangnya tindak lanjut akan mengurangi efektivitas dan perolehan skor.</v>
      </c>
    </row>
    <row r="59">
      <c r="A59" s="3">
        <v>58.0</v>
      </c>
      <c r="B59" s="4" t="s">
        <v>2054</v>
      </c>
      <c r="C59" s="4" t="s">
        <v>2055</v>
      </c>
      <c r="D59" s="4" t="s">
        <v>2056</v>
      </c>
      <c r="E59" s="4" t="s">
        <v>2057</v>
      </c>
      <c r="G59" s="5" t="str">
        <f>IFERROR(__xludf.DUMMYFUNCTION("GOOGLETRANSLATE(A59, ""en"", ""id"")"),"58")</f>
        <v>58</v>
      </c>
      <c r="H59" s="5" t="str">
        <f>IFERROR(__xludf.DUMMYFUNCTION("GOOGLETRANSLATE(B59, ""en"", ""id"")"),"Petarung A melancarkan sapuan kaki, tetapi mendarat dengan canggung dan gagal kembali ke posisi bertahan. Berapa skor yang seharusnya diberikan wasit?")</f>
        <v>Petarung A melancarkan sapuan kaki, tetapi mendarat dengan canggung dan gagal kembali ke posisi bertahan. Berapa skor yang seharusnya diberikan wasit?</v>
      </c>
      <c r="I59" s="5" t="str">
        <f>IFERROR(__xludf.DUMMYFUNCTION("GOOGLETRANSLATE(C59, ""en"", ""id"")"),"A) Poin penuh untuk sapuan, B) Poin parsial untuk sapuan, C) Pengurangan poin untuk pemulihan yang buruk, D) Tidak ada poin untuk sapuan")</f>
        <v>A) Poin penuh untuk sapuan, B) Poin parsial untuk sapuan, C) Pengurangan poin untuk pemulihan yang buruk, D) Tidak ada poin untuk sapuan</v>
      </c>
      <c r="J59" s="5" t="str">
        <f>IFERROR(__xludf.DUMMYFUNCTION("GOOGLETRANSLATE(D59, ""en"", ""id"")"),"B) Poin parsial untuk sapuan, C) Pengurangan poin untuk pemulihan yang buruk")</f>
        <v>B) Poin parsial untuk sapuan, C) Pengurangan poin untuk pemulihan yang buruk</v>
      </c>
      <c r="K59" s="5" t="str">
        <f>IFERROR(__xludf.DUMMYFUNCTION("GOOGLETRANSLATE(E59, ""en"", ""id"")"),"Meskipun penyapuannya efektif, pemulihan yang tidak tepat akan mengurangi poin yang diberikan.")</f>
        <v>Meskipun penyapuannya efektif, pemulihan yang tidak tepat akan mengurangi poin yang diberikan.</v>
      </c>
    </row>
    <row r="60">
      <c r="A60" s="3">
        <v>59.0</v>
      </c>
      <c r="B60" s="4" t="s">
        <v>2058</v>
      </c>
      <c r="C60" s="4" t="s">
        <v>2059</v>
      </c>
      <c r="D60" s="4" t="s">
        <v>2060</v>
      </c>
      <c r="E60" s="4" t="s">
        <v>2061</v>
      </c>
      <c r="G60" s="5" t="str">
        <f>IFERROR(__xludf.DUMMYFUNCTION("GOOGLETRANSLATE(A60, ""en"", ""id"")"),"59")</f>
        <v>59</v>
      </c>
      <c r="H60" s="5" t="str">
        <f>IFERROR(__xludf.DUMMYFUNCTION("GOOGLETRANSLATE(B60, ""en"", ""id"")"),"Dalam sebuah pertandingan Pencak Silat, petarung A melakukan tangkisan tetapi langsung kehilangan keseimbangan dan terdorong keluar batas. Bagaimana penilaiannya?")</f>
        <v>Dalam sebuah pertandingan Pencak Silat, petarung A melakukan tangkisan tetapi langsung kehilangan keseimbangan dan terdorong keluar batas. Bagaimana penilaiannya?</v>
      </c>
      <c r="I60" s="5" t="str">
        <f>IFERROR(__xludf.DUMMYFUNCTION("GOOGLETRANSLATE(C60, ""en"", ""id"")"),"A) Poin penuh untuk blok, B) Poin parsial untuk blok, C) Tidak ada poin untuk kehilangan keseimbangan, D) Poin dikurangi untuk melangkah keluar batas")</f>
        <v>A) Poin penuh untuk blok, B) Poin parsial untuk blok, C) Tidak ada poin untuk kehilangan keseimbangan, D) Poin dikurangi untuk melangkah keluar batas</v>
      </c>
      <c r="J60" s="5" t="str">
        <f>IFERROR(__xludf.DUMMYFUNCTION("GOOGLETRANSLATE(D60, ""en"", ""id"")"),"B) Poin parsial untuk blok, D) Pengurangan poin karena melangkah keluar batas")</f>
        <v>B) Poin parsial untuk blok, D) Pengurangan poin karena melangkah keluar batas</v>
      </c>
      <c r="K60" s="5" t="str">
        <f>IFERROR(__xludf.DUMMYFUNCTION("GOOGLETRANSLATE(E60, ""en"", ""id"")"),"Blok tersebut sah, tetapi kehilangan keseimbangan dan melangkah keluar batas akan mengakibatkan penalti.")</f>
        <v>Blok tersebut sah, tetapi kehilangan keseimbangan dan melangkah keluar batas akan mengakibatkan penalti.</v>
      </c>
    </row>
    <row r="61">
      <c r="A61" s="3">
        <v>60.0</v>
      </c>
      <c r="B61" s="4" t="s">
        <v>2062</v>
      </c>
      <c r="C61" s="4" t="s">
        <v>2063</v>
      </c>
      <c r="D61" s="4" t="s">
        <v>2064</v>
      </c>
      <c r="E61" s="4" t="s">
        <v>2065</v>
      </c>
      <c r="G61" s="5" t="str">
        <f>IFERROR(__xludf.DUMMYFUNCTION("GOOGLETRANSLATE(A61, ""en"", ""id"")"),"60")</f>
        <v>60</v>
      </c>
      <c r="H61" s="5" t="str">
        <f>IFERROR(__xludf.DUMMYFUNCTION("GOOGLETRANSLATE(B61, ""en"", ""id"")"),"Dalam pertandingan Pencak Silat di Bangladesh, petarung A mendaratkan pukulan ke badan petarung B dan langsung membalasnya dengan sapuan kaki, yang berhasil menjatuhkan petarung B ke tanah. Bagaimana seharusnya penilaiannya?")</f>
        <v>Dalam pertandingan Pencak Silat di Bangladesh, petarung A mendaratkan pukulan ke badan petarung B dan langsung membalasnya dengan sapuan kaki, yang berhasil menjatuhkan petarung B ke tanah. Bagaimana seharusnya penilaiannya?</v>
      </c>
      <c r="I61" s="5" t="str">
        <f>IFERROR(__xludf.DUMMYFUNCTION("GOOGLETRANSLATE(C61, ""en"", ""id"")"),"A) Poin penuh untuk kedua teknik, B) Poin parsial untuk pukulan, Poin penuh untuk sapuan, C) Tidak ada poin untuk pukulan, D) Poin penuh untuk pukulan, tidak ada poin untuk sapuan")</f>
        <v>A) Poin penuh untuk kedua teknik, B) Poin parsial untuk pukulan, Poin penuh untuk sapuan, C) Tidak ada poin untuk pukulan, D) Poin penuh untuk pukulan, tidak ada poin untuk sapuan</v>
      </c>
      <c r="J61" s="5" t="str">
        <f>IFERROR(__xludf.DUMMYFUNCTION("GOOGLETRANSLATE(D61, ""en"", ""id"")"),"A) Poin penuh untuk kedua teknik")</f>
        <v>A) Poin penuh untuk kedua teknik</v>
      </c>
      <c r="K61" s="5" t="str">
        <f>IFERROR(__xludf.DUMMYFUNCTION("GOOGLETRANSLATE(E61, ""en"", ""id"")"),"Kedua teknik tersebut dieksekusi dengan baik dan berurutan dengan cepat, sehingga keduanya mendapat poin penuh.")</f>
        <v>Kedua teknik tersebut dieksekusi dengan baik dan berurutan dengan cepat, sehingga keduanya mendapat poin penuh.</v>
      </c>
    </row>
    <row r="62">
      <c r="A62" s="3">
        <v>61.0</v>
      </c>
      <c r="B62" s="4" t="s">
        <v>2066</v>
      </c>
      <c r="C62" s="7" t="s">
        <v>2067</v>
      </c>
      <c r="D62" s="4" t="s">
        <v>2068</v>
      </c>
      <c r="E62" s="4" t="s">
        <v>2069</v>
      </c>
      <c r="G62" s="5" t="str">
        <f>IFERROR(__xludf.DUMMYFUNCTION("GOOGLETRANSLATE(A62, ""en"", ""id"")"),"61")</f>
        <v>61</v>
      </c>
      <c r="H62" s="5" t="str">
        <f>IFERROR(__xludf.DUMMYFUNCTION("GOOGLETRANSLATE(B62, ""en"", ""id"")"),"Dalam pertandingan Pencak Silat internasional, petarung A melakukan tendangan berputar yang mendarat dengan sempurna, tetapi ia langsung kehilangan keseimbangan dan jatuh ke matras. Bagaimana seharusnya wasit menilai hal ini?")</f>
        <v>Dalam pertandingan Pencak Silat internasional, petarung A melakukan tendangan berputar yang mendarat dengan sempurna, tetapi ia langsung kehilangan keseimbangan dan jatuh ke matras. Bagaimana seharusnya wasit menilai hal ini?</v>
      </c>
      <c r="I62" s="5" t="str">
        <f>IFERROR(__xludf.DUMMYFUNCTION("GOOGLETRANSLATE(C62, ""en"", ""id"")"),"A) Poin penuh untuk tendangan berputar B) Poin parsial karena kehilangan keseimbangan C) Tidak ada poin yang diberikan D) Pengurangan karena jatuh")</f>
        <v>A) Poin penuh untuk tendangan berputar B) Poin parsial karena kehilangan keseimbangan C) Tidak ada poin yang diberikan D) Pengurangan karena jatuh</v>
      </c>
      <c r="J62" s="5" t="str">
        <f>IFERROR(__xludf.DUMMYFUNCTION("GOOGLETRANSLATE(D62, ""en"", ""id"")"),"B) Poin parsial karena kehilangan keseimbangan")</f>
        <v>B) Poin parsial karena kehilangan keseimbangan</v>
      </c>
      <c r="K62" s="5" t="str">
        <f>IFERROR(__xludf.DUMMYFUNCTION("GOOGLETRANSLATE(E62, ""en"", ""id"")"),"Pukulan itu sah, tetapi jika jatuh setelahnya akan mengurangi skor karena keseimbangan sangat penting untuk mendapatkan kredit penuh.")</f>
        <v>Pukulan itu sah, tetapi jika jatuh setelahnya akan mengurangi skor karena keseimbangan sangat penting untuk mendapatkan kredit penuh.</v>
      </c>
    </row>
    <row r="63">
      <c r="A63" s="3">
        <v>62.0</v>
      </c>
      <c r="B63" s="4" t="s">
        <v>2070</v>
      </c>
      <c r="C63" s="7" t="s">
        <v>2071</v>
      </c>
      <c r="D63" s="7" t="s">
        <v>2072</v>
      </c>
      <c r="E63" s="4" t="s">
        <v>2073</v>
      </c>
      <c r="G63" s="5" t="str">
        <f>IFERROR(__xludf.DUMMYFUNCTION("GOOGLETRANSLATE(A63, ""en"", ""id"")"),"62")</f>
        <v>62</v>
      </c>
      <c r="H63" s="5" t="str">
        <f>IFERROR(__xludf.DUMMYFUNCTION("GOOGLETRANSLATE(B63, ""en"", ""id"")"),"Dalam semifinal Pencak Silat di Dhaka, petarung B berhasil menyapu lawan dengan efektif, tetapi alih-alih kembali ke posisi berdiri, ia mengangkat tangannya untuk merayakan kemenangan. Bagaimana kemungkinan keputusan wasit?")</f>
        <v>Dalam semifinal Pencak Silat di Dhaka, petarung B berhasil menyapu lawan dengan efektif, tetapi alih-alih kembali ke posisi berdiri, ia mengangkat tangannya untuk merayakan kemenangan. Bagaimana kemungkinan keputusan wasit?</v>
      </c>
      <c r="I63" s="5" t="str">
        <f>IFERROR(__xludf.DUMMYFUNCTION("GOOGLETRANSLATE(C63, ""en"", ""id"")"),"A) Poin penuh untuk sapu bersih B) Poin parsial karena eksekusi tidak lengkap C) Tidak ada poin untuk sapu bersih D) Pengurangan poin karena perayaan prematur")</f>
        <v>A) Poin penuh untuk sapu bersih B) Poin parsial karena eksekusi tidak lengkap C) Tidak ada poin untuk sapu bersih D) Pengurangan poin karena perayaan prematur</v>
      </c>
      <c r="J63" s="5" t="str">
        <f>IFERROR(__xludf.DUMMYFUNCTION("GOOGLETRANSLATE(D63, ""en"", ""id"")"),"B) Poin parsial karena eksekusi yang tidak lengkap D) Pengurangan karena perayaan prematur")</f>
        <v>B) Poin parsial karena eksekusi yang tidak lengkap D) Pengurangan karena perayaan prematur</v>
      </c>
      <c r="K63" s="5" t="str">
        <f>IFERROR(__xludf.DUMMYFUNCTION("GOOGLETRANSLATE(E63, ""en"", ""id"")"),"Sapuan itu sah, tetapi poinnya dikurangi karena ia gagal kembali ke posisi semula dan malah merayakan gol.")</f>
        <v>Sapuan itu sah, tetapi poinnya dikurangi karena ia gagal kembali ke posisi semula dan malah merayakan gol.</v>
      </c>
    </row>
    <row r="64">
      <c r="A64" s="3">
        <v>63.0</v>
      </c>
      <c r="B64" s="4" t="s">
        <v>2074</v>
      </c>
      <c r="C64" s="7" t="s">
        <v>2075</v>
      </c>
      <c r="D64" s="7" t="s">
        <v>2076</v>
      </c>
      <c r="E64" s="4" t="s">
        <v>2077</v>
      </c>
      <c r="G64" s="5" t="str">
        <f>IFERROR(__xludf.DUMMYFUNCTION("GOOGLETRANSLATE(A64, ""en"", ""id"")"),"63")</f>
        <v>63</v>
      </c>
      <c r="H64" s="5" t="str">
        <f>IFERROR(__xludf.DUMMYFUNCTION("GOOGLETRANSLATE(B64, ""en"", ""id"")"),"Dalam perempat final Pencak Silat, petarung A melancarkan pukulan telak ke badan sambil melangkah keluar batas arena. Apa keputusannya?")</f>
        <v>Dalam perempat final Pencak Silat, petarung A melancarkan pukulan telak ke badan sambil melangkah keluar batas arena. Apa keputusannya?</v>
      </c>
      <c r="I64" s="5" t="str">
        <f>IFERROR(__xludf.DUMMYFUNCTION("GOOGLETRANSLATE(C64, ""en"", ""id"")"),"A) Poin diberikan untuk pukulan B) Tidak ada poin karena dia keluar C) Pengurangan karena meninggalkan arena D) Hanya peringatan")</f>
        <v>A) Poin diberikan untuk pukulan B) Tidak ada poin karena dia keluar C) Pengurangan karena meninggalkan arena D) Hanya peringatan</v>
      </c>
      <c r="J64" s="5" t="str">
        <f>IFERROR(__xludf.DUMMYFUNCTION("GOOGLETRANSLATE(D64, ""en"", ""id"")"),"B) Tidak ada poin karena dia keluar C) Pengurangan karena meninggalkan arena")</f>
        <v>B) Tidak ada poin karena dia keluar C) Pengurangan karena meninggalkan arena</v>
      </c>
      <c r="K64" s="5" t="str">
        <f>IFERROR(__xludf.DUMMYFUNCTION("GOOGLETRANSLATE(E64, ""en"", ""id"")"),"Pukulan di luar area sah tidak dihitung dan meninggalkan batas area akan dikenakan penalti.")</f>
        <v>Pukulan di luar area sah tidak dihitung dan meninggalkan batas area akan dikenakan penalti.</v>
      </c>
    </row>
    <row r="65">
      <c r="A65" s="3">
        <v>64.0</v>
      </c>
      <c r="B65" s="4" t="s">
        <v>2078</v>
      </c>
      <c r="C65" s="7" t="s">
        <v>2079</v>
      </c>
      <c r="D65" s="4" t="s">
        <v>2080</v>
      </c>
      <c r="E65" s="4" t="s">
        <v>2081</v>
      </c>
      <c r="G65" s="5" t="str">
        <f>IFERROR(__xludf.DUMMYFUNCTION("GOOGLETRANSLATE(A65, ""en"", ""id"")"),"64")</f>
        <v>64</v>
      </c>
      <c r="H65" s="5" t="str">
        <f>IFERROR(__xludf.DUMMYFUNCTION("GOOGLETRANSLATE(B65, ""en"", ""id"")"),"Dalam pertandingan Pencak Silat, Petarung B menangkis tendangan tinggi dan langsung membalas dengan takedown yang sukses dan membuat lawan terjepit. Bagaimana seharusnya wasit menilai hal ini?")</f>
        <v>Dalam pertandingan Pencak Silat, Petarung B menangkis tendangan tinggi dan langsung membalas dengan takedown yang sukses dan membuat lawan terjepit. Bagaimana seharusnya wasit menilai hal ini?</v>
      </c>
      <c r="I65" s="5" t="str">
        <f>IFERROR(__xludf.DUMMYFUNCTION("GOOGLETRANSLATE(C65, ""en"", ""id"")"),"A) Poin hanya untuk blok B) Poin hanya untuk takedown C) Poin penuh untuk pertahanan dan takedown D) Tidak ada poin karena menggabungkan dua tindakan")</f>
        <v>A) Poin hanya untuk blok B) Poin hanya untuk takedown C) Poin penuh untuk pertahanan dan takedown D) Tidak ada poin karena menggabungkan dua tindakan</v>
      </c>
      <c r="J65" s="5" t="str">
        <f>IFERROR(__xludf.DUMMYFUNCTION("GOOGLETRANSLATE(D65, ""en"", ""id"")"),"C) Poin penuh untuk pertahanan dan takedown")</f>
        <v>C) Poin penuh untuk pertahanan dan takedown</v>
      </c>
      <c r="K65" s="5" t="str">
        <f>IFERROR(__xludf.DUMMYFUNCTION("GOOGLETRANSLATE(E65, ""en"", ""id"")"),"Blok yang berhasil diikuti dengan takedown yang terkendali menunjukkan keterampilan unggul dan menghasilkan poin penuh.")</f>
        <v>Blok yang berhasil diikuti dengan takedown yang terkendali menunjukkan keterampilan unggul dan menghasilkan poin penuh.</v>
      </c>
    </row>
    <row r="66">
      <c r="A66" s="3">
        <v>65.0</v>
      </c>
      <c r="B66" s="4" t="s">
        <v>2082</v>
      </c>
      <c r="C66" s="7" t="s">
        <v>2083</v>
      </c>
      <c r="D66" s="4" t="s">
        <v>2084</v>
      </c>
      <c r="E66" s="4" t="s">
        <v>2085</v>
      </c>
      <c r="G66" s="5" t="str">
        <f>IFERROR(__xludf.DUMMYFUNCTION("GOOGLETRANSLATE(A66, ""en"", ""id"")"),"65")</f>
        <v>65</v>
      </c>
      <c r="H66" s="5" t="str">
        <f>IFERROR(__xludf.DUMMYFUNCTION("GOOGLETRANSLATE(B66, ""en"", ""id"")"),"Dalam final Pencak Silat tingkat nasional, petarung A mendaratkan tendangan ke badan, tetapi kemudian disusul dengan teriakan agresif yang ditujukan kepada lawannya. Apa yang terjadi?")</f>
        <v>Dalam final Pencak Silat tingkat nasional, petarung A mendaratkan tendangan ke badan, tetapi kemudian disusul dengan teriakan agresif yang ditujukan kepada lawannya. Apa yang terjadi?</v>
      </c>
      <c r="I66" s="5" t="str">
        <f>IFERROR(__xludf.DUMMYFUNCTION("GOOGLETRANSLATE(C66, ""en"", ""id"")"),"A) Poin tetap ada tetapi pengurangan untuk pelanggaran B) Poin dibatalkan C) Diskualifikasi D) Tidak ada penalti karena emosi adalah hal yang wajar")</f>
        <v>A) Poin tetap ada tetapi pengurangan untuk pelanggaran B) Poin dibatalkan C) Diskualifikasi D) Tidak ada penalti karena emosi adalah hal yang wajar</v>
      </c>
      <c r="J66" s="5" t="str">
        <f>IFERROR(__xludf.DUMMYFUNCTION("GOOGLETRANSLATE(D66, ""en"", ""id"")"),"A) Poin tetap ada, tetapi pengurangan untuk pelanggaran")</f>
        <v>A) Poin tetap ada, tetapi pengurangan untuk pelanggaran</v>
      </c>
      <c r="K66" s="5" t="str">
        <f>IFERROR(__xludf.DUMMYFUNCTION("GOOGLETRANSLATE(E66, ""en"", ""id"")"),"Pemogokan sah, tetapi perilaku tidak sopan akan dikenakan sanksi untuk menjaga kedisiplinan.")</f>
        <v>Pemogokan sah, tetapi perilaku tidak sopan akan dikenakan sanksi untuk menjaga kedisiplinan.</v>
      </c>
    </row>
    <row r="67">
      <c r="A67" s="3">
        <v>66.0</v>
      </c>
      <c r="B67" s="4" t="s">
        <v>2086</v>
      </c>
      <c r="C67" s="7" t="s">
        <v>2087</v>
      </c>
      <c r="D67" s="7" t="s">
        <v>2088</v>
      </c>
      <c r="E67" s="4" t="s">
        <v>2089</v>
      </c>
      <c r="G67" s="5" t="str">
        <f>IFERROR(__xludf.DUMMYFUNCTION("GOOGLETRANSLATE(A67, ""en"", ""id"")"),"66")</f>
        <v>66</v>
      </c>
      <c r="H67" s="5" t="str">
        <f>IFERROR(__xludf.DUMMYFUNCTION("GOOGLETRANSLATE(B67, ""en"", ""id"")"),"Dalam sebuah kompetisi Pencak Silat di Indonesia, Petarung B berhenti di tengah ronde untuk melakukan gerakan jurus yang tidak mengenai lawan. Bagaimana penilaiannya?")</f>
        <v>Dalam sebuah kompetisi Pencak Silat di Indonesia, Petarung B berhenti di tengah ronde untuk melakukan gerakan jurus yang tidak mengenai lawan. Bagaimana penilaiannya?</v>
      </c>
      <c r="I67" s="5" t="str">
        <f>IFERROR(__xludf.DUMMYFUNCTION("GOOGLETRANSLATE(C67, ""en"", ""id"")"),"A) Poin diberikan untuk ekspresi budaya B) Tidak ada poin karena bukan pertempuran C) Pengurangan karena membuang-buang waktu D) Bonus untuk kreativitas")</f>
        <v>A) Poin diberikan untuk ekspresi budaya B) Tidak ada poin karena bukan pertempuran C) Pengurangan karena membuang-buang waktu D) Bonus untuk kreativitas</v>
      </c>
      <c r="J67" s="5" t="str">
        <f>IFERROR(__xludf.DUMMYFUNCTION("GOOGLETRANSLATE(D67, ""en"", ""id"")"),"B) Tidak ada poin karena bukan pertempuran C) Pengurangan karena membuang-buang waktu")</f>
        <v>B) Tidak ada poin karena bukan pertempuran C) Pengurangan karena membuang-buang waktu</v>
      </c>
      <c r="K67" s="5" t="str">
        <f>IFERROR(__xludf.DUMMYFUNCTION("GOOGLETRANSLATE(E67, ""en"", ""id"")"),"Jurus hanya dinilai pada upacara pembukaan/penutupan, tidak selama babak aktif.")</f>
        <v>Jurus hanya dinilai pada upacara pembukaan/penutupan, tidak selama babak aktif.</v>
      </c>
    </row>
    <row r="68">
      <c r="A68" s="3">
        <v>67.0</v>
      </c>
      <c r="B68" s="4" t="s">
        <v>2090</v>
      </c>
      <c r="C68" s="7" t="s">
        <v>2091</v>
      </c>
      <c r="D68" s="7" t="s">
        <v>2092</v>
      </c>
      <c r="E68" s="4" t="s">
        <v>2093</v>
      </c>
      <c r="G68" s="5" t="str">
        <f>IFERROR(__xludf.DUMMYFUNCTION("GOOGLETRANSLATE(A68, ""en"", ""id"")"),"67")</f>
        <v>67</v>
      </c>
      <c r="H68" s="5" t="str">
        <f>IFERROR(__xludf.DUMMYFUNCTION("GOOGLETRANSLATE(B68, ""en"", ""id"")"),"Dalam pertandingan Pencak Silat, petarung A mencoba melakukan sapuan dan berhasil membuat lawannya kehilangan keseimbangan, tetapi gagal kembali ke posisi bertahan setelahnya. Apa keputusan wasit?")</f>
        <v>Dalam pertandingan Pencak Silat, petarung A mencoba melakukan sapuan dan berhasil membuat lawannya kehilangan keseimbangan, tetapi gagal kembali ke posisi bertahan setelahnya. Apa keputusan wasit?</v>
      </c>
      <c r="I68" s="5" t="str">
        <f>IFERROR(__xludf.DUMMYFUNCTION("GOOGLETRANSLATE(C68, ""en"", ""id"")"),"A) Poin penuh untuk sapuan B) Poin parsial karena kurangnya pemulihan posisi C) Tidak ada poin yang diberikan D) Pengurangan poin karena eksekusi yang tidak lengkap")</f>
        <v>A) Poin penuh untuk sapuan B) Poin parsial karena kurangnya pemulihan posisi C) Tidak ada poin yang diberikan D) Pengurangan poin karena eksekusi yang tidak lengkap</v>
      </c>
      <c r="J68" s="5" t="str">
        <f>IFERROR(__xludf.DUMMYFUNCTION("GOOGLETRANSLATE(D68, ""en"", ""id"")"),"B) Poin parsial karena kurangnya pemulihan posisi D) Pengurangan karena eksekusi yang tidak lengkap")</f>
        <v>B) Poin parsial karena kurangnya pemulihan posisi D) Pengurangan karena eksekusi yang tidak lengkap</v>
      </c>
      <c r="K68" s="5" t="str">
        <f>IFERROR(__xludf.DUMMYFUNCTION("GOOGLETRANSLATE(E68, ""en"", ""id"")"),"Pemulihan ke posisi berdiri diperlukan untuk memperoleh poin penuh, jadi skornya dikurangi.")</f>
        <v>Pemulihan ke posisi berdiri diperlukan untuk memperoleh poin penuh, jadi skornya dikurangi.</v>
      </c>
    </row>
    <row r="69">
      <c r="A69" s="3">
        <v>68.0</v>
      </c>
      <c r="B69" s="4" t="s">
        <v>2094</v>
      </c>
      <c r="C69" s="7" t="s">
        <v>2095</v>
      </c>
      <c r="D69" s="7" t="s">
        <v>2096</v>
      </c>
      <c r="E69" s="4" t="s">
        <v>2097</v>
      </c>
      <c r="G69" s="5" t="str">
        <f>IFERROR(__xludf.DUMMYFUNCTION("GOOGLETRANSLATE(A69, ""en"", ""id"")"),"68")</f>
        <v>68</v>
      </c>
      <c r="H69" s="5" t="str">
        <f>IFERROR(__xludf.DUMMYFUNCTION("GOOGLETRANSLATE(B69, ""en"", ""id"")"),"Dalam sebuah turnamen Pencak Silat di Dhaka, Petarung B terus-menerus membetulkan sabuknya selama pertandingan, sehingga mengganggu jalannya pertandingan. Bagaimana seharusnya wasit menanggapinya?")</f>
        <v>Dalam sebuah turnamen Pencak Silat di Dhaka, Petarung B terus-menerus membetulkan sabuknya selama pertandingan, sehingga mengganggu jalannya pertandingan. Bagaimana seharusnya wasit menanggapinya?</v>
      </c>
      <c r="I69" s="5" t="str">
        <f>IFERROR(__xludf.DUMMYFUNCTION("GOOGLETRANSLATE(C69, ""en"", ""id"")"),"A) Izinkan kelanjutan B) Peringatan untuk masalah peralatan C) Pengurangan poin D) Diskualifikasi")</f>
        <v>A) Izinkan kelanjutan B) Peringatan untuk masalah peralatan C) Pengurangan poin D) Diskualifikasi</v>
      </c>
      <c r="J69" s="5" t="str">
        <f>IFERROR(__xludf.DUMMYFUNCTION("GOOGLETRANSLATE(D69, ""en"", ""id"")"),"B) Peringatan untuk masalah peralatan C) Pengurangan poin")</f>
        <v>B) Peringatan untuk masalah peralatan C) Pengurangan poin</v>
      </c>
      <c r="K69" s="5" t="str">
        <f>IFERROR(__xludf.DUMMYFUNCTION("GOOGLETRANSLATE(E69, ""en"", ""id"")"),"Pakaian harus tetap pantas; penyetelan ikat pinggang yang berulang-ulang akan mengakibatkan penalti.")</f>
        <v>Pakaian harus tetap pantas; penyetelan ikat pinggang yang berulang-ulang akan mengakibatkan penalti.</v>
      </c>
    </row>
    <row r="70">
      <c r="A70" s="3">
        <v>69.0</v>
      </c>
      <c r="B70" s="4" t="s">
        <v>2098</v>
      </c>
      <c r="C70" s="7" t="s">
        <v>2099</v>
      </c>
      <c r="D70" s="7" t="s">
        <v>2100</v>
      </c>
      <c r="E70" s="4" t="s">
        <v>2101</v>
      </c>
      <c r="G70" s="5" t="str">
        <f>IFERROR(__xludf.DUMMYFUNCTION("GOOGLETRANSLATE(A70, ""en"", ""id"")"),"69")</f>
        <v>69</v>
      </c>
      <c r="H70" s="5" t="str">
        <f>IFERROR(__xludf.DUMMYFUNCTION("GOOGLETRANSLATE(B70, ""en"", ""id"")"),"Dalam pertandingan Pencak Silat, Petarung A menyerang lawan setelah wasit memberi tanda ""berhenti"". Apa tindakan wasit tersebut?")</f>
        <v>Dalam pertandingan Pencak Silat, Petarung A menyerang lawan setelah wasit memberi tanda "berhenti". Apa tindakan wasit tersebut?</v>
      </c>
      <c r="I70" s="5" t="str">
        <f>IFERROR(__xludf.DUMMYFUNCTION("GOOGLETRANSLATE(C70, ""en"", ""id"")"),"A) Memberikan poin karena pemogokan tersebut sah B) Pengurangan karena tindakan yang terlambat C) Peringatan karena pelanggaran D) Diskualifikasi segera")</f>
        <v>A) Memberikan poin karena pemogokan tersebut sah B) Pengurangan karena tindakan yang terlambat C) Peringatan karena pelanggaran D) Diskualifikasi segera</v>
      </c>
      <c r="J70" s="5" t="str">
        <f>IFERROR(__xludf.DUMMYFUNCTION("GOOGLETRANSLATE(D70, ""en"", ""id"")"),"B) Pengurangan karena tindakan terlambat C) Peringatan karena pelanggaran")</f>
        <v>B) Pengurangan karena tindakan terlambat C) Peringatan karena pelanggaran</v>
      </c>
      <c r="K70" s="5" t="str">
        <f>IFERROR(__xludf.DUMMYFUNCTION("GOOGLETRANSLATE(E70, ""en"", ""id"")"),"Menyerang setelah aba-aba wasit melanggar peraturan dan akan dikenakan sanksi.")</f>
        <v>Menyerang setelah aba-aba wasit melanggar peraturan dan akan dikenakan sanksi.</v>
      </c>
    </row>
    <row r="71">
      <c r="A71" s="3">
        <v>70.0</v>
      </c>
      <c r="B71" s="4" t="s">
        <v>2102</v>
      </c>
      <c r="C71" s="7" t="s">
        <v>2103</v>
      </c>
      <c r="D71" s="4" t="s">
        <v>2104</v>
      </c>
      <c r="E71" s="4" t="s">
        <v>2105</v>
      </c>
      <c r="G71" s="5" t="str">
        <f>IFERROR(__xludf.DUMMYFUNCTION("GOOGLETRANSLATE(A71, ""en"", ""id"")"),"70")</f>
        <v>70</v>
      </c>
      <c r="H71" s="5" t="str">
        <f>IFERROR(__xludf.DUMMYFUNCTION("GOOGLETRANSLATE(B71, ""en"", ""id"")"),"Dalam pertandingan Pencak Silat tingkat daerah, petarung B melakukan tendangan tinggi yang menyerempet kepala lawan, menyebabkan sedikit ketidakseimbangan tetapi tidak ada kontak yang solid. Bagaimana seharusnya skornya?")</f>
        <v>Dalam pertandingan Pencak Silat tingkat daerah, petarung B melakukan tendangan tinggi yang menyerempet kepala lawan, menyebabkan sedikit ketidakseimbangan tetapi tidak ada kontak yang solid. Bagaimana seharusnya skornya?</v>
      </c>
      <c r="I71" s="5" t="str">
        <f>IFERROR(__xludf.DUMMYFUNCTION("GOOGLETRANSLATE(C71, ""en"", ""id"")"),"A) Poin penuh B) Tidak ada poin C) Poin parsial D) Pengurangan karena ketepatan yang buruk")</f>
        <v>A) Poin penuh B) Tidak ada poin C) Poin parsial D) Pengurangan karena ketepatan yang buruk</v>
      </c>
      <c r="J71" s="5" t="str">
        <f>IFERROR(__xludf.DUMMYFUNCTION("GOOGLETRANSLATE(D71, ""en"", ""id"")"),"C) Titik parsial")</f>
        <v>C) Titik parsial</v>
      </c>
      <c r="K71" s="5" t="str">
        <f>IFERROR(__xludf.DUMMYFUNCTION("GOOGLETRANSLATE(E71, ""en"", ""id"")"),"Dampak penggembalaan memiliki beberapa pengaruh tetapi tidak memenuhi syarat untuk penilaian penuh.")</f>
        <v>Dampak penggembalaan memiliki beberapa pengaruh tetapi tidak memenuhi syarat untuk penilaian penuh.</v>
      </c>
    </row>
    <row r="72">
      <c r="A72" s="3">
        <v>71.0</v>
      </c>
      <c r="B72" s="4" t="s">
        <v>2106</v>
      </c>
      <c r="C72" s="7" t="s">
        <v>2107</v>
      </c>
      <c r="D72" s="4" t="s">
        <v>2108</v>
      </c>
      <c r="E72" s="4" t="s">
        <v>2109</v>
      </c>
      <c r="G72" s="5" t="str">
        <f>IFERROR(__xludf.DUMMYFUNCTION("GOOGLETRANSLATE(A72, ""en"", ""id"")"),"71")</f>
        <v>71</v>
      </c>
      <c r="H72" s="5" t="str">
        <f>IFERROR(__xludf.DUMMYFUNCTION("GOOGLETRANSLATE(B72, ""en"", ""id"")"),"Dalam sebuah kejuaraan Pencak Silat, petarung A melancarkan tiga pukulan cepat, tetapi hanya satu yang mendarat dengan tepat, sementara pukulan lainnya meleset. Berapa poin yang diberikan?")</f>
        <v>Dalam sebuah kejuaraan Pencak Silat, petarung A melancarkan tiga pukulan cepat, tetapi hanya satu yang mendarat dengan tepat, sementara pukulan lainnya meleset. Berapa poin yang diberikan?</v>
      </c>
      <c r="I72" s="5" t="str">
        <f>IFERROR(__xludf.DUMMYFUNCTION("GOOGLETRANSLATE(C72, ""en"", ""id"")"),"A) Poin penuh untuk kombinasi B) Poin parsial untuk satu serangan yang valid C) Tidak ada poin D) Pengurangan untuk ketidakakuratan")</f>
        <v>A) Poin penuh untuk kombinasi B) Poin parsial untuk satu serangan yang valid C) Tidak ada poin D) Pengurangan untuk ketidakakuratan</v>
      </c>
      <c r="J72" s="5" t="str">
        <f>IFERROR(__xludf.DUMMYFUNCTION("GOOGLETRANSLATE(D72, ""en"", ""id"")"),"B) Poin parsial untuk satu serangan yang sah")</f>
        <v>B) Poin parsial untuk satu serangan yang sah</v>
      </c>
      <c r="K72" s="5" t="str">
        <f>IFERROR(__xludf.DUMMYFUNCTION("GOOGLETRANSLATE(E72, ""en"", ""id"")"),"Hanya serangan yang bersih dan efektif yang dihitung; serangan yang gagal tidak dihitung.")</f>
        <v>Hanya serangan yang bersih dan efektif yang dihitung; serangan yang gagal tidak dihitung.</v>
      </c>
    </row>
    <row r="73">
      <c r="A73" s="3">
        <v>72.0</v>
      </c>
      <c r="B73" s="4" t="s">
        <v>2110</v>
      </c>
      <c r="C73" s="7" t="s">
        <v>2111</v>
      </c>
      <c r="D73" s="4" t="s">
        <v>2112</v>
      </c>
      <c r="E73" s="4" t="s">
        <v>2113</v>
      </c>
      <c r="G73" s="5" t="str">
        <f>IFERROR(__xludf.DUMMYFUNCTION("GOOGLETRANSLATE(A73, ""en"", ""id"")"),"72")</f>
        <v>72</v>
      </c>
      <c r="H73" s="5" t="str">
        <f>IFERROR(__xludf.DUMMYFUNCTION("GOOGLETRANSLATE(B73, ""en"", ""id"")"),"Di awal pertandingan Pencak Silat, Petarung B tidak membungkuk dengan benar sebagai bagian dari penghormatan tradisional. Apa akibatnya?")</f>
        <v>Di awal pertandingan Pencak Silat, Petarung B tidak membungkuk dengan benar sebagai bagian dari penghormatan tradisional. Apa akibatnya?</v>
      </c>
      <c r="I73" s="5" t="str">
        <f>IFERROR(__xludf.DUMMYFUNCTION("GOOGLETRANSLATE(C73, ""en"", ""id"")"),"A) Pengurangan poin B) Peringatan C) Diskualifikasi D) Tidak berpengaruh")</f>
        <v>A) Pengurangan poin B) Peringatan C) Diskualifikasi D) Tidak berpengaruh</v>
      </c>
      <c r="J73" s="5" t="str">
        <f>IFERROR(__xludf.DUMMYFUNCTION("GOOGLETRANSLATE(D73, ""en"", ""id"")"),"B) Peringatan")</f>
        <v>B) Peringatan</v>
      </c>
      <c r="K73" s="5" t="str">
        <f>IFERROR(__xludf.DUMMYFUNCTION("GOOGLETRANSLATE(E73, ""en"", ""id"")"),"Menghormati tradisi adalah wajib, tetapi pelanggaran pertama biasanya akan mendapat peringatan.")</f>
        <v>Menghormati tradisi adalah wajib, tetapi pelanggaran pertama biasanya akan mendapat peringatan.</v>
      </c>
    </row>
    <row r="74">
      <c r="A74" s="3">
        <v>73.0</v>
      </c>
      <c r="B74" s="4" t="s">
        <v>2114</v>
      </c>
      <c r="C74" s="7" t="s">
        <v>2115</v>
      </c>
      <c r="D74" s="7" t="s">
        <v>2116</v>
      </c>
      <c r="E74" s="4" t="s">
        <v>2117</v>
      </c>
      <c r="G74" s="5" t="str">
        <f>IFERROR(__xludf.DUMMYFUNCTION("GOOGLETRANSLATE(A74, ""en"", ""id"")"),"73")</f>
        <v>73</v>
      </c>
      <c r="H74" s="5" t="str">
        <f>IFERROR(__xludf.DUMMYFUNCTION("GOOGLETRANSLATE(B74, ""en"", ""id"")"),"Dalam pertandingan Pencak Silat, petarung A menghentakkan kaki dengan keras untuk mengalihkan perhatian lawan tanpa menyerang. Bagaimana seharusnya hal ini ditangani?")</f>
        <v>Dalam pertandingan Pencak Silat, petarung A menghentakkan kaki dengan keras untuk mengalihkan perhatian lawan tanpa menyerang. Bagaimana seharusnya hal ini ditangani?</v>
      </c>
      <c r="I74" s="5" t="str">
        <f>IFERROR(__xludf.DUMMYFUNCTION("GOOGLETRANSLATE(C74, ""en"", ""id"")"),"A) Poin diberikan untuk permainan taktis B) Tidak ada poin karena bukan strike C) Peringatan untuk perilaku tidak sportif D) Pengurangan karena penyalahgunaan")</f>
        <v>A) Poin diberikan untuk permainan taktis B) Tidak ada poin karena bukan strike C) Peringatan untuk perilaku tidak sportif D) Pengurangan karena penyalahgunaan</v>
      </c>
      <c r="J74" s="5" t="str">
        <f>IFERROR(__xludf.DUMMYFUNCTION("GOOGLETRANSLATE(D74, ""en"", ""id"")"),"B) Tidak ada poin karena bukan strike C) Peringatan atas perilaku tidak sportif")</f>
        <v>B) Tidak ada poin karena bukan strike C) Peringatan atas perilaku tidak sportif</v>
      </c>
      <c r="K74" s="5" t="str">
        <f>IFERROR(__xludf.DUMMYFUNCTION("GOOGLETRANSLATE(E74, ""en"", ""id"")"),"Tindakan non-tempur tidak diberi penghargaan dan malah dapat dikenakan penalti.")</f>
        <v>Tindakan non-tempur tidak diberi penghargaan dan malah dapat dikenakan penalti.</v>
      </c>
    </row>
    <row r="75">
      <c r="A75" s="3">
        <v>74.0</v>
      </c>
      <c r="B75" s="4" t="s">
        <v>2118</v>
      </c>
      <c r="C75" s="7" t="s">
        <v>2119</v>
      </c>
      <c r="D75" s="4" t="s">
        <v>2120</v>
      </c>
      <c r="E75" s="4" t="s">
        <v>2121</v>
      </c>
      <c r="G75" s="5" t="str">
        <f>IFERROR(__xludf.DUMMYFUNCTION("GOOGLETRANSLATE(A75, ""en"", ""id"")"),"74")</f>
        <v>74</v>
      </c>
      <c r="H75" s="5" t="str">
        <f>IFERROR(__xludf.DUMMYFUNCTION("GOOGLETRANSLATE(B75, ""en"", ""id"")"),"Petarung B dalam pertandingan Pencak Silat menangkis tendangan dan membalas dengan serangan siku yang sah ke badan. Bagaimana hasil skornya?")</f>
        <v>Petarung B dalam pertandingan Pencak Silat menangkis tendangan dan membalas dengan serangan siku yang sah ke badan. Bagaimana hasil skornya?</v>
      </c>
      <c r="I75" s="5" t="str">
        <f>IFERROR(__xludf.DUMMYFUNCTION("GOOGLETRANSLATE(C75, ""en"", ""id"")"),"A) Poin penuh untuk keduanya B) Poin hanya untuk blok C) Poin hanya untuk serangan D) Tidak ada poin karena itu adalah dua tindakan")</f>
        <v>A) Poin penuh untuk keduanya B) Poin hanya untuk blok C) Poin hanya untuk serangan D) Tidak ada poin karena itu adalah dua tindakan</v>
      </c>
      <c r="J75" s="5" t="str">
        <f>IFERROR(__xludf.DUMMYFUNCTION("GOOGLETRANSLATE(D75, ""en"", ""id"")"),"A) Poin penuh untuk keduanya")</f>
        <v>A) Poin penuh untuk keduanya</v>
      </c>
      <c r="K75" s="5" t="str">
        <f>IFERROR(__xludf.DUMMYFUNCTION("GOOGLETRANSLATE(E75, ""en"", ""id"")"),"Pertahanan yang efektif ditambah serangan balik langsung menghasilkan skor maksimal.")</f>
        <v>Pertahanan yang efektif ditambah serangan balik langsung menghasilkan skor maksimal.</v>
      </c>
    </row>
    <row r="76">
      <c r="A76" s="3">
        <v>75.0</v>
      </c>
      <c r="B76" s="4" t="s">
        <v>2122</v>
      </c>
      <c r="C76" s="7" t="s">
        <v>2123</v>
      </c>
      <c r="D76" s="7" t="s">
        <v>2124</v>
      </c>
      <c r="E76" s="4" t="s">
        <v>2125</v>
      </c>
      <c r="G76" s="5" t="str">
        <f>IFERROR(__xludf.DUMMYFUNCTION("GOOGLETRANSLATE(A76, ""en"", ""id"")"),"75")</f>
        <v>75</v>
      </c>
      <c r="H76" s="5" t="str">
        <f>IFERROR(__xludf.DUMMYFUNCTION("GOOGLETRANSLATE(B76, ""en"", ""id"")"),"Dalam sebuah pertandingan Pencak Silat di Jakarta, petarung A berhasil melakukan takedown, tetapi tetap menyerang setelah lawannya terjatuh. Apa keputusannya?")</f>
        <v>Dalam sebuah pertandingan Pencak Silat di Jakarta, petarung A berhasil melakukan takedown, tetapi tetap menyerang setelah lawannya terjatuh. Apa keputusannya?</v>
      </c>
      <c r="I76" s="5" t="str">
        <f>IFERROR(__xludf.DUMMYFUNCTION("GOOGLETRANSLATE(C76, ""en"", ""id"")"),"A) Poin tambahan diberikan B) Pengurangan karena pelanggaran C) Peringatan karena agresi yang berlebihan D) Diskualifikasi")</f>
        <v>A) Poin tambahan diberikan B) Pengurangan karena pelanggaran C) Peringatan karena agresi yang berlebihan D) Diskualifikasi</v>
      </c>
      <c r="J76" s="5" t="str">
        <f>IFERROR(__xludf.DUMMYFUNCTION("GOOGLETRANSLATE(D76, ""en"", ""id"")"),"B) Pengurangan karena pelanggaran C) Peringatan karena agresi yang berlebihan")</f>
        <v>B) Pengurangan karena pelanggaran C) Peringatan karena agresi yang berlebihan</v>
      </c>
      <c r="K76" s="5" t="str">
        <f>IFERROR(__xludf.DUMMYFUNCTION("GOOGLETRANSLATE(E76, ""en"", ""id"")"),"Melanjutkan setelah pembongkaran melanggar peraturan keselamatan.")</f>
        <v>Melanjutkan setelah pembongkaran melanggar peraturan keselamatan.</v>
      </c>
    </row>
    <row r="77">
      <c r="A77" s="3">
        <v>76.0</v>
      </c>
      <c r="B77" s="4" t="s">
        <v>2126</v>
      </c>
      <c r="C77" s="7" t="s">
        <v>2127</v>
      </c>
      <c r="D77" s="7" t="s">
        <v>2128</v>
      </c>
      <c r="E77" s="4" t="s">
        <v>2129</v>
      </c>
      <c r="G77" s="5" t="str">
        <f>IFERROR(__xludf.DUMMYFUNCTION("GOOGLETRANSLATE(A77, ""en"", ""id"")"),"76")</f>
        <v>76</v>
      </c>
      <c r="H77" s="5" t="str">
        <f>IFERROR(__xludf.DUMMYFUNCTION("GOOGLETRANSLATE(B77, ""en"", ""id"")"),"Dalam pertandingan pencak silat beregu, rekan satu tim petarung B berteriak keras selama pertandingan, sehingga mengganggu jalannya pertandingan. Bagaimana seharusnya wasit bertindak?")</f>
        <v>Dalam pertandingan pencak silat beregu, rekan satu tim petarung B berteriak keras selama pertandingan, sehingga mengganggu jalannya pertandingan. Bagaimana seharusnya wasit bertindak?</v>
      </c>
      <c r="I77" s="5" t="str">
        <f>IFERROR(__xludf.DUMMYFUNCTION("GOOGLETRANSLATE(C77, ""en"", ""id"")"),"A) Abaikan kerumunan B) Peringatan untuk tim C) Kurangi poin dari Fighter B D) Hentikan pertandingan karena disiplin")</f>
        <v>A) Abaikan kerumunan B) Peringatan untuk tim C) Kurangi poin dari Fighter B D) Hentikan pertandingan karena disiplin</v>
      </c>
      <c r="J77" s="5" t="str">
        <f>IFERROR(__xludf.DUMMYFUNCTION("GOOGLETRANSLATE(D77, ""en"", ""id"")"),"B) Peringatan kepada tim D) Hentikan pertandingan karena disiplin")</f>
        <v>B) Peringatan kepada tim D) Hentikan pertandingan karena disiplin</v>
      </c>
      <c r="K77" s="5" t="str">
        <f>IFERROR(__xludf.DUMMYFUNCTION("GOOGLETRANSLATE(E77, ""en"", ""id"")"),"Intervensi tim diberi sanksi untuk menjaga keadilan.")</f>
        <v>Intervensi tim diberi sanksi untuk menjaga keadilan.</v>
      </c>
    </row>
    <row r="78">
      <c r="A78" s="3">
        <v>77.0</v>
      </c>
      <c r="B78" s="4" t="s">
        <v>2130</v>
      </c>
      <c r="C78" s="7" t="s">
        <v>2131</v>
      </c>
      <c r="D78" s="7" t="s">
        <v>2132</v>
      </c>
      <c r="E78" s="4" t="s">
        <v>2133</v>
      </c>
      <c r="G78" s="5" t="str">
        <f>IFERROR(__xludf.DUMMYFUNCTION("GOOGLETRANSLATE(A78, ""en"", ""id"")"),"77")</f>
        <v>77</v>
      </c>
      <c r="H78" s="5" t="str">
        <f>IFERROR(__xludf.DUMMYFUNCTION("GOOGLETRANSLATE(B78, ""en"", ""id"")"),"Petarung A dalam pertandingan Pencak Silat melepas alat pelindungnya di tengah ronde tanpa persetujuan wasit. Apa yang terjadi selanjutnya?")</f>
        <v>Petarung A dalam pertandingan Pencak Silat melepas alat pelindungnya di tengah ronde tanpa persetujuan wasit. Apa yang terjadi selanjutnya?</v>
      </c>
      <c r="I78" s="5" t="str">
        <f>IFERROR(__xludf.DUMMYFUNCTION("GOOGLETRANSLATE(C78, ""en"", ""id"")"),"A) Terus berjuang B) Peringatan C) Pengurangan D) Diskualifikasi")</f>
        <v>A) Terus berjuang B) Peringatan C) Pengurangan D) Diskualifikasi</v>
      </c>
      <c r="J78" s="5" t="str">
        <f>IFERROR(__xludf.DUMMYFUNCTION("GOOGLETRANSLATE(D78, ""en"", ""id"")"),"B) Peringatan C) Pengurangan")</f>
        <v>B) Peringatan C) Pengurangan</v>
      </c>
      <c r="K78" s="5" t="str">
        <f>IFERROR(__xludf.DUMMYFUNCTION("GOOGLETRANSLATE(E78, ""en"", ""id"")"),"Melepas perlengkapan di tengah pertandingan tidak aman dan dapat dikenakan sanksi.")</f>
        <v>Melepas perlengkapan di tengah pertandingan tidak aman dan dapat dikenakan sanksi.</v>
      </c>
    </row>
    <row r="79">
      <c r="A79" s="3">
        <v>78.0</v>
      </c>
      <c r="B79" s="4" t="s">
        <v>2134</v>
      </c>
      <c r="C79" s="7" t="s">
        <v>2135</v>
      </c>
      <c r="D79" s="4" t="s">
        <v>2136</v>
      </c>
      <c r="E79" s="4" t="s">
        <v>2137</v>
      </c>
      <c r="G79" s="5" t="str">
        <f>IFERROR(__xludf.DUMMYFUNCTION("GOOGLETRANSLATE(A79, ""en"", ""id"")"),"78")</f>
        <v>78</v>
      </c>
      <c r="H79" s="5" t="str">
        <f>IFERROR(__xludf.DUMMYFUNCTION("GOOGLETRANSLATE(B79, ""en"", ""id"")"),"Dalam semifinal Silat, Petarung B mendaratkan pukulan ke tubuh yang bersih sementara lawannya secara bersamaan meluncur di atas matras tanpa kontak. Apa keputusannya?")</f>
        <v>Dalam semifinal Silat, Petarung B mendaratkan pukulan ke tubuh yang bersih sementara lawannya secara bersamaan meluncur di atas matras tanpa kontak. Apa keputusannya?</v>
      </c>
      <c r="I79" s="5" t="str">
        <f>IFERROR(__xludf.DUMMYFUNCTION("GOOGLETRANSLATE(C79, ""en"", ""id"")"),"A) Poin diberikan untuk pukulan B) Tidak ada poin C) Peringatan untuk petarung yang tergelincir D) Pengurangan untuk keduanya")</f>
        <v>A) Poin diberikan untuk pukulan B) Tidak ada poin C) Peringatan untuk petarung yang tergelincir D) Pengurangan untuk keduanya</v>
      </c>
      <c r="J79" s="5" t="str">
        <f>IFERROR(__xludf.DUMMYFUNCTION("GOOGLETRANSLATE(D79, ""en"", ""id"")"),"A) Poin yang diberikan untuk pukulan")</f>
        <v>A) Poin yang diberikan untuk pukulan</v>
      </c>
      <c r="K79" s="5" t="str">
        <f>IFERROR(__xludf.DUMMYFUNCTION("GOOGLETRANSLATE(E79, ""en"", ""id"")"),"Pukulan tersebut sah terlepas dari kesalahan lawan.")</f>
        <v>Pukulan tersebut sah terlepas dari kesalahan lawan.</v>
      </c>
    </row>
    <row r="80">
      <c r="A80" s="3">
        <v>79.0</v>
      </c>
      <c r="B80" s="4" t="s">
        <v>2138</v>
      </c>
      <c r="C80" s="7" t="s">
        <v>2139</v>
      </c>
      <c r="D80" s="7" t="s">
        <v>2140</v>
      </c>
      <c r="E80" s="4" t="s">
        <v>2141</v>
      </c>
      <c r="G80" s="5" t="str">
        <f>IFERROR(__xludf.DUMMYFUNCTION("GOOGLETRANSLATE(A80, ""en"", ""id"")"),"79")</f>
        <v>79</v>
      </c>
      <c r="H80" s="5" t="str">
        <f>IFERROR(__xludf.DUMMYFUNCTION("GOOGLETRANSLATE(B80, ""en"", ""id"")"),"Petarung A dalam pertandingan Pencak Silat melancarkan serangan siku berputar yang mendarat, tetapi ia kehilangan keseimbangan dan jatuh setelahnya. Berapa skor wasit?")</f>
        <v>Petarung A dalam pertandingan Pencak Silat melancarkan serangan siku berputar yang mendarat, tetapi ia kehilangan keseimbangan dan jatuh setelahnya. Berapa skor wasit?</v>
      </c>
      <c r="I80" s="5" t="str">
        <f>IFERROR(__xludf.DUMMYFUNCTION("GOOGLETRANSLATE(C80, ""en"", ""id"")"),"A) Poin penuh B) Poin parsial C) Tidak ada poin D) Pengurangan karena jatuh")</f>
        <v>A) Poin penuh B) Poin parsial C) Tidak ada poin D) Pengurangan karena jatuh</v>
      </c>
      <c r="J80" s="5" t="str">
        <f>IFERROR(__xludf.DUMMYFUNCTION("GOOGLETRANSLATE(D80, ""en"", ""id"")"),"B) Poin parsial D) Pengurangan karena jatuh")</f>
        <v>B) Poin parsial D) Pengurangan karena jatuh</v>
      </c>
      <c r="K80" s="5" t="str">
        <f>IFERROR(__xludf.DUMMYFUNCTION("GOOGLETRANSLATE(E80, ""en"", ""id"")"),"Pemogokan tetap dihitung, tetapi jatuh mengurangi nilai keseluruhan.")</f>
        <v>Pemogokan tetap dihitung, tetapi jatuh mengurangi nilai keseluruhan.</v>
      </c>
    </row>
    <row r="81">
      <c r="A81" s="3">
        <v>80.0</v>
      </c>
      <c r="B81" s="4" t="s">
        <v>2142</v>
      </c>
      <c r="C81" s="7" t="s">
        <v>2143</v>
      </c>
      <c r="D81" s="4" t="s">
        <v>2144</v>
      </c>
      <c r="E81" s="4" t="s">
        <v>2145</v>
      </c>
      <c r="G81" s="5" t="str">
        <f>IFERROR(__xludf.DUMMYFUNCTION("GOOGLETRANSLATE(A81, ""en"", ""id"")"),"80")</f>
        <v>80</v>
      </c>
      <c r="H81" s="5" t="str">
        <f>IFERROR(__xludf.DUMMYFUNCTION("GOOGLETRANSLATE(B81, ""en"", ""id"")"),"Dalam pertandingan Pencak Silat, petarung B menghindari serangan dengan berguling akrobatik ke belakang, menghindari kontak. Bagaimana penilaiannya?")</f>
        <v>Dalam pertandingan Pencak Silat, petarung B menghindari serangan dengan berguling akrobatik ke belakang, menghindari kontak. Bagaimana penilaiannya?</v>
      </c>
      <c r="I81" s="5" t="str">
        <f>IFERROR(__xludf.DUMMYFUNCTION("GOOGLETRANSLATE(C81, ""en"", ""id"")"),"A) Poin penuh untuk pembelaan B) Poin parsial untuk pembelaan C) Tidak ada poin D) Pengurangan poin karena pamer")</f>
        <v>A) Poin penuh untuk pembelaan B) Poin parsial untuk pembelaan C) Tidak ada poin D) Pengurangan poin karena pamer</v>
      </c>
      <c r="J81" s="5" t="str">
        <f>IFERROR(__xludf.DUMMYFUNCTION("GOOGLETRANSLATE(D81, ""en"", ""id"")"),"B) Poin parsial untuk pertahanan")</f>
        <v>B) Poin parsial untuk pertahanan</v>
      </c>
      <c r="K81" s="5" t="str">
        <f>IFERROR(__xludf.DUMMYFUNCTION("GOOGLETRANSLATE(E81, ""en"", ""id"")"),"Pertahanannya valid, meskipun gaya dramatis mengurangi efisiensi teknis.")</f>
        <v>Pertahanannya valid, meskipun gaya dramatis mengurangi efisiensi teknis.</v>
      </c>
    </row>
    <row r="82">
      <c r="A82" s="3">
        <v>81.0</v>
      </c>
      <c r="B82" s="4" t="s">
        <v>2146</v>
      </c>
      <c r="C82" s="7" t="s">
        <v>2147</v>
      </c>
      <c r="D82" s="7" t="s">
        <v>2148</v>
      </c>
      <c r="E82" s="4" t="s">
        <v>2149</v>
      </c>
      <c r="G82" s="5" t="str">
        <f>IFERROR(__xludf.DUMMYFUNCTION("GOOGLETRANSLATE(A82, ""en"", ""id"")"),"81")</f>
        <v>81</v>
      </c>
      <c r="H82" s="5" t="str">
        <f>IFERROR(__xludf.DUMMYFUNCTION("GOOGLETRANSLATE(B82, ""en"", ""id"")"),"Petarung A mendaratkan pukulan sebelum wasit resmi memberi tanda dimulainya ronde. Apa yang terjadi?")</f>
        <v>Petarung A mendaratkan pukulan sebelum wasit resmi memberi tanda dimulainya ronde. Apa yang terjadi?</v>
      </c>
      <c r="I82" s="5" t="str">
        <f>IFERROR(__xludf.DUMMYFUNCTION("GOOGLETRANSLATE(C82, ""en"", ""id"")"),"A) Poin yang diberikan B) Pengurangan C) Peringatan D) Diskualifikasi")</f>
        <v>A) Poin yang diberikan B) Pengurangan C) Peringatan D) Diskualifikasi</v>
      </c>
      <c r="J82" s="5" t="str">
        <f>IFERROR(__xludf.DUMMYFUNCTION("GOOGLETRANSLATE(D82, ""en"", ""id"")"),"B) Pengurangan C) Peringatan")</f>
        <v>B) Pengurangan C) Peringatan</v>
      </c>
      <c r="K82" s="5" t="str">
        <f>IFERROR(__xludf.DUMMYFUNCTION("GOOGLETRANSLATE(E82, ""en"", ""id"")"),"Serangan prematur melanggar perintah mulai.")</f>
        <v>Serangan prematur melanggar perintah mulai.</v>
      </c>
    </row>
    <row r="83">
      <c r="A83" s="3">
        <v>82.0</v>
      </c>
      <c r="B83" s="4" t="s">
        <v>2150</v>
      </c>
      <c r="C83" s="7" t="s">
        <v>2151</v>
      </c>
      <c r="D83" s="7" t="s">
        <v>2152</v>
      </c>
      <c r="E83" s="4" t="s">
        <v>2153</v>
      </c>
      <c r="G83" s="5" t="str">
        <f>IFERROR(__xludf.DUMMYFUNCTION("GOOGLETRANSLATE(A83, ""en"", ""id"")"),"82")</f>
        <v>82</v>
      </c>
      <c r="H83" s="5" t="str">
        <f>IFERROR(__xludf.DUMMYFUNCTION("GOOGLETRANSLATE(B83, ""en"", ""id"")"),"Dalam pertandingan Pencak Silat, Petarung B melakukan takedown di luar batas pertandingan. Apa keputusannya?")</f>
        <v>Dalam pertandingan Pencak Silat, Petarung B melakukan takedown di luar batas pertandingan. Apa keputusannya?</v>
      </c>
      <c r="I83" s="5" t="str">
        <f>IFERROR(__xludf.DUMMYFUNCTION("GOOGLETRANSLATE(C83, ""en"", ""id"")"),"A) Poin penuh B) Poin parsial C) Tidak ada poin D) Pengurangan")</f>
        <v>A) Poin penuh B) Poin parsial C) Tidak ada poin D) Pengurangan</v>
      </c>
      <c r="J83" s="5" t="str">
        <f>IFERROR(__xludf.DUMMYFUNCTION("GOOGLETRANSLATE(D83, ""en"", ""id"")"),"C) Tidak ada poin D) Pengurangan")</f>
        <v>C) Tidak ada poin D) Pengurangan</v>
      </c>
      <c r="K83" s="5" t="str">
        <f>IFERROR(__xludf.DUMMYFUNCTION("GOOGLETRANSLATE(E83, ""en"", ""id"")"),"Pelanggaran batas membatalkan penilaian.")</f>
        <v>Pelanggaran batas membatalkan penilaian.</v>
      </c>
    </row>
    <row r="84">
      <c r="A84" s="3">
        <v>83.0</v>
      </c>
      <c r="B84" s="4" t="s">
        <v>2154</v>
      </c>
      <c r="C84" s="7" t="s">
        <v>2155</v>
      </c>
      <c r="D84" s="7" t="s">
        <v>2156</v>
      </c>
      <c r="E84" s="4" t="s">
        <v>2157</v>
      </c>
      <c r="G84" s="5" t="str">
        <f>IFERROR(__xludf.DUMMYFUNCTION("GOOGLETRANSLATE(A84, ""en"", ""id"")"),"83")</f>
        <v>83</v>
      </c>
      <c r="H84" s="5" t="str">
        <f>IFERROR(__xludf.DUMMYFUNCTION("GOOGLETRANSLATE(B84, ""en"", ""id"")"),"Dalam pertandingan silat, petarung A terus menyerang setelah menyadari penutup kepala lawannya terlepas. Apa tindakan wasit?")</f>
        <v>Dalam pertandingan silat, petarung A terus menyerang setelah menyadari penutup kepala lawannya terlepas. Apa tindakan wasit?</v>
      </c>
      <c r="I84" s="5" t="str">
        <f>IFERROR(__xludf.DUMMYFUNCTION("GOOGLETRANSLATE(C84, ""en"", ""id"")"),"A) Pengurangan B) Peringatan C) Hentikan pertandingan D) Izinkan kelanjutan")</f>
        <v>A) Pengurangan B) Peringatan C) Hentikan pertandingan D) Izinkan kelanjutan</v>
      </c>
      <c r="J84" s="5" t="str">
        <f>IFERROR(__xludf.DUMMYFUNCTION("GOOGLETRANSLATE(D84, ""en"", ""id"")"),"A) Pengurangan C) Hentikan kecocokan")</f>
        <v>A) Pengurangan C) Hentikan kecocokan</v>
      </c>
      <c r="K84" s="5" t="str">
        <f>IFERROR(__xludf.DUMMYFUNCTION("GOOGLETRANSLATE(E84, ""en"", ""id"")"),"Keselamatan petarung menjadi prioritas, jadi pertandingan dihentikan sementara dan hukuman diterapkan.")</f>
        <v>Keselamatan petarung menjadi prioritas, jadi pertandingan dihentikan sementara dan hukuman diterapkan.</v>
      </c>
    </row>
    <row r="85">
      <c r="A85" s="3">
        <v>84.0</v>
      </c>
      <c r="B85" s="4" t="s">
        <v>2158</v>
      </c>
      <c r="C85" s="7" t="s">
        <v>2151</v>
      </c>
      <c r="D85" s="4" t="s">
        <v>2159</v>
      </c>
      <c r="E85" s="4" t="s">
        <v>2160</v>
      </c>
      <c r="G85" s="5" t="str">
        <f>IFERROR(__xludf.DUMMYFUNCTION("GOOGLETRANSLATE(A85, ""en"", ""id"")"),"84")</f>
        <v>84</v>
      </c>
      <c r="H85" s="5" t="str">
        <f>IFERROR(__xludf.DUMMYFUNCTION("GOOGLETRANSLATE(B85, ""en"", ""id"")"),"Petarung B mengunci lengan lawan, tetapi beralih di tengah jalan menjadi kuncian kaki tanpa sepengetahuan wasit. Bagaimana penilaiannya?")</f>
        <v>Petarung B mengunci lengan lawan, tetapi beralih di tengah jalan menjadi kuncian kaki tanpa sepengetahuan wasit. Bagaimana penilaiannya?</v>
      </c>
      <c r="I85" s="5" t="str">
        <f>IFERROR(__xludf.DUMMYFUNCTION("GOOGLETRANSLATE(C85, ""en"", ""id"")"),"A) Poin penuh B) Poin parsial C) Tidak ada poin D) Pengurangan")</f>
        <v>A) Poin penuh B) Poin parsial C) Tidak ada poin D) Pengurangan</v>
      </c>
      <c r="J85" s="5" t="str">
        <f>IFERROR(__xludf.DUMMYFUNCTION("GOOGLETRANSLATE(D85, ""en"", ""id"")"),"B) Titik parsial")</f>
        <v>B) Titik parsial</v>
      </c>
      <c r="K85" s="5" t="str">
        <f>IFERROR(__xludf.DUMMYFUNCTION("GOOGLETRANSLATE(E85, ""en"", ""id"")"),"Kunci yang tidak lengkap mengurangi skor karena kontrol tidak konsisten.")</f>
        <v>Kunci yang tidak lengkap mengurangi skor karena kontrol tidak konsisten.</v>
      </c>
    </row>
    <row r="86">
      <c r="A86" s="3">
        <v>85.0</v>
      </c>
      <c r="B86" s="4" t="s">
        <v>2161</v>
      </c>
      <c r="C86" s="7" t="s">
        <v>2162</v>
      </c>
      <c r="D86" s="7" t="s">
        <v>2163</v>
      </c>
      <c r="E86" s="4" t="s">
        <v>2164</v>
      </c>
      <c r="G86" s="5" t="str">
        <f>IFERROR(__xludf.DUMMYFUNCTION("GOOGLETRANSLATE(A86, ""en"", ""id"")"),"85")</f>
        <v>85</v>
      </c>
      <c r="H86" s="5" t="str">
        <f>IFERROR(__xludf.DUMMYFUNCTION("GOOGLETRANSLATE(B86, ""en"", ""id"")"),"Dalam pertarungan Pencak Silat, petarung A menghindari pertarungan dengan terus-menerus mengelilingi arena tanpa menyerang. Bagaimana hal ini seharusnya dinilai?")</f>
        <v>Dalam pertarungan Pencak Silat, petarung A menghindari pertarungan dengan terus-menerus mengelilingi arena tanpa menyerang. Bagaimana hal ini seharusnya dinilai?</v>
      </c>
      <c r="I86" s="5" t="str">
        <f>IFERROR(__xludf.DUMMYFUNCTION("GOOGLETRANSLATE(C86, ""en"", ""id"")"),"A) Poin untuk footwork B) Pengurangan poin untuk kepasifan C) Peringatan D) Tidak ada poin")</f>
        <v>A) Poin untuk footwork B) Pengurangan poin untuk kepasifan C) Peringatan D) Tidak ada poin</v>
      </c>
      <c r="J86" s="5" t="str">
        <f>IFERROR(__xludf.DUMMYFUNCTION("GOOGLETRANSLATE(D86, ""en"", ""id"")"),"B) Pengurangan karena kepasifan C) Peringatan")</f>
        <v>B) Pengurangan karena kepasifan C) Peringatan</v>
      </c>
      <c r="K86" s="5" t="str">
        <f>IFERROR(__xludf.DUMMYFUNCTION("GOOGLETRANSLATE(E86, ""en"", ""id"")"),"Menghindari pertempuran secara sengaja akan dikenakan sanksi.")</f>
        <v>Menghindari pertempuran secara sengaja akan dikenakan sanksi.</v>
      </c>
    </row>
    <row r="87">
      <c r="A87" s="3">
        <v>86.0</v>
      </c>
      <c r="B87" s="4" t="s">
        <v>2165</v>
      </c>
      <c r="C87" s="7" t="s">
        <v>2151</v>
      </c>
      <c r="D87" s="7" t="s">
        <v>2152</v>
      </c>
      <c r="E87" s="4" t="s">
        <v>2166</v>
      </c>
      <c r="G87" s="5" t="str">
        <f>IFERROR(__xludf.DUMMYFUNCTION("GOOGLETRANSLATE(A87, ""en"", ""id"")"),"86")</f>
        <v>86</v>
      </c>
      <c r="H87" s="5" t="str">
        <f>IFERROR(__xludf.DUMMYFUNCTION("GOOGLETRANSLATE(B87, ""en"", ""id"")"),"Petarung B mendaratkan pukulan dengan sarung tinju terbuka, alih-alih tinju tertutup. Apa keputusan wasit?")</f>
        <v>Petarung B mendaratkan pukulan dengan sarung tinju terbuka, alih-alih tinju tertutup. Apa keputusan wasit?</v>
      </c>
      <c r="I87" s="5" t="str">
        <f>IFERROR(__xludf.DUMMYFUNCTION("GOOGLETRANSLATE(C87, ""en"", ""id"")"),"A) Poin penuh B) Poin parsial C) Tidak ada poin D) Pengurangan")</f>
        <v>A) Poin penuh B) Poin parsial C) Tidak ada poin D) Pengurangan</v>
      </c>
      <c r="J87" s="5" t="str">
        <f>IFERROR(__xludf.DUMMYFUNCTION("GOOGLETRANSLATE(D87, ""en"", ""id"")"),"C) Tidak ada poin D) Pengurangan")</f>
        <v>C) Tidak ada poin D) Pengurangan</v>
      </c>
      <c r="K87" s="5" t="str">
        <f>IFERROR(__xludf.DUMMYFUNCTION("GOOGLETRANSLATE(E87, ""en"", ""id"")"),"Pukulan harus mengikuti teknik yang tepat; pukulan dengan tangan terbuka tidak sah.")</f>
        <v>Pukulan harus mengikuti teknik yang tepat; pukulan dengan tangan terbuka tidak sah.</v>
      </c>
    </row>
    <row r="88">
      <c r="A88" s="3">
        <v>87.0</v>
      </c>
      <c r="B88" s="4" t="s">
        <v>2167</v>
      </c>
      <c r="C88" s="7" t="s">
        <v>2151</v>
      </c>
      <c r="D88" s="4" t="s">
        <v>2159</v>
      </c>
      <c r="E88" s="4" t="s">
        <v>2168</v>
      </c>
      <c r="G88" s="5" t="str">
        <f>IFERROR(__xludf.DUMMYFUNCTION("GOOGLETRANSLATE(A88, ""en"", ""id"")"),"87")</f>
        <v>87</v>
      </c>
      <c r="H88" s="5" t="str">
        <f>IFERROR(__xludf.DUMMYFUNCTION("GOOGLETRANSLATE(B88, ""en"", ""id"")"),"Dalam final Silat, Petarung A berhasil menyapu lawannya, tetapi lawannya terjatuh dari arena. Berapa skornya?")</f>
        <v>Dalam final Silat, Petarung A berhasil menyapu lawannya, tetapi lawannya terjatuh dari arena. Berapa skornya?</v>
      </c>
      <c r="I88" s="5" t="str">
        <f>IFERROR(__xludf.DUMMYFUNCTION("GOOGLETRANSLATE(C88, ""en"", ""id"")"),"A) Poin penuh B) Poin parsial C) Tidak ada poin D) Pengurangan")</f>
        <v>A) Poin penuh B) Poin parsial C) Tidak ada poin D) Pengurangan</v>
      </c>
      <c r="J88" s="5" t="str">
        <f>IFERROR(__xludf.DUMMYFUNCTION("GOOGLETRANSLATE(D88, ""en"", ""id"")"),"B) Titik parsial")</f>
        <v>B) Titik parsial</v>
      </c>
      <c r="K88" s="5" t="str">
        <f>IFERROR(__xludf.DUMMYFUNCTION("GOOGLETRANSLATE(E88, ""en"", ""id"")"),"Sapuan sah, tetapi keluar mengurangi skor.")</f>
        <v>Sapuan sah, tetapi keluar mengurangi skor.</v>
      </c>
    </row>
    <row r="89">
      <c r="A89" s="3">
        <v>88.0</v>
      </c>
      <c r="B89" s="4" t="s">
        <v>2169</v>
      </c>
      <c r="C89" s="7" t="s">
        <v>2170</v>
      </c>
      <c r="D89" s="7" t="s">
        <v>2171</v>
      </c>
      <c r="E89" s="4" t="s">
        <v>2172</v>
      </c>
      <c r="G89" s="5" t="str">
        <f>IFERROR(__xludf.DUMMYFUNCTION("GOOGLETRANSLATE(A89, ""en"", ""id"")"),"88")</f>
        <v>88</v>
      </c>
      <c r="H89" s="5" t="str">
        <f>IFERROR(__xludf.DUMMYFUNCTION("GOOGLETRANSLATE(B89, ""en"", ""id"")"),"Petarung B mendaratkan serangan bersih, tetapi kemudian berteriak berlebihan kepada penonton di tengah ronde. Apa yang harus dilakukan?")</f>
        <v>Petarung B mendaratkan serangan bersih, tetapi kemudian berteriak berlebihan kepada penonton di tengah ronde. Apa yang harus dilakukan?</v>
      </c>
      <c r="I89" s="5" t="str">
        <f>IFERROR(__xludf.DUMMYFUNCTION("GOOGLETRANSLATE(C89, ""en"", ""id"")"),"A) Poin berlaku B) Pengurangan karena pelanggaran C) Peringatan D) Diskualifikasi")</f>
        <v>A) Poin berlaku B) Pengurangan karena pelanggaran C) Peringatan D) Diskualifikasi</v>
      </c>
      <c r="J89" s="5" t="str">
        <f>IFERROR(__xludf.DUMMYFUNCTION("GOOGLETRANSLATE(D89, ""en"", ""id"")"),"A) Poin berlaku B) Pengurangan karena pelanggaran")</f>
        <v>A) Poin berlaku B) Pengurangan karena pelanggaran</v>
      </c>
      <c r="K89" s="5" t="str">
        <f>IFERROR(__xludf.DUMMYFUNCTION("GOOGLETRANSLATE(E89, ""en"", ""id"")"),"Pemogokan sah, tetapi teriakan yang tidak sportif akan dikenakan sanksi.")</f>
        <v>Pemogokan sah, tetapi teriakan yang tidak sportif akan dikenakan sanksi.</v>
      </c>
    </row>
    <row r="90">
      <c r="A90" s="3">
        <v>89.0</v>
      </c>
      <c r="B90" s="4" t="s">
        <v>2173</v>
      </c>
      <c r="C90" s="7" t="s">
        <v>2174</v>
      </c>
      <c r="D90" s="7" t="s">
        <v>2175</v>
      </c>
      <c r="E90" s="4" t="s">
        <v>2176</v>
      </c>
      <c r="G90" s="5" t="str">
        <f>IFERROR(__xludf.DUMMYFUNCTION("GOOGLETRANSLATE(A90, ""en"", ""id"")"),"89")</f>
        <v>89</v>
      </c>
      <c r="H90" s="5" t="str">
        <f>IFERROR(__xludf.DUMMYFUNCTION("GOOGLETRANSLATE(B90, ""en"", ""id"")"),"Dalam sebuah pertandingan Pencak Silat, petarung A pingsan karena dehidrasi selama pertandingan. Apa tindakan langsung wasit?")</f>
        <v>Dalam sebuah pertandingan Pencak Silat, petarung A pingsan karena dehidrasi selama pertandingan. Apa tindakan langsung wasit?</v>
      </c>
      <c r="I90" s="5" t="str">
        <f>IFERROR(__xludf.DUMMYFUNCTION("GOOGLETRANSLATE(C90, ""en"", ""id"")"),"A) Berikan kemenangan kepada lawan B) Jeda pertandingan C) Bantuan medis D) Mulai ulang nanti")</f>
        <v>A) Berikan kemenangan kepada lawan B) Jeda pertandingan C) Bantuan medis D) Mulai ulang nanti</v>
      </c>
      <c r="J90" s="5" t="str">
        <f>IFERROR(__xludf.DUMMYFUNCTION("GOOGLETRANSLATE(D90, ""en"", ""id"")"),"B) Jeda pertandingan C) Bantuan medis")</f>
        <v>B) Jeda pertandingan C) Bantuan medis</v>
      </c>
      <c r="K90" s="5" t="str">
        <f>IFERROR(__xludf.DUMMYFUNCTION("GOOGLETRANSLATE(E90, ""en"", ""id"")"),"Keselamatan pesawat tempur selalu diutamakan.")</f>
        <v>Keselamatan pesawat tempur selalu diutamakan.</v>
      </c>
    </row>
    <row r="91">
      <c r="A91" s="3">
        <v>90.0</v>
      </c>
      <c r="B91" s="4" t="s">
        <v>2177</v>
      </c>
      <c r="C91" s="7" t="s">
        <v>2178</v>
      </c>
      <c r="D91" s="7" t="s">
        <v>2179</v>
      </c>
      <c r="E91" s="4" t="s">
        <v>2180</v>
      </c>
      <c r="G91" s="5" t="str">
        <f>IFERROR(__xludf.DUMMYFUNCTION("GOOGLETRANSLATE(A91, ""en"", ""id"")"),"90")</f>
        <v>90</v>
      </c>
      <c r="H91" s="5" t="str">
        <f>IFERROR(__xludf.DUMMYFUNCTION("GOOGLETRANSLATE(B91, ""en"", ""id"")"),"Petarung B mendaratkan tendangan berputar ke badan, tetapi setelah mencetak angka, ia terus menyerang lawan yang terjatuh. Apa keputusan wasit?")</f>
        <v>Petarung B mendaratkan tendangan berputar ke badan, tetapi setelah mencetak angka, ia terus menyerang lawan yang terjatuh. Apa keputusan wasit?</v>
      </c>
      <c r="I91" s="5" t="str">
        <f>IFERROR(__xludf.DUMMYFUNCTION("GOOGLETRANSLATE(C91, ""en"", ""id"")"),"A) Poin penuh untuk tendangan B) Pengurangan untuk serangan tambahan C) Peringatan D) Diskualifikasi")</f>
        <v>A) Poin penuh untuk tendangan B) Pengurangan untuk serangan tambahan C) Peringatan D) Diskualifikasi</v>
      </c>
      <c r="J91" s="5" t="str">
        <f>IFERROR(__xludf.DUMMYFUNCTION("GOOGLETRANSLATE(D91, ""en"", ""id"")"),"A) Poin penuh untuk tendangan B) Pengurangan untuk serangan tambahan")</f>
        <v>A) Poin penuh untuk tendangan B) Pengurangan untuk serangan tambahan</v>
      </c>
      <c r="K91" s="5" t="str">
        <f>IFERROR(__xludf.DUMMYFUNCTION("GOOGLETRANSLATE(E91, ""en"", ""id"")"),"Tendangan dinilai, tetapi menyerang petarung yang jatuh akan dihukum.")</f>
        <v>Tendangan dinilai, tetapi menyerang petarung yang jatuh akan dihukum.</v>
      </c>
    </row>
    <row r="92">
      <c r="A92" s="3">
        <v>91.0</v>
      </c>
      <c r="B92" s="4" t="s">
        <v>2181</v>
      </c>
      <c r="C92" s="7" t="s">
        <v>2182</v>
      </c>
      <c r="D92" s="4" t="s">
        <v>2183</v>
      </c>
      <c r="E92" s="4" t="s">
        <v>2184</v>
      </c>
      <c r="G92" s="5" t="str">
        <f>IFERROR(__xludf.DUMMYFUNCTION("GOOGLETRANSLATE(A92, ""en"", ""id"")"),"91")</f>
        <v>91</v>
      </c>
      <c r="H92" s="5" t="str">
        <f>IFERROR(__xludf.DUMMYFUNCTION("GOOGLETRANSLATE(B92, ""en"", ""id"")"),"Dalam pertandingan Pencak Silat nasional, petarung A menahan tendangan rendah dan langsung membalas dengan pukulan lurus ke dada yang mendarat dengan sempurna sambil mempertahankan posisi berdiri. Berapa skornya?")</f>
        <v>Dalam pertandingan Pencak Silat nasional, petarung A menahan tendangan rendah dan langsung membalas dengan pukulan lurus ke dada yang mendarat dengan sempurna sambil mempertahankan posisi berdiri. Berapa skornya?</v>
      </c>
      <c r="I92" s="5" t="str">
        <f>IFERROR(__xludf.DUMMYFUNCTION("GOOGLETRANSLATE(C92, ""en"", ""id"")"),"A) Poin hanya untuk blok B) Poin penuh untuk counter C) Tidak ada poin karena tindakan simultan D) Poin parsial untuk counter")</f>
        <v>A) Poin hanya untuk blok B) Poin penuh untuk counter C) Tidak ada poin karena tindakan simultan D) Poin parsial untuk counter</v>
      </c>
      <c r="J92" s="5" t="str">
        <f>IFERROR(__xludf.DUMMYFUNCTION("GOOGLETRANSLATE(D92, ""en"", ""id"")"),"B) Poin penuh untuk kontra")</f>
        <v>B) Poin penuh untuk kontra</v>
      </c>
      <c r="K92" s="5" t="str">
        <f>IFERROR(__xludf.DUMMYFUNCTION("GOOGLETRANSLATE(E92, ""en"", ""id"")"),"Serangan balik bersih yang dilancarkan dari posisi seimbang setelah pembelaan hukum memperoleh poin penuh.")</f>
        <v>Serangan balik bersih yang dilancarkan dari posisi seimbang setelah pembelaan hukum memperoleh poin penuh.</v>
      </c>
    </row>
    <row r="93">
      <c r="A93" s="3">
        <v>92.0</v>
      </c>
      <c r="B93" s="4" t="s">
        <v>2185</v>
      </c>
      <c r="C93" s="7" t="s">
        <v>2186</v>
      </c>
      <c r="D93" s="4" t="s">
        <v>2187</v>
      </c>
      <c r="E93" s="4" t="s">
        <v>2188</v>
      </c>
      <c r="G93" s="5" t="str">
        <f>IFERROR(__xludf.DUMMYFUNCTION("GOOGLETRANSLATE(A93, ""en"", ""id"")"),"92")</f>
        <v>92</v>
      </c>
      <c r="H93" s="5" t="str">
        <f>IFERROR(__xludf.DUMMYFUNCTION("GOOGLETRANSLATE(B93, ""en"", ""id"")"),"Dalam pertandingan terbuka di Jakarta, Petarung B mencoba lemparan bahu; lawan memasang tangan dan keduanya berakhir dalam perebutan tanpa kendali. Apa yang seharusnya diberikan?")</f>
        <v>Dalam pertandingan terbuka di Jakarta, Petarung B mencoba lemparan bahu; lawan memasang tangan dan keduanya berakhir dalam perebutan tanpa kendali. Apa yang seharusnya diberikan?</v>
      </c>
      <c r="I93" s="5" t="str">
        <f>IFERROR(__xludf.DUMMYFUNCTION("GOOGLETRANSLATE(C93, ""en"", ""id"")"),"A) Poin penuh untuk percobaan lemparan B) Poin parsial untuk kehilangan keseimbangan C) Tidak ada poin D) Pengurangan poin untuk pendaratan berbahaya")</f>
        <v>A) Poin penuh untuk percobaan lemparan B) Poin parsial untuk kehilangan keseimbangan C) Tidak ada poin D) Pengurangan poin untuk pendaratan berbahaya</v>
      </c>
      <c r="J93" s="5" t="str">
        <f>IFERROR(__xludf.DUMMYFUNCTION("GOOGLETRANSLATE(D93, ""en"", ""id"")"),"C) Tidak ada poin")</f>
        <v>C) Tidak ada poin</v>
      </c>
      <c r="K93" s="5" t="str">
        <f>IFERROR(__xludf.DUMMYFUNCTION("GOOGLETRANSLATE(E93, ""en"", ""id"")"),"Tanpa kontrol yang nyata atau penyelesaian yang jelas, lemparan tidak akan menghasilkan skor.")</f>
        <v>Tanpa kontrol yang nyata atau penyelesaian yang jelas, lemparan tidak akan menghasilkan skor.</v>
      </c>
    </row>
    <row r="94">
      <c r="A94" s="3">
        <v>93.0</v>
      </c>
      <c r="B94" s="4" t="s">
        <v>2189</v>
      </c>
      <c r="C94" s="7" t="s">
        <v>2190</v>
      </c>
      <c r="D94" s="4" t="s">
        <v>2191</v>
      </c>
      <c r="E94" s="4" t="s">
        <v>2192</v>
      </c>
      <c r="G94" s="5" t="str">
        <f>IFERROR(__xludf.DUMMYFUNCTION("GOOGLETRANSLATE(A94, ""en"", ""id"")"),"93")</f>
        <v>93</v>
      </c>
      <c r="H94" s="5" t="str">
        <f>IFERROR(__xludf.DUMMYFUNCTION("GOOGLETRANSLATE(B94, ""en"", ""id"")"),"Di semifinal, petarung A mendaratkan tendangan ke arah badan dan langsung kembali ke posisi bertahan; lawan menyerap tendangan tersebut dan tetap tegak. Bagaimana skornya?")</f>
        <v>Di semifinal, petarung A mendaratkan tendangan ke arah badan dan langsung kembali ke posisi bertahan; lawan menyerap tendangan tersebut dan tetap tegak. Bagaimana skornya?</v>
      </c>
      <c r="I94" s="5" t="str">
        <f>IFERROR(__xludf.DUMMYFUNCTION("GOOGLETRANSLATE(C94, ""en"", ""id"")"),"A) Poin penuh untuk tendangan efektif B) Poin parsial untuk kontak tanpa efek C) Tidak ada poin D) Pengurangan poin untuk dampak yang tidak memadai")</f>
        <v>A) Poin penuh untuk tendangan efektif B) Poin parsial untuk kontak tanpa efek C) Tidak ada poin D) Pengurangan poin untuk dampak yang tidak memadai</v>
      </c>
      <c r="J94" s="5" t="str">
        <f>IFERROR(__xludf.DUMMYFUNCTION("GOOGLETRANSLATE(D94, ""en"", ""id"")"),"B) Titik kontak parsial tanpa efek")</f>
        <v>B) Titik kontak parsial tanpa efek</v>
      </c>
      <c r="K94" s="5" t="str">
        <f>IFERROR(__xludf.DUMMYFUNCTION("GOOGLETRANSLATE(E94, ""en"", ""id"")"),"Kontak bersih tetapi efek terbatas menghasilkan skor parsial.")</f>
        <v>Kontak bersih tetapi efek terbatas menghasilkan skor parsial.</v>
      </c>
    </row>
    <row r="95">
      <c r="A95" s="3">
        <v>94.0</v>
      </c>
      <c r="B95" s="4" t="s">
        <v>2193</v>
      </c>
      <c r="C95" s="7" t="s">
        <v>2194</v>
      </c>
      <c r="D95" s="4" t="s">
        <v>2195</v>
      </c>
      <c r="E95" s="4" t="s">
        <v>2196</v>
      </c>
      <c r="G95" s="5" t="str">
        <f>IFERROR(__xludf.DUMMYFUNCTION("GOOGLETRANSLATE(A95, ""en"", ""id"")"),"94")</f>
        <v>94</v>
      </c>
      <c r="H95" s="5" t="str">
        <f>IFERROR(__xludf.DUMMYFUNCTION("GOOGLETRANSLATE(B95, ""en"", ""id"")"),"Wasit regional menghentikan pertandingan karena pelindung dada Petarung B bergeser. Petarung A mendaratkan pukulan sepersekian detik setelah ""berhenti"". Keputusan?")</f>
        <v>Wasit regional menghentikan pertandingan karena pelindung dada Petarung B bergeser. Petarung A mendaratkan pukulan sepersekian detik setelah "berhenti". Keputusan?</v>
      </c>
      <c r="I95" s="5" t="str">
        <f>IFERROR(__xludf.DUMMYFUNCTION("GOOGLETRANSLATE(C95, ""en"", ""id"")"),"A) Hitung pukulannya B) Hanya peringatan C) Pengurangan dan tidak ada poin D) Diskualifikasi")</f>
        <v>A) Hitung pukulannya B) Hanya peringatan C) Pengurangan dan tidak ada poin D) Diskualifikasi</v>
      </c>
      <c r="J95" s="5" t="str">
        <f>IFERROR(__xludf.DUMMYFUNCTION("GOOGLETRANSLATE(D95, ""en"", ""id"")"),"C) Pengurangan dan tidak ada poin")</f>
        <v>C) Pengurangan dan tidak ada poin</v>
      </c>
      <c r="K95" s="5" t="str">
        <f>IFERROR(__xludf.DUMMYFUNCTION("GOOGLETRANSLATE(E95, ""en"", ""id"")"),"Serangan apa pun setelah perintah berhenti akan dihukum dan tidak sah untuk penilaian.")</f>
        <v>Serangan apa pun setelah perintah berhenti akan dihukum dan tidak sah untuk penilaian.</v>
      </c>
    </row>
    <row r="96">
      <c r="A96" s="3">
        <v>95.0</v>
      </c>
      <c r="B96" s="4" t="s">
        <v>2197</v>
      </c>
      <c r="C96" s="7" t="s">
        <v>2198</v>
      </c>
      <c r="D96" s="4" t="s">
        <v>2199</v>
      </c>
      <c r="E96" s="4" t="s">
        <v>2200</v>
      </c>
      <c r="G96" s="5" t="str">
        <f>IFERROR(__xludf.DUMMYFUNCTION("GOOGLETRANSLATE(A96, ""en"", ""id"")"),"95")</f>
        <v>95</v>
      </c>
      <c r="H96" s="5" t="str">
        <f>IFERROR(__xludf.DUMMYFUNCTION("GOOGLETRANSLATE(B96, ""en"", ""id"")"),"Dalam sebuah pertandingan universitas, Petarung A menghindari tiga serangan berturut-turut dengan gerakan kaki lateral tetapi tidak pernah membalas. Bagaimana tanggapan juri?")</f>
        <v>Dalam sebuah pertandingan universitas, Petarung A menghindari tiga serangan berturut-turut dengan gerakan kaki lateral tetapi tidak pernah membalas. Bagaimana tanggapan juri?</v>
      </c>
      <c r="I96" s="5" t="str">
        <f>IFERROR(__xludf.DUMMYFUNCTION("GOOGLETRANSLATE(C96, ""en"", ""id"")"),"A) Poin penuh untuk pertahanan B) Hanya poin parsial C) Tidak ada poin D) Pengurangan untuk kepasifan")</f>
        <v>A) Poin penuh untuk pertahanan B) Hanya poin parsial C) Tidak ada poin D) Pengurangan untuk kepasifan</v>
      </c>
      <c r="J96" s="5" t="str">
        <f>IFERROR(__xludf.DUMMYFUNCTION("GOOGLETRANSLATE(D96, ""en"", ""id"")"),"B) Hanya poin parsial")</f>
        <v>B) Hanya poin parsial</v>
      </c>
      <c r="K96" s="5" t="str">
        <f>IFERROR(__xludf.DUMMYFUNCTION("GOOGLETRANSLATE(E96, ""en"", ""id"")"),"Pertahanan yang terampil diakui, tetapi kurangnya serangan membatasi potensi mencetak gol.")</f>
        <v>Pertahanan yang terampil diakui, tetapi kurangnya serangan membatasi potensi mencetak gol.</v>
      </c>
    </row>
    <row r="97">
      <c r="A97" s="3">
        <v>96.0</v>
      </c>
      <c r="B97" s="4" t="s">
        <v>2201</v>
      </c>
      <c r="C97" s="7" t="s">
        <v>2202</v>
      </c>
      <c r="D97" s="4" t="s">
        <v>2203</v>
      </c>
      <c r="E97" s="4" t="s">
        <v>2204</v>
      </c>
      <c r="G97" s="5" t="str">
        <f>IFERROR(__xludf.DUMMYFUNCTION("GOOGLETRANSLATE(A97, ""en"", ""id"")"),"96")</f>
        <v>96</v>
      </c>
      <c r="H97" s="5" t="str">
        <f>IFERROR(__xludf.DUMMYFUNCTION("GOOGLETRANSLATE(B97, ""en"", ""id"")"),"Saat pertandingan invitasi di Dhaka, Petarung B melakukan sapuan pinggul bersih yang menyebabkan jatuhnya lawan secara terkendali dan segera mundur ke posisi siap. Mana yang benar?")</f>
        <v>Saat pertandingan invitasi di Dhaka, Petarung B melakukan sapuan pinggul bersih yang menyebabkan jatuhnya lawan secara terkendali dan segera mundur ke posisi siap. Mana yang benar?</v>
      </c>
      <c r="I97" s="5" t="str">
        <f>IFERROR(__xludf.DUMMYFUNCTION("GOOGLETRANSLATE(C97, ""en"", ""id"")"),"A) Poin penuh B) Poin parsial C) Tidak ada poin D) Peringatan untuk melepaskan diri")</f>
        <v>A) Poin penuh B) Poin parsial C) Tidak ada poin D) Peringatan untuk melepaskan diri</v>
      </c>
      <c r="J97" s="5" t="str">
        <f>IFERROR(__xludf.DUMMYFUNCTION("GOOGLETRANSLATE(D97, ""en"", ""id"")"),"A) Poin penuh")</f>
        <v>A) Poin penuh</v>
      </c>
      <c r="K97" s="5" t="str">
        <f>IFERROR(__xludf.DUMMYFUNCTION("GOOGLETRANSLATE(E97, ""en"", ""id"")"),"Sapuan terkendali dengan pemulihan posisi segera memenuhi kriteria penilaian penuh.")</f>
        <v>Sapuan terkendali dengan pemulihan posisi segera memenuhi kriteria penilaian penuh.</v>
      </c>
    </row>
    <row r="98">
      <c r="A98" s="3">
        <v>97.0</v>
      </c>
      <c r="B98" s="4" t="s">
        <v>2205</v>
      </c>
      <c r="C98" s="7" t="s">
        <v>2206</v>
      </c>
      <c r="D98" s="4" t="s">
        <v>2159</v>
      </c>
      <c r="E98" s="4" t="s">
        <v>2207</v>
      </c>
      <c r="G98" s="5" t="str">
        <f>IFERROR(__xludf.DUMMYFUNCTION("GOOGLETRANSLATE(A98, ""en"", ""id"")"),"97")</f>
        <v>97</v>
      </c>
      <c r="H98" s="5" t="str">
        <f>IFERROR(__xludf.DUMMYFUNCTION("GOOGLETRANSLATE(B98, ""en"", ""id"")"),"Dalam pertandingan perebutan medali perunggu, Petarung A mendaratkan pukulan berputar ke arah torso, tetapi menyentuh matras dengan tangan bebasnya untuk menyeimbangkan diri. Hasilnya?")</f>
        <v>Dalam pertandingan perebutan medali perunggu, Petarung A mendaratkan pukulan berputar ke arah torso, tetapi menyentuh matras dengan tangan bebasnya untuk menyeimbangkan diri. Hasilnya?</v>
      </c>
      <c r="I98" s="5" t="str">
        <f>IFERROR(__xludf.DUMMYFUNCTION("GOOGLETRANSLATE(C98, ""en"", ""id"")"),"A) Poin penuh B) Poin parsial C) Tidak ada poin D) Hanya pengurangan")</f>
        <v>A) Poin penuh B) Poin parsial C) Tidak ada poin D) Hanya pengurangan</v>
      </c>
      <c r="J98" s="5" t="str">
        <f>IFERROR(__xludf.DUMMYFUNCTION("GOOGLETRANSLATE(D98, ""en"", ""id"")"),"B) Titik parsial")</f>
        <v>B) Titik parsial</v>
      </c>
      <c r="K98" s="5" t="str">
        <f>IFERROR(__xludf.DUMMYFUNCTION("GOOGLETRANSLATE(E98, ""en"", ""id"")"),"Hilangnya keseimbangan penuh (tangan di atas matras) mengurangi nilai pukulan yang sah.")</f>
        <v>Hilangnya keseimbangan penuh (tangan di atas matras) mengurangi nilai pukulan yang sah.</v>
      </c>
    </row>
    <row r="99">
      <c r="A99" s="3">
        <v>98.0</v>
      </c>
      <c r="B99" s="4" t="s">
        <v>2208</v>
      </c>
      <c r="C99" s="7" t="s">
        <v>2209</v>
      </c>
      <c r="D99" s="4" t="s">
        <v>2210</v>
      </c>
      <c r="E99" s="4" t="s">
        <v>2211</v>
      </c>
      <c r="G99" s="5" t="str">
        <f>IFERROR(__xludf.DUMMYFUNCTION("GOOGLETRANSLATE(A99, ""en"", ""id"")"),"98")</f>
        <v>98</v>
      </c>
      <c r="H99" s="5" t="str">
        <f>IFERROR(__xludf.DUMMYFUNCTION("GOOGLETRANSLATE(B99, ""en"", ""id"")"),"Selama acara antarnegara, Petarung B berulang kali mundur ke sudut, memaksa pengaturan ulang tanpa memulai serangan. Keputusan?")</f>
        <v>Selama acara antarnegara, Petarung B berulang kali mundur ke sudut, memaksa pengaturan ulang tanpa memulai serangan. Keputusan?</v>
      </c>
      <c r="I99" s="5" t="str">
        <f>IFERROR(__xludf.DUMMYFUNCTION("GOOGLETRANSLATE(C99, ""en"", ""id"")"),"A) Penghargaan untuk jenderal cincin B) Peringatan dan kemungkinan pengurangan C) Poin penuh untuk strategi D) Tidak ada tindakan")</f>
        <v>A) Penghargaan untuk jenderal cincin B) Peringatan dan kemungkinan pengurangan C) Poin penuh untuk strategi D) Tidak ada tindakan</v>
      </c>
      <c r="J99" s="5" t="str">
        <f>IFERROR(__xludf.DUMMYFUNCTION("GOOGLETRANSLATE(D99, ""en"", ""id"")"),"B) Peringatan dan kemungkinan pengurangan")</f>
        <v>B) Peringatan dan kemungkinan pengurangan</v>
      </c>
      <c r="K99" s="5" t="str">
        <f>IFERROR(__xludf.DUMMYFUNCTION("GOOGLETRANSLATE(E99, ""en"", ""id"")"),"Penghindaran keterlibatan secara sistematis dihukum sebagai kepasifan.")</f>
        <v>Penghindaran keterlibatan secara sistematis dihukum sebagai kepasifan.</v>
      </c>
    </row>
    <row r="100">
      <c r="A100" s="3">
        <v>99.0</v>
      </c>
      <c r="B100" s="4" t="s">
        <v>2212</v>
      </c>
      <c r="C100" s="7" t="s">
        <v>2213</v>
      </c>
      <c r="D100" s="4" t="s">
        <v>2214</v>
      </c>
      <c r="E100" s="4" t="s">
        <v>2215</v>
      </c>
      <c r="G100" s="5" t="str">
        <f>IFERROR(__xludf.DUMMYFUNCTION("GOOGLETRANSLATE(A100, ""en"", ""id"")"),"99")</f>
        <v>99</v>
      </c>
      <c r="H100" s="5" t="str">
        <f>IFERROR(__xludf.DUMMYFUNCTION("GOOGLETRANSLATE(B100, ""en"", ""id"")"),"Di final junior, Petarung A mencoba menangkap kaki lawan; ia menahan tendangan tersebut sebentar dan melakukan takedown yang aman dengan kontrol penuh. Mencetak gol?")</f>
        <v>Di final junior, Petarung A mencoba menangkap kaki lawan; ia menahan tendangan tersebut sebentar dan melakukan takedown yang aman dengan kontrol penuh. Mencetak gol?</v>
      </c>
      <c r="I100" s="5" t="str">
        <f>IFERROR(__xludf.DUMMYFUNCTION("GOOGLETRANSLATE(C100, ""en"", ""id"")"),"A) Poin penuh untuk takedown B) Poin parsial C) Tidak ada poin karena tangkapan kaki D) Pengurangan untuk menahan")</f>
        <v>A) Poin penuh untuk takedown B) Poin parsial C) Tidak ada poin karena tangkapan kaki D) Pengurangan untuk menahan</v>
      </c>
      <c r="J100" s="5" t="str">
        <f>IFERROR(__xludf.DUMMYFUNCTION("GOOGLETRANSLATE(D100, ""en"", ""id"")"),"A) Poin penuh untuk takedown")</f>
        <v>A) Poin penuh untuk takedown</v>
      </c>
      <c r="K100" s="5" t="str">
        <f>IFERROR(__xludf.DUMMYFUNCTION("GOOGLETRANSLATE(E100, ""en"", ""id"")"),"Pengambilan yang terkendali dari tangkapan yang sah mendapat poin penuh ketika keselamatan dan pengendalian diperlihatkan.")</f>
        <v>Pengambilan yang terkendali dari tangkapan yang sah mendapat poin penuh ketika keselamatan dan pengendalian diperlihatkan.</v>
      </c>
    </row>
    <row r="101">
      <c r="A101" s="3">
        <v>100.0</v>
      </c>
      <c r="B101" s="4" t="s">
        <v>2216</v>
      </c>
      <c r="C101" s="7" t="s">
        <v>2217</v>
      </c>
      <c r="D101" s="4" t="s">
        <v>2203</v>
      </c>
      <c r="E101" s="4" t="s">
        <v>2218</v>
      </c>
      <c r="G101" s="5" t="str">
        <f>IFERROR(__xludf.DUMMYFUNCTION("GOOGLETRANSLATE(A101, ""en"", ""id"")"),"100")</f>
        <v>100</v>
      </c>
      <c r="H101" s="5" t="str">
        <f>IFERROR(__xludf.DUMMYFUNCTION("GOOGLETRANSLATE(B101, ""en"", ""id"")"),"Pada pertandingan tingkat provinsi, petarung B mendaratkan serangan lutut ke torso dari posisi clinch dengan jarak yang tepat (zona legal), lalu melepaskannya dengan bersih. Apa hadiahnya?")</f>
        <v>Pada pertandingan tingkat provinsi, petarung B mendaratkan serangan lutut ke torso dari posisi clinch dengan jarak yang tepat (zona legal), lalu melepaskannya dengan bersih. Apa hadiahnya?</v>
      </c>
      <c r="I101" s="5" t="str">
        <f>IFERROR(__xludf.DUMMYFUNCTION("GOOGLETRANSLATE(C101, ""en"", ""id"")"),"A) Poin penuh B) Poin parsial C) Tidak ada poin D) Pengurangan untuk penggunaan clinch")</f>
        <v>A) Poin penuh B) Poin parsial C) Tidak ada poin D) Pengurangan untuk penggunaan clinch</v>
      </c>
      <c r="J101" s="5" t="str">
        <f>IFERROR(__xludf.DUMMYFUNCTION("GOOGLETRANSLATE(D101, ""en"", ""id"")"),"A) Poin penuh")</f>
        <v>A) Poin penuh</v>
      </c>
      <c r="K101" s="5" t="str">
        <f>IFERROR(__xludf.DUMMYFUNCTION("GOOGLETRANSLATE(E101, ""en"", ""id"")"),"Lutut yang sah ke sasaran yang sah dengan skor kontrol sepenuhnya.")</f>
        <v>Lutut yang sah ke sasaran yang sah dengan skor kontrol sepenuhnya.</v>
      </c>
    </row>
    <row r="102">
      <c r="A102" s="3">
        <v>101.0</v>
      </c>
      <c r="B102" s="4" t="s">
        <v>2219</v>
      </c>
      <c r="C102" s="7" t="s">
        <v>2220</v>
      </c>
      <c r="D102" s="4" t="s">
        <v>2159</v>
      </c>
      <c r="E102" s="4" t="s">
        <v>2221</v>
      </c>
      <c r="G102" s="5" t="str">
        <f>IFERROR(__xludf.DUMMYFUNCTION("GOOGLETRANSLATE(A102, ""en"", ""id"")"),"101")</f>
        <v>101</v>
      </c>
      <c r="H102" s="5" t="str">
        <f>IFERROR(__xludf.DUMMYFUNCTION("GOOGLETRANSLATE(B102, ""en"", ""id"")"),"Dalam pertandingan yang disiarkan televisi, petarung A menangkis tendangan kepala, tergelincir, tetapi tetap berada di dalam batas; tidak ada serangan balik. Bagaimana ini dinilai?")</f>
        <v>Dalam pertandingan yang disiarkan televisi, petarung A menangkis tendangan kepala, tergelincir, tetapi tetap berada di dalam batas; tidak ada serangan balik. Bagaimana ini dinilai?</v>
      </c>
      <c r="I102" s="5" t="str">
        <f>IFERROR(__xludf.DUMMYFUNCTION("GOOGLETRANSLATE(C102, ""en"", ""id"")"),"A) Poin penuh untuk blok B) Poin parsial C) Tidak ada poin D) Pengurangan karena tergelincir")</f>
        <v>A) Poin penuh untuk blok B) Poin parsial C) Tidak ada poin D) Pengurangan karena tergelincir</v>
      </c>
      <c r="J102" s="5" t="str">
        <f>IFERROR(__xludf.DUMMYFUNCTION("GOOGLETRANSLATE(D102, ""en"", ""id"")"),"B) Titik parsial")</f>
        <v>B) Titik parsial</v>
      </c>
      <c r="K102" s="5" t="str">
        <f>IFERROR(__xludf.DUMMYFUNCTION("GOOGLETRANSLATE(E102, ""en"", ""id"")"),"Pemblokiran yang efektif tetap sah; kesalahan kecil tanpa pelanggaran batas hanya mengurangi dampak, bukan legalitas.")</f>
        <v>Pemblokiran yang efektif tetap sah; kesalahan kecil tanpa pelanggaran batas hanya mengurangi dampak, bukan legalitas.</v>
      </c>
    </row>
    <row r="103">
      <c r="A103" s="3">
        <v>102.0</v>
      </c>
      <c r="B103" s="4" t="s">
        <v>2222</v>
      </c>
      <c r="C103" s="7" t="s">
        <v>2223</v>
      </c>
      <c r="D103" s="4" t="s">
        <v>2187</v>
      </c>
      <c r="E103" s="4" t="s">
        <v>2224</v>
      </c>
      <c r="G103" s="5" t="str">
        <f>IFERROR(__xludf.DUMMYFUNCTION("GOOGLETRANSLATE(A103, ""en"", ""id"")"),"102")</f>
        <v>102</v>
      </c>
      <c r="H103" s="5" t="str">
        <f>IFERROR(__xludf.DUMMYFUNCTION("GOOGLETRANSLATE(B103, ""en"", ""id"")"),"Dalam kejuaraan kota, Petarung B melakukan kuncian pergelangan tangan sambil berdiri; lawan memberi sinyal tidak nyaman, tetapi melepaskan diri sebelum wasit memberi tahu. Hasilnya?")</f>
        <v>Dalam kejuaraan kota, Petarung B melakukan kuncian pergelangan tangan sambil berdiri; lawan memberi sinyal tidak nyaman, tetapi melepaskan diri sebelum wasit memberi tahu. Hasilnya?</v>
      </c>
      <c r="I103" s="5" t="str">
        <f>IFERROR(__xludf.DUMMYFUNCTION("GOOGLETRANSLATE(C103, ""en"", ""id"")"),"A) Poin penuh untuk kuncian B) Poin parsial C) Tidak ada poin D) Pengurangan untuk penyerahan berbahaya")</f>
        <v>A) Poin penuh untuk kuncian B) Poin parsial C) Tidak ada poin D) Pengurangan untuk penyerahan berbahaya</v>
      </c>
      <c r="J103" s="5" t="str">
        <f>IFERROR(__xludf.DUMMYFUNCTION("GOOGLETRANSLATE(D103, ""en"", ""id"")"),"C) Tidak ada poin")</f>
        <v>C) Tidak ada poin</v>
      </c>
      <c r="K103" s="5" t="str">
        <f>IFERROR(__xludf.DUMMYFUNCTION("GOOGLETRANSLATE(E103, ""en"", ""id"")"),"Kunci harus dipertahankan sampai wasit mengonfirmasi untuk mencetak gol.")</f>
        <v>Kunci harus dipertahankan sampai wasit mengonfirmasi untuk mencetak gol.</v>
      </c>
    </row>
    <row r="104">
      <c r="A104" s="3">
        <v>103.0</v>
      </c>
      <c r="B104" s="4" t="s">
        <v>2225</v>
      </c>
      <c r="C104" s="7" t="s">
        <v>2226</v>
      </c>
      <c r="D104" s="4" t="s">
        <v>2227</v>
      </c>
      <c r="E104" s="4" t="s">
        <v>2228</v>
      </c>
      <c r="G104" s="5" t="str">
        <f>IFERROR(__xludf.DUMMYFUNCTION("GOOGLETRANSLATE(A104, ""en"", ""id"")"),"103")</f>
        <v>103</v>
      </c>
      <c r="H104" s="5" t="str">
        <f>IFERROR(__xludf.DUMMYFUNCTION("GOOGLETRANSLATE(B104, ""en"", ""id"")"),"Dalam pertandingan tim campuran, Petarung A melakukan sapuan yang sah, tetapi sudutnya meletus dan melangkah ke atas matras. Keputusan?")</f>
        <v>Dalam pertandingan tim campuran, Petarung A melakukan sapuan yang sah, tetapi sudutnya meletus dan melangkah ke atas matras. Keputusan?</v>
      </c>
      <c r="I104" s="5" t="str">
        <f>IFERROR(__xludf.DUMMYFUNCTION("GOOGLETRANSLATE(C104, ""en"", ""id"")"),"A) Poin penuh dengan peringatan kepada tim B) Mengurangi poin dari atlet C) Mendiskualifikasi tim D) Abaikan kerumunan")</f>
        <v>A) Poin penuh dengan peringatan kepada tim B) Mengurangi poin dari atlet C) Mendiskualifikasi tim D) Abaikan kerumunan</v>
      </c>
      <c r="J104" s="5" t="str">
        <f>IFERROR(__xludf.DUMMYFUNCTION("GOOGLETRANSLATE(D104, ""en"", ""id"")"),"A) Poin penuh dengan peringatan kepada tim")</f>
        <v>A) Poin penuh dengan peringatan kepada tim</v>
      </c>
      <c r="K104" s="5" t="str">
        <f>IFERROR(__xludf.DUMMYFUNCTION("GOOGLETRANSLATE(E104, ""en"", ""id"")"),"Tindakan atlet yang sah tetap berlaku; pelanggaran yang dilakukan tim akan menimbulkan peringatan resmi atau sanksi tim.")</f>
        <v>Tindakan atlet yang sah tetap berlaku; pelanggaran yang dilakukan tim akan menimbulkan peringatan resmi atau sanksi tim.</v>
      </c>
    </row>
    <row r="105">
      <c r="A105" s="3">
        <v>104.0</v>
      </c>
      <c r="B105" s="4" t="s">
        <v>2229</v>
      </c>
      <c r="C105" s="7" t="s">
        <v>2230</v>
      </c>
      <c r="D105" s="4" t="s">
        <v>2231</v>
      </c>
      <c r="E105" s="4" t="s">
        <v>2232</v>
      </c>
      <c r="G105" s="5" t="str">
        <f>IFERROR(__xludf.DUMMYFUNCTION("GOOGLETRANSLATE(A105, ""en"", ""id"")"),"104")</f>
        <v>104</v>
      </c>
      <c r="H105" s="5" t="str">
        <f>IFERROR(__xludf.DUMMYFUNCTION("GOOGLETRANSLATE(B105, ""en"", ""id"")"),"Saat pertandingan liga universitas, tali sarung tangan Petarung B mengendur. Ia memberi isyarat kepada wasit dan berhenti. Apa yang seharusnya terjadi?")</f>
        <v>Saat pertandingan liga universitas, tali sarung tangan Petarung B mengendur. Ia memberi isyarat kepada wasit dan berhenti. Apa yang seharusnya terjadi?</v>
      </c>
      <c r="I105" s="5" t="str">
        <f>IFERROR(__xludf.DUMMYFUNCTION("GOOGLETRANSLATE(C105, ""en"", ""id"")"),"A) Pengurangan karena berhenti B) Peringatan kepada lawan C) Perbaikan dan melanjutkan peralatan D) Pemberian poin kepada lawan")</f>
        <v>A) Pengurangan karena berhenti B) Peringatan kepada lawan C) Perbaikan dan melanjutkan peralatan D) Pemberian poin kepada lawan</v>
      </c>
      <c r="J105" s="5" t="str">
        <f>IFERROR(__xludf.DUMMYFUNCTION("GOOGLETRANSLATE(D105, ""en"", ""id"")"),"C) Perbaikan dan melanjutkan peralatan")</f>
        <v>C) Perbaikan dan melanjutkan peralatan</v>
      </c>
      <c r="K105" s="5" t="str">
        <f>IFERROR(__xludf.DUMMYFUNCTION("GOOGLETRANSLATE(E105, ""en"", ""id"")"),"Masalah keselamatan/peralatan memerlukan jeda dan koreksi tanpa penalti jika diberi sinyal yang tepat.")</f>
        <v>Masalah keselamatan/peralatan memerlukan jeda dan koreksi tanpa penalti jika diberi sinyal yang tepat.</v>
      </c>
    </row>
    <row r="106">
      <c r="A106" s="3">
        <v>105.0</v>
      </c>
      <c r="B106" s="4" t="s">
        <v>2233</v>
      </c>
      <c r="C106" s="7" t="s">
        <v>2234</v>
      </c>
      <c r="D106" s="4" t="s">
        <v>2203</v>
      </c>
      <c r="E106" s="4" t="s">
        <v>2235</v>
      </c>
      <c r="G106" s="5" t="str">
        <f>IFERROR(__xludf.DUMMYFUNCTION("GOOGLETRANSLATE(A106, ""en"", ""id"")"),"105")</f>
        <v>105</v>
      </c>
      <c r="H106" s="5" t="str">
        <f>IFERROR(__xludf.DUMMYFUNCTION("GOOGLETRANSLATE(B106, ""en"", ""id"")"),"Dalam pertandingan final, Petarung A mendaratkan pukulan torso dan langsung menggunakan footwork untuk menghindari serangan balik sambil tetap berada di tengah ring. Skor?")</f>
        <v>Dalam pertandingan final, Petarung A mendaratkan pukulan torso dan langsung menggunakan footwork untuk menghindari serangan balik sambil tetap berada di tengah ring. Skor?</v>
      </c>
      <c r="I106" s="5" t="str">
        <f>IFERROR(__xludf.DUMMYFUNCTION("GOOGLETRANSLATE(C106, ""en"", ""id"")"),"A) Poin penuh B) Poin parsial C) Tidak ada poin D) Pengurangan karena tidak terlibat")</f>
        <v>A) Poin penuh B) Poin parsial C) Tidak ada poin D) Pengurangan karena tidak terlibat</v>
      </c>
      <c r="J106" s="5" t="str">
        <f>IFERROR(__xludf.DUMMYFUNCTION("GOOGLETRANSLATE(D106, ""en"", ""id"")"),"A) Poin penuh")</f>
        <v>A) Poin penuh</v>
      </c>
      <c r="K106" s="5" t="str">
        <f>IFERROR(__xludf.DUMMYFUNCTION("GOOGLETRANSLATE(E106, ""en"", ""id"")"),"Teknik yang bersih ditambah pengendalian ring dan kesiapan yang berkelanjutan patut mendapat penghargaan penuh.")</f>
        <v>Teknik yang bersih ditambah pengendalian ring dan kesiapan yang berkelanjutan patut mendapat penghargaan penuh.</v>
      </c>
    </row>
    <row r="107">
      <c r="A107" s="3">
        <v>106.0</v>
      </c>
      <c r="B107" s="4" t="s">
        <v>2236</v>
      </c>
      <c r="C107" s="7" t="s">
        <v>2237</v>
      </c>
      <c r="D107" s="4" t="s">
        <v>2238</v>
      </c>
      <c r="E107" s="4" t="s">
        <v>2239</v>
      </c>
      <c r="G107" s="5" t="str">
        <f>IFERROR(__xludf.DUMMYFUNCTION("GOOGLETRANSLATE(A107, ""en"", ""id"")"),"106")</f>
        <v>106</v>
      </c>
      <c r="H107" s="5" t="str">
        <f>IFERROR(__xludf.DUMMYFUNCTION("GOOGLETRANSLATE(B107, ""en"", ""id"")"),"Pada pertandingan undangan di pesisir, Petarung B melakukan dorongan dengan kedua tangan untuk menciptakan jarak; lawan tersandung tetapi tidak ada serangan berikutnya. Keputusan?")</f>
        <v>Pada pertandingan undangan di pesisir, Petarung B melakukan dorongan dengan kedua tangan untuk menciptakan jarak; lawan tersandung tetapi tidak ada serangan berikutnya. Keputusan?</v>
      </c>
      <c r="I107" s="5" t="str">
        <f>IFERROR(__xludf.DUMMYFUNCTION("GOOGLETRANSLATE(C107, ""en"", ""id"")"),"A) Poin untuk ketidakseimbangan B) Tidak ada poin dan peringatan lisan C) Pengurangan untuk mendorong D) Poin penuh untuk kontrol")</f>
        <v>A) Poin untuk ketidakseimbangan B) Tidak ada poin dan peringatan lisan C) Pengurangan untuk mendorong D) Poin penuh untuk kontrol</v>
      </c>
      <c r="J107" s="5" t="str">
        <f>IFERROR(__xludf.DUMMYFUNCTION("GOOGLETRANSLATE(D107, ""en"", ""id"")"),"B) Tidak ada poin dan peringatan lisan")</f>
        <v>B) Tidak ada poin dan peringatan lisan</v>
      </c>
      <c r="K107" s="5" t="str">
        <f>IFERROR(__xludf.DUMMYFUNCTION("GOOGLETRANSLATE(E107, ""en"", ""id"")"),"Mendorong bukanlah teknik penilaian; dapat menimbulkan peringatan jika berlebihan.")</f>
        <v>Mendorong bukanlah teknik penilaian; dapat menimbulkan peringatan jika berlebihan.</v>
      </c>
    </row>
    <row r="108">
      <c r="A108" s="3">
        <v>107.0</v>
      </c>
      <c r="B108" s="4" t="s">
        <v>2240</v>
      </c>
      <c r="C108" s="7" t="s">
        <v>2241</v>
      </c>
      <c r="D108" s="4" t="s">
        <v>2187</v>
      </c>
      <c r="E108" s="4" t="s">
        <v>2242</v>
      </c>
      <c r="G108" s="5" t="str">
        <f>IFERROR(__xludf.DUMMYFUNCTION("GOOGLETRANSLATE(A108, ""en"", ""id"")"),"107")</f>
        <v>107</v>
      </c>
      <c r="H108" s="5" t="str">
        <f>IFERROR(__xludf.DUMMYFUNCTION("GOOGLETRANSLATE(B108, ""en"", ""id"")"),"Dalam pertarungan sesi malam, Petarung A melakukan tendangan terbang yang menyentuh bahu dengan ringan, tanpa perpindahan atau benturan yang jelas. Keputusan?")</f>
        <v>Dalam pertarungan sesi malam, Petarung A melakukan tendangan terbang yang menyentuh bahu dengan ringan, tanpa perpindahan atau benturan yang jelas. Keputusan?</v>
      </c>
      <c r="I108" s="5" t="str">
        <f>IFERROR(__xludf.DUMMYFUNCTION("GOOGLETRANSLATE(C108, ""en"", ""id"")"),"A) Poin penuh B) Poin parsial C) Tidak ada poin D) Pengurangan karena pamer")</f>
        <v>A) Poin penuh B) Poin parsial C) Tidak ada poin D) Pengurangan karena pamer</v>
      </c>
      <c r="J108" s="5" t="str">
        <f>IFERROR(__xludf.DUMMYFUNCTION("GOOGLETRANSLATE(D108, ""en"", ""id"")"),"C) Tidak ada poin")</f>
        <v>C) Tidak ada poin</v>
      </c>
      <c r="K108" s="5" t="str">
        <f>IFERROR(__xludf.DUMMYFUNCTION("GOOGLETRANSLATE(E108, ""en"", ""id"")"),"Sentuhan tanpa dampak efektif gagal mencapai ambang batas penilaian.")</f>
        <v>Sentuhan tanpa dampak efektif gagal mencapai ambang batas penilaian.</v>
      </c>
    </row>
    <row r="109">
      <c r="A109" s="3">
        <v>108.0</v>
      </c>
      <c r="B109" s="4" t="s">
        <v>2243</v>
      </c>
      <c r="C109" s="7" t="s">
        <v>2244</v>
      </c>
      <c r="D109" s="7" t="s">
        <v>2245</v>
      </c>
      <c r="E109" s="4" t="s">
        <v>2246</v>
      </c>
      <c r="G109" s="5" t="str">
        <f>IFERROR(__xludf.DUMMYFUNCTION("GOOGLETRANSLATE(A109, ""en"", ""id"")"),"108")</f>
        <v>108</v>
      </c>
      <c r="H109" s="5" t="str">
        <f>IFERROR(__xludf.DUMMYFUNCTION("GOOGLETRANSLATE(B109, ""en"", ""id"")"),"Saat kejuaraan kampus, Petarung B membalas dengan sapuan tepat setelah bel berbunyi. Apa yang terjadi?")</f>
        <v>Saat kejuaraan kampus, Petarung B membalas dengan sapuan tepat setelah bel berbunyi. Apa yang terjadi?</v>
      </c>
      <c r="I109" s="5" t="str">
        <f>IFERROR(__xludf.DUMMYFUNCTION("GOOGLETRANSLATE(C109, ""en"", ""id"")"),"A) Pemberian poin karena momentum waktu B) Tidak ada poin dan peringatan C) Pengurangan untuk tindakan terlambat D) Diskualifikasi")</f>
        <v>A) Pemberian poin karena momentum waktu B) Tidak ada poin dan peringatan C) Pengurangan untuk tindakan terlambat D) Diskualifikasi</v>
      </c>
      <c r="J109" s="5" t="str">
        <f>IFERROR(__xludf.DUMMYFUNCTION("GOOGLETRANSLATE(D109, ""en"", ""id"")"),"B) Tidak ada poin dan peringatan C) Pengurangan karena tindakan terlambat")</f>
        <v>B) Tidak ada poin dan peringatan C) Pengurangan karena tindakan terlambat</v>
      </c>
      <c r="K109" s="5" t="str">
        <f>IFERROR(__xludf.DUMMYFUNCTION("GOOGLETRANSLATE(E109, ""en"", ""id"")"),"Teknik setelah bel berbunyi tidak sah dan dikenakan penalti.")</f>
        <v>Teknik setelah bel berbunyi tidak sah dan dikenakan penalti.</v>
      </c>
    </row>
    <row r="110">
      <c r="A110" s="3">
        <v>109.0</v>
      </c>
      <c r="B110" s="4" t="s">
        <v>2247</v>
      </c>
      <c r="C110" s="7" t="s">
        <v>2248</v>
      </c>
      <c r="D110" s="4" t="s">
        <v>2203</v>
      </c>
      <c r="E110" s="4" t="s">
        <v>2249</v>
      </c>
      <c r="G110" s="5" t="str">
        <f>IFERROR(__xludf.DUMMYFUNCTION("GOOGLETRANSLATE(A110, ""en"", ""id"")"),"109")</f>
        <v>109</v>
      </c>
      <c r="H110" s="5" t="str">
        <f>IFERROR(__xludf.DUMMYFUNCTION("GOOGLETRANSLATE(B110, ""en"", ""id"")"),"Pada kualifikasi regional, Petarung A menggunakan tangkisan legal dan serangan telapak tangan-tumit instan ke badan dengan formasi tangan tertutup. Skor?")</f>
        <v>Pada kualifikasi regional, Petarung A menggunakan tangkisan legal dan serangan telapak tangan-tumit instan ke badan dengan formasi tangan tertutup. Skor?</v>
      </c>
      <c r="I110" s="5" t="str">
        <f>IFERROR(__xludf.DUMMYFUNCTION("GOOGLETRANSLATE(C110, ""en"", ""id"")"),"A) Poin penuh B) Poin parsial C) Tidak ada poin D) Pengurangan untuk tangan terbuka")</f>
        <v>A) Poin penuh B) Poin parsial C) Tidak ada poin D) Pengurangan untuk tangan terbuka</v>
      </c>
      <c r="J110" s="5" t="str">
        <f>IFERROR(__xludf.DUMMYFUNCTION("GOOGLETRANSLATE(D110, ""en"", ""id"")"),"A) Poin penuh")</f>
        <v>A) Poin penuh</v>
      </c>
      <c r="K110" s="5" t="str">
        <f>IFERROR(__xludf.DUMMYFUNCTION("GOOGLETRANSLATE(E110, ""en"", ""id"")"),"Serangan yang dibentuk dengan benar dan terkendali setelah pertahanan mendapat kredit penuh.")</f>
        <v>Serangan yang dibentuk dengan benar dan terkendali setelah pertahanan mendapat kredit penuh.</v>
      </c>
    </row>
    <row r="111">
      <c r="A111" s="3">
        <v>110.0</v>
      </c>
      <c r="B111" s="4" t="s">
        <v>2250</v>
      </c>
      <c r="C111" s="7" t="s">
        <v>2251</v>
      </c>
      <c r="D111" s="7" t="s">
        <v>2252</v>
      </c>
      <c r="E111" s="4" t="s">
        <v>2253</v>
      </c>
      <c r="G111" s="5" t="str">
        <f>IFERROR(__xludf.DUMMYFUNCTION("GOOGLETRANSLATE(A111, ""en"", ""id"")"),"110")</f>
        <v>110</v>
      </c>
      <c r="H111" s="5" t="str">
        <f>IFERROR(__xludf.DUMMYFUNCTION("GOOGLETRANSLATE(B111, ""en"", ""id"")"),"Dalam perempat final yang disiarkan televisi, Petarung B menyelinap keluar batas saat mencoba berputar; lawan tidak pernah menyentuhnya. Keputusan?")</f>
        <v>Dalam perempat final yang disiarkan televisi, Petarung B menyelinap keluar batas saat mencoba berputar; lawan tidak pernah menyentuhnya. Keputusan?</v>
      </c>
      <c r="I111" s="5" t="str">
        <f>IFERROR(__xludf.DUMMYFUNCTION("GOOGLETRANSLATE(C111, ""en"", ""id"")"),"A) Tidak ada poin B) Pengurangan karena keluar C) Penghargaan kepada lawan D) Mulai ulang tanpa tindakan")</f>
        <v>A) Tidak ada poin B) Pengurangan karena keluar C) Penghargaan kepada lawan D) Mulai ulang tanpa tindakan</v>
      </c>
      <c r="J111" s="5" t="str">
        <f>IFERROR(__xludf.DUMMYFUNCTION("GOOGLETRANSLATE(D111, ""en"", ""id"")"),"A) Tidak ada poin B) Pengurangan karena keluar")</f>
        <v>A) Tidak ada poin B) Pengurangan karena keluar</v>
      </c>
      <c r="K111" s="5" t="str">
        <f>IFERROR(__xludf.DUMMYFUNCTION("GOOGLETRANSLATE(E111, ""en"", ""id"")"),"Keluar batas yang disebabkan sendiri akan dikenakan penalti; tidak ada skor untuk kedua atlet.")</f>
        <v>Keluar batas yang disebabkan sendiri akan dikenakan penalti; tidak ada skor untuk kedua atlet.</v>
      </c>
    </row>
    <row r="112">
      <c r="A112" s="3">
        <v>111.0</v>
      </c>
      <c r="B112" s="4" t="s">
        <v>2254</v>
      </c>
      <c r="C112" s="7" t="s">
        <v>2255</v>
      </c>
      <c r="D112" s="4" t="s">
        <v>2256</v>
      </c>
      <c r="E112" s="4" t="s">
        <v>2257</v>
      </c>
      <c r="G112" s="5" t="str">
        <f>IFERROR(__xludf.DUMMYFUNCTION("GOOGLETRANSLATE(A112, ""en"", ""id"")"),"111")</f>
        <v>111</v>
      </c>
      <c r="H112" s="5" t="str">
        <f>IFERROR(__xludf.DUMMYFUNCTION("GOOGLETRANSLATE(B112, ""en"", ""id"")"),"Dalam pertandingan multi-negara, petarung A mendaratkan sikutan yang sah ke badan tepat setelah tangkisan bersih, sambil mempertahankan postur tubuhnya. Bagaimana skornya?")</f>
        <v>Dalam pertandingan multi-negara, petarung A mendaratkan sikutan yang sah ke badan tepat setelah tangkisan bersih, sambil mempertahankan postur tubuhnya. Bagaimana skornya?</v>
      </c>
      <c r="I112" s="5" t="str">
        <f>IFERROR(__xludf.DUMMYFUNCTION("GOOGLETRANSLATE(C112, ""en"", ""id"")"),"A) Poin hanya untuk blok B) Poin penuh untuk serangan siku C) Tidak ada poin D) Pengurangan poin untuk serangan siku")</f>
        <v>A) Poin hanya untuk blok B) Poin penuh untuk serangan siku C) Tidak ada poin D) Pengurangan poin untuk serangan siku</v>
      </c>
      <c r="J112" s="5" t="str">
        <f>IFERROR(__xludf.DUMMYFUNCTION("GOOGLETRANSLATE(D112, ""en"", ""id"")"),"B) Poin penuh untuk serangan siku")</f>
        <v>B) Poin penuh untuk serangan siku</v>
      </c>
      <c r="K112" s="5" t="str">
        <f>IFERROR(__xludf.DUMMYFUNCTION("GOOGLETRANSLATE(E112, ""en"", ""id"")"),"Target hukum dan penghitung ketat dari skor keseimbangan sepenuhnya.")</f>
        <v>Target hukum dan penghitung ketat dari skor keseimbangan sepenuhnya.</v>
      </c>
    </row>
    <row r="113">
      <c r="A113" s="3">
        <v>112.0</v>
      </c>
      <c r="B113" s="4" t="s">
        <v>2258</v>
      </c>
      <c r="C113" s="7" t="s">
        <v>2206</v>
      </c>
      <c r="D113" s="4" t="s">
        <v>2159</v>
      </c>
      <c r="E113" s="4" t="s">
        <v>2259</v>
      </c>
      <c r="G113" s="5" t="str">
        <f>IFERROR(__xludf.DUMMYFUNCTION("GOOGLETRANSLATE(A113, ""en"", ""id"")"),"112")</f>
        <v>112</v>
      </c>
      <c r="H113" s="5" t="str">
        <f>IFERROR(__xludf.DUMMYFUNCTION("GOOGLETRANSLATE(B113, ""en"", ""id"")"),"Di final tingkat kota, Petarung B melancarkan pukulan kait, tetapi tangannya yang tidak menyerang jatuh di bawah posisi bertahan dan ia sedikit terhuyung. Skor?")</f>
        <v>Di final tingkat kota, Petarung B melancarkan pukulan kait, tetapi tangannya yang tidak menyerang jatuh di bawah posisi bertahan dan ia sedikit terhuyung. Skor?</v>
      </c>
      <c r="I113" s="5" t="str">
        <f>IFERROR(__xludf.DUMMYFUNCTION("GOOGLETRANSLATE(C113, ""en"", ""id"")"),"A) Poin penuh B) Poin parsial C) Tidak ada poin D) Hanya pengurangan")</f>
        <v>A) Poin penuh B) Poin parsial C) Tidak ada poin D) Hanya pengurangan</v>
      </c>
      <c r="J113" s="5" t="str">
        <f>IFERROR(__xludf.DUMMYFUNCTION("GOOGLETRANSLATE(D113, ""en"", ""id"")"),"B) Titik parsial")</f>
        <v>B) Titik parsial</v>
      </c>
      <c r="K113" s="5" t="str">
        <f>IFERROR(__xludf.DUMMYFUNCTION("GOOGLETRANSLATE(E113, ""en"", ""id"")"),"Kontak bersih tetapi bentuk/keseimbangan terganggu dan berkurang sebagian.")</f>
        <v>Kontak bersih tetapi bentuk/keseimbangan terganggu dan berkurang sebagian.</v>
      </c>
    </row>
    <row r="114">
      <c r="A114" s="3">
        <v>113.0</v>
      </c>
      <c r="B114" s="4" t="s">
        <v>2260</v>
      </c>
      <c r="C114" s="7" t="s">
        <v>2261</v>
      </c>
      <c r="D114" s="7" t="s">
        <v>2262</v>
      </c>
      <c r="E114" s="4" t="s">
        <v>2263</v>
      </c>
      <c r="G114" s="5" t="str">
        <f>IFERROR(__xludf.DUMMYFUNCTION("GOOGLETRANSLATE(A114, ""en"", ""id"")"),"113")</f>
        <v>113</v>
      </c>
      <c r="H114" s="5" t="str">
        <f>IFERROR(__xludf.DUMMYFUNCTION("GOOGLETRANSLATE(B114, ""en"", ""id"")"),"Di sebuah acara kampus, Petarung A berulang kali berpura-pura tanpa melakukan apa pun, tidak memancing serangan dan membuang-buang waktu. Aksi?")</f>
        <v>Di sebuah acara kampus, Petarung A berulang kali berpura-pura tanpa melakukan apa pun, tidak memancing serangan dan membuang-buang waktu. Aksi?</v>
      </c>
      <c r="I114" s="5" t="str">
        <f>IFERROR(__xludf.DUMMYFUNCTION("GOOGLETRANSLATE(C114, ""en"", ""id"")"),"A) Penghargaan untuk strategi B) Peringatan untuk mengulur waktu C) Pengurangan karena membuang-buang waktu D) Tidak ada intervensi")</f>
        <v>A) Penghargaan untuk strategi B) Peringatan untuk mengulur waktu C) Pengurangan karena membuang-buang waktu D) Tidak ada intervensi</v>
      </c>
      <c r="J114" s="5" t="str">
        <f>IFERROR(__xludf.DUMMYFUNCTION("GOOGLETRANSLATE(D114, ""en"", ""id"")"),"B) Peringatan untuk mengulur waktu C) Pengurangan untuk membuang-buang waktu")</f>
        <v>B) Peringatan untuk mengulur waktu C) Pengurangan untuk membuang-buang waktu</v>
      </c>
      <c r="K114" s="5" t="str">
        <f>IFERROR(__xludf.DUMMYFUNCTION("GOOGLETRANSLATE(E114, ""en"", ""id"")"),"Ketidakterlibatan yang berlebihan akan dikenakan sanksi untuk menjaga kelancaran kontes.")</f>
        <v>Ketidakterlibatan yang berlebihan akan dikenakan sanksi untuk menjaga kelancaran kontes.</v>
      </c>
    </row>
    <row r="115">
      <c r="A115" s="3">
        <v>114.0</v>
      </c>
      <c r="B115" s="4" t="s">
        <v>2264</v>
      </c>
      <c r="C115" s="7" t="s">
        <v>2265</v>
      </c>
      <c r="D115" s="4" t="s">
        <v>2159</v>
      </c>
      <c r="E115" s="4" t="s">
        <v>2266</v>
      </c>
      <c r="G115" s="5" t="str">
        <f>IFERROR(__xludf.DUMMYFUNCTION("GOOGLETRANSLATE(A115, ""en"", ""id"")"),"114")</f>
        <v>114</v>
      </c>
      <c r="H115" s="5" t="str">
        <f>IFERROR(__xludf.DUMMYFUNCTION("GOOGLETRANSLATE(B115, ""en"", ""id"")"),"Dalam seleksi kamp nasional, Petarung B mendaratkan tendangan ke badan; lawan jatuh karena kaki terlilit, bukan karena benturan. Mana yang benar?")</f>
        <v>Dalam seleksi kamp nasional, Petarung B mendaratkan tendangan ke badan; lawan jatuh karena kaki terlilit, bukan karena benturan. Mana yang benar?</v>
      </c>
      <c r="I115" s="5" t="str">
        <f>IFERROR(__xludf.DUMMYFUNCTION("GOOGLETRANSLATE(C115, ""en"", ""id"")"),"A) Poin penuh B) Poin parsial C) Tidak ada poin D) Pengurangan untuk lawan")</f>
        <v>A) Poin penuh B) Poin parsial C) Tidak ada poin D) Pengurangan untuk lawan</v>
      </c>
      <c r="J115" s="5" t="str">
        <f>IFERROR(__xludf.DUMMYFUNCTION("GOOGLETRANSLATE(D115, ""en"", ""id"")"),"B) Titik parsial")</f>
        <v>B) Titik parsial</v>
      </c>
      <c r="K115" s="5" t="str">
        <f>IFERROR(__xludf.DUMMYFUNCTION("GOOGLETRANSLATE(E115, ""en"", ""id"")"),"Tendangan mengenai sasaran; jatuhnya tidak disebabkan oleh gaya efektif, jadi hanya sebagian nilai yang berlaku.")</f>
        <v>Tendangan mengenai sasaran; jatuhnya tidak disebabkan oleh gaya efektif, jadi hanya sebagian nilai yang berlaku.</v>
      </c>
    </row>
    <row r="116">
      <c r="A116" s="3">
        <v>115.0</v>
      </c>
      <c r="B116" s="4" t="s">
        <v>2267</v>
      </c>
      <c r="C116" s="7" t="s">
        <v>2268</v>
      </c>
      <c r="D116" s="4" t="s">
        <v>2203</v>
      </c>
      <c r="E116" s="4" t="s">
        <v>2269</v>
      </c>
      <c r="G116" s="5" t="str">
        <f>IFERROR(__xludf.DUMMYFUNCTION("GOOGLETRANSLATE(A116, ""en"", ""id"")"),"115")</f>
        <v>115</v>
      </c>
      <c r="H116" s="5" t="str">
        <f>IFERROR(__xludf.DUMMYFUNCTION("GOOGLETRANSLATE(B116, ""en"", ""id"")"),"Selama pertandingan invitasi, Petarung A melakukan kuncian bahu; wasit memberi tanda, dan A melepaskannya dengan aman. Skor?")</f>
        <v>Selama pertandingan invitasi, Petarung A melakukan kuncian bahu; wasit memberi tanda, dan A melepaskannya dengan aman. Skor?</v>
      </c>
      <c r="I116" s="5" t="str">
        <f>IFERROR(__xludf.DUMMYFUNCTION("GOOGLETRANSLATE(C116, ""en"", ""id"")"),"A) Poin penuh B) Poin parsial C) Tidak ada poin D) Pengurangan untuk penyerahan")</f>
        <v>A) Poin penuh B) Poin parsial C) Tidak ada poin D) Pengurangan untuk penyerahan</v>
      </c>
      <c r="J116" s="5" t="str">
        <f>IFERROR(__xludf.DUMMYFUNCTION("GOOGLETRANSLATE(D116, ""en"", ""id"")"),"A) Poin penuh")</f>
        <v>A) Poin penuh</v>
      </c>
      <c r="K116" s="5" t="str">
        <f>IFERROR(__xludf.DUMMYFUNCTION("GOOGLETRANSLATE(E116, ""en"", ""id"")"),"Kontrol yang diakui dipertahankan untuk memberi sinyal memperoleh kredit penuh.")</f>
        <v>Kontrol yang diakui dipertahankan untuk memberi sinyal memperoleh kredit penuh.</v>
      </c>
    </row>
    <row r="117">
      <c r="A117" s="3">
        <v>116.0</v>
      </c>
      <c r="B117" s="4" t="s">
        <v>2270</v>
      </c>
      <c r="C117" s="7" t="s">
        <v>2271</v>
      </c>
      <c r="D117" s="4" t="s">
        <v>2272</v>
      </c>
      <c r="E117" s="4" t="s">
        <v>2273</v>
      </c>
      <c r="G117" s="5" t="str">
        <f>IFERROR(__xludf.DUMMYFUNCTION("GOOGLETRANSLATE(A117, ""en"", ""id"")"),"116")</f>
        <v>116</v>
      </c>
      <c r="H117" s="5" t="str">
        <f>IFERROR(__xludf.DUMMYFUNCTION("GOOGLETRANSLATE(B117, ""en"", ""id"")"),"Dalam penentuan juara, Petarung B menunjukkan kendali ring yang superior, transisi kuda-kuda yang seimbang, dan variasi teknik tradisional sambil mengimbangi serangan. Keputusan?")</f>
        <v>Dalam penentuan juara, Petarung B menunjukkan kendali ring yang superior, transisi kuda-kuda yang seimbang, dan variasi teknik tradisional sambil mengimbangi serangan. Keputusan?</v>
      </c>
      <c r="I117" s="5" t="str">
        <f>IFERROR(__xludf.DUMMYFUNCTION("GOOGLETRANSLATE(C117, ""en"", ""id"")"),"A) Lebih suka agresi B) Lebih suka superioritas teknis tradisional C) Lebih suka jumlah serangan mentah D) Lebih suka reaksi penonton")</f>
        <v>A) Lebih suka agresi B) Lebih suka superioritas teknis tradisional C) Lebih suka jumlah serangan mentah D) Lebih suka reaksi penonton</v>
      </c>
      <c r="J117" s="5" t="str">
        <f>IFERROR(__xludf.DUMMYFUNCTION("GOOGLETRANSLATE(D117, ""en"", ""id"")"),"B) Mendukung keunggulan teknis tradisional")</f>
        <v>B) Mendukung keunggulan teknis tradisional</v>
      </c>
      <c r="K117" s="5" t="str">
        <f>IFERROR(__xludf.DUMMYFUNCTION("GOOGLETRANSLATE(E117, ""en"", ""id"")"),"Jika seri, juri akan menilai kemahiran teknis/tradisional dan pengendalian.")</f>
        <v>Jika seri, juri akan menilai kemahiran teknis/tradisional dan pengendalian.</v>
      </c>
    </row>
    <row r="118">
      <c r="A118" s="3">
        <v>117.0</v>
      </c>
      <c r="B118" s="4" t="s">
        <v>2274</v>
      </c>
      <c r="C118" s="7" t="s">
        <v>2275</v>
      </c>
      <c r="D118" s="4" t="s">
        <v>2187</v>
      </c>
      <c r="E118" s="4" t="s">
        <v>2276</v>
      </c>
      <c r="G118" s="5" t="str">
        <f>IFERROR(__xludf.DUMMYFUNCTION("GOOGLETRANSLATE(A118, ""en"", ""id"")"),"117")</f>
        <v>117</v>
      </c>
      <c r="H118" s="5" t="str">
        <f>IFERROR(__xludf.DUMMYFUNCTION("GOOGLETRANSLATE(B118, ""en"", ""id"")"),"Dalam turnamen terbuka, Petarung A mencoba sapuan; lawan melompat dan tetap seimbang; A kemudian segera kembali ke posisi semula. Skor?")</f>
        <v>Dalam turnamen terbuka, Petarung A mencoba sapuan; lawan melompat dan tetap seimbang; A kemudian segera kembali ke posisi semula. Skor?</v>
      </c>
      <c r="I118" s="5" t="str">
        <f>IFERROR(__xludf.DUMMYFUNCTION("GOOGLETRANSLATE(C118, ""en"", ""id"")"),"A) Poin penuh untuk percobaan B) Poin parsial untuk kehilangan keseimbangan C) Tidak ada poin D) Pengurangan poin untuk kegagalan")</f>
        <v>A) Poin penuh untuk percobaan B) Poin parsial untuk kehilangan keseimbangan C) Tidak ada poin D) Pengurangan poin untuk kegagalan</v>
      </c>
      <c r="J118" s="5" t="str">
        <f>IFERROR(__xludf.DUMMYFUNCTION("GOOGLETRANSLATE(D118, ""en"", ""id"")"),"C) Tidak ada poin")</f>
        <v>C) Tidak ada poin</v>
      </c>
      <c r="K118" s="5" t="str">
        <f>IFERROR(__xludf.DUMMYFUNCTION("GOOGLETRANSLATE(E118, ""en"", ""id"")"),"Tanpa efek atau kontrol nyata, sapuan tidak akan menghasilkan skor.")</f>
        <v>Tanpa efek atau kontrol nyata, sapuan tidak akan menghasilkan skor.</v>
      </c>
    </row>
    <row r="119">
      <c r="A119" s="3">
        <v>118.0</v>
      </c>
      <c r="B119" s="4" t="s">
        <v>2277</v>
      </c>
      <c r="C119" s="7" t="s">
        <v>2278</v>
      </c>
      <c r="D119" s="4" t="s">
        <v>2199</v>
      </c>
      <c r="E119" s="4" t="s">
        <v>2279</v>
      </c>
      <c r="G119" s="5" t="str">
        <f>IFERROR(__xludf.DUMMYFUNCTION("GOOGLETRANSLATE(A119, ""en"", ""id"")"),"118")</f>
        <v>118</v>
      </c>
      <c r="H119" s="5" t="str">
        <f>IFERROR(__xludf.DUMMYFUNCTION("GOOGLETRANSLATE(B119, ""en"", ""id"")"),"Dalam pertandingan liga remaja, Petarung B mendaratkan pukulan lurus dan langsung keluar dari batas untuk menghindari serangan balik. Keputusan?")</f>
        <v>Dalam pertandingan liga remaja, Petarung B mendaratkan pukulan lurus dan langsung keluar dari batas untuk menghindari serangan balik. Keputusan?</v>
      </c>
      <c r="I119" s="5" t="str">
        <f>IFERROR(__xludf.DUMMYFUNCTION("GOOGLETRANSLATE(C119, ""en"", ""id"")"),"A) Poin penuh, tidak ada penalti B) Hanya poin parsial C) Tidak ada poin dan pengurangan D) Hanya peringatan")</f>
        <v>A) Poin penuh, tidak ada penalti B) Hanya poin parsial C) Tidak ada poin dan pengurangan D) Hanya peringatan</v>
      </c>
      <c r="J119" s="5" t="str">
        <f>IFERROR(__xludf.DUMMYFUNCTION("GOOGLETRANSLATE(D119, ""en"", ""id"")"),"B) Hanya poin parsial")</f>
        <v>B) Hanya poin parsial</v>
      </c>
      <c r="K119" s="5" t="str">
        <f>IFERROR(__xludf.DUMMYFUNCTION("GOOGLETRANSLATE(E119, ""en"", ""id"")"),"Penilaian terhadap serangan memang penting, tetapi keluar dari batas secara sengaja mengurangi penilaian dan dapat mengundang peringatan.")</f>
        <v>Penilaian terhadap serangan memang penting, tetapi keluar dari batas secara sengaja mengurangi penilaian dan dapat mengundang peringatan.</v>
      </c>
    </row>
    <row r="120">
      <c r="A120" s="3">
        <v>119.0</v>
      </c>
      <c r="B120" s="4" t="s">
        <v>2280</v>
      </c>
      <c r="C120" s="7" t="s">
        <v>2281</v>
      </c>
      <c r="D120" s="7" t="s">
        <v>2282</v>
      </c>
      <c r="E120" s="4" t="s">
        <v>2283</v>
      </c>
      <c r="G120" s="5" t="str">
        <f>IFERROR(__xludf.DUMMYFUNCTION("GOOGLETRANSLATE(A120, ""en"", ""id"")"),"119")</f>
        <v>119</v>
      </c>
      <c r="H120" s="5" t="str">
        <f>IFERROR(__xludf.DUMMYFUNCTION("GOOGLETRANSLATE(B120, ""en"", ""id"")"),"Dalam sebuah kartu yang disiarkan di televisi, Petarung A mencetak angka dengan serangan lutut di jarak dekat, tetapi langsung clinch dan bergulat dengan lawan tanpa teknik. Keputusan?")</f>
        <v>Dalam sebuah kartu yang disiarkan di televisi, Petarung A mencetak angka dengan serangan lutut di jarak dekat, tetapi langsung clinch dan bergulat dengan lawan tanpa teknik. Keputusan?</v>
      </c>
      <c r="I120" s="5" t="str">
        <f>IFERROR(__xludf.DUMMYFUNCTION("GOOGLETRANSLATE(C120, ""en"", ""id"")"),"A) Poin tambahan untuk tekanan B) Pengurangan untuk pergulatan yang berlebihan C) Tidak ada poin D) Poin parsial untuk lutut saja")</f>
        <v>A) Poin tambahan untuk tekanan B) Pengurangan untuk pergulatan yang berlebihan C) Tidak ada poin D) Poin parsial untuk lutut saja</v>
      </c>
      <c r="J120" s="5" t="str">
        <f>IFERROR(__xludf.DUMMYFUNCTION("GOOGLETRANSLATE(D120, ""en"", ""id"")"),"D) Poin parsial hanya untuk lutut B) Pengurangan karena bergulat berlebihan")</f>
        <v>D) Poin parsial hanya untuk lutut B) Pengurangan karena bergulat berlebihan</v>
      </c>
      <c r="K120" s="5" t="str">
        <f>IFERROR(__xludf.DUMMYFUNCTION("GOOGLETRANSLATE(E120, ""en"", ""id"")"),"Lutut dihitung; clinch non-teknis diberi penalti.")</f>
        <v>Lutut dihitung; clinch non-teknis diberi penalti.</v>
      </c>
    </row>
    <row r="121">
      <c r="A121" s="3">
        <v>120.0</v>
      </c>
      <c r="B121" s="4" t="s">
        <v>2284</v>
      </c>
      <c r="C121" s="7" t="s">
        <v>2285</v>
      </c>
      <c r="D121" s="4" t="s">
        <v>2286</v>
      </c>
      <c r="E121" s="4" t="s">
        <v>2287</v>
      </c>
      <c r="G121" s="5" t="str">
        <f>IFERROR(__xludf.DUMMYFUNCTION("GOOGLETRANSLATE(A121, ""en"", ""id"")"),"120")</f>
        <v>120</v>
      </c>
      <c r="H121" s="5" t="str">
        <f>IFERROR(__xludf.DUMMYFUNCTION("GOOGLETRANSLATE(B121, ""en"", ""id"")"),"Di kualifikasi kontinental, petarung B menyamai serangan A, tetapi pertahanan B menunjukkan waktu yang lebih unggul (blok bersih dengan reset cepat). Kecenderungan juri?")</f>
        <v>Di kualifikasi kontinental, petarung B menyamai serangan A, tetapi pertahanan B menunjukkan waktu yang lebih unggul (blok bersih dengan reset cepat). Kecenderungan juri?</v>
      </c>
      <c r="I121" s="5" t="str">
        <f>IFERROR(__xludf.DUMMYFUNCTION("GOOGLETRANSLATE(C121, ""en"", ""id"")"),"A) Menuju volume yang lebih besar B) Menuju teknik/waktu yang lebih bersih C) Menuju atlet yang lebih berisik D) Menuju keuntungan ukuran")</f>
        <v>A) Menuju volume yang lebih besar B) Menuju teknik/waktu yang lebih bersih C) Menuju atlet yang lebih berisik D) Menuju keuntungan ukuran</v>
      </c>
      <c r="J121" s="5" t="str">
        <f>IFERROR(__xludf.DUMMYFUNCTION("GOOGLETRANSLATE(D121, ""en"", ""id"")"),"B) Menuju teknik/waktu yang lebih bersih")</f>
        <v>B) Menuju teknik/waktu yang lebih bersih</v>
      </c>
      <c r="K121" s="5" t="str">
        <f>IFERROR(__xludf.DUMMYFUNCTION("GOOGLETRANSLATE(E121, ""en"", ""id"")"),"Pengaturan waktu/teknik yang unggul dapat mengalahkan volume mentah saat perolehan skor ketat.")</f>
        <v>Pengaturan waktu/teknik yang unggul dapat mengalahkan volume mentah saat perolehan skor ketat.</v>
      </c>
    </row>
    <row r="122">
      <c r="A122" s="3">
        <v>121.0</v>
      </c>
      <c r="B122" s="4" t="s">
        <v>2288</v>
      </c>
      <c r="C122" s="7" t="s">
        <v>2289</v>
      </c>
      <c r="D122" s="7" t="s">
        <v>2290</v>
      </c>
      <c r="E122" s="4" t="s">
        <v>2291</v>
      </c>
      <c r="G122" s="5" t="str">
        <f>IFERROR(__xludf.DUMMYFUNCTION("GOOGLETRANSLATE(A122, ""en"", ""id"")"),"121")</f>
        <v>121</v>
      </c>
      <c r="H122" s="5" t="str">
        <f>IFERROR(__xludf.DUMMYFUNCTION("GOOGLETRANSLATE(B122, ""en"", ""id"")"),"Saat pertandingan undangan di tepi pantai, suara angin menutupi bel; Petarung A jelas-jelas melakukan tendangan setelah waktu habis. Keputusan?")</f>
        <v>Saat pertandingan undangan di tepi pantai, suara angin menutupi bel; Petarung A jelas-jelas melakukan tendangan setelah waktu habis. Keputusan?</v>
      </c>
      <c r="I122" s="5" t="str">
        <f>IFERROR(__xludf.DUMMYFUNCTION("GOOGLETRANSLATE(C122, ""en"", ""id"")"),"A) Hitung karena kebingungan B) Tidak ada poin dan peringatan C) Pengurangan terlepas dari itu D) Didiskualifikasi")</f>
        <v>A) Hitung karena kebingungan B) Tidak ada poin dan peringatan C) Pengurangan terlepas dari itu D) Didiskualifikasi</v>
      </c>
      <c r="J122" s="5" t="str">
        <f>IFERROR(__xludf.DUMMYFUNCTION("GOOGLETRANSLATE(D122, ""en"", ""id"")"),"B) Tidak ada poin dan peringatan C) Pengurangan tanpa memandang apa pun")</f>
        <v>B) Tidak ada poin dan peringatan C) Pengurangan tanpa memandang apa pun</v>
      </c>
      <c r="K122" s="5" t="str">
        <f>IFERROR(__xludf.DUMMYFUNCTION("GOOGLETRANSLATE(E122, ""en"", ""id"")"),"Petugas menerapkan waktu dengan ketat; atlet harus berjuang hingga bel berbunyi, ada kebingungan atau tidak.")</f>
        <v>Petugas menerapkan waktu dengan ketat; atlet harus berjuang hingga bel berbunyi, ada kebingungan atau tidak.</v>
      </c>
    </row>
    <row r="123">
      <c r="A123" s="3">
        <v>122.0</v>
      </c>
      <c r="B123" s="4" t="s">
        <v>2292</v>
      </c>
      <c r="C123" s="7" t="s">
        <v>2293</v>
      </c>
      <c r="D123" s="4" t="s">
        <v>2294</v>
      </c>
      <c r="E123" s="4" t="s">
        <v>2295</v>
      </c>
      <c r="G123" s="5" t="str">
        <f>IFERROR(__xludf.DUMMYFUNCTION("GOOGLETRANSLATE(A123, ""en"", ""id"")"),"122")</f>
        <v>122</v>
      </c>
      <c r="H123" s="5" t="str">
        <f>IFERROR(__xludf.DUMMYFUNCTION("GOOGLETRANSLATE(B123, ""en"", ""id"")"),"Dalam pertandingan medali, jurus Petarung B dalam upacara pembukaan memiliki bentuk tangan yang tidak lazim tetapi ritmenya sempurna. Bagaimana bagian jurus dievaluasi?")</f>
        <v>Dalam pertandingan medali, jurus Petarung B dalam upacara pembukaan memiliki bentuk tangan yang tidak lazim tetapi ritmenya sempurna. Bagaimana bagian jurus dievaluasi?</v>
      </c>
      <c r="I123" s="5" t="str">
        <f>IFERROR(__xludf.DUMMYFUNCTION("GOOGLETRANSLATE(C123, ""en"", ""id"")"),"A) Poin penuh untuk ritme B) Pengurangan untuk bentuk non-tradisional C) Abaikan jurus sepenuhnya D) Didiskualifikasi")</f>
        <v>A) Poin penuh untuk ritme B) Pengurangan untuk bentuk non-tradisional C) Abaikan jurus sepenuhnya D) Didiskualifikasi</v>
      </c>
      <c r="J123" s="5" t="str">
        <f>IFERROR(__xludf.DUMMYFUNCTION("GOOGLETRANSLATE(D123, ""en"", ""id"")"),"B) Pengurangan untuk bentuk non-tradisional")</f>
        <v>B) Pengurangan untuk bentuk non-tradisional</v>
      </c>
      <c r="K123" s="5" t="str">
        <f>IFERROR(__xludf.DUMMYFUNCTION("GOOGLETRANSLATE(E123, ""en"", ""id"")"),"Jurus menekankan kesetiaan terhadap tradisi diatas gaya.")</f>
        <v>Jurus menekankan kesetiaan terhadap tradisi diatas gaya.</v>
      </c>
    </row>
    <row r="124">
      <c r="A124" s="3">
        <v>123.0</v>
      </c>
      <c r="B124" s="4" t="s">
        <v>2296</v>
      </c>
      <c r="C124" s="7" t="s">
        <v>2297</v>
      </c>
      <c r="D124" s="4" t="s">
        <v>2298</v>
      </c>
      <c r="E124" s="4" t="s">
        <v>2299</v>
      </c>
      <c r="G124" s="5" t="str">
        <f>IFERROR(__xludf.DUMMYFUNCTION("GOOGLETRANSLATE(A124, ""en"", ""id"")"),"123")</f>
        <v>123</v>
      </c>
      <c r="H124" s="5" t="str">
        <f>IFERROR(__xludf.DUMMYFUNCTION("GOOGLETRANSLATE(B124, ""en"", ""id"")"),"Dalam duel antar-universitas, Petarung A menangkap tendangan, berhenti sejenak, melihat ke arah wasit, lalu menurunkan kaki dan membalas dengan pukulan. Mencetak gol?")</f>
        <v>Dalam duel antar-universitas, Petarung A menangkap tendangan, berhenti sejenak, melihat ke arah wasit, lalu menurunkan kaki dan membalas dengan pukulan. Mencetak gol?</v>
      </c>
      <c r="I124" s="5" t="str">
        <f>IFERROR(__xludf.DUMMYFUNCTION("GOOGLETRANSLATE(C124, ""en"", ""id"")"),"A) Poin penuh untuk sportivitas B) Poin penuh hanya untuk pukulan C) Poin parsial untuk pelepasan yang aman D) Tidak ada poin karena jeda")</f>
        <v>A) Poin penuh untuk sportivitas B) Poin penuh hanya untuk pukulan C) Poin parsial untuk pelepasan yang aman D) Tidak ada poin karena jeda</v>
      </c>
      <c r="J124" s="5" t="str">
        <f>IFERROR(__xludf.DUMMYFUNCTION("GOOGLETRANSLATE(D124, ""en"", ""id"")"),"B) Poin penuh untuk pukulan saja")</f>
        <v>B) Poin penuh untuk pukulan saja</v>
      </c>
      <c r="K124" s="5" t="str">
        <f>IFERROR(__xludf.DUMMYFUNCTION("GOOGLETRANSLATE(E124, ""en"", ""id"")"),"Pelepasan yang aman adalah etiket yang baik; tindakan penilaian adalah penghitung yang bersih dan seimbang.")</f>
        <v>Pelepasan yang aman adalah etiket yang baik; tindakan penilaian adalah penghitung yang bersih dan seimbang.</v>
      </c>
    </row>
    <row r="125">
      <c r="A125" s="3">
        <v>124.0</v>
      </c>
      <c r="B125" s="4" t="s">
        <v>2300</v>
      </c>
      <c r="C125" s="7" t="s">
        <v>2301</v>
      </c>
      <c r="D125" s="4" t="s">
        <v>2302</v>
      </c>
      <c r="E125" s="4" t="s">
        <v>2303</v>
      </c>
      <c r="G125" s="5" t="str">
        <f>IFERROR(__xludf.DUMMYFUNCTION("GOOGLETRANSLATE(A125, ""en"", ""id"")"),"124")</f>
        <v>124</v>
      </c>
      <c r="H125" s="5" t="str">
        <f>IFERROR(__xludf.DUMMYFUNCTION("GOOGLETRANSLATE(B125, ""en"", ""id"")"),"Dalam kejuaraan klub, Petarung B berulang kali melirik jam dan menolak untuk bertarung meskipun sedang unggul. Apa yang bisa dilakukan wasit?")</f>
        <v>Dalam kejuaraan klub, Petarung B berulang kali melirik jam dan menolak untuk bertarung meskipun sedang unggul. Apa yang bisa dilakukan wasit?</v>
      </c>
      <c r="I125" s="5" t="str">
        <f>IFERROR(__xludf.DUMMYFUNCTION("GOOGLETRANSLATE(C125, ""en"", ""id"")"),"A) Tidak ada B) Perintah lisan lalu peringatan pasif C) Pengurangan langsung D) Didiskualifikasi")</f>
        <v>A) Tidak ada B) Perintah lisan lalu peringatan pasif C) Pengurangan langsung D) Didiskualifikasi</v>
      </c>
      <c r="J125" s="5" t="str">
        <f>IFERROR(__xludf.DUMMYFUNCTION("GOOGLETRANSLATE(D125, ""en"", ""id"")"),"B) Dorongan verbal kemudian peringatan pasif")</f>
        <v>B) Dorongan verbal kemudian peringatan pasif</v>
      </c>
      <c r="K125" s="5" t="str">
        <f>IFERROR(__xludf.DUMMYFUNCTION("GOOGLETRANSLATE(E125, ""en"", ""id"")"),"Wasit pertama-tama mendorong keterlibatan; penolakan yang terus-menerus memicu hukuman.")</f>
        <v>Wasit pertama-tama mendorong keterlibatan; penolakan yang terus-menerus memicu hukuman.</v>
      </c>
    </row>
    <row r="126">
      <c r="A126" s="3">
        <v>125.0</v>
      </c>
      <c r="B126" s="4" t="s">
        <v>2304</v>
      </c>
      <c r="C126" s="7" t="s">
        <v>2305</v>
      </c>
      <c r="D126" s="4" t="s">
        <v>2306</v>
      </c>
      <c r="E126" s="4" t="s">
        <v>2307</v>
      </c>
      <c r="G126" s="5" t="str">
        <f>IFERROR(__xludf.DUMMYFUNCTION("GOOGLETRANSLATE(A126, ""en"", ""id"")"),"125")</f>
        <v>125</v>
      </c>
      <c r="H126" s="5" t="str">
        <f>IFERROR(__xludf.DUMMYFUNCTION("GOOGLETRANSLATE(B126, ""en"", ""id"")"),"Dalam sebuah pertandingan yang disiarkan di televisi, Petarung A terpeleset karena keringat dan jatuh; Petarung B tidak menyerang. Bagaimana hasilnya?")</f>
        <v>Dalam sebuah pertandingan yang disiarkan di televisi, Petarung A terpeleset karena keringat dan jatuh; Petarung B tidak menyerang. Bagaimana hasilnya?</v>
      </c>
      <c r="I126" s="5" t="str">
        <f>IFERROR(__xludf.DUMMYFUNCTION("GOOGLETRANSLATE(C126, ""en"", ""id"")"),"A) Berikan poin B B) Tidak ada poin C) Kurangi poin A karena pijakan yang buruk D) Mulai ulang dengan keuntungan")</f>
        <v>A) Berikan poin B B) Tidak ada poin C) Kurangi poin A karena pijakan yang buruk D) Mulai ulang dengan keuntungan</v>
      </c>
      <c r="J126" s="5" t="str">
        <f>IFERROR(__xludf.DUMMYFUNCTION("GOOGLETRANSLATE(D126, ""en"", ""id"")"),"B) Tidak ada poin")</f>
        <v>B) Tidak ada poin</v>
      </c>
      <c r="K126" s="5" t="str">
        <f>IFERROR(__xludf.DUMMYFUNCTION("GOOGLETRANSLATE(E126, ""en"", ""id"")"),"Terpeleset secara tidak sengaja tanpa adanya tindakan lawan tidak akan menghasilkan skor.")</f>
        <v>Terpeleset secara tidak sengaja tanpa adanya tindakan lawan tidak akan menghasilkan skor.</v>
      </c>
    </row>
    <row r="127">
      <c r="A127" s="3">
        <v>126.0</v>
      </c>
      <c r="B127" s="4" t="s">
        <v>2308</v>
      </c>
      <c r="C127" s="7" t="s">
        <v>2309</v>
      </c>
      <c r="D127" s="4" t="s">
        <v>2159</v>
      </c>
      <c r="E127" s="4" t="s">
        <v>2310</v>
      </c>
      <c r="G127" s="5" t="str">
        <f>IFERROR(__xludf.DUMMYFUNCTION("GOOGLETRANSLATE(A127, ""en"", ""id"")"),"126")</f>
        <v>126</v>
      </c>
      <c r="H127" s="5" t="str">
        <f>IFERROR(__xludf.DUMMYFUNCTION("GOOGLETRANSLATE(B127, ""en"", ""id"")"),"Di ronde knockout, petarung B melancarkan sapuan yang menyebabkan A jatuh ke luar ring; B tetap di dalam dan kembali ke kuda-kudanya. Skor?")</f>
        <v>Di ronde knockout, petarung B melancarkan sapuan yang menyebabkan A jatuh ke luar ring; B tetap di dalam dan kembali ke kuda-kudanya. Skor?</v>
      </c>
      <c r="I127" s="5" t="str">
        <f>IFERROR(__xludf.DUMMYFUNCTION("GOOGLETRANSLATE(C127, ""en"", ""id"")"),"A) Poin penuh B) Poin parsial C) Tidak ada poin D) Pengurangan ke A")</f>
        <v>A) Poin penuh B) Poin parsial C) Tidak ada poin D) Pengurangan ke A</v>
      </c>
      <c r="J127" s="5" t="str">
        <f>IFERROR(__xludf.DUMMYFUNCTION("GOOGLETRANSLATE(D127, ""en"", ""id"")"),"B) Titik parsial")</f>
        <v>B) Titik parsial</v>
      </c>
      <c r="K127" s="5" t="str">
        <f>IFERROR(__xludf.DUMMYFUNCTION("GOOGLETRANSLATE(E127, ""en"", ""id"")"),"Hasil yang keluar batas mengurangi kredit penuh meskipun sapuan valid.")</f>
        <v>Hasil yang keluar batas mengurangi kredit penuh meskipun sapuan valid.</v>
      </c>
    </row>
    <row r="128">
      <c r="A128" s="3">
        <v>127.0</v>
      </c>
      <c r="B128" s="4" t="s">
        <v>2311</v>
      </c>
      <c r="C128" s="7" t="s">
        <v>2312</v>
      </c>
      <c r="D128" s="4" t="s">
        <v>2313</v>
      </c>
      <c r="E128" s="4" t="s">
        <v>2314</v>
      </c>
      <c r="G128" s="5" t="str">
        <f>IFERROR(__xludf.DUMMYFUNCTION("GOOGLETRANSLATE(A128, ""en"", ""id"")"),"127")</f>
        <v>127</v>
      </c>
      <c r="H128" s="5" t="str">
        <f>IFERROR(__xludf.DUMMYFUNCTION("GOOGLETRANSLATE(B128, ""en"", ""id"")"),"Di sebuah pertemuan akademi, pelindung mulut Petarung A terlepas saat bertukar pukulan; Petarung B berhenti menyerang dan memberi isyarat kepada wasit. Keputusan?")</f>
        <v>Di sebuah pertemuan akademi, pelindung mulut Petarung A terlepas saat bertukar pukulan; Petarung B berhenti menyerang dan memberi isyarat kepada wasit. Keputusan?</v>
      </c>
      <c r="I128" s="5" t="str">
        <f>IFERROR(__xludf.DUMMYFUNCTION("GOOGLETRANSLATE(C128, ""en"", ""id"")"),"A) Berikan poin sportivitas B) Berhenti untuk peralatan, tidak ada penilaian C) Kurangi dari A D) Terus bertarung")</f>
        <v>A) Berikan poin sportivitas B) Berhenti untuk peralatan, tidak ada penilaian C) Kurangi dari A D) Terus bertarung</v>
      </c>
      <c r="J128" s="5" t="str">
        <f>IFERROR(__xludf.DUMMYFUNCTION("GOOGLETRANSLATE(D128, ""en"", ""id"")"),"B) Berhenti untuk perlengkapan, tidak ada penilaian")</f>
        <v>B) Berhenti untuk perlengkapan, tidak ada penilaian</v>
      </c>
      <c r="K128" s="5" t="str">
        <f>IFERROR(__xludf.DUMMYFUNCTION("GOOGLETRANSLATE(E128, ""en"", ""id"")"),"Jeda keselamatan; sportivitas tidak dinilai secara langsung.")</f>
        <v>Jeda keselamatan; sportivitas tidak dinilai secara langsung.</v>
      </c>
    </row>
    <row r="129">
      <c r="A129" s="3">
        <v>128.0</v>
      </c>
      <c r="B129" s="4" t="s">
        <v>2315</v>
      </c>
      <c r="C129" s="7" t="s">
        <v>2316</v>
      </c>
      <c r="D129" s="4" t="s">
        <v>2159</v>
      </c>
      <c r="E129" s="4" t="s">
        <v>2317</v>
      </c>
      <c r="G129" s="5" t="str">
        <f>IFERROR(__xludf.DUMMYFUNCTION("GOOGLETRANSLATE(A129, ""en"", ""id"")"),"128")</f>
        <v>128</v>
      </c>
      <c r="H129" s="5" t="str">
        <f>IFERROR(__xludf.DUMMYFUNCTION("GOOGLETRANSLATE(B129, ""en"", ""id"")"),"Di final liga mahasiswa, Petarung B mendaratkan pukulan hook ke badan sambil mencondongkan tubuh ke depan dengan lutut menyentuh matras. Skor?")</f>
        <v>Di final liga mahasiswa, Petarung B mendaratkan pukulan hook ke badan sambil mencondongkan tubuh ke depan dengan lutut menyentuh matras. Skor?</v>
      </c>
      <c r="I129" s="5" t="str">
        <f>IFERROR(__xludf.DUMMYFUNCTION("GOOGLETRANSLATE(C129, ""en"", ""id"")"),"A) Poin penuh B) Poin parsial C) Tidak ada poin D) Pengurangan untuk postur tubuh")</f>
        <v>A) Poin penuh B) Poin parsial C) Tidak ada poin D) Pengurangan untuk postur tubuh</v>
      </c>
      <c r="J129" s="5" t="str">
        <f>IFERROR(__xludf.DUMMYFUNCTION("GOOGLETRANSLATE(D129, ""en"", ""id"")"),"B) Titik parsial")</f>
        <v>B) Titik parsial</v>
      </c>
      <c r="K129" s="5" t="str">
        <f>IFERROR(__xludf.DUMMYFUNCTION("GOOGLETRANSLATE(E129, ""en"", ""id"")"),"Kontak itu sah; postur yang dikompromikan menurunkan penilaian.")</f>
        <v>Kontak itu sah; postur yang dikompromikan menurunkan penilaian.</v>
      </c>
    </row>
    <row r="130">
      <c r="A130" s="3">
        <v>129.0</v>
      </c>
      <c r="B130" s="4" t="s">
        <v>2318</v>
      </c>
      <c r="C130" s="7" t="s">
        <v>2319</v>
      </c>
      <c r="D130" s="4" t="s">
        <v>2203</v>
      </c>
      <c r="E130" s="4" t="s">
        <v>2320</v>
      </c>
      <c r="G130" s="5" t="str">
        <f>IFERROR(__xludf.DUMMYFUNCTION("GOOGLETRANSLATE(A130, ""en"", ""id"")"),"129")</f>
        <v>129</v>
      </c>
      <c r="H130" s="5" t="str">
        <f>IFERROR(__xludf.DUMMYFUNCTION("GOOGLETRANSLATE(B130, ""en"", ""id"")"),"Dalam pertarungan terbuka regional, petarung A melakukan takedown bersih tetapi melepaskan kendali lebih awal untuk menghindari cedera pada lawan. Apa hadiahnya?")</f>
        <v>Dalam pertarungan terbuka regional, petarung A melakukan takedown bersih tetapi melepaskan kendali lebih awal untuk menghindari cedera pada lawan. Apa hadiahnya?</v>
      </c>
      <c r="I130" s="5" t="str">
        <f>IFERROR(__xludf.DUMMYFUNCTION("GOOGLETRANSLATE(C130, ""en"", ""id"")"),"A) Poin penuh B) Poin parsial C) Tidak ada poin D) Pengurangan karena tidak memegang")</f>
        <v>A) Poin penuh B) Poin parsial C) Tidak ada poin D) Pengurangan karena tidak memegang</v>
      </c>
      <c r="J130" s="5" t="str">
        <f>IFERROR(__xludf.DUMMYFUNCTION("GOOGLETRANSLATE(D130, ""en"", ""id"")"),"A) Poin penuh")</f>
        <v>A) Poin penuh</v>
      </c>
      <c r="K130" s="5" t="str">
        <f>IFERROR(__xludf.DUMMYFUNCTION("GOOGLETRANSLATE(E130, ""en"", ""id"")"),"Pembongkaran yang telah selesai dan terkendali dengan pelepasan yang aman masih layak mendapat kredit penuh.")</f>
        <v>Pembongkaran yang telah selesai dan terkendali dengan pelepasan yang aman masih layak mendapat kredit penuh.</v>
      </c>
    </row>
    <row r="131">
      <c r="A131" s="3">
        <v>130.0</v>
      </c>
      <c r="B131" s="4" t="s">
        <v>2321</v>
      </c>
      <c r="C131" s="7" t="s">
        <v>2322</v>
      </c>
      <c r="D131" s="4" t="s">
        <v>2323</v>
      </c>
      <c r="E131" s="4" t="s">
        <v>2324</v>
      </c>
      <c r="G131" s="5" t="str">
        <f>IFERROR(__xludf.DUMMYFUNCTION("GOOGLETRANSLATE(A131, ""en"", ""id"")"),"130")</f>
        <v>130</v>
      </c>
      <c r="H131" s="5" t="str">
        <f>IFERROR(__xludf.DUMMYFUNCTION("GOOGLETRANSLATE(B131, ""en"", ""id"")"),"Dalam reli ronde akhir, Petarung B mendaratkan dua pukulan legal, lalu mendorong lawan dengan ringan untuk menciptakan ruang. Bagaimana skornya?")</f>
        <v>Dalam reli ronde akhir, Petarung B mendaratkan dua pukulan legal, lalu mendorong lawan dengan ringan untuk menciptakan ruang. Bagaimana skornya?</v>
      </c>
      <c r="I131" s="5" t="str">
        <f>IFERROR(__xludf.DUMMYFUNCTION("GOOGLETRANSLATE(C131, ""en"", ""id"")"),"A) Poin untuk pukulan; peringatan untuk dorongan B) Kurangi semua C) Hitung dorongan sebagai teknik D) Abaikan dorongan")</f>
        <v>A) Poin untuk pukulan; peringatan untuk dorongan B) Kurangi semua C) Hitung dorongan sebagai teknik D) Abaikan dorongan</v>
      </c>
      <c r="J131" s="5" t="str">
        <f>IFERROR(__xludf.DUMMYFUNCTION("GOOGLETRANSLATE(D131, ""en"", ""id"")"),"A) Poin untuk pukulan; peringatan untuk dorongan")</f>
        <v>A) Poin untuk pukulan; peringatan untuk dorongan</v>
      </c>
      <c r="K131" s="5" t="str">
        <f>IFERROR(__xludf.DUMMYFUNCTION("GOOGLETRANSLATE(E131, ""en"", ""id"")"),"Dorongan tidak menghasilkan skor; mereka dapat memperoleh peringatan, sedangkan pukulan yang sah masih dihitung.")</f>
        <v>Dorongan tidak menghasilkan skor; mereka dapat memperoleh peringatan, sedangkan pukulan yang sah masih dihitung.</v>
      </c>
    </row>
    <row r="132">
      <c r="A132" s="3">
        <v>131.0</v>
      </c>
      <c r="B132" s="4" t="s">
        <v>2325</v>
      </c>
      <c r="C132" s="7" t="s">
        <v>2326</v>
      </c>
      <c r="D132" s="4" t="s">
        <v>2187</v>
      </c>
      <c r="E132" s="4" t="s">
        <v>2327</v>
      </c>
      <c r="G132" s="5" t="str">
        <f>IFERROR(__xludf.DUMMYFUNCTION("GOOGLETRANSLATE(A132, ""en"", ""id"")"),"131")</f>
        <v>131</v>
      </c>
      <c r="H132" s="5" t="str">
        <f>IFERROR(__xludf.DUMMYFUNCTION("GOOGLETRANSLATE(B132, ""en"", ""id"")"),"Dalam derby pesisir, petarung A melancarkan tendangan berputar yang meleset; petarung B tersandung karena bereaksi berlebihan. Keputusan?")</f>
        <v>Dalam derby pesisir, petarung A melancarkan tendangan berputar yang meleset; petarung B tersandung karena bereaksi berlebihan. Keputusan?</v>
      </c>
      <c r="I132" s="5" t="str">
        <f>IFERROR(__xludf.DUMMYFUNCTION("GOOGLETRANSLATE(C132, ""en"", ""id"")"),"A) Poin penuh untuk A B) Poin sebagian untuk A C) Tidak ada poin D) Peringatan untuk B")</f>
        <v>A) Poin penuh untuk A B) Poin sebagian untuk A C) Tidak ada poin D) Peringatan untuk B</v>
      </c>
      <c r="J132" s="5" t="str">
        <f>IFERROR(__xludf.DUMMYFUNCTION("GOOGLETRANSLATE(D132, ""en"", ""id"")"),"C) Tidak ada poin")</f>
        <v>C) Tidak ada poin</v>
      </c>
      <c r="K132" s="5" t="str">
        <f>IFERROR(__xludf.DUMMYFUNCTION("GOOGLETRANSLATE(E132, ""en"", ""id"")"),"Tidak ada kontak/tidak ada efek dari teknik itu sendiri; kesalahan lawan tidak disebabkan oleh tindakan mencetak skor.")</f>
        <v>Tidak ada kontak/tidak ada efek dari teknik itu sendiri; kesalahan lawan tidak disebabkan oleh tindakan mencetak skor.</v>
      </c>
    </row>
    <row r="133">
      <c r="A133" s="3">
        <v>132.0</v>
      </c>
      <c r="B133" s="4" t="s">
        <v>2328</v>
      </c>
      <c r="C133" s="7" t="s">
        <v>2329</v>
      </c>
      <c r="D133" s="4" t="s">
        <v>2330</v>
      </c>
      <c r="E133" s="4" t="s">
        <v>2331</v>
      </c>
      <c r="G133" s="5" t="str">
        <f>IFERROR(__xludf.DUMMYFUNCTION("GOOGLETRANSLATE(A133, ""en"", ""id"")"),"132")</f>
        <v>132</v>
      </c>
      <c r="H133" s="5" t="str">
        <f>IFERROR(__xludf.DUMMYFUNCTION("GOOGLETRANSLATE(B133, ""en"", ""id"")"),"Dalam uji coba seleksi, pesawat tempur B menggunakan volume agresif tetapi kurang kontrol, sehingga mendapat dua peringatan sebelumnya. Setelah serangan hebat lainnya, apa yang mungkin terjadi?")</f>
        <v>Dalam uji coba seleksi, pesawat tempur B menggunakan volume agresif tetapi kurang kontrol, sehingga mendapat dua peringatan sebelumnya. Setelah serangan hebat lainnya, apa yang mungkin terjadi?</v>
      </c>
      <c r="I133" s="5" t="str">
        <f>IFERROR(__xludf.DUMMYFUNCTION("GOOGLETRANSLATE(C133, ""en"", ""id"")"),"A) DQ Otomatis B) Pengurangan sekarang atau DQ pada pelanggaran berikutnya C) Tidak ada konsekuensi D) Penghargaan untuk agresi")</f>
        <v>A) DQ Otomatis B) Pengurangan sekarang atau DQ pada pelanggaran berikutnya C) Tidak ada konsekuensi D) Penghargaan untuk agresi</v>
      </c>
      <c r="J133" s="5" t="str">
        <f>IFERROR(__xludf.DUMMYFUNCTION("GOOGLETRANSLATE(D133, ""en"", ""id"")"),"B) Pengurangan sekarang atau DQ pada pelanggaran berikutnya")</f>
        <v>B) Pengurangan sekarang atau DQ pada pelanggaran berikutnya</v>
      </c>
      <c r="K133" s="5" t="str">
        <f>IFERROR(__xludf.DUMMYFUNCTION("GOOGLETRANSLATE(E133, ""en"", ""id"")"),"Hukuman yang meningkat berlaku untuk penggunaan kekerasan berlebihan yang berulang.")</f>
        <v>Hukuman yang meningkat berlaku untuk penggunaan kekerasan berlebihan yang berulang.</v>
      </c>
    </row>
    <row r="134">
      <c r="A134" s="3">
        <v>133.0</v>
      </c>
      <c r="B134" s="4" t="s">
        <v>2332</v>
      </c>
      <c r="C134" s="7" t="s">
        <v>2333</v>
      </c>
      <c r="D134" s="4" t="s">
        <v>2334</v>
      </c>
      <c r="E134" s="4" t="s">
        <v>2335</v>
      </c>
      <c r="G134" s="5" t="str">
        <f>IFERROR(__xludf.DUMMYFUNCTION("GOOGLETRANSLATE(A134, ""en"", ""id"")"),"133")</f>
        <v>133</v>
      </c>
      <c r="H134" s="5" t="str">
        <f>IFERROR(__xludf.DUMMYFUNCTION("GOOGLETRANSLATE(B134, ""en"", ""id"")"),"Dalam pertandingan di dalam ruangan, petarung A mendaratkan tendangan samping yang bersih dan langsung kembali ke tengah ring. Bagaimana pendapat juri tentang hal ini?")</f>
        <v>Dalam pertandingan di dalam ruangan, petarung A mendaratkan tendangan samping yang bersih dan langsung kembali ke tengah ring. Bagaimana pendapat juri tentang hal ini?</v>
      </c>
      <c r="I134" s="5" t="str">
        <f>IFERROR(__xludf.DUMMYFUNCTION("GOOGLETRANSLATE(C134, ""en"", ""id"")"),"A) Menguntungkan untuk ringcraft—poin penuh B) Sebagian karena pergerakan C) Tidak ada poin D) Pengurangan untuk reposisi")</f>
        <v>A) Menguntungkan untuk ringcraft—poin penuh B) Sebagian karena pergerakan C) Tidak ada poin D) Pengurangan untuk reposisi</v>
      </c>
      <c r="J134" s="5" t="str">
        <f>IFERROR(__xludf.DUMMYFUNCTION("GOOGLETRANSLATE(D134, ""en"", ""id"")"),"A) Menguntungkan untuk ringcraft—poin penuh")</f>
        <v>A) Menguntungkan untuk ringcraft—poin penuh</v>
      </c>
      <c r="K134" s="5" t="str">
        <f>IFERROR(__xludf.DUMMYFUNCTION("GOOGLETRANSLATE(E134, ""en"", ""id"")"),"Teknik yang bersih ditambah kontrol ring yang proaktif diberi penghargaan.")</f>
        <v>Teknik yang bersih ditambah kontrol ring yang proaktif diberi penghargaan.</v>
      </c>
    </row>
    <row r="135">
      <c r="A135" s="3">
        <v>134.0</v>
      </c>
      <c r="B135" s="4" t="s">
        <v>2336</v>
      </c>
      <c r="C135" s="7" t="s">
        <v>2151</v>
      </c>
      <c r="D135" s="7" t="s">
        <v>2152</v>
      </c>
      <c r="E135" s="4" t="s">
        <v>2337</v>
      </c>
      <c r="G135" s="5" t="str">
        <f>IFERROR(__xludf.DUMMYFUNCTION("GOOGLETRANSLATE(A135, ""en"", ""id"")"),"134")</f>
        <v>134</v>
      </c>
      <c r="H135" s="5" t="str">
        <f>IFERROR(__xludf.DUMMYFUNCTION("GOOGLETRANSLATE(B135, ""en"", ""id"")"),"Dalam sebuah acara skolastik, Petarung B melancarkan pukulan badan legal setelah tangkisan ala buku teks, tetapi tumitnya sesaat melewati garis batas. Berkuasa?")</f>
        <v>Dalam sebuah acara skolastik, Petarung B melancarkan pukulan badan legal setelah tangkisan ala buku teks, tetapi tumitnya sesaat melewati garis batas. Berkuasa?</v>
      </c>
      <c r="I135" s="5" t="str">
        <f>IFERROR(__xludf.DUMMYFUNCTION("GOOGLETRANSLATE(C135, ""en"", ""id"")"),"A) Poin penuh B) Poin parsial C) Tidak ada poin D) Pengurangan")</f>
        <v>A) Poin penuh B) Poin parsial C) Tidak ada poin D) Pengurangan</v>
      </c>
      <c r="J135" s="5" t="str">
        <f>IFERROR(__xludf.DUMMYFUNCTION("GOOGLETRANSLATE(D135, ""en"", ""id"")"),"C) Tidak ada poin D) Pengurangan")</f>
        <v>C) Tidak ada poin D) Pengurangan</v>
      </c>
      <c r="K135" s="5" t="str">
        <f>IFERROR(__xludf.DUMMYFUNCTION("GOOGLETRANSLATE(E135, ""en"", ""id"")"),"Pelanggaran batas apa pun selama aksi penilaian akan membatalkan poin dan dapat menimbulkan penalti.")</f>
        <v>Pelanggaran batas apa pun selama aksi penilaian akan membatalkan poin dan dapat menimbulkan penalti.</v>
      </c>
    </row>
    <row r="136">
      <c r="A136" s="3">
        <v>135.0</v>
      </c>
      <c r="B136" s="4" t="s">
        <v>2338</v>
      </c>
      <c r="C136" s="7" t="s">
        <v>2339</v>
      </c>
      <c r="D136" s="4" t="s">
        <v>2203</v>
      </c>
      <c r="E136" s="4" t="s">
        <v>2340</v>
      </c>
      <c r="G136" s="5" t="str">
        <f>IFERROR(__xludf.DUMMYFUNCTION("GOOGLETRANSLATE(A136, ""en"", ""id"")"),"135")</f>
        <v>135</v>
      </c>
      <c r="H136" s="5" t="str">
        <f>IFERROR(__xludf.DUMMYFUNCTION("GOOGLETRANSLATE(B136, ""en"", ""id"")"),"Di babak kualifikasi piala, Petarung A menggunakan ritme (tempo) yang menipu untuk membuka jalur dan mendaratkan serangan yang seimbang. Skor?")</f>
        <v>Di babak kualifikasi piala, Petarung A menggunakan ritme (tempo) yang menipu untuk membuka jalur dan mendaratkan serangan yang seimbang. Skor?</v>
      </c>
      <c r="I136" s="5" t="str">
        <f>IFERROR(__xludf.DUMMYFUNCTION("GOOGLETRANSLATE(C136, ""en"", ""id"")"),"A) Poin penuh B) Poin parsial C) Tidak ada poin D) Pengurangan karena tipuan")</f>
        <v>A) Poin penuh B) Poin parsial C) Tidak ada poin D) Pengurangan karena tipuan</v>
      </c>
      <c r="J136" s="5" t="str">
        <f>IFERROR(__xludf.DUMMYFUNCTION("GOOGLETRANSLATE(D136, ""en"", ""id"")"),"A) Poin penuh")</f>
        <v>A) Poin penuh</v>
      </c>
      <c r="K136" s="5" t="str">
        <f>IFERROR(__xludf.DUMMYFUNCTION("GOOGLETRANSLATE(E136, ""en"", ""id"")"),"Perubahan ritme taktis adalah sah; penilaian yang bersih dan seimbang mendapat penghargaan penuh.")</f>
        <v>Perubahan ritme taktis adalah sah; penilaian yang bersih dan seimbang mendapat penghargaan penuh.</v>
      </c>
    </row>
    <row r="137">
      <c r="A137" s="3">
        <v>136.0</v>
      </c>
      <c r="B137" s="4" t="s">
        <v>2341</v>
      </c>
      <c r="C137" s="7" t="s">
        <v>2342</v>
      </c>
      <c r="D137" s="4" t="s">
        <v>2343</v>
      </c>
      <c r="E137" s="4" t="s">
        <v>2344</v>
      </c>
      <c r="G137" s="5" t="str">
        <f>IFERROR(__xludf.DUMMYFUNCTION("GOOGLETRANSLATE(A137, ""en"", ""id"")"),"136")</f>
        <v>136</v>
      </c>
      <c r="H137" s="5" t="str">
        <f>IFERROR(__xludf.DUMMYFUNCTION("GOOGLETRANSLATE(B137, ""en"", ""id"")"),"Di semifinal junior, petarung B melakukan kuncian badan; lawannya menyerah, tetapi wasit tidak melihatnya. B langsung melepaskannya. Hasilnya?")</f>
        <v>Di semifinal junior, petarung B melakukan kuncian badan; lawannya menyerah, tetapi wasit tidak melihatnya. B langsung melepaskannya. Hasilnya?</v>
      </c>
      <c r="I137" s="5" t="str">
        <f>IFERROR(__xludf.DUMMYFUNCTION("GOOGLETRANSLATE(C137, ""en"", ""id"")"),"A) Poin penuh B) Poin parsial C) Tidak ada poin sampai pengakuan D) Pengurangan untuk pembebasan lebih awal")</f>
        <v>A) Poin penuh B) Poin parsial C) Tidak ada poin sampai pengakuan D) Pengurangan untuk pembebasan lebih awal</v>
      </c>
      <c r="J137" s="5" t="str">
        <f>IFERROR(__xludf.DUMMYFUNCTION("GOOGLETRANSLATE(D137, ""en"", ""id"")"),"C) Tidak ada poin sampai pengakuan")</f>
        <v>C) Tidak ada poin sampai pengakuan</v>
      </c>
      <c r="K137" s="5" t="str">
        <f>IFERROR(__xludf.DUMMYFUNCTION("GOOGLETRANSLATE(E137, ""en"", ""id"")"),"Kunci memerlukan pengakuan yang terlihat untuk memvalidasi penilaian.")</f>
        <v>Kunci memerlukan pengakuan yang terlihat untuk memvalidasi penilaian.</v>
      </c>
    </row>
    <row r="138">
      <c r="A138" s="3">
        <v>137.0</v>
      </c>
      <c r="B138" s="4" t="s">
        <v>2345</v>
      </c>
      <c r="C138" s="7" t="s">
        <v>2346</v>
      </c>
      <c r="D138" s="4" t="s">
        <v>2347</v>
      </c>
      <c r="E138" s="4" t="s">
        <v>2348</v>
      </c>
      <c r="G138" s="5" t="str">
        <f>IFERROR(__xludf.DUMMYFUNCTION("GOOGLETRANSLATE(A138, ""en"", ""id"")"),"137")</f>
        <v>137</v>
      </c>
      <c r="H138" s="5" t="str">
        <f>IFERROR(__xludf.DUMMYFUNCTION("GOOGLETRANSLATE(B138, ""en"", ""id"")"),"Saat pertandingan liga, Petarung A mendaratkan serangan balik siku yang sah; lawannya mengeluh kepada wasit di tengah pertandingan tanpa cedera. Apa yang seharusnya terjadi?")</f>
        <v>Saat pertandingan liga, Petarung A mendaratkan serangan balik siku yang sah; lawannya mengeluh kepada wasit di tengah pertandingan tanpa cedera. Apa yang seharusnya terjadi?</v>
      </c>
      <c r="I138" s="5" t="str">
        <f>IFERROR(__xludf.DUMMYFUNCTION("GOOGLETRANSLATE(C138, ""en"", ""id"")"),"A) Berhenti dan berikan penghargaan kepada A B) Lanjutkan permainan dan peringatkan karena mengeluh C) Kurangi A D) Kurangi lawan")</f>
        <v>A) Berhenti dan berikan penghargaan kepada A B) Lanjutkan permainan dan peringatkan karena mengeluh C) Kurangi A D) Kurangi lawan</v>
      </c>
      <c r="J138" s="5" t="str">
        <f>IFERROR(__xludf.DUMMYFUNCTION("GOOGLETRANSLATE(D138, ""en"", ""id"")"),"B) Lanjutkan bermain dan beri peringatan jika mengeluh")</f>
        <v>B) Lanjutkan bermain dan beri peringatan jika mengeluh</v>
      </c>
      <c r="K138" s="5" t="str">
        <f>IFERROR(__xludf.DUMMYFUNCTION("GOOGLETRANSLATE(E138, ""en"", ""id"")"),"Keluhan yang tidak menimbulkan cedera selama pertandingan langsung dapat memicu peringatan akan adanya gangguan.")</f>
        <v>Keluhan yang tidak menimbulkan cedera selama pertandingan langsung dapat memicu peringatan akan adanya gangguan.</v>
      </c>
    </row>
    <row r="139">
      <c r="A139" s="3">
        <v>138.0</v>
      </c>
      <c r="B139" s="4" t="s">
        <v>2349</v>
      </c>
      <c r="C139" s="7" t="s">
        <v>2350</v>
      </c>
      <c r="D139" s="4" t="s">
        <v>2351</v>
      </c>
      <c r="E139" s="4" t="s">
        <v>2352</v>
      </c>
      <c r="G139" s="5" t="str">
        <f>IFERROR(__xludf.DUMMYFUNCTION("GOOGLETRANSLATE(A139, ""en"", ""id"")"),"138")</f>
        <v>138</v>
      </c>
      <c r="H139" s="5" t="str">
        <f>IFERROR(__xludf.DUMMYFUNCTION("GOOGLETRANSLATE(B139, ""en"", ""id"")"),"Dalam pertandingan undangan kampus, ikat kepala Petarung B jatuh; lawan berhenti sejenak dengan hormat, alih-alih menyerang. Tindakan wasit?")</f>
        <v>Dalam pertandingan undangan kampus, ikat kepala Petarung B jatuh; lawan berhenti sejenak dengan hormat, alih-alih menyerang. Tindakan wasit?</v>
      </c>
      <c r="I139" s="5" t="str">
        <f>IFERROR(__xludf.DUMMYFUNCTION("GOOGLETRANSLATE(C139, ""en"", ""id"")"),"A) Memberikan poin sportivitas B) Berhenti sejenak untuk memperbaiki peralatan C) Mengurangi petarung yang berhenti sejenak D) Memaksa kelanjutan")</f>
        <v>A) Memberikan poin sportivitas B) Berhenti sejenak untuk memperbaiki peralatan C) Mengurangi petarung yang berhenti sejenak D) Memaksa kelanjutan</v>
      </c>
      <c r="J139" s="5" t="str">
        <f>IFERROR(__xludf.DUMMYFUNCTION("GOOGLETRANSLATE(D139, ""en"", ""id"")"),"B) Berhenti sejenak untuk memperbaiki peralatan")</f>
        <v>B) Berhenti sejenak untuk memperbaiki peralatan</v>
      </c>
      <c r="K139" s="5" t="str">
        <f>IFERROR(__xludf.DUMMYFUNCTION("GOOGLETRANSLATE(E139, ""en"", ""id"")"),"Masalah keselamatan/peralatan menghentikan pertarungan; tidak ada penilaian khusus untuk kesopanan.")</f>
        <v>Masalah keselamatan/peralatan menghentikan pertarungan; tidak ada penilaian khusus untuk kesopanan.</v>
      </c>
    </row>
    <row r="140">
      <c r="A140" s="3">
        <v>139.0</v>
      </c>
      <c r="B140" s="4" t="s">
        <v>2353</v>
      </c>
      <c r="C140" s="7" t="s">
        <v>2354</v>
      </c>
      <c r="D140" s="4" t="s">
        <v>2355</v>
      </c>
      <c r="E140" s="4" t="s">
        <v>2356</v>
      </c>
      <c r="G140" s="5" t="str">
        <f>IFERROR(__xludf.DUMMYFUNCTION("GOOGLETRANSLATE(A140, ""en"", ""id"")"),"139")</f>
        <v>139</v>
      </c>
      <c r="H140" s="5" t="str">
        <f>IFERROR(__xludf.DUMMYFUNCTION("GOOGLETRANSLATE(B140, ""en"", ""id"")"),"Pada pertandingan antarperguruan tinggi, blok Petarung A mengalihkan tendangan yang menyebabkan penyerang berputar dan jatuh. Bagaimana skornya?")</f>
        <v>Pada pertandingan antarperguruan tinggi, blok Petarung A mengalihkan tendangan yang menyebabkan penyerang berputar dan jatuh. Bagaimana skornya?</v>
      </c>
      <c r="I140" s="5" t="str">
        <f>IFERROR(__xludf.DUMMYFUNCTION("GOOGLETRANSLATE(C140, ""en"", ""id"")"),"A) Poin untuk pembelaan A B) Poin penuh karena menyebabkan jatuh C) Tidak ada poin—hanya pertahanan D) Pengurangan untuk penyerang")</f>
        <v>A) Poin untuk pembelaan A B) Poin penuh karena menyebabkan jatuh C) Tidak ada poin—hanya pertahanan D) Pengurangan untuk penyerang</v>
      </c>
      <c r="J140" s="5" t="str">
        <f>IFERROR(__xludf.DUMMYFUNCTION("GOOGLETRANSLATE(D140, ""en"", ""id"")"),"A) Poin untuk pertahanan A")</f>
        <v>A) Poin untuk pertahanan A</v>
      </c>
      <c r="K140" s="5" t="str">
        <f>IFERROR(__xludf.DUMMYFUNCTION("GOOGLETRANSLATE(E140, ""en"", ""id"")"),"Pertahanan efektif yang mengacaukan lawan dapat mencetak gol.")</f>
        <v>Pertahanan efektif yang mengacaukan lawan dapat mencetak gol.</v>
      </c>
    </row>
    <row r="141">
      <c r="A141" s="3">
        <v>140.0</v>
      </c>
      <c r="B141" s="4" t="s">
        <v>2357</v>
      </c>
      <c r="C141" s="7" t="s">
        <v>2358</v>
      </c>
      <c r="D141" s="4" t="s">
        <v>2359</v>
      </c>
      <c r="E141" s="4" t="s">
        <v>2360</v>
      </c>
      <c r="G141" s="5" t="str">
        <f>IFERROR(__xludf.DUMMYFUNCTION("GOOGLETRANSLATE(A141, ""en"", ""id"")"),"140")</f>
        <v>140</v>
      </c>
      <c r="H141" s="5" t="str">
        <f>IFERROR(__xludf.DUMMYFUNCTION("GOOGLETRANSLATE(B141, ""en"", ""id"")"),"Di final malam hari, Petarung B berulang kali menyenangkan penonton (gestur, anggukan) setelah mencetak angka. Wasit sudah memperingatkan sekali. Langkah selanjutnya?")</f>
        <v>Di final malam hari, Petarung B berulang kali menyenangkan penonton (gestur, anggukan) setelah mencetak angka. Wasit sudah memperingatkan sekali. Langkah selanjutnya?</v>
      </c>
      <c r="I141" s="5" t="str">
        <f>IFERROR(__xludf.DUMMYFUNCTION("GOOGLETRANSLATE(C141, ""en"", ""id"")"),"A) Abaikan B) Kurangi poin C) Diskualifikasi segera D) Pertukaran ulang")</f>
        <v>A) Abaikan B) Kurangi poin C) Diskualifikasi segera D) Pertukaran ulang</v>
      </c>
      <c r="J141" s="5" t="str">
        <f>IFERROR(__xludf.DUMMYFUNCTION("GOOGLETRANSLATE(D141, ""en"", ""id"")"),"B) Kurangi poin")</f>
        <v>B) Kurangi poin</v>
      </c>
      <c r="K141" s="5" t="str">
        <f>IFERROR(__xludf.DUMMYFUNCTION("GOOGLETRANSLATE(E141, ""en"", ""id"")"),"Pamer berulang kali setelah peringatan akan memicu pengurangan hukuman.")</f>
        <v>Pamer berulang kali setelah peringatan akan memicu pengurangan hukuman.</v>
      </c>
    </row>
    <row r="142">
      <c r="A142" s="3">
        <v>141.0</v>
      </c>
      <c r="B142" s="4" t="s">
        <v>2361</v>
      </c>
      <c r="C142" s="7" t="s">
        <v>2362</v>
      </c>
      <c r="D142" s="4" t="s">
        <v>2363</v>
      </c>
      <c r="E142" s="4" t="s">
        <v>2364</v>
      </c>
      <c r="G142" s="5" t="str">
        <f>IFERROR(__xludf.DUMMYFUNCTION("GOOGLETRANSLATE(A142, ""en"", ""id"")"),"141")</f>
        <v>141</v>
      </c>
      <c r="H142" s="5" t="str">
        <f>IFERROR(__xludf.DUMMYFUNCTION("GOOGLETRANSLATE(B142, ""en"", ""id"")"),"Dalam persidangan federasi, Petarung A memulai penyisiran hukum; lawan menarik seragamnya agar tetap tegak dan terlihat oleh para juri. Keputusan?")</f>
        <v>Dalam persidangan federasi, Petarung A memulai penyisiran hukum; lawan menarik seragamnya agar tetap tegak dan terlihat oleh para juri. Keputusan?</v>
      </c>
      <c r="I142" s="5" t="str">
        <f>IFERROR(__xludf.DUMMYFUNCTION("GOOGLETRANSLATE(C142, ""en"", ""id"")"),"A) Tidak ada panggilan B) Memberi A poin penuh dan memperingatkan lawan C) Mengurangi A D) Mulai ulang")</f>
        <v>A) Tidak ada panggilan B) Memberi A poin penuh dan memperingatkan lawan C) Mengurangi A D) Mulai ulang</v>
      </c>
      <c r="J142" s="5" t="str">
        <f>IFERROR(__xludf.DUMMYFUNCTION("GOOGLETRANSLATE(D142, ""en"", ""id"")"),"B) Berikan poin penuh dan peringatkan lawan")</f>
        <v>B) Berikan poin penuh dan peringatkan lawan</v>
      </c>
      <c r="K142" s="5" t="str">
        <f>IFERROR(__xludf.DUMMYFUNCTION("GOOGLETRANSLATE(E142, ""en"", ""id"")"),"Penggunaan seragam ilegal oleh pembela mengonfirmasi teknik A yang valid dan memicu peringatan.")</f>
        <v>Penggunaan seragam ilegal oleh pembela mengonfirmasi teknik A yang valid dan memicu peringatan.</v>
      </c>
    </row>
    <row r="143">
      <c r="A143" s="3">
        <v>142.0</v>
      </c>
      <c r="B143" s="4" t="s">
        <v>2365</v>
      </c>
      <c r="C143" s="7" t="s">
        <v>2366</v>
      </c>
      <c r="D143" s="4" t="s">
        <v>2367</v>
      </c>
      <c r="E143" s="4" t="s">
        <v>2368</v>
      </c>
      <c r="G143" s="5" t="str">
        <f>IFERROR(__xludf.DUMMYFUNCTION("GOOGLETRANSLATE(A143, ""en"", ""id"")"),"142")</f>
        <v>142</v>
      </c>
      <c r="H143" s="5" t="str">
        <f>IFERROR(__xludf.DUMMYFUNCTION("GOOGLETRANSLATE(B143, ""en"", ""id"")"),"Dalam sebuah laga eksibisi persahabatan, Petarung B mengganti kuda-kudanya yang tidak konvensional sambil menampilkan teknik-teknik yang sempurna. Kecenderungan mencetak angka?")</f>
        <v>Dalam sebuah laga eksibisi persahabatan, Petarung B mengganti kuda-kudanya yang tidak konvensional sambil menampilkan teknik-teknik yang sempurna. Kecenderungan mencetak angka?</v>
      </c>
      <c r="I143" s="5" t="str">
        <f>IFERROR(__xludf.DUMMYFUNCTION("GOOGLETRANSLATE(C143, ""en"", ""id"")"),"A) Poin penuh tanpa masalah B) Pengurangan nilai karena penyimpangan sikap C) Diskualifikasi D) Tidak diperbolehkan memberi skor")</f>
        <v>A) Poin penuh tanpa masalah B) Pengurangan nilai karena penyimpangan sikap C) Diskualifikasi D) Tidak diperbolehkan memberi skor</v>
      </c>
      <c r="J143" s="5" t="str">
        <f>IFERROR(__xludf.DUMMYFUNCTION("GOOGLETRANSLATE(D143, ""en"", ""id"")"),"B) Pengurangan untuk penyimpangan sikap")</f>
        <v>B) Pengurangan untuk penyimpangan sikap</v>
      </c>
      <c r="K143" s="5" t="str">
        <f>IFERROR(__xludf.DUMMYFUNCTION("GOOGLETRANSLATE(E143, ""en"", ""id"")"),"Kesetiaan pada pendirian tradisional merupakan bagian dari penjurian, bahkan dalam pameran.")</f>
        <v>Kesetiaan pada pendirian tradisional merupakan bagian dari penjurian, bahkan dalam pameran.</v>
      </c>
    </row>
    <row r="144">
      <c r="A144" s="3">
        <v>143.0</v>
      </c>
      <c r="B144" s="4" t="s">
        <v>2369</v>
      </c>
      <c r="C144" s="7" t="s">
        <v>2151</v>
      </c>
      <c r="D144" s="4" t="s">
        <v>2159</v>
      </c>
      <c r="E144" s="4" t="s">
        <v>2370</v>
      </c>
      <c r="G144" s="5" t="str">
        <f>IFERROR(__xludf.DUMMYFUNCTION("GOOGLETRANSLATE(A144, ""en"", ""id"")"),"143")</f>
        <v>143</v>
      </c>
      <c r="H144" s="5" t="str">
        <f>IFERROR(__xludf.DUMMYFUNCTION("GOOGLETRANSLATE(B144, ""en"", ""id"")"),"Di pertandingan regional utama, Petarung A menahan tendangan dan membalas dengan pukulan ke arah tubuh yang nyaris tak terlihat namun berhasil menggeser postur lawan. Skor?")</f>
        <v>Di pertandingan regional utama, Petarung A menahan tendangan dan membalas dengan pukulan ke arah tubuh yang nyaris tak terlihat namun berhasil menggeser postur lawan. Skor?</v>
      </c>
      <c r="I144" s="5" t="str">
        <f>IFERROR(__xludf.DUMMYFUNCTION("GOOGLETRANSLATE(C144, ""en"", ""id"")"),"A) Poin penuh B) Poin parsial C) Tidak ada poin D) Pengurangan")</f>
        <v>A) Poin penuh B) Poin parsial C) Tidak ada poin D) Pengurangan</v>
      </c>
      <c r="J144" s="5" t="str">
        <f>IFERROR(__xludf.DUMMYFUNCTION("GOOGLETRANSLATE(D144, ""en"", ""id"")"),"B) Titik parsial")</f>
        <v>B) Titik parsial</v>
      </c>
      <c r="K144" s="5" t="str">
        <f>IFERROR(__xludf.DUMMYFUNCTION("GOOGLETRANSLATE(E144, ""en"", ""id"")"),"Kontak minimal dengan efek yang terlihat mendukung penilaian parsial.")</f>
        <v>Kontak minimal dengan efek yang terlihat mendukung penilaian parsial.</v>
      </c>
    </row>
    <row r="145">
      <c r="A145" s="3">
        <v>144.0</v>
      </c>
      <c r="B145" s="4" t="s">
        <v>2371</v>
      </c>
      <c r="C145" s="7" t="s">
        <v>2372</v>
      </c>
      <c r="D145" s="4" t="s">
        <v>2373</v>
      </c>
      <c r="E145" s="4" t="s">
        <v>2374</v>
      </c>
      <c r="G145" s="5" t="str">
        <f>IFERROR(__xludf.DUMMYFUNCTION("GOOGLETRANSLATE(A145, ""en"", ""id"")"),"144")</f>
        <v>144</v>
      </c>
      <c r="H145" s="5" t="str">
        <f>IFERROR(__xludf.DUMMYFUNCTION("GOOGLETRANSLATE(B145, ""en"", ""id"")"),"Di kamp seleksi, Petarung B menanggapi peringatan yang sah dengan tepuk tangan sarkastis. Apa yang bisa dilakukan wasit?")</f>
        <v>Di kamp seleksi, Petarung B menanggapi peringatan yang sah dengan tepuk tangan sarkastis. Apa yang bisa dilakukan wasit?</v>
      </c>
      <c r="I145" s="5" t="str">
        <f>IFERROR(__xludf.DUMMYFUNCTION("GOOGLETRANSLATE(C145, ""en"", ""id"")"),"A) Tidak ada B) Mengurangi poin untuk perbedaan pendapat C) DQ Langsung D) Memberikan lawan satu poin")</f>
        <v>A) Tidak ada B) Mengurangi poin untuk perbedaan pendapat C) DQ Langsung D) Memberikan lawan satu poin</v>
      </c>
      <c r="J145" s="5" t="str">
        <f>IFERROR(__xludf.DUMMYFUNCTION("GOOGLETRANSLATE(D145, ""en"", ""id"")"),"B) Pengurangan poin untuk perbedaan pendapat")</f>
        <v>B) Pengurangan poin untuk perbedaan pendapat</v>
      </c>
      <c r="K145" s="5" t="str">
        <f>IFERROR(__xludf.DUMMYFUNCTION("GOOGLETRANSLATE(E145, ""en"", ""id"")"),"Perbedaan pendapat/ejekan terhadap pejabat akan dikenakan sanksi.")</f>
        <v>Perbedaan pendapat/ejekan terhadap pejabat akan dikenakan sanksi.</v>
      </c>
    </row>
    <row r="146">
      <c r="A146" s="3">
        <v>145.0</v>
      </c>
      <c r="B146" s="4" t="s">
        <v>2375</v>
      </c>
      <c r="C146" s="7" t="s">
        <v>2376</v>
      </c>
      <c r="D146" s="4" t="s">
        <v>2306</v>
      </c>
      <c r="E146" s="4" t="s">
        <v>2377</v>
      </c>
      <c r="G146" s="5" t="str">
        <f>IFERROR(__xludf.DUMMYFUNCTION("GOOGLETRANSLATE(A146, ""en"", ""id"")"),"145")</f>
        <v>145</v>
      </c>
      <c r="H146" s="5" t="str">
        <f>IFERROR(__xludf.DUMMYFUNCTION("GOOGLETRANSLATE(B146, ""en"", ""id"")"),"Dalam undercard yang disiarkan televisi, Petarung A mendaratkan tendangan torso; bersamaan dengan itu, waktu habis. Tendangan dimulai sebelum bel tetapi mendarat setelahnya. Keputusan?")</f>
        <v>Dalam undercard yang disiarkan televisi, Petarung A mendaratkan tendangan torso; bersamaan dengan itu, waktu habis. Tendangan dimulai sebelum bel tetapi mendarat setelahnya. Keputusan?</v>
      </c>
      <c r="I146" s="5" t="str">
        <f>IFERROR(__xludf.DUMMYFUNCTION("GOOGLETRANSLATE(C146, ""en"", ""id"")"),"A) Hitunglah B) Tidak ada poin C) Poin parsial D) Hanya peringatan")</f>
        <v>A) Hitunglah B) Tidak ada poin C) Poin parsial D) Hanya peringatan</v>
      </c>
      <c r="J146" s="5" t="str">
        <f>IFERROR(__xludf.DUMMYFUNCTION("GOOGLETRANSLATE(D146, ""en"", ""id"")"),"B) Tidak ada poin")</f>
        <v>B) Tidak ada poin</v>
      </c>
      <c r="K146" s="5" t="str">
        <f>IFERROR(__xludf.DUMMYFUNCTION("GOOGLETRANSLATE(E146, ""en"", ""id"")"),"Dampak harus terjadi tepat waktu; kontak setelah bel tidak sah.")</f>
        <v>Dampak harus terjadi tepat waktu; kontak setelah bel tidak sah.</v>
      </c>
    </row>
    <row r="147">
      <c r="A147" s="3">
        <v>146.0</v>
      </c>
      <c r="B147" s="4" t="s">
        <v>2378</v>
      </c>
      <c r="C147" s="7" t="s">
        <v>2379</v>
      </c>
      <c r="D147" s="4" t="s">
        <v>2203</v>
      </c>
      <c r="E147" s="4" t="s">
        <v>2380</v>
      </c>
      <c r="G147" s="5" t="str">
        <f>IFERROR(__xludf.DUMMYFUNCTION("GOOGLETRANSLATE(A147, ""en"", ""id"")"),"146")</f>
        <v>146</v>
      </c>
      <c r="H147" s="5" t="str">
        <f>IFERROR(__xludf.DUMMYFUNCTION("GOOGLETRANSLATE(B147, ""en"", ""id"")"),"Di kota terbuka, Petarung B menangkap tendangan, membiarkan lawan berjalan tiga langkah, lalu melakukan salto aman dan kembali ke kuda-kuda. Skor?")</f>
        <v>Di kota terbuka, Petarung B menangkap tendangan, membiarkan lawan berjalan tiga langkah, lalu melakukan salto aman dan kembali ke kuda-kuda. Skor?</v>
      </c>
      <c r="I147" s="5" t="str">
        <f>IFERROR(__xludf.DUMMYFUNCTION("GOOGLETRANSLATE(C147, ""en"", ""id"")"),"A) Poin penuh B) Poin parsial C) Tidak ada poin (terlalu banyak langkah) D) Pengurangan")</f>
        <v>A) Poin penuh B) Poin parsial C) Tidak ada poin (terlalu banyak langkah) D) Pengurangan</v>
      </c>
      <c r="J147" s="5" t="str">
        <f>IFERROR(__xludf.DUMMYFUNCTION("GOOGLETRANSLATE(D147, ""en"", ""id"")"),"A) Poin penuh")</f>
        <v>A) Poin penuh</v>
      </c>
      <c r="K147" s="5" t="str">
        <f>IFERROR(__xludf.DUMMYFUNCTION("GOOGLETRANSLATE(E147, ""en"", ""id"")"),"Perpindahan terkendali ke penyelesaian yang aman dengan pemulihan posisi mendapat kredit penuh.")</f>
        <v>Perpindahan terkendali ke penyelesaian yang aman dengan pemulihan posisi mendapat kredit penuh.</v>
      </c>
    </row>
    <row r="148">
      <c r="A148" s="3">
        <v>147.0</v>
      </c>
      <c r="B148" s="4" t="s">
        <v>2381</v>
      </c>
      <c r="C148" s="7" t="s">
        <v>2382</v>
      </c>
      <c r="D148" s="4" t="s">
        <v>2383</v>
      </c>
      <c r="E148" s="4" t="s">
        <v>2384</v>
      </c>
      <c r="G148" s="5" t="str">
        <f>IFERROR(__xludf.DUMMYFUNCTION("GOOGLETRANSLATE(A148, ""en"", ""id"")"),"147")</f>
        <v>147</v>
      </c>
      <c r="H148" s="5" t="str">
        <f>IFERROR(__xludf.DUMMYFUNCTION("GOOGLETRANSLATE(B148, ""en"", ""id"")"),"Di sebuah undangan, pukulan langsung Petarung A mendarat; lawan memblok di akhir pertandingan tetapi langsung mencetak serangan balik bersih saat A tidak dijaga. Bagaimana cara mencetak angka?")</f>
        <v>Di sebuah undangan, pukulan langsung Petarung A mendarat; lawan memblok di akhir pertandingan tetapi langsung mencetak serangan balik bersih saat A tidak dijaga. Bagaimana cara mencetak angka?</v>
      </c>
      <c r="I148" s="5" t="str">
        <f>IFERROR(__xludf.DUMMYFUNCTION("GOOGLETRANSLATE(C148, ""en"", ""id"")"),"A) Poin hanya untuk A B) Poin hanya untuk lawan C) Sebagian untuk keduanya D) Penuh untuk keduanya")</f>
        <v>A) Poin hanya untuk A B) Poin hanya untuk lawan C) Sebagian untuk keduanya D) Penuh untuk keduanya</v>
      </c>
      <c r="J148" s="5" t="str">
        <f>IFERROR(__xludf.DUMMYFUNCTION("GOOGLETRANSLATE(D148, ""en"", ""id"")"),"C) Sebagian untuk keduanya")</f>
        <v>C) Sebagian untuk keduanya</v>
      </c>
      <c r="K148" s="5" t="str">
        <f>IFERROR(__xludf.DUMMYFUNCTION("GOOGLETRANSLATE(E148, ""en"", ""id"")"),"Pertukaran dengan dua tindakan yang valid dalam waktu yang cepat biasanya menghasilkan kredit yang dibagi dan dikurangi.")</f>
        <v>Pertukaran dengan dua tindakan yang valid dalam waktu yang cepat biasanya menghasilkan kredit yang dibagi dan dikurangi.</v>
      </c>
    </row>
    <row r="149">
      <c r="A149" s="3">
        <v>148.0</v>
      </c>
      <c r="B149" s="4" t="s">
        <v>2385</v>
      </c>
      <c r="C149" s="7" t="s">
        <v>2386</v>
      </c>
      <c r="D149" s="4" t="s">
        <v>2387</v>
      </c>
      <c r="E149" s="4" t="s">
        <v>2388</v>
      </c>
      <c r="G149" s="5" t="str">
        <f>IFERROR(__xludf.DUMMYFUNCTION("GOOGLETRANSLATE(A149, ""en"", ""id"")"),"148")</f>
        <v>148</v>
      </c>
      <c r="H149" s="5" t="str">
        <f>IFERROR(__xludf.DUMMYFUNCTION("GOOGLETRANSLATE(B149, ""en"", ""id"")"),"Di final tingkat provinsi, Petarung B menyerbu dengan rentetan serangan yang sebagian besar meleset; satu pukulan bersih mengenai badan, tetapi ia tersandung dan menabrak wasit. Keputusan?")</f>
        <v>Di final tingkat provinsi, Petarung B menyerbu dengan rentetan serangan yang sebagian besar meleset; satu pukulan bersih mengenai badan, tetapi ia tersandung dan menabrak wasit. Keputusan?</v>
      </c>
      <c r="I149" s="5" t="str">
        <f>IFERROR(__xludf.DUMMYFUNCTION("GOOGLETRANSLATE(C149, ""en"", ""id"")"),"A) Poin penuh dan kelanjutan B) Poin parsial; peringatan untuk kontrol C) Tidak ada poin; pengurangan D) Diskualifikasi")</f>
        <v>A) Poin penuh dan kelanjutan B) Poin parsial; peringatan untuk kontrol C) Tidak ada poin; pengurangan D) Diskualifikasi</v>
      </c>
      <c r="J149" s="5" t="str">
        <f>IFERROR(__xludf.DUMMYFUNCTION("GOOGLETRANSLATE(D149, ""en"", ""id"")"),"B) Titik parsial; peringatan untuk kontrol")</f>
        <v>B) Titik parsial; peringatan untuk kontrol</v>
      </c>
      <c r="K149" s="5" t="str">
        <f>IFERROR(__xludf.DUMMYFUNCTION("GOOGLETRANSLATE(E149, ""en"", ""id"")"),"Satu serangan bersih dinilai sebagian; kontak dengan wasit memicu peringatan kontrol.")</f>
        <v>Satu serangan bersih dinilai sebagian; kontak dengan wasit memicu peringatan kontrol.</v>
      </c>
    </row>
    <row r="150">
      <c r="A150" s="3">
        <v>149.0</v>
      </c>
      <c r="B150" s="4" t="s">
        <v>2389</v>
      </c>
      <c r="C150" s="7" t="s">
        <v>2390</v>
      </c>
      <c r="D150" s="4" t="s">
        <v>2391</v>
      </c>
      <c r="E150" s="4" t="s">
        <v>2392</v>
      </c>
      <c r="G150" s="5" t="str">
        <f>IFERROR(__xludf.DUMMYFUNCTION("GOOGLETRANSLATE(A150, ""en"", ""id"")"),"149")</f>
        <v>149</v>
      </c>
      <c r="H150" s="5" t="str">
        <f>IFERROR(__xludf.DUMMYFUNCTION("GOOGLETRANSLATE(B150, ""en"", ""id"")"),"Dalam sebuah kejuaraan pesisir, Petarung A mencoba tendangan jungkir balik yang meleset; lawan dengan tenang maju dan mendaratkan pukulan balik yang tenang. Mencetak gol?")</f>
        <v>Dalam sebuah kejuaraan pesisir, Petarung A mencoba tendangan jungkir balik yang meleset; lawan dengan tenang maju dan mendaratkan pukulan balik yang tenang. Mencetak gol?</v>
      </c>
      <c r="I150" s="5" t="str">
        <f>IFERROR(__xludf.DUMMYFUNCTION("GOOGLETRANSLATE(C150, ""en"", ""id"")"),"A) Poin untuk kesulitan A B) Poin untuk penghitung saja C) Sebagian untuk keduanya D) Tidak ada poin")</f>
        <v>A) Poin untuk kesulitan A B) Poin untuk penghitung saja C) Sebagian untuk keduanya D) Tidak ada poin</v>
      </c>
      <c r="J150" s="5" t="str">
        <f>IFERROR(__xludf.DUMMYFUNCTION("GOOGLETRANSLATE(D150, ""en"", ""id"")"),"B) Poin hanya untuk penghitung")</f>
        <v>B) Poin hanya untuk penghitung</v>
      </c>
      <c r="K150" s="5" t="str">
        <f>IFERROR(__xludf.DUMMYFUNCTION("GOOGLETRANSLATE(E150, ""en"", ""id"")"),"Kesulitan tanpa efek tidak akan dinilai; penghitung yang diukur akan dinilai.")</f>
        <v>Kesulitan tanpa efek tidak akan dinilai; penghitung yang diukur akan dinilai.</v>
      </c>
    </row>
    <row r="151">
      <c r="A151" s="3">
        <v>150.0</v>
      </c>
      <c r="B151" s="4" t="s">
        <v>2393</v>
      </c>
      <c r="C151" s="7" t="s">
        <v>2394</v>
      </c>
      <c r="D151" s="4" t="s">
        <v>2395</v>
      </c>
      <c r="E151" s="4" t="s">
        <v>2396</v>
      </c>
      <c r="G151" s="5" t="str">
        <f>IFERROR(__xludf.DUMMYFUNCTION("GOOGLETRANSLATE(A151, ""en"", ""id"")"),"150")</f>
        <v>150</v>
      </c>
      <c r="H151" s="5" t="str">
        <f>IFERROR(__xludf.DUMMYFUNCTION("GOOGLETRANSLATE(B151, ""en"", ""id"")"),"Dalam pertandingan perebutan gelar nasional, Petarung B memimpin dan mulai menyerang secara defensif tanpa menyerang selama 30 detik terakhir. Apa yang harus dilakukan wasit?")</f>
        <v>Dalam pertandingan perebutan gelar nasional, Petarung B memimpin dan mulai menyerang secara defensif tanpa menyerang selama 30 detik terakhir. Apa yang harus dilakukan wasit?</v>
      </c>
      <c r="I151" s="5" t="str">
        <f>IFERROR(__xludf.DUMMYFUNCTION("GOOGLETRANSLATE(C151, ""en"", ""id"")"),"A) Hadiahi pilihan taktis B) Berikan peringatan pasif; pertimbangkan pengurangan C) Kurangi secara otomatis D) Atur ulang skor")</f>
        <v>A) Hadiahi pilihan taktis B) Berikan peringatan pasif; pertimbangkan pengurangan C) Kurangi secara otomatis D) Atur ulang skor</v>
      </c>
      <c r="J151" s="5" t="str">
        <f>IFERROR(__xludf.DUMMYFUNCTION("GOOGLETRANSLATE(D151, ""en"", ""id"")"),"B) Terbitkan peringatan pasif; pertimbangkan pengurangan")</f>
        <v>B) Terbitkan peringatan pasif; pertimbangkan pengurangan</v>
      </c>
      <c r="K151" s="5" t="str">
        <f>IFERROR(__xludf.DUMMYFUNCTION("GOOGLETRANSLATE(E151, ""en"", ""id"")"),"Ketidakterlibatan yang berkepanjangan di akhir pertandingan akan menimbulkan sanksi kepasifan.")</f>
        <v>Ketidakterlibatan yang berkepanjangan di akhir pertandingan akan menimbulkan sanksi kepasifan.</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6.88"/>
    <col customWidth="1" min="8" max="11" width="37.63"/>
  </cols>
  <sheetData>
    <row r="1">
      <c r="A1" s="1" t="s">
        <v>0</v>
      </c>
      <c r="B1" s="1" t="s">
        <v>1</v>
      </c>
      <c r="C1" s="1" t="s">
        <v>2</v>
      </c>
      <c r="D1" s="1" t="s">
        <v>3</v>
      </c>
      <c r="E1" s="1" t="s">
        <v>4</v>
      </c>
      <c r="G1" s="2" t="s">
        <v>5</v>
      </c>
      <c r="H1" s="2" t="s">
        <v>6</v>
      </c>
      <c r="I1" s="2" t="s">
        <v>7</v>
      </c>
      <c r="J1" s="2" t="s">
        <v>8</v>
      </c>
      <c r="K1" s="2" t="s">
        <v>9</v>
      </c>
    </row>
    <row r="2">
      <c r="A2" s="3">
        <v>1.0</v>
      </c>
      <c r="B2" s="4" t="s">
        <v>2397</v>
      </c>
      <c r="C2" s="4" t="s">
        <v>2398</v>
      </c>
      <c r="D2" s="4" t="s">
        <v>2399</v>
      </c>
      <c r="E2" s="4" t="s">
        <v>2400</v>
      </c>
      <c r="G2" s="5" t="str">
        <f>IFERROR(__xludf.DUMMYFUNCTION("GOOGLETRANSLATE(A2, ""en"", ""id"")"),"1")</f>
        <v>1</v>
      </c>
      <c r="H2" s="5" t="str">
        <f>IFERROR(__xludf.DUMMYFUNCTION("GOOGLETRANSLATE(B2, ""en"", ""id"")"),"Dalam final Tarung Derajat di Bandung, petarung A mendaratkan pukulan bersih, tetapi petarung B langsung membalas dengan takedown yang sukses. Berdasarkan sistem penilaian, petarung mana yang kemungkinan besar akan unggul setelah pertukaran pukulan ini?")</f>
        <v>Dalam final Tarung Derajat di Bandung, petarung A mendaratkan pukulan bersih, tetapi petarung B langsung membalas dengan takedown yang sukses. Berdasarkan sistem penilaian, petarung mana yang kemungkinan besar akan unggul setelah pertukaran pukulan ini?</v>
      </c>
      <c r="I2" s="5" t="str">
        <f>IFERROR(__xludf.DUMMYFUNCTION("GOOGLETRANSLATE(C2, ""en"", ""id"")"),"A) Petarung A untuk serangan awal, B) Petarung B untuk takedown dengan skor lebih tinggi, C) Pertukaran skor dianggap seri, D) Wasit memutuskan berdasarkan agresi")</f>
        <v>A) Petarung A untuk serangan awal, B) Petarung B untuk takedown dengan skor lebih tinggi, C) Pertukaran skor dianggap seri, D) Wasit memutuskan berdasarkan agresi</v>
      </c>
      <c r="J2" s="5" t="str">
        <f>IFERROR(__xludf.DUMMYFUNCTION("GOOGLETRANSLATE(D2, ""en"", ""id"")"),"B) Petarung B untuk takedown dengan skor lebih tinggi")</f>
        <v>B) Petarung B untuk takedown dengan skor lebih tinggi</v>
      </c>
      <c r="K2" s="5" t="str">
        <f>IFERROR(__xludf.DUMMYFUNCTION("GOOGLETRANSLATE(E2, ""en"", ""id"")"),"Dalam Tarung Derajat, aksi bergulat seperti takedown (3 poin) diberi poin lebih banyak daripada satu pukulan ke tubuh (1 poin).")</f>
        <v>Dalam Tarung Derajat, aksi bergulat seperti takedown (3 poin) diberi poin lebih banyak daripada satu pukulan ke tubuh (1 poin).</v>
      </c>
    </row>
    <row r="3">
      <c r="A3" s="3">
        <v>2.0</v>
      </c>
      <c r="B3" s="4" t="s">
        <v>2401</v>
      </c>
      <c r="C3" s="4" t="s">
        <v>2402</v>
      </c>
      <c r="D3" s="4" t="s">
        <v>2403</v>
      </c>
      <c r="E3" s="4" t="s">
        <v>2404</v>
      </c>
      <c r="G3" s="5" t="str">
        <f>IFERROR(__xludf.DUMMYFUNCTION("GOOGLETRANSLATE(A3, ""en"", ""id"")"),"2")</f>
        <v>2</v>
      </c>
      <c r="H3" s="5" t="str">
        <f>IFERROR(__xludf.DUMMYFUNCTION("GOOGLETRANSLATE(B3, ""en"", ""id"")"),"Seorang petarung yang berlatih 'Dua Siku Serang' (Serangan Siku Ganda) diberi tahu bahwa tekniknya kurang tepat. Apa kesalahan paling umum dalam melakukan gerakan ini?")</f>
        <v>Seorang petarung yang berlatih 'Dua Siku Serang' (Serangan Siku Ganda) diberi tahu bahwa tekniknya kurang tepat. Apa kesalahan paling umum dalam melakukan gerakan ini?</v>
      </c>
      <c r="I3" s="5" t="str">
        <f>IFERROR(__xludf.DUMMYFUNCTION("GOOGLETRANSLATE(C3, ""en"", ""id"")"),"A) Serangannya terlalu lambat, B) Petarung menyerang secara bersamaan, bukan berurutan, C) Petarung tidak berteriak, D) Serangan ditujukan ke kaki")</f>
        <v>A) Serangannya terlalu lambat, B) Petarung menyerang secara bersamaan, bukan berurutan, C) Petarung tidak berteriak, D) Serangan ditujukan ke kaki</v>
      </c>
      <c r="J3" s="5" t="str">
        <f>IFERROR(__xludf.DUMMYFUNCTION("GOOGLETRANSLATE(D3, ""en"", ""id"")"),"B) Petarung menyerang secara serentak, bukan berurutan")</f>
        <v>B) Petarung menyerang secara serentak, bukan berurutan</v>
      </c>
      <c r="K3" s="5" t="str">
        <f>IFERROR(__xludf.DUMMYFUNCTION("GOOGLETRANSLATE(E3, ""en"", ""id"")"),"'Dua Siku Serang' merupakan serangkaian serangan siku bergantian yang cepat; melakukan keduanya secara bersamaan secara teknis tidak benar dan tidak efektif.")</f>
        <v>'Dua Siku Serang' merupakan serangkaian serangan siku bergantian yang cepat; melakukan keduanya secara bersamaan secara teknis tidak benar dan tidak efektif.</v>
      </c>
    </row>
    <row r="4">
      <c r="A4" s="3">
        <v>3.0</v>
      </c>
      <c r="B4" s="4" t="s">
        <v>2405</v>
      </c>
      <c r="C4" s="4" t="s">
        <v>2406</v>
      </c>
      <c r="D4" s="4" t="s">
        <v>2407</v>
      </c>
      <c r="E4" s="4" t="s">
        <v>2408</v>
      </c>
      <c r="G4" s="5" t="str">
        <f>IFERROR(__xludf.DUMMYFUNCTION("GOOGLETRANSLATE(A4, ""en"", ""id"")"),"3")</f>
        <v>3</v>
      </c>
      <c r="H4" s="5" t="str">
        <f>IFERROR(__xludf.DUMMYFUNCTION("GOOGLETRANSLATE(B4, ""en"", ""id"")"),"Dalam sebuah pertandingan, Petarung X mengandalkan kemampuan menghindar dan mendaratkan tendangan balik yang akurat. Petarung Y terus menekan ke depan dengan serangan bertubi-tubi yang agresif. Setelah tiga ronde, juri memberikan kemenangan kepada Petarun"&amp;"g X. Hasil ini menunjukkan prinsip apa dalam olahraga ini?")</f>
        <v>Dalam sebuah pertandingan, Petarung X mengandalkan kemampuan menghindar dan mendaratkan tendangan balik yang akurat. Petarung Y terus menekan ke depan dengan serangan bertubi-tubi yang agresif. Setelah tiga ronde, juri memberikan kemenangan kepada Petarung X. Hasil ini menunjukkan prinsip apa dalam olahraga ini?</v>
      </c>
      <c r="I4" s="5" t="str">
        <f>IFERROR(__xludf.DUMMYFUNCTION("GOOGLETRANSLATE(C4, ""en"", ""id"")"),"A) Agresi selalu dihukum, B) Filosofi olahraga ini lebih menyukai serangan balik yang efisien dan efektif daripada agresi mentah, C) Hanya tendangan yang dapat mencetak poin, D) Para juri bias")</f>
        <v>A) Agresi selalu dihukum, B) Filosofi olahraga ini lebih menyukai serangan balik yang efisien dan efektif daripada agresi mentah, C) Hanya tendangan yang dapat mencetak poin, D) Para juri bias</v>
      </c>
      <c r="J4" s="5" t="str">
        <f>IFERROR(__xludf.DUMMYFUNCTION("GOOGLETRANSLATE(D4, ""en"", ""id"")"),"B) Filosofi olahraga ini lebih mengutamakan serangan balik yang efisien dan efektif daripada agresi mentah")</f>
        <v>B) Filosofi olahraga ini lebih mengutamakan serangan balik yang efisien dan efektif daripada agresi mentah</v>
      </c>
      <c r="K4" s="5" t="str">
        <f>IFERROR(__xludf.DUMMYFUNCTION("GOOGLETRANSLATE(E4, ""en"", ""id"")"),"Tarung Derajat menekankan penggunaan kekuatan lawan untuk melawan mereka, membuat serangan balik yang tepat waktu menjadi strategi yang sangat bernilai dan efektif.")</f>
        <v>Tarung Derajat menekankan penggunaan kekuatan lawan untuk melawan mereka, membuat serangan balik yang tepat waktu menjadi strategi yang sangat bernilai dan efektif.</v>
      </c>
    </row>
    <row r="5">
      <c r="A5" s="3">
        <v>4.0</v>
      </c>
      <c r="B5" s="4" t="s">
        <v>2409</v>
      </c>
      <c r="C5" s="4" t="s">
        <v>2410</v>
      </c>
      <c r="D5" s="4" t="s">
        <v>2411</v>
      </c>
      <c r="E5" s="4" t="s">
        <v>2412</v>
      </c>
      <c r="G5" s="5" t="str">
        <f>IFERROR(__xludf.DUMMYFUNCTION("GOOGLETRANSLATE(A5, ""en"", ""id"")"),"4")</f>
        <v>4</v>
      </c>
      <c r="H5" s="5" t="str">
        <f>IFERROR(__xludf.DUMMYFUNCTION("GOOGLETRANSLATE(B5, ""en"", ""id"")"),"Sebuah film dokumenter tentang seni bela diri Indonesia mengaitkan penciptaan Tarung Derajat dengan Achmad Drajat. Hal ini menjelaskan mengapa teknik seni ini terutama didasarkan pada apa?")</f>
        <v>Sebuah film dokumenter tentang seni bela diri Indonesia mengaitkan penciptaan Tarung Derajat dengan Achmad Drajat. Hal ini menjelaskan mengapa teknik seni ini terutama didasarkan pada apa?</v>
      </c>
      <c r="I5" s="5" t="str">
        <f>IFERROR(__xludf.DUMMYFUNCTION("GOOGLETRANSLATE(C5, ""en"", ""id"")"),"A) Tradisi kerajaan Jawa kuno, B) Pengalaman pertarungan jalanan yang praktis dan efisien, C) Gerakan hewan, D) Praktik meditasi")</f>
        <v>A) Tradisi kerajaan Jawa kuno, B) Pengalaman pertarungan jalanan yang praktis dan efisien, C) Gerakan hewan, D) Praktik meditasi</v>
      </c>
      <c r="J5" s="5" t="str">
        <f>IFERROR(__xludf.DUMMYFUNCTION("GOOGLETRANSLATE(D5, ""en"", ""id"")"),"B) Pengalaman pertarungan jalanan yang praktis dan efisien")</f>
        <v>B) Pengalaman pertarungan jalanan yang praktis dan efisien</v>
      </c>
      <c r="K5" s="5" t="str">
        <f>IFERROR(__xludf.DUMMYFUNCTION("GOOGLETRANSLATE(E5, ""en"", ""id"")"),"Dikenal sebagai ""Aa Boxer,"" Achmad Drajat mengembangkan seni ini dari pertarungan dunia nyata, dengan menekankan kepraktisan daripada upacara.")</f>
        <v>Dikenal sebagai "Aa Boxer," Achmad Drajat mengembangkan seni ini dari pertarungan dunia nyata, dengan menekankan kepraktisan daripada upacara.</v>
      </c>
    </row>
    <row r="6">
      <c r="A6" s="3">
        <v>5.0</v>
      </c>
      <c r="B6" s="4" t="s">
        <v>2413</v>
      </c>
      <c r="C6" s="4" t="s">
        <v>2414</v>
      </c>
      <c r="D6" s="4" t="s">
        <v>2415</v>
      </c>
      <c r="E6" s="4" t="s">
        <v>2416</v>
      </c>
      <c r="G6" s="5" t="str">
        <f>IFERROR(__xludf.DUMMYFUNCTION("GOOGLETRANSLATE(A6, ""en"", ""id"")"),"5")</f>
        <v>5</v>
      </c>
      <c r="H6" s="5" t="str">
        <f>IFERROR(__xludf.DUMMYFUNCTION("GOOGLETRANSLATE(B6, ""en"", ""id"")"),"Saat pertandingan sparring, petarung A mendaratkan pukulan, lalu menurunkan pertahanannya untuk mengagumi hasil kerjanya. Petarung B langsung mendaratkan pukulan balasan. Apa keputusannya?")</f>
        <v>Saat pertandingan sparring, petarung A mendaratkan pukulan, lalu menurunkan pertahanannya untuk mengagumi hasil kerjanya. Petarung B langsung mendaratkan pukulan balasan. Apa keputusannya?</v>
      </c>
      <c r="I6" s="5" t="str">
        <f>IFERROR(__xludf.DUMMYFUNCTION("GOOGLETRANSLATE(C6, ""en"", ""id"")"),"A) Hanya pukulan Fighter A yang mendapat skor, B) Kedua pukulan mendapat skor, C) Hanya pukulan balik Fighter B yang mendapat skor, D) Pukulan Fighter B mendapat skor, dan Fighter A diperingatkan karena pertahanan rendah")</f>
        <v>A) Hanya pukulan Fighter A yang mendapat skor, B) Kedua pukulan mendapat skor, C) Hanya pukulan balik Fighter B yang mendapat skor, D) Pukulan Fighter B mendapat skor, dan Fighter A diperingatkan karena pertahanan rendah</v>
      </c>
      <c r="J6" s="5" t="str">
        <f>IFERROR(__xludf.DUMMYFUNCTION("GOOGLETRANSLATE(D6, ""en"", ""id"")"),"D) Pukulan petarung B berhasil, dan petarung A diperingatkan karena pertahanannya rendah")</f>
        <v>D) Pukulan petarung B berhasil, dan petarung A diperingatkan karena pertahanannya rendah</v>
      </c>
      <c r="K6" s="5" t="str">
        <f>IFERROR(__xludf.DUMMYFUNCTION("GOOGLETRANSLATE(E6, ""en"", ""id"")"),"Serangan balik yang bersih menghasilkan skor. Wasit juga kemungkinan akan memperingatkan Petarung A atas kesalahan teknis yang berbahaya, yaitu menurunkan pertahanannya.")</f>
        <v>Serangan balik yang bersih menghasilkan skor. Wasit juga kemungkinan akan memperingatkan Petarung A atas kesalahan teknis yang berbahaya, yaitu menurunkan pertahanannya.</v>
      </c>
    </row>
    <row r="7">
      <c r="A7" s="3">
        <v>6.0</v>
      </c>
      <c r="B7" s="4" t="s">
        <v>2417</v>
      </c>
      <c r="C7" s="4" t="s">
        <v>2418</v>
      </c>
      <c r="D7" s="4" t="s">
        <v>2419</v>
      </c>
      <c r="E7" s="4" t="s">
        <v>2420</v>
      </c>
      <c r="G7" s="5" t="str">
        <f>IFERROR(__xludf.DUMMYFUNCTION("GOOGLETRANSLATE(A7, ""en"", ""id"")"),"6")</f>
        <v>6</v>
      </c>
      <c r="H7" s="5" t="str">
        <f>IFERROR(__xludf.DUMMYFUNCTION("GOOGLETRANSLATE(B7, ""en"", ""id"")"),"Seorang petarung terkena pukulan rendah saat bertanding di Jakarta. Wasit menghentikan pertandingan dan memberi petarung waktu untuk pulih. Berapa waktu pemulihan maksimum yang diperbolehkan?")</f>
        <v>Seorang petarung terkena pukulan rendah saat bertanding di Jakarta. Wasit menghentikan pertandingan dan memberi petarung waktu untuk pulih. Berapa waktu pemulihan maksimum yang diperbolehkan?</v>
      </c>
      <c r="I7" s="5" t="str">
        <f>IFERROR(__xludf.DUMMYFUNCTION("GOOGLETRANSLATE(C7, ""en"", ""id"")"),"A) 30 detik, B) 1 menit, C) Hingga 5 menit, D) Petarung harus segera melanjutkan")</f>
        <v>A) 30 detik, B) 1 menit, C) Hingga 5 menit, D) Petarung harus segera melanjutkan</v>
      </c>
      <c r="J7" s="5" t="str">
        <f>IFERROR(__xludf.DUMMYFUNCTION("GOOGLETRANSLATE(D7, ""en"", ""id"")"),"C) Hingga 5 menit")</f>
        <v>C) Hingga 5 menit</v>
      </c>
      <c r="K7" s="5" t="str">
        <f>IFERROR(__xludf.DUMMYFUNCTION("GOOGLETRANSLATE(E7, ""en"", ""id"")"),"Seorang petarung yang menerima pelanggaran tidak disengaja diberi waktu yang wajar (hingga lima menit) untuk memulihkan diri sebelum pertandingan dilanjutkan.")</f>
        <v>Seorang petarung yang menerima pelanggaran tidak disengaja diberi waktu yang wajar (hingga lima menit) untuk memulihkan diri sebelum pertandingan dilanjutkan.</v>
      </c>
    </row>
    <row r="8">
      <c r="A8" s="3">
        <v>7.0</v>
      </c>
      <c r="B8" s="4" t="s">
        <v>2421</v>
      </c>
      <c r="C8" s="4" t="s">
        <v>2422</v>
      </c>
      <c r="D8" s="4" t="s">
        <v>2423</v>
      </c>
      <c r="E8" s="4" t="s">
        <v>2424</v>
      </c>
      <c r="G8" s="5" t="str">
        <f>IFERROR(__xludf.DUMMYFUNCTION("GOOGLETRANSLATE(A8, ""en"", ""id"")"),"7")</f>
        <v>7</v>
      </c>
      <c r="H8" s="5" t="str">
        <f>IFERROR(__xludf.DUMMYFUNCTION("GOOGLETRANSLATE(B8, ""en"", ""id"")"),"Dalam sebuah pertandingan di Surabaya, Fighter X dihukum karena ""kontak berlebihan"" setelah melancarkan tendangan keras. Apa artinya ini?")</f>
        <v>Dalam sebuah pertandingan di Surabaya, Fighter X dihukum karena "kontak berlebihan" setelah melancarkan tendangan keras. Apa artinya ini?</v>
      </c>
      <c r="I8" s="5" t="str">
        <f>IFERROR(__xludf.DUMMYFUNCTION("GOOGLETRANSLATE(C8, ""en"", ""id"")"),"A) Tendangannya terlalu terampil, B) Tendangannya dilakukan dengan maksud untuk melukai daripada untuk mencetak gol, C) Tendangannya mendarat setelah sinyal wasit, D) Tendangannya terlalu cepat")</f>
        <v>A) Tendangannya terlalu terampil, B) Tendangannya dilakukan dengan maksud untuk melukai daripada untuk mencetak gol, C) Tendangannya mendarat setelah sinyal wasit, D) Tendangannya terlalu cepat</v>
      </c>
      <c r="J8" s="5" t="str">
        <f>IFERROR(__xludf.DUMMYFUNCTION("GOOGLETRANSLATE(D8, ""en"", ""id"")"),"B) Tendangan tersebut dilakukan dengan maksud untuk melukai bukan untuk mencetak gol")</f>
        <v>B) Tendangan tersebut dilakukan dengan maksud untuk melukai bukan untuk mencetak gol</v>
      </c>
      <c r="K8" s="5" t="str">
        <f>IFERROR(__xludf.DUMMYFUNCTION("GOOGLETRANSLATE(E8, ""en"", ""id"")"),"Tarung Derajat adalah olahraga yang mengandalkan agresi yang terkendali. Pukulan yang dianggap berbahaya atau tidak terkendali merupakan pelanggaran.")</f>
        <v>Tarung Derajat adalah olahraga yang mengandalkan agresi yang terkendali. Pukulan yang dianggap berbahaya atau tidak terkendali merupakan pelanggaran.</v>
      </c>
    </row>
    <row r="9">
      <c r="A9" s="3">
        <v>8.0</v>
      </c>
      <c r="B9" s="4" t="s">
        <v>2425</v>
      </c>
      <c r="C9" s="4" t="s">
        <v>2426</v>
      </c>
      <c r="D9" s="4" t="s">
        <v>2427</v>
      </c>
      <c r="E9" s="4" t="s">
        <v>2428</v>
      </c>
      <c r="G9" s="5" t="str">
        <f>IFERROR(__xludf.DUMMYFUNCTION("GOOGLETRANSLATE(A9, ""en"", ""id"")"),"8")</f>
        <v>8</v>
      </c>
      <c r="H9" s="5" t="str">
        <f>IFERROR(__xludf.DUMMYFUNCTION("GOOGLETRANSLATE(B9, ""en"", ""id"")"),"Seorang pelatih di Bandung menasihati muridnya untuk tetap tenang dan fokus meskipun tertinggal poin. Nasihat ini berkaitan langsung dengan prinsip inti olahraga yang mana?")</f>
        <v>Seorang pelatih di Bandung menasihati muridnya untuk tetap tenang dan fokus meskipun tertinggal poin. Nasihat ini berkaitan langsung dengan prinsip inti olahraga yang mana?</v>
      </c>
      <c r="I9" s="5" t="str">
        <f>IFERROR(__xludf.DUMMYFUNCTION("GOOGLETRANSLATE(C9, ""en"", ""id"")"),"A) Pentingnya kekuatan fisik, B) Penekanan seni pada disiplin mental dan ketahanan, C) Kebutuhan untuk menang dengan segala cara, D) Sistem penilaian")</f>
        <v>A) Pentingnya kekuatan fisik, B) Penekanan seni pada disiplin mental dan ketahanan, C) Kebutuhan untuk menang dengan segala cara, D) Sistem penilaian</v>
      </c>
      <c r="J9" s="5" t="str">
        <f>IFERROR(__xludf.DUMMYFUNCTION("GOOGLETRANSLATE(D9, ""en"", ""id"")"),"B) Penekanan seni pada disiplin mental dan ketahanan")</f>
        <v>B) Penekanan seni pada disiplin mental dan ketahanan</v>
      </c>
      <c r="K9" s="5" t="str">
        <f>IFERROR(__xludf.DUMMYFUNCTION("GOOGLETRANSLATE(E9, ""en"", ""id"")"),"Prinsip inti Tarung Derajat adalah menguasai emosi sendiri untuk mempertahankan fokus dan pemikiran strategis di bawah tekanan.")</f>
        <v>Prinsip inti Tarung Derajat adalah menguasai emosi sendiri untuk mempertahankan fokus dan pemikiran strategis di bawah tekanan.</v>
      </c>
    </row>
    <row r="10">
      <c r="A10" s="3">
        <v>9.0</v>
      </c>
      <c r="B10" s="4" t="s">
        <v>2429</v>
      </c>
      <c r="C10" s="4" t="s">
        <v>2430</v>
      </c>
      <c r="D10" s="4" t="s">
        <v>2431</v>
      </c>
      <c r="E10" s="4" t="s">
        <v>2432</v>
      </c>
      <c r="G10" s="5" t="str">
        <f>IFERROR(__xludf.DUMMYFUNCTION("GOOGLETRANSLATE(A10, ""en"", ""id"")"),"9")</f>
        <v>9</v>
      </c>
      <c r="H10" s="5" t="str">
        <f>IFERROR(__xludf.DUMMYFUNCTION("GOOGLETRANSLATE(B10, ""en"", ""id"")"),"Seorang petarung dalam demonstrasi melakukan 'Tendangan Melingkar' (tendangan berputar). Jika ini adalah pertandingan, target mana yang akan menghasilkan poin terbanyak?")</f>
        <v>Seorang petarung dalam demonstrasi melakukan 'Tendangan Melingkar' (tendangan berputar). Jika ini adalah pertandingan, target mana yang akan menghasilkan poin terbanyak?</v>
      </c>
      <c r="I10" s="5" t="str">
        <f>IFERROR(__xludf.DUMMYFUNCTION("GOOGLETRANSLATE(C10, ""en"", ""id"")"),"A) Lengan, B) Kaki, C) Badan, D) Kepala")</f>
        <v>A) Lengan, B) Kaki, C) Badan, D) Kepala</v>
      </c>
      <c r="J10" s="5" t="str">
        <f>IFERROR(__xludf.DUMMYFUNCTION("GOOGLETRANSLATE(D10, ""en"", ""id"")"),"D) Kepala")</f>
        <v>D) Kepala</v>
      </c>
      <c r="K10" s="5" t="str">
        <f>IFERROR(__xludf.DUMMYFUNCTION("GOOGLETRANSLATE(E10, ""en"", ""id"")"),"Tendangan bersih ke kepala merupakan pukulan tunggal dengan skor tertinggi dalam Tarung Derajat, yang diberi 3 poin.")</f>
        <v>Tendangan bersih ke kepala merupakan pukulan tunggal dengan skor tertinggi dalam Tarung Derajat, yang diberi 3 poin.</v>
      </c>
    </row>
    <row r="11">
      <c r="A11" s="3">
        <v>10.0</v>
      </c>
      <c r="B11" s="4" t="s">
        <v>2433</v>
      </c>
      <c r="C11" s="4" t="s">
        <v>2434</v>
      </c>
      <c r="D11" s="4" t="s">
        <v>2435</v>
      </c>
      <c r="E11" s="4" t="s">
        <v>2436</v>
      </c>
      <c r="G11" s="5" t="str">
        <f>IFERROR(__xludf.DUMMYFUNCTION("GOOGLETRANSLATE(A11, ""en"", ""id"")"),"10")</f>
        <v>10</v>
      </c>
      <c r="H11" s="5" t="str">
        <f>IFERROR(__xludf.DUMMYFUNCTION("GOOGLETRANSLATE(B11, ""en"", ""id"")"),"Sebuah pertandingan di Yogyakarta berakhir, dan petarung yang menang, Petarung A, mengejek Petarung B yang kalah. Tindakan apa yang kemungkinan akan diambil wasit?")</f>
        <v>Sebuah pertandingan di Yogyakarta berakhir, dan petarung yang menang, Petarung A, mengejek Petarung B yang kalah. Tindakan apa yang kemungkinan akan diambil wasit?</v>
      </c>
      <c r="I11" s="5" t="str">
        <f>IFERROR(__xludf.DUMMYFUNCTION("GOOGLETRANSLATE(C11, ""en"", ""id"")"),"A) Tidak ada, pertandingan selesai, B) Membatalkan keputusan, C) Mengeluarkan peringatan pasca pertandingan atau sanksi formal untuk perilaku tidak sportif, D) Memberikan poin bonus kepada Petarung A")</f>
        <v>A) Tidak ada, pertandingan selesai, B) Membatalkan keputusan, C) Mengeluarkan peringatan pasca pertandingan atau sanksi formal untuk perilaku tidak sportif, D) Memberikan poin bonus kepada Petarung A</v>
      </c>
      <c r="J11" s="5" t="str">
        <f>IFERROR(__xludf.DUMMYFUNCTION("GOOGLETRANSLATE(D11, ""en"", ""id"")"),"C) Mengeluarkan peringatan pasca pertandingan atau sanksi formal atas perilaku tidak sportif")</f>
        <v>C) Mengeluarkan peringatan pasca pertandingan atau sanksi formal atas perilaku tidak sportif</v>
      </c>
      <c r="K11" s="5" t="str">
        <f>IFERROR(__xludf.DUMMYFUNCTION("GOOGLETRANSLATE(E11, ""en"", ""id"")"),"Wewenang wasit juga mencakup perilaku pascapertandingan. Perilaku tidak sopan melanggar kode etik olahraga dan dapat dikenakan sanksi.")</f>
        <v>Wewenang wasit juga mencakup perilaku pascapertandingan. Perilaku tidak sopan melanggar kode etik olahraga dan dapat dikenakan sanksi.</v>
      </c>
    </row>
    <row r="12">
      <c r="A12" s="3">
        <v>11.0</v>
      </c>
      <c r="B12" s="4" t="s">
        <v>2437</v>
      </c>
      <c r="C12" s="4" t="s">
        <v>2438</v>
      </c>
      <c r="D12" s="4" t="s">
        <v>2439</v>
      </c>
      <c r="E12" s="4" t="s">
        <v>2440</v>
      </c>
      <c r="G12" s="5" t="str">
        <f>IFERROR(__xludf.DUMMYFUNCTION("GOOGLETRANSLATE(A12, ""en"", ""id"")"),"11")</f>
        <v>11</v>
      </c>
      <c r="H12" s="5" t="str">
        <f>IFERROR(__xludf.DUMMYFUNCTION("GOOGLETRANSLATE(B12, ""en"", ""id"")"),"Seorang petarung pemula sering disapu karena 'Sikap Dasar' (sikap dasar) mereka terlalu sempit. Ini menunjukkan bahwa tujuan utama dari kuda-kuda tersebut adalah apa?")</f>
        <v>Seorang petarung pemula sering disapu karena 'Sikap Dasar' (sikap dasar) mereka terlalu sempit. Ini menunjukkan bahwa tujuan utama dari kuda-kuda tersebut adalah apa?</v>
      </c>
      <c r="I12" s="5" t="str">
        <f>IFERROR(__xludf.DUMMYFUNCTION("GOOGLETRANSLATE(C12, ""en"", ""id"")"),"A) Agar terlihat bagus, B) Untuk memberikan stabilitas dan dasar yang kuat, C) Untuk memungkinkan pukulan cepat, D) Untuk menghemat energi")</f>
        <v>A) Agar terlihat bagus, B) Untuk memberikan stabilitas dan dasar yang kuat, C) Untuk memungkinkan pukulan cepat, D) Untuk menghemat energi</v>
      </c>
      <c r="J12" s="5" t="str">
        <f>IFERROR(__xludf.DUMMYFUNCTION("GOOGLETRANSLATE(D12, ""en"", ""id"")"),"B) Untuk menyediakan dasar yang stabil bagi dasar yang kuat")</f>
        <v>B) Untuk menyediakan dasar yang stabil bagi dasar yang kuat</v>
      </c>
      <c r="K12" s="5" t="str">
        <f>IFERROR(__xludf.DUMMYFUNCTION("GOOGLETRANSLATE(E12, ""en"", ""id"")"),"Sikap yang salah akan mengganggu keseimbangan petarung, membuat mereka rentan terhadap takedown dan sweep.")</f>
        <v>Sikap yang salah akan mengganggu keseimbangan petarung, membuat mereka rentan terhadap takedown dan sweep.</v>
      </c>
    </row>
    <row r="13">
      <c r="A13" s="3">
        <v>12.0</v>
      </c>
      <c r="B13" s="4" t="s">
        <v>2441</v>
      </c>
      <c r="C13" s="4" t="s">
        <v>2442</v>
      </c>
      <c r="D13" s="4" t="s">
        <v>2443</v>
      </c>
      <c r="E13" s="4" t="s">
        <v>2444</v>
      </c>
      <c r="G13" s="5" t="str">
        <f>IFERROR(__xludf.DUMMYFUNCTION("GOOGLETRANSLATE(A13, ""en"", ""id"")"),"12")</f>
        <v>12</v>
      </c>
      <c r="H13" s="5" t="str">
        <f>IFERROR(__xludf.DUMMYFUNCTION("GOOGLETRANSLATE(B13, ""en"", ""id"")"),"Dalam sebuah turnamen, petarung A berhasil menggunakan beberapa 'Tangkapan' (tangkapan) untuk menahan tendangan petarung B. Ini menunjukkan bahwa petarung A memiliki keunggulan dalam hal apa?")</f>
        <v>Dalam sebuah turnamen, petarung A berhasil menggunakan beberapa 'Tangkapan' (tangkapan) untuk menahan tendangan petarung B. Ini menunjukkan bahwa petarung A memiliki keunggulan dalam hal apa?</v>
      </c>
      <c r="I13" s="5" t="str">
        <f>IFERROR(__xludf.DUMMYFUNCTION("GOOGLETRANSLATE(C13, ""en"", ""id"")"),"A) Kekuatan tendangan, B) Kecepatan pukulan, C) Waktu dan antisipasi, D) Agresi")</f>
        <v>A) Kekuatan tendangan, B) Kecepatan pukulan, C) Waktu dan antisipasi, D) Agresi</v>
      </c>
      <c r="J13" s="5" t="str">
        <f>IFERROR(__xludf.DUMMYFUNCTION("GOOGLETRANSLATE(D13, ""en"", ""id"")"),"C) Waktu dan antisipasi")</f>
        <v>C) Waktu dan antisipasi</v>
      </c>
      <c r="K13" s="5" t="str">
        <f>IFERROR(__xludf.DUMMYFUNCTION("GOOGLETRANSLATE(E13, ""en"", ""id"")"),"Menangkap tendangan dengan sukses memerlukan pengaturan waktu yang baik, refleks, dan kemampuan membaca gerakan lawan.")</f>
        <v>Menangkap tendangan dengan sukses memerlukan pengaturan waktu yang baik, refleks, dan kemampuan membaca gerakan lawan.</v>
      </c>
    </row>
    <row r="14">
      <c r="A14" s="3">
        <v>13.0</v>
      </c>
      <c r="B14" s="4" t="s">
        <v>2445</v>
      </c>
      <c r="C14" s="4" t="s">
        <v>2446</v>
      </c>
      <c r="D14" s="4" t="s">
        <v>2447</v>
      </c>
      <c r="E14" s="4" t="s">
        <v>2448</v>
      </c>
      <c r="G14" s="5" t="str">
        <f>IFERROR(__xludf.DUMMYFUNCTION("GOOGLETRANSLATE(A14, ""en"", ""id"")"),"13")</f>
        <v>13</v>
      </c>
      <c r="H14" s="5" t="str">
        <f>IFERROR(__xludf.DUMMYFUNCTION("GOOGLETRANSLATE(B14, ""en"", ""id"")"),"Wasit menghentikan pertarungan setelah petarung A mendaratkan tendangan ke kepala petarung B. Apa prioritas utama wasit?")</f>
        <v>Wasit menghentikan pertarungan setelah petarung A mendaratkan tendangan ke kepala petarung B. Apa prioritas utama wasit?</v>
      </c>
      <c r="I14" s="5" t="str">
        <f>IFERROR(__xludf.DUMMYFUNCTION("GOOGLETRANSLATE(C14, ""en"", ""id"")"),"A) Memberikan 3 poin kepada Petarung A, B) Memeriksa kesehatan dan keselamatan Petarung B, C) Menanyakan skor kepada juri, D) Memeriksa jam.")</f>
        <v>A) Memberikan 3 poin kepada Petarung A, B) Memeriksa kesehatan dan keselamatan Petarung B, C) Menanyakan skor kepada juri, D) Memeriksa jam.</v>
      </c>
      <c r="J14" s="5" t="str">
        <f>IFERROR(__xludf.DUMMYFUNCTION("GOOGLETRANSLATE(D14, ""en"", ""id"")"),"B) Untuk memeriksa kesehatan dan keselamatan Fighter B")</f>
        <v>B) Untuk memeriksa kesehatan dan keselamatan Fighter B</v>
      </c>
      <c r="K14" s="5" t="str">
        <f>IFERROR(__xludf.DUMMYFUNCTION("GOOGLETRANSLATE(E14, ""en"", ""id"")"),"Setelah terjadi benturan keras di kepala, tanggung jawab langsung wasit adalah menilai kondisi petarung, dan mungkin memberikan hitungan.")</f>
        <v>Setelah terjadi benturan keras di kepala, tanggung jawab langsung wasit adalah menilai kondisi petarung, dan mungkin memberikan hitungan.</v>
      </c>
    </row>
    <row r="15">
      <c r="A15" s="3">
        <v>14.0</v>
      </c>
      <c r="B15" s="4" t="s">
        <v>2449</v>
      </c>
      <c r="C15" s="4" t="s">
        <v>2450</v>
      </c>
      <c r="D15" s="4" t="s">
        <v>2451</v>
      </c>
      <c r="E15" s="4" t="s">
        <v>2452</v>
      </c>
      <c r="G15" s="5" t="str">
        <f>IFERROR(__xludf.DUMMYFUNCTION("GOOGLETRANSLATE(A15, ""en"", ""id"")"),"14")</f>
        <v>14</v>
      </c>
      <c r="H15" s="5" t="str">
        <f>IFERROR(__xludf.DUMMYFUNCTION("GOOGLETRANSLATE(B15, ""en"", ""id"")"),"Dalam sesi sparring, seorang petarung melancarkan jab, cross, dan tendangan roundhouse secara berurutan. Urutan ini merupakan contoh dari apa?")</f>
        <v>Dalam sesi sparring, seorang petarung melancarkan jab, cross, dan tendangan roundhouse secara berurutan. Urutan ini merupakan contoh dari apa?</v>
      </c>
      <c r="I15" s="5" t="str">
        <f>IFERROR(__xludf.DUMMYFUNCTION("GOOGLETRANSLATE(C15, ""en"", ""id"")"),"A) Manuver bertahan, B) Serangan kombinasi, C) Latihan pemanasan, D) Pelanggaran")</f>
        <v>A) Manuver bertahan, B) Serangan kombinasi, C) Latihan pemanasan, D) Pelanggaran</v>
      </c>
      <c r="J15" s="5" t="str">
        <f>IFERROR(__xludf.DUMMYFUNCTION("GOOGLETRANSLATE(D15, ""en"", ""id"")"),"B) Serangan kombinasi")</f>
        <v>B) Serangan kombinasi</v>
      </c>
      <c r="K15" s="5" t="str">
        <f>IFERROR(__xludf.DUMMYFUNCTION("GOOGLETRANSLATE(E15, ""en"", ""id"")"),"Menggabungkan serangan yang berbeda merupakan taktik mendasar yang digunakan untuk membanjiri pertahanan lawan.")</f>
        <v>Menggabungkan serangan yang berbeda merupakan taktik mendasar yang digunakan untuk membanjiri pertahanan lawan.</v>
      </c>
    </row>
    <row r="16">
      <c r="A16" s="3">
        <v>15.0</v>
      </c>
      <c r="B16" s="4" t="s">
        <v>2453</v>
      </c>
      <c r="C16" s="4" t="s">
        <v>2454</v>
      </c>
      <c r="D16" s="4" t="s">
        <v>2455</v>
      </c>
      <c r="E16" s="4" t="s">
        <v>2456</v>
      </c>
      <c r="G16" s="5" t="str">
        <f>IFERROR(__xludf.DUMMYFUNCTION("GOOGLETRANSLATE(A16, ""en"", ""id"")"),"15")</f>
        <v>15</v>
      </c>
      <c r="H16" s="5" t="str">
        <f>IFERROR(__xludf.DUMMYFUNCTION("GOOGLETRANSLATE(B16, ""en"", ""id"")"),"Dalam sebuah turnamen remaja di Bandung, seorang petarung hanya fokus pada pemblokiran dan penghindaran sepanjang pertandingan. Bagaimana hasil akhirnya?")</f>
        <v>Dalam sebuah turnamen remaja di Bandung, seorang petarung hanya fokus pada pemblokiran dan penghindaran sepanjang pertandingan. Bagaimana hasil akhirnya?</v>
      </c>
      <c r="I16" s="5" t="str">
        <f>IFERROR(__xludf.DUMMYFUNCTION("GOOGLETRANSLATE(C16, ""en"", ""id"")"),"A) Mereka akan menang karena pertahanan yang sempurna, B) Mereka akan kalah karena kurangnya skor dan penalti karena pasif, C) Pertandingan akan seri, D) Pertandingan akan diulang")</f>
        <v>A) Mereka akan menang karena pertahanan yang sempurna, B) Mereka akan kalah karena kurangnya skor dan penalti karena pasif, C) Pertandingan akan seri, D) Pertandingan akan diulang</v>
      </c>
      <c r="J16" s="5" t="str">
        <f>IFERROR(__xludf.DUMMYFUNCTION("GOOGLETRANSLATE(D16, ""en"", ""id"")"),"B) Mereka akan kalah karena kurangnya skor dan penalti karena pasif")</f>
        <v>B) Mereka akan kalah karena kurangnya skor dan penalti karena pasif</v>
      </c>
      <c r="K16" s="5" t="str">
        <f>IFERROR(__xludf.DUMMYFUNCTION("GOOGLETRANSLATE(E16, ""en"", ""id"")"),"Seorang petarung harus menunjukkan teknik menyerang untuk mencetak poin. Strategi bertahan semata tidak akan memenangkan pertandingan.")</f>
        <v>Seorang petarung harus menunjukkan teknik menyerang untuk mencetak poin. Strategi bertahan semata tidak akan memenangkan pertandingan.</v>
      </c>
    </row>
    <row r="17">
      <c r="A17" s="3">
        <v>16.0</v>
      </c>
      <c r="B17" s="4" t="s">
        <v>2457</v>
      </c>
      <c r="C17" s="4" t="s">
        <v>2458</v>
      </c>
      <c r="D17" s="4" t="s">
        <v>2459</v>
      </c>
      <c r="E17" s="4" t="s">
        <v>2460</v>
      </c>
      <c r="G17" s="5" t="str">
        <f>IFERROR(__xludf.DUMMYFUNCTION("GOOGLETRANSLATE(A17, ""en"", ""id"")"),"16")</f>
        <v>16</v>
      </c>
      <c r="H17" s="5" t="str">
        <f>IFERROR(__xludf.DUMMYFUNCTION("GOOGLETRANSLATE(B17, ""en"", ""id"")"),"Seorang petarung terkena pukulan kuat ke tubuh dan terlihat meringis. Lawan langsung membalas dengan pukulan lagi ke tubuh. Apakah ini legal?")</f>
        <v>Seorang petarung terkena pukulan kuat ke tubuh dan terlihat meringis. Lawan langsung membalas dengan pukulan lagi ke tubuh. Apakah ini legal?</v>
      </c>
      <c r="I17" s="5" t="str">
        <f>IFERROR(__xludf.DUMMYFUNCTION("GOOGLETRANSLATE(C17, ""en"", ""id"")"),"A) Tidak, tidak sportif untuk menargetkan area yang cedera, B) Ya, itu adalah strategi cerdas untuk menekan keuntungan, C) Wasit harus menghentikan pertarungan, D) Peringatan harus dikeluarkan")</f>
        <v>A) Tidak, tidak sportif untuk menargetkan area yang cedera, B) Ya, itu adalah strategi cerdas untuk menekan keuntungan, C) Wasit harus menghentikan pertarungan, D) Peringatan harus dikeluarkan</v>
      </c>
      <c r="J17" s="5" t="str">
        <f>IFERROR(__xludf.DUMMYFUNCTION("GOOGLETRANSLATE(D17, ""en"", ""id"")"),"B) Ya, itu adalah strategi cerdas untuk menekan keunggulan")</f>
        <v>B) Ya, itu adalah strategi cerdas untuk menekan keunggulan</v>
      </c>
      <c r="K17" s="5" t="str">
        <f>IFERROR(__xludf.DUMMYFUNCTION("GOOGLETRANSLATE(E17, ""en"", ""id"")"),"Jika seorang petarung menunjukkan bahwa mereka terluka oleh pukulan yang sah, taktik utama lawan adalah terus menyerang area yang lemah itu.")</f>
        <v>Jika seorang petarung menunjukkan bahwa mereka terluka oleh pukulan yang sah, taktik utama lawan adalah terus menyerang area yang lemah itu.</v>
      </c>
    </row>
    <row r="18">
      <c r="A18" s="3">
        <v>17.0</v>
      </c>
      <c r="B18" s="4" t="s">
        <v>2461</v>
      </c>
      <c r="C18" s="4" t="s">
        <v>2462</v>
      </c>
      <c r="D18" s="4" t="s">
        <v>2463</v>
      </c>
      <c r="E18" s="4" t="s">
        <v>2464</v>
      </c>
      <c r="G18" s="5" t="str">
        <f>IFERROR(__xludf.DUMMYFUNCTION("GOOGLETRANSLATE(A18, ""en"", ""id"")"),"17")</f>
        <v>17</v>
      </c>
      <c r="H18" s="5" t="str">
        <f>IFERROR(__xludf.DUMMYFUNCTION("GOOGLETRANSLATE(B18, ""en"", ""id"")"),"Seorang petarung yang dikenal karena tendangannya yang kuat sedang menghadapi petarung yang dikenal karena pukulannya yang cepat. Bagaimana penendang dapat mengendalikan jarak?")</f>
        <v>Seorang petarung yang dikenal karena tendangannya yang kuat sedang menghadapi petarung yang dikenal karena pukulannya yang cepat. Bagaimana penendang dapat mengendalikan jarak?</v>
      </c>
      <c r="I18" s="5" t="str">
        <f>IFERROR(__xludf.DUMMYFUNCTION("GOOGLETRANSLATE(C18, ""en"", ""id"")"),"A) Dengan segera melakukan clinching, B) Dengan menggunakan tendangan depan (tendangan lurus) untuk menjaga agar pemukul tidak bergerak, C) Dengan terus menerus mundur, D) Dengan hanya menggunakan pukulan")</f>
        <v>A) Dengan segera melakukan clinching, B) Dengan menggunakan tendangan depan (tendangan lurus) untuk menjaga agar pemukul tidak bergerak, C) Dengan terus menerus mundur, D) Dengan hanya menggunakan pukulan</v>
      </c>
      <c r="J18" s="5" t="str">
        <f>IFERROR(__xludf.DUMMYFUNCTION("GOOGLETRANSLATE(D18, ""en"", ""id"")"),"B) Dengan menggunakan tendangan depan (tendangan lurus) untuk menjaga pukulan tetap terkendali")</f>
        <v>B) Dengan menggunakan tendangan depan (tendangan lurus) untuk menjaga pukulan tetap terkendali</v>
      </c>
      <c r="K18" s="5" t="str">
        <f>IFERROR(__xludf.DUMMYFUNCTION("GOOGLETRANSLATE(E18, ""en"", ""id"")"),"Tendangan lurus merupakan alat yang sangat bagus untuk menjaga jarak dan mencegah petarung jarak dekat masuk.")</f>
        <v>Tendangan lurus merupakan alat yang sangat bagus untuk menjaga jarak dan mencegah petarung jarak dekat masuk.</v>
      </c>
    </row>
    <row r="19">
      <c r="A19" s="3">
        <v>18.0</v>
      </c>
      <c r="B19" s="4" t="s">
        <v>2465</v>
      </c>
      <c r="C19" s="4" t="s">
        <v>2466</v>
      </c>
      <c r="D19" s="4" t="s">
        <v>2467</v>
      </c>
      <c r="E19" s="4" t="s">
        <v>2468</v>
      </c>
      <c r="G19" s="5" t="str">
        <f>IFERROR(__xludf.DUMMYFUNCTION("GOOGLETRANSLATE(A19, ""en"", ""id"")"),"18")</f>
        <v>18</v>
      </c>
      <c r="H19" s="5" t="str">
        <f>IFERROR(__xludf.DUMMYFUNCTION("GOOGLETRANSLATE(B19, ""en"", ""id"")"),"Dalam sebuah pertandingan, petarung A terjatuh. Wasit memulai hitungan. Petarung A bangkit pada hitungan ke-9, tetapi masih sangat goyah. Apa yang harus dilakukan wasit?")</f>
        <v>Dalam sebuah pertandingan, petarung A terjatuh. Wasit memulai hitungan. Petarung A bangkit pada hitungan ke-9, tetapi masih sangat goyah. Apa yang harus dilakukan wasit?</v>
      </c>
      <c r="I19" s="5" t="str">
        <f>IFERROR(__xludf.DUMMYFUNCTION("GOOGLETRANSLATE(C19, ""en"", ""id"")"),"A) Biarkan pertarungan berlanjut, B) Hentikan pertarungan (TKO) untuk melindungi petarung, C) Tanyakan petarung apakah mereka ingin melanjutkan, D) Mulai ulang hitungannya")</f>
        <v>A) Biarkan pertarungan berlanjut, B) Hentikan pertarungan (TKO) untuk melindungi petarung, C) Tanyakan petarung apakah mereka ingin melanjutkan, D) Mulai ulang hitungannya</v>
      </c>
      <c r="J19" s="5" t="str">
        <f>IFERROR(__xludf.DUMMYFUNCTION("GOOGLETRANSLATE(D19, ""en"", ""id"")"),"B) Hentikan pertarungan (TKO) untuk melindungi petarung")</f>
        <v>B) Hentikan pertarungan (TKO) untuk melindungi petarung</v>
      </c>
      <c r="K19" s="5" t="str">
        <f>IFERROR(__xludf.DUMMYFUNCTION("GOOGLETRANSLATE(E19, ""en"", ""id"")"),"Penilaian wasit tentang kemampuan petarung untuk ""bertahan secara cerdas"" mengesampingkan hitungan. Petarung yang tidak stabil tidak aman untuk melanjutkan pertarungan.")</f>
        <v>Penilaian wasit tentang kemampuan petarung untuk "bertahan secara cerdas" mengesampingkan hitungan. Petarung yang tidak stabil tidak aman untuk melanjutkan pertarungan.</v>
      </c>
    </row>
    <row r="20">
      <c r="A20" s="3">
        <v>19.0</v>
      </c>
      <c r="B20" s="4" t="s">
        <v>2469</v>
      </c>
      <c r="C20" s="4" t="s">
        <v>2470</v>
      </c>
      <c r="D20" s="4" t="s">
        <v>2471</v>
      </c>
      <c r="E20" s="4" t="s">
        <v>2472</v>
      </c>
      <c r="G20" s="5" t="str">
        <f>IFERROR(__xludf.DUMMYFUNCTION("GOOGLETRANSLATE(A20, ""en"", ""id"")"),"19")</f>
        <v>19</v>
      </c>
      <c r="H20" s="5" t="str">
        <f>IFERROR(__xludf.DUMMYFUNCTION("GOOGLETRANSLATE(B20, ""en"", ""id"")"),"Dalam posisi clinch, petarung A memegang kepala petarung B dengan satu tangan dan memukulnya dengan tangan lainnya. Apa keputusannya?")</f>
        <v>Dalam posisi clinch, petarung A memegang kepala petarung B dengan satu tangan dan memukulnya dengan tangan lainnya. Apa keputusannya?</v>
      </c>
      <c r="I20" s="5" t="str">
        <f>IFERROR(__xludf.DUMMYFUNCTION("GOOGLETRANSLATE(C20, ""en"", ""id"")"),"A) Ini adalah posisi clinch yang legal dan dominan, B) Ini adalah pelanggaran karena mengendalikan kepala, C) Ini legal, tetapi hanya lutut yang dapat digunakan, D) Peringatan dikeluarkan")</f>
        <v>A) Ini adalah posisi clinch yang legal dan dominan, B) Ini adalah pelanggaran karena mengendalikan kepala, C) Ini legal, tetapi hanya lutut yang dapat digunakan, D) Peringatan dikeluarkan</v>
      </c>
      <c r="J20" s="5" t="str">
        <f>IFERROR(__xludf.DUMMYFUNCTION("GOOGLETRANSLATE(D20, ""en"", ""id"")"),"B) Ini adalah pelanggaran karena mengendalikan kepala")</f>
        <v>B) Ini adalah pelanggaran karena mengendalikan kepala</v>
      </c>
      <c r="K20" s="5" t="str">
        <f>IFERROR(__xludf.DUMMYFUNCTION("GOOGLETRANSLATE(E20, ""en"", ""id"")"),"Demi keselamatan, petarung tidak diperbolehkan mencengkeram, mendorong, atau menarik kepala atau leher lawan.")</f>
        <v>Demi keselamatan, petarung tidak diperbolehkan mencengkeram, mendorong, atau menarik kepala atau leher lawan.</v>
      </c>
    </row>
    <row r="21">
      <c r="A21" s="3">
        <v>20.0</v>
      </c>
      <c r="B21" s="4" t="s">
        <v>2473</v>
      </c>
      <c r="C21" s="4" t="s">
        <v>2474</v>
      </c>
      <c r="D21" s="4" t="s">
        <v>2475</v>
      </c>
      <c r="E21" s="4" t="s">
        <v>2476</v>
      </c>
      <c r="G21" s="5" t="str">
        <f>IFERROR(__xludf.DUMMYFUNCTION("GOOGLETRANSLATE(A21, ""en"", ""id"")"),"20")</f>
        <v>20</v>
      </c>
      <c r="H21" s="5" t="str">
        <f>IFERROR(__xludf.DUMMYFUNCTION("GOOGLETRANSLATE(B21, ""en"", ""id"")"),"Seorang petarung didiskualifikasi karena melilitkan benda keras di bawah pita tangannya saat inspeksi pra-pertandingan. Mengapa ini merupakan pelanggaran serius?")</f>
        <v>Seorang petarung didiskualifikasi karena melilitkan benda keras di bawah pita tangannya saat inspeksi pra-pertandingan. Mengapa ini merupakan pelanggaran serius?</v>
      </c>
      <c r="I21" s="5" t="str">
        <f>IFERROR(__xludf.DUMMYFUNCTION("GOOGLETRANSLATE(C21, ""en"", ""id"")"),"A) Menambah berat badan, B) Dianggap sebagai upaya untuk menggunakan senjata tersembunyi, C) Bertentangan dengan tradisi, D) Dapat melukai tangan petarung itu sendiri")</f>
        <v>A) Menambah berat badan, B) Dianggap sebagai upaya untuk menggunakan senjata tersembunyi, C) Bertentangan dengan tradisi, D) Dapat melukai tangan petarung itu sendiri</v>
      </c>
      <c r="J21" s="5" t="str">
        <f>IFERROR(__xludf.DUMMYFUNCTION("GOOGLETRANSLATE(D21, ""en"", ""id"")"),"B) Dianggap sebagai upaya untuk menggunakan senjata tersembunyi")</f>
        <v>B) Dianggap sebagai upaya untuk menggunakan senjata tersembunyi</v>
      </c>
      <c r="K21" s="5" t="str">
        <f>IFERROR(__xludf.DUMMYFUNCTION("GOOGLETRANSLATE(E21, ""en"", ""id"")"),"Mengutak-atik pembungkus tangan merupakan pelanggaran kecurangan besar, karena dapat mengubah sarung tangan yang berlapis menjadi alat yang berbahaya.")</f>
        <v>Mengutak-atik pembungkus tangan merupakan pelanggaran kecurangan besar, karena dapat mengubah sarung tangan yang berlapis menjadi alat yang berbahaya.</v>
      </c>
    </row>
    <row r="22">
      <c r="A22" s="3">
        <v>21.0</v>
      </c>
      <c r="B22" s="4" t="s">
        <v>2477</v>
      </c>
      <c r="C22" s="4" t="s">
        <v>2478</v>
      </c>
      <c r="D22" s="4" t="s">
        <v>2479</v>
      </c>
      <c r="E22" s="4" t="s">
        <v>2480</v>
      </c>
      <c r="G22" s="5" t="str">
        <f>IFERROR(__xludf.DUMMYFUNCTION("GOOGLETRANSLATE(A22, ""en"", ""id"")"),"21")</f>
        <v>21</v>
      </c>
      <c r="H22" s="5" t="str">
        <f>IFERROR(__xludf.DUMMYFUNCTION("GOOGLETRANSLATE(B22, ""en"", ""id"")"),"Sang pendiri, Achmad Drajat, dikenal sebagai ""Aa Boxer"". Istilah ""Aa"" merupakan sebutan hormat yang berasal dari bahasa Indonesia yang mana?")</f>
        <v>Sang pendiri, Achmad Drajat, dikenal sebagai "Aa Boxer". Istilah "Aa" merupakan sebutan hormat yang berasal dari bahasa Indonesia yang mana?</v>
      </c>
      <c r="I22" s="5" t="str">
        <f>IFERROR(__xludf.DUMMYFUNCTION("GOOGLETRANSLATE(C22, ""en"", ""id"")"),"A) Jawa, B) Bali, C) Sunda, D) Madura")</f>
        <v>A) Jawa, B) Bali, C) Sunda, D) Madura</v>
      </c>
      <c r="J22" s="5" t="str">
        <f>IFERROR(__xludf.DUMMYFUNCTION("GOOGLETRANSLATE(D22, ""en"", ""id"")"),"C) Bahasa Sunda")</f>
        <v>C) Bahasa Sunda</v>
      </c>
      <c r="K22" s="5" t="str">
        <f>IFERROR(__xludf.DUMMYFUNCTION("GOOGLETRANSLATE(E22, ""en"", ""id"")"),"""Aa"" merupakan istilah Sunda untuk menghormati kakak laki-laki, yang mencerminkan asal muasal seni ini di Bandung, Jawa Barat.")</f>
        <v>"Aa" merupakan istilah Sunda untuk menghormati kakak laki-laki, yang mencerminkan asal muasal seni ini di Bandung, Jawa Barat.</v>
      </c>
    </row>
    <row r="23">
      <c r="A23" s="3">
        <v>22.0</v>
      </c>
      <c r="B23" s="4" t="s">
        <v>2481</v>
      </c>
      <c r="C23" s="4" t="s">
        <v>2482</v>
      </c>
      <c r="D23" s="4" t="s">
        <v>2483</v>
      </c>
      <c r="E23" s="4" t="s">
        <v>2484</v>
      </c>
      <c r="G23" s="5" t="str">
        <f>IFERROR(__xludf.DUMMYFUNCTION("GOOGLETRANSLATE(A23, ""en"", ""id"")"),"22")</f>
        <v>22</v>
      </c>
      <c r="H23" s="5" t="str">
        <f>IFERROR(__xludf.DUMMYFUNCTION("GOOGLETRANSLATE(B23, ""en"", ""id"")"),"Seorang petarung mencoba melakukan takedown, tetapi lawan berhasil bertahan dan tetap berdiri. Bagaimana pertukaran ini dinilai?")</f>
        <v>Seorang petarung mencoba melakukan takedown, tetapi lawan berhasil bertahan dan tetap berdiri. Bagaimana pertukaran ini dinilai?</v>
      </c>
      <c r="I23" s="5" t="str">
        <f>IFERROR(__xludf.DUMMYFUNCTION("GOOGLETRANSLATE(C23, ""en"", ""id"")"),"A) Satu poin untuk penyerang atas percobaannya, B) Satu poin untuk pembela atas pertahanan yang berhasil, C) Tidak ada poin yang diberikan kepada petarung mana pun, D) Ronde diulang kembali")</f>
        <v>A) Satu poin untuk penyerang atas percobaannya, B) Satu poin untuk pembela atas pertahanan yang berhasil, C) Tidak ada poin yang diberikan kepada petarung mana pun, D) Ronde diulang kembali</v>
      </c>
      <c r="J23" s="5" t="str">
        <f>IFERROR(__xludf.DUMMYFUNCTION("GOOGLETRANSLATE(D23, ""en"", ""id"")"),"C) Tidak ada poin yang diberikan kepada petarung mana pun")</f>
        <v>C) Tidak ada poin yang diberikan kepada petarung mana pun</v>
      </c>
      <c r="K23" s="5" t="str">
        <f>IFERROR(__xludf.DUMMYFUNCTION("GOOGLETRANSLATE(E23, ""en"", ""id"")"),"Serangan yang gagal tidak akan menghasilkan poin, dan pertahanan yang berhasil (seperti ""sprawl"") tidak akan menghasilkan poin dengan sendirinya.")</f>
        <v>Serangan yang gagal tidak akan menghasilkan poin, dan pertahanan yang berhasil (seperti "sprawl") tidak akan menghasilkan poin dengan sendirinya.</v>
      </c>
    </row>
    <row r="24">
      <c r="A24" s="3">
        <v>23.0</v>
      </c>
      <c r="B24" s="4" t="s">
        <v>2485</v>
      </c>
      <c r="C24" s="4" t="s">
        <v>2486</v>
      </c>
      <c r="D24" s="4" t="s">
        <v>2487</v>
      </c>
      <c r="E24" s="4" t="s">
        <v>2488</v>
      </c>
      <c r="G24" s="5" t="str">
        <f>IFERROR(__xludf.DUMMYFUNCTION("GOOGLETRANSLATE(A24, ""en"", ""id"")"),"23")</f>
        <v>23</v>
      </c>
      <c r="H24" s="5" t="str">
        <f>IFERROR(__xludf.DUMMYFUNCTION("GOOGLETRANSLATE(B24, ""en"", ""id"")"),"Seorang petarung sedang diuji untuk peringkat Kurata V-nya. Apa warna selempang atau sabuk yang akan dikenakannya?")</f>
        <v>Seorang petarung sedang diuji untuk peringkat Kurata V-nya. Apa warna selempang atau sabuk yang akan dikenakannya?</v>
      </c>
      <c r="I24" s="5" t="str">
        <f>IFERROR(__xludf.DUMMYFUNCTION("GOOGLETRANSLATE(C24, ""en"", ""id"")"),"A) Putih, B) Biru, C) Hijau, D) Merah")</f>
        <v>A) Putih, B) Biru, C) Hijau, D) Merah</v>
      </c>
      <c r="J24" s="5" t="str">
        <f>IFERROR(__xludf.DUMMYFUNCTION("GOOGLETRANSLATE(D24, ""en"", ""id"")"),"B) Biru")</f>
        <v>B) Biru</v>
      </c>
      <c r="K24" s="5" t="str">
        <f>IFERROR(__xludf.DUMMYFUNCTION("GOOGLETRANSLATE(E24, ""en"", ""id"")"),"Sistem penilaian berlangsung melalui beberapa warna, dengan Biru mewakili tingkat kemahiran kelima.")</f>
        <v>Sistem penilaian berlangsung melalui beberapa warna, dengan Biru mewakili tingkat kemahiran kelima.</v>
      </c>
    </row>
    <row r="25">
      <c r="A25" s="3">
        <v>24.0</v>
      </c>
      <c r="B25" s="4" t="s">
        <v>2489</v>
      </c>
      <c r="C25" s="4" t="s">
        <v>2490</v>
      </c>
      <c r="D25" s="4" t="s">
        <v>2491</v>
      </c>
      <c r="E25" s="4" t="s">
        <v>2492</v>
      </c>
      <c r="G25" s="5" t="str">
        <f>IFERROR(__xludf.DUMMYFUNCTION("GOOGLETRANSLATE(A25, ""en"", ""id"")"),"24")</f>
        <v>24</v>
      </c>
      <c r="H25" s="5" t="str">
        <f>IFERROR(__xludf.DUMMYFUNCTION("GOOGLETRANSLATE(B25, ""en"", ""id"")"),"Seorang petarung mendaratkan pukulan punggung berputar yang menjatuhkan lawan. Berapa skor total untuk rangkaian pukulan tunggal ini?")</f>
        <v>Seorang petarung mendaratkan pukulan punggung berputar yang menjatuhkan lawan. Berapa skor total untuk rangkaian pukulan tunggal ini?</v>
      </c>
      <c r="I25" s="5" t="str">
        <f>IFERROR(__xludf.DUMMYFUNCTION("GOOGLETRANSLATE(C25, ""en"", ""id"")"),"A) 1 poin, B) 2 poin, C) 3 poin, D) 4 poin")</f>
        <v>A) 1 poin, B) 2 poin, C) 3 poin, D) 4 poin</v>
      </c>
      <c r="J25" s="5" t="str">
        <f>IFERROR(__xludf.DUMMYFUNCTION("GOOGLETRANSLATE(D25, ""en"", ""id"")"),"C) 3 poin")</f>
        <v>C) 3 poin</v>
      </c>
      <c r="K25" s="5" t="str">
        <f>IFERROR(__xludf.DUMMYFUNCTION("GOOGLETRANSLATE(E25, ""en"", ""id"")"),"Pukulan tangan yang berhasil ke kepala mendapat nilai 2 poin, dan knockdown yang dihasilkan mendapat nilai tambahan 1 poin, sehingga totalnya menjadi 3.")</f>
        <v>Pukulan tangan yang berhasil ke kepala mendapat nilai 2 poin, dan knockdown yang dihasilkan mendapat nilai tambahan 1 poin, sehingga totalnya menjadi 3.</v>
      </c>
    </row>
    <row r="26">
      <c r="A26" s="3">
        <v>25.0</v>
      </c>
      <c r="B26" s="4" t="s">
        <v>2493</v>
      </c>
      <c r="C26" s="4" t="s">
        <v>2494</v>
      </c>
      <c r="D26" s="4" t="s">
        <v>2495</v>
      </c>
      <c r="E26" s="4" t="s">
        <v>2496</v>
      </c>
      <c r="G26" s="5" t="str">
        <f>IFERROR(__xludf.DUMMYFUNCTION("GOOGLETRANSLATE(A26, ""en"", ""id"")"),"25")</f>
        <v>25</v>
      </c>
      <c r="H26" s="5" t="str">
        <f>IFERROR(__xludf.DUMMYFUNCTION("GOOGLETRANSLATE(B26, ""en"", ""id"")"),"Wasit memberi aba-aba ""Pisah!"" saat pertarungan. Apa yang harus dilakukan para petarung?")</f>
        <v>Wasit memberi aba-aba "Pisah!" saat pertarungan. Apa yang harus dilakukan para petarung?</v>
      </c>
      <c r="I26" s="5" t="str">
        <f>IFERROR(__xludf.DUMMYFUNCTION("GOOGLETRANSLATE(C26, ""en"", ""id"")"),"A) Mulai bertarung, B) Segera pisahkan diri dari clinch, C) Pergi ke sudut mereka, D) Sentuh sarung tangan")</f>
        <v>A) Mulai bertarung, B) Segera pisahkan diri dari clinch, C) Pergi ke sudut mereka, D) Sentuh sarung tangan</v>
      </c>
      <c r="J26" s="5" t="str">
        <f>IFERROR(__xludf.DUMMYFUNCTION("GOOGLETRANSLATE(D26, ""en"", ""id"")"),"B) Segera pisahkan dari clinch")</f>
        <v>B) Segera pisahkan dari clinch</v>
      </c>
      <c r="K26" s="5" t="str">
        <f>IFERROR(__xludf.DUMMYFUNCTION("GOOGLETRANSLATE(E26, ""en"", ""id"")"),"""Pisah!"" berarti ""Pisahkan!"" dan merupakan perintah yang digunakan untuk memisahkan petarung dari clinch yang terhenti.")</f>
        <v>"Pisah!" berarti "Pisahkan!" dan merupakan perintah yang digunakan untuk memisahkan petarung dari clinch yang terhenti.</v>
      </c>
    </row>
    <row r="27">
      <c r="A27" s="3">
        <v>26.0</v>
      </c>
      <c r="B27" s="4" t="s">
        <v>2497</v>
      </c>
      <c r="C27" s="4" t="s">
        <v>2498</v>
      </c>
      <c r="D27" s="4" t="s">
        <v>2499</v>
      </c>
      <c r="E27" s="4" t="s">
        <v>2500</v>
      </c>
      <c r="G27" s="5" t="str">
        <f>IFERROR(__xludf.DUMMYFUNCTION("GOOGLETRANSLATE(A27, ""en"", ""id"")"),"26")</f>
        <v>26</v>
      </c>
      <c r="H27" s="5" t="str">
        <f>IFERROR(__xludf.DUMMYFUNCTION("GOOGLETRANSLATE(B27, ""en"", ""id"")"),"Apa yang diajarkan prinsip ""Aku Tunduk Bukan Berarti Takluk"" (Saya tunduk tetapi tidak ditaklukkan) kepada seorang praktisi?")</f>
        <v>Apa yang diajarkan prinsip "Aku Tunduk Bukan Berarti Takluk" (Saya tunduk tetapi tidak ditaklukkan) kepada seorang praktisi?</v>
      </c>
      <c r="I27" s="5" t="str">
        <f>IFERROR(__xludf.DUMMYFUNCTION("GOOGLETRANSLATE(C27, ""en"", ""id"")"),"A) Tidak apa-apa jika kalah, B) Menghormati peraturan dan wewenang tanpa mengorbankan semangat batin, C) Selalu menyerah pada lawan yang lebih kuat, D) Tidak pernah mematuhi wasit")</f>
        <v>A) Tidak apa-apa jika kalah, B) Menghormati peraturan dan wewenang tanpa mengorbankan semangat batin, C) Selalu menyerah pada lawan yang lebih kuat, D) Tidak pernah mematuhi wasit</v>
      </c>
      <c r="J27" s="5" t="str">
        <f>IFERROR(__xludf.DUMMYFUNCTION("GOOGLETRANSLATE(D27, ""en"", ""id"")"),"B) Menghormati peraturan dan wewenang tanpa mengorbankan jiwa batin seseorang")</f>
        <v>B) Menghormati peraturan dan wewenang tanpa mengorbankan jiwa batin seseorang</v>
      </c>
      <c r="K27" s="5" t="str">
        <f>IFERROR(__xludf.DUMMYFUNCTION("GOOGLETRANSLATE(E27, ""en"", ""id"")"),"Bagian dari motto ini mengajarkan bahwa disiplin dan kerendahan hati bukanlah kelemahan, tetapi tanda karakter yang kuat.")</f>
        <v>Bagian dari motto ini mengajarkan bahwa disiplin dan kerendahan hati bukanlah kelemahan, tetapi tanda karakter yang kuat.</v>
      </c>
    </row>
    <row r="28">
      <c r="A28" s="3">
        <v>27.0</v>
      </c>
      <c r="B28" s="4" t="s">
        <v>2501</v>
      </c>
      <c r="C28" s="4" t="s">
        <v>2502</v>
      </c>
      <c r="D28" s="4" t="s">
        <v>2503</v>
      </c>
      <c r="E28" s="4" t="s">
        <v>2504</v>
      </c>
      <c r="G28" s="5" t="str">
        <f>IFERROR(__xludf.DUMMYFUNCTION("GOOGLETRANSLATE(A28, ""en"", ""id"")"),"27")</f>
        <v>27</v>
      </c>
      <c r="H28" s="5" t="str">
        <f>IFERROR(__xludf.DUMMYFUNCTION("GOOGLETRANSLATE(B28, ""en"", ""id"")"),"Seorang petarung terluka akibat benturan kepala yang tidak disengaja di ronde pertama, dan dokter menghentikan pertarungan. Apa hasil resminya?")</f>
        <v>Seorang petarung terluka akibat benturan kepala yang tidak disengaja di ronde pertama, dan dokter menghentikan pertarungan. Apa hasil resminya?</v>
      </c>
      <c r="I28" s="5" t="str">
        <f>IFERROR(__xludf.DUMMYFUNCTION("GOOGLETRANSLATE(C28, ""en"", ""id"")"),"A) Petarung yang tidak terkena cut menang, B) Pertarungan dinyatakan sebagai ""No Contest"", C) Juri memutuskan pemenang, D) Ronde diulang")</f>
        <v>A) Petarung yang tidak terkena cut menang, B) Pertarungan dinyatakan sebagai "No Contest", C) Juri memutuskan pemenang, D) Ronde diulang</v>
      </c>
      <c r="J28" s="5" t="str">
        <f>IFERROR(__xludf.DUMMYFUNCTION("GOOGLETRANSLATE(D28, ""en"", ""id"")"),"B) Pertarungan dinyatakan sebagai ""Tidak Ada Kontes""")</f>
        <v>B) Pertarungan dinyatakan sebagai "Tidak Ada Kontes"</v>
      </c>
      <c r="K28" s="5" t="str">
        <f>IFERROR(__xludf.DUMMYFUNCTION("GOOGLETRANSLATE(E28, ""en"", ""id"")"),"Pertarungan yang dihentikan lebih awal akibat pelanggaran yang tidak disengaja sebelum sejumlah ronde tertentu selesai, biasanya dinyatakan sebagai Tidak Ada Pertandingan.")</f>
        <v>Pertarungan yang dihentikan lebih awal akibat pelanggaran yang tidak disengaja sebelum sejumlah ronde tertentu selesai, biasanya dinyatakan sebagai Tidak Ada Pertandingan.</v>
      </c>
    </row>
    <row r="29">
      <c r="A29" s="3">
        <v>28.0</v>
      </c>
      <c r="B29" s="4" t="s">
        <v>2505</v>
      </c>
      <c r="C29" s="4" t="s">
        <v>2506</v>
      </c>
      <c r="D29" s="4" t="s">
        <v>2507</v>
      </c>
      <c r="E29" s="4" t="s">
        <v>2508</v>
      </c>
      <c r="G29" s="5" t="str">
        <f>IFERROR(__xludf.DUMMYFUNCTION("GOOGLETRANSLATE(A29, ""en"", ""id"")"),"28")</f>
        <v>28</v>
      </c>
      <c r="H29" s="5" t="str">
        <f>IFERROR(__xludf.DUMMYFUNCTION("GOOGLETRANSLATE(B29, ""en"", ""id"")"),"Seorang petarung memenangkan ronde dengan skor 10-8 berdasarkan kartu skor juri. Apa kemungkinan penyebab skor ini?")</f>
        <v>Seorang petarung memenangkan ronde dengan skor 10-8 berdasarkan kartu skor juri. Apa kemungkinan penyebab skor ini?</v>
      </c>
      <c r="I29" s="5" t="str">
        <f>IFERROR(__xludf.DUMMYFUNCTION("GOOGLETRANSLATE(C29, ""en"", ""id"")"),"A) Mereka jauh lebih agresif, B) Mereka mencetak satu knockdown selama ronde tersebut, C) Mereka memenangkan ronde tersebut dengan sangat jelas, D) Mereka mengeluh kepada wasit")</f>
        <v>A) Mereka jauh lebih agresif, B) Mereka mencetak satu knockdown selama ronde tersebut, C) Mereka memenangkan ronde tersebut dengan sangat jelas, D) Mereka mengeluh kepada wasit</v>
      </c>
      <c r="J29" s="5" t="str">
        <f>IFERROR(__xludf.DUMMYFUNCTION("GOOGLETRANSLATE(D29, ""en"", ""id"")"),"B) Mereka mencetak satu knockdown selama ronde tersebut")</f>
        <v>B) Mereka mencetak satu knockdown selama ronde tersebut</v>
      </c>
      <c r="K29" s="5" t="str">
        <f>IFERROR(__xludf.DUMMYFUNCTION("GOOGLETRANSLATE(E29, ""en"", ""id"")"),"Dalam sistem ""10 poin wajib"", skor 10-9 adalah standar untuk ronde yang menang. Skor 10-8 menandakan knockdown atau pengurangan poin terhadap lawan.")</f>
        <v>Dalam sistem "10 poin wajib", skor 10-9 adalah standar untuk ronde yang menang. Skor 10-8 menandakan knockdown atau pengurangan poin terhadap lawan.</v>
      </c>
    </row>
    <row r="30">
      <c r="A30" s="3">
        <v>29.0</v>
      </c>
      <c r="B30" s="4" t="s">
        <v>2509</v>
      </c>
      <c r="C30" s="4" t="s">
        <v>2510</v>
      </c>
      <c r="D30" s="4" t="s">
        <v>2511</v>
      </c>
      <c r="E30" s="4" t="s">
        <v>2512</v>
      </c>
      <c r="G30" s="5" t="str">
        <f>IFERROR(__xludf.DUMMYFUNCTION("GOOGLETRANSLATE(A30, ""en"", ""id"")"),"29")</f>
        <v>29</v>
      </c>
      <c r="H30" s="5" t="str">
        <f>IFERROR(__xludf.DUMMYFUNCTION("GOOGLETRANSLATE(B30, ""en"", ""id"")"),"Seorang petarung yang lebih pendek dari lawannya kesulitan mendaratkan pukulan. Apa strategi terbaik untuk mereka?")</f>
        <v>Seorang petarung yang lebih pendek dari lawannya kesulitan mendaratkan pukulan. Apa strategi terbaik untuk mereka?</v>
      </c>
      <c r="I30" s="5" t="str">
        <f>IFERROR(__xludf.DUMMYFUNCTION("GOOGLETRANSLATE(C30, ""en"", ""id"")"),"A) Tetap pada jarak jauh dan menggunakan tendangan, B) Menggunakan gerak kaki untuk masuk ke dalam jangkauan lawan, C) Mencoba mengalahkan petarung yang lebih tinggi, D) Menunggu lawan menjadi lelah")</f>
        <v>A) Tetap pada jarak jauh dan menggunakan tendangan, B) Menggunakan gerak kaki untuk masuk ke dalam jangkauan lawan, C) Mencoba mengalahkan petarung yang lebih tinggi, D) Menunggu lawan menjadi lelah</v>
      </c>
      <c r="J30" s="5" t="str">
        <f>IFERROR(__xludf.DUMMYFUNCTION("GOOGLETRANSLATE(D30, ""en"", ""id"")"),"B) Menggunakan footwork untuk masuk ke dalam jangkauan lawan")</f>
        <v>B) Menggunakan footwork untuk masuk ke dalam jangkauan lawan</v>
      </c>
      <c r="K30" s="5" t="str">
        <f>IFERROR(__xludf.DUMMYFUNCTION("GOOGLETRANSLATE(E30, ""en"", ""id"")"),"Petarung yang lebih pendek harus menutup jarak untuk melampaui keunggulan jangkauan dan bekerja dalam jarak di mana serangan mereka sendiri efektif.")</f>
        <v>Petarung yang lebih pendek harus menutup jarak untuk melampaui keunggulan jangkauan dan bekerja dalam jarak di mana serangan mereka sendiri efektif.</v>
      </c>
    </row>
    <row r="31">
      <c r="A31" s="3">
        <v>30.0</v>
      </c>
      <c r="B31" s="4" t="s">
        <v>2513</v>
      </c>
      <c r="C31" s="4" t="s">
        <v>2514</v>
      </c>
      <c r="D31" s="4" t="s">
        <v>2515</v>
      </c>
      <c r="E31" s="4" t="s">
        <v>2516</v>
      </c>
      <c r="G31" s="5" t="str">
        <f>IFERROR(__xludf.DUMMYFUNCTION("GOOGLETRANSLATE(A31, ""en"", ""id"")"),"30")</f>
        <v>30</v>
      </c>
      <c r="H31" s="5" t="str">
        <f>IFERROR(__xludf.DUMMYFUNCTION("GOOGLETRANSLATE(B31, ""en"", ""id"")"),"Saat pertandingan, pelindung mulut seorang petarung terjatuh. Wasit tidak melihatnya, dan petarung tersebut terkena pukulan bersih. Apakah pukulan tersebut legal?")</f>
        <v>Saat pertandingan, pelindung mulut seorang petarung terjatuh. Wasit tidak melihatnya, dan petarung tersebut terkena pukulan bersih. Apakah pukulan tersebut legal?</v>
      </c>
      <c r="I31" s="5" t="str">
        <f>IFERROR(__xludf.DUMMYFUNCTION("GOOGLETRANSLATE(C31, ""en"", ""id"")"),"A) Tidak, memukul petarung tanpa mouthpiece adalah tindakan yang ilegal, B) Ya, poinnya valid; pertarungan dihentikan untuk memasukkannya kembali, C) Poinnya diulang, D) Lawan dihukum")</f>
        <v>A) Tidak, memukul petarung tanpa mouthpiece adalah tindakan yang ilegal, B) Ya, poinnya valid; pertarungan dihentikan untuk memasukkannya kembali, C) Poinnya diulang, D) Lawan dihukum</v>
      </c>
      <c r="J31" s="5" t="str">
        <f>IFERROR(__xludf.DUMMYFUNCTION("GOOGLETRANSLATE(D31, ""en"", ""id"")"),"B) Ya, poinnya valid; pertarungan kemudian dihentikan untuk memasukkannya kembali")</f>
        <v>B) Ya, poinnya valid; pertarungan kemudian dihentikan untuk memasukkannya kembali</v>
      </c>
      <c r="K31" s="5" t="str">
        <f>IFERROR(__xludf.DUMMYFUNCTION("GOOGLETRANSLATE(E31, ""en"", ""id"")"),"Reli akan berlangsung hingga wasit menghentikan pertandingan. Poin dihitung, dan wasit akan menghentikan pertandingan pada waktu yang aman.")</f>
        <v>Reli akan berlangsung hingga wasit menghentikan pertandingan. Poin dihitung, dan wasit akan menghentikan pertandingan pada waktu yang aman.</v>
      </c>
    </row>
    <row r="32">
      <c r="A32" s="3">
        <v>31.0</v>
      </c>
      <c r="B32" s="4" t="s">
        <v>2517</v>
      </c>
      <c r="C32" s="4" t="s">
        <v>2518</v>
      </c>
      <c r="D32" s="4" t="s">
        <v>2519</v>
      </c>
      <c r="E32" s="4" t="s">
        <v>2520</v>
      </c>
      <c r="G32" s="5" t="str">
        <f>IFERROR(__xludf.DUMMYFUNCTION("GOOGLETRANSLATE(A32, ""en"", ""id"")"),"31")</f>
        <v>31</v>
      </c>
      <c r="H32" s="5" t="str">
        <f>IFERROR(__xludf.DUMMYFUNCTION("GOOGLETRANSLATE(B32, ""en"", ""id"")"),"Seorang petarung memenangkan pertandingan dengan ""keputusan terpisah"". Apa artinya ini?")</f>
        <v>Seorang petarung memenangkan pertandingan dengan "keputusan terpisah". Apa artinya ini?</v>
      </c>
      <c r="I32" s="5" t="str">
        <f>IFERROR(__xludf.DUMMYFUNCTION("GOOGLETRANSLATE(C32, ""en"", ""id"")"),"A) Mereka menang dengan selisih satu poin, B) Dua juri memberi nilai untuk mereka, sementara satu juri memberi nilai untuk lawan, C) Wasit harus membuat keputusan akhir, D) Pertarungan dihentikan karena cedera")</f>
        <v>A) Mereka menang dengan selisih satu poin, B) Dua juri memberi nilai untuk mereka, sementara satu juri memberi nilai untuk lawan, C) Wasit harus membuat keputusan akhir, D) Pertarungan dihentikan karena cedera</v>
      </c>
      <c r="J32" s="5" t="str">
        <f>IFERROR(__xludf.DUMMYFUNCTION("GOOGLETRANSLATE(D32, ""en"", ""id"")"),"B) Dua juri memberi nilai untuk mereka, sementara satu juri memberi nilai untuk lawan")</f>
        <v>B) Dua juri memberi nilai untuk mereka, sementara satu juri memberi nilai untuk lawan</v>
      </c>
      <c r="K32" s="5" t="str">
        <f>IFERROR(__xludf.DUMMYFUNCTION("GOOGLETRANSLATE(E32, ""en"", ""id"")"),"Keputusan terpisah menunjukkan pertarungan yang sangat ketat di mana para juri tidak mencapai kesepakatan bulat.")</f>
        <v>Keputusan terpisah menunjukkan pertarungan yang sangat ketat di mana para juri tidak mencapai kesepakatan bulat.</v>
      </c>
    </row>
    <row r="33">
      <c r="A33" s="3">
        <v>32.0</v>
      </c>
      <c r="B33" s="4" t="s">
        <v>2521</v>
      </c>
      <c r="C33" s="4" t="s">
        <v>2522</v>
      </c>
      <c r="D33" s="4" t="s">
        <v>2523</v>
      </c>
      <c r="E33" s="4" t="s">
        <v>2524</v>
      </c>
      <c r="G33" s="5" t="str">
        <f>IFERROR(__xludf.DUMMYFUNCTION("GOOGLETRANSLATE(A33, ""en"", ""id"")"),"32")</f>
        <v>32</v>
      </c>
      <c r="H33" s="5" t="str">
        <f>IFERROR(__xludf.DUMMYFUNCTION("GOOGLETRANSLATE(B33, ""en"", ""id"")"),"Seorang petarung di Bandung dikenal karena penguasaan ring-nya yang sangat baik. Apa artinya ini?")</f>
        <v>Seorang petarung di Bandung dikenal karena penguasaan ring-nya yang sangat baik. Apa artinya ini?</v>
      </c>
      <c r="I33" s="5" t="str">
        <f>IFERROR(__xludf.DUMMYFUNCTION("GOOGLETRANSLATE(C33, ""en"", ""id"")"),"A) Mereka adalah petarung paling populer, B) Mereka terampil menggunakan gerak kaki untuk menentukan kecepatan dan posisi pertarungan, C) Mereka mengikuti aturan dengan sempurna, D) Mereka memiliki pertahanan terbaik")</f>
        <v>A) Mereka adalah petarung paling populer, B) Mereka terampil menggunakan gerak kaki untuk menentukan kecepatan dan posisi pertarungan, C) Mereka mengikuti aturan dengan sempurna, D) Mereka memiliki pertahanan terbaik</v>
      </c>
      <c r="J33" s="5" t="str">
        <f>IFERROR(__xludf.DUMMYFUNCTION("GOOGLETRANSLATE(D33, ""en"", ""id"")"),"B) Mereka terampil menggunakan gerak kaki untuk menentukan kecepatan dan posisi pertarungan")</f>
        <v>B) Mereka terampil menggunakan gerak kaki untuk menentukan kecepatan dan posisi pertarungan</v>
      </c>
      <c r="K33" s="5" t="str">
        <f>IFERROR(__xludf.DUMMYFUNCTION("GOOGLETRANSLATE(E33, ""en"", ""id"")"),"Pengendalian ring atau ""memotong ring"" adalah kemampuan taktis untuk menjebak lawan dan membatasi pergerakan mereka.")</f>
        <v>Pengendalian ring atau "memotong ring" adalah kemampuan taktis untuk menjebak lawan dan membatasi pergerakan mereka.</v>
      </c>
    </row>
    <row r="34">
      <c r="A34" s="3">
        <v>33.0</v>
      </c>
      <c r="B34" s="4" t="s">
        <v>2525</v>
      </c>
      <c r="C34" s="4" t="s">
        <v>2526</v>
      </c>
      <c r="D34" s="4" t="s">
        <v>2527</v>
      </c>
      <c r="E34" s="4" t="s">
        <v>2528</v>
      </c>
      <c r="G34" s="5" t="str">
        <f>IFERROR(__xludf.DUMMYFUNCTION("GOOGLETRANSLATE(A34, ""en"", ""id"")"),"33")</f>
        <v>33</v>
      </c>
      <c r="H34" s="5" t="str">
        <f>IFERROR(__xludf.DUMMYFUNCTION("GOOGLETRANSLATE(B34, ""en"", ""id"")"),"Seorang petarung terkena pukulan ke badan dan berlutut. Apa yang dimaksud dengan ini?")</f>
        <v>Seorang petarung terkena pukulan ke badan dan berlutut. Apa yang dimaksud dengan ini?</v>
      </c>
      <c r="I34" s="5" t="str">
        <f>IFERROR(__xludf.DUMMYFUNCTION("GOOGLETRANSLATE(C34, ""en"", ""id"")"),"A) Tergelincir, B) Knockdown, C) Posisi istirahat, D) Foul")</f>
        <v>A) Tergelincir, B) Knockdown, C) Posisi istirahat, D) Foul</v>
      </c>
      <c r="J34" s="5" t="str">
        <f>IFERROR(__xludf.DUMMYFUNCTION("GOOGLETRANSLATE(D34, ""en"", ""id"")"),"B) Sebuah knockdown")</f>
        <v>B) Sebuah knockdown</v>
      </c>
      <c r="K34" s="5" t="str">
        <f>IFERROR(__xludf.DUMMYFUNCTION("GOOGLETRANSLATE(E34, ""en"", ""id"")"),"Bagian tubuh mana pun, selain kaki, yang menyentuh kanvas sebagai akibat dari serangan sah, dianggap terjatuh, dan wasit akan memulai hitungan.")</f>
        <v>Bagian tubuh mana pun, selain kaki, yang menyentuh kanvas sebagai akibat dari serangan sah, dianggap terjatuh, dan wasit akan memulai hitungan.</v>
      </c>
    </row>
    <row r="35">
      <c r="A35" s="3">
        <v>34.0</v>
      </c>
      <c r="B35" s="4" t="s">
        <v>2529</v>
      </c>
      <c r="C35" s="4" t="s">
        <v>2530</v>
      </c>
      <c r="D35" s="4" t="s">
        <v>2531</v>
      </c>
      <c r="E35" s="4" t="s">
        <v>2532</v>
      </c>
      <c r="G35" s="5" t="str">
        <f>IFERROR(__xludf.DUMMYFUNCTION("GOOGLETRANSLATE(A35, ""en"", ""id"")"),"34")</f>
        <v>34</v>
      </c>
      <c r="H35" s="5" t="str">
        <f>IFERROR(__xludf.DUMMYFUNCTION("GOOGLETRANSLATE(B35, ""en"", ""id"")"),"Apa tujuan utama ""pad work"" selama sesi latihan?")</f>
        <v>Apa tujuan utama "pad work" selama sesi latihan?</v>
      </c>
      <c r="I35" s="5" t="str">
        <f>IFERROR(__xludf.DUMMYFUNCTION("GOOGLETRANSLATE(C35, ""en"", ""id"")"),"A) Untuk berlatih jatuh dengan aman, B) Untuk mengembangkan kekuatan, kecepatan, dan kombinasi dengan memukul bantalan yang dipegang oleh pelatih, C) Untuk membangun keterampilan memblokir defensif, D) Untuk meningkatkan gerak kaki")</f>
        <v>A) Untuk berlatih jatuh dengan aman, B) Untuk mengembangkan kekuatan, kecepatan, dan kombinasi dengan memukul bantalan yang dipegang oleh pelatih, C) Untuk membangun keterampilan memblokir defensif, D) Untuk meningkatkan gerak kaki</v>
      </c>
      <c r="J35" s="5" t="str">
        <f>IFERROR(__xludf.DUMMYFUNCTION("GOOGLETRANSLATE(D35, ""en"", ""id"")"),"B) Untuk mengembangkan kekuatan, kecepatan, dan kombinasi dengan memukul bantalan yang dipegang oleh pelatih")</f>
        <v>B) Untuk mengembangkan kekuatan, kecepatan, dan kombinasi dengan memukul bantalan yang dipegang oleh pelatih</v>
      </c>
      <c r="K35" s="5" t="str">
        <f>IFERROR(__xludf.DUMMYFUNCTION("GOOGLETRANSLATE(E35, ""en"", ""id"")"),"Memukul bantalan adalah latihan penting untuk melatih teknik memukul dengan kekuatan penuh secara dinamis dan aman.")</f>
        <v>Memukul bantalan adalah latihan penting untuk melatih teknik memukul dengan kekuatan penuh secara dinamis dan aman.</v>
      </c>
    </row>
    <row r="36">
      <c r="A36" s="3">
        <v>35.0</v>
      </c>
      <c r="B36" s="4" t="s">
        <v>2533</v>
      </c>
      <c r="C36" s="4" t="s">
        <v>2534</v>
      </c>
      <c r="D36" s="4" t="s">
        <v>2535</v>
      </c>
      <c r="E36" s="4" t="s">
        <v>2536</v>
      </c>
      <c r="G36" s="5" t="str">
        <f>IFERROR(__xludf.DUMMYFUNCTION("GOOGLETRANSLATE(A36, ""en"", ""id"")"),"35")</f>
        <v>35</v>
      </c>
      <c r="H36" s="5" t="str">
        <f>IFERROR(__xludf.DUMMYFUNCTION("GOOGLETRANSLATE(B36, ""en"", ""id"")"),"Dalam clinch, seorang petarung menggunakan lututnya untuk menyerang paha lawan. Apakah ini serangan yang sah?")</f>
        <v>Dalam clinch, seorang petarung menggunakan lututnya untuk menyerang paha lawan. Apakah ini serangan yang sah?</v>
      </c>
      <c r="I36" s="5" t="str">
        <f>IFERROR(__xludf.DUMMYFUNCTION("GOOGLETRANSLATE(C36, ""en"", ""id"")"),"A) Ya, itu adalah teknik legal untuk mendapatkan poin, B) Tidak, lutut hanya bisa digunakan ke badan, C) Itu adalah pelanggaran, D) Itu legal, tapi tidak mendapatkan poin")</f>
        <v>A) Ya, itu adalah teknik legal untuk mendapatkan poin, B) Tidak, lutut hanya bisa digunakan ke badan, C) Itu adalah pelanggaran, D) Itu legal, tapi tidak mendapatkan poin</v>
      </c>
      <c r="J36" s="5" t="str">
        <f>IFERROR(__xludf.DUMMYFUNCTION("GOOGLETRANSLATE(D36, ""en"", ""id"")"),"A) Ya, ini adalah teknik penilaian poin yang sah.")</f>
        <v>A) Ya, ini adalah teknik penilaian poin yang sah.</v>
      </c>
      <c r="K36" s="5" t="str">
        <f>IFERROR(__xludf.DUMMYFUNCTION("GOOGLETRANSLATE(E36, ""en"", ""id"")"),"Paha merupakan target yang valid untuk serangan lutut, terutama dalam posisi clinch, dan efektif untuk mengacaukan base lawan.")</f>
        <v>Paha merupakan target yang valid untuk serangan lutut, terutama dalam posisi clinch, dan efektif untuk mengacaukan base lawan.</v>
      </c>
    </row>
    <row r="37">
      <c r="A37" s="3">
        <v>36.0</v>
      </c>
      <c r="B37" s="4" t="s">
        <v>2537</v>
      </c>
      <c r="C37" s="4" t="s">
        <v>2538</v>
      </c>
      <c r="D37" s="4" t="s">
        <v>1128</v>
      </c>
      <c r="E37" s="4" t="s">
        <v>2539</v>
      </c>
      <c r="G37" s="5" t="str">
        <f>IFERROR(__xludf.DUMMYFUNCTION("GOOGLETRANSLATE(A37, ""en"", ""id"")"),"36")</f>
        <v>36</v>
      </c>
      <c r="H37" s="5" t="str">
        <f>IFERROR(__xludf.DUMMYFUNCTION("GOOGLETRANSLATE(B37, ""en"", ""id"")"),"Seorang petarung jelas kelelahan, tetapi pelatihnya mendesaknya untuk melanjutkan. Namun, wasit yakin petarung tersebut dalam bahaya. Siapa yang memiliki wewenang terakhir untuk menghentikan pertarungan?")</f>
        <v>Seorang petarung jelas kelelahan, tetapi pelatihnya mendesaknya untuk melanjutkan. Namun, wasit yakin petarung tersebut dalam bahaya. Siapa yang memiliki wewenang terakhir untuk menghentikan pertarungan?</v>
      </c>
      <c r="I37" s="5" t="str">
        <f>IFERROR(__xludf.DUMMYFUNCTION("GOOGLETRANSLATE(C37, ""en"", ""id"")"),"A) Pelatih, B) Petarung, C) Wasit, D) Dokter di pinggir ring")</f>
        <v>A) Pelatih, B) Petarung, C) Wasit, D) Dokter di pinggir ring</v>
      </c>
      <c r="J37" s="5" t="str">
        <f>IFERROR(__xludf.DUMMYFUNCTION("GOOGLETRANSLATE(D37, ""en"", ""id"")"),"C) Wasit")</f>
        <v>C) Wasit</v>
      </c>
      <c r="K37" s="5" t="str">
        <f>IFERROR(__xludf.DUMMYFUNCTION("GOOGLETRANSLATE(E37, ""en"", ""id"")"),"Wasit memiliki kewenangan penuh untuk menghentikan pertandingan kapan saja jika ia yakin petarung tidak dapat lagi mempertahankan diri dengan aman.")</f>
        <v>Wasit memiliki kewenangan penuh untuk menghentikan pertandingan kapan saja jika ia yakin petarung tidak dapat lagi mempertahankan diri dengan aman.</v>
      </c>
    </row>
    <row r="38">
      <c r="A38" s="3">
        <v>37.0</v>
      </c>
      <c r="B38" s="4" t="s">
        <v>2540</v>
      </c>
      <c r="C38" s="4" t="s">
        <v>2541</v>
      </c>
      <c r="D38" s="4" t="s">
        <v>2542</v>
      </c>
      <c r="E38" s="4" t="s">
        <v>2543</v>
      </c>
      <c r="G38" s="5" t="str">
        <f>IFERROR(__xludf.DUMMYFUNCTION("GOOGLETRANSLATE(A38, ""en"", ""id"")"),"37")</f>
        <v>37</v>
      </c>
      <c r="H38" s="5" t="str">
        <f>IFERROR(__xludf.DUMMYFUNCTION("GOOGLETRANSLATE(B38, ""en"", ""id"")"),"Apa tujuan dari lima prinsip moral yang dikenal sebagai ""Lima Saraf Moral"" dalam Tarung Derajat?")</f>
        <v>Apa tujuan dari lima prinsip moral yang dikenal sebagai "Lima Saraf Moral" dalam Tarung Derajat?</v>
      </c>
      <c r="I38" s="5" t="str">
        <f>IFERROR(__xludf.DUMMYFUNCTION("GOOGLETRANSLATE(C38, ""en"", ""id"")"),"A) Itu adalah nama dari lima posisi bertarung, B) Itu adalah seperangkat pedoman etika untuk karakter seorang praktisi, C) Itu adalah lima cara untuk memenangkan pertandingan, D) Itu adalah lima teknik rahasia")</f>
        <v>A) Itu adalah nama dari lima posisi bertarung, B) Itu adalah seperangkat pedoman etika untuk karakter seorang praktisi, C) Itu adalah lima cara untuk memenangkan pertandingan, D) Itu adalah lima teknik rahasia</v>
      </c>
      <c r="J38" s="5" t="str">
        <f>IFERROR(__xludf.DUMMYFUNCTION("GOOGLETRANSLATE(D38, ""en"", ""id"")"),"B) Merupakan seperangkat pedoman etika untuk karakter seorang praktisi")</f>
        <v>B) Merupakan seperangkat pedoman etika untuk karakter seorang praktisi</v>
      </c>
      <c r="K38" s="5" t="str">
        <f>IFERROR(__xludf.DUMMYFUNCTION("GOOGLETRANSLATE(E38, ""en"", ""id"")"),"Prinsip-prinsip ini (Keyakinan, Kejujuran, Keberanian, Kemandirian, Keramahan) menekankan bahwa seni adalah tentang membangun karakter, bukan hanya keterampilan bertarung.")</f>
        <v>Prinsip-prinsip ini (Keyakinan, Kejujuran, Keberanian, Kemandirian, Keramahan) menekankan bahwa seni adalah tentang membangun karakter, bukan hanya keterampilan bertarung.</v>
      </c>
    </row>
    <row r="39">
      <c r="A39" s="3">
        <v>38.0</v>
      </c>
      <c r="B39" s="4" t="s">
        <v>2544</v>
      </c>
      <c r="C39" s="4" t="s">
        <v>2545</v>
      </c>
      <c r="D39" s="4" t="s">
        <v>2491</v>
      </c>
      <c r="E39" s="4" t="s">
        <v>2546</v>
      </c>
      <c r="G39" s="5" t="str">
        <f>IFERROR(__xludf.DUMMYFUNCTION("GOOGLETRANSLATE(A39, ""en"", ""id"")"),"38")</f>
        <v>38</v>
      </c>
      <c r="H39" s="5" t="str">
        <f>IFERROR(__xludf.DUMMYFUNCTION("GOOGLETRANSLATE(B39, ""en"", ""id"")"),"Seorang petarung mendaratkan tendangan berputar ke kepala lawan. Berapa poin yang diberikan?")</f>
        <v>Seorang petarung mendaratkan tendangan berputar ke kepala lawan. Berapa poin yang diberikan?</v>
      </c>
      <c r="I39" s="5" t="str">
        <f>IFERROR(__xludf.DUMMYFUNCTION("GOOGLETRANSLATE(C39, ""en"", ""id"")"),"A) 2 poin, B) 3 poin, C) 4 poin, D) 5 poin")</f>
        <v>A) 2 poin, B) 3 poin, C) 4 poin, D) 5 poin</v>
      </c>
      <c r="J39" s="5" t="str">
        <f>IFERROR(__xludf.DUMMYFUNCTION("GOOGLETRANSLATE(D39, ""en"", ""id"")"),"C) 3 poin")</f>
        <v>C) 3 poin</v>
      </c>
      <c r="K39" s="5" t="str">
        <f>IFERROR(__xludf.DUMMYFUNCTION("GOOGLETRANSLATE(E39, ""en"", ""id"")"),"Teknik ini (tendangan berputar) tidak mengubah nilai poin untuk area target. Tendangan legal ke kepala bernilai 3 poin.")</f>
        <v>Teknik ini (tendangan berputar) tidak mengubah nilai poin untuk area target. Tendangan legal ke kepala bernilai 3 poin.</v>
      </c>
    </row>
    <row r="40">
      <c r="A40" s="3">
        <v>39.0</v>
      </c>
      <c r="B40" s="4" t="s">
        <v>2547</v>
      </c>
      <c r="C40" s="4" t="s">
        <v>2548</v>
      </c>
      <c r="D40" s="4" t="s">
        <v>2549</v>
      </c>
      <c r="E40" s="4" t="s">
        <v>2550</v>
      </c>
      <c r="G40" s="5" t="str">
        <f>IFERROR(__xludf.DUMMYFUNCTION("GOOGLETRANSLATE(A40, ""en"", ""id"")"),"39")</f>
        <v>39</v>
      </c>
      <c r="H40" s="5" t="str">
        <f>IFERROR(__xludf.DUMMYFUNCTION("GOOGLETRANSLATE(B40, ""en"", ""id"")"),"Seorang petarung diperingatkan oleh wasit karena ""memukul sambil melakukan break."" Apa artinya ini?")</f>
        <v>Seorang petarung diperingatkan oleh wasit karena "memukul sambil melakukan break." Apa artinya ini?</v>
      </c>
      <c r="I40" s="5" t="str">
        <f>IFERROR(__xludf.DUMMYFUNCTION("GOOGLETRANSLATE(C40, ""en"", ""id"")"),"A) Memukul pada waktu istirahat satu menit, B) Memukul lawan ketika wasit memisahkan mereka, C) Memukul sarung tangan yang rusak, D) Memukul lawan yang kehilangan keseimbangan")</f>
        <v>A) Memukul pada waktu istirahat satu menit, B) Memukul lawan ketika wasit memisahkan mereka, C) Memukul sarung tangan yang rusak, D) Memukul lawan yang kehilangan keseimbangan</v>
      </c>
      <c r="J40" s="5" t="str">
        <f>IFERROR(__xludf.DUMMYFUNCTION("GOOGLETRANSLATE(D40, ""en"", ""id"")"),"B) Memukul lawan saat wasit memisahkan mereka")</f>
        <v>B) Memukul lawan saat wasit memisahkan mereka</v>
      </c>
      <c r="K40" s="5" t="str">
        <f>IFERROR(__xludf.DUMMYFUNCTION("GOOGLETRANSLATE(E40, ""en"", ""id"")"),"Petarung harus berhenti menyerang ketika wasit memutuskan untuk menghentikan clinch. Memukul setelah perintah ini dianggap pelanggaran.")</f>
        <v>Petarung harus berhenti menyerang ketika wasit memutuskan untuk menghentikan clinch. Memukul setelah perintah ini dianggap pelanggaran.</v>
      </c>
    </row>
    <row r="41">
      <c r="A41" s="3">
        <v>40.0</v>
      </c>
      <c r="B41" s="4" t="s">
        <v>2551</v>
      </c>
      <c r="C41" s="4" t="s">
        <v>2552</v>
      </c>
      <c r="D41" s="4" t="s">
        <v>2553</v>
      </c>
      <c r="E41" s="4" t="s">
        <v>2554</v>
      </c>
      <c r="G41" s="5" t="str">
        <f>IFERROR(__xludf.DUMMYFUNCTION("GOOGLETRANSLATE(A41, ""en"", ""id"")"),"40")</f>
        <v>40</v>
      </c>
      <c r="H41" s="5" t="str">
        <f>IFERROR(__xludf.DUMMYFUNCTION("GOOGLETRANSLATE(B41, ""en"", ""id"")"),"Seorang petarung memenangkan ronde dengan skor 10-9 berdasarkan kartu skor ketiga juri. Apa artinya ini?")</f>
        <v>Seorang petarung memenangkan ronde dengan skor 10-9 berdasarkan kartu skor ketiga juri. Apa artinya ini?</v>
      </c>
      <c r="I41" s="5" t="str">
        <f>IFERROR(__xludf.DUMMYFUNCTION("GOOGLETRANSLATE(C41, ""en"", ""id"")"),"A) Ronde tersebut seri, B) Petarung tersebut memenangkan ronde tersebut dengan jelas namun tanpa knockdown, C) Petarung tersebut mencetak satu knockdown, D) Lawan tersebut dihukum satu poin")</f>
        <v>A) Ronde tersebut seri, B) Petarung tersebut memenangkan ronde tersebut dengan jelas namun tanpa knockdown, C) Petarung tersebut mencetak satu knockdown, D) Lawan tersebut dihukum satu poin</v>
      </c>
      <c r="J41" s="5" t="str">
        <f>IFERROR(__xludf.DUMMYFUNCTION("GOOGLETRANSLATE(D41, ""en"", ""id"")"),"B) Petarung tersebut memenangkan ronde tersebut dengan jelas namun tanpa knockdown")</f>
        <v>B) Petarung tersebut memenangkan ronde tersebut dengan jelas namun tanpa knockdown</v>
      </c>
      <c r="K41" s="5" t="str">
        <f>IFERROR(__xludf.DUMMYFUNCTION("GOOGLETRANSLATE(E41, ""en"", ""id"")"),"Berdasarkan ""Sistem 10 Poin Wajib"", pemenang suatu babak diberi 10 poin dan yang kalah 9 poin, dengan asumsi tidak ada kejadian penilaian lain yang terjadi.")</f>
        <v>Berdasarkan "Sistem 10 Poin Wajib", pemenang suatu babak diberi 10 poin dan yang kalah 9 poin, dengan asumsi tidak ada kejadian penilaian lain yang terjadi.</v>
      </c>
    </row>
    <row r="42">
      <c r="A42" s="3">
        <v>41.0</v>
      </c>
      <c r="B42" s="4" t="s">
        <v>2555</v>
      </c>
      <c r="C42" s="4" t="s">
        <v>2556</v>
      </c>
      <c r="D42" s="4" t="s">
        <v>2557</v>
      </c>
      <c r="E42" s="4" t="s">
        <v>2558</v>
      </c>
      <c r="G42" s="5" t="str">
        <f>IFERROR(__xludf.DUMMYFUNCTION("GOOGLETRANSLATE(A42, ""en"", ""id"")"),"41")</f>
        <v>41</v>
      </c>
      <c r="H42" s="5" t="str">
        <f>IFERROR(__xludf.DUMMYFUNCTION("GOOGLETRANSLATE(B42, ""en"", ""id"")"),"Seorang petarung terluka oleh pukulan legal, dan dokter di pinggir ring menghentikan pertarungan. Apa hasil resminya?")</f>
        <v>Seorang petarung terluka oleh pukulan legal, dan dokter di pinggir ring menghentikan pertarungan. Apa hasil resminya?</v>
      </c>
      <c r="I42" s="5" t="str">
        <f>IFERROR(__xludf.DUMMYFUNCTION("GOOGLETRANSLATE(C42, ""en"", ""id"")"),"A) Petarung yang terluka menang, B) Pertandingan seri, C) Petarung yang mendaratkan pukulan menang dengan TKO, D) Ronde diulang")</f>
        <v>A) Petarung yang terluka menang, B) Pertandingan seri, C) Petarung yang mendaratkan pukulan menang dengan TKO, D) Ronde diulang</v>
      </c>
      <c r="J42" s="5" t="str">
        <f>IFERROR(__xludf.DUMMYFUNCTION("GOOGLETRANSLATE(D42, ""en"", ""id"")"),"C) Petarung yang mendaratkan pukulan menang dengan TKO")</f>
        <v>C) Petarung yang mendaratkan pukulan menang dengan TKO</v>
      </c>
      <c r="K42" s="5" t="str">
        <f>IFERROR(__xludf.DUMMYFUNCTION("GOOGLETRANSLATE(E42, ""en"", ""id"")"),"Jika serangan sah menyebabkan cedera yang cukup parah hingga dokter dapat menghentikan pertandingan, maka pertandingan tersebut ditetapkan sebagai Technical Knockout.")</f>
        <v>Jika serangan sah menyebabkan cedera yang cukup parah hingga dokter dapat menghentikan pertandingan, maka pertandingan tersebut ditetapkan sebagai Technical Knockout.</v>
      </c>
    </row>
    <row r="43">
      <c r="A43" s="3">
        <v>42.0</v>
      </c>
      <c r="B43" s="4" t="s">
        <v>2559</v>
      </c>
      <c r="C43" s="4" t="s">
        <v>2560</v>
      </c>
      <c r="D43" s="4" t="s">
        <v>2561</v>
      </c>
      <c r="E43" s="4" t="s">
        <v>2562</v>
      </c>
      <c r="G43" s="5" t="str">
        <f>IFERROR(__xludf.DUMMYFUNCTION("GOOGLETRANSLATE(A43, ""en"", ""id"")"),"42")</f>
        <v>42</v>
      </c>
      <c r="H43" s="5" t="str">
        <f>IFERROR(__xludf.DUMMYFUNCTION("GOOGLETRANSLATE(B43, ""en"", ""id"")"),"Wasit memberikan ""hitungan delapan berdiri"" kepada seorang petarung yang tampak linglung. Berapa skor yang diberikan kepada lawan?")</f>
        <v>Wasit memberikan "hitungan delapan berdiri" kepada seorang petarung yang tampak linglung. Berapa skor yang diberikan kepada lawan?</v>
      </c>
      <c r="I43" s="5" t="str">
        <f>IFERROR(__xludf.DUMMYFUNCTION("GOOGLETRANSLATE(C43, ""en"", ""id"")"),"A) Tidak ada poin yang dicetak, B) 1 poin diberikan, C) 2 poin diberikan, D) Lawan memenangkan ronde tersebut")</f>
        <v>A) Tidak ada poin yang dicetak, B) 1 poin diberikan, C) 2 poin diberikan, D) Lawan memenangkan ronde tersebut</v>
      </c>
      <c r="J43" s="5" t="str">
        <f>IFERROR(__xludf.DUMMYFUNCTION("GOOGLETRANSLATE(D43, ""en"", ""id"")"),"B) 1 poin diberikan")</f>
        <v>B) 1 poin diberikan</v>
      </c>
      <c r="K43" s="5" t="str">
        <f>IFERROR(__xludf.DUMMYFUNCTION("GOOGLETRANSLATE(E43, ""en"", ""id"")"),"Hitungan delapan berdiri dinilai dengan cara yang sama seperti knockdown, menghasilkan poin untuk petarung lawan.")</f>
        <v>Hitungan delapan berdiri dinilai dengan cara yang sama seperti knockdown, menghasilkan poin untuk petarung lawan.</v>
      </c>
    </row>
    <row r="44">
      <c r="A44" s="3">
        <v>43.0</v>
      </c>
      <c r="B44" s="4" t="s">
        <v>2563</v>
      </c>
      <c r="C44" s="4" t="s">
        <v>2564</v>
      </c>
      <c r="D44" s="4" t="s">
        <v>2565</v>
      </c>
      <c r="E44" s="4" t="s">
        <v>2566</v>
      </c>
      <c r="G44" s="5" t="str">
        <f>IFERROR(__xludf.DUMMYFUNCTION("GOOGLETRANSLATE(A44, ""en"", ""id"")"),"43")</f>
        <v>43</v>
      </c>
      <c r="H44" s="5" t="str">
        <f>IFERROR(__xludf.DUMMYFUNCTION("GOOGLETRANSLATE(B44, ""en"", ""id"")"),"Seorang petarung dihukum karena mendorong lawannya dengan lengan lurus. Mengapa ini dianggap pelanggaran?")</f>
        <v>Seorang petarung dihukum karena mendorong lawannya dengan lengan lurus. Mengapa ini dianggap pelanggaran?</v>
      </c>
      <c r="I44" s="5" t="str">
        <f>IFERROR(__xludf.DUMMYFUNCTION("GOOGLETRANSLATE(C44, ""en"", ""id"")"),"A) Ini bukan serangan yang diakui dan mengganggu jalannya pertarungan, B) Ini terlalu kuat, C) Ini dapat menyebabkan cedera serius, D) Ini terlalu mudah dilakukan")</f>
        <v>A) Ini bukan serangan yang diakui dan mengganggu jalannya pertarungan, B) Ini terlalu kuat, C) Ini dapat menyebabkan cedera serius, D) Ini terlalu mudah dilakukan</v>
      </c>
      <c r="J44" s="5" t="str">
        <f>IFERROR(__xludf.DUMMYFUNCTION("GOOGLETRANSLATE(D44, ""en"", ""id"")"),"A) Ini bukan serangan skor yang diakui dan mengganggu jalannya pertarungan")</f>
        <v>A) Ini bukan serangan skor yang diakui dan mengganggu jalannya pertarungan</v>
      </c>
      <c r="K44" s="5" t="str">
        <f>IFERROR(__xludf.DUMMYFUNCTION("GOOGLETRANSLATE(E44, ""en"", ""id"")"),"Tarung Derajat adalah seni memukul. Dorongan atau hantaman diberikan hukuman untuk menjaga fokus pada pukulan yang terampil.")</f>
        <v>Tarung Derajat adalah seni memukul. Dorongan atau hantaman diberikan hukuman untuk menjaga fokus pada pukulan yang terampil.</v>
      </c>
    </row>
    <row r="45">
      <c r="A45" s="3">
        <v>44.0</v>
      </c>
      <c r="B45" s="4" t="s">
        <v>2567</v>
      </c>
      <c r="C45" s="4" t="s">
        <v>2568</v>
      </c>
      <c r="D45" s="4" t="s">
        <v>2569</v>
      </c>
      <c r="E45" s="4" t="s">
        <v>2570</v>
      </c>
      <c r="G45" s="5" t="str">
        <f>IFERROR(__xludf.DUMMYFUNCTION("GOOGLETRANSLATE(A45, ""en"", ""id"")"),"44")</f>
        <v>44</v>
      </c>
      <c r="H45" s="5" t="str">
        <f>IFERROR(__xludf.DUMMYFUNCTION("GOOGLETRANSLATE(B45, ""en"", ""id"")"),"Seorang petarung menang dengan ""keputusan bulat"". Apa artinya ini?")</f>
        <v>Seorang petarung menang dengan "keputusan bulat". Apa artinya ini?</v>
      </c>
      <c r="I45" s="5" t="str">
        <f>IFERROR(__xludf.DUMMYFUNCTION("GOOGLETRANSLATE(C45, ""en"", ""id"")"),"A) Wasit memutuskan pemenangnya, B) Ketiga juri memberi nilai pertarungan untuk petarung tersebut, C) Penonton memilih pemenangnya, D) Lawan menyerah")</f>
        <v>A) Wasit memutuskan pemenangnya, B) Ketiga juri memberi nilai pertarungan untuk petarung tersebut, C) Penonton memilih pemenangnya, D) Lawan menyerah</v>
      </c>
      <c r="J45" s="5" t="str">
        <f>IFERROR(__xludf.DUMMYFUNCTION("GOOGLETRANSLATE(D45, ""en"", ""id"")"),"B) Ketiga juri memberi nilai pertarungan untuk petarung tersebut")</f>
        <v>B) Ketiga juri memberi nilai pertarungan untuk petarung tersebut</v>
      </c>
      <c r="K45" s="5" t="str">
        <f>IFERROR(__xludf.DUMMYFUNCTION("GOOGLETRANSLATE(E45, ""en"", ""id"")"),"Keputusan bulat berarti tidak ada perbedaan pendapat di antara juri yang menilai tentang siapa pemenang pertandingan.")</f>
        <v>Keputusan bulat berarti tidak ada perbedaan pendapat di antara juri yang menilai tentang siapa pemenang pertandingan.</v>
      </c>
    </row>
    <row r="46">
      <c r="A46" s="3">
        <v>45.0</v>
      </c>
      <c r="B46" s="4" t="s">
        <v>2571</v>
      </c>
      <c r="C46" s="4" t="s">
        <v>2572</v>
      </c>
      <c r="D46" s="4" t="s">
        <v>2573</v>
      </c>
      <c r="E46" s="4" t="s">
        <v>2574</v>
      </c>
      <c r="G46" s="5" t="str">
        <f>IFERROR(__xludf.DUMMYFUNCTION("GOOGLETRANSLATE(A46, ""en"", ""id"")"),"45")</f>
        <v>45</v>
      </c>
      <c r="H46" s="5" t="str">
        <f>IFERROR(__xludf.DUMMYFUNCTION("GOOGLETRANSLATE(B46, ""en"", ""id"")"),"Selama pertandingan, pita tangan seorang petarung terlepas sepenuhnya. Apa yang harus dilakukan wasit?")</f>
        <v>Selama pertandingan, pita tangan seorang petarung terlepas sepenuhnya. Apa yang harus dilakukan wasit?</v>
      </c>
      <c r="I46" s="5" t="str">
        <f>IFERROR(__xludf.DUMMYFUNCTION("GOOGLETRANSLATE(C46, ""en"", ""id"")"),"A) Biarkan pertarungan berlanjut, B) Hentikan pertarungan untuk melepas atau memperbaiki pita, C) Diskualifikasi petarung, D) Berikan poin kepada lawan")</f>
        <v>A) Biarkan pertarungan berlanjut, B) Hentikan pertarungan untuk melepas atau memperbaiki pita, C) Diskualifikasi petarung, D) Berikan poin kepada lawan</v>
      </c>
      <c r="J46" s="5" t="str">
        <f>IFERROR(__xludf.DUMMYFUNCTION("GOOGLETRANSLATE(D46, ""en"", ""id"")"),"B) Hentikan perkelahian untuk melepas atau memperbaiki pita tersebut")</f>
        <v>B) Hentikan perkelahian untuk melepas atau memperbaiki pita tersebut</v>
      </c>
      <c r="K46" s="5" t="str">
        <f>IFERROR(__xludf.DUMMYFUNCTION("GOOGLETRANSLATE(E46, ""en"", ""id"")"),"Demi keselamatan kedua petarung, wasit akan menghentikan pertarungan pada saat yang aman untuk memperbaiki masalah perlengkapan seperti balutan tangan yang longgar.")</f>
        <v>Demi keselamatan kedua petarung, wasit akan menghentikan pertarungan pada saat yang aman untuk memperbaiki masalah perlengkapan seperti balutan tangan yang longgar.</v>
      </c>
    </row>
    <row r="47">
      <c r="A47" s="3">
        <v>46.0</v>
      </c>
      <c r="B47" s="4" t="s">
        <v>2575</v>
      </c>
      <c r="C47" s="4" t="s">
        <v>2576</v>
      </c>
      <c r="D47" s="4" t="s">
        <v>2577</v>
      </c>
      <c r="E47" s="4" t="s">
        <v>2578</v>
      </c>
      <c r="G47" s="5" t="str">
        <f>IFERROR(__xludf.DUMMYFUNCTION("GOOGLETRANSLATE(A47, ""en"", ""id"")"),"46")</f>
        <v>46</v>
      </c>
      <c r="H47" s="5" t="str">
        <f>IFERROR(__xludf.DUMMYFUNCTION("GOOGLETRANSLATE(B47, ""en"", ""id"")"),"Seorang petarung diperingatkan karena ""mengikat"" lawan dalam posisi clinch. Apa artinya ini?")</f>
        <v>Seorang petarung diperingatkan karena "mengikat" lawan dalam posisi clinch. Apa artinya ini?</v>
      </c>
      <c r="I47" s="5" t="str">
        <f>IFERROR(__xludf.DUMMYFUNCTION("GOOGLETRANSLATE(C47, ""en"", ""id"")"),"A) Mereka mengikat sarung tangannya terlalu ketat, B) Mereka menggunakan tali sarung tangannya untuk menggesek wajah lawan, C) Celana pendek mereka terlepas, D) Mereka bergerak terlalu lambat")</f>
        <v>A) Mereka mengikat sarung tangannya terlalu ketat, B) Mereka menggunakan tali sarung tangannya untuk menggesek wajah lawan, C) Celana pendek mereka terlepas, D) Mereka bergerak terlalu lambat</v>
      </c>
      <c r="J47" s="5" t="str">
        <f>IFERROR(__xludf.DUMMYFUNCTION("GOOGLETRANSLATE(D47, ""en"", ""id"")"),"B) Mereka menggunakan tali sarung tangannya untuk menggosok wajah lawan")</f>
        <v>B) Mereka menggunakan tali sarung tangannya untuk menggosok wajah lawan</v>
      </c>
      <c r="K47" s="5" t="str">
        <f>IFERROR(__xludf.DUMMYFUNCTION("GOOGLETRANSLATE(E47, ""en"", ""id"")"),"Ini adalah taktik ilegal dan tidak sportif yang digunakan untuk menyebabkan luka dan lecet, dan akan dikenakan sanksi.")</f>
        <v>Ini adalah taktik ilegal dan tidak sportif yang digunakan untuk menyebabkan luka dan lecet, dan akan dikenakan sanksi.</v>
      </c>
    </row>
    <row r="48">
      <c r="A48" s="3">
        <v>47.0</v>
      </c>
      <c r="B48" s="4" t="s">
        <v>2579</v>
      </c>
      <c r="C48" s="4" t="s">
        <v>2580</v>
      </c>
      <c r="D48" s="4" t="s">
        <v>2581</v>
      </c>
      <c r="E48" s="4" t="s">
        <v>2582</v>
      </c>
      <c r="G48" s="5" t="str">
        <f>IFERROR(__xludf.DUMMYFUNCTION("GOOGLETRANSLATE(A48, ""en"", ""id"")"),"47")</f>
        <v>47</v>
      </c>
      <c r="H48" s="5" t="str">
        <f>IFERROR(__xludf.DUMMYFUNCTION("GOOGLETRANSLATE(B48, ""en"", ""id"")"),"Seorang petarung terjatuh. Ia bangkit pada hitungan ke-9, tetapi kemudian tersandung dan jatuh lagi tanpa terkena pukulan. Apa keputusan wasit?")</f>
        <v>Seorang petarung terjatuh. Ia bangkit pada hitungan ke-9, tetapi kemudian tersandung dan jatuh lagi tanpa terkena pukulan. Apa keputusan wasit?</v>
      </c>
      <c r="I48" s="5" t="str">
        <f>IFERROR(__xludf.DUMMYFUNCTION("GOOGLETRANSLATE(C48, ""en"", ""id"")"),"A) Hitungan berlanjut dari 9, B) Wasit menghentikan pertarungan (TKO), C) Poin diulang, D) Petarung diberi peringatan karena terjatuh")</f>
        <v>A) Hitungan berlanjut dari 9, B) Wasit menghentikan pertarungan (TKO), C) Poin diulang, D) Petarung diberi peringatan karena terjatuh</v>
      </c>
      <c r="J48" s="5" t="str">
        <f>IFERROR(__xludf.DUMMYFUNCTION("GOOGLETRANSLATE(D48, ""en"", ""id"")"),"B) Wasit menghentikan pertarungan (TKO)")</f>
        <v>B) Wasit menghentikan pertarungan (TKO)</v>
      </c>
      <c r="K48" s="5" t="str">
        <f>IFERROR(__xludf.DUMMYFUNCTION("GOOGLETRANSLATE(E48, ""en"", ""id"")"),"Seorang petarung yang terjatuh tanpa terkena serangan merupakan tanda yang jelas bahwa mereka benar-benar linglung dan tidak dapat melanjutkan perjalanan dengan aman.")</f>
        <v>Seorang petarung yang terjatuh tanpa terkena serangan merupakan tanda yang jelas bahwa mereka benar-benar linglung dan tidak dapat melanjutkan perjalanan dengan aman.</v>
      </c>
    </row>
    <row r="49">
      <c r="A49" s="3">
        <v>48.0</v>
      </c>
      <c r="B49" s="4" t="s">
        <v>2583</v>
      </c>
      <c r="C49" s="4" t="s">
        <v>2584</v>
      </c>
      <c r="D49" s="4" t="s">
        <v>2585</v>
      </c>
      <c r="E49" s="4" t="s">
        <v>2586</v>
      </c>
      <c r="G49" s="5" t="str">
        <f>IFERROR(__xludf.DUMMYFUNCTION("GOOGLETRANSLATE(A49, ""en"", ""id"")"),"48")</f>
        <v>48</v>
      </c>
      <c r="H49" s="5" t="str">
        <f>IFERROR(__xludf.DUMMYFUNCTION("GOOGLETRANSLATE(B49, ""en"", ""id"")"),"Seorang petarung memenangkan ronde dengan skor 10-8, tetapi tidak ada knockdown. Bagaimana ini bisa terjadi?")</f>
        <v>Seorang petarung memenangkan ronde dengan skor 10-8, tetapi tidak ada knockdown. Bagaimana ini bisa terjadi?</v>
      </c>
      <c r="I49" s="5" t="str">
        <f>IFERROR(__xludf.DUMMYFUNCTION("GOOGLETRANSLATE(C49, ""en"", ""id"")"),"A) Tidak mungkin, B) Petarung yang menang jauh lebih dominan, C) Petarung yang kalah dihukum satu poin karena melakukan pelanggaran, D) Wasit melakukan kesalahan")</f>
        <v>A) Tidak mungkin, B) Petarung yang menang jauh lebih dominan, C) Petarung yang kalah dihukum satu poin karena melakukan pelanggaran, D) Wasit melakukan kesalahan</v>
      </c>
      <c r="J49" s="5" t="str">
        <f>IFERROR(__xludf.DUMMYFUNCTION("GOOGLETRANSLATE(D49, ""en"", ""id"")"),"C) Petarung yang kalah dihukum satu poin karena melakukan pelanggaran")</f>
        <v>C) Petarung yang kalah dihukum satu poin karena melakukan pelanggaran</v>
      </c>
      <c r="K49" s="5" t="str">
        <f>IFERROR(__xludf.DUMMYFUNCTION("GOOGLETRANSLATE(E49, ""en"", ""id"")"),"Babak kemenangan normal adalah 10-9. Jika yang kalah juga dikurangi satu poin karena pelanggaran, skornya menjadi 10-8.")</f>
        <v>Babak kemenangan normal adalah 10-9. Jika yang kalah juga dikurangi satu poin karena pelanggaran, skornya menjadi 10-8.</v>
      </c>
    </row>
    <row r="50">
      <c r="A50" s="3">
        <v>49.0</v>
      </c>
      <c r="B50" s="4" t="s">
        <v>2587</v>
      </c>
      <c r="C50" s="4" t="s">
        <v>2588</v>
      </c>
      <c r="D50" s="4" t="s">
        <v>2589</v>
      </c>
      <c r="E50" s="4" t="s">
        <v>2590</v>
      </c>
      <c r="G50" s="5" t="str">
        <f>IFERROR(__xludf.DUMMYFUNCTION("GOOGLETRANSLATE(A50, ""en"", ""id"")"),"49")</f>
        <v>49</v>
      </c>
      <c r="H50" s="5" t="str">
        <f>IFERROR(__xludf.DUMMYFUNCTION("GOOGLETRANSLATE(B50, ""en"", ""id"")"),"Filosofi pelatihan sang pendiri, Achmad Drajat, sering diringkas sebagai ""keraskan raga, baru jiwa"". Apa maksudnya?")</f>
        <v>Filosofi pelatihan sang pendiri, Achmad Drajat, sering diringkas sebagai "keraskan raga, baru jiwa". Apa maksudnya?</v>
      </c>
      <c r="I50" s="5" t="str">
        <f>IFERROR(__xludf.DUMMYFUNCTION("GOOGLETRANSLATE(C50, ""en"", ""id"")"),"A) Latihan spiritual lebih penting, B) Pengondisian fisik yang ketat adalah gerbang untuk mengembangkan ketangguhan mental dan spiritual, C) Seseorang seharusnya hanya fokus pada kekuatan fisik, D) Ini adalah seni meditasi murni")</f>
        <v>A) Latihan spiritual lebih penting, B) Pengondisian fisik yang ketat adalah gerbang untuk mengembangkan ketangguhan mental dan spiritual, C) Seseorang seharusnya hanya fokus pada kekuatan fisik, D) Ini adalah seni meditasi murni</v>
      </c>
      <c r="J50" s="5" t="str">
        <f>IFERROR(__xludf.DUMMYFUNCTION("GOOGLETRANSLATE(D50, ""en"", ""id"")"),"B) Pengondisian fisik yang ketat adalah pintu gerbang untuk mengembangkan ketangguhan mental dan spiritual")</f>
        <v>B) Pengondisian fisik yang ketat adalah pintu gerbang untuk mengembangkan ketangguhan mental dan spiritual</v>
      </c>
      <c r="K50" s="5" t="str">
        <f>IFERROR(__xludf.DUMMYFUNCTION("GOOGLETRANSLATE(E50, ""en"", ""id"")"),"Seni ini meyakini bahwa mengatasi kesulitan fisik dalam latihanlah yang membentuk disiplin dan ketahanan pikiran dan jiwa.")</f>
        <v>Seni ini meyakini bahwa mengatasi kesulitan fisik dalam latihanlah yang membentuk disiplin dan ketahanan pikiran dan jiwa.</v>
      </c>
    </row>
    <row r="51">
      <c r="A51" s="3">
        <v>50.0</v>
      </c>
      <c r="B51" s="4" t="s">
        <v>2591</v>
      </c>
      <c r="C51" s="4" t="s">
        <v>2592</v>
      </c>
      <c r="D51" s="4" t="s">
        <v>2593</v>
      </c>
      <c r="E51" s="4" t="s">
        <v>2594</v>
      </c>
      <c r="G51" s="5" t="str">
        <f>IFERROR(__xludf.DUMMYFUNCTION("GOOGLETRANSLATE(A51, ""en"", ""id"")"),"50")</f>
        <v>50</v>
      </c>
      <c r="H51" s="5" t="str">
        <f>IFERROR(__xludf.DUMMYFUNCTION("GOOGLETRANSLATE(B51, ""en"", ""id"")"),"Seorang petarung terluka akibat sundulan kepala yang tidak disengaja, dan dokter menghentikan pertarungan setelah dua dari tiga ronde selesai. Bagaimana pemenang ditentukan?")</f>
        <v>Seorang petarung terluka akibat sundulan kepala yang tidak disengaja, dan dokter menghentikan pertarungan setelah dua dari tiga ronde selesai. Bagaimana pemenang ditentukan?</v>
      </c>
      <c r="I51" s="5" t="str">
        <f>IFERROR(__xludf.DUMMYFUNCTION("GOOGLETRANSLATE(C51, ""en"", ""id"")"),"A) Pertarungan ini adalah ""no contest"", B) Petarung yang tidak tereliminasi menang, C) Pemenangnya ditentukan dengan melihat kartu skor juri, D) Pertarungan diulang kembali")</f>
        <v>A) Pertarungan ini adalah "no contest", B) Petarung yang tidak tereliminasi menang, C) Pemenangnya ditentukan dengan melihat kartu skor juri, D) Pertarungan diulang kembali</v>
      </c>
      <c r="J51" s="5" t="str">
        <f>IFERROR(__xludf.DUMMYFUNCTION("GOOGLETRANSLATE(D51, ""en"", ""id"")"),"C) Pemenang ditentukan berdasarkan kartu skor juri")</f>
        <v>C) Pemenang ditentukan berdasarkan kartu skor juri</v>
      </c>
      <c r="K51" s="5" t="str">
        <f>IFERROR(__xludf.DUMMYFUNCTION("GOOGLETRANSLATE(E51, ""en"", ""id"")"),"Jika suatu pertarungan dihentikan karena pelanggaran yang tidak disengaja setelah sejumlah ronde yang telah ditentukan, hasilnya ditentukan oleh skor hingga titik tersebut (""keputusan teknis"").")</f>
        <v>Jika suatu pertarungan dihentikan karena pelanggaran yang tidak disengaja setelah sejumlah ronde yang telah ditentukan, hasilnya ditentukan oleh skor hingga titik tersebut ("keputusan teknis").</v>
      </c>
    </row>
    <row r="52">
      <c r="A52" s="3">
        <v>51.0</v>
      </c>
      <c r="B52" s="4" t="s">
        <v>2595</v>
      </c>
      <c r="C52" s="4" t="s">
        <v>2596</v>
      </c>
      <c r="D52" s="4" t="s">
        <v>2597</v>
      </c>
      <c r="E52" s="4" t="s">
        <v>2598</v>
      </c>
      <c r="G52" s="5" t="str">
        <f>IFERROR(__xludf.DUMMYFUNCTION("GOOGLETRANSLATE(A52, ""en"", ""id"")"),"51")</f>
        <v>51</v>
      </c>
      <c r="H52" s="5" t="str">
        <f>IFERROR(__xludf.DUMMYFUNCTION("GOOGLETRANSLATE(B52, ""en"", ""id"")"),"Saat istirahat, sudut petarung mengoleskan zat ke luka yang tidak disetujui oleh komisi. Jika ketahuan, apa hukumannya?")</f>
        <v>Saat istirahat, sudut petarung mengoleskan zat ke luka yang tidak disetujui oleh komisi. Jika ketahuan, apa hukumannya?</v>
      </c>
      <c r="I52" s="5" t="str">
        <f>IFERROR(__xludf.DUMMYFUNCTION("GOOGLETRANSLATE(C52, ""en"", ""id"")"),"A) Peringatan, B) Petarung langsung didiskualifikasi, C) Lawan mendapat poin tambahan, D) Ronde diulang")</f>
        <v>A) Peringatan, B) Petarung langsung didiskualifikasi, C) Lawan mendapat poin tambahan, D) Ronde diulang</v>
      </c>
      <c r="J52" s="5" t="str">
        <f>IFERROR(__xludf.DUMMYFUNCTION("GOOGLETRANSLATE(D52, ""en"", ""id"")"),"B) Petarung tersebut langsung didiskualifikasi")</f>
        <v>B) Petarung tersebut langsung didiskualifikasi</v>
      </c>
      <c r="K52" s="5" t="str">
        <f>IFERROR(__xludf.DUMMYFUNCTION("GOOGLETRANSLATE(E52, ""en"", ""id"")"),"Menggunakan zat atau obat yang tidak sah merupakan pelanggaran serius terhadap peraturan dan dapat mengakibatkan diskualifikasi.")</f>
        <v>Menggunakan zat atau obat yang tidak sah merupakan pelanggaran serius terhadap peraturan dan dapat mengakibatkan diskualifikasi.</v>
      </c>
    </row>
    <row r="53">
      <c r="A53" s="3">
        <v>52.0</v>
      </c>
      <c r="B53" s="4" t="s">
        <v>2599</v>
      </c>
      <c r="C53" s="4" t="s">
        <v>2600</v>
      </c>
      <c r="D53" s="4" t="s">
        <v>2601</v>
      </c>
      <c r="E53" s="4" t="s">
        <v>2602</v>
      </c>
      <c r="G53" s="5" t="str">
        <f>IFERROR(__xludf.DUMMYFUNCTION("GOOGLETRANSLATE(A53, ""en"", ""id"")"),"52")</f>
        <v>52</v>
      </c>
      <c r="H53" s="5" t="str">
        <f>IFERROR(__xludf.DUMMYFUNCTION("GOOGLETRANSLATE(B53, ""en"", ""id"")"),"Seorang petarung dikenal memiliki ""IQ bertarung yang tinggi"". Apa artinya ini?")</f>
        <v>Seorang petarung dikenal memiliki "IQ bertarung yang tinggi". Apa artinya ini?</v>
      </c>
      <c r="I53" s="5" t="str">
        <f>IFERROR(__xludf.DUMMYFUNCTION("GOOGLETRANSLATE(C53, ""en"", ""id"")"),"A) Mereka adalah seorang jenius yang tersertifikasi, B) Mereka memiliki kemampuan yang sangat baik untuk beradaptasi, memecahkan masalah, dan menerapkan strategi yang tepat selama pertarungan, C) Mereka dapat mengingat semua aturan, D) Mereka banyak bicar"&amp;"a selama pertarungan")</f>
        <v>A) Mereka adalah seorang jenius yang tersertifikasi, B) Mereka memiliki kemampuan yang sangat baik untuk beradaptasi, memecahkan masalah, dan menerapkan strategi yang tepat selama pertarungan, C) Mereka dapat mengingat semua aturan, D) Mereka banyak bicara selama pertarungan</v>
      </c>
      <c r="J53" s="5" t="str">
        <f>IFERROR(__xludf.DUMMYFUNCTION("GOOGLETRANSLATE(D53, ""en"", ""id"")"),"B) Mereka memiliki kemampuan yang sangat baik untuk beradaptasi, memecahkan masalah, dan menerapkan strategi yang tepat saat bertarung")</f>
        <v>B) Mereka memiliki kemampuan yang sangat baik untuk beradaptasi, memecahkan masalah, dan menerapkan strategi yang tepat saat bertarung</v>
      </c>
      <c r="K53" s="5" t="str">
        <f>IFERROR(__xludf.DUMMYFUNCTION("GOOGLETRANSLATE(E53, ""en"", ""id"")"),"IQ bertarung yang tinggi mengacu pada kecerdasan seorang petarung di atas ring, seperti mengenali pola dan memanfaatkan kelemahan.")</f>
        <v>IQ bertarung yang tinggi mengacu pada kecerdasan seorang petarung di atas ring, seperti mengenali pola dan memanfaatkan kelemahan.</v>
      </c>
    </row>
    <row r="54">
      <c r="A54" s="3">
        <v>53.0</v>
      </c>
      <c r="B54" s="4" t="s">
        <v>2603</v>
      </c>
      <c r="C54" s="4" t="s">
        <v>2604</v>
      </c>
      <c r="D54" s="4" t="s">
        <v>2605</v>
      </c>
      <c r="E54" s="4" t="s">
        <v>2606</v>
      </c>
      <c r="G54" s="5" t="str">
        <f>IFERROR(__xludf.DUMMYFUNCTION("GOOGLETRANSLATE(A54, ""en"", ""id"")"),"53")</f>
        <v>53</v>
      </c>
      <c r="H54" s="5" t="str">
        <f>IFERROR(__xludf.DUMMYFUNCTION("GOOGLETRANSLATE(B54, ""en"", ""id"")"),"Seorang petarung diperingatkan karena memegang tali. Mengapa ini dianggap pelanggaran?")</f>
        <v>Seorang petarung diperingatkan karena memegang tali. Mengapa ini dianggap pelanggaran?</v>
      </c>
      <c r="I54" s="5" t="str">
        <f>IFERROR(__xludf.DUMMYFUNCTION("GOOGLETRANSLATE(C54, ""en"", ""id"")"),"A) Dapat merusak tali, B) Merupakan cara untuk beristirahat secara ilegal, C) Dapat digunakan sebagai leverage untuk melakukan serangan atau menghindari takedown, D) Tidak sopan terhadap ring")</f>
        <v>A) Dapat merusak tali, B) Merupakan cara untuk beristirahat secara ilegal, C) Dapat digunakan sebagai leverage untuk melakukan serangan atau menghindari takedown, D) Tidak sopan terhadap ring</v>
      </c>
      <c r="J54" s="5" t="str">
        <f>IFERROR(__xludf.DUMMYFUNCTION("GOOGLETRANSLATE(D54, ""en"", ""id"")"),"C) Dapat digunakan sebagai leverage untuk melakukan serangan atau menghindari takedown")</f>
        <v>C) Dapat digunakan sebagai leverage untuk melakukan serangan atau menghindari takedown</v>
      </c>
      <c r="K54" s="5" t="str">
        <f>IFERROR(__xludf.DUMMYFUNCTION("GOOGLETRANSLATE(E54, ""en"", ""id"")"),"Tali tidak dapat digunakan untuk tujuan apa pun selain menentukan batas area pertempuran.")</f>
        <v>Tali tidak dapat digunakan untuk tujuan apa pun selain menentukan batas area pertempuran.</v>
      </c>
    </row>
    <row r="55">
      <c r="A55" s="3">
        <v>54.0</v>
      </c>
      <c r="B55" s="4" t="s">
        <v>2607</v>
      </c>
      <c r="C55" s="4" t="s">
        <v>2608</v>
      </c>
      <c r="D55" s="4" t="s">
        <v>2609</v>
      </c>
      <c r="E55" s="4" t="s">
        <v>2610</v>
      </c>
      <c r="G55" s="5" t="str">
        <f>IFERROR(__xludf.DUMMYFUNCTION("GOOGLETRANSLATE(A55, ""en"", ""id"")"),"54")</f>
        <v>54</v>
      </c>
      <c r="H55" s="5" t="str">
        <f>IFERROR(__xludf.DUMMYFUNCTION("GOOGLETRANSLATE(B55, ""en"", ""id"")"),"Apa tujuan utama 'jab' dalam Tarung Derajat?")</f>
        <v>Apa tujuan utama 'jab' dalam Tarung Derajat?</v>
      </c>
      <c r="I55" s="5" t="str">
        <f>IFERROR(__xludf.DUMMYFUNCTION("GOOGLETRANSLATE(C55, ""en"", ""id"")"),"A) Untuk menjatuhkan lawan, B) Untuk mengukur jarak, mengganggu ritme lawan, dan menyiapkan serangan yang lebih kuat, C) Ini adalah gerakan bertahan, D) Ini tidak menghasilkan poin")</f>
        <v>A) Untuk menjatuhkan lawan, B) Untuk mengukur jarak, mengganggu ritme lawan, dan menyiapkan serangan yang lebih kuat, C) Ini adalah gerakan bertahan, D) Ini tidak menghasilkan poin</v>
      </c>
      <c r="J55" s="5" t="str">
        <f>IFERROR(__xludf.DUMMYFUNCTION("GOOGLETRANSLATE(D55, ""en"", ""id"")"),"B) Untuk mengukur jarak, mengganggu ritme lawan, dan menyiapkan serangan yang lebih kuat")</f>
        <v>B) Untuk mengukur jarak, mengganggu ritme lawan, dan menyiapkan serangan yang lebih kuat</v>
      </c>
      <c r="K55" s="5" t="str">
        <f>IFERROR(__xludf.DUMMYFUNCTION("GOOGLETRANSLATE(E55, ""en"", ""id"")"),"Jab adalah pukulan cepat dan efisien yang digunakan untuk mengendalikan pertarungan, bukan untuk kekuatan.")</f>
        <v>Jab adalah pukulan cepat dan efisien yang digunakan untuk mengendalikan pertarungan, bukan untuk kekuatan.</v>
      </c>
    </row>
    <row r="56">
      <c r="A56" s="3">
        <v>55.0</v>
      </c>
      <c r="B56" s="4" t="s">
        <v>2611</v>
      </c>
      <c r="C56" s="4" t="s">
        <v>2612</v>
      </c>
      <c r="D56" s="4" t="s">
        <v>2613</v>
      </c>
      <c r="E56" s="4" t="s">
        <v>2614</v>
      </c>
      <c r="G56" s="5" t="str">
        <f>IFERROR(__xludf.DUMMYFUNCTION("GOOGLETRANSLATE(A56, ""en"", ""id"")"),"55")</f>
        <v>55</v>
      </c>
      <c r="H56" s="5" t="str">
        <f>IFERROR(__xludf.DUMMYFUNCTION("GOOGLETRANSLATE(B56, ""en"", ""id"")"),"Seorang petarung mendaratkan pukulan bersih tepat pada saat bel akhir ronde berbunyi. Apakah pukulan tersebut dinilai?")</f>
        <v>Seorang petarung mendaratkan pukulan bersih tepat pada saat bel akhir ronde berbunyi. Apakah pukulan tersebut dinilai?</v>
      </c>
      <c r="I56" s="5" t="str">
        <f>IFERROR(__xludf.DUMMYFUNCTION("GOOGLETRANSLATE(C56, ""en"", ""id"")"),"A) Tidak, itu setelah bel, B) Ya, itu dianggap bagian dari aksi ronde, C) Poin diputar ulang, D) Para juri memutuskan apakah itu awal atau akhir")</f>
        <v>A) Tidak, itu setelah bel, B) Ya, itu dianggap bagian dari aksi ronde, C) Poin diputar ulang, D) Para juri memutuskan apakah itu awal atau akhir</v>
      </c>
      <c r="J56" s="5" t="str">
        <f>IFERROR(__xludf.DUMMYFUNCTION("GOOGLETRANSLATE(D56, ""en"", ""id"")"),"B) Ya, itu dianggap sebagai bagian dari tindakan putaran tersebut")</f>
        <v>B) Ya, itu dianggap sebagai bagian dari tindakan putaran tersebut</v>
      </c>
      <c r="K56" s="5" t="str">
        <f>IFERROR(__xludf.DUMMYFUNCTION("GOOGLETRANSLATE(E56, ""en"", ""id"")"),"Pukulan yang dilontarkan pada saat yang sama dengan bunyi bel dianggap sah, meskipun pukulan itu mendarat sepersekian detik setelahnya.")</f>
        <v>Pukulan yang dilontarkan pada saat yang sama dengan bunyi bel dianggap sah, meskipun pukulan itu mendarat sepersekian detik setelahnya.</v>
      </c>
    </row>
    <row r="57">
      <c r="A57" s="3">
        <v>56.0</v>
      </c>
      <c r="B57" s="4" t="s">
        <v>2615</v>
      </c>
      <c r="C57" s="4" t="s">
        <v>2616</v>
      </c>
      <c r="D57" s="4" t="s">
        <v>2617</v>
      </c>
      <c r="E57" s="4" t="s">
        <v>2618</v>
      </c>
      <c r="G57" s="5" t="str">
        <f>IFERROR(__xludf.DUMMYFUNCTION("GOOGLETRANSLATE(A57, ""en"", ""id"")"),"56")</f>
        <v>56</v>
      </c>
      <c r="H57" s="5" t="str">
        <f>IFERROR(__xludf.DUMMYFUNCTION("GOOGLETRANSLATE(B57, ""en"", ""id"")"),"Seorang petarung dijatuhkan dengan keras. Mereka berdiri pada hitungan ke-8. Sebelum melanjutkan pertarungan, apa yang kemungkinan akan dilakukan wasit?")</f>
        <v>Seorang petarung dijatuhkan dengan keras. Mereka berdiri pada hitungan ke-8. Sebelum melanjutkan pertarungan, apa yang kemungkinan akan dilakukan wasit?</v>
      </c>
      <c r="I57" s="5" t="str">
        <f>IFERROR(__xludf.DUMMYFUNCTION("GOOGLETRANSLATE(C57, ""en"", ""id"")"),"A) Meminta bantuan lawan, B) Melihat petarung dengan seksama, mengajukan pertanyaan, dan memeriksa matanya, C) Segera membiarkan pertarungan berlanjut, D) Mengakhiri pertarungan")</f>
        <v>A) Meminta bantuan lawan, B) Melihat petarung dengan seksama, mengajukan pertanyaan, dan memeriksa matanya, C) Segera membiarkan pertarungan berlanjut, D) Mengakhiri pertarungan</v>
      </c>
      <c r="J57" s="5" t="str">
        <f>IFERROR(__xludf.DUMMYFUNCTION("GOOGLETRANSLATE(D57, ""en"", ""id"")"),"B) Perhatikan petarung dengan seksama, ajukan pertanyaan, dan periksa matanya")</f>
        <v>B) Perhatikan petarung dengan seksama, ajukan pertanyaan, dan periksa matanya</v>
      </c>
      <c r="K57" s="5" t="str">
        <f>IFERROR(__xludf.DUMMYFUNCTION("GOOGLETRANSLATE(E57, ""en"", ""id"")"),"Wasit harus menilai apakah petarung koheren dan mampu membela diri dengan cerdas sebelum mengizinkan aksi dilanjutkan.")</f>
        <v>Wasit harus menilai apakah petarung koheren dan mampu membela diri dengan cerdas sebelum mengizinkan aksi dilanjutkan.</v>
      </c>
    </row>
    <row r="58">
      <c r="A58" s="3">
        <v>57.0</v>
      </c>
      <c r="B58" s="4" t="s">
        <v>2619</v>
      </c>
      <c r="C58" s="4" t="s">
        <v>2620</v>
      </c>
      <c r="D58" s="4" t="s">
        <v>2621</v>
      </c>
      <c r="E58" s="4" t="s">
        <v>2622</v>
      </c>
      <c r="G58" s="5" t="str">
        <f>IFERROR(__xludf.DUMMYFUNCTION("GOOGLETRANSLATE(A58, ""en"", ""id"")"),"57")</f>
        <v>57</v>
      </c>
      <c r="H58" s="5" t="str">
        <f>IFERROR(__xludf.DUMMYFUNCTION("GOOGLETRANSLATE(B58, ""en"", ""id"")"),"Seorang petarung dihukum karena mendorong lawan dengan tangannya. Apakah ini keputusan yang benar?")</f>
        <v>Seorang petarung dihukum karena mendorong lawan dengan tangannya. Apakah ini keputusan yang benar?</v>
      </c>
      <c r="I58" s="5" t="str">
        <f>IFERROR(__xludf.DUMMYFUNCTION("GOOGLETRANSLATE(C58, ""en"", ""id"")"),"A) Tidak, mendorong diperbolehkan, B) Ya, mendorong dengan lengan lurus adalah pelanggaran, C) Hanya jika ke arah wajah, D) Hanya jika lawan jatuh")</f>
        <v>A) Tidak, mendorong diperbolehkan, B) Ya, mendorong dengan lengan lurus adalah pelanggaran, C) Hanya jika ke arah wajah, D) Hanya jika lawan jatuh</v>
      </c>
      <c r="J58" s="5" t="str">
        <f>IFERROR(__xludf.DUMMYFUNCTION("GOOGLETRANSLATE(D58, ""en"", ""id"")"),"B) Ya, dorongan lengan lurus adalah pelanggaran")</f>
        <v>B) Ya, dorongan lengan lurus adalah pelanggaran</v>
      </c>
      <c r="K58" s="5" t="str">
        <f>IFERROR(__xludf.DUMMYFUNCTION("GOOGLETRANSLATE(E58, ""en"", ""id"")"),"Mendorong bukanlah serangan yang sah dan dihukum untuk mempertahankan fokus pada teknik serangan yang terampil.")</f>
        <v>Mendorong bukanlah serangan yang sah dan dihukum untuk mempertahankan fokus pada teknik serangan yang terampil.</v>
      </c>
    </row>
    <row r="59">
      <c r="A59" s="3">
        <v>58.0</v>
      </c>
      <c r="B59" s="4" t="s">
        <v>2623</v>
      </c>
      <c r="C59" s="4" t="s">
        <v>2624</v>
      </c>
      <c r="D59" s="4" t="s">
        <v>2625</v>
      </c>
      <c r="E59" s="4" t="s">
        <v>2626</v>
      </c>
      <c r="G59" s="5" t="str">
        <f>IFERROR(__xludf.DUMMYFUNCTION("GOOGLETRANSLATE(A59, ""en"", ""id"")"),"58")</f>
        <v>58</v>
      </c>
      <c r="H59" s="5" t="str">
        <f>IFERROR(__xludf.DUMMYFUNCTION("GOOGLETRANSLATE(B59, ""en"", ""id"")"),"Seorang petarung dari Bandung akan menghadapi petarung dari Jakarta. Apa yang bisa diharapkan dari gaya bertarung mereka?")</f>
        <v>Seorang petarung dari Bandung akan menghadapi petarung dari Jakarta. Apa yang bisa diharapkan dari gaya bertarung mereka?</v>
      </c>
      <c r="I59" s="5" t="str">
        <f>IFERROR(__xludf.DUMMYFUNCTION("GOOGLETRANSLATE(C59, ""en"", ""id"")"),"A) Mereka akan memiliki gaya yang sama, B) Gaya mereka mungkin memiliki sedikit variasi regional tetapi akan mematuhi kurikulum inti Tarung Derajat, C) Petarung Jakarta akan menggunakan lebih banyak grappling, D) Petarung Bandung akan lebih agresif")</f>
        <v>A) Mereka akan memiliki gaya yang sama, B) Gaya mereka mungkin memiliki sedikit variasi regional tetapi akan mematuhi kurikulum inti Tarung Derajat, C) Petarung Jakarta akan menggunakan lebih banyak grappling, D) Petarung Bandung akan lebih agresif</v>
      </c>
      <c r="J59" s="5" t="str">
        <f>IFERROR(__xludf.DUMMYFUNCTION("GOOGLETRANSLATE(D59, ""en"", ""id"")"),"B) Gaya mereka mungkin memiliki sedikit variasi regional tetapi akan mematuhi kurikulum inti Tarung Derajat")</f>
        <v>B) Gaya mereka mungkin memiliki sedikit variasi regional tetapi akan mematuhi kurikulum inti Tarung Derajat</v>
      </c>
      <c r="K59" s="5" t="str">
        <f>IFERROR(__xludf.DUMMYFUNCTION("GOOGLETRANSLATE(E59, ""en"", ""id"")"),"Meskipun seni inti distandarisasi, berbagai pusat pelatihan (padepokan) mungkin menekankan aspek seni yang berbeda.")</f>
        <v>Meskipun seni inti distandarisasi, berbagai pusat pelatihan (padepokan) mungkin menekankan aspek seni yang berbeda.</v>
      </c>
    </row>
    <row r="60">
      <c r="A60" s="3">
        <v>59.0</v>
      </c>
      <c r="B60" s="4" t="s">
        <v>2627</v>
      </c>
      <c r="C60" s="4" t="s">
        <v>2628</v>
      </c>
      <c r="D60" s="4" t="s">
        <v>2629</v>
      </c>
      <c r="E60" s="4" t="s">
        <v>2630</v>
      </c>
      <c r="G60" s="5" t="str">
        <f>IFERROR(__xludf.DUMMYFUNCTION("GOOGLETRANSLATE(A60, ""en"", ""id"")"),"59")</f>
        <v>59</v>
      </c>
      <c r="H60" s="5" t="str">
        <f>IFERROR(__xludf.DUMMYFUNCTION("GOOGLETRANSLATE(B60, ""en"", ""id"")"),"Seorang petarung menang dengan ""undian mayoritas"". Apa artinya ini?")</f>
        <v>Seorang petarung menang dengan "undian mayoritas". Apa artinya ini?</v>
      </c>
      <c r="I60" s="5" t="str">
        <f>IFERROR(__xludf.DUMMYFUNCTION("GOOGLETRANSLATE(C60, ""en"", ""id"")"),"A) Semua juri memberi nilai seri, B) Dua juri memberi nilai seri, sementara satu juri memilih pemenang, C) Satu juri memberi nilai seri, dan dua juri lainnya membagi hasil, D) Wasit menyatakan seri")</f>
        <v>A) Semua juri memberi nilai seri, B) Dua juri memberi nilai seri, sementara satu juri memilih pemenang, C) Satu juri memberi nilai seri, dan dua juri lainnya membagi hasil, D) Wasit menyatakan seri</v>
      </c>
      <c r="J60" s="5" t="str">
        <f>IFERROR(__xludf.DUMMYFUNCTION("GOOGLETRANSLATE(D60, ""en"", ""id"")"),"B) Dua juri menilai pertarungan sebagai seri, sementara satu juri memilih pemenang")</f>
        <v>B) Dua juri menilai pertarungan sebagai seri, sementara satu juri memilih pemenang</v>
      </c>
      <c r="K60" s="5" t="str">
        <f>IFERROR(__xludf.DUMMYFUNCTION("GOOGLETRANSLATE(E60, ""en"", ""id"")"),"Hasil seri mayoritas adalah hasil di mana satu petarung menang pada satu kartu skor, tetapi dua juri lainnya memutuskan seri, sehingga hasilnya seri secara keseluruhan.")</f>
        <v>Hasil seri mayoritas adalah hasil di mana satu petarung menang pada satu kartu skor, tetapi dua juri lainnya memutuskan seri, sehingga hasilnya seri secara keseluruhan.</v>
      </c>
    </row>
    <row r="61">
      <c r="A61" s="3">
        <v>60.0</v>
      </c>
      <c r="B61" s="4" t="s">
        <v>2631</v>
      </c>
      <c r="C61" s="4" t="s">
        <v>2632</v>
      </c>
      <c r="D61" s="4" t="s">
        <v>2633</v>
      </c>
      <c r="E61" s="4" t="s">
        <v>2634</v>
      </c>
      <c r="G61" s="5" t="str">
        <f>IFERROR(__xludf.DUMMYFUNCTION("GOOGLETRANSLATE(A61, ""en"", ""id"")"),"60")</f>
        <v>60</v>
      </c>
      <c r="H61" s="5" t="str">
        <f>IFERROR(__xludf.DUMMYFUNCTION("GOOGLETRANSLATE(B61, ""en"", ""id"")"),"Apa arti penting seragam hitam yang dikenakan oleh praktisi?")</f>
        <v>Apa arti penting seragam hitam yang dikenakan oleh praktisi?</v>
      </c>
      <c r="I61" s="5" t="str">
        <f>IFERROR(__xludf.DUMMYFUNCTION("GOOGLETRANSLATE(C61, ""en"", ""id"")"),"A) Ini melangsingkan, B) Ini adalah warna tradisional prajurit dan melambangkan kedalaman seni, C) Ini adalah warna pewarna termurah, D) Ini adalah pilihan merek modern")</f>
        <v>A) Ini melangsingkan, B) Ini adalah warna tradisional prajurit dan melambangkan kedalaman seni, C) Ini adalah warna pewarna termurah, D) Ini adalah pilihan merek modern</v>
      </c>
      <c r="J61" s="5" t="str">
        <f>IFERROR(__xludf.DUMMYFUNCTION("GOOGLETRANSLATE(D61, ""en"", ""id"")"),"B) Ini adalah warna tradisional prajurit dan melambangkan kedalaman seni")</f>
        <v>B) Ini adalah warna tradisional prajurit dan melambangkan kedalaman seni</v>
      </c>
      <c r="K61" s="5" t="str">
        <f>IFERROR(__xludf.DUMMYFUNCTION("GOOGLETRANSLATE(E61, ""en"", ""id"")"),"Seragam hitam merupakan penghormatan kepada pakaian prajurit tradisional dan memiliki bobot filosofis dalam seni.")</f>
        <v>Seragam hitam merupakan penghormatan kepada pakaian prajurit tradisional dan memiliki bobot filosofis dalam seni.</v>
      </c>
    </row>
    <row r="62">
      <c r="A62" s="3">
        <v>61.0</v>
      </c>
      <c r="B62" s="4" t="s">
        <v>2635</v>
      </c>
      <c r="C62" s="6" t="s">
        <v>2636</v>
      </c>
      <c r="D62" s="4" t="s">
        <v>2637</v>
      </c>
      <c r="E62" s="4" t="s">
        <v>2638</v>
      </c>
      <c r="G62" s="5" t="str">
        <f>IFERROR(__xludf.DUMMYFUNCTION("GOOGLETRANSLATE(A62, ""en"", ""id"")"),"61")</f>
        <v>61</v>
      </c>
      <c r="H62" s="5" t="str">
        <f>IFERROR(__xludf.DUMMYFUNCTION("GOOGLETRANSLATE(B62, ""en"", ""id"")"),"Seorang petarung kedapatan mengenakan selotip di sarung tangannya. Apa putusannya?")</f>
        <v>Seorang petarung kedapatan mengenakan selotip di sarung tangannya. Apa putusannya?</v>
      </c>
      <c r="I62" s="5" t="str">
        <f>IFERROR(__xludf.DUMMYFUNCTION("GOOGLETRANSLATE(C62, ""en"", ""id"")"),"A) Ini legal untuk dukungan ekstra, B) Ini ilegal kecuali disetujui oleh komisi untuk alasan tertentu, C) Ini hanya diperbolehkan pada ibu jari, D) Ini hanya diperbolehkan dalam pelatihan")</f>
        <v>A) Ini legal untuk dukungan ekstra, B) Ini ilegal kecuali disetujui oleh komisi untuk alasan tertentu, C) Ini hanya diperbolehkan pada ibu jari, D) Ini hanya diperbolehkan dalam pelatihan</v>
      </c>
      <c r="J62" s="5" t="str">
        <f>IFERROR(__xludf.DUMMYFUNCTION("GOOGLETRANSLATE(D62, ""en"", ""id"")"),"B) Ini adalah tindakan ilegal kecuali disetujui oleh komisi karena alasan tertentu")</f>
        <v>B) Ini adalah tindakan ilegal kecuali disetujui oleh komisi karena alasan tertentu</v>
      </c>
      <c r="K62" s="5" t="str">
        <f>IFERROR(__xludf.DUMMYFUNCTION("GOOGLETRANSLATE(E62, ""en"", ""id"")"),"Memodifikasi bagian luar sarung tangan dilarang karena dapat mengubah permukaan benturan.")</f>
        <v>Memodifikasi bagian luar sarung tangan dilarang karena dapat mengubah permukaan benturan.</v>
      </c>
    </row>
    <row r="63">
      <c r="A63" s="3">
        <v>62.0</v>
      </c>
      <c r="B63" s="4" t="s">
        <v>2639</v>
      </c>
      <c r="C63" s="6" t="s">
        <v>2640</v>
      </c>
      <c r="D63" s="4" t="s">
        <v>2641</v>
      </c>
      <c r="E63" s="4" t="s">
        <v>2642</v>
      </c>
      <c r="G63" s="5" t="str">
        <f>IFERROR(__xludf.DUMMYFUNCTION("GOOGLETRANSLATE(A63, ""en"", ""id"")"),"62")</f>
        <v>62</v>
      </c>
      <c r="H63" s="5" t="str">
        <f>IFERROR(__xludf.DUMMYFUNCTION("GOOGLETRANSLATE(B63, ""en"", ""id"")"),"Seorang petarung terkena tendangan berputar dan jatuh. Mereka langsung bangkit. Berapa skor untuk tendangan tersebut?")</f>
        <v>Seorang petarung terkena tendangan berputar dan jatuh. Mereka langsung bangkit. Berapa skor untuk tendangan tersebut?</v>
      </c>
      <c r="I63" s="5" t="str">
        <f>IFERROR(__xludf.DUMMYFUNCTION("GOOGLETRANSLATE(C63, ""en"", ""id"")"),"A) 2 poin untuk tendangan, B) 3 poin untuk tendangan, C) 2 poin untuk tendangan + 1 poin untuk knockdown, D) 3 poin untuk tendangan + 1 poin untuk knockdown")</f>
        <v>A) 2 poin untuk tendangan, B) 3 poin untuk tendangan, C) 2 poin untuk tendangan + 1 poin untuk knockdown, D) 3 poin untuk tendangan + 1 poin untuk knockdown</v>
      </c>
      <c r="J63" s="5" t="str">
        <f>IFERROR(__xludf.DUMMYFUNCTION("GOOGLETRANSLATE(D63, ""en"", ""id"")"),"D) 3 poin untuk tendangan + 1 poin untuk knockdown")</f>
        <v>D) 3 poin untuk tendangan + 1 poin untuk knockdown</v>
      </c>
      <c r="K63" s="5" t="str">
        <f>IFERROR(__xludf.DUMMYFUNCTION("GOOGLETRANSLATE(E63, ""en"", ""id"")"),"Tendangan sah ke kepala memberi skor 3 poin, dan knockdown menambahkan poin tambahan, sehingga total poin untuk rangkaian tersebut adalah 4 poin.")</f>
        <v>Tendangan sah ke kepala memberi skor 3 poin, dan knockdown menambahkan poin tambahan, sehingga total poin untuk rangkaian tersebut adalah 4 poin.</v>
      </c>
    </row>
    <row r="64">
      <c r="A64" s="3">
        <v>63.0</v>
      </c>
      <c r="B64" s="4" t="s">
        <v>2643</v>
      </c>
      <c r="C64" s="6" t="s">
        <v>2644</v>
      </c>
      <c r="D64" s="4" t="s">
        <v>2645</v>
      </c>
      <c r="E64" s="4" t="s">
        <v>2646</v>
      </c>
      <c r="G64" s="5" t="str">
        <f>IFERROR(__xludf.DUMMYFUNCTION("GOOGLETRANSLATE(A64, ""en"", ""id"")"),"63")</f>
        <v>63</v>
      </c>
      <c r="H64" s="5" t="str">
        <f>IFERROR(__xludf.DUMMYFUNCTION("GOOGLETRANSLATE(B64, ""en"", ""id"")"),"Seorang petarung diperingatkan karena ""memukul bagian belakang kepala"". Bagian kepala mana yang ilegal untuk dipukul?")</f>
        <v>Seorang petarung diperingatkan karena "memukul bagian belakang kepala". Bagian kepala mana yang ilegal untuk dipukul?</v>
      </c>
      <c r="I64" s="5" t="str">
        <f>IFERROR(__xludf.DUMMYFUNCTION("GOOGLETRANSLATE(C64, ""en"", ""id"")"),"A) Dahi, B) Rahang, C) Bagian belakang kepala dan leher, D) Pelipis")</f>
        <v>A) Dahi, B) Rahang, C) Bagian belakang kepala dan leher, D) Pelipis</v>
      </c>
      <c r="J64" s="5" t="str">
        <f>IFERROR(__xludf.DUMMYFUNCTION("GOOGLETRANSLATE(D64, ""en"", ""id"")"),"C) Bagian belakang kepala dan leher")</f>
        <v>C) Bagian belakang kepala dan leher</v>
      </c>
      <c r="K64" s="5" t="str">
        <f>IFERROR(__xludf.DUMMYFUNCTION("GOOGLETRANSLATE(E64, ""en"", ""id"")"),"Memukul bagian belakang kepala (""daerah oksipital"") merupakan pelanggaran serius karena berisiko menimbulkan cedera parah.")</f>
        <v>Memukul bagian belakang kepala ("daerah oksipital") merupakan pelanggaran serius karena berisiko menimbulkan cedera parah.</v>
      </c>
    </row>
    <row r="65">
      <c r="A65" s="3">
        <v>64.0</v>
      </c>
      <c r="B65" s="4" t="s">
        <v>2647</v>
      </c>
      <c r="C65" s="6" t="s">
        <v>2648</v>
      </c>
      <c r="D65" s="4" t="s">
        <v>2649</v>
      </c>
      <c r="E65" s="4" t="s">
        <v>2650</v>
      </c>
      <c r="G65" s="5" t="str">
        <f>IFERROR(__xludf.DUMMYFUNCTION("GOOGLETRANSLATE(A65, ""en"", ""id"")"),"64")</f>
        <v>64</v>
      </c>
      <c r="H65" s="5" t="str">
        <f>IFERROR(__xludf.DUMMYFUNCTION("GOOGLETRANSLATE(B65, ""en"", ""id"")"),"Seorang petarung yang didominasi secara verbal akan mengundurkan diri dari pertarungan di antara ronde. Apa hasil resminya?")</f>
        <v>Seorang petarung yang didominasi secara verbal akan mengundurkan diri dari pertarungan di antara ronde. Apa hasil resminya?</v>
      </c>
      <c r="I65" s="5" t="str">
        <f>IFERROR(__xludf.DUMMYFUNCTION("GOOGLETRANSLATE(C65, ""en"", ""id"")"),"A) Petarung kalah dengan TKO (penghentian di sudut), B) Pertarungan adalah No Contest, C) Petarung kalah karena diskualifikasi, D) Pertarungan dinilai hingga titik tersebut")</f>
        <v>A) Petarung kalah dengan TKO (penghentian di sudut), B) Pertarungan adalah No Contest, C) Petarung kalah karena diskualifikasi, D) Pertarungan dinilai hingga titik tersebut</v>
      </c>
      <c r="J65" s="5" t="str">
        <f>IFERROR(__xludf.DUMMYFUNCTION("GOOGLETRANSLATE(D65, ""en"", ""id"")"),"A) Petarung kalah dengan TKO (penghentian di sudut)")</f>
        <v>A) Petarung kalah dengan TKO (penghentian di sudut)</v>
      </c>
      <c r="K65" s="5" t="str">
        <f>IFERROR(__xludf.DUMMYFUNCTION("GOOGLETRANSLATE(E65, ""en"", ""id"")"),"Jika seorang petarung menolak untuk melanjutkan, maka hal itu dianggap sebagai penghentian sudut dan ditetapkan sebagai kemenangan TKO untuk lawan.")</f>
        <v>Jika seorang petarung menolak untuk melanjutkan, maka hal itu dianggap sebagai penghentian sudut dan ditetapkan sebagai kemenangan TKO untuk lawan.</v>
      </c>
    </row>
    <row r="66">
      <c r="A66" s="3">
        <v>65.0</v>
      </c>
      <c r="B66" s="4" t="s">
        <v>2651</v>
      </c>
      <c r="C66" s="6" t="s">
        <v>2652</v>
      </c>
      <c r="D66" s="4" t="s">
        <v>2653</v>
      </c>
      <c r="E66" s="4" t="s">
        <v>2654</v>
      </c>
      <c r="G66" s="5" t="str">
        <f>IFERROR(__xludf.DUMMYFUNCTION("GOOGLETRANSLATE(A66, ""en"", ""id"")"),"65")</f>
        <v>65</v>
      </c>
      <c r="H66" s="5" t="str">
        <f>IFERROR(__xludf.DUMMYFUNCTION("GOOGLETRANSLATE(B66, ""en"", ""id"")"),"Apa prinsip utama ""serangan jarak pendek"" dalam Tarung Derajat?")</f>
        <v>Apa prinsip utama "serangan jarak pendek" dalam Tarung Derajat?</v>
      </c>
      <c r="I66" s="5" t="str">
        <f>IFERROR(__xludf.DUMMYFUNCTION("GOOGLETRANSLATE(C66, ""en"", ""id"")"),"A) Digunakan untuk menjaga jarak dengan lawan, B) Fokus pada serangan yang kuat dan melingkar, C) Serangan cepat dan efisien seperti siku dan uppercut yang dirancang untuk pertarungan jarak dekat, D) Tujuan utamanya adalah untuk bertahan.")</f>
        <v>A) Digunakan untuk menjaga jarak dengan lawan, B) Fokus pada serangan yang kuat dan melingkar, C) Serangan cepat dan efisien seperti siku dan uppercut yang dirancang untuk pertarungan jarak dekat, D) Tujuan utamanya adalah untuk bertahan.</v>
      </c>
      <c r="J66" s="5" t="str">
        <f>IFERROR(__xludf.DUMMYFUNCTION("GOOGLETRANSLATE(D66, ""en"", ""id"")"),"C) Serangan cepat dan efisien seperti siku dan pukulan atas yang dirancang untuk pertarungan jarak dekat")</f>
        <v>C) Serangan cepat dan efisien seperti siku dan pukulan atas yang dirancang untuk pertarungan jarak dekat</v>
      </c>
      <c r="K66" s="5" t="str">
        <f>IFERROR(__xludf.DUMMYFUNCTION("GOOGLETRANSLATE(E66, ""en"", ""id"")"),"Seni ini dikenal karena efektivitasnya dalam jarak dekat, menggunakan serangan yang tidak memerlukan banyak ruang untuk menghasilkan kekuatan.")</f>
        <v>Seni ini dikenal karena efektivitasnya dalam jarak dekat, menggunakan serangan yang tidak memerlukan banyak ruang untuk menghasilkan kekuatan.</v>
      </c>
    </row>
    <row r="67">
      <c r="A67" s="3">
        <v>66.0</v>
      </c>
      <c r="B67" s="4" t="s">
        <v>2655</v>
      </c>
      <c r="C67" s="6" t="s">
        <v>2656</v>
      </c>
      <c r="D67" s="4" t="s">
        <v>2657</v>
      </c>
      <c r="E67" s="4" t="s">
        <v>2658</v>
      </c>
      <c r="G67" s="5" t="str">
        <f>IFERROR(__xludf.DUMMYFUNCTION("GOOGLETRANSLATE(A67, ""en"", ""id"")"),"66")</f>
        <v>66</v>
      </c>
      <c r="H67" s="5" t="str">
        <f>IFERROR(__xludf.DUMMYFUNCTION("GOOGLETRANSLATE(B67, ""en"", ""id"")"),"Seorang petarung diperingatkan karena memegang tali agar tidak dijatuhkan. Apakah ini keputusan yang tepat?")</f>
        <v>Seorang petarung diperingatkan karena memegang tali agar tidak dijatuhkan. Apakah ini keputusan yang tepat?</v>
      </c>
      <c r="I67" s="5" t="str">
        <f>IFERROR(__xludf.DUMMYFUNCTION("GOOGLETRANSLATE(C67, ""en"", ""id"")"),"A) Tidak, itu adalah langkah defensif yang cerdas, B) Ya, menggunakan tali untuk keuntungan apa pun adalah pelanggaran, C) Hanya jika mereka bertahan lebih dari 5 detik, D) Poin harus dikurangi, bukan peringatan")</f>
        <v>A) Tidak, itu adalah langkah defensif yang cerdas, B) Ya, menggunakan tali untuk keuntungan apa pun adalah pelanggaran, C) Hanya jika mereka bertahan lebih dari 5 detik, D) Poin harus dikurangi, bukan peringatan</v>
      </c>
      <c r="J67" s="5" t="str">
        <f>IFERROR(__xludf.DUMMYFUNCTION("GOOGLETRANSLATE(D67, ""en"", ""id"")"),"B) Ya, menggunakan tali untuk keuntungan apa pun adalah pelanggaran")</f>
        <v>B) Ya, menggunakan tali untuk keuntungan apa pun adalah pelanggaran</v>
      </c>
      <c r="K67" s="5" t="str">
        <f>IFERROR(__xludf.DUMMYFUNCTION("GOOGLETRANSLATE(E67, ""en"", ""id"")"),"Tali merupakan pembatas, bukan peralatan yang digunakan sebagai daya ungkit atau pertahanan.")</f>
        <v>Tali merupakan pembatas, bukan peralatan yang digunakan sebagai daya ungkit atau pertahanan.</v>
      </c>
    </row>
    <row r="68">
      <c r="A68" s="3">
        <v>67.0</v>
      </c>
      <c r="B68" s="4" t="s">
        <v>2659</v>
      </c>
      <c r="C68" s="6" t="s">
        <v>2660</v>
      </c>
      <c r="D68" s="4" t="s">
        <v>2661</v>
      </c>
      <c r="E68" s="4" t="s">
        <v>2662</v>
      </c>
      <c r="G68" s="5" t="str">
        <f>IFERROR(__xludf.DUMMYFUNCTION("GOOGLETRANSLATE(A68, ""en"", ""id"")"),"67")</f>
        <v>67</v>
      </c>
      <c r="H68" s="5" t="str">
        <f>IFERROR(__xludf.DUMMYFUNCTION("GOOGLETRANSLATE(B68, ""en"", ""id"")"),"Apa penggunaan tendangan depan (Tendangan Lurus) yang paling umum?")</f>
        <v>Apa penggunaan tendangan depan (Tendangan Lurus) yang paling umum?</v>
      </c>
      <c r="I68" s="5" t="str">
        <f>IFERROR(__xludf.DUMMYFUNCTION("GOOGLETRANSLATE(C68, ""en"", ""id"")"),"A) Sebagai pukulan KO ke kepala, B) Sebagai alat bertahan untuk menghentikan laju lawan dan menjaga jarak, C) Untuk menyapu kaki lawan, D) Ini bukan teknik yang umum")</f>
        <v>A) Sebagai pukulan KO ke kepala, B) Sebagai alat bertahan untuk menghentikan laju lawan dan menjaga jarak, C) Untuk menyapu kaki lawan, D) Ini bukan teknik yang umum</v>
      </c>
      <c r="J68" s="5" t="str">
        <f>IFERROR(__xludf.DUMMYFUNCTION("GOOGLETRANSLATE(D68, ""en"", ""id"")"),"B) Sebagai alat pertahanan untuk menghentikan laju lawan dan menjaga jarak")</f>
        <v>B) Sebagai alat pertahanan untuk menghentikan laju lawan dan menjaga jarak</v>
      </c>
      <c r="K68" s="5" t="str">
        <f>IFERROR(__xludf.DUMMYFUNCTION("GOOGLETRANSLATE(E68, ""en"", ""id"")"),"Tendangan depan sering disebut ""teep"" dalam seni bela diri lainnya; berfungsi seperti pukulan jab untuk mengendalikan jarak dan mengganggu ritme lawan.")</f>
        <v>Tendangan depan sering disebut "teep" dalam seni bela diri lainnya; berfungsi seperti pukulan jab untuk mengendalikan jarak dan mengganggu ritme lawan.</v>
      </c>
    </row>
    <row r="69">
      <c r="A69" s="3">
        <v>68.0</v>
      </c>
      <c r="B69" s="4" t="s">
        <v>2663</v>
      </c>
      <c r="C69" s="6" t="s">
        <v>2664</v>
      </c>
      <c r="D69" s="4" t="s">
        <v>2665</v>
      </c>
      <c r="E69" s="4" t="s">
        <v>2666</v>
      </c>
      <c r="G69" s="5" t="str">
        <f>IFERROR(__xludf.DUMMYFUNCTION("GOOGLETRANSLATE(A69, ""en"", ""id"")"),"68")</f>
        <v>68</v>
      </c>
      <c r="H69" s="5" t="str">
        <f>IFERROR(__xludf.DUMMYFUNCTION("GOOGLETRANSLATE(B69, ""en"", ""id"")"),"Wasitnya berasal dari kota yang sama dengan petarung A. Pelatih petarung B protes. Apakah kekhawatiran ini valid?")</f>
        <v>Wasitnya berasal dari kota yang sama dengan petarung A. Pelatih petarung B protes. Apakah kekhawatiran ini valid?</v>
      </c>
      <c r="I69" s="5" t="str">
        <f>IFERROR(__xludf.DUMMYFUNCTION("GOOGLETRANSLATE(C69, ""en"", ""id"")"),"A) Tidak, wasit selalu tidak memihak, B) Ya, untuk memastikan keadilan, wasit idealnya harus netral, C) Pelatih harus dihukum karena mempertanyakan wasit, D) Hanya jika wasit membuat keputusan yang buruk")</f>
        <v>A) Tidak, wasit selalu tidak memihak, B) Ya, untuk memastikan keadilan, wasit idealnya harus netral, C) Pelatih harus dihukum karena mempertanyakan wasit, D) Hanya jika wasit membuat keputusan yang buruk</v>
      </c>
      <c r="J69" s="5" t="str">
        <f>IFERROR(__xludf.DUMMYFUNCTION("GOOGLETRANSLATE(D69, ""en"", ""id"")"),"B) Ya, untuk memastikan keadilan, pejabat idealnya bersikap netral.")</f>
        <v>B) Ya, untuk memastikan keadilan, pejabat idealnya bersikap netral.</v>
      </c>
      <c r="K69" s="5" t="str">
        <f>IFERROR(__xludf.DUMMYFUNCTION("GOOGLETRANSLATE(E69, ""en"", ""id"")"),"Dalam turnamen besar, pejabat dari wilayah netral sering digunakan untuk menghindari kesan bias.")</f>
        <v>Dalam turnamen besar, pejabat dari wilayah netral sering digunakan untuk menghindari kesan bias.</v>
      </c>
    </row>
    <row r="70">
      <c r="A70" s="3">
        <v>69.0</v>
      </c>
      <c r="B70" s="4" t="s">
        <v>2667</v>
      </c>
      <c r="C70" s="6" t="s">
        <v>2668</v>
      </c>
      <c r="D70" s="4" t="s">
        <v>2557</v>
      </c>
      <c r="E70" s="4" t="s">
        <v>2669</v>
      </c>
      <c r="G70" s="5" t="str">
        <f>IFERROR(__xludf.DUMMYFUNCTION("GOOGLETRANSLATE(A70, ""en"", ""id"")"),"69")</f>
        <v>69</v>
      </c>
      <c r="H70" s="5" t="str">
        <f>IFERROR(__xludf.DUMMYFUNCTION("GOOGLETRANSLATE(B70, ""en"", ""id"")"),"Seorang petarung mendaratkan pukulan yang menyebabkan pembengkakan besar di bawah mata lawan. Dokter menghentikan pertarungan. Apa akibatnya?")</f>
        <v>Seorang petarung mendaratkan pukulan yang menyebabkan pembengkakan besar di bawah mata lawan. Dokter menghentikan pertarungan. Apa akibatnya?</v>
      </c>
      <c r="I70" s="5" t="str">
        <f>IFERROR(__xludf.DUMMYFUNCTION("GOOGLETRANSLATE(C70, ""en"", ""id"")"),"A) Seri, B) Petarung yang cedera menang, C) Petarung yang mendaratkan pukulan menang dengan TKO, D) Pertarungan ini tidak ada kontes")</f>
        <v>A) Seri, B) Petarung yang cedera menang, C) Petarung yang mendaratkan pukulan menang dengan TKO, D) Pertarungan ini tidak ada kontes</v>
      </c>
      <c r="J70" s="5" t="str">
        <f>IFERROR(__xludf.DUMMYFUNCTION("GOOGLETRANSLATE(D70, ""en"", ""id"")"),"C) Petarung yang mendaratkan pukulan menang dengan TKO")</f>
        <v>C) Petarung yang mendaratkan pukulan menang dengan TKO</v>
      </c>
      <c r="K70" s="5" t="str">
        <f>IFERROR(__xludf.DUMMYFUNCTION("GOOGLETRANSLATE(E70, ""en"", ""id"")"),"Jika serangan yang sah menyebabkan cedera (seperti pembengkakan parah yang menutup mata) yang membuatnya tidak aman untuk dilanjutkan, perkelahian dihentikan.")</f>
        <v>Jika serangan yang sah menyebabkan cedera (seperti pembengkakan parah yang menutup mata) yang membuatnya tidak aman untuk dilanjutkan, perkelahian dihentikan.</v>
      </c>
    </row>
    <row r="71">
      <c r="A71" s="3">
        <v>70.0</v>
      </c>
      <c r="B71" s="4" t="s">
        <v>2670</v>
      </c>
      <c r="C71" s="6" t="s">
        <v>2671</v>
      </c>
      <c r="D71" s="4" t="s">
        <v>2672</v>
      </c>
      <c r="E71" s="4" t="s">
        <v>2673</v>
      </c>
      <c r="G71" s="5" t="str">
        <f>IFERROR(__xludf.DUMMYFUNCTION("GOOGLETRANSLATE(A71, ""en"", ""id"")"),"70")</f>
        <v>70</v>
      </c>
      <c r="H71" s="5" t="str">
        <f>IFERROR(__xludf.DUMMYFUNCTION("GOOGLETRANSLATE(B71, ""en"", ""id"")"),"Apa tujuan dari lima tingkatan latihan fisik dalam Tarung Derajat?")</f>
        <v>Apa tujuan dari lima tingkatan latihan fisik dalam Tarung Derajat?</v>
      </c>
      <c r="I71" s="5" t="str">
        <f>IFERROR(__xludf.DUMMYFUNCTION("GOOGLETRANSLATE(C71, ""en"", ""id"")"),"A) Untuk mengajarkan lima gaya bertarung yang berbeda, B) Untuk mengembangkan kekuatan, kecepatan, ketepatan, keberanian, dan stamina siswa secara progresif, C) Untuk menyesuaikan dengan lima ronde pertandingan, D) Untuk mengajarkan keterampilan senjata")</f>
        <v>A) Untuk mengajarkan lima gaya bertarung yang berbeda, B) Untuk mengembangkan kekuatan, kecepatan, ketepatan, keberanian, dan stamina siswa secara progresif, C) Untuk menyesuaikan dengan lima ronde pertandingan, D) Untuk mengajarkan keterampilan senjata</v>
      </c>
      <c r="J71" s="5" t="str">
        <f>IFERROR(__xludf.DUMMYFUNCTION("GOOGLETRANSLATE(D71, ""en"", ""id"")"),"B) Untuk mengembangkan kekuatan, kecepatan, ketepatan, keberanian, dan stamina siswa secara progresif")</f>
        <v>B) Untuk mengembangkan kekuatan, kecepatan, ketepatan, keberanian, dan stamina siswa secara progresif</v>
      </c>
      <c r="K71" s="5" t="str">
        <f>IFERROR(__xludf.DUMMYFUNCTION("GOOGLETRANSLATE(E71, ""en"", ""id"")"),"Pelatihan ini disusun untuk membangun ""lima saraf moral"" melalui pengembangan fisik yang sistematis.")</f>
        <v>Pelatihan ini disusun untuk membangun "lima saraf moral" melalui pengembangan fisik yang sistematis.</v>
      </c>
    </row>
    <row r="72">
      <c r="A72" s="3">
        <v>71.0</v>
      </c>
      <c r="B72" s="4" t="s">
        <v>2674</v>
      </c>
      <c r="C72" s="6" t="s">
        <v>2675</v>
      </c>
      <c r="D72" s="4" t="s">
        <v>2676</v>
      </c>
      <c r="E72" s="4" t="s">
        <v>2677</v>
      </c>
      <c r="G72" s="5" t="str">
        <f>IFERROR(__xludf.DUMMYFUNCTION("GOOGLETRANSLATE(A72, ""en"", ""id"")"),"71")</f>
        <v>71</v>
      </c>
      <c r="H72" s="5" t="str">
        <f>IFERROR(__xludf.DUMMYFUNCTION("GOOGLETRANSLATE(B72, ""en"", ""id"")"),"Seorang petarung terjatuh dan kepalanya membentur kanvas dengan keras. Mereka segera bangkit. Apa yang harus dilakukan wasit?")</f>
        <v>Seorang petarung terjatuh dan kepalanya membentur kanvas dengan keras. Mereka segera bangkit. Apa yang harus dilakukan wasit?</v>
      </c>
      <c r="I72" s="5" t="str">
        <f>IFERROR(__xludf.DUMMYFUNCTION("GOOGLETRANSLATE(C72, ""en"", ""id"")"),"A) Biarkan pertarungan berlanjut segera, B) Berikan petarung delapan hitungan wajib dan nilai kondisinya dengan hati-hati, C) Hentikan pertarungan segera, D) Tanyakan kepada pelatih apakah petarung mereka baik-baik saja")</f>
        <v>A) Biarkan pertarungan berlanjut segera, B) Berikan petarung delapan hitungan wajib dan nilai kondisinya dengan hati-hati, C) Hentikan pertarungan segera, D) Tanyakan kepada pelatih apakah petarung mereka baik-baik saja</v>
      </c>
      <c r="J72" s="5" t="str">
        <f>IFERROR(__xludf.DUMMYFUNCTION("GOOGLETRANSLATE(D72, ""en"", ""id"")"),"B) Berikan petarung delapan hitungan wajib dan nilai kondisinya dengan hati-hati")</f>
        <v>B) Berikan petarung delapan hitungan wajib dan nilai kondisinya dengan hati-hati</v>
      </c>
      <c r="K72" s="5" t="str">
        <f>IFERROR(__xludf.DUMMYFUNCTION("GOOGLETRANSLATE(E72, ""en"", ""id"")"),"Sekalipun seorang petarung bangkit dengan cepat, knockdown, terutama yang melibatkan trauma kepala, memerlukan hitungan wajib untuk menilai kebugarannya untuk melanjutkan.")</f>
        <v>Sekalipun seorang petarung bangkit dengan cepat, knockdown, terutama yang melibatkan trauma kepala, memerlukan hitungan wajib untuk menilai kebugarannya untuk melanjutkan.</v>
      </c>
    </row>
    <row r="73">
      <c r="A73" s="3">
        <v>72.0</v>
      </c>
      <c r="B73" s="4" t="s">
        <v>2678</v>
      </c>
      <c r="C73" s="6" t="s">
        <v>2679</v>
      </c>
      <c r="D73" s="4" t="s">
        <v>2680</v>
      </c>
      <c r="E73" s="4" t="s">
        <v>2681</v>
      </c>
      <c r="G73" s="5" t="str">
        <f>IFERROR(__xludf.DUMMYFUNCTION("GOOGLETRANSLATE(A73, ""en"", ""id"")"),"72")</f>
        <v>72</v>
      </c>
      <c r="H73" s="5" t="str">
        <f>IFERROR(__xludf.DUMMYFUNCTION("GOOGLETRANSLATE(B73, ""en"", ""id"")"),"Mengapa secara strategis tidak bijaksana bagi seorang petarung untuk mengejar lawan di sekitar ring?")</f>
        <v>Mengapa secara strategis tidak bijaksana bagi seorang petarung untuk mengejar lawan di sekitar ring?</v>
      </c>
      <c r="I73" s="5" t="str">
        <f>IFERROR(__xludf.DUMMYFUNCTION("GOOGLETRANSLATE(C73, ""en"", ""id"")"),"A) Merupakan tanda kelemahan, B) Menggunakan banyak energi dan dapat menyebabkan pengejar melakukan serangan balik, C) Merupakan pelanggaran karena terlalu agresif, D) Tidak menghasilkan poin")</f>
        <v>A) Merupakan tanda kelemahan, B) Menggunakan banyak energi dan dapat menyebabkan pengejar melakukan serangan balik, C) Merupakan pelanggaran karena terlalu agresif, D) Tidak menghasilkan poin</v>
      </c>
      <c r="J73" s="5" t="str">
        <f>IFERROR(__xludf.DUMMYFUNCTION("GOOGLETRANSLATE(D73, ""en"", ""id"")"),"B) Menggunakan banyak energi dan dapat menyebabkan pengejar melakukan serangan balik")</f>
        <v>B) Menggunakan banyak energi dan dapat menyebabkan pengejar melakukan serangan balik</v>
      </c>
      <c r="K73" s="5" t="str">
        <f>IFERROR(__xludf.DUMMYFUNCTION("GOOGLETRANSLATE(E73, ""en"", ""id"")"),"Seorang petarung yang cerdas memotong ring dengan sudut daripada mengikuti lawannya, yang tidak efisien dan berbahaya.")</f>
        <v>Seorang petarung yang cerdas memotong ring dengan sudut daripada mengikuti lawannya, yang tidak efisien dan berbahaya.</v>
      </c>
    </row>
    <row r="74">
      <c r="A74" s="3">
        <v>73.0</v>
      </c>
      <c r="B74" s="4" t="s">
        <v>2682</v>
      </c>
      <c r="C74" s="6" t="s">
        <v>2683</v>
      </c>
      <c r="D74" s="4" t="s">
        <v>2684</v>
      </c>
      <c r="E74" s="4" t="s">
        <v>2685</v>
      </c>
      <c r="G74" s="5" t="str">
        <f>IFERROR(__xludf.DUMMYFUNCTION("GOOGLETRANSLATE(A74, ""en"", ""id"")"),"73")</f>
        <v>73</v>
      </c>
      <c r="H74" s="5" t="str">
        <f>IFERROR(__xludf.DUMMYFUNCTION("GOOGLETRANSLATE(B74, ""en"", ""id"")"),"Seorang petarung diperingatkan karena menempelkan ibu jarinya di mata lawan saat clinch. Mengapa ini pelanggaran serius?")</f>
        <v>Seorang petarung diperingatkan karena menempelkan ibu jarinya di mata lawan saat clinch. Mengapa ini pelanggaran serius?</v>
      </c>
      <c r="I74" s="5" t="str">
        <f>IFERROR(__xludf.DUMMYFUNCTION("GOOGLETRANSLATE(C74, ""en"", ""id"")"),"A) Tidak sopan, B) Dapat menyebabkan kerusakan mata permanen, C) Ini bukan teknik bertarung yang sebenarnya, D) Mengganggu")</f>
        <v>A) Tidak sopan, B) Dapat menyebabkan kerusakan mata permanen, C) Ini bukan teknik bertarung yang sebenarnya, D) Mengganggu</v>
      </c>
      <c r="J74" s="5" t="str">
        <f>IFERROR(__xludf.DUMMYFUNCTION("GOOGLETRANSLATE(D74, ""en"", ""id"")"),"B) Dapat menyebabkan kerusakan mata permanen")</f>
        <v>B) Dapat menyebabkan kerusakan mata permanen</v>
      </c>
      <c r="K74" s="5" t="str">
        <f>IFERROR(__xludf.DUMMYFUNCTION("GOOGLETRANSLATE(E74, ""en"", ""id"")"),"""Penusukan mata,"" disengaja atau tidak, adalah salah satu pelanggaran paling berbahaya dalam olahraga beladiri.")</f>
        <v>"Penusukan mata," disengaja atau tidak, adalah salah satu pelanggaran paling berbahaya dalam olahraga beladiri.</v>
      </c>
    </row>
    <row r="75">
      <c r="A75" s="3">
        <v>74.0</v>
      </c>
      <c r="B75" s="4" t="s">
        <v>2686</v>
      </c>
      <c r="C75" s="6" t="s">
        <v>2687</v>
      </c>
      <c r="D75" s="4" t="s">
        <v>2688</v>
      </c>
      <c r="E75" s="4" t="s">
        <v>2689</v>
      </c>
      <c r="G75" s="5" t="str">
        <f>IFERROR(__xludf.DUMMYFUNCTION("GOOGLETRANSLATE(A75, ""en"", ""id"")"),"74")</f>
        <v>74</v>
      </c>
      <c r="H75" s="5" t="str">
        <f>IFERROR(__xludf.DUMMYFUNCTION("GOOGLETRANSLATE(B75, ""en"", ""id"")"),"Seorang petarung dikenal karena gaya ""in-fighting""-nya. Apa artinya ini?")</f>
        <v>Seorang petarung dikenal karena gaya "in-fighting"-nya. Apa artinya ini?</v>
      </c>
      <c r="I75" s="5" t="str">
        <f>IFERROR(__xludf.DUMMYFUNCTION("GOOGLETRANSLATE(C75, ""en"", ""id"")"),"A) Mereka lebih suka bertarung jarak jauh, B) Mereka unggul dalam pertarungan jarak dekat, menggunakan pukulan pendek, siku, dan clinching, C) Mereka berdebat dengan lawan mereka, D) Mereka adalah petarung yang defensif")</f>
        <v>A) Mereka lebih suka bertarung jarak jauh, B) Mereka unggul dalam pertarungan jarak dekat, menggunakan pukulan pendek, siku, dan clinching, C) Mereka berdebat dengan lawan mereka, D) Mereka adalah petarung yang defensif</v>
      </c>
      <c r="J75" s="5" t="str">
        <f>IFERROR(__xludf.DUMMYFUNCTION("GOOGLETRANSLATE(D75, ""en"", ""id"")"),"B) Mereka unggul dalam pertarungan jarak dekat, menggunakan pukulan pendek, siku, dan clching")</f>
        <v>B) Mereka unggul dalam pertarungan jarak dekat, menggunakan pukulan pendek, siku, dan clching</v>
      </c>
      <c r="K75" s="5" t="str">
        <f>IFERROR(__xludf.DUMMYFUNCTION("GOOGLETRANSLATE(E75, ""en"", ""id"")"),"Strategi petarung internal adalah mendekati lawan, menetralkan serangan jarak jauh, dan bekerja dari dalam.")</f>
        <v>Strategi petarung internal adalah mendekati lawan, menetralkan serangan jarak jauh, dan bekerja dari dalam.</v>
      </c>
    </row>
    <row r="76">
      <c r="A76" s="3">
        <v>75.0</v>
      </c>
      <c r="B76" s="4" t="s">
        <v>2690</v>
      </c>
      <c r="C76" s="6" t="s">
        <v>2691</v>
      </c>
      <c r="D76" s="4" t="s">
        <v>2692</v>
      </c>
      <c r="E76" s="4" t="s">
        <v>2693</v>
      </c>
      <c r="G76" s="5" t="str">
        <f>IFERROR(__xludf.DUMMYFUNCTION("GOOGLETRANSLATE(A76, ""en"", ""id"")"),"75")</f>
        <v>75</v>
      </c>
      <c r="H76" s="5" t="str">
        <f>IFERROR(__xludf.DUMMYFUNCTION("GOOGLETRANSLATE(B76, ""en"", ""id"")"),"Seorang petarung memenangkan pertandingan. Tes narkoba pascapertandingan menunjukkan hasil positif zat terlarang. Apa yang terjadi?")</f>
        <v>Seorang petarung memenangkan pertandingan. Tes narkoba pascapertandingan menunjukkan hasil positif zat terlarang. Apa yang terjadi?</v>
      </c>
      <c r="I76" s="5" t="str">
        <f>IFERROR(__xludf.DUMMYFUNCTION("GOOGLETRANSLATE(C76, ""en"", ""id"")"),"A) Kemenangan dibatalkan dan menjadi ""No Contest"", B) Kemenangan tetap berlaku, tetapi petarung didenda, C) Lawan dinyatakan sebagai pemenang, D) Petarung diberi peringatan")</f>
        <v>A) Kemenangan dibatalkan dan menjadi "No Contest", B) Kemenangan tetap berlaku, tetapi petarung didenda, C) Lawan dinyatakan sebagai pemenang, D) Petarung diberi peringatan</v>
      </c>
      <c r="J76" s="5" t="str">
        <f>IFERROR(__xludf.DUMMYFUNCTION("GOOGLETRANSLATE(D76, ""en"", ""id"")"),"A) Kemenangan dibatalkan dan menjadi ""Tidak Ada Kontes""")</f>
        <v>A) Kemenangan dibatalkan dan menjadi "Tidak Ada Kontes"</v>
      </c>
      <c r="K76" s="5" t="str">
        <f>IFERROR(__xludf.DUMMYFUNCTION("GOOGLETRANSLATE(E76, ""en"", ""id"")"),"Hasil tes narkoba yang positif mengakibatkan diskualifikasi atlet yang melanggar, dan hasil pertarungan biasanya diubah menjadi Tidak Ada Kontes.")</f>
        <v>Hasil tes narkoba yang positif mengakibatkan diskualifikasi atlet yang melanggar, dan hasil pertarungan biasanya diubah menjadi Tidak Ada Kontes.</v>
      </c>
    </row>
    <row r="77">
      <c r="A77" s="3">
        <v>76.0</v>
      </c>
      <c r="B77" s="4" t="s">
        <v>2694</v>
      </c>
      <c r="C77" s="6" t="s">
        <v>2695</v>
      </c>
      <c r="D77" s="4" t="s">
        <v>2696</v>
      </c>
      <c r="E77" s="4" t="s">
        <v>2697</v>
      </c>
      <c r="G77" s="5" t="str">
        <f>IFERROR(__xludf.DUMMYFUNCTION("GOOGLETRANSLATE(A77, ""en"", ""id"")"),"76")</f>
        <v>76</v>
      </c>
      <c r="H77" s="5" t="str">
        <f>IFERROR(__xludf.DUMMYFUNCTION("GOOGLETRANSLATE(B77, ""en"", ""id"")"),"Seorang petarung mengenakan sarung tangan yang tampak tua dan usang, dengan bantalan yang tertekan. Apa yang harus dilakukan inspektur pra-pertandingan?")</f>
        <v>Seorang petarung mengenakan sarung tangan yang tampak tua dan usang, dengan bantalan yang tertekan. Apa yang harus dilakukan inspektur pra-pertandingan?</v>
      </c>
      <c r="I77" s="5" t="str">
        <f>IFERROR(__xludf.DUMMYFUNCTION("GOOGLETRANSLATE(C77, ""en"", ""id"")"),"A) Izinkan mereka, karena sudah rusak, B) Tolak sarung tangan karena tidak aman dan tidak lagi memberikan perlindungan yang memadai, C) Tanyakan lawan apakah mereka baik-baik saja dengan itu, D) Biarkan wasit yang memutuskan")</f>
        <v>A) Izinkan mereka, karena sudah rusak, B) Tolak sarung tangan karena tidak aman dan tidak lagi memberikan perlindungan yang memadai, C) Tanyakan lawan apakah mereka baik-baik saja dengan itu, D) Biarkan wasit yang memutuskan</v>
      </c>
      <c r="J77" s="5" t="str">
        <f>IFERROR(__xludf.DUMMYFUNCTION("GOOGLETRANSLATE(D77, ""en"", ""id"")"),"B) Tolak sarung tangan karena tidak aman dan tidak lagi memberikan perlindungan yang memadai")</f>
        <v>B) Tolak sarung tangan karena tidak aman dan tidak lagi memberikan perlindungan yang memadai</v>
      </c>
      <c r="K77" s="5" t="str">
        <f>IFERROR(__xludf.DUMMYFUNCTION("GOOGLETRANSLATE(E77, ""en"", ""id"")"),"Sarung tangan harus memenuhi standar bantalan dan kondisi tertentu agar disetujui untuk kompetisi.")</f>
        <v>Sarung tangan harus memenuhi standar bantalan dan kondisi tertentu agar disetujui untuk kompetisi.</v>
      </c>
    </row>
    <row r="78">
      <c r="A78" s="3">
        <v>77.0</v>
      </c>
      <c r="B78" s="4" t="s">
        <v>2698</v>
      </c>
      <c r="C78" s="6" t="s">
        <v>2699</v>
      </c>
      <c r="D78" s="4" t="s">
        <v>2700</v>
      </c>
      <c r="E78" s="4" t="s">
        <v>2701</v>
      </c>
      <c r="G78" s="5" t="str">
        <f>IFERROR(__xludf.DUMMYFUNCTION("GOOGLETRANSLATE(A78, ""en"", ""id"")"),"77")</f>
        <v>77</v>
      </c>
      <c r="H78" s="5" t="str">
        <f>IFERROR(__xludf.DUMMYFUNCTION("GOOGLETRANSLATE(B78, ""en"", ""id"")"),"Seorang petarung terjatuh di akhir ronde. Ia bangkit pada hitungan ke-5, tetapi bel berbunyi. Apa yang terjadi di awal ronde berikutnya?")</f>
        <v>Seorang petarung terjatuh di akhir ronde. Ia bangkit pada hitungan ke-5, tetapi bel berbunyi. Apa yang terjadi di awal ronde berikutnya?</v>
      </c>
      <c r="I78" s="5" t="str">
        <f>IFERROR(__xludf.DUMMYFUNCTION("GOOGLETRANSLATE(C78, ""en"", ""id"")"),"A) Pertarungan kembali seperti biasa, B) Petarung yang terjatuh kehilangan satu poin, C) Wasit memberikan hitungan 10 lagi, D) Pertarungan dihentikan")</f>
        <v>A) Pertarungan kembali seperti biasa, B) Petarung yang terjatuh kehilangan satu poin, C) Wasit memberikan hitungan 10 lagi, D) Pertarungan dihentikan</v>
      </c>
      <c r="J78" s="5" t="str">
        <f>IFERROR(__xludf.DUMMYFUNCTION("GOOGLETRANSLATE(D78, ""en"", ""id"")"),"A) Pertarungan dilanjutkan seperti biasa")</f>
        <v>A) Pertarungan dilanjutkan seperti biasa</v>
      </c>
      <c r="K78" s="5" t="str">
        <f>IFERROR(__xludf.DUMMYFUNCTION("GOOGLETRANSLATE(E78, ""en"", ""id"")"),"Petarung tersebut menang, dan ronde berakhir. Pertarungan berlanjut di ronde berikutnya, tetapi knockdown akan dimenangkan olehnya dengan skor 10-8 untuk ronde tersebut.")</f>
        <v>Petarung tersebut menang, dan ronde berakhir. Pertarungan berlanjut di ronde berikutnya, tetapi knockdown akan dimenangkan olehnya dengan skor 10-8 untuk ronde tersebut.</v>
      </c>
    </row>
    <row r="79">
      <c r="A79" s="3">
        <v>78.0</v>
      </c>
      <c r="B79" s="4" t="s">
        <v>2702</v>
      </c>
      <c r="C79" s="6" t="s">
        <v>2703</v>
      </c>
      <c r="D79" s="4" t="s">
        <v>2704</v>
      </c>
      <c r="E79" s="4" t="s">
        <v>2705</v>
      </c>
      <c r="G79" s="5" t="str">
        <f>IFERROR(__xludf.DUMMYFUNCTION("GOOGLETRANSLATE(A79, ""en"", ""id"")"),"78")</f>
        <v>78</v>
      </c>
      <c r="H79" s="5" t="str">
        <f>IFERROR(__xludf.DUMMYFUNCTION("GOOGLETRANSLATE(B79, ""en"", ""id"")"),"Apa tujuan utama dari ""body shot""?")</f>
        <v>Apa tujuan utama dari "body shot"?</v>
      </c>
      <c r="I79" s="5" t="str">
        <f>IFERROR(__xludf.DUMMYFUNCTION("GOOGLETRANSLATE(C79, ""en"", ""id"")"),"A) Untuk mencetak KO, B) Untuk menguras stamina lawan dan memperlambatnya, C) Lebih mudah mendarat daripada head shot, D) Terlihat mengesankan")</f>
        <v>A) Untuk mencetak KO, B) Untuk menguras stamina lawan dan memperlambatnya, C) Lebih mudah mendarat daripada head shot, D) Terlihat mengesankan</v>
      </c>
      <c r="J79" s="5" t="str">
        <f>IFERROR(__xludf.DUMMYFUNCTION("GOOGLETRANSLATE(D79, ""en"", ""id"")"),"B) Untuk menguras stamina lawan dan memperlambatnya")</f>
        <v>B) Untuk menguras stamina lawan dan memperlambatnya</v>
      </c>
      <c r="K79" s="5" t="str">
        <f>IFERROR(__xludf.DUMMYFUNCTION("GOOGLETRANSLATE(E79, ""en"", ""id"")"),"Serangan terus-menerus terhadap tubuh merupakan strategi utama untuk melemahkan daya tahan lawan selama pertarungan.")</f>
        <v>Serangan terus-menerus terhadap tubuh merupakan strategi utama untuk melemahkan daya tahan lawan selama pertarungan.</v>
      </c>
    </row>
    <row r="80">
      <c r="A80" s="3">
        <v>79.0</v>
      </c>
      <c r="B80" s="4" t="s">
        <v>2706</v>
      </c>
      <c r="C80" s="6" t="s">
        <v>2707</v>
      </c>
      <c r="D80" s="4" t="s">
        <v>2708</v>
      </c>
      <c r="E80" s="4" t="s">
        <v>2709</v>
      </c>
      <c r="G80" s="5" t="str">
        <f>IFERROR(__xludf.DUMMYFUNCTION("GOOGLETRANSLATE(A80, ""en"", ""id"")"),"79")</f>
        <v>79</v>
      </c>
      <c r="H80" s="5" t="str">
        <f>IFERROR(__xludf.DUMMYFUNCTION("GOOGLETRANSLATE(B80, ""en"", ""id"")"),"Seorang petarung diperingatkan karena ""memukul dan menahan"". Apa artinya ini?")</f>
        <v>Seorang petarung diperingatkan karena "memukul dan menahan". Apa artinya ini?</v>
      </c>
      <c r="I80" s="5" t="str">
        <f>IFERROR(__xludf.DUMMYFUNCTION("GOOGLETRANSLATE(C80, ""en"", ""id"")"),"A) Mereka memegang lawan dengan satu tangan sambil memukul dengan tangan lainnya, B) Mereka memukul lawan dan kemudian melakukan clinch terlalu lama, C) Mereka memegang tali sambil memukul, D) Mereka memukul lawan setelah bel berbunyi")</f>
        <v>A) Mereka memegang lawan dengan satu tangan sambil memukul dengan tangan lainnya, B) Mereka memukul lawan dan kemudian melakukan clinch terlalu lama, C) Mereka memegang tali sambil memukul, D) Mereka memukul lawan setelah bel berbunyi</v>
      </c>
      <c r="J80" s="5" t="str">
        <f>IFERROR(__xludf.DUMMYFUNCTION("GOOGLETRANSLATE(D80, ""en"", ""id"")"),"A) Mereka memegang lawan dengan satu tangan sambil memukul dengan tangan lainnya")</f>
        <v>A) Mereka memegang lawan dengan satu tangan sambil memukul dengan tangan lainnya</v>
      </c>
      <c r="K80" s="5" t="str">
        <f>IFERROR(__xludf.DUMMYFUNCTION("GOOGLETRANSLATE(E80, ""en"", ""id"")"),"Ini merupakan pelanggaran karena menghalangi lawan untuk mampu mempertahankan diri dengan baik.")</f>
        <v>Ini merupakan pelanggaran karena menghalangi lawan untuk mampu mempertahankan diri dengan baik.</v>
      </c>
    </row>
    <row r="81">
      <c r="A81" s="3">
        <v>80.0</v>
      </c>
      <c r="B81" s="4" t="s">
        <v>2710</v>
      </c>
      <c r="C81" s="6" t="s">
        <v>2711</v>
      </c>
      <c r="D81" s="4" t="s">
        <v>2712</v>
      </c>
      <c r="E81" s="4" t="s">
        <v>2713</v>
      </c>
      <c r="G81" s="5" t="str">
        <f>IFERROR(__xludf.DUMMYFUNCTION("GOOGLETRANSLATE(A81, ""en"", ""id"")"),"80")</f>
        <v>80</v>
      </c>
      <c r="H81" s="5" t="str">
        <f>IFERROR(__xludf.DUMMYFUNCTION("GOOGLETRANSLATE(B81, ""en"", ""id"")"),"Sang pendiri, Achmad Drajat, berhasil selamat dari perkelahian jalanan yang brutal dan menginspirasinya. Apa hasilnya?")</f>
        <v>Sang pendiri, Achmad Drajat, berhasil selamat dari perkelahian jalanan yang brutal dan menginspirasinya. Apa hasilnya?</v>
      </c>
      <c r="I81" s="5" t="str">
        <f>IFERROR(__xludf.DUMMYFUNCTION("GOOGLETRANSLATE(C81, ""en"", ""id"")"),"A) Dia kalah dalam pertarungan, B) Dia mengalahkan banyak penyerang, C) Pertarungan itu seri, D) Dia melarikan diri")</f>
        <v>A) Dia kalah dalam pertarungan, B) Dia mengalahkan banyak penyerang, C) Pertarungan itu seri, D) Dia melarikan diri</v>
      </c>
      <c r="J81" s="5" t="str">
        <f>IFERROR(__xludf.DUMMYFUNCTION("GOOGLETRANSLATE(D81, ""en"", ""id"")"),"B) Dia mengalahkan banyak penyerang")</f>
        <v>B) Dia mengalahkan banyak penyerang</v>
      </c>
      <c r="K81" s="5" t="str">
        <f>IFERROR(__xludf.DUMMYFUNCTION("GOOGLETRANSLATE(E81, ""en"", ""id"")"),"Menurut sejarah seni tersebut, kemenangannya melawan banyak penyerang membuatnya mengkodifikasikan teknik-teknik praktisnya ke dalam sistem Tarung Derajat.")</f>
        <v>Menurut sejarah seni tersebut, kemenangannya melawan banyak penyerang membuatnya mengkodifikasikan teknik-teknik praktisnya ke dalam sistem Tarung Derajat.</v>
      </c>
    </row>
    <row r="82">
      <c r="A82" s="3">
        <v>81.0</v>
      </c>
      <c r="B82" s="4" t="s">
        <v>2714</v>
      </c>
      <c r="C82" s="6" t="s">
        <v>2545</v>
      </c>
      <c r="D82" s="4" t="s">
        <v>2715</v>
      </c>
      <c r="E82" s="4" t="s">
        <v>2716</v>
      </c>
      <c r="G82" s="5" t="str">
        <f>IFERROR(__xludf.DUMMYFUNCTION("GOOGLETRANSLATE(A82, ""en"", ""id"")"),"81")</f>
        <v>81</v>
      </c>
      <c r="H82" s="5" t="str">
        <f>IFERROR(__xludf.DUMMYFUNCTION("GOOGLETRANSLATE(B82, ""en"", ""id"")"),"Seorang petarung berhasil menangkap tendangan dan menjatuhkan lawan ke tanah. Berapa poin yang didapat dari rangkaian serangan ini?")</f>
        <v>Seorang petarung berhasil menangkap tendangan dan menjatuhkan lawan ke tanah. Berapa poin yang didapat dari rangkaian serangan ini?</v>
      </c>
      <c r="I82" s="5" t="str">
        <f>IFERROR(__xludf.DUMMYFUNCTION("GOOGLETRANSLATE(C82, ""en"", ""id"")"),"A) 2 poin, B) 3 poin, C) 4 poin, D) 5 poin")</f>
        <v>A) 2 poin, B) 3 poin, C) 4 poin, D) 5 poin</v>
      </c>
      <c r="J82" s="5" t="str">
        <f>IFERROR(__xludf.DUMMYFUNCTION("GOOGLETRANSLATE(D82, ""en"", ""id"")"),"C) 4 poin")</f>
        <v>C) 4 poin</v>
      </c>
      <c r="K82" s="5" t="str">
        <f>IFERROR(__xludf.DUMMYFUNCTION("GOOGLETRANSLATE(E82, ""en"", ""id"")"),"Tangkapan yang berhasil bernilai 1 poin, dan penangkapan berikutnya (trip) bernilai 3 poin, totalnya 4.")</f>
        <v>Tangkapan yang berhasil bernilai 1 poin, dan penangkapan berikutnya (trip) bernilai 3 poin, totalnya 4.</v>
      </c>
    </row>
    <row r="83">
      <c r="A83" s="3">
        <v>82.0</v>
      </c>
      <c r="B83" s="4" t="s">
        <v>2717</v>
      </c>
      <c r="C83" s="6" t="s">
        <v>2718</v>
      </c>
      <c r="D83" s="4" t="s">
        <v>2719</v>
      </c>
      <c r="E83" s="4" t="s">
        <v>2720</v>
      </c>
      <c r="G83" s="5" t="str">
        <f>IFERROR(__xludf.DUMMYFUNCTION("GOOGLETRANSLATE(A83, ""en"", ""id"")"),"82")</f>
        <v>82</v>
      </c>
      <c r="H83" s="5" t="str">
        <f>IFERROR(__xludf.DUMMYFUNCTION("GOOGLETRANSLATE(B83, ""en"", ""id"")"),"Seorang petarung diperingatkan karena mendorong wajah lawannya dengan sarung tinju terbuka. Mengapa ini dianggap pelanggaran?")</f>
        <v>Seorang petarung diperingatkan karena mendorong wajah lawannya dengan sarung tinju terbuka. Mengapa ini dianggap pelanggaran?</v>
      </c>
      <c r="I83" s="5" t="str">
        <f>IFERROR(__xludf.DUMMYFUNCTION("GOOGLETRANSLATE(C83, ""en"", ""id"")"),"A) Itu bukan pelanggaran, B) Itu bisa digunakan untuk menghalangi penglihatan atau menyebabkan cedera mata dengan ibu jari, C) Itu tidak sopan, D) Itu bukan pukulan sungguhan")</f>
        <v>A) Itu bukan pelanggaran, B) Itu bisa digunakan untuk menghalangi penglihatan atau menyebabkan cedera mata dengan ibu jari, C) Itu tidak sopan, D) Itu bukan pukulan sungguhan</v>
      </c>
      <c r="J83" s="5" t="str">
        <f>IFERROR(__xludf.DUMMYFUNCTION("GOOGLETRANSLATE(D83, ""en"", ""id"")"),"B) Dapat digunakan untuk menghalangi penglihatan atau menyebabkan cedera mata dengan ibu jari")</f>
        <v>B) Dapat digunakan untuk menghalangi penglihatan atau menyebabkan cedera mata dengan ibu jari</v>
      </c>
      <c r="K83" s="5" t="str">
        <f>IFERROR(__xludf.DUMMYFUNCTION("GOOGLETRANSLATE(E83, ""en"", ""id"")"),"Mendorong wajah atau kepala dengan tangan terbuka merupakan tindakan yang melanggar hukum karena berisiko tinggi menusuk mata.")</f>
        <v>Mendorong wajah atau kepala dengan tangan terbuka merupakan tindakan yang melanggar hukum karena berisiko tinggi menusuk mata.</v>
      </c>
    </row>
    <row r="84">
      <c r="A84" s="3">
        <v>83.0</v>
      </c>
      <c r="B84" s="4" t="s">
        <v>2721</v>
      </c>
      <c r="C84" s="6" t="s">
        <v>2722</v>
      </c>
      <c r="D84" s="4" t="s">
        <v>2723</v>
      </c>
      <c r="E84" s="4" t="s">
        <v>2724</v>
      </c>
      <c r="G84" s="5" t="str">
        <f>IFERROR(__xludf.DUMMYFUNCTION("GOOGLETRANSLATE(A84, ""en"", ""id"")"),"83")</f>
        <v>83</v>
      </c>
      <c r="H84" s="5" t="str">
        <f>IFERROR(__xludf.DUMMYFUNCTION("GOOGLETRANSLATE(B84, ""en"", ""id"")"),"Apa perbedaan utama antara TKO (Technical Knockout) dan KO (Knockout)?")</f>
        <v>Apa perbedaan utama antara TKO (Technical Knockout) dan KO (Knockout)?</v>
      </c>
      <c r="I84" s="5" t="str">
        <f>IFERROR(__xludf.DUMMYFUNCTION("GOOGLETRANSLATE(C84, ""en"", ""id"")"),"A) Tidak ada perbedaan, B) KO adalah ketika seorang petarung tidak dapat bertanding lagi; TKO adalah ketika wasit menghentikan pertarungan karena alasan lain, C) TKO lebih menentukan, D) KO adalah ketika pelatih menghentikan pertarungan")</f>
        <v>A) Tidak ada perbedaan, B) KO adalah ketika seorang petarung tidak dapat bertanding lagi; TKO adalah ketika wasit menghentikan pertarungan karena alasan lain, C) TKO lebih menentukan, D) KO adalah ketika pelatih menghentikan pertarungan</v>
      </c>
      <c r="J84" s="5" t="str">
        <f>IFERROR(__xludf.DUMMYFUNCTION("GOOGLETRANSLATE(D84, ""en"", ""id"")"),"B) KO adalah ketika seorang petarung tidak dapat melanjutkan pertarungan; TKO adalah ketika wasit menghentikan pertarungan karena alasan lain")</f>
        <v>B) KO adalah ketika seorang petarung tidak dapat melanjutkan pertarungan; TKO adalah ketika wasit menghentikan pertarungan karena alasan lain</v>
      </c>
      <c r="K84" s="5" t="str">
        <f>IFERROR(__xludf.DUMMYFUNCTION("GOOGLETRANSLATE(E84, ""en"", ""id"")"),"TKO terjadi karena penghentian wasit, dokter, atau sudut, atau jika seorang petarung tidak dapat melanjutkan pertarungan setelah knockdown. KO khususnya terjadi ketika seorang petarung tidak mengalahkan hitungan ke-10.")</f>
        <v>TKO terjadi karena penghentian wasit, dokter, atau sudut, atau jika seorang petarung tidak dapat melanjutkan pertarungan setelah knockdown. KO khususnya terjadi ketika seorang petarung tidak mengalahkan hitungan ke-10.</v>
      </c>
    </row>
    <row r="85">
      <c r="A85" s="3">
        <v>84.0</v>
      </c>
      <c r="B85" s="4" t="s">
        <v>2725</v>
      </c>
      <c r="C85" s="6" t="s">
        <v>2726</v>
      </c>
      <c r="D85" s="4" t="s">
        <v>2727</v>
      </c>
      <c r="E85" s="4" t="s">
        <v>2728</v>
      </c>
      <c r="G85" s="5" t="str">
        <f>IFERROR(__xludf.DUMMYFUNCTION("GOOGLETRANSLATE(A85, ""en"", ""id"")"),"84")</f>
        <v>84</v>
      </c>
      <c r="H85" s="5" t="str">
        <f>IFERROR(__xludf.DUMMYFUNCTION("GOOGLETRANSLATE(B85, ""en"", ""id"")"),"Seorang petarung dikenal memiliki ""gerakan kepala"" yang sangat baik. Apa saja yang termasuk dalam keterampilan ini?")</f>
        <v>Seorang petarung dikenal memiliki "gerakan kepala" yang sangat baik. Apa saja yang termasuk dalam keterampilan ini?</v>
      </c>
      <c r="I85" s="5" t="str">
        <f>IFERROR(__xludf.DUMMYFUNCTION("GOOGLETRANSLATE(C85, ""en"", ""id"")"),"A) Kemampuan untuk menerima pukulan di kepala, B) Menggunakan anggukan dan gerakan, C) Kemampuan untuk menggerakkan kepala secara defensif untuk menjadikannya target yang sulit, D) Memiliki leher yang kuat")</f>
        <v>A) Kemampuan untuk menerima pukulan di kepala, B) Menggunakan anggukan dan gerakan, C) Kemampuan untuk menggerakkan kepala secara defensif untuk menjadikannya target yang sulit, D) Memiliki leher yang kuat</v>
      </c>
      <c r="J85" s="5" t="str">
        <f>IFERROR(__xludf.DUMMYFUNCTION("GOOGLETRANSLATE(D85, ""en"", ""id"")"),"C) Kemampuan menggerakkan kepala secara defensif sehingga menjadi target yang sulit")</f>
        <v>C) Kemampuan menggerakkan kepala secara defensif sehingga menjadi target yang sulit</v>
      </c>
      <c r="K85" s="5" t="str">
        <f>IFERROR(__xludf.DUMMYFUNCTION("GOOGLETRANSLATE(E85, ""en"", ""id"")"),"Pergerakan kepala yang baik (tergelincir, berguling, mengangguk-angguk) merupakan keterampilan bertahan yang penting untuk menghindari pukulan.")</f>
        <v>Pergerakan kepala yang baik (tergelincir, berguling, mengangguk-angguk) merupakan keterampilan bertahan yang penting untuk menghindari pukulan.</v>
      </c>
    </row>
    <row r="86">
      <c r="A86" s="3">
        <v>85.0</v>
      </c>
      <c r="B86" s="4" t="s">
        <v>2729</v>
      </c>
      <c r="C86" s="6" t="s">
        <v>2730</v>
      </c>
      <c r="D86" s="4" t="s">
        <v>2731</v>
      </c>
      <c r="E86" s="4" t="s">
        <v>2732</v>
      </c>
      <c r="G86" s="5" t="str">
        <f>IFERROR(__xludf.DUMMYFUNCTION("GOOGLETRANSLATE(A86, ""en"", ""id"")"),"85")</f>
        <v>85</v>
      </c>
      <c r="H86" s="5" t="str">
        <f>IFERROR(__xludf.DUMMYFUNCTION("GOOGLETRANSLATE(B86, ""en"", ""id"")"),"Seorang petarung memenangkan ronde dengan skor 10-7 berdasarkan kartu skor juri. Bagaimana skor ini bisa terjadi?")</f>
        <v>Seorang petarung memenangkan ronde dengan skor 10-7 berdasarkan kartu skor juri. Bagaimana skor ini bisa terjadi?</v>
      </c>
      <c r="I86" s="5" t="str">
        <f>IFERROR(__xludf.DUMMYFUNCTION("GOOGLETRANSLATE(C86, ""en"", ""id"")"),"A) Tidak mungkin, B) Petarung yang menang mencetak dua knockdown di ronde tersebut, C) Petarung yang menang mencetak satu knockdown, dan lawannya mendapat penalti satu poin, D) B dan C keduanya mungkin")</f>
        <v>A) Tidak mungkin, B) Petarung yang menang mencetak dua knockdown di ronde tersebut, C) Petarung yang menang mencetak satu knockdown, dan lawannya mendapat penalti satu poin, D) B dan C keduanya mungkin</v>
      </c>
      <c r="J86" s="5" t="str">
        <f>IFERROR(__xludf.DUMMYFUNCTION("GOOGLETRANSLATE(D86, ""en"", ""id"")"),"D) B dan C keduanya mungkin")</f>
        <v>D) B dan C keduanya mungkin</v>
      </c>
      <c r="K86" s="5" t="str">
        <f>IFERROR(__xludf.DUMMYFUNCTION("GOOGLETRANSLATE(E86, ""en"", ""id"")"),"Satu ronde dimulai dengan skor 10-9. Knockdown membuat skor menjadi 10-8. Knockdown kedua atau pengurangan poin akan membuat skor menjadi 10-7.")</f>
        <v>Satu ronde dimulai dengan skor 10-9. Knockdown membuat skor menjadi 10-8. Knockdown kedua atau pengurangan poin akan membuat skor menjadi 10-7.</v>
      </c>
    </row>
    <row r="87">
      <c r="A87" s="3">
        <v>86.0</v>
      </c>
      <c r="B87" s="4" t="s">
        <v>2733</v>
      </c>
      <c r="C87" s="6" t="s">
        <v>2734</v>
      </c>
      <c r="D87" s="4" t="s">
        <v>2735</v>
      </c>
      <c r="E87" s="4" t="s">
        <v>2736</v>
      </c>
      <c r="G87" s="5" t="str">
        <f>IFERROR(__xludf.DUMMYFUNCTION("GOOGLETRANSLATE(A87, ""en"", ""id"")"),"86")</f>
        <v>86</v>
      </c>
      <c r="H87" s="5" t="str">
        <f>IFERROR(__xludf.DUMMYFUNCTION("GOOGLETRANSLATE(B87, ""en"", ""id"")"),"Seorang petarung diperingatkan karena tidak memakai mouthpiece. Ia memasangnya, tetapi mouthpiece-nya terlepas lagi. Apa yang terjadi selanjutnya?")</f>
        <v>Seorang petarung diperingatkan karena tidak memakai mouthpiece. Ia memasangnya, tetapi mouthpiece-nya terlepas lagi. Apa yang terjadi selanjutnya?</v>
      </c>
      <c r="I87" s="5" t="str">
        <f>IFERROR(__xludf.DUMMYFUNCTION("GOOGLETRANSLATE(C87, ""en"", ""id"")"),"A) Pertarungan tetap berlanjut tanpanya, B) Wasit dapat mengurangi satu poin karena menunda permainan, C) Petarung didiskualifikasi, D) Lawan mendapat satu poin")</f>
        <v>A) Pertarungan tetap berlanjut tanpanya, B) Wasit dapat mengurangi satu poin karena menunda permainan, C) Petarung didiskualifikasi, D) Lawan mendapat satu poin</v>
      </c>
      <c r="J87" s="5" t="str">
        <f>IFERROR(__xludf.DUMMYFUNCTION("GOOGLETRANSLATE(D87, ""en"", ""id"")"),"B) Wasit dapat mengurangi satu poin karena penundaan pertandingan")</f>
        <v>B) Wasit dapat mengurangi satu poin karena penundaan pertandingan</v>
      </c>
      <c r="K87" s="5" t="str">
        <f>IFERROR(__xludf.DUMMYFUNCTION("GOOGLETRANSLATE(E87, ""en"", ""id"")"),"Seorang petarung bertanggung jawab atas perlengkapannya. Jika corongnya berulang kali jatuh, hal itu dapat dianggap sebagai taktik penundaan atau kegagalan perlengkapan, dan poinnya dapat dikurangi.")</f>
        <v>Seorang petarung bertanggung jawab atas perlengkapannya. Jika corongnya berulang kali jatuh, hal itu dapat dianggap sebagai taktik penundaan atau kegagalan perlengkapan, dan poinnya dapat dikurangi.</v>
      </c>
    </row>
    <row r="88">
      <c r="A88" s="3">
        <v>87.0</v>
      </c>
      <c r="B88" s="4" t="s">
        <v>2737</v>
      </c>
      <c r="C88" s="6" t="s">
        <v>2738</v>
      </c>
      <c r="D88" s="4" t="s">
        <v>2739</v>
      </c>
      <c r="E88" s="4" t="s">
        <v>2740</v>
      </c>
      <c r="G88" s="5" t="str">
        <f>IFERROR(__xludf.DUMMYFUNCTION("GOOGLETRANSLATE(A88, ""en"", ""id"")"),"87")</f>
        <v>87</v>
      </c>
      <c r="H88" s="5" t="str">
        <f>IFERROR(__xludf.DUMMYFUNCTION("GOOGLETRANSLATE(B88, ""en"", ""id"")"),"Seorang petarung terkena pukulan ke badan dan membelakangi lawan. Apa yang harus dilakukan wasit?")</f>
        <v>Seorang petarung terkena pukulan ke badan dan membelakangi lawan. Apa yang harus dilakukan wasit?</v>
      </c>
      <c r="I88" s="5" t="str">
        <f>IFERROR(__xludf.DUMMYFUNCTION("GOOGLETRANSLATE(C88, ""en"", ""id"")"),"A) Hentikan pertarungan segera (TKO), B) Biarkan pertarungan berlanjut, C) Berikan petarung hitungan, D) Peringatkan petarung karena membalikkan punggungnya")</f>
        <v>A) Hentikan pertarungan segera (TKO), B) Biarkan pertarungan berlanjut, C) Berikan petarung hitungan, D) Peringatkan petarung karena membalikkan punggungnya</v>
      </c>
      <c r="J88" s="5" t="str">
        <f>IFERROR(__xludf.DUMMYFUNCTION("GOOGLETRANSLATE(D88, ""en"", ""id"")"),"A) Hentikan pertarungan segera (TKO)")</f>
        <v>A) Hentikan pertarungan segera (TKO)</v>
      </c>
      <c r="K88" s="5" t="str">
        <f>IFERROR(__xludf.DUMMYFUNCTION("GOOGLETRANSLATE(E88, ""en"", ""id"")"),"Membalikkan badan adalah tanda utama ketidakmampuan membela diri. Wasit akan menghentikan pertandingan untuk melindungi petarung.")</f>
        <v>Membalikkan badan adalah tanda utama ketidakmampuan membela diri. Wasit akan menghentikan pertandingan untuk melindungi petarung.</v>
      </c>
    </row>
    <row r="89">
      <c r="A89" s="3">
        <v>88.0</v>
      </c>
      <c r="B89" s="4" t="s">
        <v>2741</v>
      </c>
      <c r="C89" s="6" t="s">
        <v>2742</v>
      </c>
      <c r="D89" s="4" t="s">
        <v>2743</v>
      </c>
      <c r="E89" s="4" t="s">
        <v>2744</v>
      </c>
      <c r="G89" s="5" t="str">
        <f>IFERROR(__xludf.DUMMYFUNCTION("GOOGLETRANSLATE(A89, ""en"", ""id"")"),"88")</f>
        <v>88</v>
      </c>
      <c r="H89" s="5" t="str">
        <f>IFERROR(__xludf.DUMMYFUNCTION("GOOGLETRANSLATE(B89, ""en"", ""id"")"),"Apa maksud dari sila “Keberanian dan Keuletan” (Keberanian dan Keuletan)?")</f>
        <v>Apa maksud dari sila “Keberanian dan Keuletan” (Keberanian dan Keuletan)?</v>
      </c>
      <c r="I89" s="5" t="str">
        <f>IFERROR(__xludf.DUMMYFUNCTION("GOOGLETRANSLATE(C89, ""en"", ""id"")"),"A) Untuk mendorong petarung agar tidak gegabah, B) Untuk mengajarkan seorang praktisi agar menghadapi tantangan tanpa menyerah, C) Untuk menang dengan segala cara, D) Untuk bersikap agresif")</f>
        <v>A) Untuk mendorong petarung agar tidak gegabah, B) Untuk mengajarkan seorang praktisi agar menghadapi tantangan tanpa menyerah, C) Untuk menang dengan segala cara, D) Untuk bersikap agresif</v>
      </c>
      <c r="J89" s="5" t="str">
        <f>IFERROR(__xludf.DUMMYFUNCTION("GOOGLETRANSLATE(D89, ""en"", ""id"")"),"B) Untuk mengajarkan praktisi menghadapi tantangan tanpa menyerah")</f>
        <v>B) Untuk mengajarkan praktisi menghadapi tantangan tanpa menyerah</v>
      </c>
      <c r="K89" s="5" t="str">
        <f>IFERROR(__xludf.DUMMYFUNCTION("GOOGLETRANSLATE(E89, ""en"", ""id"")"),"Prinsip ini adalah tentang mengembangkan kekuatan batin dan ketekunan untuk mengatasi kesulitan, baik dalam pertarungan maupun dalam kehidupan.")</f>
        <v>Prinsip ini adalah tentang mengembangkan kekuatan batin dan ketekunan untuk mengatasi kesulitan, baik dalam pertarungan maupun dalam kehidupan.</v>
      </c>
    </row>
    <row r="90">
      <c r="A90" s="3">
        <v>89.0</v>
      </c>
      <c r="B90" s="4" t="s">
        <v>2745</v>
      </c>
      <c r="C90" s="6" t="s">
        <v>2746</v>
      </c>
      <c r="D90" s="4" t="s">
        <v>2747</v>
      </c>
      <c r="E90" s="4" t="s">
        <v>2748</v>
      </c>
      <c r="G90" s="5" t="str">
        <f>IFERROR(__xludf.DUMMYFUNCTION("GOOGLETRANSLATE(A90, ""en"", ""id"")"),"89")</f>
        <v>89</v>
      </c>
      <c r="H90" s="5" t="str">
        <f>IFERROR(__xludf.DUMMYFUNCTION("GOOGLETRANSLATE(B90, ""en"", ""id"")"),"Seorang petarung mencoba melakukan takedown, tetapi lawannya berpegangan pada tali agar tetap tegak. Apa yang harus dilakukan wasit?")</f>
        <v>Seorang petarung mencoba melakukan takedown, tetapi lawannya berpegangan pada tali agar tetap tegak. Apa yang harus dilakukan wasit?</v>
      </c>
      <c r="I90" s="5" t="str">
        <f>IFERROR(__xludf.DUMMYFUNCTION("GOOGLETRANSLATE(C90, ""en"", ""id"")"),"A) Tidak ada, ini adalah pertahanan yang cerdas, B) Berikan takedown kepada petarung pertama, C) Hentikan aksi dan berikan peringatan atau pengurangan poin karena memegang tali, D) Biarkan pertarungan berlanjut")</f>
        <v>A) Tidak ada, ini adalah pertahanan yang cerdas, B) Berikan takedown kepada petarung pertama, C) Hentikan aksi dan berikan peringatan atau pengurangan poin karena memegang tali, D) Biarkan pertarungan berlanjut</v>
      </c>
      <c r="J90" s="5" t="str">
        <f>IFERROR(__xludf.DUMMYFUNCTION("GOOGLETRANSLATE(D90, ""en"", ""id"")"),"C) Hentikan aksi dan berikan peringatan atau pengurangan poin bagi yang memegang tali")</f>
        <v>C) Hentikan aksi dan berikan peringatan atau pengurangan poin bagi yang memegang tali</v>
      </c>
      <c r="K90" s="5" t="str">
        <f>IFERROR(__xludf.DUMMYFUNCTION("GOOGLETRANSLATE(E90, ""en"", ""id"")"),"Menggunakan tali sebagai tuas adalah pelanggaran. Wasit akan memisahkan kedua petarung dan memberikan hukuman atas pelanggaran tersebut.")</f>
        <v>Menggunakan tali sebagai tuas adalah pelanggaran. Wasit akan memisahkan kedua petarung dan memberikan hukuman atas pelanggaran tersebut.</v>
      </c>
    </row>
    <row r="91">
      <c r="A91" s="3">
        <v>90.0</v>
      </c>
      <c r="B91" s="4" t="s">
        <v>2749</v>
      </c>
      <c r="C91" s="6" t="s">
        <v>2750</v>
      </c>
      <c r="D91" s="4" t="s">
        <v>2751</v>
      </c>
      <c r="E91" s="4" t="s">
        <v>2752</v>
      </c>
      <c r="G91" s="5" t="str">
        <f>IFERROR(__xludf.DUMMYFUNCTION("GOOGLETRANSLATE(A91, ""en"", ""id"")"),"90")</f>
        <v>90</v>
      </c>
      <c r="H91" s="5" t="str">
        <f>IFERROR(__xludf.DUMMYFUNCTION("GOOGLETRANSLATE(B91, ""en"", ""id"")"),"Apa alasan utama Tarung Derajat diciptakan?")</f>
        <v>Apa alasan utama Tarung Derajat diciptakan?</v>
      </c>
      <c r="I91" s="5" t="str">
        <f>IFERROR(__xludf.DUMMYFUNCTION("GOOGLETRANSLATE(C91, ""en"", ""id"")"),"A) Sebagai olahraga untuk Olimpiade, B) Sebagai tarian tradisional, C) Sebagai sistem pertahanan diri yang praktis untuk jalanan, D) Sebagai bentuk meditasi")</f>
        <v>A) Sebagai olahraga untuk Olimpiade, B) Sebagai tarian tradisional, C) Sebagai sistem pertahanan diri yang praktis untuk jalanan, D) Sebagai bentuk meditasi</v>
      </c>
      <c r="J91" s="5" t="str">
        <f>IFERROR(__xludf.DUMMYFUNCTION("GOOGLETRANSLATE(D91, ""en"", ""id"")"),"C) Sebagai sistem pertahanan diri yang praktis bagi warga jalanan")</f>
        <v>C) Sebagai sistem pertahanan diri yang praktis bagi warga jalanan</v>
      </c>
      <c r="K91" s="5" t="str">
        <f>IFERROR(__xludf.DUMMYFUNCTION("GOOGLETRANSLATE(E91, ""en"", ""id"")"),"Seni ini lahir dari kebutuhan Achmad Drajat akan sistem pertarungan yang efektif untuk bertahan hidup dari kekerasan di jalanan.")</f>
        <v>Seni ini lahir dari kebutuhan Achmad Drajat akan sistem pertarungan yang efektif untuk bertahan hidup dari kekerasan di jalanan.</v>
      </c>
    </row>
    <row r="92">
      <c r="A92" s="3">
        <v>91.0</v>
      </c>
      <c r="B92" s="4" t="s">
        <v>2753</v>
      </c>
      <c r="C92" s="6" t="s">
        <v>2754</v>
      </c>
      <c r="D92" s="4" t="s">
        <v>2755</v>
      </c>
      <c r="E92" s="4" t="s">
        <v>2756</v>
      </c>
      <c r="G92" s="5" t="str">
        <f>IFERROR(__xludf.DUMMYFUNCTION("GOOGLETRANSLATE(A92, ""en"", ""id"")"),"91")</f>
        <v>91</v>
      </c>
      <c r="H92" s="5" t="str">
        <f>IFERROR(__xludf.DUMMYFUNCTION("GOOGLETRANSLATE(B92, ""en"", ""id"")"),"Seorang petarung mendaratkan hook yang mengenai sarung tinju lawan tepat di depan wajahnya. Apakah ini pukulan yang menghasilkan skor?")</f>
        <v>Seorang petarung mendaratkan hook yang mengenai sarung tinju lawan tepat di depan wajahnya. Apakah ini pukulan yang menghasilkan skor?</v>
      </c>
      <c r="I92" s="5" t="str">
        <f>IFERROR(__xludf.DUMMYFUNCTION("GOOGLETRANSLATE(C92, ""en"", ""id"")"),"A) Ya, itu adalah head strike, B) Tidak, strike yang mendarat di glove dianggap sebagai block, C) Poin parsial diberikan, D) Poin diulang")</f>
        <v>A) Ya, itu adalah head strike, B) Tidak, strike yang mendarat di glove dianggap sebagai block, C) Poin parsial diberikan, D) Poin diulang</v>
      </c>
      <c r="J92" s="5" t="str">
        <f>IFERROR(__xludf.DUMMYFUNCTION("GOOGLETRANSLATE(D92, ""en"", ""id"")"),"B) Tidak, pukulan yang mendarat di sarung tangan dianggap sebagai blok.")</f>
        <v>B) Tidak, pukulan yang mendarat di sarung tangan dianggap sebagai blok.</v>
      </c>
      <c r="K92" s="5" t="str">
        <f>IFERROR(__xludf.DUMMYFUNCTION("GOOGLETRANSLATE(E92, ""en"", ""id"")"),"Untuk dapat dinilai, pukulan harus mendarat tepat pada sasaran, bukan pada sarung tangan atau lengan lawan yang merupakan bagian dari pertahanan mereka.")</f>
        <v>Untuk dapat dinilai, pukulan harus mendarat tepat pada sasaran, bukan pada sarung tangan atau lengan lawan yang merupakan bagian dari pertahanan mereka.</v>
      </c>
    </row>
    <row r="93">
      <c r="A93" s="3">
        <v>92.0</v>
      </c>
      <c r="B93" s="4" t="s">
        <v>2757</v>
      </c>
      <c r="C93" s="6" t="s">
        <v>2758</v>
      </c>
      <c r="D93" s="4" t="s">
        <v>2759</v>
      </c>
      <c r="E93" s="4" t="s">
        <v>2760</v>
      </c>
      <c r="G93" s="5" t="str">
        <f>IFERROR(__xludf.DUMMYFUNCTION("GOOGLETRANSLATE(A93, ""en"", ""id"")"),"92")</f>
        <v>92</v>
      </c>
      <c r="H93" s="5" t="str">
        <f>IFERROR(__xludf.DUMMYFUNCTION("GOOGLETRANSLATE(B93, ""en"", ""id"")"),"Seorang petarung terjatuh. Pelatihnya naik ke apron ring dan berteriak kepada wasit. Apa yang bisa dilakukan wasit?")</f>
        <v>Seorang petarung terjatuh. Pelatihnya naik ke apron ring dan berteriak kepada wasit. Apa yang bisa dilakukan wasit?</v>
      </c>
      <c r="I93" s="5" t="str">
        <f>IFERROR(__xludf.DUMMYFUNCTION("GOOGLETRANSLATE(C93, ""en"", ""id"")"),"A) Tidak ada, pelatih boleh ada di sana, B) Keluarkan pelatih dari sudut, C) Hentikan hitungan, D) Tambahkan detik ke periode istirahat")</f>
        <v>A) Tidak ada, pelatih boleh ada di sana, B) Keluarkan pelatih dari sudut, C) Hentikan hitungan, D) Tambahkan detik ke periode istirahat</v>
      </c>
      <c r="J93" s="5" t="str">
        <f>IFERROR(__xludf.DUMMYFUNCTION("GOOGLETRANSLATE(D93, ""en"", ""id"")"),"B) Keluarkan pelatih dari sudut")</f>
        <v>B) Keluarkan pelatih dari sudut</v>
      </c>
      <c r="K93" s="5" t="str">
        <f>IFERROR(__xludf.DUMMYFUNCTION("GOOGLETRANSLATE(E93, ""en"", ""id"")"),"Pelatih tidak diperbolehkan memasuki arena atau menginjak apron selama ronde berlangsung. Hal ini dapat mengakibatkan peringatan atau pengusiran.")</f>
        <v>Pelatih tidak diperbolehkan memasuki arena atau menginjak apron selama ronde berlangsung. Hal ini dapat mengakibatkan peringatan atau pengusiran.</v>
      </c>
    </row>
    <row r="94">
      <c r="A94" s="3">
        <v>93.0</v>
      </c>
      <c r="B94" s="4" t="s">
        <v>2761</v>
      </c>
      <c r="C94" s="6" t="s">
        <v>2762</v>
      </c>
      <c r="D94" s="4" t="s">
        <v>2763</v>
      </c>
      <c r="E94" s="4" t="s">
        <v>2764</v>
      </c>
      <c r="G94" s="5" t="str">
        <f>IFERROR(__xludf.DUMMYFUNCTION("GOOGLETRANSLATE(A94, ""en"", ""id"")"),"93")</f>
        <v>93</v>
      </c>
      <c r="H94" s="5" t="str">
        <f>IFERROR(__xludf.DUMMYFUNCTION("GOOGLETRANSLATE(B94, ""en"", ""id"")"),"Apa manfaat utama seorang petarung memiliki ""jab"" yang kuat?")</f>
        <v>Apa manfaat utama seorang petarung memiliki "jab" yang kuat?</v>
      </c>
      <c r="I94" s="5" t="str">
        <f>IFERROR(__xludf.DUMMYFUNCTION("GOOGLETRANSLATE(C94, ""en"", ""id"")"),"A) Pukulan ini merupakan pukulan terkuat, B) Pukulan ini dapat mengendalikan jarak pertarungan dan mengatur serangan lainnya, C) Pukulan ini memiliki poin terbanyak, D) Pukulan ini mudah dipelajari.")</f>
        <v>A) Pukulan ini merupakan pukulan terkuat, B) Pukulan ini dapat mengendalikan jarak pertarungan dan mengatur serangan lainnya, C) Pukulan ini memiliki poin terbanyak, D) Pukulan ini mudah dipelajari.</v>
      </c>
      <c r="J94" s="5" t="str">
        <f>IFERROR(__xludf.DUMMYFUNCTION("GOOGLETRANSLATE(D94, ""en"", ""id"")"),"B) Dapat mengendalikan jarak pertarungan dan mengatur serangan lainnya")</f>
        <v>B) Dapat mengendalikan jarak pertarungan dan mengatur serangan lainnya</v>
      </c>
      <c r="K94" s="5" t="str">
        <f>IFERROR(__xludf.DUMMYFUNCTION("GOOGLETRANSLATE(E94, ""en"", ""id"")"),"Jab adalah senjata strategis yang digunakan untuk mengganggu lawan, mengukur jarak, dan menciptakan peluang untuk serangan yang lebih kuat.")</f>
        <v>Jab adalah senjata strategis yang digunakan untuk mengganggu lawan, mengukur jarak, dan menciptakan peluang untuk serangan yang lebih kuat.</v>
      </c>
    </row>
    <row r="95">
      <c r="A95" s="3">
        <v>94.0</v>
      </c>
      <c r="B95" s="4" t="s">
        <v>2765</v>
      </c>
      <c r="C95" s="6" t="s">
        <v>2766</v>
      </c>
      <c r="D95" s="4" t="s">
        <v>2767</v>
      </c>
      <c r="E95" s="4" t="s">
        <v>2768</v>
      </c>
      <c r="G95" s="5" t="str">
        <f>IFERROR(__xludf.DUMMYFUNCTION("GOOGLETRANSLATE(A95, ""en"", ""id"")"),"94")</f>
        <v>94</v>
      </c>
      <c r="H95" s="5" t="str">
        <f>IFERROR(__xludf.DUMMYFUNCTION("GOOGLETRANSLATE(B95, ""en"", ""id"")"),"Dua petarung berbenturan, dan keduanya jatuh ke tanah. Apa keputusan wasit?")</f>
        <v>Dua petarung berbenturan, dan keduanya jatuh ke tanah. Apa keputusan wasit?</v>
      </c>
      <c r="I95" s="5" t="str">
        <f>IFERROR(__xludf.DUMMYFUNCTION("GOOGLETRANSLATE(C95, ""en"", ""id"")"),"A) Knockdown ganda, hitungan dimulai untuk keduanya, B) Tidak ada knockdown yang dinilai, dan wasit memerintahkan mereka untuk bangun, C) Petarung yang jatuh pertama kehilangan poin, D) Ronde ini seri")</f>
        <v>A) Knockdown ganda, hitungan dimulai untuk keduanya, B) Tidak ada knockdown yang dinilai, dan wasit memerintahkan mereka untuk bangun, C) Petarung yang jatuh pertama kehilangan poin, D) Ronde ini seri</v>
      </c>
      <c r="J95" s="5" t="str">
        <f>IFERROR(__xludf.DUMMYFUNCTION("GOOGLETRANSLATE(D95, ""en"", ""id"")"),"B) Tidak ada knockdown yang terjadi, dan wasit memerintahkan mereka untuk bangun")</f>
        <v>B) Tidak ada knockdown yang terjadi, dan wasit memerintahkan mereka untuk bangun</v>
      </c>
      <c r="K95" s="5" t="str">
        <f>IFERROR(__xludf.DUMMYFUNCTION("GOOGLETRANSLATE(E95, ""en"", ""id"")"),"Knockdown hanya bisa didapatkan dengan strike yang sah. Jika kedua petarung jatuh karena terjerat atau berbenturan, hal tersebut dianggap slip.")</f>
        <v>Knockdown hanya bisa didapatkan dengan strike yang sah. Jika kedua petarung jatuh karena terjerat atau berbenturan, hal tersebut dianggap slip.</v>
      </c>
    </row>
    <row r="96">
      <c r="A96" s="3">
        <v>95.0</v>
      </c>
      <c r="B96" s="4" t="s">
        <v>2769</v>
      </c>
      <c r="C96" s="6" t="s">
        <v>2770</v>
      </c>
      <c r="D96" s="4" t="s">
        <v>2771</v>
      </c>
      <c r="E96" s="4" t="s">
        <v>2772</v>
      </c>
      <c r="G96" s="5" t="str">
        <f>IFERROR(__xludf.DUMMYFUNCTION("GOOGLETRANSLATE(A96, ""en"", ""id"")"),"95")</f>
        <v>95</v>
      </c>
      <c r="H96" s="5" t="str">
        <f>IFERROR(__xludf.DUMMYFUNCTION("GOOGLETRANSLATE(B96, ""en"", ""id"")"),"Seorang petarung memenangkan pertandingan, tetapi perilakunya setelah pertandingan dianggap tidak sopan. Apa yang bisa dilakukan badan pengurus?")</f>
        <v>Seorang petarung memenangkan pertandingan, tetapi perilakunya setelah pertandingan dianggap tidak sopan. Apa yang bisa dilakukan badan pengurus?</v>
      </c>
      <c r="I96" s="5" t="str">
        <f>IFERROR(__xludf.DUMMYFUNCTION("GOOGLETRANSLATE(C96, ""en"", ""id"")"),"A) Tidak ada, hasilnya final, B) Mereka dapat mendenda atau menskors petarung, C) Mereka dapat membatalkan keputusan, D) Mereka dapat memerintahkan pertandingan ulang")</f>
        <v>A) Tidak ada, hasilnya final, B) Mereka dapat mendenda atau menskors petarung, C) Mereka dapat membatalkan keputusan, D) Mereka dapat memerintahkan pertandingan ulang</v>
      </c>
      <c r="J96" s="5" t="str">
        <f>IFERROR(__xludf.DUMMYFUNCTION("GOOGLETRANSLATE(D96, ""en"", ""id"")"),"B) Mereka dapat mendenda atau menangguhkan petarung tersebut")</f>
        <v>B) Mereka dapat mendenda atau menangguhkan petarung tersebut</v>
      </c>
      <c r="K96" s="5" t="str">
        <f>IFERROR(__xludf.DUMMYFUNCTION("GOOGLETRANSLATE(E96, ""en"", ""id"")"),"Perilaku seorang petarung tetap diawasi bahkan setelah pertandingan berakhir. Komisi atletik dapat mengeluarkan denda atau skorsing atas pelanggaran pascapertandingan.")</f>
        <v>Perilaku seorang petarung tetap diawasi bahkan setelah pertandingan berakhir. Komisi atletik dapat mengeluarkan denda atau skorsing atas pelanggaran pascapertandingan.</v>
      </c>
    </row>
    <row r="97">
      <c r="A97" s="3">
        <v>96.0</v>
      </c>
      <c r="B97" s="4" t="s">
        <v>2773</v>
      </c>
      <c r="C97" s="6" t="s">
        <v>2774</v>
      </c>
      <c r="D97" s="4" t="s">
        <v>2775</v>
      </c>
      <c r="E97" s="4" t="s">
        <v>2776</v>
      </c>
      <c r="G97" s="5" t="str">
        <f>IFERROR(__xludf.DUMMYFUNCTION("GOOGLETRANSLATE(A97, ""en"", ""id"")"),"96")</f>
        <v>96</v>
      </c>
      <c r="H97" s="5" t="str">
        <f>IFERROR(__xludf.DUMMYFUNCTION("GOOGLETRANSLATE(B97, ""en"", ""id"")"),"Seorang petarung kesulitan menghadapi lawan yang terus-menerus melakukan clinch. Apa strategi serangan balik yang baik?")</f>
        <v>Seorang petarung kesulitan menghadapi lawan yang terus-menerus melakukan clinch. Apa strategi serangan balik yang baik?</v>
      </c>
      <c r="I97" s="5" t="str">
        <f>IFERROR(__xludf.DUMMYFUNCTION("GOOGLETRANSLATE(C97, ""en"", ""id"")"),"A) Berpegangan erat pada punggung lawan, B) Melempar pukulan uppercut dan hook saat lawan mencoba masuk ke dalam, C) Melarikan diri, D) Mengeluh kepada wasit")</f>
        <v>A) Berpegangan erat pada punggung lawan, B) Melempar pukulan uppercut dan hook saat lawan mencoba masuk ke dalam, C) Melarikan diri, D) Mengeluh kepada wasit</v>
      </c>
      <c r="J97" s="5" t="str">
        <f>IFERROR(__xludf.DUMMYFUNCTION("GOOGLETRANSLATE(D97, ""en"", ""id"")"),"B) Melempar pukulan uppercut dan hook saat lawan mencoba masuk ke dalam")</f>
        <v>B) Melempar pukulan uppercut dan hook saat lawan mencoba masuk ke dalam</v>
      </c>
      <c r="K97" s="5" t="str">
        <f>IFERROR(__xludf.DUMMYFUNCTION("GOOGLETRANSLATE(E97, ""en"", ""id"")"),"Pukulan pendek dan kuat seperti uppercut sangat efektif untuk menghukum lawan yang mencoba menutup jarak untuk memulai clinch.")</f>
        <v>Pukulan pendek dan kuat seperti uppercut sangat efektif untuk menghukum lawan yang mencoba menutup jarak untuk memulai clinch.</v>
      </c>
    </row>
    <row r="98">
      <c r="A98" s="3">
        <v>97.0</v>
      </c>
      <c r="B98" s="4" t="s">
        <v>2777</v>
      </c>
      <c r="C98" s="6" t="s">
        <v>2778</v>
      </c>
      <c r="D98" s="4" t="s">
        <v>2779</v>
      </c>
      <c r="E98" s="4" t="s">
        <v>2780</v>
      </c>
      <c r="G98" s="5" t="str">
        <f>IFERROR(__xludf.DUMMYFUNCTION("GOOGLETRANSLATE(A98, ""en"", ""id"")"),"97")</f>
        <v>97</v>
      </c>
      <c r="H98" s="5" t="str">
        <f>IFERROR(__xludf.DUMMYFUNCTION("GOOGLETRANSLATE(B98, ""en"", ""id"")"),"Apa atribut fisik utama yang dikembangkan dengan memukul karung tinju yang berat?")</f>
        <v>Apa atribut fisik utama yang dikembangkan dengan memukul karung tinju yang berat?</v>
      </c>
      <c r="I98" s="5" t="str">
        <f>IFERROR(__xludf.DUMMYFUNCTION("GOOGLETRANSLATE(C98, ""en"", ""id"")"),"A) Kecepatan, B) Akurasi, C) Kekuatan dan daya tahan, D) Gerak kaki")</f>
        <v>A) Kecepatan, B) Akurasi, C) Kekuatan dan daya tahan, D) Gerak kaki</v>
      </c>
      <c r="J98" s="5" t="str">
        <f>IFERROR(__xludf.DUMMYFUNCTION("GOOGLETRANSLATE(D98, ""en"", ""id"")"),"C) Kekuatan dan daya tahan")</f>
        <v>C) Kekuatan dan daya tahan</v>
      </c>
      <c r="K98" s="5" t="str">
        <f>IFERROR(__xludf.DUMMYFUNCTION("GOOGLETRANSLATE(E98, ""en"", ""id"")"),"Karung tinju yang berat merupakan alat utama untuk mengembangkan kekuatan pukulan dan stamina untuk melontarkan pukulan kuat sepanjang pertarungan.")</f>
        <v>Karung tinju yang berat merupakan alat utama untuk mengembangkan kekuatan pukulan dan stamina untuk melontarkan pukulan kuat sepanjang pertarungan.</v>
      </c>
    </row>
    <row r="99">
      <c r="A99" s="3">
        <v>98.0</v>
      </c>
      <c r="B99" s="4" t="s">
        <v>2781</v>
      </c>
      <c r="C99" s="6" t="s">
        <v>2782</v>
      </c>
      <c r="D99" s="4" t="s">
        <v>2783</v>
      </c>
      <c r="E99" s="4" t="s">
        <v>2784</v>
      </c>
      <c r="G99" s="5" t="str">
        <f>IFERROR(__xludf.DUMMYFUNCTION("GOOGLETRANSLATE(A99, ""en"", ""id"")"),"98")</f>
        <v>98</v>
      </c>
      <c r="H99" s="5" t="str">
        <f>IFERROR(__xludf.DUMMYFUNCTION("GOOGLETRANSLATE(B99, ""en"", ""id"")"),"Seorang petarung terjatuh. Mereka bangkit, tetapi wasit menghentikan pertarungan. Petarung itu protes dan mengatakan mereka baik-baik saja. Mengapa wasit menghentikannya?")</f>
        <v>Seorang petarung terjatuh. Mereka bangkit, tetapi wasit menghentikan pertarungan. Petarung itu protes dan mengatakan mereka baik-baik saja. Mengapa wasit menghentikannya?</v>
      </c>
      <c r="I99" s="5" t="str">
        <f>IFERROR(__xludf.DUMMYFUNCTION("GOOGLETRANSLATE(C99, ""en"", ""id"")"),"A) Wasit bias, B) Keselamatan petarung adalah prioritas utama wasit, dan mereka menilai mereka tidak layak untuk melanjutkan, C) Pelatih menyuruh wasit untuk menghentikannya, D) Petarung terlalu lama untuk bangkit")</f>
        <v>A) Wasit bias, B) Keselamatan petarung adalah prioritas utama wasit, dan mereka menilai mereka tidak layak untuk melanjutkan, C) Pelatih menyuruh wasit untuk menghentikannya, D) Petarung terlalu lama untuk bangkit</v>
      </c>
      <c r="J99" s="5" t="str">
        <f>IFERROR(__xludf.DUMMYFUNCTION("GOOGLETRANSLATE(D99, ""en"", ""id"")"),"B) Keselamatan petarung adalah prioritas utama wasit, dan mereka menilai mereka tidak layak untuk melanjutkan")</f>
        <v>B) Keselamatan petarung adalah prioritas utama wasit, dan mereka menilai mereka tidak layak untuk melanjutkan</v>
      </c>
      <c r="K99" s="5" t="str">
        <f>IFERROR(__xludf.DUMMYFUNCTION("GOOGLETRANSLATE(E99, ""en"", ""id"")"),"Wasit memiliki tanggung jawab tunggal untuk melindungi para petarung, bahkan dari keberanian mereka sendiri.")</f>
        <v>Wasit memiliki tanggung jawab tunggal untuk melindungi para petarung, bahkan dari keberanian mereka sendiri.</v>
      </c>
    </row>
    <row r="100">
      <c r="A100" s="3">
        <v>99.0</v>
      </c>
      <c r="B100" s="4" t="s">
        <v>2785</v>
      </c>
      <c r="C100" s="6" t="s">
        <v>2786</v>
      </c>
      <c r="D100" s="4" t="s">
        <v>2787</v>
      </c>
      <c r="E100" s="4" t="s">
        <v>2788</v>
      </c>
      <c r="G100" s="5" t="str">
        <f>IFERROR(__xludf.DUMMYFUNCTION("GOOGLETRANSLATE(A100, ""en"", ""id"")"),"99")</f>
        <v>99</v>
      </c>
      <c r="H100" s="5" t="str">
        <f>IFERROR(__xludf.DUMMYFUNCTION("GOOGLETRANSLATE(B100, ""en"", ""id"")"),"Seorang petarung memenangkan keputusan yang tidak disetujui penonton, dan mereka mulai mencemooh. Apa yang harus dilakukan petarung yang menang?")</f>
        <v>Seorang petarung memenangkan keputusan yang tidak disetujui penonton, dan mereka mulai mencemooh. Apa yang harus dilakukan petarung yang menang?</v>
      </c>
      <c r="I100" s="5" t="str">
        <f>IFERROR(__xludf.DUMMYFUNCTION("GOOGLETRANSLATE(C100, ""en"", ""id"")"),"A) Berdebat dengan penonton, B) Menunjukkan sportifitas dan rasa hormat kepada lawan dan wasit, C) Segera meninggalkan ring, D) Menuntut pertandingan ulang")</f>
        <v>A) Berdebat dengan penonton, B) Menunjukkan sportifitas dan rasa hormat kepada lawan dan wasit, C) Segera meninggalkan ring, D) Menuntut pertandingan ulang</v>
      </c>
      <c r="J100" s="5" t="str">
        <f>IFERROR(__xludf.DUMMYFUNCTION("GOOGLETRANSLATE(D100, ""en"", ""id"")"),"B) Menunjukkan sportivitas dan rasa hormat terhadap lawan dan wasit")</f>
        <v>B) Menunjukkan sportivitas dan rasa hormat terhadap lawan dan wasit</v>
      </c>
      <c r="K100" s="5" t="str">
        <f>IFERROR(__xludf.DUMMYFUNCTION("GOOGLETRANSLATE(E100, ""en"", ""id"")"),"Seorang seniman bela diri sejati diharapkan tetap bersikap hormat dan disiplin, apa pun reaksi penonton.")</f>
        <v>Seorang seniman bela diri sejati diharapkan tetap bersikap hormat dan disiplin, apa pun reaksi penonton.</v>
      </c>
    </row>
    <row r="101">
      <c r="A101" s="3">
        <v>100.0</v>
      </c>
      <c r="B101" s="4" t="s">
        <v>2789</v>
      </c>
      <c r="C101" s="6" t="s">
        <v>2790</v>
      </c>
      <c r="D101" s="4" t="s">
        <v>2791</v>
      </c>
      <c r="E101" s="4" t="s">
        <v>2792</v>
      </c>
      <c r="G101" s="5" t="str">
        <f>IFERROR(__xludf.DUMMYFUNCTION("GOOGLETRANSLATE(A101, ""en"", ""id"")"),"100")</f>
        <v>100</v>
      </c>
      <c r="H101" s="5" t="str">
        <f>IFERROR(__xludf.DUMMYFUNCTION("GOOGLETRANSLATE(B101, ""en"", ""id"")"),"Apa pelajaran paling mendasar dari filosofi Tarung Derajat?")</f>
        <v>Apa pelajaran paling mendasar dari filosofi Tarung Derajat?</v>
      </c>
      <c r="I101" s="5" t="str">
        <f>IFERROR(__xludf.DUMMYFUNCTION("GOOGLETRANSLATE(C101, ""en"", ""id"")"),"A) Bagaimana cara memenangkan pertarungan, B) Bagaimana cara membangun otot, C) Bahwa seni beladiri merupakan alat untuk pengembangan diri dan membentuk karakter yang mulia, D) Bagaimana cara menjadi petarung profesional")</f>
        <v>A) Bagaimana cara memenangkan pertarungan, B) Bagaimana cara membangun otot, C) Bahwa seni beladiri merupakan alat untuk pengembangan diri dan membentuk karakter yang mulia, D) Bagaimana cara menjadi petarung profesional</v>
      </c>
      <c r="J101" s="5" t="str">
        <f>IFERROR(__xludf.DUMMYFUNCTION("GOOGLETRANSLATE(D101, ""en"", ""id"")"),"C) Bahwa seni merupakan alat untuk pengembangan diri dan pengembangan karakter yang mulia")</f>
        <v>C) Bahwa seni merupakan alat untuk pengembangan diri dan pengembangan karakter yang mulia</v>
      </c>
      <c r="K101" s="5" t="str">
        <f>IFERROR(__xludf.DUMMYFUNCTION("GOOGLETRANSLATE(E101, ""en"", ""id"")"),"Tujuan akhir dari pelatihan ini adalah untuk menggunakan tantangan fisik dan mental untuk menjadi pribadi yang lebih baik, lebih tangguh, dan terhormat.")</f>
        <v>Tujuan akhir dari pelatihan ini adalah untuk menggunakan tantangan fisik dan mental untuk menjadi pribadi yang lebih baik, lebih tangguh, dan terhormat.</v>
      </c>
    </row>
    <row r="102">
      <c r="A102" s="3">
        <v>101.0</v>
      </c>
      <c r="B102" s="4" t="s">
        <v>2793</v>
      </c>
      <c r="C102" s="6" t="s">
        <v>2794</v>
      </c>
      <c r="D102" s="4" t="s">
        <v>2795</v>
      </c>
      <c r="E102" s="4" t="s">
        <v>2796</v>
      </c>
      <c r="G102" s="5" t="str">
        <f>IFERROR(__xludf.DUMMYFUNCTION("GOOGLETRANSLATE(A102, ""en"", ""id"")"),"101")</f>
        <v>101</v>
      </c>
      <c r="H102" s="5" t="str">
        <f>IFERROR(__xludf.DUMMYFUNCTION("GOOGLETRANSLATE(B102, ""en"", ""id"")"),"Dalam sebuah pertandingan, seorang petarung mendaratkan tendangan ke paha lawan. Lawan tersebut tersandung. Apakah ini gerakan mencetak skor?")</f>
        <v>Dalam sebuah pertandingan, seorang petarung mendaratkan tendangan ke paha lawan. Lawan tersebut tersandung. Apakah ini gerakan mencetak skor?</v>
      </c>
      <c r="I102" s="5" t="str">
        <f>IFERROR(__xludf.DUMMYFUNCTION("GOOGLETRANSLATE(C102, ""en"", ""id"")"),"A) Ya, tendangan ke paha bernilai 2 poin, B) Tidak, tendangan ke kaki tidak menghasilkan poin, C) Merupakan pelanggaran untuk tendangan rendah, D) Peringatan dikeluarkan")</f>
        <v>A) Ya, tendangan ke paha bernilai 2 poin, B) Tidak, tendangan ke kaki tidak menghasilkan poin, C) Merupakan pelanggaran untuk tendangan rendah, D) Peringatan dikeluarkan</v>
      </c>
      <c r="J102" s="5" t="str">
        <f>IFERROR(__xludf.DUMMYFUNCTION("GOOGLETRANSLATE(D102, ""en"", ""id"")"),"B) Tidak, tendangan ke kaki tidak menghasilkan poin")</f>
        <v>B) Tidak, tendangan ke kaki tidak menghasilkan poin</v>
      </c>
      <c r="K102" s="5" t="str">
        <f>IFERROR(__xludf.DUMMYFUNCTION("GOOGLETRANSLATE(E102, ""en"", ""id"")"),"Dalam olahraga Tarung Derajat, area yang sah untuk tendangan adalah badan dan kepala. Tendangan kaki tidak dihitung.")</f>
        <v>Dalam olahraga Tarung Derajat, area yang sah untuk tendangan adalah badan dan kepala. Tendangan kaki tidak dihitung.</v>
      </c>
    </row>
    <row r="103">
      <c r="A103" s="3">
        <v>102.0</v>
      </c>
      <c r="B103" s="4" t="s">
        <v>2797</v>
      </c>
      <c r="C103" s="6" t="s">
        <v>2798</v>
      </c>
      <c r="D103" s="4" t="s">
        <v>2799</v>
      </c>
      <c r="E103" s="4" t="s">
        <v>2800</v>
      </c>
      <c r="G103" s="5" t="str">
        <f>IFERROR(__xludf.DUMMYFUNCTION("GOOGLETRANSLATE(A103, ""en"", ""id"")"),"102")</f>
        <v>102</v>
      </c>
      <c r="H103" s="5" t="str">
        <f>IFERROR(__xludf.DUMMYFUNCTION("GOOGLETRANSLATE(B103, ""en"", ""id"")"),"Seorang petarung akan dikurangi poinnya jika berulang kali kehilangan corongnya. Mengapa hal ini dikenakan penalti?")</f>
        <v>Seorang petarung akan dikurangi poinnya jika berulang kali kehilangan corongnya. Mengapa hal ini dikenakan penalti?</v>
      </c>
      <c r="I103" s="5" t="str">
        <f>IFERROR(__xludf.DUMMYFUNCTION("GOOGLETRANSLATE(C103, ""en"", ""id"")"),"A) Menunjukkan petarung tidak siap, B) Dianggap sebagai cara untuk mengulur waktu pertarungan secara ilegal dan mendapatkan waktu istirahat tambahan, C) Tidak higienis, D) Corongnya mahal")</f>
        <v>A) Menunjukkan petarung tidak siap, B) Dianggap sebagai cara untuk mengulur waktu pertarungan secara ilegal dan mendapatkan waktu istirahat tambahan, C) Tidak higienis, D) Corongnya mahal</v>
      </c>
      <c r="J103" s="5" t="str">
        <f>IFERROR(__xludf.DUMMYFUNCTION("GOOGLETRANSLATE(D103, ""en"", ""id"")"),"B) Dianggap sebagai cara untuk menunda pertarungan secara ilegal dan mendapatkan waktu istirahat tambahan")</f>
        <v>B) Dianggap sebagai cara untuk menunda pertarungan secara ilegal dan mendapatkan waktu istirahat tambahan</v>
      </c>
      <c r="K103" s="5" t="str">
        <f>IFERROR(__xludf.DUMMYFUNCTION("GOOGLETRANSLATE(E103, ""en"", ""id"")"),"Jika hal ini terjadi berulang kali, wasit dapat menganggapnya sebagai taktik menunda dan memberikan hukuman kepada petarung.")</f>
        <v>Jika hal ini terjadi berulang kali, wasit dapat menganggapnya sebagai taktik menunda dan memberikan hukuman kepada petarung.</v>
      </c>
    </row>
    <row r="104">
      <c r="A104" s="3">
        <v>103.0</v>
      </c>
      <c r="B104" s="4" t="s">
        <v>2801</v>
      </c>
      <c r="C104" s="6" t="s">
        <v>2802</v>
      </c>
      <c r="D104" s="4" t="s">
        <v>2803</v>
      </c>
      <c r="E104" s="4" t="s">
        <v>2804</v>
      </c>
      <c r="G104" s="5" t="str">
        <f>IFERROR(__xludf.DUMMYFUNCTION("GOOGLETRANSLATE(A104, ""en"", ""id"")"),"103")</f>
        <v>103</v>
      </c>
      <c r="H104" s="5" t="str">
        <f>IFERROR(__xludf.DUMMYFUNCTION("GOOGLETRANSLATE(B104, ""en"", ""id"")"),"Seorang petarung terjatuh. Sudut ring tempat ia berdiri memasuki ring untuk membantu sebelum wasit selesai menghitung. Apa hasilnya?")</f>
        <v>Seorang petarung terjatuh. Sudut ring tempat ia berdiri memasuki ring untuk membantu sebelum wasit selesai menghitung. Apa hasilnya?</v>
      </c>
      <c r="I104" s="5" t="str">
        <f>IFERROR(__xludf.DUMMYFUNCTION("GOOGLETRANSLATE(C104, ""en"", ""id"")"),"A) Petarung diberi waktu pemulihan tambahan, B) Petarung didiskualifikasi, C) Sudut dikeluarkan, D) Ronde diulang")</f>
        <v>A) Petarung diberi waktu pemulihan tambahan, B) Petarung didiskualifikasi, C) Sudut dikeluarkan, D) Ronde diulang</v>
      </c>
      <c r="J104" s="5" t="str">
        <f>IFERROR(__xludf.DUMMYFUNCTION("GOOGLETRANSLATE(D104, ""en"", ""id"")"),"B) Petarung tersebut didiskualifikasi")</f>
        <v>B) Petarung tersebut didiskualifikasi</v>
      </c>
      <c r="K104" s="5" t="str">
        <f>IFERROR(__xludf.DUMMYFUNCTION("GOOGLETRANSLATE(E104, ""en"", ""id"")"),"Seorang corner tidak diperbolehkan memasuki ring selama ronde langsung atau hitungan. Hal ini akan mengakibatkan diskualifikasi langsung bagi petarungnya.")</f>
        <v>Seorang corner tidak diperbolehkan memasuki ring selama ronde langsung atau hitungan. Hal ini akan mengakibatkan diskualifikasi langsung bagi petarungnya.</v>
      </c>
    </row>
    <row r="105">
      <c r="A105" s="3">
        <v>104.0</v>
      </c>
      <c r="B105" s="4" t="s">
        <v>2805</v>
      </c>
      <c r="C105" s="6" t="s">
        <v>2806</v>
      </c>
      <c r="D105" s="4" t="s">
        <v>2807</v>
      </c>
      <c r="E105" s="4" t="s">
        <v>2808</v>
      </c>
      <c r="G105" s="5" t="str">
        <f>IFERROR(__xludf.DUMMYFUNCTION("GOOGLETRANSLATE(A105, ""en"", ""id"")"),"104")</f>
        <v>104</v>
      </c>
      <c r="H105" s="5" t="str">
        <f>IFERROR(__xludf.DUMMYFUNCTION("GOOGLETRANSLATE(B105, ""en"", ""id"")"),"Seorang petarung mendaratkan pukulan punggung berputar yang mengenai sarung tinju lawan. Bagaimana penilaiannya?")</f>
        <v>Seorang petarung mendaratkan pukulan punggung berputar yang mengenai sarung tinju lawan. Bagaimana penilaiannya?</v>
      </c>
      <c r="I105" s="5" t="str">
        <f>IFERROR(__xludf.DUMMYFUNCTION("GOOGLETRANSLATE(C105, ""en"", ""id"")"),"A) 2 poin untuk serangan kepala, B) 1 poin untuk serangan badan, C) Tidak ada poin yang dicetak karena diblokir oleh sarung tangan, D) Poin parsial diberikan")</f>
        <v>A) 2 poin untuk serangan kepala, B) 1 poin untuk serangan badan, C) Tidak ada poin yang dicetak karena diblokir oleh sarung tangan, D) Poin parsial diberikan</v>
      </c>
      <c r="J105" s="5" t="str">
        <f>IFERROR(__xludf.DUMMYFUNCTION("GOOGLETRANSLATE(D105, ""en"", ""id"")"),"C) Tidak ada poin yang dicetak karena diblokir oleh sarung tangan")</f>
        <v>C) Tidak ada poin yang dicetak karena diblokir oleh sarung tangan</v>
      </c>
      <c r="K105" s="5" t="str">
        <f>IFERROR(__xludf.DUMMYFUNCTION("GOOGLETRANSLATE(E105, ""en"", ""id"")"),"Pukulan harus mendarat dengan bersih di area target yang sah. Pukulan yang mengenai pelindung lawan (sarung tangannya) adalah pukulan yang diblok.")</f>
        <v>Pukulan harus mendarat dengan bersih di area target yang sah. Pukulan yang mengenai pelindung lawan (sarung tangannya) adalah pukulan yang diblok.</v>
      </c>
    </row>
    <row r="106">
      <c r="A106" s="3">
        <v>105.0</v>
      </c>
      <c r="B106" s="4" t="s">
        <v>2809</v>
      </c>
      <c r="C106" s="6" t="s">
        <v>2810</v>
      </c>
      <c r="D106" s="4" t="s">
        <v>2811</v>
      </c>
      <c r="E106" s="4" t="s">
        <v>2812</v>
      </c>
      <c r="G106" s="5" t="str">
        <f>IFERROR(__xludf.DUMMYFUNCTION("GOOGLETRANSLATE(A106, ""en"", ""id"")"),"105")</f>
        <v>105</v>
      </c>
      <c r="H106" s="5" t="str">
        <f>IFERROR(__xludf.DUMMYFUNCTION("GOOGLETRANSLATE(B106, ""en"", ""id"")"),"Seorang petarung mengalami pendarahan di bibirnya. Wasit menghentikan pertarungan dan membawa mereka ke dokter, yang mengatakan lukanya tidak parah. Apa yang terjadi selanjutnya?")</f>
        <v>Seorang petarung mengalami pendarahan di bibirnya. Wasit menghentikan pertarungan dan membawa mereka ke dokter, yang mengatakan lukanya tidak parah. Apa yang terjadi selanjutnya?</v>
      </c>
      <c r="I106" s="5" t="str">
        <f>IFERROR(__xludf.DUMMYFUNCTION("GOOGLETRANSLATE(C106, ""en"", ""id"")"),"A) Pertarungan dihentikan, B) Petarung diberikan petroleum jelly untuk dipotong dan pertarungan dilanjutkan, C) Petarung harus menyerah, D) Ronde dinilai 10-8")</f>
        <v>A) Pertarungan dihentikan, B) Petarung diberikan petroleum jelly untuk dipotong dan pertarungan dilanjutkan, C) Petarung harus menyerah, D) Ronde dinilai 10-8</v>
      </c>
      <c r="J106" s="5" t="str">
        <f>IFERROR(__xludf.DUMMYFUNCTION("GOOGLETRANSLATE(D106, ""en"", ""id"")"),"B) Petarung diberi petroleum jelly untuk luka dan pertarungan dilanjutkan")</f>
        <v>B) Petarung diberi petroleum jelly untuk luka dan pertarungan dilanjutkan</v>
      </c>
      <c r="K106" s="5" t="str">
        <f>IFERROR(__xludf.DUMMYFUNCTION("GOOGLETRANSLATE(E106, ""en"", ""id"")"),"Jika dokter menganggap cederanya ringan dan tidak berbahaya, cedera tersebut akan diobati, dan pertarungan akan diizinkan dilanjutkan.")</f>
        <v>Jika dokter menganggap cederanya ringan dan tidak berbahaya, cedera tersebut akan diobati, dan pertarungan akan diizinkan dilanjutkan.</v>
      </c>
    </row>
    <row r="107">
      <c r="A107" s="3">
        <v>106.0</v>
      </c>
      <c r="B107" s="4" t="s">
        <v>2813</v>
      </c>
      <c r="C107" s="6" t="s">
        <v>2814</v>
      </c>
      <c r="D107" s="4" t="s">
        <v>2815</v>
      </c>
      <c r="E107" s="4" t="s">
        <v>2816</v>
      </c>
      <c r="G107" s="5" t="str">
        <f>IFERROR(__xludf.DUMMYFUNCTION("GOOGLETRANSLATE(A107, ""en"", ""id"")"),"106")</f>
        <v>106</v>
      </c>
      <c r="H107" s="5" t="str">
        <f>IFERROR(__xludf.DUMMYFUNCTION("GOOGLETRANSLATE(B107, ""en"", ""id"")"),"Seorang petarung dengan posisi ortodoks menghadapi petarung kidal. Apa aspek terpenting dari footwork mereka?")</f>
        <v>Seorang petarung dengan posisi ortodoks menghadapi petarung kidal. Apa aspek terpenting dari footwork mereka?</v>
      </c>
      <c r="I107" s="5" t="str">
        <f>IFERROR(__xludf.DUMMYFUNCTION("GOOGLETRANSLATE(C107, ""en"", ""id"")"),"A) Menjaga kaki depan di luar kaki depan lawan, B) Menjaga kaki depan di dalam kaki depan lawan, C) Berdiri diam, D) Melompat sesering mungkin")</f>
        <v>A) Menjaga kaki depan di luar kaki depan lawan, B) Menjaga kaki depan di dalam kaki depan lawan, C) Berdiri diam, D) Melompat sesering mungkin</v>
      </c>
      <c r="J107" s="5" t="str">
        <f>IFERROR(__xludf.DUMMYFUNCTION("GOOGLETRANSLATE(D107, ""en"", ""id"")"),"A) Menjaga kaki depan tetap berada di luar kaki depan lawan")</f>
        <v>A) Menjaga kaki depan tetap berada di luar kaki depan lawan</v>
      </c>
      <c r="K107" s="5" t="str">
        <f>IFERROR(__xludf.DUMMYFUNCTION("GOOGLETRANSLATE(E107, ""en"", ""id"")"),"Dalam pertarungan ortodoks vs. kidal, mengendalikan posisi ""kaki luar"" memberi petarung sudut dominan untuk tangan kuatnya.")</f>
        <v>Dalam pertarungan ortodoks vs. kidal, mengendalikan posisi "kaki luar" memberi petarung sudut dominan untuk tangan kuatnya.</v>
      </c>
    </row>
    <row r="108">
      <c r="A108" s="3">
        <v>107.0</v>
      </c>
      <c r="B108" s="4" t="s">
        <v>2817</v>
      </c>
      <c r="C108" s="6" t="s">
        <v>2818</v>
      </c>
      <c r="D108" s="4" t="s">
        <v>2819</v>
      </c>
      <c r="E108" s="4" t="s">
        <v>2820</v>
      </c>
      <c r="G108" s="5" t="str">
        <f>IFERROR(__xludf.DUMMYFUNCTION("GOOGLETRANSLATE(A108, ""en"", ""id"")"),"107")</f>
        <v>107</v>
      </c>
      <c r="H108" s="5" t="str">
        <f>IFERROR(__xludf.DUMMYFUNCTION("GOOGLETRANSLATE(B108, ""en"", ""id"")"),"Seorang petarung diperingatkan karena mendorong kepala lawan ke bawah dalam posisi clinch. Apakah ini peringatan yang valid?")</f>
        <v>Seorang petarung diperingatkan karena mendorong kepala lawan ke bawah dalam posisi clinch. Apakah ini peringatan yang valid?</v>
      </c>
      <c r="I108" s="5" t="str">
        <f>IFERROR(__xludf.DUMMYFUNCTION("GOOGLETRANSLATE(C108, ""en"", ""id"")"),"A) Tidak, ini adalah bagian penting dari kontrol clinch, B) Ya, mengendalikan atau memanipulasi kepala lawan adalah pelanggaran, C) Hanya jika menyebabkan cedera, D) Hanya jika petarung lebih tinggi")</f>
        <v>A) Tidak, ini adalah bagian penting dari kontrol clinch, B) Ya, mengendalikan atau memanipulasi kepala lawan adalah pelanggaran, C) Hanya jika menyebabkan cedera, D) Hanya jika petarung lebih tinggi</v>
      </c>
      <c r="J108" s="5" t="str">
        <f>IFERROR(__xludf.DUMMYFUNCTION("GOOGLETRANSLATE(D108, ""en"", ""id"")"),"B) Ya, mengendalikan atau memanipulasi kepala lawan adalah pelanggaran")</f>
        <v>B) Ya, mengendalikan atau memanipulasi kepala lawan adalah pelanggaran</v>
      </c>
      <c r="K108" s="5" t="str">
        <f>IFERROR(__xludf.DUMMYFUNCTION("GOOGLETRANSLATE(E108, ""en"", ""id"")"),"Demi keselamatan, petarung tidak diperbolehkan mencengkeram, menarik, atau mendorong kepala lawan.")</f>
        <v>Demi keselamatan, petarung tidak diperbolehkan mencengkeram, menarik, atau mendorong kepala lawan.</v>
      </c>
    </row>
    <row r="109">
      <c r="A109" s="3">
        <v>108.0</v>
      </c>
      <c r="B109" s="4" t="s">
        <v>2821</v>
      </c>
      <c r="C109" s="6" t="s">
        <v>2822</v>
      </c>
      <c r="D109" s="4" t="s">
        <v>2823</v>
      </c>
      <c r="E109" s="4" t="s">
        <v>2824</v>
      </c>
      <c r="G109" s="5" t="str">
        <f>IFERROR(__xludf.DUMMYFUNCTION("GOOGLETRANSLATE(A109, ""en"", ""id"")"),"108")</f>
        <v>108</v>
      </c>
      <c r="H109" s="5" t="str">
        <f>IFERROR(__xludf.DUMMYFUNCTION("GOOGLETRANSLATE(B109, ""en"", ""id"")"),"Seorang petarung memenangkan pertandingan dengan ""keputusan mayoritas"". Apa artinya ini?")</f>
        <v>Seorang petarung memenangkan pertandingan dengan "keputusan mayoritas". Apa artinya ini?</v>
      </c>
      <c r="I109" s="5" t="str">
        <f>IFERROR(__xludf.DUMMYFUNCTION("GOOGLETRANSLATE(C109, ""en"", ""id"")"),"A) Semua juri sepakat dengan pemenangnya, B) Dua juri memberi nilai untuk pemenang, dan satu juri memberi nilai seri, C) Wasit membuat keputusan akhir, D) Penonton memilih pemenang")</f>
        <v>A) Semua juri sepakat dengan pemenangnya, B) Dua juri memberi nilai untuk pemenang, dan satu juri memberi nilai seri, C) Wasit membuat keputusan akhir, D) Penonton memilih pemenang</v>
      </c>
      <c r="J109" s="5" t="str">
        <f>IFERROR(__xludf.DUMMYFUNCTION("GOOGLETRANSLATE(D109, ""en"", ""id"")"),"B) Dua juri memberi nilai untuk pemenang, dan satu juri memberi nilai seri.")</f>
        <v>B) Dua juri memberi nilai untuk pemenang, dan satu juri memberi nilai seri.</v>
      </c>
      <c r="K109" s="5" t="str">
        <f>IFERROR(__xludf.DUMMYFUNCTION("GOOGLETRANSLATE(E109, ""en"", ""id"")"),"Hal ini menunjukkan bahwa sebagian besar, tetapi tidak semua, juri sepakat pada pemenangnya.")</f>
        <v>Hal ini menunjukkan bahwa sebagian besar, tetapi tidak semua, juri sepakat pada pemenangnya.</v>
      </c>
    </row>
    <row r="110">
      <c r="A110" s="3">
        <v>109.0</v>
      </c>
      <c r="B110" s="4" t="s">
        <v>2825</v>
      </c>
      <c r="C110" s="6" t="s">
        <v>2826</v>
      </c>
      <c r="D110" s="4" t="s">
        <v>2827</v>
      </c>
      <c r="E110" s="4" t="s">
        <v>2828</v>
      </c>
      <c r="G110" s="5" t="str">
        <f>IFERROR(__xludf.DUMMYFUNCTION("GOOGLETRANSLATE(A110, ""en"", ""id"")"),"109")</f>
        <v>109</v>
      </c>
      <c r="H110" s="5" t="str">
        <f>IFERROR(__xludf.DUMMYFUNCTION("GOOGLETRANSLATE(B110, ""en"", ""id"")"),"Seorang petarung mencoba melakukan takedown, tetapi lawan memegang tali untuk mencegahnya. Apa tindakan yang tepat dari wasit?")</f>
        <v>Seorang petarung mencoba melakukan takedown, tetapi lawan memegang tali untuk mencegahnya. Apa tindakan yang tepat dari wasit?</v>
      </c>
      <c r="I110" s="5" t="str">
        <f>IFERROR(__xludf.DUMMYFUNCTION("GOOGLETRANSLATE(C110, ""en"", ""id"")"),"A) Biarkan permainan berlanjut, B) Berikan takedown kepada penyerang, C) Hentikan pertarungan dan berikan peringatan atau pengurangan poin karena memegang tali, D) Latih pemain bertahan tentang cara melarikan diri")</f>
        <v>A) Biarkan permainan berlanjut, B) Berikan takedown kepada penyerang, C) Hentikan pertarungan dan berikan peringatan atau pengurangan poin karena memegang tali, D) Latih pemain bertahan tentang cara melarikan diri</v>
      </c>
      <c r="J110" s="5" t="str">
        <f>IFERROR(__xludf.DUMMYFUNCTION("GOOGLETRANSLATE(D110, ""en"", ""id"")"),"C) Hentikan pertarungan dan berikan peringatan atau pengurangan poin bagi yang memegang tali")</f>
        <v>C) Hentikan pertarungan dan berikan peringatan atau pengurangan poin bagi yang memegang tali</v>
      </c>
      <c r="K110" s="5" t="str">
        <f>IFERROR(__xludf.DUMMYFUNCTION("GOOGLETRANSLATE(E110, ""en"", ""id"")"),"Menggunakan tali sebagai daya ungkit untuk mempertahankan diri dari takedown merupakan tindakan ilegal dan akan dikenakan sanksi.")</f>
        <v>Menggunakan tali sebagai daya ungkit untuk mempertahankan diri dari takedown merupakan tindakan ilegal dan akan dikenakan sanksi.</v>
      </c>
    </row>
    <row r="111">
      <c r="A111" s="3">
        <v>110.0</v>
      </c>
      <c r="B111" s="4" t="s">
        <v>2829</v>
      </c>
      <c r="C111" s="6" t="s">
        <v>2830</v>
      </c>
      <c r="D111" s="4" t="s">
        <v>2831</v>
      </c>
      <c r="E111" s="4" t="s">
        <v>2832</v>
      </c>
      <c r="G111" s="5" t="str">
        <f>IFERROR(__xludf.DUMMYFUNCTION("GOOGLETRANSLATE(A111, ""en"", ""id"")"),"110")</f>
        <v>110</v>
      </c>
      <c r="H111" s="5" t="str">
        <f>IFERROR(__xludf.DUMMYFUNCTION("GOOGLETRANSLATE(B111, ""en"", ""id"")"),"Apa tujuan utama ""latihan jalan"" (lari jarak jauh) bagi seorang petarung?")</f>
        <v>Apa tujuan utama "latihan jalan" (lari jarak jauh) bagi seorang petarung?</v>
      </c>
      <c r="I111" s="5" t="str">
        <f>IFERROR(__xludf.DUMMYFUNCTION("GOOGLETRANSLATE(C111, ""en"", ""id"")"),"A) Untuk membangun kekuatan pukulan, B) Untuk membangun daya tahan kardiovaskular untuk pertarungan yang lama, C) Untuk melatih gerak kaki, D) Untuk menurunkan berat badan dengan cepat")</f>
        <v>A) Untuk membangun kekuatan pukulan, B) Untuk membangun daya tahan kardiovaskular untuk pertarungan yang lama, C) Untuk melatih gerak kaki, D) Untuk menurunkan berat badan dengan cepat</v>
      </c>
      <c r="J111" s="5" t="str">
        <f>IFERROR(__xludf.DUMMYFUNCTION("GOOGLETRANSLATE(D111, ""en"", ""id"")"),"B) Untuk membangun daya tahan kardiovaskular untuk pertarungan jarak jauh")</f>
        <v>B) Untuk membangun daya tahan kardiovaskular untuk pertarungan jarak jauh</v>
      </c>
      <c r="K111" s="5" t="str">
        <f>IFERROR(__xludf.DUMMYFUNCTION("GOOGLETRANSLATE(E111, ""en"", ""id"")"),"Latihan jalan sangat penting untuk mengembangkan stamina yang dibutuhkan untuk mempertahankan kecepatan tinggi untuk ketiga putaran.")</f>
        <v>Latihan jalan sangat penting untuk mengembangkan stamina yang dibutuhkan untuk mempertahankan kecepatan tinggi untuk ketiga putaran.</v>
      </c>
    </row>
    <row r="112">
      <c r="A112" s="3">
        <v>111.0</v>
      </c>
      <c r="B112" s="4" t="s">
        <v>2833</v>
      </c>
      <c r="C112" s="6" t="s">
        <v>2834</v>
      </c>
      <c r="D112" s="4" t="s">
        <v>2835</v>
      </c>
      <c r="E112" s="4" t="s">
        <v>2836</v>
      </c>
      <c r="G112" s="5" t="str">
        <f>IFERROR(__xludf.DUMMYFUNCTION("GOOGLETRANSLATE(A112, ""en"", ""id"")"),"111")</f>
        <v>111</v>
      </c>
      <c r="H112" s="5" t="str">
        <f>IFERROR(__xludf.DUMMYFUNCTION("GOOGLETRANSLATE(B112, ""en"", ""id"")"),"Seorang petarung terjatuh di akhir ronde. Bel berbunyi saat wasit menghitung sampai 4. Apa yang terjadi?")</f>
        <v>Seorang petarung terjatuh di akhir ronde. Bel berbunyi saat wasit menghitung sampai 4. Apa yang terjadi?</v>
      </c>
      <c r="I112" s="5" t="str">
        <f>IFERROR(__xludf.DUMMYFUNCTION("GOOGLETRANSLATE(C112, ""en"", ""id"")"),"A) Petarung ""diselamatkan oleh bel"", B) Hitungan berlanjut setelah bel, C) Ronde berakhir dan knockdown dinilai, D) Petarung didiskualifikasi")</f>
        <v>A) Petarung "diselamatkan oleh bel", B) Hitungan berlanjut setelah bel, C) Ronde berakhir dan knockdown dinilai, D) Petarung didiskualifikasi</v>
      </c>
      <c r="J112" s="5" t="str">
        <f>IFERROR(__xludf.DUMMYFUNCTION("GOOGLETRANSLATE(D112, ""en"", ""id"")"),"C) Ronde telah berakhir dan knockdown telah dinilai")</f>
        <v>C) Ronde telah berakhir dan knockdown telah dinilai</v>
      </c>
      <c r="K112" s="5" t="str">
        <f>IFERROR(__xludf.DUMMYFUNCTION("GOOGLETRANSLATE(E112, ""en"", ""id"")"),"Ronde resmi berakhir. Petarung tidak perlu mengalahkan hitungan, tetapi knockdown akan dinilai 10-8 untuk ronde tersebut.")</f>
        <v>Ronde resmi berakhir. Petarung tidak perlu mengalahkan hitungan, tetapi knockdown akan dinilai 10-8 untuk ronde tersebut.</v>
      </c>
    </row>
    <row r="113">
      <c r="A113" s="3">
        <v>112.0</v>
      </c>
      <c r="B113" s="4" t="s">
        <v>2837</v>
      </c>
      <c r="C113" s="6" t="s">
        <v>2838</v>
      </c>
      <c r="D113" s="4" t="s">
        <v>2839</v>
      </c>
      <c r="E113" s="4" t="s">
        <v>2840</v>
      </c>
      <c r="G113" s="5" t="str">
        <f>IFERROR(__xludf.DUMMYFUNCTION("GOOGLETRANSLATE(A113, ""en"", ""id"")"),"112")</f>
        <v>112</v>
      </c>
      <c r="H113" s="5" t="str">
        <f>IFERROR(__xludf.DUMMYFUNCTION("GOOGLETRANSLATE(B113, ""en"", ""id"")"),"Seorang petarung mendaratkan pukulan yang menyebabkan pembengkakan besar hingga menutup mata lawan. Dokter menghentikan pertarungan. Ini kemenangan karena apa?")</f>
        <v>Seorang petarung mendaratkan pukulan yang menyebabkan pembengkakan besar hingga menutup mata lawan. Dokter menghentikan pertarungan. Ini kemenangan karena apa?</v>
      </c>
      <c r="I113" s="5" t="str">
        <f>IFERROR(__xludf.DUMMYFUNCTION("GOOGLETRANSLATE(C113, ""en"", ""id"")"),"A) Knockout (KO), B) Technical Knockout (TKO), C) Decision, D) Diskualifikasi")</f>
        <v>A) Knockout (KO), B) Technical Knockout (TKO), C) Decision, D) Diskualifikasi</v>
      </c>
      <c r="J113" s="5" t="str">
        <f>IFERROR(__xludf.DUMMYFUNCTION("GOOGLETRANSLATE(D113, ""en"", ""id"")"),"B) Technical Knockout (TKO)")</f>
        <v>B) Technical Knockout (TKO)</v>
      </c>
      <c r="K113" s="5" t="str">
        <f>IFERROR(__xludf.DUMMYFUNCTION("GOOGLETRANSLATE(E113, ""en"", ""id"")"),"Jika serangan sah menyebabkan cedera (seperti pembengkakan parah) yang menghalangi petarung untuk melihat atau membela diri, dokter akan menghentikan pertarungan.")</f>
        <v>Jika serangan sah menyebabkan cedera (seperti pembengkakan parah) yang menghalangi petarung untuk melihat atau membela diri, dokter akan menghentikan pertarungan.</v>
      </c>
    </row>
    <row r="114">
      <c r="A114" s="3">
        <v>113.0</v>
      </c>
      <c r="B114" s="4" t="s">
        <v>2841</v>
      </c>
      <c r="C114" s="6" t="s">
        <v>2842</v>
      </c>
      <c r="D114" s="4" t="s">
        <v>2843</v>
      </c>
      <c r="E114" s="4" t="s">
        <v>2844</v>
      </c>
      <c r="G114" s="5" t="str">
        <f>IFERROR(__xludf.DUMMYFUNCTION("GOOGLETRANSLATE(A114, ""en"", ""id"")"),"113")</f>
        <v>113</v>
      </c>
      <c r="H114" s="5" t="str">
        <f>IFERROR(__xludf.DUMMYFUNCTION("GOOGLETRANSLATE(B114, ""en"", ""id"")"),"Mengapa penting bagi petarung untuk memutar kakinya saat melontarkan kaitan atau tendangan?")</f>
        <v>Mengapa penting bagi petarung untuk memutar kakinya saat melontarkan kaitan atau tendangan?</v>
      </c>
      <c r="I114" s="5" t="str">
        <f>IFERROR(__xludf.DUMMYFUNCTION("GOOGLETRANSLATE(C114, ""en"", ""id"")"),"A) Terlihat lebih profesional, B) Memungkinkan mereka menghasilkan tenaga dari rotasi pinggul dan inti mereka, C) Ini adalah aturan khusus, D) Membantu mereka menjaga keseimbangan setelah serangan")</f>
        <v>A) Terlihat lebih profesional, B) Memungkinkan mereka menghasilkan tenaga dari rotasi pinggul dan inti mereka, C) Ini adalah aturan khusus, D) Membantu mereka menjaga keseimbangan setelah serangan</v>
      </c>
      <c r="J114" s="5" t="str">
        <f>IFERROR(__xludf.DUMMYFUNCTION("GOOGLETRANSLATE(D114, ""en"", ""id"")"),"B) Memungkinkan mereka menghasilkan tenaga dari rotasi pinggul dan inti mereka")</f>
        <v>B) Memungkinkan mereka menghasilkan tenaga dari rotasi pinggul dan inti mereka</v>
      </c>
      <c r="K114" s="5" t="str">
        <f>IFERROR(__xludf.DUMMYFUNCTION("GOOGLETRANSLATE(E114, ""en"", ""id"")"),"Tenaga sejati datang dari bawah ke atas, melalui putaran tubuh, yang dimulai dengan memutar kaki.")</f>
        <v>Tenaga sejati datang dari bawah ke atas, melalui putaran tubuh, yang dimulai dengan memutar kaki.</v>
      </c>
    </row>
    <row r="115">
      <c r="A115" s="3">
        <v>114.0</v>
      </c>
      <c r="B115" s="4" t="s">
        <v>2845</v>
      </c>
      <c r="C115" s="6" t="s">
        <v>2846</v>
      </c>
      <c r="D115" s="4" t="s">
        <v>2847</v>
      </c>
      <c r="E115" s="4" t="s">
        <v>2848</v>
      </c>
      <c r="G115" s="5" t="str">
        <f>IFERROR(__xludf.DUMMYFUNCTION("GOOGLETRANSLATE(A115, ""en"", ""id"")"),"114")</f>
        <v>114</v>
      </c>
      <c r="H115" s="5" t="str">
        <f>IFERROR(__xludf.DUMMYFUNCTION("GOOGLETRANSLATE(B115, ""en"", ""id"")"),"Seorang petarung memenangkan ronde dengan skor 10-8. Apa alasan yang paling mungkin?")</f>
        <v>Seorang petarung memenangkan ronde dengan skor 10-8. Apa alasan yang paling mungkin?</v>
      </c>
      <c r="I115" s="5" t="str">
        <f>IFERROR(__xludf.DUMMYFUNCTION("GOOGLETRANSLATE(C115, ""en"", ""id"")"),"A) Mereka lebih agresif, B) Mereka mencetak knockdown di ronde tersebut, C) Lawan mereka mendapat penalti satu poin, D) Baik B maupun C kemungkinan besar")</f>
        <v>A) Mereka lebih agresif, B) Mereka mencetak knockdown di ronde tersebut, C) Lawan mereka mendapat penalti satu poin, D) Baik B maupun C kemungkinan besar</v>
      </c>
      <c r="J115" s="5" t="str">
        <f>IFERROR(__xludf.DUMMYFUNCTION("GOOGLETRANSLATE(D115, ""en"", ""id"")"),"D) B dan C kemungkinan besar")</f>
        <v>D) B dan C kemungkinan besar</v>
      </c>
      <c r="K115" s="5" t="str">
        <f>IFERROR(__xludf.DUMMYFUNCTION("GOOGLETRANSLATE(E115, ""en"", ""id"")"),"Ronde standar yang menang adalah 10-9. Skor 10-8 diberikan jika pemenang juga berhasil menjatuhkan lawan, ATAU jika yang kalah mendapat penalti satu poin karena melakukan pelanggaran.")</f>
        <v>Ronde standar yang menang adalah 10-9. Skor 10-8 diberikan jika pemenang juga berhasil menjatuhkan lawan, ATAU jika yang kalah mendapat penalti satu poin karena melakukan pelanggaran.</v>
      </c>
    </row>
    <row r="116">
      <c r="A116" s="3">
        <v>115.0</v>
      </c>
      <c r="B116" s="4" t="s">
        <v>2849</v>
      </c>
      <c r="C116" s="6" t="s">
        <v>2850</v>
      </c>
      <c r="D116" s="4" t="s">
        <v>2851</v>
      </c>
      <c r="E116" s="4" t="s">
        <v>2852</v>
      </c>
      <c r="G116" s="5" t="str">
        <f>IFERROR(__xludf.DUMMYFUNCTION("GOOGLETRANSLATE(A116, ""en"", ""id"")"),"115")</f>
        <v>115</v>
      </c>
      <c r="H116" s="5" t="str">
        <f>IFERROR(__xludf.DUMMYFUNCTION("GOOGLETRANSLATE(B116, ""en"", ""id"")"),"Apa nama selempang putih yang dikenakan oleh pemula dalam Tarung Derajat?")</f>
        <v>Apa nama selempang putih yang dikenakan oleh pemula dalam Tarung Derajat?</v>
      </c>
      <c r="I116" s="5" t="str">
        <f>IFERROR(__xludf.DUMMYFUNCTION("GOOGLETRANSLATE(C116, ""en"", ""id"")"),"A) Kurata I, B) Sabuk Putih, C) Ksatria, D) Petinju")</f>
        <v>A) Kurata I, B) Sabuk Putih, C) Ksatria, D) Petinju</v>
      </c>
      <c r="J116" s="5" t="str">
        <f>IFERROR(__xludf.DUMMYFUNCTION("GOOGLETRANSLATE(D116, ""en"", ""id"")"),"A) Kurata I")</f>
        <v>A) Kurata I</v>
      </c>
      <c r="K116" s="5" t="str">
        <f>IFERROR(__xludf.DUMMYFUNCTION("GOOGLETRANSLATE(E116, ""en"", ""id"")"),"Kurata I adalah tingkat pertama dalam sistem penilaian, dan para praktisinya mengenakan selempang putih.")</f>
        <v>Kurata I adalah tingkat pertama dalam sistem penilaian, dan para praktisinya mengenakan selempang putih.</v>
      </c>
    </row>
    <row r="117">
      <c r="A117" s="3">
        <v>116.0</v>
      </c>
      <c r="B117" s="4" t="s">
        <v>2853</v>
      </c>
      <c r="C117" s="6" t="s">
        <v>2854</v>
      </c>
      <c r="D117" s="4" t="s">
        <v>2855</v>
      </c>
      <c r="E117" s="4" t="s">
        <v>2856</v>
      </c>
      <c r="G117" s="5" t="str">
        <f>IFERROR(__xludf.DUMMYFUNCTION("GOOGLETRANSLATE(A117, ""en"", ""id"")"),"116")</f>
        <v>116</v>
      </c>
      <c r="H117" s="5" t="str">
        <f>IFERROR(__xludf.DUMMYFUNCTION("GOOGLETRANSLATE(B117, ""en"", ""id"")"),"Seorang petarung dikenal karena ""pertarungan internal""-nya yang luar biasa. Apa artinya ini?")</f>
        <v>Seorang petarung dikenal karena "pertarungan internal"-nya yang luar biasa. Apa artinya ini?</v>
      </c>
      <c r="I117" s="5" t="str">
        <f>IFERROR(__xludf.DUMMYFUNCTION("GOOGLETRANSLATE(C117, ""en"", ""id"")"),"A) Mereka lebih suka bertarung jarak jauh, B) Mereka unggul dalam pertarungan jarak dekat, menggunakan kait, pukulan atas, dan lutut, C) Mereka adalah petarung internal dan spiritual, D) Mereka memiliki pertahanan yang baik")</f>
        <v>A) Mereka lebih suka bertarung jarak jauh, B) Mereka unggul dalam pertarungan jarak dekat, menggunakan kait, pukulan atas, dan lutut, C) Mereka adalah petarung internal dan spiritual, D) Mereka memiliki pertahanan yang baik</v>
      </c>
      <c r="J117" s="5" t="str">
        <f>IFERROR(__xludf.DUMMYFUNCTION("GOOGLETRANSLATE(D117, ""en"", ""id"")"),"B) Mereka unggul dalam pertarungan jarak dekat, menggunakan kait, pukulan atas, dan lutut")</f>
        <v>B) Mereka unggul dalam pertarungan jarak dekat, menggunakan kait, pukulan atas, dan lutut</v>
      </c>
      <c r="K117" s="5" t="str">
        <f>IFERROR(__xludf.DUMMYFUNCTION("GOOGLETRANSLATE(E117, ""en"", ""id"")"),"""Petinju dalam"" adalah petinju yang suka mendekati lawannya dan berlatih dari dalam.")</f>
        <v>"Petinju dalam" adalah petinju yang suka mendekati lawannya dan berlatih dari dalam.</v>
      </c>
    </row>
    <row r="118">
      <c r="A118" s="3">
        <v>117.0</v>
      </c>
      <c r="B118" s="4" t="s">
        <v>2857</v>
      </c>
      <c r="C118" s="6" t="s">
        <v>2858</v>
      </c>
      <c r="D118" s="4" t="s">
        <v>2859</v>
      </c>
      <c r="E118" s="4" t="s">
        <v>2860</v>
      </c>
      <c r="G118" s="5" t="str">
        <f>IFERROR(__xludf.DUMMYFUNCTION("GOOGLETRANSLATE(A118, ""en"", ""id"")"),"117")</f>
        <v>117</v>
      </c>
      <c r="H118" s="5" t="str">
        <f>IFERROR(__xludf.DUMMYFUNCTION("GOOGLETRANSLATE(B118, ""en"", ""id"")"),"Seorang petarung terluka akibat sundulan kepala yang tidak disengaja, dan dokter menghentikan pertarungan di ronde terakhir. Bagaimana pemenangnya ditentukan?")</f>
        <v>Seorang petarung terluka akibat sundulan kepala yang tidak disengaja, dan dokter menghentikan pertarungan di ronde terakhir. Bagaimana pemenangnya ditentukan?</v>
      </c>
      <c r="I118" s="5" t="str">
        <f>IFERROR(__xludf.DUMMYFUNCTION("GOOGLETRANSLATE(C118, ""en"", ""id"")"),"A) Pertarungan ini adalah ""no contest"", B) Petarung yang tidak tereliminasi menang, C) Pemenangnya ditentukan dengan melihat kartu skor juri hingga saat itu, D) Ronde diulang kembali")</f>
        <v>A) Pertarungan ini adalah "no contest", B) Petarung yang tidak tereliminasi menang, C) Pemenangnya ditentukan dengan melihat kartu skor juri hingga saat itu, D) Ronde diulang kembali</v>
      </c>
      <c r="J118" s="5" t="str">
        <f>IFERROR(__xludf.DUMMYFUNCTION("GOOGLETRANSLATE(D118, ""en"", ""id"")"),"C) Pemenang ditentukan berdasarkan nilai juri hingga saat itu")</f>
        <v>C) Pemenang ditentukan berdasarkan nilai juri hingga saat itu</v>
      </c>
      <c r="K118" s="5" t="str">
        <f>IFERROR(__xludf.DUMMYFUNCTION("GOOGLETRANSLATE(E118, ""en"", ""id"")"),"Jika perkelahian dihentikan karena pelanggaran yang tidak disengaja setelah sebagian besar ronde selesai, hasilnya ditentukan oleh skor (""keputusan teknis"").")</f>
        <v>Jika perkelahian dihentikan karena pelanggaran yang tidak disengaja setelah sebagian besar ronde selesai, hasilnya ditentukan oleh skor ("keputusan teknis").</v>
      </c>
    </row>
    <row r="119">
      <c r="A119" s="3">
        <v>118.0</v>
      </c>
      <c r="B119" s="4" t="s">
        <v>2861</v>
      </c>
      <c r="C119" s="6" t="s">
        <v>2862</v>
      </c>
      <c r="D119" s="4" t="s">
        <v>2863</v>
      </c>
      <c r="E119" s="4" t="s">
        <v>2864</v>
      </c>
      <c r="G119" s="5" t="str">
        <f>IFERROR(__xludf.DUMMYFUNCTION("GOOGLETRANSLATE(A119, ""en"", ""id"")"),"118")</f>
        <v>118</v>
      </c>
      <c r="H119" s="5" t="str">
        <f>IFERROR(__xludf.DUMMYFUNCTION("GOOGLETRANSLATE(B119, ""en"", ""id"")"),"Mengapa penting bagi petarung untuk menjaga dagunya tetap terlipat?")</f>
        <v>Mengapa penting bagi petarung untuk menjaga dagunya tetap terlipat?</v>
      </c>
      <c r="I119" s="5" t="str">
        <f>IFERROR(__xludf.DUMMYFUNCTION("GOOGLETRANSLATE(C119, ""en"", ""id"")"),"A) Membantu pernapasan, B) Melindungi rahang dari benturan langsung, mengurangi kemungkinan pingsan, C) Merupakan tanda penghormatan, D) Meningkatkan keseimbangan secara keseluruhan")</f>
        <v>A) Membantu pernapasan, B) Melindungi rahang dari benturan langsung, mengurangi kemungkinan pingsan, C) Merupakan tanda penghormatan, D) Meningkatkan keseimbangan secara keseluruhan</v>
      </c>
      <c r="J119" s="5" t="str">
        <f>IFERROR(__xludf.DUMMYFUNCTION("GOOGLETRANSLATE(D119, ""en"", ""id"")"),"B) Melindungi rahang dari benturan langsung, sehingga mengurangi kemungkinan terjadinya KO")</f>
        <v>B) Melindungi rahang dari benturan langsung, sehingga mengurangi kemungkinan terjadinya KO</v>
      </c>
      <c r="K119" s="5" t="str">
        <f>IFERROR(__xludf.DUMMYFUNCTION("GOOGLETRANSLATE(E119, ""en"", ""id"")"),"Dagu yang terbuka adalah target utama. Menutupnya akan membuat lawan jauh lebih sulit mendaratkan pukulan yang bersih dan keras.")</f>
        <v>Dagu yang terbuka adalah target utama. Menutupnya akan membuat lawan jauh lebih sulit mendaratkan pukulan yang bersih dan keras.</v>
      </c>
    </row>
    <row r="120">
      <c r="A120" s="3">
        <v>119.0</v>
      </c>
      <c r="B120" s="4" t="s">
        <v>2865</v>
      </c>
      <c r="C120" s="6" t="s">
        <v>2866</v>
      </c>
      <c r="D120" s="4" t="s">
        <v>2739</v>
      </c>
      <c r="E120" s="4" t="s">
        <v>2867</v>
      </c>
      <c r="G120" s="5" t="str">
        <f>IFERROR(__xludf.DUMMYFUNCTION("GOOGLETRANSLATE(A120, ""en"", ""id"")"),"119")</f>
        <v>119</v>
      </c>
      <c r="H120" s="5" t="str">
        <f>IFERROR(__xludf.DUMMYFUNCTION("GOOGLETRANSLATE(B120, ""en"", ""id"")"),"Seorang petarung terkena pukulan ke badan dan membelakangi lawan. Apa tindakan yang tepat dari wasit?")</f>
        <v>Seorang petarung terkena pukulan ke badan dan membelakangi lawan. Apa tindakan yang tepat dari wasit?</v>
      </c>
      <c r="I120" s="5" t="str">
        <f>IFERROR(__xludf.DUMMYFUNCTION("GOOGLETRANSLATE(C120, ""en"", ""id"")"),"A) Hentikan pertarungan segera (TKO), B) Biarkan pertarungan berlanjut, C) Berikan petarung hitungan berdiri 8, D) Peringatkan petarung karena membalikkan punggungnya")</f>
        <v>A) Hentikan pertarungan segera (TKO), B) Biarkan pertarungan berlanjut, C) Berikan petarung hitungan berdiri 8, D) Peringatkan petarung karena membalikkan punggungnya</v>
      </c>
      <c r="J120" s="5" t="str">
        <f>IFERROR(__xludf.DUMMYFUNCTION("GOOGLETRANSLATE(D120, ""en"", ""id"")"),"A) Hentikan pertarungan segera (TKO)")</f>
        <v>A) Hentikan pertarungan segera (TKO)</v>
      </c>
      <c r="K120" s="5" t="str">
        <f>IFERROR(__xludf.DUMMYFUNCTION("GOOGLETRANSLATE(E120, ""en"", ""id"")"),"Membalikkan badan adalah tanda utama ketidakmampuan atau keengganan untuk membela diri. Wasit akan selalu menghentikan pertandingan untuk melindungi petarung.")</f>
        <v>Membalikkan badan adalah tanda utama ketidakmampuan atau keengganan untuk membela diri. Wasit akan selalu menghentikan pertandingan untuk melindungi petarung.</v>
      </c>
    </row>
    <row r="121">
      <c r="A121" s="3">
        <v>120.0</v>
      </c>
      <c r="B121" s="4" t="s">
        <v>2868</v>
      </c>
      <c r="C121" s="6" t="s">
        <v>2869</v>
      </c>
      <c r="D121" s="4" t="s">
        <v>2870</v>
      </c>
      <c r="E121" s="4" t="s">
        <v>2871</v>
      </c>
      <c r="G121" s="5" t="str">
        <f>IFERROR(__xludf.DUMMYFUNCTION("GOOGLETRANSLATE(A121, ""en"", ""id"")"),"120")</f>
        <v>120</v>
      </c>
      <c r="H121" s="5" t="str">
        <f>IFERROR(__xludf.DUMMYFUNCTION("GOOGLETRANSLATE(B121, ""en"", ""id"")"),"Apa tujuan utama ""shadowboxing"" dalam pelatihan petarung?")</f>
        <v>Apa tujuan utama "shadowboxing" dalam pelatihan petarung?</v>
      </c>
      <c r="I121" s="5" t="str">
        <f>IFERROR(__xludf.DUMMYFUNCTION("GOOGLETRANSLATE(C121, ""en"", ""id"")"),"A) Untuk membangun massa otot, B) Untuk meningkatkan teknik, ritme, dan gerak kaki tanpa pasangan, C) Untuk mengesankan pelatih, D) Untuk pemanasan lengan dan kaki")</f>
        <v>A) Untuk membangun massa otot, B) Untuk meningkatkan teknik, ritme, dan gerak kaki tanpa pasangan, C) Untuk mengesankan pelatih, D) Untuk pemanasan lengan dan kaki</v>
      </c>
      <c r="J121" s="5" t="str">
        <f>IFERROR(__xludf.DUMMYFUNCTION("GOOGLETRANSLATE(D121, ""en"", ""id"")"),"B) Untuk meningkatkan teknik, ritme, dan gerak kaki tanpa pasangan")</f>
        <v>B) Untuk meningkatkan teknik, ritme, dan gerak kaki tanpa pasangan</v>
      </c>
      <c r="K121" s="5" t="str">
        <f>IFERROR(__xludf.DUMMYFUNCTION("GOOGLETRANSLATE(E121, ""en"", ""id"")"),"Shadowboxing adalah latihan dasar untuk menyempurnakan bentuk dan gerakan, dan untuk memvisualisasikan pertarungan.")</f>
        <v>Shadowboxing adalah latihan dasar untuk menyempurnakan bentuk dan gerakan, dan untuk memvisualisasikan pertarungan.</v>
      </c>
    </row>
    <row r="122">
      <c r="A122" s="3">
        <v>121.0</v>
      </c>
      <c r="B122" s="4" t="s">
        <v>2872</v>
      </c>
      <c r="C122" s="6" t="s">
        <v>2873</v>
      </c>
      <c r="D122" s="4" t="s">
        <v>2874</v>
      </c>
      <c r="E122" s="4" t="s">
        <v>2875</v>
      </c>
      <c r="G122" s="5" t="str">
        <f>IFERROR(__xludf.DUMMYFUNCTION("GOOGLETRANSLATE(A122, ""en"", ""id"")"),"121")</f>
        <v>121</v>
      </c>
      <c r="H122" s="5" t="str">
        <f>IFERROR(__xludf.DUMMYFUNCTION("GOOGLETRANSLATE(B122, ""en"", ""id"")"),"Seorang petarung terkena jab yang mendarat di dahinya. Apakah ini sebuah pukulan yang menghasilkan skor?")</f>
        <v>Seorang petarung terkena jab yang mendarat di dahinya. Apakah ini sebuah pukulan yang menghasilkan skor?</v>
      </c>
      <c r="I122" s="5" t="str">
        <f>IFERROR(__xludf.DUMMYFUNCTION("GOOGLETRANSLATE(C122, ""en"", ""id"")"),"A) Ya, pukulan ke kepala mendapat skor 2 poin, B) Tidak, dahi bukan target yang sah, C) Hanya jika menyebabkan luka, D) Ya, tetapi hanya mendapat skor 1 poin")</f>
        <v>A) Ya, pukulan ke kepala mendapat skor 2 poin, B) Tidak, dahi bukan target yang sah, C) Hanya jika menyebabkan luka, D) Ya, tetapi hanya mendapat skor 1 poin</v>
      </c>
      <c r="J122" s="5" t="str">
        <f>IFERROR(__xludf.DUMMYFUNCTION("GOOGLETRANSLATE(D122, ""en"", ""id"")"),"A) Ya, pukulan ke kepala mendapat skor 2 poin")</f>
        <v>A) Ya, pukulan ke kepala mendapat skor 2 poin</v>
      </c>
      <c r="K122" s="5" t="str">
        <f>IFERROR(__xludf.DUMMYFUNCTION("GOOGLETRANSLATE(E122, ""en"", ""id"")"),"Kepala merupakan area target yang sah, dan pukulan bersih yang mendarat di sana diberikan 2 poin.")</f>
        <v>Kepala merupakan area target yang sah, dan pukulan bersih yang mendarat di sana diberikan 2 poin.</v>
      </c>
    </row>
    <row r="123">
      <c r="A123" s="3">
        <v>122.0</v>
      </c>
      <c r="B123" s="4" t="s">
        <v>2876</v>
      </c>
      <c r="C123" s="6" t="s">
        <v>2877</v>
      </c>
      <c r="D123" s="4" t="s">
        <v>2878</v>
      </c>
      <c r="E123" s="4" t="s">
        <v>2879</v>
      </c>
      <c r="G123" s="5" t="str">
        <f>IFERROR(__xludf.DUMMYFUNCTION("GOOGLETRANSLATE(A123, ""en"", ""id"")"),"122")</f>
        <v>122</v>
      </c>
      <c r="H123" s="5" t="str">
        <f>IFERROR(__xludf.DUMMYFUNCTION("GOOGLETRANSLATE(B123, ""en"", ""id"")"),"Seorang petarung terjatuh. Pelatihnya naik ke apron ring dan berteriak kepada wasit. Apa yang bisa dilakukan wasit?")</f>
        <v>Seorang petarung terjatuh. Pelatihnya naik ke apron ring dan berteriak kepada wasit. Apa yang bisa dilakukan wasit?</v>
      </c>
      <c r="I123" s="5" t="str">
        <f>IFERROR(__xludf.DUMMYFUNCTION("GOOGLETRANSLATE(C123, ""en"", ""id"")"),"A) Tidak ada, pelatih diperbolehkan berada di sana, B) Keluarkan pelatih dari sudut dan diskualifikasi petarung, C) Hentikan hitungan dan beri salam kepada pelatih, D) Tambahkan detik ke waktu istirahat")</f>
        <v>A) Tidak ada, pelatih diperbolehkan berada di sana, B) Keluarkan pelatih dari sudut dan diskualifikasi petarung, C) Hentikan hitungan dan beri salam kepada pelatih, D) Tambahkan detik ke waktu istirahat</v>
      </c>
      <c r="J123" s="5" t="str">
        <f>IFERROR(__xludf.DUMMYFUNCTION("GOOGLETRANSLATE(D123, ""en"", ""id"")"),"B) Keluarkan pelatih dari sudut dan diskualifikasi petarung")</f>
        <v>B) Keluarkan pelatih dari sudut dan diskualifikasi petarung</v>
      </c>
      <c r="K123" s="5" t="str">
        <f>IFERROR(__xludf.DUMMYFUNCTION("GOOGLETRANSLATE(E123, ""en"", ""id"")"),"Pelatih dilarang memasuki ring atau menginjak apron selama ronde. Pelanggaran serius ini dapat mengakibatkan diskualifikasi petarungnya.")</f>
        <v>Pelatih dilarang memasuki ring atau menginjak apron selama ronde. Pelanggaran serius ini dapat mengakibatkan diskualifikasi petarungnya.</v>
      </c>
    </row>
    <row r="124">
      <c r="A124" s="3">
        <v>123.0</v>
      </c>
      <c r="B124" s="4" t="s">
        <v>2880</v>
      </c>
      <c r="C124" s="6" t="s">
        <v>2881</v>
      </c>
      <c r="D124" s="4" t="s">
        <v>2882</v>
      </c>
      <c r="E124" s="4" t="s">
        <v>2883</v>
      </c>
      <c r="G124" s="5" t="str">
        <f>IFERROR(__xludf.DUMMYFUNCTION("GOOGLETRANSLATE(A124, ""en"", ""id"")"),"123")</f>
        <v>123</v>
      </c>
      <c r="H124" s="5" t="str">
        <f>IFERROR(__xludf.DUMMYFUNCTION("GOOGLETRANSLATE(B124, ""en"", ""id"")"),"Apa keuntungan utama memiliki jangkauan yang lebih jauh daripada lawan Anda?")</f>
        <v>Apa keuntungan utama memiliki jangkauan yang lebih jauh daripada lawan Anda?</v>
      </c>
      <c r="I124" s="5" t="str">
        <f>IFERROR(__xludf.DUMMYFUNCTION("GOOGLETRANSLATE(C124, ""en"", ""id"")"),"A) Anda bisa memukul mereka sambil tetap berada di luar jangkauan pukulan mereka, B) Pukulan Anda secara alami lebih kuat, C) Anda adalah target yang lebih kecil, D) Anda memiliki pertahanan yang lebih baik")</f>
        <v>A) Anda bisa memukul mereka sambil tetap berada di luar jangkauan pukulan mereka, B) Pukulan Anda secara alami lebih kuat, C) Anda adalah target yang lebih kecil, D) Anda memiliki pertahanan yang lebih baik</v>
      </c>
      <c r="J124" s="5" t="str">
        <f>IFERROR(__xludf.DUMMYFUNCTION("GOOGLETRANSLATE(D124, ""en"", ""id"")"),"A) Anda dapat memukul mereka sambil tetap berada di luar jangkauan pukulan mereka")</f>
        <v>A) Anda dapat memukul mereka sambil tetap berada di luar jangkauan pukulan mereka</v>
      </c>
      <c r="K124" s="5" t="str">
        <f>IFERROR(__xludf.DUMMYFUNCTION("GOOGLETRANSLATE(E124, ""en"", ""id"")"),"Keunggulan jangkauan memungkinkan petarung mengendalikan jarak pertarungan dan melancarkan serangan dari jarak yang lebih aman.")</f>
        <v>Keunggulan jangkauan memungkinkan petarung mengendalikan jarak pertarungan dan melancarkan serangan dari jarak yang lebih aman.</v>
      </c>
    </row>
    <row r="125">
      <c r="A125" s="3">
        <v>124.0</v>
      </c>
      <c r="B125" s="4" t="s">
        <v>2884</v>
      </c>
      <c r="C125" s="6" t="s">
        <v>2885</v>
      </c>
      <c r="D125" s="4" t="s">
        <v>2771</v>
      </c>
      <c r="E125" s="4" t="s">
        <v>2886</v>
      </c>
      <c r="G125" s="5" t="str">
        <f>IFERROR(__xludf.DUMMYFUNCTION("GOOGLETRANSLATE(A125, ""en"", ""id"")"),"124")</f>
        <v>124</v>
      </c>
      <c r="H125" s="5" t="str">
        <f>IFERROR(__xludf.DUMMYFUNCTION("GOOGLETRANSLATE(B125, ""en"", ""id"")"),"Seorang petarung memenangkan pertandingan, tetapi selebrasi pasca-pertandingannya dianggap sangat tidak sopan. Apa yang bisa dilakukan komisi atletik?")</f>
        <v>Seorang petarung memenangkan pertandingan, tetapi selebrasi pasca-pertandingannya dianggap sangat tidak sopan. Apa yang bisa dilakukan komisi atletik?</v>
      </c>
      <c r="I125" s="5" t="str">
        <f>IFERROR(__xludf.DUMMYFUNCTION("GOOGLETRANSLATE(C125, ""en"", ""id"")"),"A) Tidak ada, hasilnya final, B) Mereka dapat mendenda atau menskors petarung, C) Mereka dapat membatalkan keputusan, D) Mereka dapat memerintahkan pertandingan ulang segera")</f>
        <v>A) Tidak ada, hasilnya final, B) Mereka dapat mendenda atau menskors petarung, C) Mereka dapat membatalkan keputusan, D) Mereka dapat memerintahkan pertandingan ulang segera</v>
      </c>
      <c r="J125" s="5" t="str">
        <f>IFERROR(__xludf.DUMMYFUNCTION("GOOGLETRANSLATE(D125, ""en"", ""id"")"),"B) Mereka dapat mendenda atau menangguhkan petarung tersebut")</f>
        <v>B) Mereka dapat mendenda atau menangguhkan petarung tersebut</v>
      </c>
      <c r="K125" s="5" t="str">
        <f>IFERROR(__xludf.DUMMYFUNCTION("GOOGLETRANSLATE(E125, ""en"", ""id"")"),"Perilaku seorang petarung tetap diawasi bahkan setelah pertandingan. Komisi dapat memberikan sanksi atas pelanggaran pascapertandingan.")</f>
        <v>Perilaku seorang petarung tetap diawasi bahkan setelah pertandingan. Komisi dapat memberikan sanksi atas pelanggaran pascapertandingan.</v>
      </c>
    </row>
    <row r="126">
      <c r="A126" s="3">
        <v>125.0</v>
      </c>
      <c r="B126" s="4" t="s">
        <v>2887</v>
      </c>
      <c r="C126" s="6" t="s">
        <v>2888</v>
      </c>
      <c r="D126" s="4" t="s">
        <v>448</v>
      </c>
      <c r="E126" s="4" t="s">
        <v>2889</v>
      </c>
      <c r="G126" s="5" t="str">
        <f>IFERROR(__xludf.DUMMYFUNCTION("GOOGLETRANSLATE(A126, ""en"", ""id"")"),"125")</f>
        <v>125</v>
      </c>
      <c r="H126" s="5" t="str">
        <f>IFERROR(__xludf.DUMMYFUNCTION("GOOGLETRANSLATE(B126, ""en"", ""id"")"),"Seorang petarung sukses dengan tendangan rendah. Apa cara umum yang dilakukan lawan untuk menangkalnya?")</f>
        <v>Seorang petarung sukses dengan tendangan rendah. Apa cara umum yang dilakukan lawan untuk menangkalnya?</v>
      </c>
      <c r="I126" s="5" t="str">
        <f>IFERROR(__xludf.DUMMYFUNCTION("GOOGLETRANSLATE(C126, ""en"", ""id"")"),"A) Memblokir tendangan dengan kaki sendiri, B) Mencoba menangkap tendangan, C) Menanggapi dengan pukulan lurus ke tengah saat tendangan dilempar, D) Semua jawaban di atas")</f>
        <v>A) Memblokir tendangan dengan kaki sendiri, B) Mencoba menangkap tendangan, C) Menanggapi dengan pukulan lurus ke tengah saat tendangan dilempar, D) Semua jawaban di atas</v>
      </c>
      <c r="J126" s="5" t="str">
        <f>IFERROR(__xludf.DUMMYFUNCTION("GOOGLETRANSLATE(D126, ""en"", ""id"")"),"D) Semua jawaban di atas")</f>
        <v>D) Semua jawaban di atas</v>
      </c>
      <c r="K126" s="5" t="str">
        <f>IFERROR(__xludf.DUMMYFUNCTION("GOOGLETRANSLATE(E126, ""en"", ""id"")"),"Ada beberapa cara untuk menangkal tendangan rendah, termasuk menangkisnya (menghalangi), menangkapnya, atau menyerang saat lawan berdiri dengan satu kaki.")</f>
        <v>Ada beberapa cara untuk menangkal tendangan rendah, termasuk menangkisnya (menghalangi), menangkapnya, atau menyerang saat lawan berdiri dengan satu kaki.</v>
      </c>
    </row>
    <row r="127">
      <c r="A127" s="3">
        <v>126.0</v>
      </c>
      <c r="B127" s="4" t="s">
        <v>2890</v>
      </c>
      <c r="C127" s="6" t="s">
        <v>2891</v>
      </c>
      <c r="D127" s="4" t="s">
        <v>2892</v>
      </c>
      <c r="E127" s="4" t="s">
        <v>2893</v>
      </c>
      <c r="G127" s="5" t="str">
        <f>IFERROR(__xludf.DUMMYFUNCTION("GOOGLETRANSLATE(A127, ""en"", ""id"")"),"126")</f>
        <v>126</v>
      </c>
      <c r="H127" s="5" t="str">
        <f>IFERROR(__xludf.DUMMYFUNCTION("GOOGLETRANSLATE(B127, ""en"", ""id"")"),"Seorang petarung terjatuh. Hitungan wasit mencapai sepuluh tepat saat bel tanda berakhirnya pertandingan berbunyi. Apa hasilnya?")</f>
        <v>Seorang petarung terjatuh. Hitungan wasit mencapai sepuluh tepat saat bel tanda berakhirnya pertandingan berbunyi. Apa hasilnya?</v>
      </c>
      <c r="I127" s="5" t="str">
        <f>IFERROR(__xludf.DUMMYFUNCTION("GOOGLETRANSLATE(C127, ""en"", ""id"")"),"A) Petarung diselamatkan oleh bel, dan pertarungan berlanjut ke keputusan, B) Petarung dihitung keluar dan kalah dengan Knockout (KO), C) Ronde final diulang, D) Petarung yang menang dengan poin menang")</f>
        <v>A) Petarung diselamatkan oleh bel, dan pertarungan berlanjut ke keputusan, B) Petarung dihitung keluar dan kalah dengan Knockout (KO), C) Ronde final diulang, D) Petarung yang menang dengan poin menang</v>
      </c>
      <c r="J127" s="5" t="str">
        <f>IFERROR(__xludf.DUMMYFUNCTION("GOOGLETRANSLATE(D127, ""en"", ""id"")"),"B) Petarung tersebut dihitung keluar dan kalah dengan Knockout (KO)")</f>
        <v>B) Petarung tersebut dihitung keluar dan kalah dengan Knockout (KO)</v>
      </c>
      <c r="K127" s="5" t="str">
        <f>IFERROR(__xludf.DUMMYFUNCTION("GOOGLETRANSLATE(E127, ""en"", ""id"")"),"Lonceng tidak dapat menyelamatkan petarung dari hitungan sepuluh. Jika hitungan selesai, pertarungan berakhir, terlepas dari bunyi bel.")</f>
        <v>Lonceng tidak dapat menyelamatkan petarung dari hitungan sepuluh. Jika hitungan selesai, pertarungan berakhir, terlepas dari bunyi bel.</v>
      </c>
    </row>
    <row r="128">
      <c r="A128" s="3">
        <v>127.0</v>
      </c>
      <c r="B128" s="4" t="s">
        <v>2894</v>
      </c>
      <c r="C128" s="6" t="s">
        <v>2895</v>
      </c>
      <c r="D128" s="4" t="s">
        <v>2896</v>
      </c>
      <c r="E128" s="4" t="s">
        <v>2897</v>
      </c>
      <c r="G128" s="5" t="str">
        <f>IFERROR(__xludf.DUMMYFUNCTION("GOOGLETRANSLATE(A128, ""en"", ""id"")"),"127")</f>
        <v>127</v>
      </c>
      <c r="H128" s="5" t="str">
        <f>IFERROR(__xludf.DUMMYFUNCTION("GOOGLETRANSLATE(B128, ""en"", ""id"")"),"Apa ciri utama dari prinsip moral “Kemandirian”?")</f>
        <v>Apa ciri utama dari prinsip moral “Kemandirian”?</v>
      </c>
      <c r="I128" s="5" t="str">
        <f>IFERROR(__xludf.DUMMYFUNCTION("GOOGLETRANSLATE(C128, ""en"", ""id"")"),"A) Seorang petarung harus berlatih sendiri, B) Ini mengajarkan seorang praktisi untuk mandiri dan tidak menjadi beban bagi orang lain, C) Ini mengacu pada kemandirian finansial, D) Ini adalah strategi bertahan.")</f>
        <v>A) Seorang petarung harus berlatih sendiri, B) Ini mengajarkan seorang praktisi untuk mandiri dan tidak menjadi beban bagi orang lain, C) Ini mengacu pada kemandirian finansial, D) Ini adalah strategi bertahan.</v>
      </c>
      <c r="J128" s="5" t="str">
        <f>IFERROR(__xludf.DUMMYFUNCTION("GOOGLETRANSLATE(D128, ""en"", ""id"")"),"B) Mengajarkan seorang praktisi untuk mandiri dan tidak menjadi beban bagi orang lain")</f>
        <v>B) Mengajarkan seorang praktisi untuk mandiri dan tidak menjadi beban bagi orang lain</v>
      </c>
      <c r="K128" s="5" t="str">
        <f>IFERROR(__xludf.DUMMYFUNCTION("GOOGLETRANSLATE(E128, ""en"", ""id"")"),"Ini adalah salah satu dari Lima Saraf Moral, yang menekankan tanggung jawab pribadi dan kemampuan untuk berdiri sendiri dalam kehidupan.")</f>
        <v>Ini adalah salah satu dari Lima Saraf Moral, yang menekankan tanggung jawab pribadi dan kemampuan untuk berdiri sendiri dalam kehidupan.</v>
      </c>
    </row>
    <row r="129">
      <c r="A129" s="3">
        <v>128.0</v>
      </c>
      <c r="B129" s="4" t="s">
        <v>2898</v>
      </c>
      <c r="C129" s="6" t="s">
        <v>2899</v>
      </c>
      <c r="D129" s="4" t="s">
        <v>2900</v>
      </c>
      <c r="E129" s="4" t="s">
        <v>2901</v>
      </c>
      <c r="G129" s="5" t="str">
        <f>IFERROR(__xludf.DUMMYFUNCTION("GOOGLETRANSLATE(A129, ""en"", ""id"")"),"128")</f>
        <v>128</v>
      </c>
      <c r="H129" s="5" t="str">
        <f>IFERROR(__xludf.DUMMYFUNCTION("GOOGLETRANSLATE(B129, ""en"", ""id"")"),"Apa itu ""live shot"" yang dianggap sebagai salah satu pukulan tubuh yang paling melemahkan?")</f>
        <v>Apa itu "live shot" yang dianggap sebagai salah satu pukulan tubuh yang paling melemahkan?</v>
      </c>
      <c r="I129" s="5" t="str">
        <f>IFERROR(__xludf.DUMMYFUNCTION("GOOGLETRANSLATE(C129, ""en"", ""id"")"),"A) Dekat dengan jantung, B) Pukulan keras ke hati dapat menyebabkan reaksi neurologis yang parah dan rasa sakit yang hebat, C) Dapat mematahkan tulang rusuk dengan mudah, D) Mudah mendarat")</f>
        <v>A) Dekat dengan jantung, B) Pukulan keras ke hati dapat menyebabkan reaksi neurologis yang parah dan rasa sakit yang hebat, C) Dapat mematahkan tulang rusuk dengan mudah, D) Mudah mendarat</v>
      </c>
      <c r="J129" s="5" t="str">
        <f>IFERROR(__xludf.DUMMYFUNCTION("GOOGLETRANSLATE(D129, ""en"", ""id"")"),"B) Pukulan keras pada hati dapat menyebabkan reaksi neurologis yang parah dan rasa sakit yang hebat")</f>
        <v>B) Pukulan keras pada hati dapat menyebabkan reaksi neurologis yang parah dan rasa sakit yang hebat</v>
      </c>
      <c r="K129" s="5" t="str">
        <f>IFERROR(__xludf.DUMMYFUNCTION("GOOGLETRANSLATE(E129, ""en"", ""id"")"),"Tembakan tepat ke hati, yang terletak di sisi kanan tubuh di bawah tulang rusuk, dapat melumpuhkan tubuh lawan.")</f>
        <v>Tembakan tepat ke hati, yang terletak di sisi kanan tubuh di bawah tulang rusuk, dapat melumpuhkan tubuh lawan.</v>
      </c>
    </row>
    <row r="130">
      <c r="A130" s="3">
        <v>129.0</v>
      </c>
      <c r="B130" s="4" t="s">
        <v>2902</v>
      </c>
      <c r="C130" s="6" t="s">
        <v>2903</v>
      </c>
      <c r="D130" s="4" t="s">
        <v>2904</v>
      </c>
      <c r="E130" s="4" t="s">
        <v>2905</v>
      </c>
      <c r="G130" s="5" t="str">
        <f>IFERROR(__xludf.DUMMYFUNCTION("GOOGLETRANSLATE(A130, ""en"", ""id"")"),"129")</f>
        <v>129</v>
      </c>
      <c r="H130" s="5" t="str">
        <f>IFERROR(__xludf.DUMMYFUNCTION("GOOGLETRANSLATE(B130, ""en"", ""id"")"),"Seorang petarung menang dengan ""keputusan mayoritas"". Apa artinya ini?")</f>
        <v>Seorang petarung menang dengan "keputusan mayoritas". Apa artinya ini?</v>
      </c>
      <c r="I130" s="5" t="str">
        <f>IFERROR(__xludf.DUMMYFUNCTION("GOOGLETRANSLATE(C130, ""en"", ""id"")"),"A) Semua juri setuju, B) Dua juri memberi nilai untuk pemenang, sementara satu juri memberi nilai seri, C) Wasit membuat keputusan akhir, D) Suara penonton menentukan pemenangnya")</f>
        <v>A) Semua juri setuju, B) Dua juri memberi nilai untuk pemenang, sementara satu juri memberi nilai seri, C) Wasit membuat keputusan akhir, D) Suara penonton menentukan pemenangnya</v>
      </c>
      <c r="J130" s="5" t="str">
        <f>IFERROR(__xludf.DUMMYFUNCTION("GOOGLETRANSLATE(D130, ""en"", ""id"")"),"B) Dua juri memberi nilai untuk pemenang, sedangkan satu juri memberi nilai seri.")</f>
        <v>B) Dua juri memberi nilai untuk pemenang, sedangkan satu juri memberi nilai seri.</v>
      </c>
      <c r="K130" s="5" t="str">
        <f>IFERROR(__xludf.DUMMYFUNCTION("GOOGLETRANSLATE(E130, ""en"", ""id"")"),"Hal ini menunjukkan bahwa mayoritas, tetapi tidak semua, juri sepakat pada pemenangnya, dengan satu juri menganggap kontes tersebut imbang.")</f>
        <v>Hal ini menunjukkan bahwa mayoritas, tetapi tidak semua, juri sepakat pada pemenangnya, dengan satu juri menganggap kontes tersebut imbang.</v>
      </c>
    </row>
    <row r="131">
      <c r="A131" s="3">
        <v>130.0</v>
      </c>
      <c r="B131" s="4" t="s">
        <v>2906</v>
      </c>
      <c r="C131" s="6" t="s">
        <v>2907</v>
      </c>
      <c r="D131" s="4" t="s">
        <v>2908</v>
      </c>
      <c r="E131" s="4" t="s">
        <v>2909</v>
      </c>
      <c r="G131" s="5" t="str">
        <f>IFERROR(__xludf.DUMMYFUNCTION("GOOGLETRANSLATE(A131, ""en"", ""id"")"),"130")</f>
        <v>130</v>
      </c>
      <c r="H131" s="5" t="str">
        <f>IFERROR(__xludf.DUMMYFUNCTION("GOOGLETRANSLATE(B131, ""en"", ""id"")"),"Apa tujuan dari gerakan kepala yang dikenal sebagai ""slipping"" pukulan?")</f>
        <v>Apa tujuan dari gerakan kepala yang dikenal sebagai "slipping" pukulan?</v>
      </c>
      <c r="I131" s="5" t="str">
        <f>IFERROR(__xludf.DUMMYFUNCTION("GOOGLETRANSLATE(C131, ""en"", ""id"")"),"A) Sengaja menjatuhkan diri ke tanah, B) Menggerakkan kepala sedikit ke satu sisi, sehingga pukulan tidak mengenai sasaran, C) Memblokir pukulan dengan kepala, D) Memberi sinyal pelanggaran")</f>
        <v>A) Sengaja menjatuhkan diri ke tanah, B) Menggerakkan kepala sedikit ke satu sisi, sehingga pukulan tidak mengenai sasaran, C) Memblokir pukulan dengan kepala, D) Memberi sinyal pelanggaran</v>
      </c>
      <c r="J131" s="5" t="str">
        <f>IFERROR(__xludf.DUMMYFUNCTION("GOOGLETRANSLATE(D131, ""en"", ""id"")"),"B) Menggerakkan kepala sedikit ke satu sisi, sehingga pukulan tidak mengenai sasaran")</f>
        <v>B) Menggerakkan kepala sedikit ke satu sisi, sehingga pukulan tidak mengenai sasaran</v>
      </c>
      <c r="K131" s="5" t="str">
        <f>IFERROR(__xludf.DUMMYFUNCTION("GOOGLETRANSLATE(E131, ""en"", ""id"")"),"Tergelincir merupakan teknik bertahan halus yang membuat lawan gagal mengenai sasaran, dan sering kali memberi peluang untuk melancarkan pukulan balik.")</f>
        <v>Tergelincir merupakan teknik bertahan halus yang membuat lawan gagal mengenai sasaran, dan sering kali memberi peluang untuk melancarkan pukulan balik.</v>
      </c>
    </row>
    <row r="132">
      <c r="A132" s="3">
        <v>131.0</v>
      </c>
      <c r="B132" s="4" t="s">
        <v>2910</v>
      </c>
      <c r="C132" s="6" t="s">
        <v>2911</v>
      </c>
      <c r="D132" s="4" t="s">
        <v>2912</v>
      </c>
      <c r="E132" s="4" t="s">
        <v>2913</v>
      </c>
      <c r="G132" s="5" t="str">
        <f>IFERROR(__xludf.DUMMYFUNCTION("GOOGLETRANSLATE(A132, ""en"", ""id"")"),"131")</f>
        <v>131</v>
      </c>
      <c r="H132" s="5" t="str">
        <f>IFERROR(__xludf.DUMMYFUNCTION("GOOGLETRANSLATE(B132, ""en"", ""id"")"),"Seorang petarung diperingatkan karena menggunakan sikunya. Dalam situasi apa ini merupakan keputusan yang tepat?")</f>
        <v>Seorang petarung diperingatkan karena menggunakan sikunya. Dalam situasi apa ini merupakan keputusan yang tepat?</v>
      </c>
      <c r="I132" s="5" t="str">
        <f>IFERROR(__xludf.DUMMYFUNCTION("GOOGLETRANSLATE(C132, ""en"", ""id"")"),"A) Selama clinch, B) Itu tidak pernah menjadi panggilan yang benar, karena siku adalah legal, C) Jika serangan siku adalah gerakan ke bawah ""12-ke-6"", D) Ketika lawan berada di tali")</f>
        <v>A) Selama clinch, B) Itu tidak pernah menjadi panggilan yang benar, karena siku adalah legal, C) Jika serangan siku adalah gerakan ke bawah "12-ke-6", D) Ketika lawan berada di tali</v>
      </c>
      <c r="J132" s="5" t="str">
        <f>IFERROR(__xludf.DUMMYFUNCTION("GOOGLETRANSLATE(D132, ""en"", ""id"")"),"C) Jika serangan siku adalah gerakan ke bawah ""12-ke-6""")</f>
        <v>C) Jika serangan siku adalah gerakan ke bawah "12-ke-6"</v>
      </c>
      <c r="K132" s="5" t="str">
        <f>IFERROR(__xludf.DUMMYFUNCTION("GOOGLETRANSLATE(E132, ""en"", ""id"")"),"Meskipun banyak serangan siku yang legal, serangan langsung ke bawah sering dilarang dalam olahraga beladiri karena berisiko tinggi menyebabkan luka parah.")</f>
        <v>Meskipun banyak serangan siku yang legal, serangan langsung ke bawah sering dilarang dalam olahraga beladiri karena berisiko tinggi menyebabkan luka parah.</v>
      </c>
    </row>
    <row r="133">
      <c r="A133" s="3">
        <v>132.0</v>
      </c>
      <c r="B133" s="4" t="s">
        <v>2914</v>
      </c>
      <c r="C133" s="6" t="s">
        <v>2915</v>
      </c>
      <c r="D133" s="4" t="s">
        <v>2916</v>
      </c>
      <c r="E133" s="4" t="s">
        <v>2917</v>
      </c>
      <c r="G133" s="5" t="str">
        <f>IFERROR(__xludf.DUMMYFUNCTION("GOOGLETRANSLATE(A133, ""en"", ""id"")"),"132")</f>
        <v>132</v>
      </c>
      <c r="H133" s="5" t="str">
        <f>IFERROR(__xludf.DUMMYFUNCTION("GOOGLETRANSLATE(B133, ""en"", ""id"")"),"Apa tujuan utama menyentuh sarung tangan sebelum ronde final?")</f>
        <v>Apa tujuan utama menyentuh sarung tangan sebelum ronde final?</v>
      </c>
      <c r="I133" s="5" t="str">
        <f>IFERROR(__xludf.DUMMYFUNCTION("GOOGLETRANSLATE(C133, ""en"", ""id"")"),"A) Merupakan sinyal rahasia kepada pelatih, B) Merupakan isyarat saling menghormati yang mengakui pertarungan yang sulit, C) Merupakan aturan yang diperlukan, D) Untuk memeriksa sarung tangan lawan untuk mengetahui adanya kerusakan")</f>
        <v>A) Merupakan sinyal rahasia kepada pelatih, B) Merupakan isyarat saling menghormati yang mengakui pertarungan yang sulit, C) Merupakan aturan yang diperlukan, D) Untuk memeriksa sarung tangan lawan untuk mengetahui adanya kerusakan</v>
      </c>
      <c r="J133" s="5" t="str">
        <f>IFERROR(__xludf.DUMMYFUNCTION("GOOGLETRANSLATE(D133, ""en"", ""id"")"),"B) Ini adalah sebuah isyarat saling menghormati dan mengakui perjuangan keras")</f>
        <v>B) Ini adalah sebuah isyarat saling menghormati dan mengakui perjuangan keras</v>
      </c>
      <c r="K133" s="5" t="str">
        <f>IFERROR(__xludf.DUMMYFUNCTION("GOOGLETRANSLATE(E133, ""en"", ""id"")"),"Ini adalah tanda tradisional sportivitas, menunjukkan rasa hormat terhadap lawan sebelum ronde pertarungan terakhir.")</f>
        <v>Ini adalah tanda tradisional sportivitas, menunjukkan rasa hormat terhadap lawan sebelum ronde pertarungan terakhir.</v>
      </c>
    </row>
    <row r="134">
      <c r="A134" s="3">
        <v>133.0</v>
      </c>
      <c r="B134" s="4" t="s">
        <v>2918</v>
      </c>
      <c r="C134" s="6" t="s">
        <v>2919</v>
      </c>
      <c r="D134" s="4" t="s">
        <v>2920</v>
      </c>
      <c r="E134" s="4" t="s">
        <v>2921</v>
      </c>
      <c r="G134" s="5" t="str">
        <f>IFERROR(__xludf.DUMMYFUNCTION("GOOGLETRANSLATE(A134, ""en"", ""id"")"),"133")</f>
        <v>133</v>
      </c>
      <c r="H134" s="5" t="str">
        <f>IFERROR(__xludf.DUMMYFUNCTION("GOOGLETRANSLATE(B134, ""en"", ""id"")"),"Seorang petarung terkena pukulan, dan kubu lawan melempar handuk untuk menghentikan pertarungan. Apa hasil resminya?")</f>
        <v>Seorang petarung terkena pukulan, dan kubu lawan melempar handuk untuk menghentikan pertarungan. Apa hasil resminya?</v>
      </c>
      <c r="I134" s="5" t="str">
        <f>IFERROR(__xludf.DUMMYFUNCTION("GOOGLETRANSLATE(C134, ""en"", ""id"")"),"A) Tidak Ada Kontes, B) Menang dengan TKO (penghentian sudut), C) Menang dengan diskualifikasi, D) Menang dengan forfeit")</f>
        <v>A) Tidak Ada Kontes, B) Menang dengan TKO (penghentian sudut), C) Menang dengan diskualifikasi, D) Menang dengan forfeit</v>
      </c>
      <c r="J134" s="5" t="str">
        <f>IFERROR(__xludf.DUMMYFUNCTION("GOOGLETRANSLATE(D134, ""en"", ""id"")"),"B) Menang dengan TKO (penghentian tendangan sudut)")</f>
        <v>B) Menang dengan TKO (penghentian tendangan sudut)</v>
      </c>
      <c r="K134" s="5" t="str">
        <f>IFERROR(__xludf.DUMMYFUNCTION("GOOGLETRANSLATE(E134, ""en"", ""id"")"),"Tendangan sudut yang menghentikan pertarungan menghasilkan kemenangan Technical Knockout untuk lawan.")</f>
        <v>Tendangan sudut yang menghentikan pertarungan menghasilkan kemenangan Technical Knockout untuk lawan.</v>
      </c>
    </row>
    <row r="135">
      <c r="A135" s="3">
        <v>134.0</v>
      </c>
      <c r="B135" s="4" t="s">
        <v>2922</v>
      </c>
      <c r="C135" s="6" t="s">
        <v>2923</v>
      </c>
      <c r="D135" s="4" t="s">
        <v>2924</v>
      </c>
      <c r="E135" s="4" t="s">
        <v>2925</v>
      </c>
      <c r="G135" s="5" t="str">
        <f>IFERROR(__xludf.DUMMYFUNCTION("GOOGLETRANSLATE(A135, ""en"", ""id"")"),"134")</f>
        <v>134</v>
      </c>
      <c r="H135" s="5" t="str">
        <f>IFERROR(__xludf.DUMMYFUNCTION("GOOGLETRANSLATE(B135, ""en"", ""id"")"),"Seorang petarung kesulitan mendaratkan pukulan pada lawan yang sangat lincah. Strategi apa yang bagus?")</f>
        <v>Seorang petarung kesulitan mendaratkan pukulan pada lawan yang sangat lincah. Strategi apa yang bagus?</v>
      </c>
      <c r="I135" s="5" t="str">
        <f>IFERROR(__xludf.DUMMYFUNCTION("GOOGLETRANSLATE(C135, ""en"", ""id"")"),"A) Melakukan pukulan yang lebih liar dan kuat, B) Mengincar tubuh lawan untuk memperlambatnya, C) Mengeluh kepada wasit, D) Menunggu lawan menjadi lelah")</f>
        <v>A) Melakukan pukulan yang lebih liar dan kuat, B) Mengincar tubuh lawan untuk memperlambatnya, C) Mengeluh kepada wasit, D) Menunggu lawan menjadi lelah</v>
      </c>
      <c r="J135" s="5" t="str">
        <f>IFERROR(__xludf.DUMMYFUNCTION("GOOGLETRANSLATE(D135, ""en"", ""id"")"),"B) Bidik tubuh lawan untuk memperlambatnya")</f>
        <v>B) Bidik tubuh lawan untuk memperlambatnya</v>
      </c>
      <c r="K135" s="5" t="str">
        <f>IFERROR(__xludf.DUMMYFUNCTION("GOOGLETRANSLATE(E135, ""en"", ""id"")"),"Target yang bergerak lebih sulit dipukul di kepala. Menyerang target tubuh yang lebih besar dan kurang bergerak adalah strategi klasik untuk mengurangi kelincahan lawan.")</f>
        <v>Target yang bergerak lebih sulit dipukul di kepala. Menyerang target tubuh yang lebih besar dan kurang bergerak adalah strategi klasik untuk mengurangi kelincahan lawan.</v>
      </c>
    </row>
    <row r="136">
      <c r="A136" s="3">
        <v>135.0</v>
      </c>
      <c r="B136" s="4" t="s">
        <v>2926</v>
      </c>
      <c r="C136" s="6" t="s">
        <v>2927</v>
      </c>
      <c r="D136" s="4" t="s">
        <v>2928</v>
      </c>
      <c r="E136" s="4" t="s">
        <v>2929</v>
      </c>
      <c r="G136" s="5" t="str">
        <f>IFERROR(__xludf.DUMMYFUNCTION("GOOGLETRANSLATE(A136, ""en"", ""id"")"),"135")</f>
        <v>135</v>
      </c>
      <c r="H136" s="5" t="str">
        <f>IFERROR(__xludf.DUMMYFUNCTION("GOOGLETRANSLATE(B136, ""en"", ""id"")"),"Apa tingkatan tertinggi yang dapat dicapai seorang praktisi dalam sistem Kurata, yang ditandai dengan selempang merah?")</f>
        <v>Apa tingkatan tertinggi yang dapat dicapai seorang praktisi dalam sistem Kurata, yang ditandai dengan selempang merah?</v>
      </c>
      <c r="I136" s="5" t="str">
        <f>IFERROR(__xludf.DUMMYFUNCTION("GOOGLETRANSLATE(C136, ""en"", ""id"")"),"A) Kurata V, B) Kurata VI, C) Kurata VII, D) Guru Besar")</f>
        <v>A) Kurata V, B) Kurata VI, C) Kurata VII, D) Guru Besar</v>
      </c>
      <c r="J136" s="5" t="str">
        <f>IFERROR(__xludf.DUMMYFUNCTION("GOOGLETRANSLATE(D136, ""en"", ""id"")"),"C) Kurata VII")</f>
        <v>C) Kurata VII</v>
      </c>
      <c r="K136" s="5" t="str">
        <f>IFERROR(__xludf.DUMMYFUNCTION("GOOGLETRANSLATE(E136, ""en"", ""id"")"),"Kurata VII merupakan tingkat teknis tertinggi bagi seorang praktisi, tingkat yang lebih tinggi sering kali menjadi tingkat kehormatan bagi para master.")</f>
        <v>Kurata VII merupakan tingkat teknis tertinggi bagi seorang praktisi, tingkat yang lebih tinggi sering kali menjadi tingkat kehormatan bagi para master.</v>
      </c>
    </row>
    <row r="137">
      <c r="A137" s="3">
        <v>136.0</v>
      </c>
      <c r="B137" s="4" t="s">
        <v>2930</v>
      </c>
      <c r="C137" s="6" t="s">
        <v>2931</v>
      </c>
      <c r="D137" s="4" t="s">
        <v>2932</v>
      </c>
      <c r="E137" s="4" t="s">
        <v>2933</v>
      </c>
      <c r="G137" s="5" t="str">
        <f>IFERROR(__xludf.DUMMYFUNCTION("GOOGLETRANSLATE(A137, ""en"", ""id"")"),"136")</f>
        <v>136</v>
      </c>
      <c r="H137" s="5" t="str">
        <f>IFERROR(__xludf.DUMMYFUNCTION("GOOGLETRANSLATE(B137, ""en"", ""id"")"),"Seorang petarung terjatuh dan wasit memulai hitungan. Pelatih petarung memasuki ring. Apa hasil langsungnya?")</f>
        <v>Seorang petarung terjatuh dan wasit memulai hitungan. Pelatih petarung memasuki ring. Apa hasil langsungnya?</v>
      </c>
      <c r="I137" s="5" t="str">
        <f>IFERROR(__xludf.DUMMYFUNCTION("GOOGLETRANSLATE(C137, ""en"", ""id"")"),"A) Pelatih dikeluarkan, B) Petarung diberi waktu pemulihan tambahan, C) Petarung didiskualifikasi, D) Ronde diulang")</f>
        <v>A) Pelatih dikeluarkan, B) Petarung diberi waktu pemulihan tambahan, C) Petarung didiskualifikasi, D) Ronde diulang</v>
      </c>
      <c r="J137" s="5" t="str">
        <f>IFERROR(__xludf.DUMMYFUNCTION("GOOGLETRANSLATE(D137, ""en"", ""id"")"),"C) Petarung tersebut didiskualifikasi")</f>
        <v>C) Petarung tersebut didiskualifikasi</v>
      </c>
      <c r="K137" s="5" t="str">
        <f>IFERROR(__xludf.DUMMYFUNCTION("GOOGLETRANSLATE(E137, ""en"", ""id"")"),"Pelatih tidak diperbolehkan memasuki ring selama ronde atau hitungan langsung. Tindakan ini akan mengakibatkan diskualifikasi langsung bagi petarungnya.")</f>
        <v>Pelatih tidak diperbolehkan memasuki ring selama ronde atau hitungan langsung. Tindakan ini akan mengakibatkan diskualifikasi langsung bagi petarungnya.</v>
      </c>
    </row>
    <row r="138">
      <c r="A138" s="3">
        <v>137.0</v>
      </c>
      <c r="B138" s="4" t="s">
        <v>2934</v>
      </c>
      <c r="C138" s="6" t="s">
        <v>2935</v>
      </c>
      <c r="D138" s="4" t="s">
        <v>2936</v>
      </c>
      <c r="E138" s="4" t="s">
        <v>2937</v>
      </c>
      <c r="G138" s="5" t="str">
        <f>IFERROR(__xludf.DUMMYFUNCTION("GOOGLETRANSLATE(A138, ""en"", ""id"")"),"137")</f>
        <v>137</v>
      </c>
      <c r="H138" s="5" t="str">
        <f>IFERROR(__xludf.DUMMYFUNCTION("GOOGLETRANSLATE(B138, ""en"", ""id"")"),"Seorang petarung mendaratkan hook yang mengenai sarung tinju lawan tepat di depan wajahnya. Apakah ini pukulan yang menghasilkan skor?")</f>
        <v>Seorang petarung mendaratkan hook yang mengenai sarung tinju lawan tepat di depan wajahnya. Apakah ini pukulan yang menghasilkan skor?</v>
      </c>
      <c r="I138" s="5" t="str">
        <f>IFERROR(__xludf.DUMMYFUNCTION("GOOGLETRANSLATE(C138, ""en"", ""id"")"),"A) Ya, itu adalah head strike, B) Tidak, strike yang diblokir oleh glove tidak menghasilkan poin, C) Poin parsial diberikan, D) Poin diulang")</f>
        <v>A) Ya, itu adalah head strike, B) Tidak, strike yang diblokir oleh glove tidak menghasilkan poin, C) Poin parsial diberikan, D) Poin diulang</v>
      </c>
      <c r="J138" s="5" t="str">
        <f>IFERROR(__xludf.DUMMYFUNCTION("GOOGLETRANSLATE(D138, ""en"", ""id"")"),"B) Tidak, pukulan yang diblokir oleh sarung tangan tidak akan menghasilkan skor.")</f>
        <v>B) Tidak, pukulan yang diblokir oleh sarung tangan tidak akan menghasilkan skor.</v>
      </c>
      <c r="K138" s="5" t="str">
        <f>IFERROR(__xludf.DUMMYFUNCTION("GOOGLETRANSLATE(E138, ""en"", ""id"")"),"Untuk mencetak angka, pukulan harus mendarat tepat di area sasaran, bukan di pertahanan lawan.")</f>
        <v>Untuk mencetak angka, pukulan harus mendarat tepat di area sasaran, bukan di pertahanan lawan.</v>
      </c>
    </row>
    <row r="139">
      <c r="A139" s="3">
        <v>138.0</v>
      </c>
      <c r="B139" s="4" t="s">
        <v>2938</v>
      </c>
      <c r="C139" s="6" t="s">
        <v>2939</v>
      </c>
      <c r="D139" s="4" t="s">
        <v>2940</v>
      </c>
      <c r="E139" s="4" t="s">
        <v>2941</v>
      </c>
      <c r="G139" s="5" t="str">
        <f>IFERROR(__xludf.DUMMYFUNCTION("GOOGLETRANSLATE(A139, ""en"", ""id"")"),"138")</f>
        <v>138</v>
      </c>
      <c r="H139" s="5" t="str">
        <f>IFERROR(__xludf.DUMMYFUNCTION("GOOGLETRANSLATE(B139, ""en"", ""id"")"),"Seorang petarung diperingatkan karena ""memukul dan menahan."" Apa artinya ini?")</f>
        <v>Seorang petarung diperingatkan karena "memukul dan menahan." Apa artinya ini?</v>
      </c>
      <c r="I139" s="5" t="str">
        <f>IFERROR(__xludf.DUMMYFUNCTION("GOOGLETRANSLATE(C139, ""en"", ""id"")"),"A) Mereka memegang lawan dengan satu tangan dan memukul dengan tangan lainnya, B) Mereka memukul lawan dan kemudian menahan clinch terlalu lama, C) Mereka memegang tali sambil memukul, D) Mereka memukul setelah bel berbunyi")</f>
        <v>A) Mereka memegang lawan dengan satu tangan dan memukul dengan tangan lainnya, B) Mereka memukul lawan dan kemudian menahan clinch terlalu lama, C) Mereka memegang tali sambil memukul, D) Mereka memukul setelah bel berbunyi</v>
      </c>
      <c r="J139" s="5" t="str">
        <f>IFERROR(__xludf.DUMMYFUNCTION("GOOGLETRANSLATE(D139, ""en"", ""id"")"),"A) Mereka memegang lawan dengan satu tangan dan memukul dengan tangan lainnya")</f>
        <v>A) Mereka memegang lawan dengan satu tangan dan memukul dengan tangan lainnya</v>
      </c>
      <c r="K139" s="5" t="str">
        <f>IFERROR(__xludf.DUMMYFUNCTION("GOOGLETRANSLATE(E139, ""en"", ""id"")"),"Ini merupakan pelanggaran karena secara tidak adil melumpuhkan lawan, mencegah mereka mempertahankan diri dengan baik.")</f>
        <v>Ini merupakan pelanggaran karena secara tidak adil melumpuhkan lawan, mencegah mereka mempertahankan diri dengan baik.</v>
      </c>
    </row>
    <row r="140">
      <c r="A140" s="3">
        <v>139.0</v>
      </c>
      <c r="B140" s="4" t="s">
        <v>2942</v>
      </c>
      <c r="C140" s="6" t="s">
        <v>2943</v>
      </c>
      <c r="D140" s="4" t="s">
        <v>2944</v>
      </c>
      <c r="E140" s="4" t="s">
        <v>2945</v>
      </c>
      <c r="G140" s="5" t="str">
        <f>IFERROR(__xludf.DUMMYFUNCTION("GOOGLETRANSLATE(A140, ""en"", ""id"")"),"139")</f>
        <v>139</v>
      </c>
      <c r="H140" s="5" t="str">
        <f>IFERROR(__xludf.DUMMYFUNCTION("GOOGLETRANSLATE(B140, ""en"", ""id"")"),"Seorang petarung bertubuh tinggi dan berlengan panjang sering disebut sebagai ""pejuang luar"". Apa artinya ini?")</f>
        <v>Seorang petarung bertubuh tinggi dan berlengan panjang sering disebut sebagai "pejuang luar". Apa artinya ini?</v>
      </c>
      <c r="I140" s="5" t="str">
        <f>IFERROR(__xludf.DUMMYFUNCTION("GOOGLETRANSLATE(C140, ""en"", ""id"")"),"A) Mereka bertarung di luar ring, B) Mereka lebih suka bertarung jarak jauh menggunakan pukulan jab dan tendangan lurus, C) Mereka sering didiskualifikasi, D) Mereka agresif")</f>
        <v>A) Mereka bertarung di luar ring, B) Mereka lebih suka bertarung jarak jauh menggunakan pukulan jab dan tendangan lurus, C) Mereka sering didiskualifikasi, D) Mereka agresif</v>
      </c>
      <c r="J140" s="5" t="str">
        <f>IFERROR(__xludf.DUMMYFUNCTION("GOOGLETRANSLATE(D140, ""en"", ""id"")"),"B) Mereka lebih suka bertarung jarak jauh dengan menggunakan pukulan jab dan tendangan lurus")</f>
        <v>B) Mereka lebih suka bertarung jarak jauh dengan menggunakan pukulan jab dan tendangan lurus</v>
      </c>
      <c r="K140" s="5" t="str">
        <f>IFERROR(__xludf.DUMMYFUNCTION("GOOGLETRANSLATE(E140, ""en"", ""id"")"),"Seorang petarung unggul menggunakan keunggulan jangkauannya untuk mengendalikan jarak dan bertarung dari luar.")</f>
        <v>Seorang petarung unggul menggunakan keunggulan jangkauannya untuk mengendalikan jarak dan bertarung dari luar.</v>
      </c>
    </row>
    <row r="141">
      <c r="A141" s="3">
        <v>140.0</v>
      </c>
      <c r="B141" s="4" t="s">
        <v>2946</v>
      </c>
      <c r="C141" s="6" t="s">
        <v>2947</v>
      </c>
      <c r="D141" s="4" t="s">
        <v>2948</v>
      </c>
      <c r="E141" s="4" t="s">
        <v>2949</v>
      </c>
      <c r="G141" s="5" t="str">
        <f>IFERROR(__xludf.DUMMYFUNCTION("GOOGLETRANSLATE(A141, ""en"", ""id"")"),"140")</f>
        <v>140</v>
      </c>
      <c r="H141" s="5" t="str">
        <f>IFERROR(__xludf.DUMMYFUNCTION("GOOGLETRANSLATE(B141, ""en"", ""id"")"),"Wasit memutuskan bahwa luka sayatan disebabkan oleh sundulan kepala yang disengaja. Apa keputusannya?")</f>
        <v>Wasit memutuskan bahwa luka sayatan disebabkan oleh sundulan kepala yang disengaja. Apa keputusannya?</v>
      </c>
      <c r="I141" s="5" t="str">
        <f>IFERROR(__xludf.DUMMYFUNCTION("GOOGLETRANSLATE(C141, ""en"", ""id"")"),"A) Pertarungan berlanjut, B) Petarung yang melakukan pelanggaran langsung didiskualifikasi, C) Petarung yang terluka kalah, D) Poin diulang")</f>
        <v>A) Pertarungan berlanjut, B) Petarung yang melakukan pelanggaran langsung didiskualifikasi, C) Petarung yang terluka kalah, D) Poin diulang</v>
      </c>
      <c r="J141" s="5" t="str">
        <f>IFERROR(__xludf.DUMMYFUNCTION("GOOGLETRANSLATE(D141, ""en"", ""id"")"),"B) Petarung yang melakukan pelanggaran langsung didiskualifikasi")</f>
        <v>B) Petarung yang melakukan pelanggaran langsung didiskualifikasi</v>
      </c>
      <c r="K141" s="5" t="str">
        <f>IFERROR(__xludf.DUMMYFUNCTION("GOOGLETRANSLATE(E141, ""en"", ""id"")"),"Pelanggaran yang disengaja yang menyebabkan cedera adalah jenis pelanggaran paling serius dan mengakibatkan diskualifikasi langsung.")</f>
        <v>Pelanggaran yang disengaja yang menyebabkan cedera adalah jenis pelanggaran paling serius dan mengakibatkan diskualifikasi langsung.</v>
      </c>
    </row>
    <row r="142">
      <c r="A142" s="3">
        <v>141.0</v>
      </c>
      <c r="B142" s="4" t="s">
        <v>2950</v>
      </c>
      <c r="C142" s="6" t="s">
        <v>2951</v>
      </c>
      <c r="D142" s="4" t="s">
        <v>2952</v>
      </c>
      <c r="E142" s="4" t="s">
        <v>2953</v>
      </c>
      <c r="G142" s="5" t="str">
        <f>IFERROR(__xludf.DUMMYFUNCTION("GOOGLETRANSLATE(A142, ""en"", ""id"")"),"141")</f>
        <v>141</v>
      </c>
      <c r="H142" s="5" t="str">
        <f>IFERROR(__xludf.DUMMYFUNCTION("GOOGLETRANSLATE(B142, ""en"", ""id"")"),"Apa kerugian taktis utama dari memiliki pukulan jab yang lemah?")</f>
        <v>Apa kerugian taktis utama dari memiliki pukulan jab yang lemah?</v>
      </c>
      <c r="I142" s="5" t="str">
        <f>IFERROR(__xludf.DUMMYFUNCTION("GOOGLETRANSLATE(C142, ""en"", ""id"")"),"A) Anda tidak bisa mencetak KO, B) Sulit untuk mengontrol jarak dan mengatur pukulan yang kuat, C) Anda akan lebih cepat lelah, D) Wasit akan mengurangi poin")</f>
        <v>A) Anda tidak bisa mencetak KO, B) Sulit untuk mengontrol jarak dan mengatur pukulan yang kuat, C) Anda akan lebih cepat lelah, D) Wasit akan mengurangi poin</v>
      </c>
      <c r="J142" s="5" t="str">
        <f>IFERROR(__xludf.DUMMYFUNCTION("GOOGLETRANSLATE(D142, ""en"", ""id"")"),"B) Sulit untuk mengontrol jarak dan mengatur pukulan yang kuat")</f>
        <v>B) Sulit untuk mengontrol jarak dan mengatur pukulan yang kuat</v>
      </c>
      <c r="K142" s="5" t="str">
        <f>IFERROR(__xludf.DUMMYFUNCTION("GOOGLETRANSLATE(E142, ""en"", ""id"")"),"Jab yang kuat adalah alat penting untuk mengendalikan pertarungan. Tanpanya, seorang petarung akan kesulitan membangun serangan.")</f>
        <v>Jab yang kuat adalah alat penting untuk mengendalikan pertarungan. Tanpanya, seorang petarung akan kesulitan membangun serangan.</v>
      </c>
    </row>
    <row r="143">
      <c r="A143" s="3">
        <v>142.0</v>
      </c>
      <c r="B143" s="4" t="s">
        <v>2954</v>
      </c>
      <c r="C143" s="6" t="s">
        <v>2955</v>
      </c>
      <c r="D143" s="4" t="s">
        <v>2956</v>
      </c>
      <c r="E143" s="4" t="s">
        <v>2957</v>
      </c>
      <c r="G143" s="5" t="str">
        <f>IFERROR(__xludf.DUMMYFUNCTION("GOOGLETRANSLATE(A143, ""en"", ""id"")"),"142")</f>
        <v>142</v>
      </c>
      <c r="H143" s="5" t="str">
        <f>IFERROR(__xludf.DUMMYFUNCTION("GOOGLETRANSLATE(B143, ""en"", ""id"")"),"Seorang petarung dijatuhkan, bangkit, dan diberi hitungan delapan wajib. Apa yang harus mereka lakukan ketika wasit meminta mereka untuk ""Bertinju""?")</f>
        <v>Seorang petarung dijatuhkan, bangkit, dan diberi hitungan delapan wajib. Apa yang harus mereka lakukan ketika wasit meminta mereka untuk "Bertinju"?</v>
      </c>
      <c r="I143" s="5" t="str">
        <f>IFERROR(__xludf.DUMMYFUNCTION("GOOGLETRANSLATE(C143, ""en"", ""id"")"),"A) Sentuhkan sarung tangan dengan lawan, B) Berjalan ke depan untuk menunjukkan bahwa mereka stabil, C) Pergi ke sudut mereka, D) Mulai bertarung segera")</f>
        <v>A) Sentuhkan sarung tangan dengan lawan, B) Berjalan ke depan untuk menunjukkan bahwa mereka stabil, C) Pergi ke sudut mereka, D) Mulai bertarung segera</v>
      </c>
      <c r="J143" s="5" t="str">
        <f>IFERROR(__xludf.DUMMYFUNCTION("GOOGLETRANSLATE(D143, ""en"", ""id"")"),"B) Berjalan ke depan untuk menunjukkan bahwa mereka stabil")</f>
        <v>B) Berjalan ke depan untuk menunjukkan bahwa mereka stabil</v>
      </c>
      <c r="K143" s="5" t="str">
        <f>IFERROR(__xludf.DUMMYFUNCTION("GOOGLETRANSLATE(E143, ""en"", ""id"")"),"Wasit sering meminta petarung untuk berjalan ke arah mereka atau ke samping untuk membuktikan bahwa mereka telah pulih keseimbangannya dan siap untuk melanjutkan.")</f>
        <v>Wasit sering meminta petarung untuk berjalan ke arah mereka atau ke samping untuk membuktikan bahwa mereka telah pulih keseimbangannya dan siap untuk melanjutkan.</v>
      </c>
    </row>
    <row r="144">
      <c r="A144" s="3">
        <v>143.0</v>
      </c>
      <c r="B144" s="4" t="s">
        <v>2958</v>
      </c>
      <c r="C144" s="6" t="s">
        <v>2959</v>
      </c>
      <c r="D144" s="4" t="s">
        <v>2960</v>
      </c>
      <c r="E144" s="4" t="s">
        <v>2961</v>
      </c>
      <c r="G144" s="5" t="str">
        <f>IFERROR(__xludf.DUMMYFUNCTION("GOOGLETRANSLATE(A144, ""en"", ""id"")"),"143")</f>
        <v>143</v>
      </c>
      <c r="H144" s="5" t="str">
        <f>IFERROR(__xludf.DUMMYFUNCTION("GOOGLETRANSLATE(B144, ""en"", ""id"")"),"Seorang petarung menang ronde 10-9, tetapi lawannya terlihat jauh lebih agresif. Mengapa juri memberi skor seperti ini?")</f>
        <v>Seorang petarung menang ronde 10-9, tetapi lawannya terlihat jauh lebih agresif. Mengapa juri memberi skor seperti ini?</v>
      </c>
      <c r="I144" s="5" t="str">
        <f>IFERROR(__xludf.DUMMYFUNCTION("GOOGLETRANSLATE(C144, ""en"", ""id"")"),"A) Para juri melakukan kesalahan, B) Agresi bukan merupakan faktor penilaian, C) Petarung yang menang mendaratkan serangan yang lebih bersih dan efektif, D) Penonton bersorak untuk pemenangnya")</f>
        <v>A) Para juri melakukan kesalahan, B) Agresi bukan merupakan faktor penilaian, C) Petarung yang menang mendaratkan serangan yang lebih bersih dan efektif, D) Penonton bersorak untuk pemenangnya</v>
      </c>
      <c r="J144" s="5" t="str">
        <f>IFERROR(__xludf.DUMMYFUNCTION("GOOGLETRANSLATE(D144, ""en"", ""id"")"),"C) Petarung yang menang mendaratkan serangan yang lebih bersih dan efektif")</f>
        <v>C) Petarung yang menang mendaratkan serangan yang lebih bersih dan efektif</v>
      </c>
      <c r="K144" s="5" t="str">
        <f>IFERROR(__xludf.DUMMYFUNCTION("GOOGLETRANSLATE(E144, ""en"", ""id"")"),"""Agresi yang efektif"" adalah kriteria penilaian, tetapi mendaratkan pukulan yang bersih lebih penting daripada sekadar bergerak maju tanpa efek.")</f>
        <v>"Agresi yang efektif" adalah kriteria penilaian, tetapi mendaratkan pukulan yang bersih lebih penting daripada sekadar bergerak maju tanpa efek.</v>
      </c>
    </row>
    <row r="145">
      <c r="A145" s="3">
        <v>144.0</v>
      </c>
      <c r="B145" s="4" t="s">
        <v>2962</v>
      </c>
      <c r="C145" s="6" t="s">
        <v>2963</v>
      </c>
      <c r="D145" s="4" t="s">
        <v>2964</v>
      </c>
      <c r="E145" s="4" t="s">
        <v>2965</v>
      </c>
      <c r="G145" s="5" t="str">
        <f>IFERROR(__xludf.DUMMYFUNCTION("GOOGLETRANSLATE(A145, ""en"", ""id"")"),"144")</f>
        <v>144</v>
      </c>
      <c r="H145" s="5" t="str">
        <f>IFERROR(__xludf.DUMMYFUNCTION("GOOGLETRANSLATE(B145, ""en"", ""id"")"),"Seorang petarung dikenal memiliki ""kepemimpinan jenderal di ring"" yang sangat baik. Apa saja yang termasuk dalam keterampilan ini?")</f>
        <v>Seorang petarung dikenal memiliki "kepemimpinan jenderal di ring" yang sangat baik. Apa saja yang termasuk dalam keterampilan ini?</v>
      </c>
      <c r="I145" s="5" t="str">
        <f>IFERROR(__xludf.DUMMYFUNCTION("GOOGLETRANSLATE(C145, ""en"", ""id"")"),"A) Menjadi kapten tim, B) Mematuhi aturan dengan sempurna, C) Kemampuan mengendalikan kecepatan dan posisi pertarungan melalui gerak kaki dan taktik yang cerdas, D) Disukai oleh para juri")</f>
        <v>A) Menjadi kapten tim, B) Mematuhi aturan dengan sempurna, C) Kemampuan mengendalikan kecepatan dan posisi pertarungan melalui gerak kaki dan taktik yang cerdas, D) Disukai oleh para juri</v>
      </c>
      <c r="J145" s="5" t="str">
        <f>IFERROR(__xludf.DUMMYFUNCTION("GOOGLETRANSLATE(D145, ""en"", ""id"")"),"C) Kemampuan untuk mengendalikan kecepatan dan posisi pertarungan melalui gerak kaki dan taktik yang cerdas")</f>
        <v>C) Kemampuan untuk mengendalikan kecepatan dan posisi pertarungan melalui gerak kaki dan taktik yang cerdas</v>
      </c>
      <c r="K145" s="5" t="str">
        <f>IFERROR(__xludf.DUMMYFUNCTION("GOOGLETRANSLATE(E145, ""en"", ""id"")"),"Kepemimpinan ring adalah seni mengendalikan geografi ring untuk menciptakan keuntungan.")</f>
        <v>Kepemimpinan ring adalah seni mengendalikan geografi ring untuk menciptakan keuntungan.</v>
      </c>
    </row>
    <row r="146">
      <c r="A146" s="3">
        <v>145.0</v>
      </c>
      <c r="B146" s="4" t="s">
        <v>2966</v>
      </c>
      <c r="C146" s="6" t="s">
        <v>2967</v>
      </c>
      <c r="D146" s="4" t="s">
        <v>2968</v>
      </c>
      <c r="E146" s="4" t="s">
        <v>2969</v>
      </c>
      <c r="G146" s="5" t="str">
        <f>IFERROR(__xludf.DUMMYFUNCTION("GOOGLETRANSLATE(A146, ""en"", ""id"")"),"145")</f>
        <v>145</v>
      </c>
      <c r="H146" s="5" t="str">
        <f>IFERROR(__xludf.DUMMYFUNCTION("GOOGLETRANSLATE(B146, ""en"", ""id"")"),"Seorang petarung diperingatkan karena menggunakan bahunya untuk memukul lawan. Apakah ini pelanggaran?")</f>
        <v>Seorang petarung diperingatkan karena menggunakan bahunya untuk memukul lawan. Apakah ini pelanggaran?</v>
      </c>
      <c r="I146" s="5" t="str">
        <f>IFERROR(__xludf.DUMMYFUNCTION("GOOGLETRANSLATE(C146, ""en"", ""id"")"),"A) Tidak, pukulan bahu adalah legal, B) Ya, itu adalah pukulan ilegal, C) Hanya jika mengenai kepala, D) Hanya jika menyebabkan cedera")</f>
        <v>A) Tidak, pukulan bahu adalah legal, B) Ya, itu adalah pukulan ilegal, C) Hanya jika mengenai kepala, D) Hanya jika menyebabkan cedera</v>
      </c>
      <c r="J146" s="5" t="str">
        <f>IFERROR(__xludf.DUMMYFUNCTION("GOOGLETRANSLATE(D146, ""en"", ""id"")"),"B) Ya, itu adalah pemogokan yang ilegal.")</f>
        <v>B) Ya, itu adalah pemogokan yang ilegal.</v>
      </c>
      <c r="K146" s="5" t="str">
        <f>IFERROR(__xludf.DUMMYFUNCTION("GOOGLETRANSLATE(E146, ""en"", ""id"")"),"Menggunakan bahu, kepala, atau pinggul untuk menyerang lawan biasanya merupakan pelanggaran dalam olahraga beladiri yang diatur.")</f>
        <v>Menggunakan bahu, kepala, atau pinggul untuk menyerang lawan biasanya merupakan pelanggaran dalam olahraga beladiri yang diatur.</v>
      </c>
    </row>
    <row r="147">
      <c r="A147" s="3">
        <v>146.0</v>
      </c>
      <c r="B147" s="4" t="s">
        <v>2970</v>
      </c>
      <c r="C147" s="6" t="s">
        <v>2971</v>
      </c>
      <c r="D147" s="4" t="s">
        <v>2972</v>
      </c>
      <c r="E147" s="4" t="s">
        <v>2973</v>
      </c>
      <c r="G147" s="5" t="str">
        <f>IFERROR(__xludf.DUMMYFUNCTION("GOOGLETRANSLATE(A147, ""en"", ""id"")"),"146")</f>
        <v>146</v>
      </c>
      <c r="H147" s="5" t="str">
        <f>IFERROR(__xludf.DUMMYFUNCTION("GOOGLETRANSLATE(B147, ""en"", ""id"")"),"Seorang petarung terjatuh. Lawannya berdiri tepat di atasnya dan mengejeknya. Apa yang akan dilakukan wasit?")</f>
        <v>Seorang petarung terjatuh. Lawannya berdiri tepat di atasnya dan mengejeknya. Apa yang akan dilakukan wasit?</v>
      </c>
      <c r="I147" s="5" t="str">
        <f>IFERROR(__xludf.DUMMYFUNCTION("GOOGLETRANSLATE(C147, ""en"", ""id"")"),"A) Mulai hitungan, B) Segera hentikan hitungan dan berikan hukuman atau diskualifikasi petarung yang berdiri, C) Biarkan saja, D) Minta petarung yang berdiri untuk membantu lawannya berdiri.")</f>
        <v>A) Mulai hitungan, B) Segera hentikan hitungan dan berikan hukuman atau diskualifikasi petarung yang berdiri, C) Biarkan saja, D) Minta petarung yang berdiri untuk membantu lawannya berdiri.</v>
      </c>
      <c r="J147" s="5" t="str">
        <f>IFERROR(__xludf.DUMMYFUNCTION("GOOGLETRANSLATE(D147, ""en"", ""id"")"),"B) Segera hentikan hitungan dan berikan hukuman atau diskualifikasi kepada petarung yang berdiri.")</f>
        <v>B) Segera hentikan hitungan dan berikan hukuman atau diskualifikasi kepada petarung yang berdiri.</v>
      </c>
      <c r="K147" s="5" t="str">
        <f>IFERROR(__xludf.DUMMYFUNCTION("GOOGLETRANSLATE(E147, ""en"", ""id"")"),"Seorang petarung harus pergi ke sudut netral setelah knockdown. Menolak untuk melakukannya dan menunjukkan perilaku tidak sportif merupakan pelanggaran berat.")</f>
        <v>Seorang petarung harus pergi ke sudut netral setelah knockdown. Menolak untuk melakukannya dan menunjukkan perilaku tidak sportif merupakan pelanggaran berat.</v>
      </c>
    </row>
    <row r="148">
      <c r="A148" s="3">
        <v>147.0</v>
      </c>
      <c r="B148" s="4" t="s">
        <v>2974</v>
      </c>
      <c r="C148" s="6" t="s">
        <v>2975</v>
      </c>
      <c r="D148" s="4" t="s">
        <v>2976</v>
      </c>
      <c r="E148" s="4" t="s">
        <v>2977</v>
      </c>
      <c r="G148" s="5" t="str">
        <f>IFERROR(__xludf.DUMMYFUNCTION("GOOGLETRANSLATE(A148, ""en"", ""id"")"),"147")</f>
        <v>147</v>
      </c>
      <c r="H148" s="5" t="str">
        <f>IFERROR(__xludf.DUMMYFUNCTION("GOOGLETRANSLATE(B148, ""en"", ""id"")"),"Apa tujuan utama latihan kombinasi dalam pelatihan?")</f>
        <v>Apa tujuan utama latihan kombinasi dalam pelatihan?</v>
      </c>
      <c r="I148" s="5" t="str">
        <f>IFERROR(__xludf.DUMMYFUNCTION("GOOGLETRANSLATE(C148, ""en"", ""id"")"),"A) Untuk membangun memori otot untuk serangan multi-serangan yang lancar, B) Untuk meningkatkan kekuatan pukulan tunggal, C) Untuk melatih pertahanan, D) Untuk menambah berat badan petarung")</f>
        <v>A) Untuk membangun memori otot untuk serangan multi-serangan yang lancar, B) Untuk meningkatkan kekuatan pukulan tunggal, C) Untuk melatih pertahanan, D) Untuk menambah berat badan petarung</v>
      </c>
      <c r="J148" s="5" t="str">
        <f>IFERROR(__xludf.DUMMYFUNCTION("GOOGLETRANSLATE(D148, ""en"", ""id"")"),"A) Untuk membangun memori otot untuk serangan multi-serangan yang lancar")</f>
        <v>A) Untuk membangun memori otot untuk serangan multi-serangan yang lancar</v>
      </c>
      <c r="K148" s="5" t="str">
        <f>IFERROR(__xludf.DUMMYFUNCTION("GOOGLETRANSLATE(E148, ""en"", ""id"")"),"Latihan kombinasi yang berulang-ulang memungkinkan petarung untuk melemparkannya secara otomatis dalam pertarungan tanpa harus memikirkan setiap gerakan.")</f>
        <v>Latihan kombinasi yang berulang-ulang memungkinkan petarung untuk melemparkannya secara otomatis dalam pertarungan tanpa harus memikirkan setiap gerakan.</v>
      </c>
    </row>
    <row r="149">
      <c r="A149" s="3">
        <v>148.0</v>
      </c>
      <c r="B149" s="4" t="s">
        <v>2978</v>
      </c>
      <c r="C149" s="6" t="s">
        <v>2979</v>
      </c>
      <c r="D149" s="4" t="s">
        <v>2980</v>
      </c>
      <c r="E149" s="4" t="s">
        <v>2981</v>
      </c>
      <c r="G149" s="5" t="str">
        <f>IFERROR(__xludf.DUMMYFUNCTION("GOOGLETRANSLATE(A149, ""en"", ""id"")"),"148")</f>
        <v>148</v>
      </c>
      <c r="H149" s="5" t="str">
        <f>IFERROR(__xludf.DUMMYFUNCTION("GOOGLETRANSLATE(B149, ""en"", ""id"")"),"Seorang petarung menerima pukulan yang sah dan mengundurkan diri dari pertarungan (penyerahan verbal). Apa hasil resminya?")</f>
        <v>Seorang petarung menerima pukulan yang sah dan mengundurkan diri dari pertarungan (penyerahan verbal). Apa hasil resminya?</v>
      </c>
      <c r="I149" s="5" t="str">
        <f>IFERROR(__xludf.DUMMYFUNCTION("GOOGLETRANSLATE(C149, ""en"", ""id"")"),"A) Tidak Ada Kontes, B) Menang dengan TKO (penyerahan lisan), C) Menang dengan diskualifikasi, D) Petarung yang mengundurkan diri akan didenda")</f>
        <v>A) Tidak Ada Kontes, B) Menang dengan TKO (penyerahan lisan), C) Menang dengan diskualifikasi, D) Petarung yang mengundurkan diri akan didenda</v>
      </c>
      <c r="J149" s="5" t="str">
        <f>IFERROR(__xludf.DUMMYFUNCTION("GOOGLETRANSLATE(D149, ""en"", ""id"")"),"B) Menang dengan TKO (penyerahan verbal)")</f>
        <v>B) Menang dengan TKO (penyerahan verbal)</v>
      </c>
      <c r="K149" s="5" t="str">
        <f>IFERROR(__xludf.DUMMYFUNCTION("GOOGLETRANSLATE(E149, ""en"", ""id"")"),"Seorang petarung yang menyerah secara lisan kepada wasit merupakan bentuk penghentian dan berujung pada TKO.")</f>
        <v>Seorang petarung yang menyerah secara lisan kepada wasit merupakan bentuk penghentian dan berujung pada TKO.</v>
      </c>
    </row>
    <row r="150">
      <c r="A150" s="3">
        <v>149.0</v>
      </c>
      <c r="B150" s="4" t="s">
        <v>2982</v>
      </c>
      <c r="C150" s="6" t="s">
        <v>2983</v>
      </c>
      <c r="D150" s="4" t="s">
        <v>2984</v>
      </c>
      <c r="E150" s="4" t="s">
        <v>2985</v>
      </c>
      <c r="G150" s="5" t="str">
        <f>IFERROR(__xludf.DUMMYFUNCTION("GOOGLETRANSLATE(A150, ""en"", ""id"")"),"149")</f>
        <v>149</v>
      </c>
      <c r="H150" s="5" t="str">
        <f>IFERROR(__xludf.DUMMYFUNCTION("GOOGLETRANSLATE(B150, ""en"", ""id"")"),"Seorang petarung memiliki ""dagu kaca"". Apa artinya ini?")</f>
        <v>Seorang petarung memiliki "dagu kaca". Apa artinya ini?</v>
      </c>
      <c r="I150" s="5" t="str">
        <f>IFERROR(__xludf.DUMMYFUNCTION("GOOGLETRANSLATE(C150, ""en"", ""id"")"),"A) Mereka memiliki dagu yang sangat kuat, B) Mereka memiliki kemampuan yang buruk untuk menerima pukulan ke rahang tanpa terjatuh atau pingsan, C) Mereka adalah petarung yang sangat defensif, D) Mereka memiliki pelindung mulut yang transparan")</f>
        <v>A) Mereka memiliki dagu yang sangat kuat, B) Mereka memiliki kemampuan yang buruk untuk menerima pukulan ke rahang tanpa terjatuh atau pingsan, C) Mereka adalah petarung yang sangat defensif, D) Mereka memiliki pelindung mulut yang transparan</v>
      </c>
      <c r="J150" s="5" t="str">
        <f>IFERROR(__xludf.DUMMYFUNCTION("GOOGLETRANSLATE(D150, ""en"", ""id"")"),"B) Mereka memiliki kemampuan yang buruk untuk menerima pukulan di rahang tanpa terjatuh atau pingsan")</f>
        <v>B) Mereka memiliki kemampuan yang buruk untuk menerima pukulan di rahang tanpa terjatuh atau pingsan</v>
      </c>
      <c r="K150" s="5" t="str">
        <f>IFERROR(__xludf.DUMMYFUNCTION("GOOGLETRANSLATE(E150, ""en"", ""id"")"),"Ini adalah istilah slang untuk petarung yang tidak memiliki daya tahan dan rentan terhadap KO.")</f>
        <v>Ini adalah istilah slang untuk petarung yang tidak memiliki daya tahan dan rentan terhadap KO.</v>
      </c>
    </row>
    <row r="151">
      <c r="A151" s="3">
        <v>150.0</v>
      </c>
      <c r="B151" s="4" t="s">
        <v>2986</v>
      </c>
      <c r="C151" s="6" t="s">
        <v>2987</v>
      </c>
      <c r="D151" s="4" t="s">
        <v>2988</v>
      </c>
      <c r="E151" s="4" t="s">
        <v>2989</v>
      </c>
      <c r="G151" s="5" t="str">
        <f>IFERROR(__xludf.DUMMYFUNCTION("GOOGLETRANSLATE(A151, ""en"", ""id"")"),"150")</f>
        <v>150</v>
      </c>
      <c r="H151" s="5" t="str">
        <f>IFERROR(__xludf.DUMMYFUNCTION("GOOGLETRANSLATE(B151, ""en"", ""id"")"),"Seorang petarung memenangkan keputusan yang ketat dan kontroversial. Apa hal paling hormat dan sportif yang harus mereka lakukan dalam wawancara pasca-pertarungan?")</f>
        <v>Seorang petarung memenangkan keputusan yang ketat dan kontroversial. Apa hal paling hormat dan sportif yang harus mereka lakukan dalam wawancara pasca-pertarungan?</v>
      </c>
      <c r="I151" s="5" t="str">
        <f>IFERROR(__xludf.DUMMYFUNCTION("GOOGLETRANSLATE(C151, ""en"", ""id"")"),"A) Membanggakan kemenangannya, B) Mengkritik juri karena skor yang ketat, C) Memuji keterampilan dan ketangguhan lawan, D) Menuntut hadiah yang lebih besar")</f>
        <v>A) Membanggakan kemenangannya, B) Mengkritik juri karena skor yang ketat, C) Memuji keterampilan dan ketangguhan lawan, D) Menuntut hadiah yang lebih besar</v>
      </c>
      <c r="J151" s="5" t="str">
        <f>IFERROR(__xludf.DUMMYFUNCTION("GOOGLETRANSLATE(D151, ""en"", ""id"")"),"C) Memuji keterampilan dan ketangguhan lawan")</f>
        <v>C) Memuji keterampilan dan ketangguhan lawan</v>
      </c>
      <c r="K151" s="5" t="str">
        <f>IFERROR(__xludf.DUMMYFUNCTION("GOOGLETRANSLATE(E151, ""en"", ""id"")"),"Prinsip inti seni bela diri adalah rasa hormat. Mengakui usaha dan keterampilan lawan adalah tanda seorang juara sejati.")</f>
        <v>Prinsip inti seni bela diri adalah rasa hormat. Mengakui usaha dan keterampilan lawan adalah tanda seorang juara sejati.</v>
      </c>
    </row>
  </sheetData>
  <drawing r:id="rId1"/>
  <tableParts count="2">
    <tablePart r:id="rId4"/>
    <tablePart r:id="rId5"/>
  </tableParts>
</worksheet>
</file>